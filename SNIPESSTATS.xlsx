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4.xml" ContentType="application/vnd.openxmlformats-officedocument.spreadsheetml.pivot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Tables/pivotTable5.xml" ContentType="application/vnd.openxmlformats-officedocument.spreadsheetml.pivot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pivotCache/pivotCacheRecords4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Tables/pivotTable6.xml" ContentType="application/vnd.openxmlformats-officedocument.spreadsheetml.pivot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pivotCache/pivotCacheRecords5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Tables/pivotTable7.xml" ContentType="application/vnd.openxmlformats-officedocument.spreadsheetml.pivot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pivotCache/pivotCacheRecords6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Tables/pivotTable8.xml" ContentType="application/vnd.openxmlformats-officedocument.spreadsheetml.pivotTable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pivotCache/pivotCacheRecords7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Tables/pivotTable9.xml" ContentType="application/vnd.openxmlformats-officedocument.spreadsheetml.pivotTable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pivotCache/pivotCacheRecords8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Tables/pivotTable10.xml" ContentType="application/vnd.openxmlformats-officedocument.spreadsheetml.pivotTable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ALL2026" sheetId="1" state="visible" r:id="rId1"/>
    <sheet name="SPRING2026POST" sheetId="2" state="visible" r:id="rId2"/>
    <sheet name="SPRING2026" sheetId="3" state="visible" r:id="rId3"/>
    <sheet name="FALL2025" sheetId="4" state="visible" r:id="rId4"/>
    <sheet name="Fall2025PRE" sheetId="5" state="visible" r:id="rId5"/>
    <sheet name="Spring2025" sheetId="6" state="visible" r:id="rId6"/>
    <sheet name="Fall2024" sheetId="7" state="visible" r:id="rId7"/>
    <sheet name="Fall2024PRE" sheetId="8" state="visible" r:id="rId8"/>
    <sheet name="Spring2024POST" sheetId="9" state="visible" r:id="rId9"/>
    <sheet name="Spring2024" sheetId="10" state="visible" r:id="rId10"/>
    <sheet name="OVERALL" sheetId="11" state="visible" r:id="rId11"/>
  </sheets>
  <definedNames>
    <definedName name="_xleta.IFERROR" hidden="0" function="0" vbProcedure="0">#NAME?</definedName>
  </definedNames>
  <calcPr calcId="124519" fullCalcOnLoad="1" refMode="A1" iterate="0" iterateCount="100" iterateDelta="0.0001"/>
  <pivotCaches>
    <pivotCache cacheId="1" r:id="rId12"/>
    <pivotCache cacheId="8" r:id="rId13"/>
    <pivotCache cacheId="2" r:id="rId14"/>
    <pivotCache cacheId="3" r:id="rId15"/>
    <pivotCache cacheId="4" r:id="rId16"/>
    <pivotCache cacheId="5" r:id="rId17"/>
    <pivotCache cacheId="6" r:id="rId18"/>
    <pivotCache cacheId="7" r:id="rId19"/>
  </pivotCaches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Aptos Narrow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color theme="1"/>
      <sz val="11"/>
    </font>
    <font>
      <name val="Aptos Narrow"/>
      <charset val="1"/>
      <family val="0"/>
      <b val="1"/>
      <color rgb="FF000118"/>
      <sz val="11"/>
    </font>
    <font>
      <name val="Aptos Narrow"/>
      <charset val="1"/>
      <family val="2"/>
      <color theme="1"/>
      <sz val="11"/>
    </font>
    <font>
      <name val="Aptos Narrow"/>
      <charset val="1"/>
      <family val="0"/>
      <color theme="10"/>
      <sz val="11"/>
      <u val="single"/>
    </font>
    <font>
      <name val="Aptos Narrow"/>
      <charset val="1"/>
      <family val="0"/>
      <color rgb="FFF2F2F2"/>
      <sz val="11"/>
      <u val="single"/>
    </font>
    <font>
      <name val="Aptos Narrow"/>
      <charset val="1"/>
      <family val="0"/>
      <color rgb="FFF2F2F2"/>
      <sz val="11"/>
    </font>
    <font>
      <name val="Aptos Narrow"/>
      <charset val="1"/>
      <family val="0"/>
      <b val="1"/>
      <color theme="1"/>
      <sz val="8"/>
    </font>
    <font>
      <name val="Aptos Narrow"/>
      <family val="2"/>
      <color rgb="FF757575"/>
      <sz val="14"/>
    </font>
    <font>
      <name val="Aptos Narrow"/>
      <family val="2"/>
      <color rgb="FF000000"/>
      <sz val="9"/>
    </font>
    <font>
      <name val="Aptos Narrow"/>
      <family val="2"/>
      <color rgb="FF000000"/>
      <sz val="10"/>
    </font>
    <font>
      <name val="Arial"/>
      <charset val="1"/>
      <family val="0"/>
      <color theme="1"/>
      <sz val="11"/>
    </font>
    <font>
      <name val="Aptos Narrow"/>
      <family val="2"/>
      <color rgb="FF000000"/>
      <sz val="14"/>
    </font>
    <font>
      <name val="Aptos Narrow"/>
      <charset val="1"/>
      <family val="0"/>
      <color theme="0"/>
      <sz val="11"/>
    </font>
    <font>
      <name val="Aptos Narrow"/>
      <charset val="1"/>
      <family val="0"/>
      <color rgb="FFBFBFBF"/>
      <sz val="11"/>
    </font>
  </fonts>
  <fills count="21">
    <fill>
      <patternFill/>
    </fill>
    <fill>
      <patternFill patternType="gray125"/>
    </fill>
    <fill>
      <patternFill patternType="solid">
        <fgColor theme="9" tint="0.5999"/>
        <bgColor rgb="FFB3E5A1"/>
      </patternFill>
    </fill>
    <fill>
      <patternFill patternType="solid">
        <fgColor rgb="FFFF5050"/>
        <bgColor rgb="FFE97132"/>
      </patternFill>
    </fill>
    <fill>
      <patternFill patternType="solid">
        <fgColor rgb="FFD8D8D8"/>
        <bgColor rgb="FFD9D9D9"/>
      </patternFill>
    </fill>
    <fill>
      <patternFill patternType="solid">
        <fgColor rgb="FFC1E4F5"/>
        <bgColor rgb="FFC1E5F5"/>
      </patternFill>
    </fill>
    <fill>
      <patternFill patternType="solid">
        <fgColor rgb="FF83CAEB"/>
        <bgColor rgb="FF95DCF7"/>
      </patternFill>
    </fill>
    <fill>
      <patternFill patternType="solid">
        <fgColor theme="7" tint="0.7999000000000001"/>
        <bgColor rgb="FFCAEDFB"/>
      </patternFill>
    </fill>
    <fill>
      <patternFill patternType="solid">
        <fgColor rgb="FFCAEDFB"/>
        <bgColor rgb="FFCAEEFB"/>
      </patternFill>
    </fill>
    <fill>
      <patternFill patternType="solid">
        <fgColor rgb="FFB3E5A1"/>
        <bgColor rgb="FFB4E5A2"/>
      </patternFill>
    </fill>
    <fill>
      <patternFill patternType="solid">
        <fgColor rgb="FFF6C6AC"/>
        <bgColor rgb="FFFFC7CE"/>
      </patternFill>
    </fill>
    <fill>
      <patternFill patternType="solid">
        <fgColor rgb="FFDBE9F7"/>
        <bgColor rgb="FFCAEDFB"/>
      </patternFill>
    </fill>
    <fill>
      <patternFill patternType="solid">
        <fgColor theme="4" tint="0.7999000000000001"/>
        <bgColor rgb="FFC1E4F5"/>
      </patternFill>
    </fill>
    <fill>
      <patternFill patternType="solid">
        <fgColor rgb="FF7F7F7F"/>
        <bgColor rgb="FF757575"/>
      </patternFill>
    </fill>
    <fill>
      <patternFill patternType="solid">
        <fgColor rgb="FFD9F2D0"/>
        <bgColor rgb="FFDBE9F7"/>
      </patternFill>
    </fill>
    <fill>
      <patternFill patternType="solid">
        <fgColor rgb="FFF1CEEE"/>
        <bgColor rgb="FFFFC7CE"/>
      </patternFill>
    </fill>
    <fill>
      <patternFill patternType="solid">
        <fgColor theme="0"/>
        <bgColor rgb="FFF2F2F2"/>
      </patternFill>
    </fill>
    <fill>
      <patternFill patternType="solid">
        <fgColor rgb="FFA6C9EB"/>
        <bgColor rgb="FF95DCF7"/>
      </patternFill>
    </fill>
    <fill>
      <patternFill patternType="solid">
        <fgColor rgb="FF95DCF7"/>
        <bgColor rgb="FF83CAEB"/>
      </patternFill>
    </fill>
    <fill>
      <patternFill patternType="solid">
        <fgColor rgb="FFFAE2D5"/>
        <bgColor rgb="FFF2F2F2"/>
      </patternFill>
    </fill>
    <fill>
      <patternFill patternType="solid">
        <fgColor theme="1"/>
        <bgColor rgb="FF000118"/>
      </patternFill>
    </fill>
  </fills>
  <borders count="4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/>
      <diagonal/>
    </border>
    <border>
      <left/>
      <right style="medium"/>
      <top style="medium"/>
      <bottom style="medium"/>
      <diagonal/>
    </border>
    <border>
      <left style="medium"/>
      <right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thin"/>
      <diagonal/>
    </border>
    <border>
      <left/>
      <right/>
      <top style="medium"/>
      <bottom style="thin"/>
      <diagonal/>
    </border>
    <border>
      <left/>
      <right style="medium"/>
      <top style="medium"/>
      <bottom style="thin"/>
      <diagonal/>
    </border>
    <border>
      <left style="thin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/>
      <top/>
      <bottom style="thin"/>
      <diagonal/>
    </border>
    <border>
      <left style="medium"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medium"/>
      <right style="thin"/>
      <top/>
      <bottom/>
      <diagonal/>
    </border>
    <border>
      <left/>
      <right style="thin"/>
      <top/>
      <bottom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 style="medium"/>
      <top style="medium"/>
      <bottom/>
      <diagonal/>
    </border>
    <border>
      <left style="thin"/>
      <right style="thin"/>
      <top style="thin"/>
      <bottom style="thin">
        <color rgb="FF45B0E1"/>
      </bottom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</borders>
  <cellStyleXfs count="13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7" fillId="0" borderId="0" applyAlignment="1">
      <alignment horizontal="general" vertical="bottom"/>
    </xf>
    <xf numFmtId="0" fontId="0" fillId="0" borderId="0" applyAlignment="1">
      <alignment horizontal="left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left" vertical="bottom"/>
    </xf>
    <xf numFmtId="0" fontId="0" fillId="0" borderId="0" applyAlignment="1">
      <alignment horizontal="general" vertical="bottom"/>
    </xf>
  </cellStyleXfs>
  <cellXfs count="348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4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4" fillId="0" borderId="3" applyAlignment="1" pivotButton="0" quotePrefix="0" xfId="0">
      <alignment horizontal="center" vertical="bottom"/>
    </xf>
    <xf numFmtId="0" fontId="4" fillId="5" borderId="2" applyAlignment="1" pivotButton="0" quotePrefix="0" xfId="0">
      <alignment horizontal="center" vertical="bottom"/>
    </xf>
    <xf numFmtId="0" fontId="4" fillId="5" borderId="4" applyAlignment="1" pivotButton="0" quotePrefix="0" xfId="0">
      <alignment horizontal="center" vertical="bottom"/>
    </xf>
    <xf numFmtId="0" fontId="4" fillId="5" borderId="5" applyAlignment="1" pivotButton="0" quotePrefix="0" xfId="0">
      <alignment horizontal="center" vertical="bottom"/>
    </xf>
    <xf numFmtId="0" fontId="5" fillId="5" borderId="2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center" vertical="center"/>
    </xf>
    <xf numFmtId="0" fontId="6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right" vertical="bottom"/>
    </xf>
    <xf numFmtId="0" fontId="4" fillId="5" borderId="3" applyAlignment="1" pivotButton="0" quotePrefix="0" xfId="0">
      <alignment horizontal="center" vertical="bottom"/>
    </xf>
    <xf numFmtId="0" fontId="4" fillId="5" borderId="3" applyAlignment="1" pivotButton="0" quotePrefix="0" xfId="0">
      <alignment horizontal="right" vertical="bottom"/>
    </xf>
    <xf numFmtId="0" fontId="0" fillId="0" borderId="6" applyAlignment="1" pivotButton="0" quotePrefix="0" xfId="22">
      <alignment horizontal="general" vertical="bottom"/>
    </xf>
    <xf numFmtId="0" fontId="0" fillId="0" borderId="7" applyAlignment="1" pivotButton="0" quotePrefix="0" xfId="23">
      <alignment horizontal="general" vertical="bottom"/>
    </xf>
    <xf numFmtId="0" fontId="0" fillId="0" borderId="8" applyAlignment="1" pivotButton="0" quotePrefix="0" xfId="22">
      <alignment horizontal="general" vertical="bottom"/>
    </xf>
    <xf numFmtId="0" fontId="0" fillId="0" borderId="9" applyAlignment="1" pivotButton="0" quotePrefix="0" xfId="22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right" vertical="bottom"/>
    </xf>
    <xf numFmtId="0" fontId="0" fillId="6" borderId="10" applyAlignment="1" pivotButton="0" quotePrefix="0" xfId="0">
      <alignment horizontal="right" vertical="bottom"/>
    </xf>
    <xf numFmtId="0" fontId="0" fillId="5" borderId="10" applyAlignment="1" pivotButton="0" quotePrefix="0" xfId="0">
      <alignment horizontal="center" vertical="bottom"/>
    </xf>
    <xf numFmtId="0" fontId="4" fillId="5" borderId="1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4" fillId="6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0" fillId="0" borderId="11" applyAlignment="1" pivotButton="0" quotePrefix="0" xfId="23">
      <alignment horizontal="general" vertical="bottom"/>
    </xf>
    <xf numFmtId="0" fontId="0" fillId="0" borderId="1" applyAlignment="1" pivotButton="0" quotePrefix="0" xfId="21">
      <alignment horizontal="left" vertical="bottom"/>
    </xf>
    <xf numFmtId="0" fontId="4" fillId="0" borderId="12" applyAlignment="1" pivotButton="0" quotePrefix="0" xfId="25">
      <alignment horizontal="left" vertical="bottom"/>
    </xf>
    <xf numFmtId="0" fontId="0" fillId="5" borderId="1" applyAlignment="1" pivotButton="0" quotePrefix="0" xfId="0">
      <alignment horizontal="center" vertical="bottom"/>
    </xf>
    <xf numFmtId="0" fontId="4" fillId="5" borderId="1" applyAlignment="1" pivotButton="0" quotePrefix="0" xfId="0">
      <alignment horizontal="center" vertical="bottom"/>
    </xf>
    <xf numFmtId="0" fontId="4" fillId="7" borderId="11" applyAlignment="1" pivotButton="0" quotePrefix="0" xfId="21">
      <alignment horizontal="left" vertical="bottom"/>
    </xf>
    <xf numFmtId="0" fontId="0" fillId="0" borderId="1" applyAlignment="1" pivotButton="0" quotePrefix="0" xfId="26">
      <alignment horizontal="general" vertical="bottom"/>
    </xf>
    <xf numFmtId="0" fontId="4" fillId="0" borderId="12" applyAlignment="1" pivotButton="0" quotePrefix="0" xfId="24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right" vertical="bottom"/>
    </xf>
    <xf numFmtId="2" fontId="0" fillId="5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left" vertical="bottom"/>
    </xf>
    <xf numFmtId="2" fontId="0" fillId="5" borderId="1" applyAlignment="1" pivotButton="0" quotePrefix="0" xfId="0">
      <alignment horizontal="left" vertical="bottom"/>
    </xf>
    <xf numFmtId="2" fontId="0" fillId="5" borderId="1" applyAlignment="1" pivotButton="0" quotePrefix="0" xfId="0">
      <alignment horizontal="right" vertical="bottom"/>
    </xf>
    <xf numFmtId="0" fontId="4" fillId="6" borderId="10" applyAlignment="1" pivotButton="0" quotePrefix="0" xfId="0">
      <alignment horizontal="right" vertical="bottom"/>
    </xf>
    <xf numFmtId="0" fontId="4" fillId="5" borderId="10" applyAlignment="1" pivotButton="0" quotePrefix="0" xfId="0">
      <alignment horizontal="right" vertical="bottom"/>
    </xf>
    <xf numFmtId="0" fontId="4" fillId="5" borderId="1" applyAlignment="1" pivotButton="0" quotePrefix="0" xfId="0">
      <alignment horizontal="right" vertical="bottom"/>
    </xf>
    <xf numFmtId="2" fontId="4" fillId="8" borderId="0" applyAlignment="1" pivotButton="0" quotePrefix="0" xfId="0">
      <alignment horizontal="center" vertical="bottom"/>
    </xf>
    <xf numFmtId="2" fontId="4" fillId="8" borderId="1" applyAlignment="1" pivotButton="0" quotePrefix="0" xfId="0">
      <alignment horizontal="center" vertical="bottom"/>
    </xf>
    <xf numFmtId="0" fontId="4" fillId="5" borderId="13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2" fontId="0" fillId="0" borderId="10" applyAlignment="1" pivotButton="0" quotePrefix="0" xfId="0">
      <alignment horizontal="center" vertical="bottom"/>
    </xf>
    <xf numFmtId="2" fontId="0" fillId="0" borderId="14" applyAlignment="1" pivotButton="0" quotePrefix="0" xfId="0">
      <alignment horizontal="center" vertical="bottom"/>
    </xf>
    <xf numFmtId="2" fontId="0" fillId="0" borderId="1" applyAlignment="1" pivotButton="0" quotePrefix="0" xfId="0">
      <alignment horizontal="center" vertical="center"/>
    </xf>
    <xf numFmtId="0" fontId="4" fillId="0" borderId="15" applyAlignment="1" pivotButton="0" quotePrefix="0" xfId="25">
      <alignment horizontal="left" vertical="bottom"/>
    </xf>
    <xf numFmtId="0" fontId="4" fillId="0" borderId="16" applyAlignment="1" pivotButton="0" quotePrefix="0" xfId="24">
      <alignment horizontal="general" vertical="bottom"/>
    </xf>
    <xf numFmtId="0" fontId="4" fillId="0" borderId="17" applyAlignment="1" pivotButton="0" quotePrefix="0" xfId="24">
      <alignment horizontal="general" vertical="bottom"/>
    </xf>
    <xf numFmtId="0" fontId="0" fillId="0" borderId="0" applyAlignment="1" pivotButton="0" quotePrefix="0" xfId="0">
      <alignment horizontal="center" vertical="center"/>
    </xf>
    <xf numFmtId="2" fontId="0" fillId="9" borderId="10" applyAlignment="1" pivotButton="0" quotePrefix="0" xfId="0">
      <alignment horizontal="center" vertical="bottom"/>
    </xf>
    <xf numFmtId="2" fontId="0" fillId="10" borderId="10" applyAlignment="1" pivotButton="0" quotePrefix="0" xfId="0">
      <alignment horizontal="center" vertical="bottom"/>
    </xf>
    <xf numFmtId="2" fontId="0" fillId="9" borderId="1" applyAlignment="1" pivotButton="0" quotePrefix="0" xfId="0">
      <alignment horizontal="center" vertical="bottom"/>
    </xf>
    <xf numFmtId="2" fontId="0" fillId="3" borderId="1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10" fillId="6" borderId="1" applyAlignment="1" pivotButton="0" quotePrefix="0" xfId="0">
      <alignment horizontal="right" vertical="bottom"/>
    </xf>
    <xf numFmtId="0" fontId="4" fillId="8" borderId="1" applyAlignment="1" pivotButton="0" quotePrefix="0" xfId="0">
      <alignment horizontal="right" vertical="bottom"/>
    </xf>
    <xf numFmtId="0" fontId="4" fillId="8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0" fontId="4" fillId="0" borderId="10" applyAlignment="1" pivotButton="0" quotePrefix="0" xfId="0">
      <alignment horizontal="center" vertical="bottom"/>
    </xf>
    <xf numFmtId="0" fontId="4" fillId="11" borderId="1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0" fillId="6" borderId="10" applyAlignment="1" pivotButton="0" quotePrefix="0" xfId="0">
      <alignment horizontal="right" vertical="bottom"/>
    </xf>
    <xf numFmtId="2" fontId="0" fillId="0" borderId="18" applyAlignment="1" pivotButton="0" quotePrefix="0" xfId="0">
      <alignment horizontal="general" vertical="bottom"/>
    </xf>
    <xf numFmtId="0" fontId="4" fillId="6" borderId="19" applyAlignment="1" pivotButton="0" quotePrefix="0" xfId="0">
      <alignment horizontal="right" vertical="bottom"/>
    </xf>
    <xf numFmtId="2" fontId="0" fillId="0" borderId="2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right" vertical="bottom"/>
    </xf>
    <xf numFmtId="0" fontId="4" fillId="4" borderId="1" applyAlignment="1" pivotButton="0" quotePrefix="0" xfId="0">
      <alignment horizontal="center" vertical="bottom"/>
    </xf>
    <xf numFmtId="0" fontId="4" fillId="3" borderId="1" applyAlignment="1" pivotButton="0" quotePrefix="0" xfId="0">
      <alignment horizontal="left" vertical="bottom"/>
    </xf>
    <xf numFmtId="0" fontId="4" fillId="0" borderId="21" applyAlignment="1" pivotButton="0" quotePrefix="0" xfId="0">
      <alignment horizontal="center" vertical="bottom"/>
    </xf>
    <xf numFmtId="0" fontId="4" fillId="0" borderId="20" applyAlignment="1" pivotButton="0" quotePrefix="0" xfId="0">
      <alignment horizontal="general" vertical="bottom"/>
    </xf>
    <xf numFmtId="0" fontId="0" fillId="9" borderId="1" applyAlignment="1" pivotButton="0" quotePrefix="0" xfId="0">
      <alignment horizontal="right" vertical="bottom"/>
    </xf>
    <xf numFmtId="0" fontId="0" fillId="4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left" vertical="bottom"/>
    </xf>
    <xf numFmtId="0" fontId="0" fillId="12" borderId="13" applyAlignment="1" pivotButton="0" quotePrefix="0" xfId="21">
      <alignment horizontal="left" vertical="bottom"/>
    </xf>
    <xf numFmtId="0" fontId="0" fillId="12" borderId="22" applyAlignment="1" pivotButton="0" quotePrefix="0" xfId="21">
      <alignment horizontal="left" vertical="bottom"/>
    </xf>
    <xf numFmtId="0" fontId="0" fillId="12" borderId="23" applyAlignment="1" pivotButton="0" quotePrefix="0" xfId="21">
      <alignment horizontal="left" vertical="bottom"/>
    </xf>
    <xf numFmtId="0" fontId="0" fillId="0" borderId="24" applyAlignment="1" pivotButton="0" quotePrefix="0" xfId="26">
      <alignment horizontal="general" vertical="bottom"/>
    </xf>
    <xf numFmtId="0" fontId="0" fillId="0" borderId="25" applyAlignment="1" pivotButton="0" quotePrefix="0" xfId="26">
      <alignment horizontal="general" vertical="bottom"/>
    </xf>
    <xf numFmtId="0" fontId="0" fillId="0" borderId="26" applyAlignment="1" pivotButton="0" quotePrefix="0" xfId="26">
      <alignment horizontal="general" vertical="bottom"/>
    </xf>
    <xf numFmtId="0" fontId="4" fillId="0" borderId="27" applyAlignment="1" pivotButton="0" quotePrefix="0" xfId="24">
      <alignment horizontal="general" vertical="bottom"/>
    </xf>
    <xf numFmtId="0" fontId="0" fillId="12" borderId="28" applyAlignment="1" pivotButton="0" quotePrefix="0" xfId="21">
      <alignment horizontal="left" vertical="bottom"/>
    </xf>
    <xf numFmtId="0" fontId="0" fillId="0" borderId="21" applyAlignment="1" pivotButton="0" quotePrefix="0" xfId="26">
      <alignment horizontal="general" vertical="bottom"/>
    </xf>
    <xf numFmtId="0" fontId="0" fillId="0" borderId="0" applyAlignment="1" pivotButton="0" quotePrefix="0" xfId="26">
      <alignment horizontal="general" vertical="bottom"/>
    </xf>
    <xf numFmtId="0" fontId="0" fillId="0" borderId="29" applyAlignment="1" pivotButton="0" quotePrefix="0" xfId="26">
      <alignment horizontal="general" vertical="bottom"/>
    </xf>
    <xf numFmtId="0" fontId="4" fillId="0" borderId="30" applyAlignment="1" pivotButton="0" quotePrefix="0" xfId="24">
      <alignment horizontal="general" vertical="bottom"/>
    </xf>
    <xf numFmtId="0" fontId="0" fillId="0" borderId="13" applyAlignment="1" pivotButton="0" quotePrefix="0" xfId="26">
      <alignment horizontal="general" vertical="bottom"/>
    </xf>
    <xf numFmtId="0" fontId="0" fillId="0" borderId="22" applyAlignment="1" pivotButton="0" quotePrefix="0" xfId="26">
      <alignment horizontal="general" vertical="bottom"/>
    </xf>
    <xf numFmtId="0" fontId="0" fillId="0" borderId="14" applyAlignment="1" pivotButton="0" quotePrefix="0" xfId="26">
      <alignment horizontal="general" vertical="bottom"/>
    </xf>
    <xf numFmtId="0" fontId="4" fillId="0" borderId="31" applyAlignment="1" pivotButton="0" quotePrefix="0" xfId="24">
      <alignment horizontal="general" vertical="bottom"/>
    </xf>
    <xf numFmtId="0" fontId="4" fillId="0" borderId="32" applyAlignment="1" pivotButton="0" quotePrefix="0" xfId="24">
      <alignment horizontal="general" vertical="bottom"/>
    </xf>
    <xf numFmtId="0" fontId="4" fillId="0" borderId="33" applyAlignment="1" pivotButton="0" quotePrefix="0" xfId="24">
      <alignment horizontal="general" vertical="bottom"/>
    </xf>
    <xf numFmtId="0" fontId="4" fillId="0" borderId="34" applyAlignment="1" pivotButton="0" quotePrefix="0" xfId="24">
      <alignment horizontal="general" vertical="bottom"/>
    </xf>
    <xf numFmtId="0" fontId="14" fillId="13" borderId="1" applyAlignment="1" pivotButton="0" quotePrefix="0" xfId="0">
      <alignment horizontal="right" vertical="bottom"/>
    </xf>
    <xf numFmtId="0" fontId="0" fillId="14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15" borderId="1" applyAlignment="1" pivotButton="0" quotePrefix="0" xfId="0">
      <alignment horizontal="center" vertical="bottom"/>
    </xf>
    <xf numFmtId="10" fontId="0" fillId="15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right" vertical="bottom"/>
    </xf>
    <xf numFmtId="0" fontId="6" fillId="3" borderId="1" applyAlignment="1" pivotButton="0" quotePrefix="0" xfId="0">
      <alignment horizontal="left" vertical="bottom"/>
    </xf>
    <xf numFmtId="2" fontId="0" fillId="0" borderId="19" applyAlignment="1" pivotButton="0" quotePrefix="0" xfId="0">
      <alignment horizontal="center" vertical="bottom"/>
    </xf>
    <xf numFmtId="164" fontId="0" fillId="0" borderId="20" applyAlignment="1" pivotButton="0" quotePrefix="0" xfId="0">
      <alignment horizontal="center" vertical="bottom"/>
    </xf>
    <xf numFmtId="0" fontId="0" fillId="0" borderId="13" applyAlignment="1" pivotButton="0" quotePrefix="0" xfId="21">
      <alignment horizontal="left" vertical="bottom"/>
    </xf>
    <xf numFmtId="0" fontId="0" fillId="0" borderId="22" applyAlignment="1" pivotButton="0" quotePrefix="0" xfId="21">
      <alignment horizontal="left" vertical="bottom"/>
    </xf>
    <xf numFmtId="0" fontId="0" fillId="0" borderId="23" applyAlignment="1" pivotButton="0" quotePrefix="0" xfId="21">
      <alignment horizontal="left" vertical="bottom"/>
    </xf>
    <xf numFmtId="0" fontId="0" fillId="0" borderId="28" applyAlignment="1" pivotButton="0" quotePrefix="0" xfId="21">
      <alignment horizontal="left" vertical="bottom"/>
    </xf>
    <xf numFmtId="0" fontId="4" fillId="6" borderId="13" applyAlignment="1" pivotButton="0" quotePrefix="0" xfId="0">
      <alignment horizontal="right" vertical="bottom"/>
    </xf>
    <xf numFmtId="0" fontId="0" fillId="0" borderId="10" applyAlignment="1" pivotButton="0" quotePrefix="0" xfId="0">
      <alignment horizontal="center" vertical="bottom"/>
    </xf>
    <xf numFmtId="2" fontId="0" fillId="0" borderId="13" applyAlignment="1" pivotButton="0" quotePrefix="0" xfId="0">
      <alignment horizontal="center" vertical="bottom"/>
    </xf>
    <xf numFmtId="2" fontId="0" fillId="0" borderId="22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4" fillId="0" borderId="35" applyAlignment="1" pivotButton="0" quotePrefix="0" xfId="0">
      <alignment horizontal="center" vertical="bottom"/>
    </xf>
    <xf numFmtId="0" fontId="4" fillId="6" borderId="18" applyAlignment="1" pivotButton="0" quotePrefix="0" xfId="0">
      <alignment horizontal="right" vertical="bottom"/>
    </xf>
    <xf numFmtId="0" fontId="4" fillId="0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4" fillId="17" borderId="1" applyAlignment="1" pivotButton="0" quotePrefix="0" xfId="0">
      <alignment horizontal="right" vertical="bottom"/>
    </xf>
    <xf numFmtId="0" fontId="0" fillId="0" borderId="21" applyAlignment="1" pivotButton="0" quotePrefix="0" xfId="0">
      <alignment horizontal="general" vertical="bottom"/>
    </xf>
    <xf numFmtId="2" fontId="0" fillId="0" borderId="20" applyAlignment="1" pivotButton="0" quotePrefix="0" xfId="0">
      <alignment horizontal="center" vertical="bottom"/>
    </xf>
    <xf numFmtId="0" fontId="0" fillId="9" borderId="1" applyAlignment="1" pivotButton="0" quotePrefix="0" xfId="0">
      <alignment horizontal="center" vertical="bottom"/>
    </xf>
    <xf numFmtId="2" fontId="0" fillId="10" borderId="1" applyAlignment="1" pivotButton="0" quotePrefix="0" xfId="0">
      <alignment horizontal="center" vertical="bottom"/>
    </xf>
    <xf numFmtId="2" fontId="0" fillId="14" borderId="1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0" fillId="0" borderId="10" applyAlignment="1" pivotButton="0" quotePrefix="0" xfId="0">
      <alignment horizontal="right" vertical="bottom"/>
    </xf>
    <xf numFmtId="0" fontId="0" fillId="0" borderId="1" applyAlignment="1" pivotButton="0" quotePrefix="0" xfId="0">
      <alignment horizontal="right" vertical="bottom"/>
    </xf>
    <xf numFmtId="0" fontId="17" fillId="0" borderId="0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center" vertical="bottom"/>
    </xf>
    <xf numFmtId="0" fontId="7" fillId="16" borderId="0" applyAlignment="1" pivotButton="0" quotePrefix="0" xfId="0">
      <alignment horizontal="general" vertical="bottom"/>
    </xf>
    <xf numFmtId="0" fontId="4" fillId="5" borderId="3" applyAlignment="1" pivotButton="0" quotePrefix="0" xfId="0">
      <alignment horizontal="general" vertical="bottom"/>
    </xf>
    <xf numFmtId="0" fontId="4" fillId="5" borderId="36" applyAlignment="1" pivotButton="0" quotePrefix="0" xfId="0">
      <alignment horizontal="center" vertical="bottom"/>
    </xf>
    <xf numFmtId="0" fontId="4" fillId="5" borderId="20" applyAlignment="1" pivotButton="0" quotePrefix="0" xfId="0">
      <alignment horizontal="center" vertical="bottom"/>
    </xf>
    <xf numFmtId="0" fontId="0" fillId="9" borderId="10" applyAlignment="1" pivotButton="0" quotePrefix="0" xfId="0">
      <alignment horizontal="center" vertical="bottom"/>
    </xf>
    <xf numFmtId="0" fontId="0" fillId="3" borderId="10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9" fillId="16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18" borderId="10" applyAlignment="1" pivotButton="0" quotePrefix="0" xfId="0">
      <alignment horizontal="right" vertical="bottom"/>
    </xf>
    <xf numFmtId="0" fontId="4" fillId="19" borderId="10" applyAlignment="1" pivotButton="0" quotePrefix="0" xfId="0">
      <alignment horizontal="center" vertical="center"/>
    </xf>
    <xf numFmtId="0" fontId="4" fillId="14" borderId="10" applyAlignment="1" pivotButton="0" quotePrefix="0" xfId="0">
      <alignment horizontal="center" vertical="center"/>
    </xf>
    <xf numFmtId="0" fontId="0" fillId="20" borderId="10" applyAlignment="1" pivotButton="0" quotePrefix="0" xfId="0">
      <alignment horizontal="general" vertical="bottom"/>
    </xf>
    <xf numFmtId="0" fontId="4" fillId="8" borderId="10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" pivotButton="0" quotePrefix="0" xfId="0"/>
    <xf numFmtId="0" fontId="0" fillId="0" borderId="0" applyAlignment="1" pivotButton="0" quotePrefix="0" xfId="0">
      <alignment horizontal="left" vertical="bottom"/>
    </xf>
    <xf numFmtId="0" fontId="4" fillId="0" borderId="3" applyAlignment="1" pivotButton="0" quotePrefix="0" xfId="0">
      <alignment horizontal="center" vertical="bottom"/>
    </xf>
    <xf numFmtId="0" fontId="0" fillId="0" borderId="29" pivotButton="0" quotePrefix="0" xfId="0"/>
    <xf numFmtId="0" fontId="4" fillId="5" borderId="2" applyAlignment="1" pivotButton="0" quotePrefix="0" xfId="0">
      <alignment horizontal="center" vertical="bottom"/>
    </xf>
    <xf numFmtId="0" fontId="4" fillId="5" borderId="4" applyAlignment="1" pivotButton="0" quotePrefix="0" xfId="0">
      <alignment horizontal="center" vertical="bottom"/>
    </xf>
    <xf numFmtId="0" fontId="4" fillId="5" borderId="5" applyAlignment="1" pivotButton="0" quotePrefix="0" xfId="0">
      <alignment horizontal="center" vertical="bottom"/>
    </xf>
    <xf numFmtId="0" fontId="5" fillId="5" borderId="2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center" vertical="center"/>
    </xf>
    <xf numFmtId="0" fontId="6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right" vertical="bottom"/>
    </xf>
    <xf numFmtId="0" fontId="4" fillId="5" borderId="3" applyAlignment="1" pivotButton="0" quotePrefix="0" xfId="0">
      <alignment horizontal="center" vertical="bottom"/>
    </xf>
    <xf numFmtId="0" fontId="4" fillId="5" borderId="3" applyAlignment="1" pivotButton="0" quotePrefix="0" xfId="0">
      <alignment horizontal="right" vertical="bottom"/>
    </xf>
    <xf numFmtId="0" fontId="0" fillId="0" borderId="6" applyAlignment="1" pivotButton="0" quotePrefix="0" xfId="22">
      <alignment horizontal="general" vertical="bottom"/>
    </xf>
    <xf numFmtId="0" fontId="0" fillId="0" borderId="7" applyAlignment="1" pivotButton="0" quotePrefix="0" xfId="23">
      <alignment horizontal="general" vertical="bottom"/>
    </xf>
    <xf numFmtId="0" fontId="0" fillId="0" borderId="8" applyAlignment="1" pivotButton="0" quotePrefix="0" xfId="22">
      <alignment horizontal="general" vertical="bottom"/>
    </xf>
    <xf numFmtId="0" fontId="0" fillId="0" borderId="9" applyAlignment="1" pivotButton="0" quotePrefix="0" xfId="22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right" vertical="bottom"/>
    </xf>
    <xf numFmtId="0" fontId="0" fillId="6" borderId="10" applyAlignment="1" pivotButton="0" quotePrefix="0" xfId="0">
      <alignment horizontal="right" vertical="bottom"/>
    </xf>
    <xf numFmtId="0" fontId="0" fillId="5" borderId="10" applyAlignment="1" pivotButton="0" quotePrefix="0" xfId="0">
      <alignment horizontal="center" vertical="bottom"/>
    </xf>
    <xf numFmtId="0" fontId="4" fillId="5" borderId="1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4" fillId="6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0" fillId="0" borderId="11" applyAlignment="1" pivotButton="0" quotePrefix="0" xfId="23">
      <alignment horizontal="general" vertical="bottom"/>
    </xf>
    <xf numFmtId="0" fontId="0" fillId="0" borderId="1" applyAlignment="1" pivotButton="0" quotePrefix="0" xfId="21">
      <alignment horizontal="left" vertical="bottom"/>
    </xf>
    <xf numFmtId="0" fontId="4" fillId="0" borderId="12" applyAlignment="1" pivotButton="0" quotePrefix="0" xfId="25">
      <alignment horizontal="left" vertical="bottom"/>
    </xf>
    <xf numFmtId="0" fontId="0" fillId="5" borderId="1" applyAlignment="1" pivotButton="0" quotePrefix="0" xfId="0">
      <alignment horizontal="center" vertical="bottom"/>
    </xf>
    <xf numFmtId="0" fontId="4" fillId="5" borderId="1" applyAlignment="1" pivotButton="0" quotePrefix="0" xfId="0">
      <alignment horizontal="center" vertical="bottom"/>
    </xf>
    <xf numFmtId="0" fontId="4" fillId="7" borderId="11" applyAlignment="1" pivotButton="0" quotePrefix="0" xfId="21">
      <alignment horizontal="left" vertical="bottom"/>
    </xf>
    <xf numFmtId="0" fontId="0" fillId="0" borderId="1" applyAlignment="1" pivotButton="0" quotePrefix="0" xfId="26">
      <alignment horizontal="general" vertical="bottom"/>
    </xf>
    <xf numFmtId="0" fontId="4" fillId="0" borderId="12" applyAlignment="1" pivotButton="0" quotePrefix="0" xfId="24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right" vertical="bottom"/>
    </xf>
    <xf numFmtId="2" fontId="0" fillId="5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left" vertical="bottom"/>
    </xf>
    <xf numFmtId="2" fontId="0" fillId="5" borderId="1" applyAlignment="1" pivotButton="0" quotePrefix="0" xfId="0">
      <alignment horizontal="left" vertical="bottom"/>
    </xf>
    <xf numFmtId="2" fontId="0" fillId="5" borderId="1" applyAlignment="1" pivotButton="0" quotePrefix="0" xfId="0">
      <alignment horizontal="right" vertical="bottom"/>
    </xf>
    <xf numFmtId="0" fontId="4" fillId="6" borderId="10" applyAlignment="1" pivotButton="0" quotePrefix="0" xfId="0">
      <alignment horizontal="right" vertical="bottom"/>
    </xf>
    <xf numFmtId="0" fontId="4" fillId="5" borderId="10" applyAlignment="1" pivotButton="0" quotePrefix="0" xfId="0">
      <alignment horizontal="right" vertical="bottom"/>
    </xf>
    <xf numFmtId="0" fontId="4" fillId="5" borderId="1" applyAlignment="1" pivotButton="0" quotePrefix="0" xfId="0">
      <alignment horizontal="right" vertical="bottom"/>
    </xf>
    <xf numFmtId="2" fontId="4" fillId="8" borderId="0" applyAlignment="1" pivotButton="0" quotePrefix="0" xfId="0">
      <alignment horizontal="center" vertical="bottom"/>
    </xf>
    <xf numFmtId="2" fontId="4" fillId="8" borderId="1" applyAlignment="1" pivotButton="0" quotePrefix="0" xfId="0">
      <alignment horizontal="center" vertical="bottom"/>
    </xf>
    <xf numFmtId="0" fontId="4" fillId="5" borderId="13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2" fontId="0" fillId="0" borderId="10" applyAlignment="1" pivotButton="0" quotePrefix="0" xfId="0">
      <alignment horizontal="center" vertical="bottom"/>
    </xf>
    <xf numFmtId="2" fontId="0" fillId="0" borderId="14" applyAlignment="1" pivotButton="0" quotePrefix="0" xfId="0">
      <alignment horizontal="center" vertical="bottom"/>
    </xf>
    <xf numFmtId="2" fontId="0" fillId="0" borderId="1" applyAlignment="1" pivotButton="0" quotePrefix="0" xfId="0">
      <alignment horizontal="center" vertical="center"/>
    </xf>
    <xf numFmtId="0" fontId="4" fillId="0" borderId="15" applyAlignment="1" pivotButton="0" quotePrefix="0" xfId="25">
      <alignment horizontal="left" vertical="bottom"/>
    </xf>
    <xf numFmtId="0" fontId="4" fillId="0" borderId="16" applyAlignment="1" pivotButton="0" quotePrefix="0" xfId="24">
      <alignment horizontal="general" vertical="bottom"/>
    </xf>
    <xf numFmtId="0" fontId="4" fillId="0" borderId="17" applyAlignment="1" pivotButton="0" quotePrefix="0" xfId="24">
      <alignment horizontal="general" vertical="bottom"/>
    </xf>
    <xf numFmtId="0" fontId="0" fillId="0" borderId="0" applyAlignment="1" pivotButton="0" quotePrefix="0" xfId="0">
      <alignment horizontal="center" vertical="center"/>
    </xf>
    <xf numFmtId="2" fontId="0" fillId="9" borderId="10" applyAlignment="1" pivotButton="0" quotePrefix="0" xfId="0">
      <alignment horizontal="center" vertical="bottom"/>
    </xf>
    <xf numFmtId="2" fontId="0" fillId="10" borderId="10" applyAlignment="1" pivotButton="0" quotePrefix="0" xfId="0">
      <alignment horizontal="center" vertical="bottom"/>
    </xf>
    <xf numFmtId="2" fontId="0" fillId="9" borderId="1" applyAlignment="1" pivotButton="0" quotePrefix="0" xfId="0">
      <alignment horizontal="center" vertical="bottom"/>
    </xf>
    <xf numFmtId="2" fontId="0" fillId="3" borderId="1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10" fillId="6" borderId="1" applyAlignment="1" pivotButton="0" quotePrefix="0" xfId="0">
      <alignment horizontal="right" vertical="bottom"/>
    </xf>
    <xf numFmtId="0" fontId="4" fillId="8" borderId="1" applyAlignment="1" pivotButton="0" quotePrefix="0" xfId="0">
      <alignment horizontal="right" vertical="bottom"/>
    </xf>
    <xf numFmtId="0" fontId="4" fillId="8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0" fontId="4" fillId="0" borderId="10" applyAlignment="1" pivotButton="0" quotePrefix="0" xfId="0">
      <alignment horizontal="center" vertical="bottom"/>
    </xf>
    <xf numFmtId="0" fontId="4" fillId="11" borderId="1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0" fillId="6" borderId="10" applyAlignment="1" pivotButton="0" quotePrefix="0" xfId="0">
      <alignment horizontal="right" vertical="bottom"/>
    </xf>
    <xf numFmtId="2" fontId="0" fillId="0" borderId="18" applyAlignment="1" pivotButton="0" quotePrefix="0" xfId="0">
      <alignment horizontal="general" vertical="bottom"/>
    </xf>
    <xf numFmtId="0" fontId="4" fillId="6" borderId="19" applyAlignment="1" pivotButton="0" quotePrefix="0" xfId="0">
      <alignment horizontal="right" vertical="bottom"/>
    </xf>
    <xf numFmtId="2" fontId="0" fillId="0" borderId="2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4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right" vertical="bottom"/>
    </xf>
    <xf numFmtId="0" fontId="4" fillId="4" borderId="1" applyAlignment="1" pivotButton="0" quotePrefix="0" xfId="0">
      <alignment horizontal="center" vertical="bottom"/>
    </xf>
    <xf numFmtId="0" fontId="4" fillId="3" borderId="1" applyAlignment="1" pivotButton="0" quotePrefix="0" xfId="0">
      <alignment horizontal="left" vertical="bottom"/>
    </xf>
    <xf numFmtId="0" fontId="4" fillId="0" borderId="21" applyAlignment="1" pivotButton="0" quotePrefix="0" xfId="0">
      <alignment horizontal="center" vertical="bottom"/>
    </xf>
    <xf numFmtId="0" fontId="4" fillId="0" borderId="20" applyAlignment="1" pivotButton="0" quotePrefix="0" xfId="0">
      <alignment horizontal="general" vertical="bottom"/>
    </xf>
    <xf numFmtId="0" fontId="0" fillId="9" borderId="1" applyAlignment="1" pivotButton="0" quotePrefix="0" xfId="0">
      <alignment horizontal="right" vertical="bottom"/>
    </xf>
    <xf numFmtId="0" fontId="0" fillId="4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left" vertical="bottom"/>
    </xf>
    <xf numFmtId="0" fontId="0" fillId="12" borderId="13" applyAlignment="1" pivotButton="0" quotePrefix="0" xfId="21">
      <alignment horizontal="left" vertical="bottom"/>
    </xf>
    <xf numFmtId="0" fontId="0" fillId="12" borderId="22" applyAlignment="1" pivotButton="0" quotePrefix="0" xfId="21">
      <alignment horizontal="left" vertical="bottom"/>
    </xf>
    <xf numFmtId="0" fontId="0" fillId="12" borderId="23" applyAlignment="1" pivotButton="0" quotePrefix="0" xfId="21">
      <alignment horizontal="left" vertical="bottom"/>
    </xf>
    <xf numFmtId="0" fontId="0" fillId="0" borderId="24" applyAlignment="1" pivotButton="0" quotePrefix="0" xfId="26">
      <alignment horizontal="general" vertical="bottom"/>
    </xf>
    <xf numFmtId="0" fontId="0" fillId="0" borderId="25" applyAlignment="1" pivotButton="0" quotePrefix="0" xfId="26">
      <alignment horizontal="general" vertical="bottom"/>
    </xf>
    <xf numFmtId="0" fontId="0" fillId="0" borderId="26" applyAlignment="1" pivotButton="0" quotePrefix="0" xfId="26">
      <alignment horizontal="general" vertical="bottom"/>
    </xf>
    <xf numFmtId="0" fontId="4" fillId="0" borderId="27" applyAlignment="1" pivotButton="0" quotePrefix="0" xfId="24">
      <alignment horizontal="general" vertical="bottom"/>
    </xf>
    <xf numFmtId="0" fontId="0" fillId="12" borderId="28" applyAlignment="1" pivotButton="0" quotePrefix="0" xfId="21">
      <alignment horizontal="left" vertical="bottom"/>
    </xf>
    <xf numFmtId="0" fontId="0" fillId="0" borderId="21" applyAlignment="1" pivotButton="0" quotePrefix="0" xfId="26">
      <alignment horizontal="general" vertical="bottom"/>
    </xf>
    <xf numFmtId="0" fontId="0" fillId="0" borderId="0" applyAlignment="1" pivotButton="0" quotePrefix="0" xfId="26">
      <alignment horizontal="general" vertical="bottom"/>
    </xf>
    <xf numFmtId="0" fontId="0" fillId="0" borderId="29" applyAlignment="1" pivotButton="0" quotePrefix="0" xfId="26">
      <alignment horizontal="general" vertical="bottom"/>
    </xf>
    <xf numFmtId="0" fontId="4" fillId="0" borderId="30" applyAlignment="1" pivotButton="0" quotePrefix="0" xfId="24">
      <alignment horizontal="general" vertical="bottom"/>
    </xf>
    <xf numFmtId="0" fontId="0" fillId="0" borderId="13" applyAlignment="1" pivotButton="0" quotePrefix="0" xfId="26">
      <alignment horizontal="general" vertical="bottom"/>
    </xf>
    <xf numFmtId="0" fontId="0" fillId="0" borderId="22" applyAlignment="1" pivotButton="0" quotePrefix="0" xfId="26">
      <alignment horizontal="general" vertical="bottom"/>
    </xf>
    <xf numFmtId="0" fontId="0" fillId="0" borderId="14" applyAlignment="1" pivotButton="0" quotePrefix="0" xfId="26">
      <alignment horizontal="general" vertical="bottom"/>
    </xf>
    <xf numFmtId="0" fontId="4" fillId="0" borderId="31" applyAlignment="1" pivotButton="0" quotePrefix="0" xfId="24">
      <alignment horizontal="general" vertical="bottom"/>
    </xf>
    <xf numFmtId="0" fontId="4" fillId="0" borderId="32" applyAlignment="1" pivotButton="0" quotePrefix="0" xfId="24">
      <alignment horizontal="general" vertical="bottom"/>
    </xf>
    <xf numFmtId="0" fontId="4" fillId="0" borderId="33" applyAlignment="1" pivotButton="0" quotePrefix="0" xfId="24">
      <alignment horizontal="general" vertical="bottom"/>
    </xf>
    <xf numFmtId="0" fontId="4" fillId="0" borderId="34" applyAlignment="1" pivotButton="0" quotePrefix="0" xfId="24">
      <alignment horizontal="general" vertical="bottom"/>
    </xf>
    <xf numFmtId="0" fontId="14" fillId="13" borderId="1" applyAlignment="1" pivotButton="0" quotePrefix="0" xfId="0">
      <alignment horizontal="right" vertical="bottom"/>
    </xf>
    <xf numFmtId="0" fontId="0" fillId="14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15" borderId="1" applyAlignment="1" pivotButton="0" quotePrefix="0" xfId="0">
      <alignment horizontal="center" vertical="bottom"/>
    </xf>
    <xf numFmtId="10" fontId="0" fillId="15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right" vertical="bottom"/>
    </xf>
    <xf numFmtId="0" fontId="6" fillId="3" borderId="1" applyAlignment="1" pivotButton="0" quotePrefix="0" xfId="0">
      <alignment horizontal="left" vertical="bottom"/>
    </xf>
    <xf numFmtId="0" fontId="0" fillId="0" borderId="40" pivotButton="0" quotePrefix="0" xfId="0"/>
    <xf numFmtId="0" fontId="0" fillId="0" borderId="20" pivotButton="0" quotePrefix="0" xfId="0"/>
    <xf numFmtId="2" fontId="0" fillId="0" borderId="19" applyAlignment="1" pivotButton="0" quotePrefix="0" xfId="0">
      <alignment horizontal="center" vertical="bottom"/>
    </xf>
    <xf numFmtId="164" fontId="0" fillId="0" borderId="20" applyAlignment="1" pivotButton="0" quotePrefix="0" xfId="0">
      <alignment horizontal="center" vertical="bottom"/>
    </xf>
    <xf numFmtId="0" fontId="0" fillId="0" borderId="13" applyAlignment="1" pivotButton="0" quotePrefix="0" xfId="21">
      <alignment horizontal="left" vertical="bottom"/>
    </xf>
    <xf numFmtId="0" fontId="0" fillId="0" borderId="22" applyAlignment="1" pivotButton="0" quotePrefix="0" xfId="21">
      <alignment horizontal="left" vertical="bottom"/>
    </xf>
    <xf numFmtId="0" fontId="0" fillId="0" borderId="23" applyAlignment="1" pivotButton="0" quotePrefix="0" xfId="21">
      <alignment horizontal="left" vertical="bottom"/>
    </xf>
    <xf numFmtId="0" fontId="0" fillId="0" borderId="28" applyAlignment="1" pivotButton="0" quotePrefix="0" xfId="21">
      <alignment horizontal="left" vertical="bottom"/>
    </xf>
    <xf numFmtId="0" fontId="4" fillId="6" borderId="13" applyAlignment="1" pivotButton="0" quotePrefix="0" xfId="0">
      <alignment horizontal="right" vertical="bottom"/>
    </xf>
    <xf numFmtId="0" fontId="0" fillId="0" borderId="10" applyAlignment="1" pivotButton="0" quotePrefix="0" xfId="0">
      <alignment horizontal="center" vertical="bottom"/>
    </xf>
    <xf numFmtId="2" fontId="0" fillId="0" borderId="13" applyAlignment="1" pivotButton="0" quotePrefix="0" xfId="0">
      <alignment horizontal="center" vertical="bottom"/>
    </xf>
    <xf numFmtId="2" fontId="0" fillId="0" borderId="22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4" fillId="0" borderId="35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38" pivotButton="0" quotePrefix="0" xfId="0"/>
    <xf numFmtId="0" fontId="4" fillId="6" borderId="18" applyAlignment="1" pivotButton="0" quotePrefix="0" xfId="0">
      <alignment horizontal="right" vertical="bottom"/>
    </xf>
    <xf numFmtId="0" fontId="4" fillId="0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4" fillId="17" borderId="1" applyAlignment="1" pivotButton="0" quotePrefix="0" xfId="0">
      <alignment horizontal="right" vertical="bottom"/>
    </xf>
    <xf numFmtId="0" fontId="0" fillId="0" borderId="21" applyAlignment="1" pivotButton="0" quotePrefix="0" xfId="0">
      <alignment horizontal="general" vertical="bottom"/>
    </xf>
    <xf numFmtId="2" fontId="0" fillId="0" borderId="20" applyAlignment="1" pivotButton="0" quotePrefix="0" xfId="0">
      <alignment horizontal="center" vertical="bottom"/>
    </xf>
    <xf numFmtId="0" fontId="0" fillId="9" borderId="1" applyAlignment="1" pivotButton="0" quotePrefix="0" xfId="0">
      <alignment horizontal="center" vertical="bottom"/>
    </xf>
    <xf numFmtId="2" fontId="0" fillId="10" borderId="1" applyAlignment="1" pivotButton="0" quotePrefix="0" xfId="0">
      <alignment horizontal="center" vertical="bottom"/>
    </xf>
    <xf numFmtId="2" fontId="0" fillId="14" borderId="1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0" fillId="0" borderId="10" applyAlignment="1" pivotButton="0" quotePrefix="0" xfId="0">
      <alignment horizontal="right" vertical="bottom"/>
    </xf>
    <xf numFmtId="0" fontId="0" fillId="0" borderId="1" applyAlignment="1" pivotButton="0" quotePrefix="0" xfId="0">
      <alignment horizontal="right" vertical="bottom"/>
    </xf>
    <xf numFmtId="0" fontId="17" fillId="0" borderId="0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center" vertical="bottom"/>
    </xf>
    <xf numFmtId="0" fontId="7" fillId="16" borderId="0" applyAlignment="1" pivotButton="0" quotePrefix="0" xfId="0">
      <alignment horizontal="general" vertical="bottom"/>
    </xf>
    <xf numFmtId="0" fontId="4" fillId="5" borderId="3" applyAlignment="1" pivotButton="0" quotePrefix="0" xfId="0">
      <alignment horizontal="general" vertical="bottom"/>
    </xf>
    <xf numFmtId="0" fontId="4" fillId="5" borderId="36" applyAlignment="1" pivotButton="0" quotePrefix="0" xfId="0">
      <alignment horizontal="center" vertical="bottom"/>
    </xf>
    <xf numFmtId="0" fontId="4" fillId="5" borderId="20" applyAlignment="1" pivotButton="0" quotePrefix="0" xfId="0">
      <alignment horizontal="center" vertical="bottom"/>
    </xf>
    <xf numFmtId="0" fontId="0" fillId="9" borderId="10" applyAlignment="1" pivotButton="0" quotePrefix="0" xfId="0">
      <alignment horizontal="center" vertical="bottom"/>
    </xf>
    <xf numFmtId="0" fontId="0" fillId="3" borderId="10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9" fillId="16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18" borderId="10" applyAlignment="1" pivotButton="0" quotePrefix="0" xfId="0">
      <alignment horizontal="right" vertical="bottom"/>
    </xf>
    <xf numFmtId="0" fontId="4" fillId="19" borderId="10" applyAlignment="1" pivotButton="0" quotePrefix="0" xfId="0">
      <alignment horizontal="center" vertical="center"/>
    </xf>
    <xf numFmtId="0" fontId="4" fillId="14" borderId="10" applyAlignment="1" pivotButton="0" quotePrefix="0" xfId="0">
      <alignment horizontal="center" vertical="center"/>
    </xf>
    <xf numFmtId="0" fontId="0" fillId="20" borderId="10" applyAlignment="1" pivotButton="0" quotePrefix="0" xfId="0">
      <alignment horizontal="general" vertical="bottom"/>
    </xf>
    <xf numFmtId="0" fontId="4" fillId="8" borderId="10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</cellXfs>
  <cellStyles count="13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Pivot Table Category" xfId="7"/>
    <cellStyle name="Pivot Table Corner" xfId="8"/>
    <cellStyle name="Pivot Table Field" xfId="9"/>
    <cellStyle name="Pivot Table Result" xfId="10"/>
    <cellStyle name="Pivot Table Title" xfId="11"/>
    <cellStyle name="Pivot Table Value" xfId="1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/>
    <dxf/>
    <dxf/>
    <dxf/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fill>
        <patternFill>
          <bgColor theme="7" tint="0.7999000000000001"/>
        </patternFill>
      </fill>
    </dxf>
    <dxf>
      <font>
        <b val="1"/>
      </font>
    </dxf>
    <dxf/>
    <dxf/>
    <dxf/>
    <dxf/>
    <dxf/>
    <dxf/>
    <dxf/>
    <dxf/>
    <dxf/>
    <dxf/>
    <dxf/>
    <dxf/>
    <dxf>
      <fill>
        <patternFill>
          <bgColor theme="4" tint="0.7999000000000001"/>
        </patternFill>
      </fill>
    </dxf>
    <dxf>
      <fill>
        <patternFill>
          <bgColor theme="4" tint="0.7999000000000001"/>
        </patternFill>
      </fill>
    </dxf>
    <dxf>
      <fill>
        <patternFill>
          <bgColor theme="4" tint="0.7999000000000001"/>
        </patternFill>
      </fill>
    </dxf>
    <dxf>
      <fill>
        <patternFill>
          <bgColor theme="4" tint="0.7999000000000001"/>
        </patternFill>
      </fill>
    </dxf>
    <dxf>
      <fill>
        <patternFill>
          <bgColor theme="4" tint="0.7999000000000001"/>
        </patternFill>
      </fill>
    </dxf>
    <dxf>
      <fill>
        <patternFill>
          <bgColor theme="4" tint="0.7999000000000001"/>
        </patternFill>
      </fill>
    </dxf>
    <dxf>
      <fill>
        <patternFill>
          <bgColor theme="4" tint="0.7999000000000001"/>
        </patternFill>
      </fill>
    </dxf>
    <dxf>
      <fill>
        <patternFill>
          <bgColor theme="4" tint="0.7999000000000001"/>
        </patternFill>
      </fill>
    </dxf>
    <dxf>
      <fill>
        <patternFill>
          <bgColor theme="4" tint="0.7999000000000001"/>
        </patternFill>
      </fill>
    </dxf>
    <dxf>
      <border>
        <left style="thin"/>
        <right style="thin"/>
        <top style="thin"/>
        <bottom style="thin"/>
        <diagonal/>
      </border>
    </dxf>
    <dxf/>
    <dxf/>
    <dxf/>
    <dxf/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fill>
        <patternFill>
          <bgColor theme="7" tint="0.7999000000000001"/>
        </patternFill>
      </fill>
    </dxf>
    <dxf>
      <font>
        <b val="1"/>
      </font>
    </dxf>
    <dxf/>
    <dxf/>
    <dxf/>
    <dxf/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border>
        <left style="thin"/>
        <right style="thin"/>
        <top style="thin"/>
        <bottom style="thin"/>
        <diagonal/>
      </border>
    </dxf>
    <dxf>
      <fill>
        <patternFill>
          <bgColor theme="7" tint="0.7999000000000001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D9D9D9"/>
      <rgbColor rgb="FFFF00FF"/>
      <rgbColor rgb="FFC1E5F5"/>
      <rgbColor rgb="FF9C0006"/>
      <rgbColor rgb="FF196B24"/>
      <rgbColor rgb="FF000118"/>
      <rgbColor rgb="FF808000"/>
      <rgbColor rgb="FF800080"/>
      <rgbColor rgb="FF156082"/>
      <rgbColor rgb="FFBFBFBF"/>
      <rgbColor rgb="FF7F7F7F"/>
      <rgbColor rgb="FF83CAEB"/>
      <rgbColor rgb="FFA02B93"/>
      <rgbColor rgb="FFF2F2F2"/>
      <rgbColor rgb="FFCAEEFB"/>
      <rgbColor rgb="FF660066"/>
      <rgbColor rgb="FFFF5050"/>
      <rgbColor rgb="FF0066CC"/>
      <rgbColor rgb="FFD8D8D8"/>
      <rgbColor rgb="FF000080"/>
      <rgbColor rgb="FFFF00FF"/>
      <rgbColor rgb="FFDBE9F7"/>
      <rgbColor rgb="FFC1E4F5"/>
      <rgbColor rgb="FF800080"/>
      <rgbColor rgb="FF800000"/>
      <rgbColor rgb="FF467886"/>
      <rgbColor rgb="FF0000FF"/>
      <rgbColor rgb="FF95DCF7"/>
      <rgbColor rgb="FFCAEDFB"/>
      <rgbColor rgb="FFD9F2D0"/>
      <rgbColor rgb="FFFAE2D5"/>
      <rgbColor rgb="FFA6C9EB"/>
      <rgbColor rgb="FFFFC7CE"/>
      <rgbColor rgb="FFB7B7B7"/>
      <rgbColor rgb="FFF6C6AC"/>
      <rgbColor rgb="FF3366FF"/>
      <rgbColor rgb="FF45B0E1"/>
      <rgbColor rgb="FFB3E5A1"/>
      <rgbColor rgb="FFB4E5A2"/>
      <rgbColor rgb="FFF1CEEE"/>
      <rgbColor rgb="FFE97132"/>
      <rgbColor rgb="FF757575"/>
      <rgbColor rgb="FF8B8B8B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1.xml" Id="rId12" /><Relationship Type="http://schemas.openxmlformats.org/officeDocument/2006/relationships/pivotCacheDefinition" Target="/xl/pivotCache/pivotCacheDefinition2.xml" Id="rId13" /><Relationship Type="http://schemas.openxmlformats.org/officeDocument/2006/relationships/pivotCacheDefinition" Target="/xl/pivotCache/pivotCacheDefinition3.xml" Id="rId14" /><Relationship Type="http://schemas.openxmlformats.org/officeDocument/2006/relationships/pivotCacheDefinition" Target="/xl/pivotCache/pivotCacheDefinition4.xml" Id="rId15" /><Relationship Type="http://schemas.openxmlformats.org/officeDocument/2006/relationships/pivotCacheDefinition" Target="/xl/pivotCache/pivotCacheDefinition5.xml" Id="rId16" /><Relationship Type="http://schemas.openxmlformats.org/officeDocument/2006/relationships/pivotCacheDefinition" Target="/xl/pivotCache/pivotCacheDefinition6.xml" Id="rId17" /><Relationship Type="http://schemas.openxmlformats.org/officeDocument/2006/relationships/pivotCacheDefinition" Target="/xl/pivotCache/pivotCacheDefinition7.xml" Id="rId18" /><Relationship Type="http://schemas.openxmlformats.org/officeDocument/2006/relationships/pivotCacheDefinition" Target="/xl/pivotCache/pivotCacheDefinition8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2078019504876"/>
          <y val="0.107559552746719"/>
          <w val="0.86046511627907"/>
          <h val="0.729824987846377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FALL2026!$I$29:$I$44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Will</v>
                </pt>
                <pt idx="4">
                  <v>Peter</v>
                </pt>
                <pt idx="5">
                  <v>Evan</v>
                </pt>
                <pt idx="6">
                  <v>Anthony</v>
                </pt>
                <pt idx="7">
                  <v>Carter</v>
                </pt>
                <pt idx="8">
                  <v>Vignesh</v>
                </pt>
                <pt idx="9">
                  <v>Ethan</v>
                </pt>
                <pt idx="10">
                  <v>Maxine</v>
                </pt>
                <pt idx="11">
                  <v>Grady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FALL2026!$J$29:$J$44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54949255"/>
        <axId val="11058907"/>
      </barChart>
      <catAx>
        <axId val="54949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1058907"/>
        <crosses val="autoZero"/>
        <auto val="1"/>
        <lblAlgn val="ctr"/>
        <lblOffset val="100"/>
        <noMultiLvlLbl val="0"/>
      </catAx>
      <valAx>
        <axId val="1105890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494925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612625824945"/>
          <y val="0.1173294059892"/>
          <w val="0.8678754749683349"/>
          <h val="0.7184585174275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FALL2026!$S$29:$S$44</f>
              <strCache>
                <ptCount val="16"/>
                <pt idx="0">
                  <v>Will</v>
                </pt>
                <pt idx="1">
                  <v>Peter</v>
                </pt>
                <pt idx="2">
                  <v>Mikey</v>
                </pt>
                <pt idx="3">
                  <v>Lucy</v>
                </pt>
                <pt idx="4">
                  <v>Rob</v>
                </pt>
                <pt idx="5">
                  <v>Evan</v>
                </pt>
                <pt idx="6">
                  <v>Anthony</v>
                </pt>
                <pt idx="7">
                  <v>Carter</v>
                </pt>
                <pt idx="8">
                  <v>Vignesh</v>
                </pt>
                <pt idx="9">
                  <v>Ethan</v>
                </pt>
                <pt idx="10">
                  <v>Maxine</v>
                </pt>
                <pt idx="11">
                  <v>Grady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FALL2026!$T$29:$T$44</f>
              <numCache>
                <formatCode>General</formatCode>
                <ptCount val="16"/>
                <pt idx="0">
                  <v>54</v>
                </pt>
                <pt idx="1">
                  <v>50</v>
                </pt>
                <pt idx="2">
                  <v>50</v>
                </pt>
                <pt idx="3">
                  <v>52</v>
                </pt>
                <pt idx="4">
                  <v>45</v>
                </pt>
                <pt idx="5">
                  <v>37</v>
                </pt>
                <pt idx="6">
                  <v>40</v>
                </pt>
                <pt idx="7">
                  <v>43</v>
                </pt>
                <pt idx="8">
                  <v>30</v>
                </pt>
                <pt idx="9">
                  <v>44</v>
                </pt>
                <pt idx="10">
                  <v>30</v>
                </pt>
                <pt idx="11">
                  <v>5</v>
                </pt>
                <pt idx="12">
                  <v>2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4324215"/>
        <axId val="69010289"/>
      </barChart>
      <catAx>
        <axId val="432421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9010289"/>
        <crosses val="autoZero"/>
        <auto val="1"/>
        <lblAlgn val="ctr"/>
        <lblOffset val="100"/>
        <noMultiLvlLbl val="0"/>
      </catAx>
      <valAx>
        <axId val="6901028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3242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5301223478396"/>
          <y val="0.136408853519025"/>
          <w val="0.8564348768778069"/>
          <h val="0.706913703058941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FALL2026!$I$47:$I$62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Anthony</v>
                </pt>
                <pt idx="4">
                  <v>Reuben</v>
                </pt>
                <pt idx="5">
                  <v>Evan</v>
                </pt>
                <pt idx="6">
                  <v>Will</v>
                </pt>
                <pt idx="7">
                  <v>Vignesh</v>
                </pt>
                <pt idx="8">
                  <v>Ethan</v>
                </pt>
                <pt idx="9">
                  <v>Carter</v>
                </pt>
                <pt idx="10">
                  <v>Peter</v>
                </pt>
                <pt idx="11">
                  <v>Cooper</v>
                </pt>
                <pt idx="12">
                  <v>Maxine</v>
                </pt>
                <pt idx="13">
                  <v>Grady</v>
                </pt>
                <pt idx="14">
                  <v>Erick</v>
                </pt>
                <pt idx="15">
                  <v>Joey</v>
                </pt>
              </strCache>
            </strRef>
          </cat>
          <val>
            <numRef>
              <f>FALL2026!$J$47:$J$62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99401595"/>
        <axId val="17657682"/>
      </barChart>
      <catAx>
        <axId val="9940159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7657682"/>
        <crosses val="autoZero"/>
        <auto val="1"/>
        <lblAlgn val="ctr"/>
        <lblOffset val="100"/>
        <noMultiLvlLbl val="0"/>
      </catAx>
      <valAx>
        <axId val="1765768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94015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5381611173628"/>
          <y val="0.115822631451418"/>
          <w val="0.868802541868008"/>
          <h val="0.709231887569663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FALL2026!$S$47:$S$62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Anthony</v>
                </pt>
                <pt idx="4">
                  <v>Reuben</v>
                </pt>
                <pt idx="5">
                  <v>Evan</v>
                </pt>
                <pt idx="6">
                  <v>Will</v>
                </pt>
                <pt idx="7">
                  <v>Ethan</v>
                </pt>
                <pt idx="8">
                  <v>Vignesh</v>
                </pt>
                <pt idx="9">
                  <v>Carter</v>
                </pt>
                <pt idx="10">
                  <v>Cooper</v>
                </pt>
                <pt idx="11">
                  <v>Peter</v>
                </pt>
                <pt idx="12">
                  <v>Grady</v>
                </pt>
                <pt idx="13">
                  <v>Maxine</v>
                </pt>
                <pt idx="14">
                  <v>Erick</v>
                </pt>
                <pt idx="15">
                  <v>Joey</v>
                </pt>
              </strCache>
            </strRef>
          </cat>
          <val>
            <numRef>
              <f>FALL2026!$T$47:$T$62</f>
              <numCache>
                <formatCode>General</formatCode>
                <ptCount val="16"/>
                <pt idx="0">
                  <v>66</v>
                </pt>
                <pt idx="1">
                  <v>62</v>
                </pt>
                <pt idx="2">
                  <v>49</v>
                </pt>
                <pt idx="3">
                  <v>49</v>
                </pt>
                <pt idx="4">
                  <v>47</v>
                </pt>
                <pt idx="5">
                  <v>35</v>
                </pt>
                <pt idx="6">
                  <v>34</v>
                </pt>
                <pt idx="7">
                  <v>20</v>
                </pt>
                <pt idx="8">
                  <v>21</v>
                </pt>
                <pt idx="9">
                  <v>19</v>
                </pt>
                <pt idx="10">
                  <v>16</v>
                </pt>
                <pt idx="11">
                  <v>13</v>
                </pt>
                <pt idx="12">
                  <v>6</v>
                </pt>
                <pt idx="13">
                  <v>8</v>
                </pt>
                <pt idx="14">
                  <v>2</v>
                </pt>
                <pt idx="15">
                  <v>0</v>
                </pt>
              </numCache>
            </numRef>
          </val>
        </ser>
        <gapWidth val="150"/>
        <overlap val="0"/>
        <axId val="61131564"/>
        <axId val="99243444"/>
      </barChart>
      <catAx>
        <axId val="6113156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9243444"/>
        <crosses val="autoZero"/>
        <auto val="1"/>
        <lblAlgn val="ctr"/>
        <lblOffset val="100"/>
        <noMultiLvlLbl val="0"/>
      </catAx>
      <valAx>
        <axId val="9924344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113156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60819165378671"/>
          <y val="0.182581840642372"/>
          <w val="0.773261205564142"/>
          <h val="0.635577516985794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FALL2026!$I$65:$I$80</f>
              <strCache>
                <ptCount val="16"/>
                <pt idx="0">
                  <v>Peter</v>
                </pt>
                <pt idx="1">
                  <v>Will</v>
                </pt>
                <pt idx="2">
                  <v>Carter</v>
                </pt>
                <pt idx="3">
                  <v>Vignesh</v>
                </pt>
                <pt idx="4">
                  <v>Ethan</v>
                </pt>
                <pt idx="5">
                  <v>Evan</v>
                </pt>
                <pt idx="6">
                  <v>Maxine</v>
                </pt>
                <pt idx="7">
                  <v>Lucy</v>
                </pt>
                <pt idx="8">
                  <v>Mikey</v>
                </pt>
                <pt idx="9">
                  <v>Rob</v>
                </pt>
                <pt idx="10">
                  <v>Grady</v>
                </pt>
                <pt idx="11">
                  <v>Anthony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FALL2026!$J$65:$J$80</f>
              <numCache>
                <formatCode>0.00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15076808"/>
        <axId val="94439250"/>
      </barChart>
      <catAx>
        <axId val="1507680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4439250"/>
        <crosses val="autoZero"/>
        <auto val="1"/>
        <lblAlgn val="ctr"/>
        <lblOffset val="100"/>
        <noMultiLvlLbl val="0"/>
      </catAx>
      <valAx>
        <axId val="9443925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507680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FALL2026!$S$65:$S$80</f>
              <strCache>
                <ptCount val="16"/>
                <pt idx="0">
                  <v>Peter</v>
                </pt>
                <pt idx="1">
                  <v>Maxine</v>
                </pt>
                <pt idx="2">
                  <v>Will</v>
                </pt>
                <pt idx="3">
                  <v>Carter</v>
                </pt>
                <pt idx="4">
                  <v>Vignesh</v>
                </pt>
                <pt idx="5">
                  <v>Ethan</v>
                </pt>
                <pt idx="6">
                  <v>Evan</v>
                </pt>
                <pt idx="7">
                  <v>Lucy</v>
                </pt>
                <pt idx="8">
                  <v>Grady</v>
                </pt>
                <pt idx="9">
                  <v>Mikey</v>
                </pt>
                <pt idx="10">
                  <v>Anthony</v>
                </pt>
                <pt idx="11">
                  <v>Rob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FALL2026!$T$65:$T$80</f>
              <numCache>
                <formatCode>0.00</formatCode>
                <ptCount val="16"/>
                <pt idx="0">
                  <v>3.84615384615385</v>
                </pt>
                <pt idx="1">
                  <v>3.75</v>
                </pt>
                <pt idx="2">
                  <v>1.58823529411765</v>
                </pt>
                <pt idx="3">
                  <v>2.26315789473684</v>
                </pt>
                <pt idx="4">
                  <v>1.42857142857143</v>
                </pt>
                <pt idx="5">
                  <v>2.2</v>
                </pt>
                <pt idx="6">
                  <v>1.05714285714286</v>
                </pt>
                <pt idx="7">
                  <v>1.06122448979592</v>
                </pt>
                <pt idx="8">
                  <v>0.833333333333333</v>
                </pt>
                <pt idx="9">
                  <v>0.757575757575758</v>
                </pt>
                <pt idx="10">
                  <v>0.816326530612245</v>
                </pt>
                <pt idx="11">
                  <v>0.725806451612903</v>
                </pt>
                <pt idx="12">
                  <v>0.125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90952460"/>
        <axId val="87704084"/>
      </barChart>
      <catAx>
        <axId val="9095246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7704084"/>
        <crosses val="autoZero"/>
        <auto val="1"/>
        <lblAlgn val="ctr"/>
        <lblOffset val="100"/>
        <noMultiLvlLbl val="0"/>
      </catAx>
      <valAx>
        <axId val="8770408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09524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FALL2026!$I$83:$I$86</f>
              <strCache>
                <ptCount val="4"/>
                <pt idx="0">
                  <v>Baris</v>
                </pt>
                <pt idx="1">
                  <v>Tenors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FALL2026!$J$83:$J$86</f>
              <numCache>
                <formatCode>0.00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gapWidth val="150"/>
        <overlap val="0"/>
        <axId val="38623134"/>
        <axId val="37638501"/>
      </barChart>
      <catAx>
        <axId val="38623134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7638501"/>
        <crosses val="autoZero"/>
        <auto val="1"/>
        <lblAlgn val="ctr"/>
        <lblOffset val="100"/>
        <noMultiLvlLbl val="0"/>
      </catAx>
      <valAx>
        <axId val="37638501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8623134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FALL2026!$S$83:$S$86</f>
              <strCache>
                <ptCount val="4"/>
                <pt idx="0">
                  <v>Baris</v>
                </pt>
                <pt idx="1">
                  <v>Tenors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FALL2026!$T$83:$T$86</f>
              <numCache>
                <formatCode>0.00</formatCode>
                <ptCount val="4"/>
                <pt idx="0">
                  <v>45.75</v>
                </pt>
                <pt idx="1">
                  <v>32.5</v>
                </pt>
                <pt idx="2">
                  <v>29.75</v>
                </pt>
                <pt idx="3">
                  <v>16.6666666666667</v>
                </pt>
              </numCache>
            </numRef>
          </val>
        </ser>
        <gapWidth val="150"/>
        <overlap val="0"/>
        <axId val="27722741"/>
        <axId val="30436429"/>
      </barChart>
      <catAx>
        <axId val="27722741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0436429"/>
        <crosses val="autoZero"/>
        <auto val="1"/>
        <lblAlgn val="ctr"/>
        <lblOffset val="100"/>
        <noMultiLvlLbl val="0"/>
      </catAx>
      <valAx>
        <axId val="3043642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7722741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FALL2026!$I$94:$I$97</f>
              <strCache>
                <ptCount val="4"/>
                <pt idx="0">
                  <v>Baris</v>
                </pt>
                <pt idx="1">
                  <v>Leads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FALL2026!$J$94:$J$97</f>
              <numCache>
                <formatCode>0.00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gapWidth val="150"/>
        <overlap val="0"/>
        <axId val="70300410"/>
        <axId val="63335790"/>
      </barChart>
      <catAx>
        <axId val="70300410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3335790"/>
        <crosses val="autoZero"/>
        <auto val="1"/>
        <lblAlgn val="ctr"/>
        <lblOffset val="100"/>
        <noMultiLvlLbl val="0"/>
      </catAx>
      <valAx>
        <axId val="6333579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030041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FALL2026!$S$94:$S$97</f>
              <strCache>
                <ptCount val="4"/>
                <pt idx="0">
                  <v>Baris</v>
                </pt>
                <pt idx="1">
                  <v>Leads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FALL2026!$T$94:$T$97</f>
              <numCache>
                <formatCode>0.00</formatCode>
                <ptCount val="4"/>
                <pt idx="0">
                  <v>41.25</v>
                </pt>
                <pt idx="1">
                  <v>31.25</v>
                </pt>
                <pt idx="2">
                  <v>20</v>
                </pt>
                <pt idx="3">
                  <v>23.75</v>
                </pt>
              </numCache>
            </numRef>
          </val>
        </ser>
        <gapWidth val="150"/>
        <overlap val="0"/>
        <axId val="16228439"/>
        <axId val="42590889"/>
      </barChart>
      <catAx>
        <axId val="16228439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2590889"/>
        <crosses val="autoZero"/>
        <auto val="1"/>
        <lblAlgn val="ctr"/>
        <lblOffset val="100"/>
        <noMultiLvlLbl val="0"/>
      </catAx>
      <valAx>
        <axId val="4259088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6228439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FALL2026!$I$105:$I$108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FALL2026!$J$105:$J$108</f>
              <numCache>
                <formatCode>0.00</formatCode>
                <ptCount val="4"/>
                <pt idx="0">
                  <v>1.6</v>
                </pt>
                <pt idx="1">
                  <v>1.125</v>
                </pt>
                <pt idx="2">
                  <v>0.9411764705882349</v>
                </pt>
                <pt idx="3">
                  <v>0.555555555555556</v>
                </pt>
              </numCache>
            </numRef>
          </val>
        </ser>
        <gapWidth val="150"/>
        <overlap val="0"/>
        <axId val="72065098"/>
        <axId val="9792598"/>
      </barChart>
      <catAx>
        <axId val="72065098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792598"/>
        <crosses val="autoZero"/>
        <auto val="1"/>
        <lblAlgn val="ctr"/>
        <lblOffset val="100"/>
        <noMultiLvlLbl val="0"/>
      </catAx>
      <valAx>
        <axId val="979259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2065098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FALL2026!$S$105:$S$108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FALL2026!$T$105:$T$108</f>
              <numCache>
                <formatCode>0.00</formatCode>
                <ptCount val="4"/>
                <pt idx="0">
                  <v>1.36842105263158</v>
                </pt>
                <pt idx="1">
                  <v>1.10909090909091</v>
                </pt>
                <pt idx="2">
                  <v>0.952</v>
                </pt>
                <pt idx="3">
                  <v>0.833333333333333</v>
                </pt>
              </numCache>
            </numRef>
          </val>
        </ser>
        <gapWidth val="150"/>
        <overlap val="0"/>
        <axId val="89334285"/>
        <axId val="85528162"/>
      </barChart>
      <catAx>
        <axId val="89334285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5528162"/>
        <crosses val="autoZero"/>
        <auto val="1"/>
        <lblAlgn val="ctr"/>
        <lblOffset val="100"/>
        <noMultiLvlLbl val="0"/>
      </catAx>
      <valAx>
        <axId val="8552816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9334285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5096055473457"/>
          <y val="0.104727346033666"/>
          <w val="0.86194157099011"/>
          <h val="0.75536740247958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FALL2026!$AP$36:$AP$51</f>
              <strCache>
                <ptCount val="16"/>
                <pt idx="0">
                  <v>Peter</v>
                </pt>
                <pt idx="1">
                  <v>Will</v>
                </pt>
                <pt idx="2">
                  <v>Carter</v>
                </pt>
                <pt idx="3">
                  <v>Evan</v>
                </pt>
                <pt idx="4">
                  <v>Vignesh</v>
                </pt>
                <pt idx="5">
                  <v>Ethan</v>
                </pt>
                <pt idx="6">
                  <v>Maxine</v>
                </pt>
                <pt idx="7">
                  <v>Lucy</v>
                </pt>
                <pt idx="8">
                  <v>Mikey</v>
                </pt>
                <pt idx="9">
                  <v>Rob</v>
                </pt>
                <pt idx="10">
                  <v>Anthony</v>
                </pt>
                <pt idx="11">
                  <v>Grady</v>
                </pt>
                <pt idx="12">
                  <v>Joey</v>
                </pt>
                <pt idx="13">
                  <v>Erick</v>
                </pt>
                <pt idx="14">
                  <v>Cooper</v>
                </pt>
                <pt idx="15">
                  <v>Reuben</v>
                </pt>
              </strCache>
            </strRef>
          </cat>
          <val>
            <numRef>
              <f>FALL2026!$AR$36:$AR$51</f>
              <numCache>
                <formatCode>0.00</formatCode>
                <ptCount val="16"/>
                <pt idx="0">
                  <v>1293.10622710623</v>
                </pt>
                <pt idx="1">
                  <v>987.400687547746</v>
                </pt>
                <pt idx="2">
                  <v>1024.0313283208</v>
                </pt>
                <pt idx="3">
                  <v>874.214285714286</v>
                </pt>
                <pt idx="4">
                  <v>1184</v>
                </pt>
                <pt idx="5">
                  <v>979.896825396825</v>
                </pt>
                <pt idx="6">
                  <v>1023.20238095238</v>
                </pt>
                <pt idx="7">
                  <v>783.8718820861679</v>
                </pt>
                <pt idx="8">
                  <v>677.058441558442</v>
                </pt>
                <pt idx="9">
                  <v>643.097542242704</v>
                </pt>
                <pt idx="10">
                  <v>737.693877551021</v>
                </pt>
                <pt idx="11">
                  <v>556.119047619048</v>
                </pt>
                <pt idx="12">
                  <v>481.785714285714</v>
                </pt>
                <pt idx="13">
                  <v>468.785714285714</v>
                </pt>
                <pt idx="14">
                  <v>88.57738095238101</v>
                </pt>
                <pt idx="15">
                  <v>0</v>
                </pt>
              </numCache>
            </numRef>
          </val>
        </ser>
        <gapWidth val="150"/>
        <overlap val="0"/>
        <axId val="95063642"/>
        <axId val="85011411"/>
      </barChart>
      <catAx>
        <axId val="9506364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5011411"/>
        <crosses val="autoZero"/>
        <auto val="1"/>
        <lblAlgn val="ctr"/>
        <lblOffset val="100"/>
        <noMultiLvlLbl val="0"/>
      </catAx>
      <valAx>
        <axId val="85011411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506364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3071937367644"/>
          <y val="0.123438893844781"/>
          <w val="0.8613874093563501"/>
          <h val="0.773416592328278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FALL2026!$AP$66:$AP$70</f>
              <strCache>
                <ptCount val="5"/>
                <pt idx="0">
                  <v>Basses (No Reuben)</v>
                </pt>
                <pt idx="1">
                  <v>Tenors</v>
                </pt>
                <pt idx="2">
                  <v>Baris</v>
                </pt>
                <pt idx="3">
                  <v>Leads</v>
                </pt>
                <pt idx="4">
                  <v>Basses</v>
                </pt>
              </strCache>
            </strRef>
          </cat>
          <val>
            <numRef>
              <f>FALL2026!$AR$66:$AR$70</f>
              <numCache>
                <formatCode>0.00</formatCode>
                <ptCount val="5"/>
                <pt idx="0">
                  <v>304.098290598291</v>
                </pt>
                <pt idx="1">
                  <v>76.02997076023389</v>
                </pt>
                <pt idx="2">
                  <v>81.72727272727271</v>
                </pt>
                <pt idx="3">
                  <v>-4.28496732026147</v>
                </pt>
                <pt idx="4">
                  <v>0</v>
                </pt>
              </numCache>
            </numRef>
          </val>
        </ser>
        <gapWidth val="150"/>
        <overlap val="0"/>
        <axId val="63860019"/>
        <axId val="5790199"/>
      </barChart>
      <catAx>
        <axId val="63860019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790199"/>
        <crosses val="autoZero"/>
        <auto val="1"/>
        <lblAlgn val="ctr"/>
        <lblOffset val="100"/>
        <noMultiLvlLbl val="0"/>
      </catAx>
      <valAx>
        <axId val="5790199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38600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2078019504876"/>
          <y val="0.107559552746719"/>
          <w val="0.86046511627907"/>
          <h val="0.729824987846377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SPRING2026POST!$I$29:$I$44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Will</v>
                </pt>
                <pt idx="4">
                  <v>Peter</v>
                </pt>
                <pt idx="5">
                  <v>Evan</v>
                </pt>
                <pt idx="6">
                  <v>Anthony</v>
                </pt>
                <pt idx="7">
                  <v>Carter</v>
                </pt>
                <pt idx="8">
                  <v>Vignesh</v>
                </pt>
                <pt idx="9">
                  <v>Ethan</v>
                </pt>
                <pt idx="10">
                  <v>Maxine</v>
                </pt>
                <pt idx="11">
                  <v>Grady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SPRING2026POST!$J$29:$J$44</f>
              <numCache>
                <formatCode>General</formatCode>
                <ptCount val="16"/>
                <pt idx="0">
                  <v>8</v>
                </pt>
                <pt idx="1">
                  <v>4</v>
                </pt>
                <pt idx="2">
                  <v>9</v>
                </pt>
                <pt idx="3">
                  <v>10</v>
                </pt>
                <pt idx="4">
                  <v>5</v>
                </pt>
                <pt idx="5">
                  <v>3</v>
                </pt>
                <pt idx="6">
                  <v>4</v>
                </pt>
                <pt idx="7">
                  <v>6</v>
                </pt>
                <pt idx="8">
                  <v>1</v>
                </pt>
                <pt idx="9">
                  <v>9</v>
                </pt>
                <pt idx="10">
                  <v>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49804221"/>
        <axId val="5520470"/>
      </barChart>
      <catAx>
        <axId val="498042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520470"/>
        <crosses val="autoZero"/>
        <auto val="1"/>
        <lblAlgn val="ctr"/>
        <lblOffset val="100"/>
        <noMultiLvlLbl val="0"/>
      </catAx>
      <valAx>
        <axId val="552047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980422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612625824945"/>
          <y val="0.1173294059892"/>
          <w val="0.8678754749683349"/>
          <h val="0.7184585174275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SPRING2026POST!$S$29:$S$44</f>
              <strCache>
                <ptCount val="16"/>
                <pt idx="0">
                  <v>Will</v>
                </pt>
                <pt idx="1">
                  <v>Peter</v>
                </pt>
                <pt idx="2">
                  <v>Mikey</v>
                </pt>
                <pt idx="3">
                  <v>Lucy</v>
                </pt>
                <pt idx="4">
                  <v>Rob</v>
                </pt>
                <pt idx="5">
                  <v>Evan</v>
                </pt>
                <pt idx="6">
                  <v>Anthony</v>
                </pt>
                <pt idx="7">
                  <v>Carter</v>
                </pt>
                <pt idx="8">
                  <v>Vignesh</v>
                </pt>
                <pt idx="9">
                  <v>Ethan</v>
                </pt>
                <pt idx="10">
                  <v>Maxine</v>
                </pt>
                <pt idx="11">
                  <v>Grady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SPRING2026POST!$T$29:$T$44</f>
              <numCache>
                <formatCode>General</formatCode>
                <ptCount val="16"/>
                <pt idx="0">
                  <v>54</v>
                </pt>
                <pt idx="1">
                  <v>50</v>
                </pt>
                <pt idx="2">
                  <v>50</v>
                </pt>
                <pt idx="3">
                  <v>52</v>
                </pt>
                <pt idx="4">
                  <v>45</v>
                </pt>
                <pt idx="5">
                  <v>37</v>
                </pt>
                <pt idx="6">
                  <v>40</v>
                </pt>
                <pt idx="7">
                  <v>43</v>
                </pt>
                <pt idx="8">
                  <v>30</v>
                </pt>
                <pt idx="9">
                  <v>44</v>
                </pt>
                <pt idx="10">
                  <v>30</v>
                </pt>
                <pt idx="11">
                  <v>5</v>
                </pt>
                <pt idx="12">
                  <v>2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81641911"/>
        <axId val="97221700"/>
      </barChart>
      <catAx>
        <axId val="8164191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7221700"/>
        <crosses val="autoZero"/>
        <auto val="1"/>
        <lblAlgn val="ctr"/>
        <lblOffset val="100"/>
        <noMultiLvlLbl val="0"/>
      </catAx>
      <valAx>
        <axId val="9722170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16419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5301223478396"/>
          <y val="0.136408853519025"/>
          <w val="0.8564348768778069"/>
          <h val="0.706913703058941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SPRING2026POST!$I$47:$I$62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Anthony</v>
                </pt>
                <pt idx="4">
                  <v>Reuben</v>
                </pt>
                <pt idx="5">
                  <v>Evan</v>
                </pt>
                <pt idx="6">
                  <v>Will</v>
                </pt>
                <pt idx="7">
                  <v>Vignesh</v>
                </pt>
                <pt idx="8">
                  <v>Ethan</v>
                </pt>
                <pt idx="9">
                  <v>Carter</v>
                </pt>
                <pt idx="10">
                  <v>Peter</v>
                </pt>
                <pt idx="11">
                  <v>Cooper</v>
                </pt>
                <pt idx="12">
                  <v>Maxine</v>
                </pt>
                <pt idx="13">
                  <v>Grady</v>
                </pt>
                <pt idx="14">
                  <v>Erick</v>
                </pt>
                <pt idx="15">
                  <v>Joey</v>
                </pt>
              </strCache>
            </strRef>
          </cat>
          <val>
            <numRef>
              <f>SPRING2026POST!$J$47:$J$62</f>
              <numCache>
                <formatCode>General</formatCode>
                <ptCount val="16"/>
                <pt idx="0">
                  <v>8</v>
                </pt>
                <pt idx="1">
                  <v>5</v>
                </pt>
                <pt idx="2">
                  <v>5</v>
                </pt>
                <pt idx="3">
                  <v>6</v>
                </pt>
                <pt idx="4">
                  <v>7</v>
                </pt>
                <pt idx="5">
                  <v>6</v>
                </pt>
                <pt idx="6">
                  <v>11</v>
                </pt>
                <pt idx="7">
                  <v>2</v>
                </pt>
                <pt idx="8">
                  <v>2</v>
                </pt>
                <pt idx="9">
                  <v>3</v>
                </pt>
                <pt idx="10">
                  <v>2</v>
                </pt>
                <pt idx="11">
                  <v>1</v>
                </pt>
                <pt idx="12">
                  <v>2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82206977"/>
        <axId val="31243830"/>
      </barChart>
      <catAx>
        <axId val="8220697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1243830"/>
        <crosses val="autoZero"/>
        <auto val="1"/>
        <lblAlgn val="ctr"/>
        <lblOffset val="100"/>
        <noMultiLvlLbl val="0"/>
      </catAx>
      <valAx>
        <axId val="3124383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220697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5381611173628"/>
          <y val="0.115822631451418"/>
          <w val="0.868802541868008"/>
          <h val="0.709231887569663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SPRING2026POST!$S$47:$S$62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Anthony</v>
                </pt>
                <pt idx="4">
                  <v>Reuben</v>
                </pt>
                <pt idx="5">
                  <v>Evan</v>
                </pt>
                <pt idx="6">
                  <v>Will</v>
                </pt>
                <pt idx="7">
                  <v>Ethan</v>
                </pt>
                <pt idx="8">
                  <v>Vignesh</v>
                </pt>
                <pt idx="9">
                  <v>Carter</v>
                </pt>
                <pt idx="10">
                  <v>Cooper</v>
                </pt>
                <pt idx="11">
                  <v>Peter</v>
                </pt>
                <pt idx="12">
                  <v>Grady</v>
                </pt>
                <pt idx="13">
                  <v>Maxine</v>
                </pt>
                <pt idx="14">
                  <v>Erick</v>
                </pt>
                <pt idx="15">
                  <v>Joey</v>
                </pt>
              </strCache>
            </strRef>
          </cat>
          <val>
            <numRef>
              <f>SPRING2026POST!$T$47:$T$62</f>
              <numCache>
                <formatCode>General</formatCode>
                <ptCount val="16"/>
                <pt idx="0">
                  <v>66</v>
                </pt>
                <pt idx="1">
                  <v>62</v>
                </pt>
                <pt idx="2">
                  <v>49</v>
                </pt>
                <pt idx="3">
                  <v>49</v>
                </pt>
                <pt idx="4">
                  <v>47</v>
                </pt>
                <pt idx="5">
                  <v>35</v>
                </pt>
                <pt idx="6">
                  <v>34</v>
                </pt>
                <pt idx="7">
                  <v>20</v>
                </pt>
                <pt idx="8">
                  <v>21</v>
                </pt>
                <pt idx="9">
                  <v>19</v>
                </pt>
                <pt idx="10">
                  <v>16</v>
                </pt>
                <pt idx="11">
                  <v>13</v>
                </pt>
                <pt idx="12">
                  <v>6</v>
                </pt>
                <pt idx="13">
                  <v>8</v>
                </pt>
                <pt idx="14">
                  <v>2</v>
                </pt>
                <pt idx="15">
                  <v>0</v>
                </pt>
              </numCache>
            </numRef>
          </val>
        </ser>
        <gapWidth val="150"/>
        <overlap val="0"/>
        <axId val="27649287"/>
        <axId val="6140523"/>
      </barChart>
      <catAx>
        <axId val="2764928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140523"/>
        <crosses val="autoZero"/>
        <auto val="1"/>
        <lblAlgn val="ctr"/>
        <lblOffset val="100"/>
        <noMultiLvlLbl val="0"/>
      </catAx>
      <valAx>
        <axId val="6140523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764928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60819165378671"/>
          <y val="0.182581840642372"/>
          <w val="0.773261205564142"/>
          <h val="0.635577516985794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SPRING2026POST!$I$65:$I$80</f>
              <strCache>
                <ptCount val="16"/>
                <pt idx="0">
                  <v>Peter</v>
                </pt>
                <pt idx="1">
                  <v>Will</v>
                </pt>
                <pt idx="2">
                  <v>Carter</v>
                </pt>
                <pt idx="3">
                  <v>Vignesh</v>
                </pt>
                <pt idx="4">
                  <v>Ethan</v>
                </pt>
                <pt idx="5">
                  <v>Evan</v>
                </pt>
                <pt idx="6">
                  <v>Maxine</v>
                </pt>
                <pt idx="7">
                  <v>Lucy</v>
                </pt>
                <pt idx="8">
                  <v>Mikey</v>
                </pt>
                <pt idx="9">
                  <v>Rob</v>
                </pt>
                <pt idx="10">
                  <v>Grady</v>
                </pt>
                <pt idx="11">
                  <v>Anthony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SPRING2026POST!$J$65:$J$80</f>
              <numCache>
                <formatCode>0.00</formatCode>
                <ptCount val="16"/>
                <pt idx="0">
                  <v>2.5</v>
                </pt>
                <pt idx="1">
                  <v>0.9090909090909089</v>
                </pt>
                <pt idx="2">
                  <v>2</v>
                </pt>
                <pt idx="3">
                  <v>0.5</v>
                </pt>
                <pt idx="4">
                  <v>4.5</v>
                </pt>
                <pt idx="5">
                  <v>0.5</v>
                </pt>
                <pt idx="6">
                  <v>2.5</v>
                </pt>
                <pt idx="7">
                  <v>1.8</v>
                </pt>
                <pt idx="8">
                  <v>1</v>
                </pt>
                <pt idx="9">
                  <v>0.8</v>
                </pt>
                <pt idx="10">
                  <v>0</v>
                </pt>
                <pt idx="11">
                  <v>0.666666666666667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23831506"/>
        <axId val="16343722"/>
      </barChart>
      <catAx>
        <axId val="2383150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6343722"/>
        <crosses val="autoZero"/>
        <auto val="1"/>
        <lblAlgn val="ctr"/>
        <lblOffset val="100"/>
        <noMultiLvlLbl val="0"/>
      </catAx>
      <valAx>
        <axId val="1634372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3831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SPRING2026POST!$S$65:$S$80</f>
              <strCache>
                <ptCount val="16"/>
                <pt idx="0">
                  <v>Peter</v>
                </pt>
                <pt idx="1">
                  <v>Maxine</v>
                </pt>
                <pt idx="2">
                  <v>Will</v>
                </pt>
                <pt idx="3">
                  <v>Carter</v>
                </pt>
                <pt idx="4">
                  <v>Vignesh</v>
                </pt>
                <pt idx="5">
                  <v>Ethan</v>
                </pt>
                <pt idx="6">
                  <v>Evan</v>
                </pt>
                <pt idx="7">
                  <v>Lucy</v>
                </pt>
                <pt idx="8">
                  <v>Grady</v>
                </pt>
                <pt idx="9">
                  <v>Mikey</v>
                </pt>
                <pt idx="10">
                  <v>Anthony</v>
                </pt>
                <pt idx="11">
                  <v>Rob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SPRING2026POST!$T$65:$T$80</f>
              <numCache>
                <formatCode>0.00</formatCode>
                <ptCount val="16"/>
                <pt idx="0">
                  <v>3.84615384615385</v>
                </pt>
                <pt idx="1">
                  <v>3.75</v>
                </pt>
                <pt idx="2">
                  <v>1.58823529411765</v>
                </pt>
                <pt idx="3">
                  <v>2.26315789473684</v>
                </pt>
                <pt idx="4">
                  <v>1.42857142857143</v>
                </pt>
                <pt idx="5">
                  <v>2.2</v>
                </pt>
                <pt idx="6">
                  <v>1.05714285714286</v>
                </pt>
                <pt idx="7">
                  <v>1.06122448979592</v>
                </pt>
                <pt idx="8">
                  <v>0.833333333333333</v>
                </pt>
                <pt idx="9">
                  <v>0.757575757575758</v>
                </pt>
                <pt idx="10">
                  <v>0.816326530612245</v>
                </pt>
                <pt idx="11">
                  <v>0.725806451612903</v>
                </pt>
                <pt idx="12">
                  <v>0.125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71374129"/>
        <axId val="6125887"/>
      </barChart>
      <catAx>
        <axId val="7137412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125887"/>
        <crosses val="autoZero"/>
        <auto val="1"/>
        <lblAlgn val="ctr"/>
        <lblOffset val="100"/>
        <noMultiLvlLbl val="0"/>
      </catAx>
      <valAx>
        <axId val="612588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137412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SPRING2026POST!$I$83:$I$86</f>
              <strCache>
                <ptCount val="4"/>
                <pt idx="0">
                  <v>Baris</v>
                </pt>
                <pt idx="1">
                  <v>Tenors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SPRING2026POST!$J$83:$J$86</f>
              <numCache>
                <formatCode>0.00</formatCode>
                <ptCount val="4"/>
                <pt idx="0">
                  <v>6.75</v>
                </pt>
                <pt idx="1">
                  <v>4</v>
                </pt>
                <pt idx="2">
                  <v>4</v>
                </pt>
                <pt idx="3">
                  <v>1.66666666666667</v>
                </pt>
              </numCache>
            </numRef>
          </val>
        </ser>
        <gapWidth val="150"/>
        <overlap val="0"/>
        <axId val="50478541"/>
        <axId val="99964274"/>
      </barChart>
      <catAx>
        <axId val="50478541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9964274"/>
        <crosses val="autoZero"/>
        <auto val="1"/>
        <lblAlgn val="ctr"/>
        <lblOffset val="100"/>
        <noMultiLvlLbl val="0"/>
      </catAx>
      <valAx>
        <axId val="9996427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0478541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SPRING2026POST!$S$83:$S$86</f>
              <strCache>
                <ptCount val="4"/>
                <pt idx="0">
                  <v>Baris</v>
                </pt>
                <pt idx="1">
                  <v>Tenors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SPRING2026POST!$T$83:$T$86</f>
              <numCache>
                <formatCode>0.00</formatCode>
                <ptCount val="4"/>
                <pt idx="0">
                  <v>45.75</v>
                </pt>
                <pt idx="1">
                  <v>32.5</v>
                </pt>
                <pt idx="2">
                  <v>29.75</v>
                </pt>
                <pt idx="3">
                  <v>16.6666666666667</v>
                </pt>
              </numCache>
            </numRef>
          </val>
        </ser>
        <gapWidth val="150"/>
        <overlap val="0"/>
        <axId val="15366690"/>
        <axId val="62164422"/>
      </barChart>
      <catAx>
        <axId val="15366690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2164422"/>
        <crosses val="autoZero"/>
        <auto val="1"/>
        <lblAlgn val="ctr"/>
        <lblOffset val="100"/>
        <noMultiLvlLbl val="0"/>
      </catAx>
      <valAx>
        <axId val="6216442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536669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SPRING2026POST!$I$94:$I$97</f>
              <strCache>
                <ptCount val="4"/>
                <pt idx="0">
                  <v>Baris</v>
                </pt>
                <pt idx="1">
                  <v>Leads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SPRING2026POST!$J$94:$J$97</f>
              <numCache>
                <formatCode>0.00</formatCode>
                <ptCount val="4"/>
                <pt idx="0">
                  <v>6</v>
                </pt>
                <pt idx="1">
                  <v>4.25</v>
                </pt>
                <pt idx="2">
                  <v>3</v>
                </pt>
                <pt idx="3">
                  <v>2.5</v>
                </pt>
              </numCache>
            </numRef>
          </val>
        </ser>
        <gapWidth val="150"/>
        <overlap val="0"/>
        <axId val="74900133"/>
        <axId val="99982522"/>
      </barChart>
      <catAx>
        <axId val="74900133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9982522"/>
        <crosses val="autoZero"/>
        <auto val="1"/>
        <lblAlgn val="ctr"/>
        <lblOffset val="100"/>
        <noMultiLvlLbl val="0"/>
      </catAx>
      <valAx>
        <axId val="9998252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4900133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SPRING2026POST!$S$94:$S$97</f>
              <strCache>
                <ptCount val="4"/>
                <pt idx="0">
                  <v>Baris</v>
                </pt>
                <pt idx="1">
                  <v>Leads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SPRING2026POST!$T$94:$T$97</f>
              <numCache>
                <formatCode>0.00</formatCode>
                <ptCount val="4"/>
                <pt idx="0">
                  <v>41.25</v>
                </pt>
                <pt idx="1">
                  <v>31.25</v>
                </pt>
                <pt idx="2">
                  <v>20</v>
                </pt>
                <pt idx="3">
                  <v>23.75</v>
                </pt>
              </numCache>
            </numRef>
          </val>
        </ser>
        <gapWidth val="150"/>
        <overlap val="0"/>
        <axId val="63744470"/>
        <axId val="77766115"/>
      </barChart>
      <catAx>
        <axId val="63744470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7766115"/>
        <crosses val="autoZero"/>
        <auto val="1"/>
        <lblAlgn val="ctr"/>
        <lblOffset val="100"/>
        <noMultiLvlLbl val="0"/>
      </catAx>
      <valAx>
        <axId val="7776611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374447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SPRING2026POST!$I$105:$I$108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SPRING2026POST!$J$105:$J$108</f>
              <numCache>
                <formatCode>0.00</formatCode>
                <ptCount val="4"/>
                <pt idx="0">
                  <v>1.6</v>
                </pt>
                <pt idx="1">
                  <v>1.125</v>
                </pt>
                <pt idx="2">
                  <v>0.9411764705882349</v>
                </pt>
                <pt idx="3">
                  <v>0.555555555555556</v>
                </pt>
              </numCache>
            </numRef>
          </val>
        </ser>
        <gapWidth val="150"/>
        <overlap val="0"/>
        <axId val="2837484"/>
        <axId val="21417009"/>
      </barChart>
      <catAx>
        <axId val="2837484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1417009"/>
        <crosses val="autoZero"/>
        <auto val="1"/>
        <lblAlgn val="ctr"/>
        <lblOffset val="100"/>
        <noMultiLvlLbl val="0"/>
      </catAx>
      <valAx>
        <axId val="2141700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837484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SPRING2026POST!$S$105:$S$108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SPRING2026POST!$T$105:$T$108</f>
              <numCache>
                <formatCode>0.00</formatCode>
                <ptCount val="4"/>
                <pt idx="0">
                  <v>1.36842105263158</v>
                </pt>
                <pt idx="1">
                  <v>1.10909090909091</v>
                </pt>
                <pt idx="2">
                  <v>0.952</v>
                </pt>
                <pt idx="3">
                  <v>0.833333333333333</v>
                </pt>
              </numCache>
            </numRef>
          </val>
        </ser>
        <gapWidth val="150"/>
        <overlap val="0"/>
        <axId val="77282554"/>
        <axId val="75470690"/>
      </barChart>
      <catAx>
        <axId val="77282554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5470690"/>
        <crosses val="autoZero"/>
        <auto val="1"/>
        <lblAlgn val="ctr"/>
        <lblOffset val="100"/>
        <noMultiLvlLbl val="0"/>
      </catAx>
      <valAx>
        <axId val="7547069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7282554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5096055473457"/>
          <y val="0.104727346033666"/>
          <w val="0.86194157099011"/>
          <h val="0.75536740247958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SPRING2026POST!$AP$36:$AP$51</f>
              <strCache>
                <ptCount val="16"/>
                <pt idx="0">
                  <v>Peter</v>
                </pt>
                <pt idx="1">
                  <v>Will</v>
                </pt>
                <pt idx="2">
                  <v>Carter</v>
                </pt>
                <pt idx="3">
                  <v>Evan</v>
                </pt>
                <pt idx="4">
                  <v>Vignesh</v>
                </pt>
                <pt idx="5">
                  <v>Ethan</v>
                </pt>
                <pt idx="6">
                  <v>Maxine</v>
                </pt>
                <pt idx="7">
                  <v>Lucy</v>
                </pt>
                <pt idx="8">
                  <v>Mikey</v>
                </pt>
                <pt idx="9">
                  <v>Rob</v>
                </pt>
                <pt idx="10">
                  <v>Anthony</v>
                </pt>
                <pt idx="11">
                  <v>Grady</v>
                </pt>
                <pt idx="12">
                  <v>Joey</v>
                </pt>
                <pt idx="13">
                  <v>Erick</v>
                </pt>
                <pt idx="14">
                  <v>Cooper</v>
                </pt>
                <pt idx="15">
                  <v>Reuben</v>
                </pt>
              </strCache>
            </strRef>
          </cat>
          <val>
            <numRef>
              <f>SPRING2026POST!$AR$36:$AR$51</f>
              <numCache>
                <formatCode>0.00</formatCode>
                <ptCount val="16"/>
                <pt idx="0">
                  <v>1293.10622710623</v>
                </pt>
                <pt idx="1">
                  <v>987.400687547746</v>
                </pt>
                <pt idx="2">
                  <v>1024.0313283208</v>
                </pt>
                <pt idx="3">
                  <v>874.214285714286</v>
                </pt>
                <pt idx="4">
                  <v>1184</v>
                </pt>
                <pt idx="5">
                  <v>979.896825396825</v>
                </pt>
                <pt idx="6">
                  <v>1023.20238095238</v>
                </pt>
                <pt idx="7">
                  <v>783.8718820861679</v>
                </pt>
                <pt idx="8">
                  <v>677.058441558442</v>
                </pt>
                <pt idx="9">
                  <v>643.097542242704</v>
                </pt>
                <pt idx="10">
                  <v>737.693877551021</v>
                </pt>
                <pt idx="11">
                  <v>556.119047619048</v>
                </pt>
                <pt idx="12">
                  <v>481.785714285714</v>
                </pt>
                <pt idx="13">
                  <v>468.785714285714</v>
                </pt>
                <pt idx="14">
                  <v>88.57738095238101</v>
                </pt>
                <pt idx="15">
                  <v>0</v>
                </pt>
              </numCache>
            </numRef>
          </val>
        </ser>
        <gapWidth val="150"/>
        <overlap val="0"/>
        <axId val="64401931"/>
        <axId val="76473370"/>
      </barChart>
      <catAx>
        <axId val="6440193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6473370"/>
        <crosses val="autoZero"/>
        <auto val="1"/>
        <lblAlgn val="ctr"/>
        <lblOffset val="100"/>
        <noMultiLvlLbl val="0"/>
      </catAx>
      <valAx>
        <axId val="7647337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44019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3071937367644"/>
          <y val="0.123438893844781"/>
          <w val="0.8613874093563501"/>
          <h val="0.773416592328278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invertIfNegative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SPRING2026POST!$AP$66:$AP$70</f>
              <strCache>
                <ptCount val="5"/>
                <pt idx="0">
                  <v>Basses (No Reuben)</v>
                </pt>
                <pt idx="1">
                  <v>Tenors</v>
                </pt>
                <pt idx="2">
                  <v>Baris</v>
                </pt>
                <pt idx="3">
                  <v>Leads</v>
                </pt>
                <pt idx="4">
                  <v>Basses</v>
                </pt>
              </strCache>
            </strRef>
          </cat>
          <val>
            <numRef>
              <f>SPRING2026POST!$AR$66:$AR$70</f>
              <numCache>
                <formatCode>0.00</formatCode>
                <ptCount val="5"/>
                <pt idx="0">
                  <v>304.098290598291</v>
                </pt>
                <pt idx="1">
                  <v>76.02997076023389</v>
                </pt>
                <pt idx="2">
                  <v>81.72727272727271</v>
                </pt>
                <pt idx="3">
                  <v>-4.28496732026147</v>
                </pt>
                <pt idx="4">
                  <v>0</v>
                </pt>
              </numCache>
            </numRef>
          </val>
        </ser>
        <gapWidth val="150"/>
        <overlap val="0"/>
        <axId val="74616296"/>
        <axId val="55638234"/>
      </barChart>
      <catAx>
        <axId val="74616296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5638234"/>
        <crosses val="autoZero"/>
        <auto val="1"/>
        <lblAlgn val="ctr"/>
        <lblOffset val="100"/>
        <noMultiLvlLbl val="0"/>
      </catAx>
      <valAx>
        <axId val="55638234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461629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2078019504876"/>
          <y val="0.107559552746719"/>
          <w val="0.86046511627907"/>
          <h val="0.7298249878463779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SPRING2026!$I$29:$I$44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Will</v>
                </pt>
                <pt idx="4">
                  <v>Peter</v>
                </pt>
                <pt idx="5">
                  <v>Evan</v>
                </pt>
                <pt idx="6">
                  <v>Anthony</v>
                </pt>
                <pt idx="7">
                  <v>Carter</v>
                </pt>
                <pt idx="8">
                  <v>Vignesh</v>
                </pt>
                <pt idx="9">
                  <v>Ethan</v>
                </pt>
                <pt idx="10">
                  <v>Maxine</v>
                </pt>
                <pt idx="11">
                  <v>Grady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SPRING2026!$J$29:$J$44</f>
              <numCache>
                <formatCode>General</formatCode>
                <ptCount val="16"/>
                <pt idx="0">
                  <v>30</v>
                </pt>
                <pt idx="1">
                  <v>29</v>
                </pt>
                <pt idx="2">
                  <v>28</v>
                </pt>
                <pt idx="3">
                  <v>26</v>
                </pt>
                <pt idx="4">
                  <v>25</v>
                </pt>
                <pt idx="5">
                  <v>23</v>
                </pt>
                <pt idx="6">
                  <v>19</v>
                </pt>
                <pt idx="7">
                  <v>19</v>
                </pt>
                <pt idx="8">
                  <v>19</v>
                </pt>
                <pt idx="9">
                  <v>16</v>
                </pt>
                <pt idx="10">
                  <v>6</v>
                </pt>
                <pt idx="11">
                  <v>3</v>
                </pt>
                <pt idx="12">
                  <v>1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76840549"/>
        <axId val="81314378"/>
      </barChart>
      <catAx>
        <axId val="7684054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1314378"/>
        <crosses val="autoZero"/>
        <auto val="1"/>
        <lblAlgn val="ctr"/>
        <lblOffset val="100"/>
        <noMultiLvlLbl val="0"/>
      </catAx>
      <valAx>
        <axId val="8131437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684054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612625824945"/>
          <y val="0.1173294059892"/>
          <w val="0.8678754749683349"/>
          <h val="0.71845851742759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SPRING2026!$S$29:$S$44</f>
              <strCache>
                <ptCount val="16"/>
                <pt idx="0">
                  <v>Will</v>
                </pt>
                <pt idx="1">
                  <v>Peter</v>
                </pt>
                <pt idx="2">
                  <v>Mikey</v>
                </pt>
                <pt idx="3">
                  <v>Lucy</v>
                </pt>
                <pt idx="4">
                  <v>Rob</v>
                </pt>
                <pt idx="5">
                  <v>Evan</v>
                </pt>
                <pt idx="6">
                  <v>Anthony</v>
                </pt>
                <pt idx="7">
                  <v>Carter</v>
                </pt>
                <pt idx="8">
                  <v>Vignesh</v>
                </pt>
                <pt idx="9">
                  <v>Ethan</v>
                </pt>
                <pt idx="10">
                  <v>Maxine</v>
                </pt>
                <pt idx="11">
                  <v>Grady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SPRING2026!$T$29:$T$44</f>
              <numCache>
                <formatCode>General</formatCode>
                <ptCount val="16"/>
                <pt idx="0">
                  <v>54</v>
                </pt>
                <pt idx="1">
                  <v>50</v>
                </pt>
                <pt idx="2">
                  <v>50</v>
                </pt>
                <pt idx="3">
                  <v>52</v>
                </pt>
                <pt idx="4">
                  <v>45</v>
                </pt>
                <pt idx="5">
                  <v>37</v>
                </pt>
                <pt idx="6">
                  <v>40</v>
                </pt>
                <pt idx="7">
                  <v>43</v>
                </pt>
                <pt idx="8">
                  <v>30</v>
                </pt>
                <pt idx="9">
                  <v>44</v>
                </pt>
                <pt idx="10">
                  <v>30</v>
                </pt>
                <pt idx="11">
                  <v>5</v>
                </pt>
                <pt idx="12">
                  <v>2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1238837"/>
        <axId val="5897906"/>
      </barChart>
      <catAx>
        <axId val="123883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897906"/>
        <crosses val="autoZero"/>
        <auto val="1"/>
        <lblAlgn val="ctr"/>
        <lblOffset val="100"/>
        <noMultiLvlLbl val="0"/>
      </catAx>
      <valAx>
        <axId val="589790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2388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5301223478396"/>
          <y val="0.136408853519025"/>
          <w val="0.8564348768778069"/>
          <h val="0.706913703058941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SPRING2026!$I$47:$I$62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Anthony</v>
                </pt>
                <pt idx="4">
                  <v>Reuben</v>
                </pt>
                <pt idx="5">
                  <v>Evan</v>
                </pt>
                <pt idx="6">
                  <v>Will</v>
                </pt>
                <pt idx="7">
                  <v>Vignesh</v>
                </pt>
                <pt idx="8">
                  <v>Ethan</v>
                </pt>
                <pt idx="9">
                  <v>Carter</v>
                </pt>
                <pt idx="10">
                  <v>Peter</v>
                </pt>
                <pt idx="11">
                  <v>Cooper</v>
                </pt>
                <pt idx="12">
                  <v>Maxine</v>
                </pt>
                <pt idx="13">
                  <v>Grady</v>
                </pt>
                <pt idx="14">
                  <v>Erick</v>
                </pt>
                <pt idx="15">
                  <v>Joey</v>
                </pt>
              </strCache>
            </strRef>
          </cat>
          <val>
            <numRef>
              <f>SPRING2026!$J$47:$J$62</f>
              <numCache>
                <formatCode>General</formatCode>
                <ptCount val="16"/>
                <pt idx="0">
                  <v>35</v>
                </pt>
                <pt idx="1">
                  <v>34</v>
                </pt>
                <pt idx="2">
                  <v>30</v>
                </pt>
                <pt idx="3">
                  <v>30</v>
                </pt>
                <pt idx="4">
                  <v>22</v>
                </pt>
                <pt idx="5">
                  <v>16</v>
                </pt>
                <pt idx="6">
                  <v>13</v>
                </pt>
                <pt idx="7">
                  <v>13</v>
                </pt>
                <pt idx="8">
                  <v>11</v>
                </pt>
                <pt idx="9">
                  <v>10</v>
                </pt>
                <pt idx="10">
                  <v>9</v>
                </pt>
                <pt idx="11">
                  <v>8</v>
                </pt>
                <pt idx="12">
                  <v>5</v>
                </pt>
                <pt idx="13">
                  <v>4</v>
                </pt>
                <pt idx="14">
                  <v>1</v>
                </pt>
                <pt idx="15">
                  <v>0</v>
                </pt>
              </numCache>
            </numRef>
          </val>
        </ser>
        <gapWidth val="150"/>
        <overlap val="0"/>
        <axId val="10370986"/>
        <axId val="35238500"/>
      </barChart>
      <catAx>
        <axId val="1037098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5238500"/>
        <crosses val="autoZero"/>
        <auto val="1"/>
        <lblAlgn val="ctr"/>
        <lblOffset val="100"/>
        <noMultiLvlLbl val="0"/>
      </catAx>
      <valAx>
        <axId val="3523850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037098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5381611173628"/>
          <y val="0.115822631451418"/>
          <w val="0.868802541868008"/>
          <h val="0.709231887569663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SPRING2026!$S$47:$S$62</f>
              <strCache>
                <ptCount val="16"/>
                <pt idx="0">
                  <v>Mikey</v>
                </pt>
                <pt idx="1">
                  <v>Rob</v>
                </pt>
                <pt idx="2">
                  <v>Lucy</v>
                </pt>
                <pt idx="3">
                  <v>Anthony</v>
                </pt>
                <pt idx="4">
                  <v>Reuben</v>
                </pt>
                <pt idx="5">
                  <v>Evan</v>
                </pt>
                <pt idx="6">
                  <v>Will</v>
                </pt>
                <pt idx="7">
                  <v>Ethan</v>
                </pt>
                <pt idx="8">
                  <v>Vignesh</v>
                </pt>
                <pt idx="9">
                  <v>Carter</v>
                </pt>
                <pt idx="10">
                  <v>Cooper</v>
                </pt>
                <pt idx="11">
                  <v>Peter</v>
                </pt>
                <pt idx="12">
                  <v>Grady</v>
                </pt>
                <pt idx="13">
                  <v>Maxine</v>
                </pt>
                <pt idx="14">
                  <v>Erick</v>
                </pt>
                <pt idx="15">
                  <v>Joey</v>
                </pt>
              </strCache>
            </strRef>
          </cat>
          <val>
            <numRef>
              <f>SPRING2026!$T$47:$T$62</f>
              <numCache>
                <formatCode>General</formatCode>
                <ptCount val="16"/>
                <pt idx="0">
                  <v>66</v>
                </pt>
                <pt idx="1">
                  <v>62</v>
                </pt>
                <pt idx="2">
                  <v>49</v>
                </pt>
                <pt idx="3">
                  <v>49</v>
                </pt>
                <pt idx="4">
                  <v>47</v>
                </pt>
                <pt idx="5">
                  <v>35</v>
                </pt>
                <pt idx="6">
                  <v>34</v>
                </pt>
                <pt idx="7">
                  <v>20</v>
                </pt>
                <pt idx="8">
                  <v>21</v>
                </pt>
                <pt idx="9">
                  <v>19</v>
                </pt>
                <pt idx="10">
                  <v>16</v>
                </pt>
                <pt idx="11">
                  <v>13</v>
                </pt>
                <pt idx="12">
                  <v>6</v>
                </pt>
                <pt idx="13">
                  <v>8</v>
                </pt>
                <pt idx="14">
                  <v>2</v>
                </pt>
                <pt idx="15">
                  <v>0</v>
                </pt>
              </numCache>
            </numRef>
          </val>
        </ser>
        <gapWidth val="150"/>
        <overlap val="0"/>
        <axId val="19632886"/>
        <axId val="1272106"/>
      </barChart>
      <catAx>
        <axId val="1963288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272106"/>
        <crosses val="autoZero"/>
        <auto val="1"/>
        <lblAlgn val="ctr"/>
        <lblOffset val="100"/>
        <noMultiLvlLbl val="0"/>
      </catAx>
      <valAx>
        <axId val="127210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963288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60819165378671"/>
          <y val="0.182581840642372"/>
          <w val="0.773261205564142"/>
          <h val="0.635577516985794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SPRING2026!$I$65:$I$80</f>
              <strCache>
                <ptCount val="16"/>
                <pt idx="0">
                  <v>Peter</v>
                </pt>
                <pt idx="1">
                  <v>Will</v>
                </pt>
                <pt idx="2">
                  <v>Carter</v>
                </pt>
                <pt idx="3">
                  <v>Vignesh</v>
                </pt>
                <pt idx="4">
                  <v>Ethan</v>
                </pt>
                <pt idx="5">
                  <v>Evan</v>
                </pt>
                <pt idx="6">
                  <v>Maxine</v>
                </pt>
                <pt idx="7">
                  <v>Lucy</v>
                </pt>
                <pt idx="8">
                  <v>Mikey</v>
                </pt>
                <pt idx="9">
                  <v>Rob</v>
                </pt>
                <pt idx="10">
                  <v>Grady</v>
                </pt>
                <pt idx="11">
                  <v>Anthony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SPRING2026!$J$65:$J$80</f>
              <numCache>
                <formatCode>0.00</formatCode>
                <ptCount val="16"/>
                <pt idx="0">
                  <v>2.77777777777778</v>
                </pt>
                <pt idx="1">
                  <v>2</v>
                </pt>
                <pt idx="2">
                  <v>1.9</v>
                </pt>
                <pt idx="3">
                  <v>1.46153846153846</v>
                </pt>
                <pt idx="4">
                  <v>1.45454545454545</v>
                </pt>
                <pt idx="5">
                  <v>1.4375</v>
                </pt>
                <pt idx="6">
                  <v>1.2</v>
                </pt>
                <pt idx="7">
                  <v>0.933333333333333</v>
                </pt>
                <pt idx="8">
                  <v>0.857142857142857</v>
                </pt>
                <pt idx="9">
                  <v>0.852941176470588</v>
                </pt>
                <pt idx="10">
                  <v>0.75</v>
                </pt>
                <pt idx="11">
                  <v>0.633333333333333</v>
                </pt>
                <pt idx="12">
                  <v>0.125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19298292"/>
        <axId val="5226631"/>
      </barChart>
      <catAx>
        <axId val="192982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226631"/>
        <crosses val="autoZero"/>
        <auto val="1"/>
        <lblAlgn val="ctr"/>
        <lblOffset val="100"/>
        <noMultiLvlLbl val="0"/>
      </catAx>
      <valAx>
        <axId val="5226631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9298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SPRING2026!$S$65:$S$80</f>
              <strCache>
                <ptCount val="16"/>
                <pt idx="0">
                  <v>Peter</v>
                </pt>
                <pt idx="1">
                  <v>Maxine</v>
                </pt>
                <pt idx="2">
                  <v>Will</v>
                </pt>
                <pt idx="3">
                  <v>Carter</v>
                </pt>
                <pt idx="4">
                  <v>Vignesh</v>
                </pt>
                <pt idx="5">
                  <v>Ethan</v>
                </pt>
                <pt idx="6">
                  <v>Evan</v>
                </pt>
                <pt idx="7">
                  <v>Lucy</v>
                </pt>
                <pt idx="8">
                  <v>Grady</v>
                </pt>
                <pt idx="9">
                  <v>Mikey</v>
                </pt>
                <pt idx="10">
                  <v>Anthony</v>
                </pt>
                <pt idx="11">
                  <v>Rob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SPRING2026!$T$65:$T$80</f>
              <numCache>
                <formatCode>0.00</formatCode>
                <ptCount val="16"/>
                <pt idx="0">
                  <v>3.84615384615385</v>
                </pt>
                <pt idx="1">
                  <v>3.75</v>
                </pt>
                <pt idx="2">
                  <v>1.58823529411765</v>
                </pt>
                <pt idx="3">
                  <v>2.26315789473684</v>
                </pt>
                <pt idx="4">
                  <v>1.42857142857143</v>
                </pt>
                <pt idx="5">
                  <v>2.2</v>
                </pt>
                <pt idx="6">
                  <v>1.05714285714286</v>
                </pt>
                <pt idx="7">
                  <v>1.06122448979592</v>
                </pt>
                <pt idx="8">
                  <v>0.833333333333333</v>
                </pt>
                <pt idx="9">
                  <v>0.757575757575758</v>
                </pt>
                <pt idx="10">
                  <v>0.816326530612245</v>
                </pt>
                <pt idx="11">
                  <v>0.725806451612903</v>
                </pt>
                <pt idx="12">
                  <v>0.125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gapWidth val="150"/>
        <overlap val="0"/>
        <axId val="5967770"/>
        <axId val="17514671"/>
      </barChart>
      <catAx>
        <axId val="5967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7514671"/>
        <crosses val="autoZero"/>
        <auto val="1"/>
        <lblAlgn val="ctr"/>
        <lblOffset val="100"/>
        <noMultiLvlLbl val="0"/>
      </catAx>
      <valAx>
        <axId val="17514671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96777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SPRING2026!$I$83:$I$86</f>
              <strCache>
                <ptCount val="4"/>
                <pt idx="0">
                  <v>Baris</v>
                </pt>
                <pt idx="1">
                  <v>Tenors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SPRING2026!$J$83:$J$86</f>
              <numCache>
                <formatCode>0.00</formatCode>
                <ptCount val="4"/>
                <pt idx="0">
                  <v>22.5</v>
                </pt>
                <pt idx="1">
                  <v>17.25</v>
                </pt>
                <pt idx="2">
                  <v>15</v>
                </pt>
                <pt idx="3">
                  <v>8.33333333333333</v>
                </pt>
              </numCache>
            </numRef>
          </val>
        </ser>
        <gapWidth val="150"/>
        <overlap val="0"/>
        <axId val="43762341"/>
        <axId val="47353507"/>
      </barChart>
      <catAx>
        <axId val="43762341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7353507"/>
        <crosses val="autoZero"/>
        <auto val="1"/>
        <lblAlgn val="ctr"/>
        <lblOffset val="100"/>
        <noMultiLvlLbl val="0"/>
      </catAx>
      <valAx>
        <axId val="4735350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3762341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SPRING2026!$S$83:$S$86</f>
              <strCache>
                <ptCount val="4"/>
                <pt idx="0">
                  <v>Baris</v>
                </pt>
                <pt idx="1">
                  <v>Tenors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SPRING2026!$T$83:$T$86</f>
              <numCache>
                <formatCode>0.00</formatCode>
                <ptCount val="4"/>
                <pt idx="0">
                  <v>45.75</v>
                </pt>
                <pt idx="1">
                  <v>32.5</v>
                </pt>
                <pt idx="2">
                  <v>29.75</v>
                </pt>
                <pt idx="3">
                  <v>16.6666666666667</v>
                </pt>
              </numCache>
            </numRef>
          </val>
        </ser>
        <gapWidth val="150"/>
        <overlap val="0"/>
        <axId val="62533461"/>
        <axId val="82302629"/>
      </barChart>
      <catAx>
        <axId val="62533461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2302629"/>
        <crosses val="autoZero"/>
        <auto val="1"/>
        <lblAlgn val="ctr"/>
        <lblOffset val="100"/>
        <noMultiLvlLbl val="0"/>
      </catAx>
      <valAx>
        <axId val="8230262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2533461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SPRING2026!$I$94:$I$97</f>
              <strCache>
                <ptCount val="4"/>
                <pt idx="0">
                  <v>Baris</v>
                </pt>
                <pt idx="1">
                  <v>Leads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SPRING2026!$J$94:$J$97</f>
              <numCache>
                <formatCode>0.00</formatCode>
                <ptCount val="4"/>
                <pt idx="0">
                  <v>22</v>
                </pt>
                <pt idx="1">
                  <v>16</v>
                </pt>
                <pt idx="2">
                  <v>10.3333333333333</v>
                </pt>
                <pt idx="3">
                  <v>14.25</v>
                </pt>
              </numCache>
            </numRef>
          </val>
        </ser>
        <gapWidth val="150"/>
        <overlap val="0"/>
        <axId val="64210593"/>
        <axId val="8990988"/>
      </barChart>
      <catAx>
        <axId val="64210593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990988"/>
        <crosses val="autoZero"/>
        <auto val="1"/>
        <lblAlgn val="ctr"/>
        <lblOffset val="100"/>
        <noMultiLvlLbl val="0"/>
      </catAx>
      <valAx>
        <axId val="899098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4210593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SPRING2026!$S$94:$S$97</f>
              <strCache>
                <ptCount val="4"/>
                <pt idx="0">
                  <v>Baris</v>
                </pt>
                <pt idx="1">
                  <v>Leads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SPRING2026!$T$94:$T$97</f>
              <numCache>
                <formatCode>0.00</formatCode>
                <ptCount val="4"/>
                <pt idx="0">
                  <v>41.25</v>
                </pt>
                <pt idx="1">
                  <v>31.25</v>
                </pt>
                <pt idx="2">
                  <v>20</v>
                </pt>
                <pt idx="3">
                  <v>23.75</v>
                </pt>
              </numCache>
            </numRef>
          </val>
        </ser>
        <gapWidth val="150"/>
        <overlap val="0"/>
        <axId val="98701720"/>
        <axId val="24882893"/>
      </barChart>
      <catAx>
        <axId val="98701720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4882893"/>
        <crosses val="autoZero"/>
        <auto val="1"/>
        <lblAlgn val="ctr"/>
        <lblOffset val="100"/>
        <noMultiLvlLbl val="0"/>
      </catAx>
      <valAx>
        <axId val="24882893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870172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SPRING2026!$I$105:$I$108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SPRING2026!$J$105:$J$108</f>
              <numCache>
                <formatCode>0.00</formatCode>
                <ptCount val="4"/>
                <pt idx="0">
                  <v>1.21052631578947</v>
                </pt>
                <pt idx="1">
                  <v>1.02272727272727</v>
                </pt>
                <pt idx="2">
                  <v>0.9375</v>
                </pt>
                <pt idx="3">
                  <v>0.806451612903226</v>
                </pt>
              </numCache>
            </numRef>
          </val>
        </ser>
        <gapWidth val="150"/>
        <overlap val="0"/>
        <axId val="59674793"/>
        <axId val="38088547"/>
      </barChart>
      <catAx>
        <axId val="59674793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8088547"/>
        <crosses val="autoZero"/>
        <auto val="1"/>
        <lblAlgn val="ctr"/>
        <lblOffset val="100"/>
        <noMultiLvlLbl val="0"/>
      </catAx>
      <valAx>
        <axId val="3808854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9674793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SPRING2026!$S$105:$S$108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Leads</v>
                </pt>
                <pt idx="3">
                  <v>Basses</v>
                </pt>
              </strCache>
            </strRef>
          </cat>
          <val>
            <numRef>
              <f>SPRING2026!$T$105:$T$108</f>
              <numCache>
                <formatCode>0.00</formatCode>
                <ptCount val="4"/>
                <pt idx="0">
                  <v>1.36842105263158</v>
                </pt>
                <pt idx="1">
                  <v>1.10909090909091</v>
                </pt>
                <pt idx="2">
                  <v>0.952</v>
                </pt>
                <pt idx="3">
                  <v>0.833333333333333</v>
                </pt>
              </numCache>
            </numRef>
          </val>
        </ser>
        <gapWidth val="150"/>
        <overlap val="0"/>
        <axId val="49297556"/>
        <axId val="33193353"/>
      </barChart>
      <catAx>
        <axId val="49297556"/>
        <scaling>
          <orientation val="maxMin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3193353"/>
        <crosses val="autoZero"/>
        <auto val="1"/>
        <lblAlgn val="ctr"/>
        <lblOffset val="100"/>
        <noMultiLvlLbl val="0"/>
      </catAx>
      <valAx>
        <axId val="33193353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9297556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5096055473457"/>
          <y val="0.104727346033666"/>
          <w val="0.86194157099011"/>
          <h val="0.755367402479589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SPRING2026!$AP$36:$AP$51</f>
              <strCache>
                <ptCount val="16"/>
                <pt idx="0">
                  <v>Peter</v>
                </pt>
                <pt idx="1">
                  <v>Will</v>
                </pt>
                <pt idx="2">
                  <v>Carter</v>
                </pt>
                <pt idx="3">
                  <v>Evan</v>
                </pt>
                <pt idx="4">
                  <v>Vignesh</v>
                </pt>
                <pt idx="5">
                  <v>Ethan</v>
                </pt>
                <pt idx="6">
                  <v>Maxine</v>
                </pt>
                <pt idx="7">
                  <v>Lucy</v>
                </pt>
                <pt idx="8">
                  <v>Mikey</v>
                </pt>
                <pt idx="9">
                  <v>Rob</v>
                </pt>
                <pt idx="10">
                  <v>Anthony</v>
                </pt>
                <pt idx="11">
                  <v>Grady</v>
                </pt>
                <pt idx="12">
                  <v>Joey</v>
                </pt>
                <pt idx="13">
                  <v>Erick</v>
                </pt>
                <pt idx="14">
                  <v>Cooper</v>
                </pt>
                <pt idx="15">
                  <v>Reuben</v>
                </pt>
              </strCache>
            </strRef>
          </cat>
          <val>
            <numRef>
              <f>SPRING2026!$AR$36:$AR$51</f>
              <numCache>
                <formatCode>0.00</formatCode>
                <ptCount val="16"/>
                <pt idx="0">
                  <v>1347.60334110334</v>
                </pt>
                <pt idx="1">
                  <v>1064.16392431098</v>
                </pt>
                <pt idx="2">
                  <v>1066.06937799043</v>
                </pt>
                <pt idx="3">
                  <v>844.517257199322</v>
                </pt>
                <pt idx="4">
                  <v>884.751275040749</v>
                </pt>
                <pt idx="5">
                  <v>1021.56060606061</v>
                </pt>
                <pt idx="6">
                  <v>1006.64393939394</v>
                </pt>
                <pt idx="7">
                  <v>838.067408781695</v>
                </pt>
                <pt idx="8">
                  <v>710.547619047619</v>
                </pt>
                <pt idx="9">
                  <v>673.926524619353</v>
                </pt>
                <pt idx="10">
                  <v>676.5740324838069</v>
                </pt>
                <pt idx="11">
                  <v>575.143939393939</v>
                </pt>
                <pt idx="12">
                  <v>480.227272727273</v>
                </pt>
                <pt idx="13">
                  <v>421.227272727273</v>
                </pt>
                <pt idx="14">
                  <v>375.643939393939</v>
                </pt>
                <pt idx="15">
                  <v>0</v>
                </pt>
              </numCache>
            </numRef>
          </val>
        </ser>
        <gapWidth val="150"/>
        <overlap val="0"/>
        <axId val="60871490"/>
        <axId val="25226148"/>
      </barChart>
      <catAx>
        <axId val="60871490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5226148"/>
        <crosses val="autoZero"/>
        <auto val="1"/>
        <lblAlgn val="ctr"/>
        <lblOffset val="100"/>
        <noMultiLvlLbl val="0"/>
      </catAx>
      <valAx>
        <axId val="25226148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08714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3071937367644"/>
          <y val="0.123438893844781"/>
          <w val="0.8613874093563501"/>
          <h val="0.773416592328278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SPRING2026!$AP$66:$AP$70</f>
              <strCache>
                <ptCount val="5"/>
                <pt idx="0">
                  <v>Basses (No Reuben)</v>
                </pt>
                <pt idx="1">
                  <v>Tenors</v>
                </pt>
                <pt idx="2">
                  <v>Baris</v>
                </pt>
                <pt idx="3">
                  <v>Leads</v>
                </pt>
                <pt idx="4">
                  <v>Basses</v>
                </pt>
              </strCache>
            </strRef>
          </cat>
          <val>
            <numRef>
              <f>SPRING2026!$AR$66:$AR$70</f>
              <numCache>
                <formatCode>0.00</formatCode>
                <ptCount val="5"/>
                <pt idx="0">
                  <v>359.257788806176</v>
                </pt>
                <pt idx="1">
                  <v>180.119897394257</v>
                </pt>
                <pt idx="2">
                  <v>159.510508308895</v>
                </pt>
                <pt idx="3">
                  <v>59.6400537634408</v>
                </pt>
                <pt idx="4">
                  <v>0</v>
                </pt>
              </numCache>
            </numRef>
          </val>
        </ser>
        <gapWidth val="150"/>
        <overlap val="0"/>
        <axId val="71945265"/>
        <axId val="1607058"/>
      </barChart>
      <catAx>
        <axId val="7194526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607058"/>
        <crosses val="autoZero"/>
        <auto val="1"/>
        <lblAlgn val="ctr"/>
        <lblOffset val="100"/>
        <noMultiLvlLbl val="0"/>
      </catAx>
      <valAx>
        <axId val="1607058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194526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2057436474977"/>
          <y val="0.107559552746719"/>
          <w val="0.860491307102133"/>
          <h val="0.7298249878463779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FALL2025!$G$29:$G$44</f>
              <strCache>
                <ptCount val="16"/>
                <pt idx="0">
                  <v>Will</v>
                </pt>
                <pt idx="1">
                  <v>Mikey</v>
                </pt>
                <pt idx="2">
                  <v>Ethan</v>
                </pt>
                <pt idx="3">
                  <v>Lucy</v>
                </pt>
                <pt idx="4">
                  <v>Evan</v>
                </pt>
                <pt idx="5">
                  <v>Anthony</v>
                </pt>
                <pt idx="6">
                  <v>Carter</v>
                </pt>
                <pt idx="7">
                  <v>Rob</v>
                </pt>
                <pt idx="8">
                  <v>Grady</v>
                </pt>
                <pt idx="9">
                  <v>Vignesh</v>
                </pt>
                <pt idx="10">
                  <v>Maxine</v>
                </pt>
                <pt idx="11">
                  <v>Peter</v>
                </pt>
                <pt idx="12">
                  <v>Joey</v>
                </pt>
                <pt idx="13">
                  <v>Erick</v>
                </pt>
                <pt idx="14">
                  <v>Cooper</v>
                </pt>
                <pt idx="15">
                  <v>Reuben</v>
                </pt>
              </strCache>
            </strRef>
          </cat>
          <val>
            <numRef>
              <f>FALL2025!$H$29:$H$44</f>
              <numCache>
                <formatCode>General</formatCode>
                <ptCount val="16"/>
                <pt idx="0">
                  <v>85</v>
                </pt>
                <pt idx="1">
                  <v>83</v>
                </pt>
                <pt idx="2">
                  <v>66</v>
                </pt>
                <pt idx="3">
                  <v>62</v>
                </pt>
                <pt idx="4">
                  <v>39</v>
                </pt>
                <pt idx="5">
                  <v>30</v>
                </pt>
                <pt idx="6">
                  <v>26</v>
                </pt>
                <pt idx="7">
                  <v>26</v>
                </pt>
                <pt idx="8">
                  <v>26</v>
                </pt>
                <pt idx="9">
                  <v>26</v>
                </pt>
                <pt idx="10">
                  <v>25</v>
                </pt>
                <pt idx="11">
                  <v>15</v>
                </pt>
                <pt idx="12">
                  <v>8</v>
                </pt>
                <pt idx="13">
                  <v>7</v>
                </pt>
                <pt idx="14">
                  <v>7</v>
                </pt>
                <pt idx="15">
                  <v>0</v>
                </pt>
              </numCache>
            </numRef>
          </val>
        </ser>
        <gapWidth val="150"/>
        <overlap val="0"/>
        <axId val="22536965"/>
        <axId val="57600834"/>
      </barChart>
      <catAx>
        <axId val="2253696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7600834"/>
        <crosses val="autoZero"/>
        <auto val="1"/>
        <lblAlgn val="ctr"/>
        <lblOffset val="100"/>
        <noMultiLvlLbl val="0"/>
      </catAx>
      <valAx>
        <axId val="5760083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253696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612625824945"/>
          <y val="0.1173294059892"/>
          <w val="0.8678754749683349"/>
          <h val="0.71845851742759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FALL2025!$Q$29:$Q$44</f>
              <strCache>
                <ptCount val="16"/>
                <pt idx="0">
                  <v>Will</v>
                </pt>
                <pt idx="1">
                  <v>Mikey</v>
                </pt>
                <pt idx="2">
                  <v>Ethan</v>
                </pt>
                <pt idx="3">
                  <v>Lucy</v>
                </pt>
                <pt idx="4">
                  <v>Maxine</v>
                </pt>
                <pt idx="5">
                  <v>Evan</v>
                </pt>
                <pt idx="6">
                  <v>Anthony</v>
                </pt>
                <pt idx="7">
                  <v>Carter</v>
                </pt>
                <pt idx="8">
                  <v>Vignesh</v>
                </pt>
                <pt idx="9">
                  <v>Grady</v>
                </pt>
                <pt idx="10">
                  <v>Rob</v>
                </pt>
                <pt idx="11">
                  <v>Peter</v>
                </pt>
                <pt idx="12">
                  <v>Cooper</v>
                </pt>
                <pt idx="13">
                  <v>Joey</v>
                </pt>
                <pt idx="14">
                  <v>Erick</v>
                </pt>
                <pt idx="15">
                  <v>Reuben</v>
                </pt>
              </strCache>
            </strRef>
          </cat>
          <val>
            <numRef>
              <f>FALL2025!$R$29:$R$44</f>
              <numCache>
                <formatCode>General</formatCode>
                <ptCount val="16"/>
                <pt idx="0">
                  <v>122</v>
                </pt>
                <pt idx="1">
                  <v>118</v>
                </pt>
                <pt idx="2">
                  <v>99</v>
                </pt>
                <pt idx="3">
                  <v>85</v>
                </pt>
                <pt idx="4">
                  <v>57</v>
                </pt>
                <pt idx="5">
                  <v>51</v>
                </pt>
                <pt idx="6">
                  <v>42</v>
                </pt>
                <pt idx="7">
                  <v>39</v>
                </pt>
                <pt idx="8">
                  <v>37</v>
                </pt>
                <pt idx="9">
                  <v>36</v>
                </pt>
                <pt idx="10">
                  <v>33</v>
                </pt>
                <pt idx="11">
                  <v>23</v>
                </pt>
                <pt idx="12">
                  <v>13</v>
                </pt>
                <pt idx="13">
                  <v>13</v>
                </pt>
                <pt idx="14">
                  <v>10</v>
                </pt>
                <pt idx="15">
                  <v>0</v>
                </pt>
              </numCache>
            </numRef>
          </val>
        </ser>
        <gapWidth val="150"/>
        <overlap val="0"/>
        <axId val="24953917"/>
        <axId val="70715332"/>
      </barChart>
      <catAx>
        <axId val="2495391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0715332"/>
        <crosses val="autoZero"/>
        <auto val="1"/>
        <lblAlgn val="ctr"/>
        <lblOffset val="100"/>
        <noMultiLvlLbl val="0"/>
      </catAx>
      <valAx>
        <axId val="7071533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495391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5278783490224"/>
          <y val="0.136408853519025"/>
          <w val="0.856480811006517"/>
          <h val="0.706913703058941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FALL2025!$G$47:$G$62</f>
              <strCache>
                <ptCount val="16"/>
                <pt idx="0">
                  <v>Mikey</v>
                </pt>
                <pt idx="1">
                  <v>Will</v>
                </pt>
                <pt idx="2">
                  <v>Rob</v>
                </pt>
                <pt idx="3">
                  <v>Lucy</v>
                </pt>
                <pt idx="4">
                  <v>Evan</v>
                </pt>
                <pt idx="5">
                  <v>Ethan</v>
                </pt>
                <pt idx="6">
                  <v>Grady</v>
                </pt>
                <pt idx="7">
                  <v>Anthony</v>
                </pt>
                <pt idx="8">
                  <v>Vignesh</v>
                </pt>
                <pt idx="9">
                  <v>Carter</v>
                </pt>
                <pt idx="10">
                  <v>Reuben</v>
                </pt>
                <pt idx="11">
                  <v>Cooper</v>
                </pt>
                <pt idx="12">
                  <v>Maxine</v>
                </pt>
                <pt idx="13">
                  <v>Erick</v>
                </pt>
                <pt idx="14">
                  <v>Joey</v>
                </pt>
                <pt idx="15">
                  <v>Peter</v>
                </pt>
              </strCache>
            </strRef>
          </cat>
          <val>
            <numRef>
              <f>FALL2025!$H$47:$H$62</f>
              <numCache>
                <formatCode>General</formatCode>
                <ptCount val="16"/>
                <pt idx="0">
                  <v>76</v>
                </pt>
                <pt idx="1">
                  <v>70</v>
                </pt>
                <pt idx="2">
                  <v>53</v>
                </pt>
                <pt idx="3">
                  <v>49</v>
                </pt>
                <pt idx="4">
                  <v>45</v>
                </pt>
                <pt idx="5">
                  <v>43</v>
                </pt>
                <pt idx="6">
                  <v>38</v>
                </pt>
                <pt idx="7">
                  <v>32</v>
                </pt>
                <pt idx="8">
                  <v>30</v>
                </pt>
                <pt idx="9">
                  <v>21</v>
                </pt>
                <pt idx="10">
                  <v>16</v>
                </pt>
                <pt idx="11">
                  <v>13</v>
                </pt>
                <pt idx="12">
                  <v>12</v>
                </pt>
                <pt idx="13">
                  <v>8</v>
                </pt>
                <pt idx="14">
                  <v>8</v>
                </pt>
                <pt idx="15">
                  <v>7</v>
                </pt>
              </numCache>
            </numRef>
          </val>
        </ser>
        <gapWidth val="150"/>
        <overlap val="0"/>
        <axId val="13844759"/>
        <axId val="52640324"/>
      </barChart>
      <catAx>
        <axId val="13844759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2640324"/>
        <crosses val="autoZero"/>
        <auto val="1"/>
        <lblAlgn val="ctr"/>
        <lblOffset val="100"/>
        <noMultiLvlLbl val="0"/>
      </catAx>
      <valAx>
        <axId val="5264032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384475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5381611173628"/>
          <y val="0.115822631451418"/>
          <w val="0.868802541868008"/>
          <h val="0.709231887569663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FALL2025!$Q$47:$Q$62</f>
              <strCache>
                <ptCount val="16"/>
                <pt idx="0">
                  <v>Mikey</v>
                </pt>
                <pt idx="1">
                  <v>Will</v>
                </pt>
                <pt idx="2">
                  <v>Rob</v>
                </pt>
                <pt idx="3">
                  <v>Lucy</v>
                </pt>
                <pt idx="4">
                  <v>Evan</v>
                </pt>
                <pt idx="5">
                  <v>Grady</v>
                </pt>
                <pt idx="6">
                  <v>Ethan</v>
                </pt>
                <pt idx="7">
                  <v>Vignesh</v>
                </pt>
                <pt idx="8">
                  <v>Anthony</v>
                </pt>
                <pt idx="9">
                  <v>Carter</v>
                </pt>
                <pt idx="10">
                  <v>Reuben</v>
                </pt>
                <pt idx="11">
                  <v>Cooper</v>
                </pt>
                <pt idx="12">
                  <v>Maxine</v>
                </pt>
                <pt idx="13">
                  <v>Erick</v>
                </pt>
                <pt idx="14">
                  <v>Joey</v>
                </pt>
                <pt idx="15">
                  <v>Peter</v>
                </pt>
              </strCache>
            </strRef>
          </cat>
          <val>
            <numRef>
              <f>FALL2025!$R$47:$R$62</f>
              <numCache>
                <formatCode>General</formatCode>
                <ptCount val="16"/>
                <pt idx="0">
                  <v>106</v>
                </pt>
                <pt idx="1">
                  <v>102</v>
                </pt>
                <pt idx="2">
                  <v>86</v>
                </pt>
                <pt idx="3">
                  <v>66</v>
                </pt>
                <pt idx="4">
                  <v>65</v>
                </pt>
                <pt idx="5">
                  <v>57</v>
                </pt>
                <pt idx="6">
                  <v>51</v>
                </pt>
                <pt idx="7">
                  <v>41</v>
                </pt>
                <pt idx="8">
                  <v>39</v>
                </pt>
                <pt idx="9">
                  <v>29</v>
                </pt>
                <pt idx="10">
                  <v>27</v>
                </pt>
                <pt idx="11">
                  <v>15</v>
                </pt>
                <pt idx="12">
                  <v>14</v>
                </pt>
                <pt idx="13">
                  <v>12</v>
                </pt>
                <pt idx="14">
                  <v>10</v>
                </pt>
                <pt idx="15">
                  <v>8</v>
                </pt>
              </numCache>
            </numRef>
          </val>
        </ser>
        <gapWidth val="150"/>
        <overlap val="0"/>
        <axId val="80513010"/>
        <axId val="42838262"/>
      </barChart>
      <catAx>
        <axId val="80513010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2838262"/>
        <crosses val="autoZero"/>
        <auto val="1"/>
        <lblAlgn val="ctr"/>
        <lblOffset val="100"/>
        <noMultiLvlLbl val="0"/>
      </catAx>
      <valAx>
        <axId val="4283826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05130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45212383009359"/>
          <y val="0.158739962940086"/>
          <w val="0.863282937365011"/>
          <h val="0.666954910438542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FALL2025!$G$65:$G$80</f>
              <strCache>
                <ptCount val="16"/>
                <pt idx="0">
                  <v>Peter</v>
                </pt>
                <pt idx="1">
                  <v>Maxine</v>
                </pt>
                <pt idx="2">
                  <v>Ethan</v>
                </pt>
                <pt idx="3">
                  <v>Lucy</v>
                </pt>
                <pt idx="4">
                  <v>Carter</v>
                </pt>
                <pt idx="5">
                  <v>Will</v>
                </pt>
                <pt idx="6">
                  <v>Mikey</v>
                </pt>
                <pt idx="7">
                  <v>Joey</v>
                </pt>
                <pt idx="8">
                  <v>Anthony</v>
                </pt>
                <pt idx="9">
                  <v>Erick</v>
                </pt>
                <pt idx="10">
                  <v>Evan</v>
                </pt>
                <pt idx="11">
                  <v>Vignesh</v>
                </pt>
                <pt idx="12">
                  <v>Grady</v>
                </pt>
                <pt idx="13">
                  <v>Cooper</v>
                </pt>
                <pt idx="14">
                  <v>Rob</v>
                </pt>
                <pt idx="15">
                  <v>Reuben</v>
                </pt>
              </strCache>
            </strRef>
          </cat>
          <val>
            <numRef>
              <f>FALL2025!$H$65:$H$80</f>
              <numCache>
                <formatCode>0.00</formatCode>
                <ptCount val="16"/>
                <pt idx="0">
                  <v>2.14285714285714</v>
                </pt>
                <pt idx="1">
                  <v>2.08333333333333</v>
                </pt>
                <pt idx="2">
                  <v>1.53488372093023</v>
                </pt>
                <pt idx="3">
                  <v>1.26530612244898</v>
                </pt>
                <pt idx="4">
                  <v>1.23809523809524</v>
                </pt>
                <pt idx="5">
                  <v>1.21428571428571</v>
                </pt>
                <pt idx="6">
                  <v>1.09210526315789</v>
                </pt>
                <pt idx="7">
                  <v>1</v>
                </pt>
                <pt idx="8">
                  <v>0.9375</v>
                </pt>
                <pt idx="9">
                  <v>0.875</v>
                </pt>
                <pt idx="10">
                  <v>0.866666666666667</v>
                </pt>
                <pt idx="11">
                  <v>0.866666666666667</v>
                </pt>
                <pt idx="12">
                  <v>0.68421052631579</v>
                </pt>
                <pt idx="13">
                  <v>0.538461538461538</v>
                </pt>
                <pt idx="14">
                  <v>0.490566037735849</v>
                </pt>
                <pt idx="15">
                  <v>0</v>
                </pt>
              </numCache>
            </numRef>
          </val>
        </ser>
        <gapWidth val="150"/>
        <overlap val="0"/>
        <axId val="39883709"/>
        <axId val="83427744"/>
      </barChart>
      <catAx>
        <axId val="39883709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3427744"/>
        <crosses val="autoZero"/>
        <auto val="1"/>
        <lblAlgn val="ctr"/>
        <lblOffset val="100"/>
        <noMultiLvlLbl val="0"/>
      </catAx>
      <valAx>
        <axId val="8342774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988370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FALL2025!$Q$65:$Q$80</f>
              <strCache>
                <ptCount val="16"/>
                <pt idx="0">
                  <v>Maxine</v>
                </pt>
                <pt idx="1">
                  <v>Peter</v>
                </pt>
                <pt idx="2">
                  <v>Ethan</v>
                </pt>
                <pt idx="3">
                  <v>Carter</v>
                </pt>
                <pt idx="4">
                  <v>Joey</v>
                </pt>
                <pt idx="5">
                  <v>Lucy</v>
                </pt>
                <pt idx="6">
                  <v>Will</v>
                </pt>
                <pt idx="7">
                  <v>Mikey</v>
                </pt>
                <pt idx="8">
                  <v>Anthony</v>
                </pt>
                <pt idx="9">
                  <v>Vignesh</v>
                </pt>
                <pt idx="10">
                  <v>Cooper</v>
                </pt>
                <pt idx="11">
                  <v>Erick</v>
                </pt>
                <pt idx="12">
                  <v>Evan</v>
                </pt>
                <pt idx="13">
                  <v>Grady</v>
                </pt>
                <pt idx="14">
                  <v>Rob</v>
                </pt>
                <pt idx="15">
                  <v>Reuben</v>
                </pt>
              </strCache>
            </strRef>
          </cat>
          <val>
            <numRef>
              <f>FALL2025!$R$65:$R$80</f>
              <numCache>
                <formatCode>0.00</formatCode>
                <ptCount val="16"/>
                <pt idx="0">
                  <v>4.07142857142857</v>
                </pt>
                <pt idx="1">
                  <v>2.875</v>
                </pt>
                <pt idx="2">
                  <v>1.94117647058824</v>
                </pt>
                <pt idx="3">
                  <v>1.3448275862069</v>
                </pt>
                <pt idx="4">
                  <v>1.3</v>
                </pt>
                <pt idx="5">
                  <v>1.28787878787879</v>
                </pt>
                <pt idx="6">
                  <v>1.19607843137255</v>
                </pt>
                <pt idx="7">
                  <v>1.11320754716981</v>
                </pt>
                <pt idx="8">
                  <v>1.07692307692308</v>
                </pt>
                <pt idx="9">
                  <v>0.902439024390244</v>
                </pt>
                <pt idx="10">
                  <v>0.866666666666667</v>
                </pt>
                <pt idx="11">
                  <v>0.833333333333333</v>
                </pt>
                <pt idx="12">
                  <v>0.784615384615385</v>
                </pt>
                <pt idx="13">
                  <v>0.631578947368421</v>
                </pt>
                <pt idx="14">
                  <v>0.383720930232558</v>
                </pt>
                <pt idx="15">
                  <v>0</v>
                </pt>
              </numCache>
            </numRef>
          </val>
        </ser>
        <gapWidth val="150"/>
        <overlap val="0"/>
        <axId val="46654910"/>
        <axId val="69293377"/>
      </barChart>
      <catAx>
        <axId val="46654910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9293377"/>
        <crosses val="autoZero"/>
        <auto val="1"/>
        <lblAlgn val="ctr"/>
        <lblOffset val="100"/>
        <noMultiLvlLbl val="0"/>
      </catAx>
      <valAx>
        <axId val="6929337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66549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FALL2025!$G$83:$G$86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FALL2025!$H$83:$H$86</f>
              <numCache>
                <formatCode>0.00</formatCode>
                <ptCount val="4"/>
                <pt idx="0">
                  <v>7.5</v>
                </pt>
                <pt idx="1">
                  <v>35</v>
                </pt>
                <pt idx="2">
                  <v>38.5</v>
                </pt>
                <pt idx="3">
                  <v>51.75</v>
                </pt>
              </numCache>
            </numRef>
          </val>
        </ser>
        <gapWidth val="150"/>
        <overlap val="0"/>
        <axId val="85486947"/>
        <axId val="69584493"/>
      </barChart>
      <catAx>
        <axId val="85486947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9584493"/>
        <crosses val="autoZero"/>
        <auto val="1"/>
        <lblAlgn val="ctr"/>
        <lblOffset val="100"/>
        <noMultiLvlLbl val="0"/>
      </catAx>
      <valAx>
        <axId val="69584493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5486947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FALL2025!$Q$83:$Q$86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FALL2025!$R$83:$R$86</f>
              <numCache>
                <formatCode>0.00</formatCode>
                <ptCount val="4"/>
                <pt idx="0">
                  <v>11.5</v>
                </pt>
                <pt idx="1">
                  <v>49.25</v>
                </pt>
                <pt idx="2">
                  <v>59.75</v>
                </pt>
                <pt idx="3">
                  <v>74</v>
                </pt>
              </numCache>
            </numRef>
          </val>
        </ser>
        <gapWidth val="150"/>
        <overlap val="0"/>
        <axId val="16407292"/>
        <axId val="50894692"/>
      </barChart>
      <catAx>
        <axId val="16407292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0894692"/>
        <crosses val="autoZero"/>
        <auto val="1"/>
        <lblAlgn val="ctr"/>
        <lblOffset val="100"/>
        <noMultiLvlLbl val="0"/>
      </catAx>
      <valAx>
        <axId val="5089469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6407292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FALL2025!$G$94:$G$97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FALL2025!$H$94:$H$97</f>
              <numCache>
                <formatCode>0.00</formatCode>
                <ptCount val="4"/>
                <pt idx="0">
                  <v>11.5</v>
                </pt>
                <pt idx="1">
                  <v>34.5</v>
                </pt>
                <pt idx="2">
                  <v>36.5</v>
                </pt>
                <pt idx="3">
                  <v>49.5</v>
                </pt>
              </numCache>
            </numRef>
          </val>
        </ser>
        <gapWidth val="150"/>
        <overlap val="0"/>
        <axId val="79868027"/>
        <axId val="78755270"/>
      </barChart>
      <catAx>
        <axId val="79868027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8755270"/>
        <crosses val="autoZero"/>
        <auto val="1"/>
        <lblAlgn val="ctr"/>
        <lblOffset val="100"/>
        <noMultiLvlLbl val="0"/>
      </catAx>
      <valAx>
        <axId val="7875527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9868027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FALL2025!$Q$94:$Q$97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FALL2025!$R$94:$R$97</f>
              <numCache>
                <formatCode>0.00</formatCode>
                <ptCount val="4"/>
                <pt idx="0">
                  <v>17.5</v>
                </pt>
                <pt idx="1">
                  <v>48.25</v>
                </pt>
                <pt idx="2">
                  <v>50</v>
                </pt>
                <pt idx="3">
                  <v>69.5</v>
                </pt>
              </numCache>
            </numRef>
          </val>
        </ser>
        <gapWidth val="150"/>
        <overlap val="0"/>
        <axId val="1550786"/>
        <axId val="22641517"/>
      </barChart>
      <catAx>
        <axId val="1550786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2641517"/>
        <crosses val="autoZero"/>
        <auto val="1"/>
        <lblAlgn val="ctr"/>
        <lblOffset val="100"/>
        <noMultiLvlLbl val="0"/>
      </catAx>
      <valAx>
        <axId val="2264151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550786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FALL2025!$G$105:$G$108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Baris</v>
                </pt>
                <pt idx="3">
                  <v>Leads</v>
                </pt>
              </strCache>
            </strRef>
          </cat>
          <val>
            <numRef>
              <f>FALL2025!$H$105:$H$108</f>
              <numCache>
                <formatCode>0.00</formatCode>
                <ptCount val="4"/>
                <pt idx="0">
                  <v>0.652173913043478</v>
                </pt>
                <pt idx="1">
                  <v>1.01449275362319</v>
                </pt>
                <pt idx="2">
                  <v>1.04545454545455</v>
                </pt>
                <pt idx="3">
                  <v>1.05479452054795</v>
                </pt>
              </numCache>
            </numRef>
          </val>
        </ser>
        <gapWidth val="150"/>
        <overlap val="0"/>
        <axId val="34450831"/>
        <axId val="31554937"/>
      </barChart>
      <catAx>
        <axId val="34450831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1554937"/>
        <crosses val="autoZero"/>
        <auto val="1"/>
        <lblAlgn val="ctr"/>
        <lblOffset val="100"/>
        <noMultiLvlLbl val="0"/>
      </catAx>
      <valAx>
        <axId val="3155493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4450831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FALL2025!$Q$105:$Q$108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Baris</v>
                </pt>
                <pt idx="3">
                  <v>Leads</v>
                </pt>
              </strCache>
            </strRef>
          </cat>
          <val>
            <numRef>
              <f>FALL2025!$R$105:$R$108</f>
              <numCache>
                <formatCode>0.00</formatCode>
                <ptCount val="4"/>
                <pt idx="0">
                  <v>0.657142857142857</v>
                </pt>
                <pt idx="1">
                  <v>1.02072538860104</v>
                </pt>
                <pt idx="2">
                  <v>1.06474820143885</v>
                </pt>
                <pt idx="3">
                  <v>1.195</v>
                </pt>
              </numCache>
            </numRef>
          </val>
        </ser>
        <gapWidth val="150"/>
        <overlap val="0"/>
        <axId val="85175257"/>
        <axId val="37195519"/>
      </barChart>
      <catAx>
        <axId val="85175257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7195519"/>
        <crosses val="autoZero"/>
        <auto val="1"/>
        <lblAlgn val="ctr"/>
        <lblOffset val="100"/>
        <noMultiLvlLbl val="0"/>
      </catAx>
      <valAx>
        <axId val="3719551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5175257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5096055473457"/>
          <y val="0.104727346033666"/>
          <w val="0.86194157099011"/>
          <h val="0.755367402479589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FALL2025!$AN$36:$AN$51</f>
              <strCache>
                <ptCount val="16"/>
                <pt idx="0">
                  <v>Ethan</v>
                </pt>
                <pt idx="1">
                  <v>Will</v>
                </pt>
                <pt idx="2">
                  <v>Maxine</v>
                </pt>
                <pt idx="3">
                  <v>Mikey</v>
                </pt>
                <pt idx="4">
                  <v>Lucy</v>
                </pt>
                <pt idx="5">
                  <v>Carter</v>
                </pt>
                <pt idx="6">
                  <v>Peter</v>
                </pt>
                <pt idx="7">
                  <v>Anthony</v>
                </pt>
                <pt idx="8">
                  <v>Vignesh</v>
                </pt>
                <pt idx="9">
                  <v>Evan</v>
                </pt>
                <pt idx="10">
                  <v>Joey</v>
                </pt>
                <pt idx="11">
                  <v>Erick</v>
                </pt>
                <pt idx="12">
                  <v>Cooper</v>
                </pt>
                <pt idx="13">
                  <v>Grady</v>
                </pt>
                <pt idx="14">
                  <v>Rob</v>
                </pt>
                <pt idx="15">
                  <v>Reuben</v>
                </pt>
              </strCache>
            </strRef>
          </cat>
          <val>
            <numRef>
              <f>FALL2025!$AP$36:$AP$51</f>
              <numCache>
                <formatCode>0.00</formatCode>
                <ptCount val="16"/>
                <pt idx="0">
                  <v>1378.76390788874</v>
                </pt>
                <pt idx="1">
                  <v>1156.57212885154</v>
                </pt>
                <pt idx="2">
                  <v>1140.38571428571</v>
                </pt>
                <pt idx="3">
                  <v>1024.75515168918</v>
                </pt>
                <pt idx="4">
                  <v>1000.72686875337</v>
                </pt>
                <pt idx="5">
                  <v>817.537356321839</v>
                </pt>
                <pt idx="6">
                  <v>752.505952380952</v>
                </pt>
                <pt idx="7">
                  <v>679.06891025641</v>
                </pt>
                <pt idx="8">
                  <v>580.2725140712949</v>
                </pt>
                <pt idx="9">
                  <v>543.9636752136749</v>
                </pt>
                <pt idx="10">
                  <v>511.083333333333</v>
                </pt>
                <pt idx="11">
                  <v>458.029761904762</v>
                </pt>
                <pt idx="12">
                  <v>425.277472527473</v>
                </pt>
                <pt idx="13">
                  <v>421.670377867746</v>
                </pt>
                <pt idx="14">
                  <v>85.20562606181301</v>
                </pt>
                <pt idx="15">
                  <v>0</v>
                </pt>
              </numCache>
            </numRef>
          </val>
        </ser>
        <gapWidth val="150"/>
        <overlap val="0"/>
        <axId val="13024488"/>
        <axId val="43937226"/>
      </barChart>
      <catAx>
        <axId val="1302448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3937226"/>
        <crosses val="autoZero"/>
        <auto val="1"/>
        <lblAlgn val="ctr"/>
        <lblOffset val="100"/>
        <noMultiLvlLbl val="0"/>
      </catAx>
      <valAx>
        <axId val="43937226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302448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3071937367644"/>
          <y val="0.123438893844781"/>
          <w val="0.8613874093563501"/>
          <h val="0.773416592328278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FALL2025!$AN$66:$AN$70</f>
              <strCache>
                <ptCount val="5"/>
                <pt idx="0">
                  <v>Basses (No Reuben)</v>
                </pt>
                <pt idx="1">
                  <v>Baris</v>
                </pt>
                <pt idx="2">
                  <v>Leads</v>
                </pt>
                <pt idx="3">
                  <v>Tenors</v>
                </pt>
                <pt idx="4">
                  <v>Basses</v>
                </pt>
              </strCache>
            </strRef>
          </cat>
          <val>
            <numRef>
              <f>FALL2025!$AP$66:$AP$70</f>
              <numCache>
                <formatCode>0.00</formatCode>
                <ptCount val="5"/>
                <pt idx="0">
                  <v>343.041149068323</v>
                </pt>
                <pt idx="1">
                  <v>317.433491095323</v>
                </pt>
                <pt idx="2">
                  <v>308.296760466058</v>
                </pt>
                <pt idx="3">
                  <v>207.33749289308</v>
                </pt>
                <pt idx="4">
                  <v>0</v>
                </pt>
              </numCache>
            </numRef>
          </val>
        </ser>
        <gapWidth val="150"/>
        <overlap val="0"/>
        <axId val="78836204"/>
        <axId val="72112907"/>
      </barChart>
      <catAx>
        <axId val="78836204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2112907"/>
        <crosses val="autoZero"/>
        <auto val="1"/>
        <lblAlgn val="ctr"/>
        <lblOffset val="100"/>
        <noMultiLvlLbl val="0"/>
      </catAx>
      <valAx>
        <axId val="72112907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883620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Fall2025PRE!$G$26:$G$36</f>
              <strCache>
                <ptCount val="11"/>
                <pt idx="0">
                  <v>Ethan</v>
                </pt>
                <pt idx="1">
                  <v>Maxine</v>
                </pt>
                <pt idx="2">
                  <v>Anthony</v>
                </pt>
                <pt idx="3">
                  <v>Evan</v>
                </pt>
                <pt idx="4">
                  <v>Peter</v>
                </pt>
                <pt idx="5">
                  <v>Joey</v>
                </pt>
                <pt idx="6">
                  <v>Carter</v>
                </pt>
                <pt idx="7">
                  <v>Grady</v>
                </pt>
                <pt idx="8">
                  <v>Cooper</v>
                </pt>
                <pt idx="9">
                  <v>Erick</v>
                </pt>
                <pt idx="10">
                  <v>Reuben</v>
                </pt>
              </strCache>
            </strRef>
          </cat>
          <val>
            <numRef>
              <f>Fall2025PRE!$H$26:$H$36</f>
              <numCache>
                <formatCode>General</formatCode>
                <ptCount val="11"/>
                <pt idx="0">
                  <v>18</v>
                </pt>
                <pt idx="1">
                  <v>13</v>
                </pt>
                <pt idx="2">
                  <v>11</v>
                </pt>
                <pt idx="3">
                  <v>10</v>
                </pt>
                <pt idx="4">
                  <v>7</v>
                </pt>
                <pt idx="5">
                  <v>5</v>
                </pt>
                <pt idx="6">
                  <v>3</v>
                </pt>
                <pt idx="7">
                  <v>3</v>
                </pt>
                <pt idx="8">
                  <v>3</v>
                </pt>
                <pt idx="9">
                  <v>1</v>
                </pt>
                <pt idx="10">
                  <v>0</v>
                </pt>
              </numCache>
            </numRef>
          </val>
        </ser>
        <gapWidth val="150"/>
        <overlap val="0"/>
        <axId val="54050275"/>
        <axId val="17467303"/>
      </barChart>
      <catAx>
        <axId val="5405027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7467303"/>
        <crosses val="autoZero"/>
        <auto val="1"/>
        <lblAlgn val="ctr"/>
        <lblOffset val="100"/>
        <noMultiLvlLbl val="0"/>
      </catAx>
      <valAx>
        <axId val="17467303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405027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Fall2025PRE!$Q$26:$Q$36</f>
              <strCache>
                <ptCount val="11"/>
                <pt idx="0">
                  <v>Ethan</v>
                </pt>
                <pt idx="1">
                  <v>Maxine</v>
                </pt>
                <pt idx="2">
                  <v>Anthony</v>
                </pt>
                <pt idx="3">
                  <v>Evan</v>
                </pt>
                <pt idx="4">
                  <v>Peter</v>
                </pt>
                <pt idx="5">
                  <v>Joey</v>
                </pt>
                <pt idx="6">
                  <v>Carter</v>
                </pt>
                <pt idx="7">
                  <v>Cooper</v>
                </pt>
                <pt idx="8">
                  <v>Grady</v>
                </pt>
                <pt idx="9">
                  <v>Erick</v>
                </pt>
                <pt idx="10">
                  <v>Reuben</v>
                </pt>
              </strCache>
            </strRef>
          </cat>
          <val>
            <numRef>
              <f>Fall2025PRE!$R$26:$R$36</f>
              <numCache>
                <formatCode>General</formatCode>
                <ptCount val="11"/>
                <pt idx="0">
                  <v>28</v>
                </pt>
                <pt idx="1">
                  <v>21</v>
                </pt>
                <pt idx="2">
                  <v>18</v>
                </pt>
                <pt idx="3">
                  <v>13</v>
                </pt>
                <pt idx="4">
                  <v>11</v>
                </pt>
                <pt idx="5">
                  <v>10</v>
                </pt>
                <pt idx="6">
                  <v>4</v>
                </pt>
                <pt idx="7">
                  <v>4</v>
                </pt>
                <pt idx="8">
                  <v>3</v>
                </pt>
                <pt idx="9">
                  <v>1</v>
                </pt>
                <pt idx="10">
                  <v>0</v>
                </pt>
              </numCache>
            </numRef>
          </val>
        </ser>
        <gapWidth val="150"/>
        <overlap val="0"/>
        <axId val="33159793"/>
        <axId val="96586052"/>
      </barChart>
      <catAx>
        <axId val="33159793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6586052"/>
        <crosses val="autoZero"/>
        <auto val="1"/>
        <lblAlgn val="ctr"/>
        <lblOffset val="100"/>
        <noMultiLvlLbl val="0"/>
      </catAx>
      <valAx>
        <axId val="9658605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315979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Fall2025PRE!$G$42:$G$52</f>
              <strCache>
                <ptCount val="11"/>
                <pt idx="0">
                  <v>Evan</v>
                </pt>
                <pt idx="1">
                  <v>Grady</v>
                </pt>
                <pt idx="2">
                  <v>Ethan</v>
                </pt>
                <pt idx="3">
                  <v>Maxine</v>
                </pt>
                <pt idx="4">
                  <v>Erick</v>
                </pt>
                <pt idx="5">
                  <v>Anthony</v>
                </pt>
                <pt idx="6">
                  <v>Reuben</v>
                </pt>
                <pt idx="7">
                  <v>Cooper</v>
                </pt>
                <pt idx="8">
                  <v>Carter</v>
                </pt>
                <pt idx="9">
                  <v>Peter</v>
                </pt>
                <pt idx="10">
                  <v>Joey</v>
                </pt>
              </strCache>
            </strRef>
          </cat>
          <val>
            <numRef>
              <f>Fall2025PRE!$H$42:$H$52</f>
              <numCache>
                <formatCode>General</formatCode>
                <ptCount val="11"/>
                <pt idx="0">
                  <v>13</v>
                </pt>
                <pt idx="1">
                  <v>12</v>
                </pt>
                <pt idx="2">
                  <v>8</v>
                </pt>
                <pt idx="3">
                  <v>7</v>
                </pt>
                <pt idx="4">
                  <v>5</v>
                </pt>
                <pt idx="5">
                  <v>5</v>
                </pt>
                <pt idx="6">
                  <v>5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3</v>
                </pt>
              </numCache>
            </numRef>
          </val>
        </ser>
        <gapWidth val="150"/>
        <overlap val="0"/>
        <axId val="16466161"/>
        <axId val="22357506"/>
      </barChart>
      <catAx>
        <axId val="1646616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2357506"/>
        <crosses val="autoZero"/>
        <auto val="1"/>
        <lblAlgn val="ctr"/>
        <lblOffset val="100"/>
        <noMultiLvlLbl val="0"/>
      </catAx>
      <valAx>
        <axId val="2235750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64661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Fall2025PRE!$Q$42:$Q$52</f>
              <strCache>
                <ptCount val="11"/>
                <pt idx="0">
                  <v>Grady</v>
                </pt>
                <pt idx="1">
                  <v>Evan</v>
                </pt>
                <pt idx="2">
                  <v>Ethan</v>
                </pt>
                <pt idx="3">
                  <v>Maxine</v>
                </pt>
                <pt idx="4">
                  <v>Erick</v>
                </pt>
                <pt idx="5">
                  <v>Reuben</v>
                </pt>
                <pt idx="6">
                  <v>Peter</v>
                </pt>
                <pt idx="7">
                  <v>Cooper</v>
                </pt>
                <pt idx="8">
                  <v>Carter</v>
                </pt>
                <pt idx="9">
                  <v>Anthony</v>
                </pt>
                <pt idx="10">
                  <v>Joey</v>
                </pt>
              </strCache>
            </strRef>
          </cat>
          <val>
            <numRef>
              <f>Fall2025PRE!$R$42:$R$52</f>
              <numCache>
                <formatCode>General</formatCode>
                <ptCount val="11"/>
                <pt idx="0">
                  <v>20</v>
                </pt>
                <pt idx="1">
                  <v>19</v>
                </pt>
                <pt idx="2">
                  <v>10</v>
                </pt>
                <pt idx="3">
                  <v>9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6</v>
                </pt>
                <pt idx="8">
                  <v>5</v>
                </pt>
                <pt idx="9">
                  <v>5</v>
                </pt>
                <pt idx="10">
                  <v>4</v>
                </pt>
              </numCache>
            </numRef>
          </val>
        </ser>
        <gapWidth val="150"/>
        <overlap val="0"/>
        <axId val="94562235"/>
        <axId val="27543671"/>
      </barChart>
      <catAx>
        <axId val="9456223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7543671"/>
        <crosses val="autoZero"/>
        <auto val="1"/>
        <lblAlgn val="ctr"/>
        <lblOffset val="100"/>
        <noMultiLvlLbl val="0"/>
      </catAx>
      <valAx>
        <axId val="27543671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45622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Fall2025PRE!$G$58:$G$68</f>
              <strCache>
                <ptCount val="11"/>
                <pt idx="0">
                  <v>Ethan</v>
                </pt>
                <pt idx="1">
                  <v>Anthony</v>
                </pt>
                <pt idx="2">
                  <v>Maxine</v>
                </pt>
                <pt idx="3">
                  <v>Peter</v>
                </pt>
                <pt idx="4">
                  <v>Joey</v>
                </pt>
                <pt idx="5">
                  <v>Evan</v>
                </pt>
                <pt idx="6">
                  <v>Carter</v>
                </pt>
                <pt idx="7">
                  <v>Cooper</v>
                </pt>
                <pt idx="8">
                  <v>Grady</v>
                </pt>
                <pt idx="9">
                  <v>Erick</v>
                </pt>
                <pt idx="10">
                  <v>Reuben</v>
                </pt>
              </strCache>
            </strRef>
          </cat>
          <val>
            <numRef>
              <f>Fall2025PRE!$H$58:$H$68</f>
              <numCache>
                <formatCode>0.00</formatCode>
                <ptCount val="11"/>
                <pt idx="0">
                  <v>2.25</v>
                </pt>
                <pt idx="1">
                  <v>2.2</v>
                </pt>
                <pt idx="2">
                  <v>1.85714285714286</v>
                </pt>
                <pt idx="3">
                  <v>1.75</v>
                </pt>
                <pt idx="4">
                  <v>1.66666666666667</v>
                </pt>
                <pt idx="5">
                  <v>0.7692307692307691</v>
                </pt>
                <pt idx="6">
                  <v>0.75</v>
                </pt>
                <pt idx="7">
                  <v>0.6</v>
                </pt>
                <pt idx="8">
                  <v>0.25</v>
                </pt>
                <pt idx="9">
                  <v>0.2</v>
                </pt>
                <pt idx="10">
                  <v>0</v>
                </pt>
              </numCache>
            </numRef>
          </val>
        </ser>
        <gapWidth val="150"/>
        <overlap val="0"/>
        <axId val="37789435"/>
        <axId val="89002946"/>
      </barChart>
      <catAx>
        <axId val="3778943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9002946"/>
        <crosses val="autoZero"/>
        <auto val="1"/>
        <lblAlgn val="ctr"/>
        <lblOffset val="100"/>
        <noMultiLvlLbl val="0"/>
      </catAx>
      <valAx>
        <axId val="8900294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77894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Fall2025PRE!$Q$58:$Q$68</f>
              <strCache>
                <ptCount val="11"/>
                <pt idx="0">
                  <v>Anthony</v>
                </pt>
                <pt idx="1">
                  <v>Ethan</v>
                </pt>
                <pt idx="2">
                  <v>Joey</v>
                </pt>
                <pt idx="3">
                  <v>Maxine</v>
                </pt>
                <pt idx="4">
                  <v>Peter</v>
                </pt>
                <pt idx="5">
                  <v>Carter</v>
                </pt>
                <pt idx="6">
                  <v>Evan</v>
                </pt>
                <pt idx="7">
                  <v>Cooper</v>
                </pt>
                <pt idx="8">
                  <v>Grady</v>
                </pt>
                <pt idx="9">
                  <v>Erick</v>
                </pt>
                <pt idx="10">
                  <v>Reuben</v>
                </pt>
              </strCache>
            </strRef>
          </cat>
          <val>
            <numRef>
              <f>Fall2025PRE!$R$58:$R$68</f>
              <numCache>
                <formatCode>0.00</formatCode>
                <ptCount val="11"/>
                <pt idx="0">
                  <v>3.6</v>
                </pt>
                <pt idx="1">
                  <v>2.8</v>
                </pt>
                <pt idx="2">
                  <v>2.5</v>
                </pt>
                <pt idx="3">
                  <v>2.33333333333333</v>
                </pt>
                <pt idx="4">
                  <v>1.83333333333333</v>
                </pt>
                <pt idx="5">
                  <v>0.8</v>
                </pt>
                <pt idx="6">
                  <v>0.68421052631579</v>
                </pt>
                <pt idx="7">
                  <v>0.666666666666667</v>
                </pt>
                <pt idx="8">
                  <v>0.15</v>
                </pt>
                <pt idx="9">
                  <v>0.142857142857143</v>
                </pt>
                <pt idx="10">
                  <v>0</v>
                </pt>
              </numCache>
            </numRef>
          </val>
        </ser>
        <gapWidth val="150"/>
        <overlap val="0"/>
        <axId val="27160441"/>
        <axId val="68580917"/>
      </barChart>
      <catAx>
        <axId val="2716044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8580917"/>
        <crosses val="autoZero"/>
        <auto val="1"/>
        <lblAlgn val="ctr"/>
        <lblOffset val="100"/>
        <noMultiLvlLbl val="0"/>
      </catAx>
      <valAx>
        <axId val="6858091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71604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Fall2025PRE!$G$74:$G$77</f>
              <strCache>
                <ptCount val="4"/>
                <pt idx="0">
                  <v>Tenors</v>
                </pt>
                <pt idx="1">
                  <v>Basses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Fall2025PRE!$H$74:$H$77</f>
              <numCache>
                <formatCode>0.00</formatCode>
                <ptCount val="4"/>
                <pt idx="0">
                  <v>3</v>
                </pt>
                <pt idx="1">
                  <v>3.25</v>
                </pt>
                <pt idx="2">
                  <v>8.66666666666667</v>
                </pt>
                <pt idx="3">
                  <v>14.5</v>
                </pt>
              </numCache>
            </numRef>
          </val>
        </ser>
        <gapWidth val="150"/>
        <overlap val="0"/>
        <axId val="135389"/>
        <axId val="50013222"/>
      </barChart>
      <catAx>
        <axId val="135389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0013222"/>
        <crosses val="autoZero"/>
        <auto val="1"/>
        <lblAlgn val="ctr"/>
        <lblOffset val="100"/>
        <noMultiLvlLbl val="0"/>
      </catAx>
      <valAx>
        <axId val="5001322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35389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Fall2025PRE!$Q$74:$Q$77</f>
              <strCache>
                <ptCount val="4"/>
                <pt idx="0">
                  <v>Tenors</v>
                </pt>
                <pt idx="1">
                  <v>Basses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Fall2025PRE!$R$74:$R$77</f>
              <numCache>
                <formatCode>0.00</formatCode>
                <ptCount val="4"/>
                <pt idx="0">
                  <v>3.5</v>
                </pt>
                <pt idx="1">
                  <v>5.5</v>
                </pt>
                <pt idx="2">
                  <v>12.6666666666667</v>
                </pt>
                <pt idx="3">
                  <v>23</v>
                </pt>
              </numCache>
            </numRef>
          </val>
        </ser>
        <gapWidth val="150"/>
        <overlap val="0"/>
        <axId val="46855620"/>
        <axId val="93398174"/>
      </barChart>
      <catAx>
        <axId val="46855620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3398174"/>
        <crosses val="autoZero"/>
        <auto val="1"/>
        <lblAlgn val="ctr"/>
        <lblOffset val="100"/>
        <noMultiLvlLbl val="0"/>
      </catAx>
      <valAx>
        <axId val="9339817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685562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Fall2025PRE!$G$85:$G$88</f>
              <strCache>
                <ptCount val="4"/>
                <pt idx="0">
                  <v>Basses</v>
                </pt>
                <pt idx="1">
                  <v>Baris</v>
                </pt>
                <pt idx="2">
                  <v>Tenors</v>
                </pt>
                <pt idx="3">
                  <v>Leads</v>
                </pt>
              </strCache>
            </strRef>
          </cat>
          <val>
            <numRef>
              <f>Fall2025PRE!$H$85:$H$88</f>
              <numCache>
                <formatCode>0.00</formatCode>
                <ptCount val="4"/>
                <pt idx="0">
                  <v>4.25</v>
                </pt>
                <pt idx="1">
                  <v>6.5</v>
                </pt>
                <pt idx="2">
                  <v>8</v>
                </pt>
                <pt idx="3">
                  <v>8.33333333333333</v>
                </pt>
              </numCache>
            </numRef>
          </val>
        </ser>
        <gapWidth val="150"/>
        <overlap val="0"/>
        <axId val="31645773"/>
        <axId val="68509283"/>
      </barChart>
      <catAx>
        <axId val="31645773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8509283"/>
        <crosses val="autoZero"/>
        <auto val="1"/>
        <lblAlgn val="ctr"/>
        <lblOffset val="100"/>
        <noMultiLvlLbl val="0"/>
      </catAx>
      <valAx>
        <axId val="68509283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1645773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Fall2025PRE!$Q$85:$Q$88</f>
              <strCache>
                <ptCount val="4"/>
                <pt idx="0">
                  <v>Basses</v>
                </pt>
                <pt idx="1">
                  <v>Baris</v>
                </pt>
                <pt idx="2">
                  <v>Leads</v>
                </pt>
                <pt idx="3">
                  <v>Tenors</v>
                </pt>
              </strCache>
            </strRef>
          </cat>
          <val>
            <numRef>
              <f>Fall2025PRE!$R$85:$R$88</f>
              <numCache>
                <formatCode>0.00</formatCode>
                <ptCount val="4"/>
                <pt idx="0">
                  <v>6</v>
                </pt>
                <pt idx="1">
                  <v>7.5</v>
                </pt>
                <pt idx="2">
                  <v>11.3333333333333</v>
                </pt>
                <pt idx="3">
                  <v>12.5</v>
                </pt>
              </numCache>
            </numRef>
          </val>
        </ser>
        <gapWidth val="150"/>
        <overlap val="0"/>
        <axId val="70488791"/>
        <axId val="66578555"/>
      </barChart>
      <catAx>
        <axId val="70488791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6578555"/>
        <crosses val="autoZero"/>
        <auto val="1"/>
        <lblAlgn val="ctr"/>
        <lblOffset val="100"/>
        <noMultiLvlLbl val="0"/>
      </catAx>
      <valAx>
        <axId val="6657855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0488791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Fall2025PRE!$G$96:$G$99</f>
              <strCache>
                <ptCount val="4"/>
                <pt idx="0">
                  <v>Tenors</v>
                </pt>
                <pt idx="1">
                  <v>Basses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Fall2025PRE!$H$96:$H$99</f>
              <numCache>
                <formatCode>0.00</formatCode>
                <ptCount val="4"/>
                <pt idx="0">
                  <v>0.375</v>
                </pt>
                <pt idx="1">
                  <v>0.764705882352941</v>
                </pt>
                <pt idx="2">
                  <v>1.04</v>
                </pt>
                <pt idx="3">
                  <v>2.23076923076923</v>
                </pt>
              </numCache>
            </numRef>
          </val>
        </ser>
        <gapWidth val="150"/>
        <overlap val="0"/>
        <axId val="8316024"/>
        <axId val="65467892"/>
      </barChart>
      <catAx>
        <axId val="8316024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5467892"/>
        <crosses val="autoZero"/>
        <auto val="1"/>
        <lblAlgn val="ctr"/>
        <lblOffset val="100"/>
        <noMultiLvlLbl val="0"/>
      </catAx>
      <valAx>
        <axId val="6546789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316024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Fall2025PRE!$Q$96:$Q$99</f>
              <strCache>
                <ptCount val="4"/>
                <pt idx="0">
                  <v>Tenors</v>
                </pt>
                <pt idx="1">
                  <v>Basses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Fall2025PRE!$R$96:$R$99</f>
              <numCache>
                <formatCode>0.00</formatCode>
                <ptCount val="4"/>
                <pt idx="0">
                  <v>0.28</v>
                </pt>
                <pt idx="1">
                  <v>0.916666666666667</v>
                </pt>
                <pt idx="2">
                  <v>1.11764705882353</v>
                </pt>
                <pt idx="3">
                  <v>3.06666666666667</v>
                </pt>
              </numCache>
            </numRef>
          </val>
        </ser>
        <gapWidth val="150"/>
        <overlap val="0"/>
        <axId val="57102722"/>
        <axId val="84334951"/>
      </barChart>
      <catAx>
        <axId val="57102722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4334951"/>
        <crosses val="autoZero"/>
        <auto val="1"/>
        <lblAlgn val="ctr"/>
        <lblOffset val="100"/>
        <noMultiLvlLbl val="0"/>
      </catAx>
      <valAx>
        <axId val="84334951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7102722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273560125568582"/>
          <y val="0.115053050397878"/>
          <w val="0.949708501505542"/>
          <h val="0.8101237842617151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Fall2025PRE!$AI$34:$AI$44</f>
              <strCache>
                <ptCount val="11"/>
                <pt idx="0">
                  <v>Ethan</v>
                </pt>
                <pt idx="1">
                  <v>Maxine</v>
                </pt>
                <pt idx="2">
                  <v>Anthony</v>
                </pt>
                <pt idx="3">
                  <v>Joey</v>
                </pt>
                <pt idx="4">
                  <v>Peter</v>
                </pt>
                <pt idx="5">
                  <v>Evan</v>
                </pt>
                <pt idx="6">
                  <v>Cooper</v>
                </pt>
                <pt idx="7">
                  <v>Carter</v>
                </pt>
                <pt idx="8">
                  <v>Erick</v>
                </pt>
                <pt idx="9">
                  <v>Reuben</v>
                </pt>
                <pt idx="10">
                  <v>Grady</v>
                </pt>
              </strCache>
            </strRef>
          </cat>
          <val>
            <numRef>
              <f>Fall2025PRE!$AK$34:$AK$44</f>
              <numCache>
                <formatCode>0.00</formatCode>
                <ptCount val="11"/>
                <pt idx="0">
                  <v>699.694444444445</v>
                </pt>
                <pt idx="1">
                  <v>594.188644688645</v>
                </pt>
                <pt idx="2">
                  <v>588.060606060606</v>
                </pt>
                <pt idx="3">
                  <v>428.333333333333</v>
                </pt>
                <pt idx="4">
                  <v>356.345238095238</v>
                </pt>
                <pt idx="5">
                  <v>249.438596491228</v>
                </pt>
                <pt idx="6">
                  <v>204.166666666667</v>
                </pt>
                <pt idx="7">
                  <v>197.75</v>
                </pt>
                <pt idx="8">
                  <v>73.4047619047619</v>
                </pt>
                <pt idx="9">
                  <v>3.83333333333334</v>
                </pt>
                <pt idx="10">
                  <v>0</v>
                </pt>
              </numCache>
            </numRef>
          </val>
        </ser>
        <gapWidth val="150"/>
        <overlap val="0"/>
        <axId val="60686310"/>
        <axId val="69898930"/>
      </barChart>
      <catAx>
        <axId val="60686310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9898930"/>
        <crosses val="autoZero"/>
        <auto val="1"/>
        <lblAlgn val="ctr"/>
        <lblOffset val="100"/>
        <noMultiLvlLbl val="0"/>
      </catAx>
      <valAx>
        <axId val="6989893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06863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254578516690479"/>
          <y val="0.0994647636039251"/>
          <w val="0.948954409663593"/>
          <h val="0.813559322033898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Fall2025PRE!$AI$61:$AI$65</f>
              <strCache>
                <ptCount val="5"/>
                <pt idx="0">
                  <v>Baris</v>
                </pt>
                <pt idx="1">
                  <v>Leads</v>
                </pt>
                <pt idx="2">
                  <v>Basses (No Reuben)</v>
                </pt>
                <pt idx="3">
                  <v>Basses</v>
                </pt>
                <pt idx="4">
                  <v>Tenors</v>
                </pt>
              </strCache>
            </strRef>
          </cat>
          <val>
            <numRef>
              <f>Fall2025PRE!$AK$61:$AK$65</f>
              <numCache>
                <formatCode>0.00</formatCode>
                <ptCount val="5"/>
                <pt idx="0">
                  <v>426.124778956676</v>
                </pt>
                <pt idx="1">
                  <v>173.513612368024</v>
                </pt>
                <pt idx="2">
                  <v>167.490761689291</v>
                </pt>
                <pt idx="3">
                  <v>122.811840120664</v>
                </pt>
                <pt idx="4">
                  <v>0</v>
                </pt>
              </numCache>
            </numRef>
          </val>
        </ser>
        <gapWidth val="150"/>
        <overlap val="0"/>
        <axId val="30675132"/>
        <axId val="10137237"/>
      </barChart>
      <catAx>
        <axId val="3067513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0137237"/>
        <crosses val="autoZero"/>
        <auto val="1"/>
        <lblAlgn val="ctr"/>
        <lblOffset val="100"/>
        <noMultiLvlLbl val="0"/>
      </catAx>
      <valAx>
        <axId val="10137237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067513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Spring2025!$G$26:$G$37</f>
              <strCache>
                <ptCount val="12"/>
                <pt idx="0">
                  <v>Ethan</v>
                </pt>
                <pt idx="1">
                  <v>David</v>
                </pt>
                <pt idx="2">
                  <v>Evan</v>
                </pt>
                <pt idx="3">
                  <v>Grady</v>
                </pt>
                <pt idx="4">
                  <v>Carter</v>
                </pt>
                <pt idx="5">
                  <v>Maxine</v>
                </pt>
                <pt idx="6">
                  <v>Anthony</v>
                </pt>
                <pt idx="7">
                  <v>Cooper</v>
                </pt>
                <pt idx="8">
                  <v>Tyler</v>
                </pt>
                <pt idx="9">
                  <v>Erick</v>
                </pt>
                <pt idx="10">
                  <v>Joey</v>
                </pt>
                <pt idx="11">
                  <v>Reuben</v>
                </pt>
              </strCache>
            </strRef>
          </cat>
          <val>
            <numRef>
              <f>Spring2025!$H$26:$H$37</f>
              <numCache>
                <formatCode>General</formatCode>
                <ptCount val="12"/>
                <pt idx="0">
                  <v>77</v>
                </pt>
                <pt idx="1">
                  <v>54</v>
                </pt>
                <pt idx="2">
                  <v>50</v>
                </pt>
                <pt idx="3">
                  <v>42</v>
                </pt>
                <pt idx="4">
                  <v>28</v>
                </pt>
                <pt idx="5">
                  <v>19</v>
                </pt>
                <pt idx="6">
                  <v>15</v>
                </pt>
                <pt idx="7">
                  <v>6</v>
                </pt>
                <pt idx="8">
                  <v>2</v>
                </pt>
                <pt idx="9">
                  <v>2</v>
                </pt>
                <pt idx="10">
                  <v>1</v>
                </pt>
                <pt idx="11">
                  <v>0</v>
                </pt>
              </numCache>
            </numRef>
          </val>
        </ser>
        <gapWidth val="150"/>
        <overlap val="0"/>
        <axId val="85766302"/>
        <axId val="2150654"/>
      </barChart>
      <catAx>
        <axId val="8576630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150654"/>
        <crosses val="autoZero"/>
        <auto val="1"/>
        <lblAlgn val="ctr"/>
        <lblOffset val="100"/>
        <noMultiLvlLbl val="0"/>
      </catAx>
      <valAx>
        <axId val="215065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57663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96B24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Spring2025!$Q$26:$Q$37</f>
              <strCache>
                <ptCount val="12"/>
                <pt idx="0">
                  <v>Ethan</v>
                </pt>
                <pt idx="1">
                  <v>David</v>
                </pt>
                <pt idx="2">
                  <v>Evan</v>
                </pt>
                <pt idx="3">
                  <v>Grady</v>
                </pt>
                <pt idx="4">
                  <v>Carter</v>
                </pt>
                <pt idx="5">
                  <v>Maxine</v>
                </pt>
                <pt idx="6">
                  <v>Anthony</v>
                </pt>
                <pt idx="7">
                  <v>Cooper</v>
                </pt>
                <pt idx="8">
                  <v>Tyler</v>
                </pt>
                <pt idx="9">
                  <v>Erick</v>
                </pt>
                <pt idx="10">
                  <v>Joey</v>
                </pt>
                <pt idx="11">
                  <v>Reuben</v>
                </pt>
              </strCache>
            </strRef>
          </cat>
          <val>
            <numRef>
              <f>Spring2025!$R$26:$R$37</f>
              <numCache>
                <formatCode>General</formatCode>
                <ptCount val="12"/>
                <pt idx="0">
                  <v>117</v>
                </pt>
                <pt idx="1">
                  <v>67</v>
                </pt>
                <pt idx="2">
                  <v>62</v>
                </pt>
                <pt idx="3">
                  <v>56</v>
                </pt>
                <pt idx="4">
                  <v>33</v>
                </pt>
                <pt idx="5">
                  <v>0</v>
                </pt>
                <pt idx="6">
                  <v>22</v>
                </pt>
                <pt idx="7">
                  <v>8</v>
                </pt>
                <pt idx="8">
                  <v>4</v>
                </pt>
                <pt idx="9">
                  <v>2</v>
                </pt>
                <pt idx="10">
                  <v>2</v>
                </pt>
                <pt idx="11">
                  <v>0</v>
                </pt>
              </numCache>
            </numRef>
          </val>
        </ser>
        <gapWidth val="150"/>
        <overlap val="0"/>
        <axId val="9064616"/>
        <axId val="42936369"/>
      </barChart>
      <catAx>
        <axId val="9064616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2936369"/>
        <crosses val="autoZero"/>
        <auto val="1"/>
        <lblAlgn val="ctr"/>
        <lblOffset val="100"/>
        <noMultiLvlLbl val="0"/>
      </catAx>
      <valAx>
        <axId val="4293636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06461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Spring2025!$G$42:$G$53</f>
              <strCache>
                <ptCount val="12"/>
                <pt idx="0">
                  <v>Evan</v>
                </pt>
                <pt idx="1">
                  <v>Reuben</v>
                </pt>
                <pt idx="2">
                  <v>Ethan</v>
                </pt>
                <pt idx="3">
                  <v>David</v>
                </pt>
                <pt idx="4">
                  <v>Grady</v>
                </pt>
                <pt idx="5">
                  <v>Carter</v>
                </pt>
                <pt idx="6">
                  <v>Maxine</v>
                </pt>
                <pt idx="7">
                  <v>Cooper</v>
                </pt>
                <pt idx="8">
                  <v>Anthony</v>
                </pt>
                <pt idx="9">
                  <v>Tyler</v>
                </pt>
                <pt idx="10">
                  <v>Joey</v>
                </pt>
                <pt idx="11">
                  <v>Erick</v>
                </pt>
              </strCache>
            </strRef>
          </cat>
          <val>
            <numRef>
              <f>Spring2025!$H$42:$H$53</f>
              <numCache>
                <formatCode>General</formatCode>
                <ptCount val="12"/>
                <pt idx="0">
                  <v>63</v>
                </pt>
                <pt idx="1">
                  <v>45</v>
                </pt>
                <pt idx="2">
                  <v>43</v>
                </pt>
                <pt idx="3">
                  <v>42</v>
                </pt>
                <pt idx="4">
                  <v>25</v>
                </pt>
                <pt idx="5">
                  <v>25</v>
                </pt>
                <pt idx="6">
                  <v>17</v>
                </pt>
                <pt idx="7">
                  <v>16</v>
                </pt>
                <pt idx="8">
                  <v>14</v>
                </pt>
                <pt idx="9">
                  <v>2</v>
                </pt>
                <pt idx="10">
                  <v>1</v>
                </pt>
                <pt idx="11">
                  <v>1</v>
                </pt>
              </numCache>
            </numRef>
          </val>
        </ser>
        <gapWidth val="150"/>
        <overlap val="0"/>
        <axId val="93293758"/>
        <axId val="53871306"/>
      </barChart>
      <catAx>
        <axId val="9329375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3871306"/>
        <crosses val="autoZero"/>
        <auto val="1"/>
        <lblAlgn val="ctr"/>
        <lblOffset val="100"/>
        <noMultiLvlLbl val="0"/>
      </catAx>
      <valAx>
        <axId val="5387130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329375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Spring2025!$Q$42:$Q$53</f>
              <strCache>
                <ptCount val="12"/>
                <pt idx="0">
                  <v>Evan</v>
                </pt>
                <pt idx="1">
                  <v>Reuben</v>
                </pt>
                <pt idx="2">
                  <v>Ethan</v>
                </pt>
                <pt idx="3">
                  <v>David</v>
                </pt>
                <pt idx="4">
                  <v>Carter</v>
                </pt>
                <pt idx="5">
                  <v>Grady</v>
                </pt>
                <pt idx="6">
                  <v>Cooper</v>
                </pt>
                <pt idx="7">
                  <v>Maxine</v>
                </pt>
                <pt idx="8">
                  <v>Anthony</v>
                </pt>
                <pt idx="9">
                  <v>Tyler</v>
                </pt>
                <pt idx="10">
                  <v>Joey</v>
                </pt>
                <pt idx="11">
                  <v>Erick</v>
                </pt>
              </strCache>
            </strRef>
          </cat>
          <val>
            <numRef>
              <f>Spring2025!$R$42:$R$53</f>
              <numCache>
                <formatCode>General</formatCode>
                <ptCount val="12"/>
                <pt idx="0">
                  <v>87</v>
                </pt>
                <pt idx="1">
                  <v>77</v>
                </pt>
                <pt idx="2">
                  <v>53</v>
                </pt>
                <pt idx="3">
                  <v>48</v>
                </pt>
                <pt idx="4">
                  <v>33</v>
                </pt>
                <pt idx="5">
                  <v>34</v>
                </pt>
                <pt idx="6">
                  <v>22</v>
                </pt>
                <pt idx="7">
                  <v>0</v>
                </pt>
                <pt idx="8">
                  <v>15</v>
                </pt>
                <pt idx="9">
                  <v>2</v>
                </pt>
                <pt idx="10">
                  <v>1</v>
                </pt>
                <pt idx="11">
                  <v>1</v>
                </pt>
              </numCache>
            </numRef>
          </val>
        </ser>
        <gapWidth val="150"/>
        <overlap val="0"/>
        <axId val="63089804"/>
        <axId val="69699565"/>
      </barChart>
      <catAx>
        <axId val="63089804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9699565"/>
        <crosses val="autoZero"/>
        <auto val="1"/>
        <lblAlgn val="ctr"/>
        <lblOffset val="100"/>
        <noMultiLvlLbl val="0"/>
      </catAx>
      <valAx>
        <axId val="6969956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308980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Spring2025!$G$58:$G$69</f>
              <strCache>
                <ptCount val="12"/>
                <pt idx="0">
                  <v>Erick</v>
                </pt>
                <pt idx="1">
                  <v>Ethan</v>
                </pt>
                <pt idx="2">
                  <v>Grady</v>
                </pt>
                <pt idx="3">
                  <v>David</v>
                </pt>
                <pt idx="4">
                  <v>Carter</v>
                </pt>
                <pt idx="5">
                  <v>Maxine</v>
                </pt>
                <pt idx="6">
                  <v>Anthony</v>
                </pt>
                <pt idx="7">
                  <v>Tyler</v>
                </pt>
                <pt idx="8">
                  <v>Joey</v>
                </pt>
                <pt idx="9">
                  <v>Evan</v>
                </pt>
                <pt idx="10">
                  <v>Cooper</v>
                </pt>
                <pt idx="11">
                  <v>Reuben</v>
                </pt>
              </strCache>
            </strRef>
          </cat>
          <val>
            <numRef>
              <f>Spring2025!$H$58:$H$69</f>
              <numCache>
                <formatCode>0.00</formatCode>
                <ptCount val="12"/>
                <pt idx="0">
                  <v>2</v>
                </pt>
                <pt idx="1">
                  <v>1.7906976744186</v>
                </pt>
                <pt idx="2">
                  <v>1.68</v>
                </pt>
                <pt idx="3">
                  <v>1.28571428571429</v>
                </pt>
                <pt idx="4">
                  <v>1.12</v>
                </pt>
                <pt idx="5">
                  <v>1.11764705882353</v>
                </pt>
                <pt idx="6">
                  <v>1.07142857142857</v>
                </pt>
                <pt idx="7">
                  <v>1</v>
                </pt>
                <pt idx="8">
                  <v>1</v>
                </pt>
                <pt idx="9">
                  <v>0.7936507936507941</v>
                </pt>
                <pt idx="10">
                  <v>0.375</v>
                </pt>
                <pt idx="11">
                  <v>0</v>
                </pt>
              </numCache>
            </numRef>
          </val>
        </ser>
        <gapWidth val="150"/>
        <overlap val="0"/>
        <axId val="56874725"/>
        <axId val="38195240"/>
      </barChart>
      <catAx>
        <axId val="5687472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8195240"/>
        <crosses val="autoZero"/>
        <auto val="1"/>
        <lblAlgn val="ctr"/>
        <lblOffset val="100"/>
        <noMultiLvlLbl val="0"/>
      </catAx>
      <valAx>
        <axId val="3819524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687472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Spring2025!$Q$58:$Q$69</f>
              <strCache>
                <ptCount val="12"/>
                <pt idx="0">
                  <v>Erick</v>
                </pt>
                <pt idx="1">
                  <v>Ethan</v>
                </pt>
                <pt idx="2">
                  <v>Tyler</v>
                </pt>
                <pt idx="3">
                  <v>Joey</v>
                </pt>
                <pt idx="4">
                  <v>Grady</v>
                </pt>
                <pt idx="5">
                  <v>Anthony</v>
                </pt>
                <pt idx="6">
                  <v>David</v>
                </pt>
                <pt idx="7">
                  <v>Maxine</v>
                </pt>
                <pt idx="8">
                  <v>Carter</v>
                </pt>
                <pt idx="9">
                  <v>Evan</v>
                </pt>
                <pt idx="10">
                  <v>Cooper</v>
                </pt>
                <pt idx="11">
                  <v>Reuben</v>
                </pt>
              </strCache>
            </strRef>
          </cat>
          <val>
            <numRef>
              <f>Spring2025!$R$58:$R$69</f>
              <numCache>
                <formatCode>0.00</formatCode>
                <ptCount val="12"/>
                <pt idx="0">
                  <v>2</v>
                </pt>
                <pt idx="1">
                  <v>2.20754716981132</v>
                </pt>
                <pt idx="2">
                  <v>2</v>
                </pt>
                <pt idx="3">
                  <v>2</v>
                </pt>
                <pt idx="4">
                  <v>1.64705882352941</v>
                </pt>
                <pt idx="5">
                  <v>1.46666666666667</v>
                </pt>
                <pt idx="6">
                  <v>1.39583333333333</v>
                </pt>
                <pt idx="7">
                  <v>0</v>
                </pt>
                <pt idx="8">
                  <v>1</v>
                </pt>
                <pt idx="9">
                  <v>0.71264367816092</v>
                </pt>
                <pt idx="10">
                  <v>0.363636363636364</v>
                </pt>
                <pt idx="11">
                  <v>0</v>
                </pt>
              </numCache>
            </numRef>
          </val>
        </ser>
        <gapWidth val="150"/>
        <overlap val="0"/>
        <axId val="90440024"/>
        <axId val="8088834"/>
      </barChart>
      <catAx>
        <axId val="90440024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088834"/>
        <crosses val="autoZero"/>
        <auto val="1"/>
        <lblAlgn val="ctr"/>
        <lblOffset val="100"/>
        <noMultiLvlLbl val="0"/>
      </catAx>
      <valAx>
        <axId val="808883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04400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Spring2025!$G$74:$G$77</f>
              <strCache>
                <ptCount val="4"/>
                <pt idx="0">
                  <v>Basses</v>
                </pt>
                <pt idx="1">
                  <v>Baris</v>
                </pt>
                <pt idx="2">
                  <v>Leads</v>
                </pt>
                <pt idx="3">
                  <v>Tenors</v>
                </pt>
              </strCache>
            </strRef>
          </cat>
          <val>
            <numRef>
              <f>Spring2025!$H$74:$H$77</f>
              <numCache>
                <formatCode>0.00</formatCode>
                <ptCount val="4"/>
                <pt idx="0">
                  <v>1</v>
                </pt>
                <pt idx="1">
                  <v>31.3333333333333</v>
                </pt>
                <pt idx="2">
                  <v>32.25</v>
                </pt>
                <pt idx="3">
                  <v>35</v>
                </pt>
              </numCache>
            </numRef>
          </val>
        </ser>
        <gapWidth val="150"/>
        <overlap val="0"/>
        <axId val="46384309"/>
        <axId val="91995548"/>
      </barChart>
      <catAx>
        <axId val="46384309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1995548"/>
        <crosses val="autoZero"/>
        <auto val="1"/>
        <lblAlgn val="ctr"/>
        <lblOffset val="100"/>
        <noMultiLvlLbl val="0"/>
      </catAx>
      <valAx>
        <axId val="9199554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6384309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Spring2025!$Q$74:$Q$77</f>
              <strCache>
                <ptCount val="4"/>
                <pt idx="0">
                  <v>Basses</v>
                </pt>
                <pt idx="1">
                  <v>Leads</v>
                </pt>
                <pt idx="2">
                  <v>Tenors</v>
                </pt>
                <pt idx="3">
                  <v>Baris</v>
                </pt>
              </strCache>
            </strRef>
          </cat>
          <val>
            <numRef>
              <f>Spring2025!$R$74:$R$77</f>
              <numCache>
                <formatCode>0.00</formatCode>
                <ptCount val="4"/>
                <pt idx="0">
                  <v>1.33333333333333</v>
                </pt>
                <pt idx="1">
                  <v>34.25</v>
                </pt>
                <pt idx="2">
                  <v>44.5</v>
                </pt>
                <pt idx="3">
                  <v>47.6666666666667</v>
                </pt>
              </numCache>
            </numRef>
          </val>
        </ser>
        <gapWidth val="150"/>
        <overlap val="0"/>
        <axId val="99966856"/>
        <axId val="10286350"/>
      </barChart>
      <catAx>
        <axId val="99966856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0286350"/>
        <crosses val="autoZero"/>
        <auto val="1"/>
        <lblAlgn val="ctr"/>
        <lblOffset val="100"/>
        <noMultiLvlLbl val="0"/>
      </catAx>
      <valAx>
        <axId val="1028635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9966856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Spring2025!$G$85:$G$88</f>
              <strCache>
                <ptCount val="4"/>
                <pt idx="0">
                  <v>Basses</v>
                </pt>
                <pt idx="1">
                  <v>Baris</v>
                </pt>
                <pt idx="2">
                  <v>Tenors</v>
                </pt>
                <pt idx="3">
                  <v>Leads</v>
                </pt>
              </strCache>
            </strRef>
          </cat>
          <val>
            <numRef>
              <f>Spring2025!$H$85:$H$88</f>
              <numCache>
                <formatCode>0.00</formatCode>
                <ptCount val="4"/>
                <pt idx="0">
                  <v>15.6666666666667</v>
                </pt>
                <pt idx="1">
                  <v>19.6666666666667</v>
                </pt>
                <pt idx="2">
                  <v>25</v>
                </pt>
                <pt idx="3">
                  <v>34.5</v>
                </pt>
              </numCache>
            </numRef>
          </val>
        </ser>
        <gapWidth val="150"/>
        <overlap val="0"/>
        <axId val="2334739"/>
        <axId val="89204586"/>
      </barChart>
      <catAx>
        <axId val="2334739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9204586"/>
        <crosses val="autoZero"/>
        <auto val="1"/>
        <lblAlgn val="ctr"/>
        <lblOffset val="100"/>
        <noMultiLvlLbl val="0"/>
      </catAx>
      <valAx>
        <axId val="8920458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334739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Spring2025!$Q$85:$Q$88</f>
              <strCache>
                <ptCount val="4"/>
                <pt idx="0">
                  <v>Baris</v>
                </pt>
                <pt idx="1">
                  <v>Basses</v>
                </pt>
                <pt idx="2">
                  <v>Tenors</v>
                </pt>
                <pt idx="3">
                  <v>Leads</v>
                </pt>
              </strCache>
            </strRef>
          </cat>
          <val>
            <numRef>
              <f>Spring2025!$R$85:$R$88</f>
              <numCache>
                <formatCode>0.00</formatCode>
                <ptCount val="4"/>
                <pt idx="0">
                  <v>23.3333333333333</v>
                </pt>
                <pt idx="1">
                  <v>26.3333333333333</v>
                </pt>
                <pt idx="2">
                  <v>33.5</v>
                </pt>
                <pt idx="3">
                  <v>39.25</v>
                </pt>
              </numCache>
            </numRef>
          </val>
        </ser>
        <gapWidth val="150"/>
        <overlap val="0"/>
        <axId val="14468033"/>
        <axId val="25830131"/>
      </barChart>
      <catAx>
        <axId val="14468033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5830131"/>
        <crosses val="autoZero"/>
        <auto val="1"/>
        <lblAlgn val="ctr"/>
        <lblOffset val="100"/>
        <noMultiLvlLbl val="0"/>
      </catAx>
      <valAx>
        <axId val="25830131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4468033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Spring2025!$G$96:$G$99</f>
              <strCache>
                <ptCount val="4"/>
                <pt idx="0">
                  <v>Basses</v>
                </pt>
                <pt idx="1">
                  <v>Leads</v>
                </pt>
                <pt idx="2">
                  <v>Tenors</v>
                </pt>
                <pt idx="3">
                  <v>Baris</v>
                </pt>
              </strCache>
            </strRef>
          </cat>
          <val>
            <numRef>
              <f>Spring2025!$H$96:$H$99</f>
              <numCache>
                <formatCode>0.00</formatCode>
                <ptCount val="4"/>
                <pt idx="0">
                  <v>0.0638297872340426</v>
                </pt>
                <pt idx="1">
                  <v>0.934782608695652</v>
                </pt>
                <pt idx="2">
                  <v>1.4</v>
                </pt>
                <pt idx="3">
                  <v>1.59322033898305</v>
                </pt>
              </numCache>
            </numRef>
          </val>
        </ser>
        <gapWidth val="150"/>
        <overlap val="0"/>
        <axId val="47114992"/>
        <axId val="67553006"/>
      </barChart>
      <catAx>
        <axId val="47114992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7553006"/>
        <crosses val="autoZero"/>
        <auto val="1"/>
        <lblAlgn val="ctr"/>
        <lblOffset val="100"/>
        <noMultiLvlLbl val="0"/>
      </catAx>
      <valAx>
        <axId val="6755300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7114992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Spring2025!$Q$96:$Q$99</f>
              <strCache>
                <ptCount val="4"/>
                <pt idx="0">
                  <v>Basses</v>
                </pt>
                <pt idx="1">
                  <v>Leads</v>
                </pt>
                <pt idx="2">
                  <v>Tenors</v>
                </pt>
                <pt idx="3">
                  <v>Baris</v>
                </pt>
              </strCache>
            </strRef>
          </cat>
          <val>
            <numRef>
              <f>Spring2025!$R$96:$R$99</f>
              <numCache>
                <formatCode>0.00</formatCode>
                <ptCount val="4"/>
                <pt idx="0">
                  <v>0.0506329113924051</v>
                </pt>
                <pt idx="1">
                  <v>0.872611464968153</v>
                </pt>
                <pt idx="2">
                  <v>1.32835820895522</v>
                </pt>
                <pt idx="3">
                  <v>2.04285714285714</v>
                </pt>
              </numCache>
            </numRef>
          </val>
        </ser>
        <gapWidth val="150"/>
        <overlap val="0"/>
        <axId val="46288605"/>
        <axId val="77495975"/>
      </barChart>
      <catAx>
        <axId val="46288605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7495975"/>
        <crosses val="autoZero"/>
        <auto val="1"/>
        <lblAlgn val="ctr"/>
        <lblOffset val="100"/>
        <noMultiLvlLbl val="0"/>
      </catAx>
      <valAx>
        <axId val="7749597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6288605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273768688110802"/>
          <y val="0.0151414677276746"/>
          <w val="0.949711992751278"/>
          <h val="0.913793103448276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Spring2025!$AI$34:$AI$45</f>
              <strCache>
                <ptCount val="12"/>
                <pt idx="0">
                  <v>Ethan</v>
                </pt>
                <pt idx="1">
                  <v>David</v>
                </pt>
                <pt idx="2">
                  <v>Grady</v>
                </pt>
                <pt idx="3">
                  <v>Maxine</v>
                </pt>
                <pt idx="4">
                  <v>Carter</v>
                </pt>
                <pt idx="5">
                  <v>Anthony</v>
                </pt>
                <pt idx="6">
                  <v>Erick</v>
                </pt>
                <pt idx="7">
                  <v>Tyler</v>
                </pt>
                <pt idx="8">
                  <v>Joey</v>
                </pt>
                <pt idx="9">
                  <v>Evan</v>
                </pt>
                <pt idx="10">
                  <v>Cooper</v>
                </pt>
                <pt idx="11">
                  <v>Reuben</v>
                </pt>
              </strCache>
            </strRef>
          </cat>
          <val>
            <numRef>
              <f>Spring2025!$AK$34:$AK$45</f>
              <numCache>
                <formatCode>0.00</formatCode>
                <ptCount val="12"/>
                <pt idx="0">
                  <v>2004.91679092688</v>
                </pt>
                <pt idx="1">
                  <v>1471.71858465608</v>
                </pt>
                <pt idx="2">
                  <v>1474.03202614379</v>
                </pt>
                <pt idx="3">
                  <v>873.163398692811</v>
                </pt>
                <pt idx="4">
                  <v>1105.89365079365</v>
                </pt>
                <pt idx="5">
                  <v>1098.24603174603</v>
                </pt>
                <pt idx="6">
                  <v>945.055555555556</v>
                </pt>
                <pt idx="7">
                  <v>965.388888888889</v>
                </pt>
                <pt idx="8">
                  <v>932.555555555556</v>
                </pt>
                <pt idx="9">
                  <v>902.2272030651339</v>
                </pt>
                <pt idx="10">
                  <v>779.688131313131</v>
                </pt>
                <pt idx="11">
                  <v>0</v>
                </pt>
              </numCache>
            </numRef>
          </val>
        </ser>
        <gapWidth val="150"/>
        <overlap val="0"/>
        <axId val="48888437"/>
        <axId val="88275976"/>
      </barChart>
      <catAx>
        <axId val="4888843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8275976"/>
        <crosses val="autoZero"/>
        <auto val="1"/>
        <lblAlgn val="ctr"/>
        <lblOffset val="100"/>
        <noMultiLvlLbl val="0"/>
      </catAx>
      <valAx>
        <axId val="88275976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8888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254609882538224"/>
          <y val="0.034121320249777"/>
          <w val="0.948946781284861"/>
          <h val="0.878902765388046"/>
        </manualLayout>
      </layout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Spring2025!$AI$61:$AI$65</f>
              <strCache>
                <ptCount val="5"/>
                <pt idx="0">
                  <v>Baris</v>
                </pt>
                <pt idx="1">
                  <v>Tenors</v>
                </pt>
                <pt idx="2">
                  <v>Basses (No Reuben)</v>
                </pt>
                <pt idx="3">
                  <v>Leads</v>
                </pt>
                <pt idx="4">
                  <v>Basses</v>
                </pt>
              </strCache>
            </strRef>
          </cat>
          <val>
            <numRef>
              <f>Spring2025!$AK$61:$AK$65</f>
              <numCache>
                <formatCode>0.00</formatCode>
                <ptCount val="5"/>
                <pt idx="0">
                  <v>718.520775879178</v>
                </pt>
                <pt idx="1">
                  <v>590.2596471300531</v>
                </pt>
                <pt idx="2">
                  <v>360.338787144268</v>
                </pt>
                <pt idx="3">
                  <v>364.96865920831</v>
                </pt>
                <pt idx="4">
                  <v>0</v>
                </pt>
              </numCache>
            </numRef>
          </val>
        </ser>
        <gapWidth val="150"/>
        <overlap val="0"/>
        <axId val="93636591"/>
        <axId val="38035821"/>
      </barChart>
      <catAx>
        <axId val="9363659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8035821"/>
        <crosses val="autoZero"/>
        <auto val="1"/>
        <lblAlgn val="ctr"/>
        <lblOffset val="100"/>
        <noMultiLvlLbl val="0"/>
      </catAx>
      <valAx>
        <axId val="38035821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36365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10137672090113"/>
          <y val="0.10272373540856"/>
          <w val="0.865456821026283"/>
          <h val="0.8173429683157311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Fall2024!$AI$34:$AI$46</f>
              <strCache>
                <ptCount val="13"/>
                <pt idx="0">
                  <v>David</v>
                </pt>
                <pt idx="1">
                  <v>Sam</v>
                </pt>
                <pt idx="2">
                  <v>Ethan</v>
                </pt>
                <pt idx="3">
                  <v>Peter</v>
                </pt>
                <pt idx="4">
                  <v>Maxine</v>
                </pt>
                <pt idx="5">
                  <v>Tyler</v>
                </pt>
                <pt idx="6">
                  <v>Jon</v>
                </pt>
                <pt idx="7">
                  <v>Evan</v>
                </pt>
                <pt idx="8">
                  <v>Erick</v>
                </pt>
                <pt idx="9">
                  <v>Carter</v>
                </pt>
                <pt idx="10">
                  <v>Cooper</v>
                </pt>
                <pt idx="11">
                  <v>Grady</v>
                </pt>
                <pt idx="12">
                  <v>Reuben</v>
                </pt>
              </strCache>
            </strRef>
          </cat>
          <val>
            <numRef>
              <f>Fall2024!$AK$34:$AK$46</f>
              <numCache>
                <formatCode>0.00</formatCode>
                <ptCount val="13"/>
                <pt idx="0">
                  <v>2530.42090859332</v>
                </pt>
                <pt idx="1">
                  <v>2258.16064100059</v>
                </pt>
                <pt idx="2">
                  <v>2105.88163868652</v>
                </pt>
                <pt idx="3">
                  <v>1896.73733211233</v>
                </pt>
                <pt idx="4">
                  <v>1367.27265745008</v>
                </pt>
                <pt idx="5">
                  <v>1693.13256841198</v>
                </pt>
                <pt idx="6">
                  <v>1521.04479949875</v>
                </pt>
                <pt idx="7">
                  <v>1546.45321637427</v>
                </pt>
                <pt idx="8">
                  <v>1351.44372294372</v>
                </pt>
                <pt idx="9">
                  <v>1302.83339592929</v>
                </pt>
                <pt idx="10">
                  <v>1196.35281385281</v>
                </pt>
                <pt idx="11">
                  <v>1158.53398453398</v>
                </pt>
                <pt idx="12">
                  <v>0</v>
                </pt>
              </numCache>
            </numRef>
          </val>
        </ser>
        <gapWidth val="150"/>
        <overlap val="0"/>
        <axId val="4372918"/>
        <axId val="68939802"/>
      </barChart>
      <catAx>
        <axId val="437291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8939802"/>
        <crosses val="autoZero"/>
        <auto val="1"/>
        <lblAlgn val="ctr"/>
        <lblOffset val="100"/>
        <noMultiLvlLbl val="0"/>
      </catAx>
      <valAx>
        <axId val="6893980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3729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6472865834921"/>
          <y val="0.165307443365696"/>
          <w val="0.889558109520005"/>
          <h val="0.732686084142395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Fall2024!$AI$61:$AI$65</f>
              <strCache>
                <ptCount val="5"/>
                <pt idx="0">
                  <v>Baris</v>
                </pt>
                <pt idx="1">
                  <v>Leads</v>
                </pt>
                <pt idx="2">
                  <v>Basses (No Reuben)</v>
                </pt>
                <pt idx="3">
                  <v>Basses</v>
                </pt>
                <pt idx="4">
                  <v>Tenors</v>
                </pt>
              </strCache>
            </strRef>
          </cat>
          <val>
            <numRef>
              <f>Fall2024!$AK$61:$AK$65</f>
              <numCache>
                <formatCode>0.00</formatCode>
                <ptCount val="5"/>
                <pt idx="0">
                  <v>763.5146673820969</v>
                </pt>
                <pt idx="1">
                  <v>533.58064029952</v>
                </pt>
                <pt idx="2">
                  <v>389.31118094055</v>
                </pt>
                <pt idx="3">
                  <v>13.9485108725228</v>
                </pt>
                <pt idx="4">
                  <v>0</v>
                </pt>
              </numCache>
            </numRef>
          </val>
        </ser>
        <gapWidth val="150"/>
        <overlap val="0"/>
        <axId val="30416673"/>
        <axId val="35023244"/>
      </barChart>
      <catAx>
        <axId val="30416673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5023244"/>
        <crosses val="autoZero"/>
        <auto val="1"/>
        <lblAlgn val="ctr"/>
        <lblOffset val="100"/>
        <noMultiLvlLbl val="0"/>
      </catAx>
      <valAx>
        <axId val="3502324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0416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Fall2024!$G$26:$G$38</f>
              <strCache>
                <ptCount val="13"/>
                <pt idx="0">
                  <v>David</v>
                </pt>
                <pt idx="1">
                  <v>Ethan</v>
                </pt>
                <pt idx="2">
                  <v>Carter</v>
                </pt>
                <pt idx="3">
                  <v>Sam</v>
                </pt>
                <pt idx="4">
                  <v>Maxine</v>
                </pt>
                <pt idx="5">
                  <v>Evan</v>
                </pt>
                <pt idx="6">
                  <v>Peter</v>
                </pt>
                <pt idx="7">
                  <v>Jon</v>
                </pt>
                <pt idx="8">
                  <v>Grady</v>
                </pt>
                <pt idx="9">
                  <v>Tyler</v>
                </pt>
                <pt idx="10">
                  <v>Erick</v>
                </pt>
                <pt idx="11">
                  <v>Cooper</v>
                </pt>
                <pt idx="12">
                  <v>Reuben</v>
                </pt>
              </strCache>
            </strRef>
          </cat>
          <val>
            <numRef>
              <f>Fall2024!$H$26:$H$38</f>
              <numCache>
                <formatCode>General</formatCode>
                <ptCount val="13"/>
                <pt idx="0">
                  <v>87</v>
                </pt>
                <pt idx="1">
                  <v>60</v>
                </pt>
                <pt idx="2">
                  <v>55</v>
                </pt>
                <pt idx="3">
                  <v>43</v>
                </pt>
                <pt idx="4">
                  <v>43</v>
                </pt>
                <pt idx="5">
                  <v>38</v>
                </pt>
                <pt idx="6">
                  <v>32</v>
                </pt>
                <pt idx="7">
                  <v>19</v>
                </pt>
                <pt idx="8">
                  <v>18</v>
                </pt>
                <pt idx="9">
                  <v>17</v>
                </pt>
                <pt idx="10">
                  <v>10</v>
                </pt>
                <pt idx="11">
                  <v>4</v>
                </pt>
                <pt idx="12">
                  <v>0</v>
                </pt>
              </numCache>
            </numRef>
          </val>
        </ser>
        <gapWidth val="150"/>
        <overlap val="0"/>
        <axId val="76770775"/>
        <axId val="15123655"/>
      </barChart>
      <catAx>
        <axId val="7677077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5123655"/>
        <crosses val="autoZero"/>
        <auto val="1"/>
        <lblAlgn val="ctr"/>
        <lblOffset val="100"/>
        <noMultiLvlLbl val="0"/>
      </catAx>
      <valAx>
        <axId val="1512365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677077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Fall2024!$G$42:$G$54</f>
              <strCache>
                <ptCount val="13"/>
                <pt idx="0">
                  <v>Carter</v>
                </pt>
                <pt idx="1">
                  <v>Reuben</v>
                </pt>
                <pt idx="2">
                  <v>David</v>
                </pt>
                <pt idx="3">
                  <v>Evan</v>
                </pt>
                <pt idx="4">
                  <v>Ethan</v>
                </pt>
                <pt idx="5">
                  <v>Grady</v>
                </pt>
                <pt idx="6">
                  <v>Maxine</v>
                </pt>
                <pt idx="7">
                  <v>Jon</v>
                </pt>
                <pt idx="8">
                  <v>Peter</v>
                </pt>
                <pt idx="9">
                  <v>Sam</v>
                </pt>
                <pt idx="10">
                  <v>Erick</v>
                </pt>
                <pt idx="11">
                  <v>Tyler</v>
                </pt>
                <pt idx="12">
                  <v>Cooper</v>
                </pt>
              </strCache>
            </strRef>
          </cat>
          <val>
            <numRef>
              <f>Fall2024!$H$42:$H$54</f>
              <numCache>
                <formatCode>General</formatCode>
                <ptCount val="13"/>
                <pt idx="0">
                  <v>73</v>
                </pt>
                <pt idx="1">
                  <v>63</v>
                </pt>
                <pt idx="2">
                  <v>51</v>
                </pt>
                <pt idx="3">
                  <v>42</v>
                </pt>
                <pt idx="4">
                  <v>41</v>
                </pt>
                <pt idx="5">
                  <v>39</v>
                </pt>
                <pt idx="6">
                  <v>31</v>
                </pt>
                <pt idx="7">
                  <v>19</v>
                </pt>
                <pt idx="8">
                  <v>18</v>
                </pt>
                <pt idx="9">
                  <v>17</v>
                </pt>
                <pt idx="10">
                  <v>12</v>
                </pt>
                <pt idx="11">
                  <v>12</v>
                </pt>
                <pt idx="12">
                  <v>8</v>
                </pt>
              </numCache>
            </numRef>
          </val>
        </ser>
        <gapWidth val="150"/>
        <overlap val="0"/>
        <axId val="82263959"/>
        <axId val="40379654"/>
      </barChart>
      <catAx>
        <axId val="82263959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0379654"/>
        <crosses val="autoZero"/>
        <auto val="1"/>
        <lblAlgn val="ctr"/>
        <lblOffset val="100"/>
        <noMultiLvlLbl val="0"/>
      </catAx>
      <valAx>
        <axId val="4037965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226395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Fall2024!$G$58:$G$70</f>
              <strCache>
                <ptCount val="13"/>
                <pt idx="0">
                  <v>Sam</v>
                </pt>
                <pt idx="1">
                  <v>Peter</v>
                </pt>
                <pt idx="2">
                  <v>David</v>
                </pt>
                <pt idx="3">
                  <v>Ethan</v>
                </pt>
                <pt idx="4">
                  <v>Tyler</v>
                </pt>
                <pt idx="5">
                  <v>Maxine</v>
                </pt>
                <pt idx="6">
                  <v>Jon</v>
                </pt>
                <pt idx="7">
                  <v>Evan</v>
                </pt>
                <pt idx="8">
                  <v>Erick</v>
                </pt>
                <pt idx="9">
                  <v>Carter</v>
                </pt>
                <pt idx="10">
                  <v>Cooper</v>
                </pt>
                <pt idx="11">
                  <v>Grady</v>
                </pt>
                <pt idx="12">
                  <v>Reuben</v>
                </pt>
              </strCache>
            </strRef>
          </cat>
          <val>
            <numRef>
              <f>Fall2024!$H$58:$H$70</f>
              <numCache>
                <formatCode>0.00</formatCode>
                <ptCount val="13"/>
                <pt idx="0">
                  <v>2.52941176470588</v>
                </pt>
                <pt idx="1">
                  <v>1.77777777777778</v>
                </pt>
                <pt idx="2">
                  <v>1.70588235294118</v>
                </pt>
                <pt idx="3">
                  <v>1.46341463414634</v>
                </pt>
                <pt idx="4">
                  <v>1.41666666666667</v>
                </pt>
                <pt idx="5">
                  <v>1.38709677419355</v>
                </pt>
                <pt idx="6">
                  <v>1</v>
                </pt>
                <pt idx="7">
                  <v>0.904761904761905</v>
                </pt>
                <pt idx="8">
                  <v>0.833333333333333</v>
                </pt>
                <pt idx="9">
                  <v>0.753424657534247</v>
                </pt>
                <pt idx="10">
                  <v>0.5</v>
                </pt>
                <pt idx="11">
                  <v>0.461538461538462</v>
                </pt>
                <pt idx="12">
                  <v>0</v>
                </pt>
              </numCache>
            </numRef>
          </val>
        </ser>
        <gapWidth val="150"/>
        <overlap val="0"/>
        <axId val="60404727"/>
        <axId val="76130377"/>
      </barChart>
      <catAx>
        <axId val="6040472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6130377"/>
        <crosses val="autoZero"/>
        <auto val="1"/>
        <lblAlgn val="ctr"/>
        <lblOffset val="100"/>
        <noMultiLvlLbl val="0"/>
      </catAx>
      <valAx>
        <axId val="7613037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04047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Fall2024!$Q$26:$Q$38</f>
              <strCache>
                <ptCount val="13"/>
                <pt idx="0">
                  <v>David</v>
                </pt>
                <pt idx="1">
                  <v>Ethan</v>
                </pt>
                <pt idx="2">
                  <v>Carter</v>
                </pt>
                <pt idx="3">
                  <v>Sam</v>
                </pt>
                <pt idx="4">
                  <v>Maxine</v>
                </pt>
                <pt idx="5">
                  <v>Evan</v>
                </pt>
                <pt idx="6">
                  <v>Peter</v>
                </pt>
                <pt idx="7">
                  <v>Tyler</v>
                </pt>
                <pt idx="8">
                  <v>Jon</v>
                </pt>
                <pt idx="9">
                  <v>Grady</v>
                </pt>
                <pt idx="10">
                  <v>Erick</v>
                </pt>
                <pt idx="11">
                  <v>Cooper</v>
                </pt>
                <pt idx="12">
                  <v>Reuben</v>
                </pt>
              </strCache>
            </strRef>
          </cat>
          <val>
            <numRef>
              <f>Fall2024!$R$26:$R$38</f>
              <numCache>
                <formatCode>General</formatCode>
                <ptCount val="13"/>
                <pt idx="0">
                  <v>115</v>
                </pt>
                <pt idx="1">
                  <v>91</v>
                </pt>
                <pt idx="2">
                  <v>70</v>
                </pt>
                <pt idx="3">
                  <v>72</v>
                </pt>
                <pt idx="4">
                  <v>0</v>
                </pt>
                <pt idx="5">
                  <v>51</v>
                </pt>
                <pt idx="6">
                  <v>53</v>
                </pt>
                <pt idx="7">
                  <v>28</v>
                </pt>
                <pt idx="8">
                  <v>27</v>
                </pt>
                <pt idx="9">
                  <v>26</v>
                </pt>
                <pt idx="10">
                  <v>16</v>
                </pt>
                <pt idx="11">
                  <v>4</v>
                </pt>
                <pt idx="12">
                  <v>0</v>
                </pt>
              </numCache>
            </numRef>
          </val>
        </ser>
        <gapWidth val="150"/>
        <overlap val="0"/>
        <axId val="64332026"/>
        <axId val="39459428"/>
      </barChart>
      <catAx>
        <axId val="64332026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9459428"/>
        <crosses val="autoZero"/>
        <auto val="1"/>
        <lblAlgn val="ctr"/>
        <lblOffset val="100"/>
        <noMultiLvlLbl val="0"/>
      </catAx>
      <valAx>
        <axId val="3945942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433202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Fall2024!$Q$42:$Q$54</f>
              <strCache>
                <ptCount val="13"/>
                <pt idx="0">
                  <v>Reuben</v>
                </pt>
                <pt idx="1">
                  <v>Carter</v>
                </pt>
                <pt idx="2">
                  <v>Evan</v>
                </pt>
                <pt idx="3">
                  <v>Grady</v>
                </pt>
                <pt idx="4">
                  <v>Ethan</v>
                </pt>
                <pt idx="5">
                  <v>David</v>
                </pt>
                <pt idx="6">
                  <v>Maxine</v>
                </pt>
                <pt idx="7">
                  <v>Peter</v>
                </pt>
                <pt idx="8">
                  <v>Jon</v>
                </pt>
                <pt idx="9">
                  <v>Sam</v>
                </pt>
                <pt idx="10">
                  <v>Erick</v>
                </pt>
                <pt idx="11">
                  <v>Tyler</v>
                </pt>
                <pt idx="12">
                  <v>Cooper</v>
                </pt>
              </strCache>
            </strRef>
          </cat>
          <val>
            <numRef>
              <f>Fall2024!$R$42:$R$54</f>
              <numCache>
                <formatCode>General</formatCode>
                <ptCount val="13"/>
                <pt idx="0">
                  <v>120</v>
                </pt>
                <pt idx="1">
                  <v>108</v>
                </pt>
                <pt idx="2">
                  <v>54</v>
                </pt>
                <pt idx="3">
                  <v>54</v>
                </pt>
                <pt idx="4">
                  <v>55</v>
                </pt>
                <pt idx="5">
                  <v>45</v>
                </pt>
                <pt idx="6">
                  <v>0</v>
                </pt>
                <pt idx="7">
                  <v>26</v>
                </pt>
                <pt idx="8">
                  <v>24</v>
                </pt>
                <pt idx="9">
                  <v>21</v>
                </pt>
                <pt idx="10">
                  <v>22</v>
                </pt>
                <pt idx="11">
                  <v>13</v>
                </pt>
                <pt idx="12">
                  <v>11</v>
                </pt>
              </numCache>
            </numRef>
          </val>
        </ser>
        <gapWidth val="150"/>
        <overlap val="0"/>
        <axId val="7816145"/>
        <axId val="64803569"/>
      </barChart>
      <catAx>
        <axId val="781614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4803569"/>
        <crosses val="autoZero"/>
        <auto val="1"/>
        <lblAlgn val="ctr"/>
        <lblOffset val="100"/>
        <noMultiLvlLbl val="0"/>
      </catAx>
      <valAx>
        <axId val="6480356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81614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Fall2024!$Q$58:$Q$70</f>
              <strCache>
                <ptCount val="13"/>
                <pt idx="0">
                  <v>Sam</v>
                </pt>
                <pt idx="1">
                  <v>David</v>
                </pt>
                <pt idx="2">
                  <v>Peter</v>
                </pt>
                <pt idx="3">
                  <v>Tyler</v>
                </pt>
                <pt idx="4">
                  <v>Ethan</v>
                </pt>
                <pt idx="5">
                  <v>Maxine</v>
                </pt>
                <pt idx="6">
                  <v>Jon</v>
                </pt>
                <pt idx="7">
                  <v>Evan</v>
                </pt>
                <pt idx="8">
                  <v>Erick</v>
                </pt>
                <pt idx="9">
                  <v>Carter</v>
                </pt>
                <pt idx="10">
                  <v>Grady</v>
                </pt>
                <pt idx="11">
                  <v>Cooper</v>
                </pt>
                <pt idx="12">
                  <v>Reuben</v>
                </pt>
              </strCache>
            </strRef>
          </cat>
          <val>
            <numRef>
              <f>Fall2024!$R$58:$R$70</f>
              <numCache>
                <formatCode>0.00</formatCode>
                <ptCount val="13"/>
                <pt idx="0">
                  <v>3.42857142857143</v>
                </pt>
                <pt idx="1">
                  <v>2.55555555555556</v>
                </pt>
                <pt idx="2">
                  <v>2.03846153846154</v>
                </pt>
                <pt idx="3">
                  <v>2.15384615384615</v>
                </pt>
                <pt idx="4">
                  <v>1.65454545454545</v>
                </pt>
                <pt idx="5">
                  <v>0</v>
                </pt>
                <pt idx="6">
                  <v>1.125</v>
                </pt>
                <pt idx="7">
                  <v>0.944444444444444</v>
                </pt>
                <pt idx="8">
                  <v>0.727272727272727</v>
                </pt>
                <pt idx="9">
                  <v>0.648148148148148</v>
                </pt>
                <pt idx="10">
                  <v>0.481481481481481</v>
                </pt>
                <pt idx="11">
                  <v>0.363636363636364</v>
                </pt>
                <pt idx="12">
                  <v>0</v>
                </pt>
              </numCache>
            </numRef>
          </val>
        </ser>
        <gapWidth val="150"/>
        <overlap val="0"/>
        <axId val="86045928"/>
        <axId val="69193576"/>
      </barChart>
      <catAx>
        <axId val="8604592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9193576"/>
        <crosses val="autoZero"/>
        <auto val="1"/>
        <lblAlgn val="ctr"/>
        <lblOffset val="100"/>
        <noMultiLvlLbl val="0"/>
      </catAx>
      <valAx>
        <axId val="6919357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604592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Fall2024!$G$74:$G$77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Baris</v>
                </pt>
                <pt idx="3">
                  <v>Leads</v>
                </pt>
              </strCache>
            </strRef>
          </cat>
          <val>
            <numRef>
              <f>Fall2024!$H$74:$H$77</f>
              <numCache>
                <formatCode>0.00</formatCode>
                <ptCount val="4"/>
                <pt idx="0">
                  <v>15.25</v>
                </pt>
                <pt idx="1">
                  <v>36.5</v>
                </pt>
                <pt idx="2">
                  <v>40</v>
                </pt>
                <pt idx="3">
                  <v>43</v>
                </pt>
              </numCache>
            </numRef>
          </val>
        </ser>
        <gapWidth val="150"/>
        <overlap val="0"/>
        <axId val="57065127"/>
        <axId val="87049130"/>
      </barChart>
      <catAx>
        <axId val="57065127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7049130"/>
        <crosses val="autoZero"/>
        <auto val="1"/>
        <lblAlgn val="ctr"/>
        <lblOffset val="100"/>
        <noMultiLvlLbl val="0"/>
      </catAx>
      <valAx>
        <axId val="8704913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7065127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Fall2024!$Q$74:$Q$77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Baris</v>
                </pt>
                <pt idx="3">
                  <v>Leads</v>
                </pt>
              </strCache>
            </strRef>
          </cat>
          <val>
            <numRef>
              <f>Fall2024!$R$74:$R$77</f>
              <numCache>
                <formatCode>0.00</formatCode>
                <ptCount val="4"/>
                <pt idx="0">
                  <v>24</v>
                </pt>
                <pt idx="1">
                  <v>48</v>
                </pt>
                <pt idx="2">
                  <v>63.6666666666667</v>
                </pt>
                <pt idx="3">
                  <v>42.5</v>
                </pt>
              </numCache>
            </numRef>
          </val>
        </ser>
        <gapWidth val="150"/>
        <overlap val="0"/>
        <axId val="44646715"/>
        <axId val="77256118"/>
      </barChart>
      <catAx>
        <axId val="44646715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7256118"/>
        <crosses val="autoZero"/>
        <auto val="1"/>
        <lblAlgn val="ctr"/>
        <lblOffset val="100"/>
        <noMultiLvlLbl val="0"/>
      </catAx>
      <valAx>
        <axId val="7725611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4646715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Fall2024!$G$85:$G$88</f>
              <strCache>
                <ptCount val="4"/>
                <pt idx="0">
                  <v>Baris</v>
                </pt>
                <pt idx="1">
                  <v>Basses</v>
                </pt>
                <pt idx="2">
                  <v>Leads</v>
                </pt>
                <pt idx="3">
                  <v>Tenors</v>
                </pt>
              </strCache>
            </strRef>
          </cat>
          <val>
            <numRef>
              <f>Fall2024!$H$85:$H$88</f>
              <numCache>
                <formatCode>0.00</formatCode>
                <ptCount val="4"/>
                <pt idx="0">
                  <v>23.3333333333333</v>
                </pt>
                <pt idx="1">
                  <v>28</v>
                </pt>
                <pt idx="2">
                  <v>33</v>
                </pt>
                <pt idx="3">
                  <v>56</v>
                </pt>
              </numCache>
            </numRef>
          </val>
        </ser>
        <gapWidth val="150"/>
        <overlap val="0"/>
        <axId val="55038632"/>
        <axId val="67597307"/>
      </barChart>
      <catAx>
        <axId val="55038632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7597307"/>
        <crosses val="autoZero"/>
        <auto val="1"/>
        <lblAlgn val="ctr"/>
        <lblOffset val="100"/>
        <noMultiLvlLbl val="0"/>
      </catAx>
      <valAx>
        <axId val="6759730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5038632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6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FF0000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Fall2024!$Q$85:$Q$88</f>
              <strCache>
                <ptCount val="4"/>
                <pt idx="0">
                  <v>Baris</v>
                </pt>
                <pt idx="1">
                  <v>Leads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Fall2024!$R$85:$R$88</f>
              <numCache>
                <formatCode>0.00</formatCode>
                <ptCount val="4"/>
                <pt idx="0">
                  <v>29.6666666666667</v>
                </pt>
                <pt idx="1">
                  <v>27.5</v>
                </pt>
                <pt idx="2">
                  <v>48</v>
                </pt>
                <pt idx="3">
                  <v>81</v>
                </pt>
              </numCache>
            </numRef>
          </val>
        </ser>
        <gapWidth val="150"/>
        <overlap val="0"/>
        <axId val="48867210"/>
        <axId val="40267604"/>
      </barChart>
      <catAx>
        <axId val="48867210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0267604"/>
        <crosses val="autoZero"/>
        <auto val="1"/>
        <lblAlgn val="ctr"/>
        <lblOffset val="100"/>
        <noMultiLvlLbl val="0"/>
      </catAx>
      <valAx>
        <axId val="40267604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886721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7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Fall2024!$G$96:$G$99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Fall2024!$H$96:$H$99</f>
              <numCache>
                <formatCode>0.00</formatCode>
                <ptCount val="4"/>
                <pt idx="0">
                  <v>0.544642857142857</v>
                </pt>
                <pt idx="1">
                  <v>0.651785714285714</v>
                </pt>
                <pt idx="2">
                  <v>1.3030303030303</v>
                </pt>
                <pt idx="3">
                  <v>1.71428571428571</v>
                </pt>
              </numCache>
            </numRef>
          </val>
        </ser>
        <gapWidth val="150"/>
        <overlap val="0"/>
        <axId val="51279657"/>
        <axId val="95328705"/>
      </barChart>
      <catAx>
        <axId val="51279657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5328705"/>
        <crosses val="autoZero"/>
        <auto val="1"/>
        <lblAlgn val="ctr"/>
        <lblOffset val="100"/>
        <noMultiLvlLbl val="0"/>
      </catAx>
      <valAx>
        <axId val="9532870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1279657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8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0"/>
              <showCatName val="0"/>
              <showSerName val="0"/>
              <showPercent val="0"/>
            </dLbl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Fall2024!$Q$96:$Q$99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Fall2024!$R$96:$R$99</f>
              <numCache>
                <formatCode>0.00</formatCode>
                <ptCount val="4"/>
                <pt idx="0">
                  <v>0.5</v>
                </pt>
                <pt idx="1">
                  <v>0.592592592592593</v>
                </pt>
                <pt idx="2">
                  <v>1.54545454545455</v>
                </pt>
                <pt idx="3">
                  <v>2.14606741573034</v>
                </pt>
              </numCache>
            </numRef>
          </val>
        </ser>
        <gapWidth val="150"/>
        <overlap val="0"/>
        <axId val="72741664"/>
        <axId val="31493815"/>
      </barChart>
      <catAx>
        <axId val="72741664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1493815"/>
        <crosses val="autoZero"/>
        <auto val="1"/>
        <lblAlgn val="ctr"/>
        <lblOffset val="100"/>
        <noMultiLvlLbl val="0"/>
      </catAx>
      <valAx>
        <axId val="3149381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2741664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746515473659343"/>
          <y val="0.152464955111041"/>
          <w val="0.898732183636507"/>
          <h val="0.7287761852260199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E9713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Fall2024PRE!$G$37:$G$46</f>
              <strCache>
                <ptCount val="10"/>
                <pt idx="0">
                  <v>Carter</v>
                </pt>
                <pt idx="1">
                  <v>Jon</v>
                </pt>
                <pt idx="2">
                  <v>David</v>
                </pt>
                <pt idx="3">
                  <v>Grady</v>
                </pt>
                <pt idx="4">
                  <v>Sam</v>
                </pt>
                <pt idx="5">
                  <v>Erick</v>
                </pt>
                <pt idx="6">
                  <v>Tyler</v>
                </pt>
                <pt idx="7">
                  <v>Peter</v>
                </pt>
                <pt idx="8">
                  <v>Cooper</v>
                </pt>
                <pt idx="9">
                  <v>Maxine</v>
                </pt>
              </strCache>
            </strRef>
          </cat>
          <val>
            <numRef>
              <f>Fall2024PRE!$H$37:$H$46</f>
              <numCache>
                <formatCode>General</formatCode>
                <ptCount val="10"/>
                <pt idx="0">
                  <v>12</v>
                </pt>
                <pt idx="1">
                  <v>10</v>
                </pt>
                <pt idx="2">
                  <v>7</v>
                </pt>
                <pt idx="3">
                  <v>6</v>
                </pt>
                <pt idx="4">
                  <v>4</v>
                </pt>
                <pt idx="5">
                  <v>3</v>
                </pt>
                <pt idx="6">
                  <v>2</v>
                </pt>
                <pt idx="7">
                  <v>2</v>
                </pt>
                <pt idx="8">
                  <v>2</v>
                </pt>
                <pt idx="9">
                  <v>0</v>
                </pt>
              </numCache>
            </numRef>
          </val>
        </ser>
        <gapWidth val="150"/>
        <overlap val="0"/>
        <axId val="77437194"/>
        <axId val="12841824"/>
      </barChart>
      <catAx>
        <axId val="77437194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2841824"/>
        <crosses val="autoZero"/>
        <auto val="1"/>
        <lblAlgn val="ctr"/>
        <lblOffset val="100"/>
        <noMultiLvlLbl val="0"/>
      </catAx>
      <valAx>
        <axId val="12841824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74371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7565950074809"/>
          <y val="0.144747204284139"/>
          <w val="0.869123553035672"/>
          <h val="0.740589069144747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Fall2024PRE!$G$51:$G$60</f>
              <strCache>
                <ptCount val="10"/>
                <pt idx="0">
                  <v>Maxine</v>
                </pt>
                <pt idx="1">
                  <v>Sam</v>
                </pt>
                <pt idx="2">
                  <v>Peter</v>
                </pt>
                <pt idx="3">
                  <v>David</v>
                </pt>
                <pt idx="4">
                  <v>Erick</v>
                </pt>
                <pt idx="5">
                  <v>Carter</v>
                </pt>
                <pt idx="6">
                  <v>Jon</v>
                </pt>
                <pt idx="7">
                  <v>Grady</v>
                </pt>
                <pt idx="8">
                  <v>Cooper</v>
                </pt>
                <pt idx="9">
                  <v>Tyler</v>
                </pt>
              </strCache>
            </strRef>
          </cat>
          <val>
            <numRef>
              <f>Fall2024PRE!$H$51:$H$60</f>
              <numCache>
                <formatCode>0.00</formatCode>
                <ptCount val="10"/>
                <pt idx="0">
                  <v>5</v>
                </pt>
                <pt idx="1">
                  <v>3</v>
                </pt>
                <pt idx="2">
                  <v>2.5</v>
                </pt>
                <pt idx="3">
                  <v>1.85714285714286</v>
                </pt>
                <pt idx="4">
                  <v>0.666666666666667</v>
                </pt>
                <pt idx="5">
                  <v>0.666666666666667</v>
                </pt>
                <pt idx="6">
                  <v>0.2</v>
                </pt>
                <pt idx="7">
                  <v>0.166666666666667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150"/>
        <overlap val="0"/>
        <axId val="18554352"/>
        <axId val="92005880"/>
      </barChart>
      <catAx>
        <axId val="1855435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2005880"/>
        <crosses val="autoZero"/>
        <auto val="1"/>
        <lblAlgn val="ctr"/>
        <lblOffset val="100"/>
        <noMultiLvlLbl val="0"/>
      </catAx>
      <valAx>
        <axId val="9200588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855435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744153082919915"/>
          <y val="0.161127736651441"/>
          <w val="0.882352941176471"/>
          <h val="0.738068987242085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Fall2024PRE!$Q$23:$Q$32</f>
              <strCache>
                <ptCount val="10"/>
                <pt idx="0">
                  <v>Sam</v>
                </pt>
                <pt idx="1">
                  <v>David</v>
                </pt>
                <pt idx="2">
                  <v>Carter</v>
                </pt>
                <pt idx="3">
                  <v>Peter</v>
                </pt>
                <pt idx="4">
                  <v>Maxine</v>
                </pt>
                <pt idx="5">
                  <v>Erick</v>
                </pt>
                <pt idx="6">
                  <v>Jon</v>
                </pt>
                <pt idx="7">
                  <v>Grady</v>
                </pt>
                <pt idx="8">
                  <v>Tyler</v>
                </pt>
                <pt idx="9">
                  <v>Cooper</v>
                </pt>
              </strCache>
            </strRef>
          </cat>
          <val>
            <numRef>
              <f>Fall2024PRE!$R$23:$R$32</f>
              <numCache>
                <formatCode>General</formatCode>
                <ptCount val="10"/>
                <pt idx="0">
                  <v>23</v>
                </pt>
                <pt idx="1">
                  <v>16</v>
                </pt>
                <pt idx="2">
                  <v>12</v>
                </pt>
                <pt idx="3">
                  <v>10</v>
                </pt>
                <pt idx="4">
                  <v>0</v>
                </pt>
                <pt idx="5">
                  <v>3</v>
                </pt>
                <pt idx="6">
                  <v>3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150"/>
        <overlap val="0"/>
        <axId val="35920437"/>
        <axId val="69827802"/>
      </barChart>
      <catAx>
        <axId val="3592043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9827802"/>
        <crosses val="autoZero"/>
        <auto val="1"/>
        <lblAlgn val="ctr"/>
        <lblOffset val="100"/>
        <noMultiLvlLbl val="0"/>
      </catAx>
      <valAx>
        <axId val="69827802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5920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644145208284117"/>
          <y val="0.166325405575681"/>
          <w val="0.8994409008583349"/>
          <h val="0.732871318317845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E9713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Fall2024PRE!$Q$37:$Q$46</f>
              <strCache>
                <ptCount val="10"/>
                <pt idx="0">
                  <v>Jon</v>
                </pt>
                <pt idx="1">
                  <v>Carter</v>
                </pt>
                <pt idx="2">
                  <v>Grady</v>
                </pt>
                <pt idx="3">
                  <v>David</v>
                </pt>
                <pt idx="4">
                  <v>Sam</v>
                </pt>
                <pt idx="5">
                  <v>Erick</v>
                </pt>
                <pt idx="6">
                  <v>Tyler</v>
                </pt>
                <pt idx="7">
                  <v>Peter</v>
                </pt>
                <pt idx="8">
                  <v>Cooper</v>
                </pt>
                <pt idx="9">
                  <v>Maxine</v>
                </pt>
              </strCache>
            </strRef>
          </cat>
          <val>
            <numRef>
              <f>Fall2024PRE!$R$37:$R$46</f>
              <numCache>
                <formatCode>General</formatCode>
                <ptCount val="10"/>
                <pt idx="0">
                  <v>12</v>
                </pt>
                <pt idx="1">
                  <v>16</v>
                </pt>
                <pt idx="2">
                  <v>12</v>
                </pt>
                <pt idx="3">
                  <v>10</v>
                </pt>
                <pt idx="4">
                  <v>6</v>
                </pt>
                <pt idx="5">
                  <v>3</v>
                </pt>
                <pt idx="6">
                  <v>4</v>
                </pt>
                <pt idx="7">
                  <v>2</v>
                </pt>
                <pt idx="8">
                  <v>3</v>
                </pt>
                <pt idx="9">
                  <v>0</v>
                </pt>
              </numCache>
            </numRef>
          </val>
        </ser>
        <gapWidth val="150"/>
        <overlap val="0"/>
        <axId val="30236365"/>
        <axId val="27039571"/>
      </barChart>
      <catAx>
        <axId val="30236365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7039571"/>
        <crosses val="autoZero"/>
        <auto val="1"/>
        <lblAlgn val="ctr"/>
        <lblOffset val="100"/>
        <noMultiLvlLbl val="0"/>
      </catAx>
      <valAx>
        <axId val="27039571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023636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9599181037877"/>
          <y val="0.166325405575681"/>
          <w val="0.867942357665958"/>
          <h val="0.732871318317845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Fall2024PRE!$Q$51:$Q$60</f>
              <strCache>
                <ptCount val="10"/>
                <pt idx="0">
                  <v>Maxine</v>
                </pt>
                <pt idx="1">
                  <v>Sam</v>
                </pt>
                <pt idx="2">
                  <v>Peter</v>
                </pt>
                <pt idx="3">
                  <v>David</v>
                </pt>
                <pt idx="4">
                  <v>Carter</v>
                </pt>
                <pt idx="5">
                  <v>Erick</v>
                </pt>
                <pt idx="6">
                  <v>Jon</v>
                </pt>
                <pt idx="7">
                  <v>Grady</v>
                </pt>
                <pt idx="8">
                  <v>Cooper</v>
                </pt>
                <pt idx="9">
                  <v>Tyler</v>
                </pt>
              </strCache>
            </strRef>
          </cat>
          <val>
            <numRef>
              <f>Fall2024PRE!$R$51:$R$60</f>
              <numCache>
                <formatCode>0.00</formatCode>
                <ptCount val="10"/>
                <pt idx="0">
                  <v>0</v>
                </pt>
                <pt idx="1">
                  <v>3.83333333333333</v>
                </pt>
                <pt idx="2">
                  <v>5</v>
                </pt>
                <pt idx="3">
                  <v>1.6</v>
                </pt>
                <pt idx="4">
                  <v>0.75</v>
                </pt>
                <pt idx="5">
                  <v>1</v>
                </pt>
                <pt idx="6">
                  <v>0.25</v>
                </pt>
                <pt idx="7">
                  <v>0.0833333333333333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150"/>
        <overlap val="0"/>
        <axId val="27285956"/>
        <axId val="61103790"/>
      </barChart>
      <catAx>
        <axId val="27285956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1103790"/>
        <crosses val="autoZero"/>
        <auto val="1"/>
        <lblAlgn val="ctr"/>
        <lblOffset val="100"/>
        <noMultiLvlLbl val="0"/>
      </catAx>
      <valAx>
        <axId val="6110379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728595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09693676667454"/>
          <y val="0.164424860853432"/>
          <w val="0.848177021812741"/>
          <h val="0.6720779220779221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Fall2024PRE!$G$65:$G$68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Baris</v>
                </pt>
                <pt idx="3">
                  <v>Leads</v>
                </pt>
              </strCache>
            </strRef>
          </cat>
          <val>
            <numRef>
              <f>Fall2024PRE!$H$65:$H$68</f>
              <numCache>
                <formatCode>0.00</formatCode>
                <ptCount val="4"/>
                <pt idx="0">
                  <v>3</v>
                </pt>
                <pt idx="1">
                  <v>4.5</v>
                </pt>
                <pt idx="2">
                  <v>6</v>
                </pt>
                <pt idx="3">
                  <v>6</v>
                </pt>
              </numCache>
            </numRef>
          </val>
        </ser>
        <gapWidth val="150"/>
        <overlap val="0"/>
        <axId val="77668478"/>
        <axId val="19999470"/>
      </barChart>
      <catAx>
        <axId val="77668478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9999470"/>
        <crosses val="autoZero"/>
        <auto val="1"/>
        <lblAlgn val="ctr"/>
        <lblOffset val="100"/>
        <noMultiLvlLbl val="0"/>
      </catAx>
      <valAx>
        <axId val="19999470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7668478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18040790613434"/>
          <y val="0.180658627087199"/>
          <w val="0.833372706512324"/>
          <h val="0.655844155844156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Fall2024PRE!$Q$65:$Q$68</f>
              <strCache>
                <ptCount val="4"/>
                <pt idx="0">
                  <v>Basses</v>
                </pt>
                <pt idx="1">
                  <v>Tenors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Fall2024PRE!$R$65:$R$68</f>
              <numCache>
                <formatCode>0.00</formatCode>
                <ptCount val="4"/>
                <pt idx="0">
                  <v>5.33333333333333</v>
                </pt>
                <pt idx="1">
                  <v>6.5</v>
                </pt>
                <pt idx="2">
                  <v>5.33333333333333</v>
                </pt>
                <pt idx="3">
                  <v>11.5</v>
                </pt>
              </numCache>
            </numRef>
          </val>
        </ser>
        <gapWidth val="150"/>
        <overlap val="0"/>
        <axId val="1667737"/>
        <axId val="43857170"/>
      </barChart>
      <catAx>
        <axId val="1667737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3857170"/>
        <crosses val="autoZero"/>
        <auto val="1"/>
        <lblAlgn val="ctr"/>
        <lblOffset val="100"/>
        <noMultiLvlLbl val="0"/>
      </catAx>
      <valAx>
        <axId val="43857170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667737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01976533585322"/>
          <y val="0.197124304267161"/>
          <w val="0.83557760453579"/>
          <h val="0.629638218923933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E9713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Fall2024PRE!$G$74:$G$77</f>
              <strCache>
                <ptCount val="4"/>
                <pt idx="0">
                  <v>Leads</v>
                </pt>
                <pt idx="1">
                  <v>Baris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Fall2024PRE!$H$74:$H$77</f>
              <numCache>
                <formatCode>0.00</formatCode>
                <ptCount val="4"/>
                <pt idx="0">
                  <v>3</v>
                </pt>
                <pt idx="1">
                  <v>3</v>
                </pt>
                <pt idx="2">
                  <v>5</v>
                </pt>
                <pt idx="3">
                  <v>9</v>
                </pt>
              </numCache>
            </numRef>
          </val>
        </ser>
        <gapWidth val="150"/>
        <overlap val="0"/>
        <axId val="78995280"/>
        <axId val="10467494"/>
      </barChart>
      <catAx>
        <axId val="78995280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0467494"/>
        <crosses val="autoZero"/>
        <auto val="1"/>
        <lblAlgn val="ctr"/>
        <lblOffset val="100"/>
        <noMultiLvlLbl val="0"/>
      </catAx>
      <valAx>
        <axId val="10467494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899528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10244901173321"/>
          <y val="0.197124304267161"/>
          <w val="0.841089849594456"/>
          <h val="0.629638218923933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E9713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Fall2024PRE!$Q$74:$Q$77</f>
              <strCache>
                <ptCount val="4"/>
                <pt idx="0">
                  <v>Leads</v>
                </pt>
                <pt idx="1">
                  <v>Baris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Fall2024PRE!$R$74:$R$77</f>
              <numCache>
                <formatCode>0.00</formatCode>
                <ptCount val="4"/>
                <pt idx="0">
                  <v>4.33333333333333</v>
                </pt>
                <pt idx="1">
                  <v>5</v>
                </pt>
                <pt idx="2">
                  <v>5.66666666666667</v>
                </pt>
                <pt idx="3">
                  <v>14</v>
                </pt>
              </numCache>
            </numRef>
          </val>
        </ser>
        <gapWidth val="150"/>
        <overlap val="0"/>
        <axId val="47331210"/>
        <axId val="46189093"/>
      </barChart>
      <catAx>
        <axId val="47331210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6189093"/>
        <crosses val="autoZero"/>
        <auto val="1"/>
        <lblAlgn val="ctr"/>
        <lblOffset val="100"/>
        <noMultiLvlLbl val="0"/>
      </catAx>
      <valAx>
        <axId val="46189093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733121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985904401921411"/>
          <y val="0.180658627087199"/>
          <w val="0.846838333727065"/>
          <h val="0.653988868274583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Fall2024PRE!$G$83:$G$86</f>
              <strCache>
                <ptCount val="4"/>
                <pt idx="0">
                  <v>Tenors</v>
                </pt>
                <pt idx="1">
                  <v>Basses</v>
                </pt>
                <pt idx="2">
                  <v>Baris</v>
                </pt>
                <pt idx="3">
                  <v>Leads</v>
                </pt>
              </strCache>
            </strRef>
          </cat>
          <val>
            <numRef>
              <f>Fall2024PRE!$H$83:$H$86</f>
              <numCache>
                <formatCode>0.00</formatCode>
                <ptCount val="4"/>
                <pt idx="0">
                  <v>0.5</v>
                </pt>
                <pt idx="1">
                  <v>0.6</v>
                </pt>
                <pt idx="2">
                  <v>2</v>
                </pt>
                <pt idx="3">
                  <v>2</v>
                </pt>
              </numCache>
            </numRef>
          </val>
        </ser>
        <gapWidth val="150"/>
        <overlap val="0"/>
        <axId val="73591822"/>
        <axId val="6306447"/>
      </barChart>
      <catAx>
        <axId val="73591822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306447"/>
        <crosses val="autoZero"/>
        <auto val="1"/>
        <lblAlgn val="ctr"/>
        <lblOffset val="100"/>
        <noMultiLvlLbl val="0"/>
      </catAx>
      <valAx>
        <axId val="6306447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3591822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985904401921411"/>
          <y val="0.188775510204082"/>
          <w val="0.859831482793921"/>
          <h val="0.621289424860854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Fall2024PRE!$Q$83:$Q$86</f>
              <strCache>
                <ptCount val="4"/>
                <pt idx="0">
                  <v>Tenors</v>
                </pt>
                <pt idx="1">
                  <v>Basses</v>
                </pt>
                <pt idx="2">
                  <v>Leads</v>
                </pt>
                <pt idx="3">
                  <v>Baris</v>
                </pt>
              </strCache>
            </strRef>
          </cat>
          <val>
            <numRef>
              <f>Fall2024PRE!$R$83:$R$86</f>
              <numCache>
                <formatCode>0.00</formatCode>
                <ptCount val="4"/>
                <pt idx="0">
                  <v>0.464285714285714</v>
                </pt>
                <pt idx="1">
                  <v>0.9411764705882349</v>
                </pt>
                <pt idx="2">
                  <v>1.23076923076923</v>
                </pt>
                <pt idx="3">
                  <v>2.3</v>
                </pt>
              </numCache>
            </numRef>
          </val>
        </ser>
        <gapWidth val="150"/>
        <overlap val="0"/>
        <axId val="64385756"/>
        <axId val="87491350"/>
      </barChart>
      <catAx>
        <axId val="64385756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7491350"/>
        <crosses val="autoZero"/>
        <auto val="1"/>
        <lblAlgn val="ctr"/>
        <lblOffset val="100"/>
        <noMultiLvlLbl val="0"/>
      </catAx>
      <valAx>
        <axId val="87491350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4385756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10137672090113"/>
          <y val="0.14585881045025"/>
          <w val="0.865456821026283"/>
          <h val="0.774207893274041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Fall2024PRE!$AF$34:$AF$43</f>
              <strCache>
                <ptCount val="10"/>
                <pt idx="0">
                  <v>Maxine</v>
                </pt>
                <pt idx="1">
                  <v>Sam</v>
                </pt>
                <pt idx="2">
                  <v>David</v>
                </pt>
                <pt idx="3">
                  <v>Peter</v>
                </pt>
                <pt idx="4">
                  <v>Carter</v>
                </pt>
                <pt idx="5">
                  <v>Erick</v>
                </pt>
                <pt idx="6">
                  <v>Cooper</v>
                </pt>
                <pt idx="7">
                  <v>Jon</v>
                </pt>
                <pt idx="8">
                  <v>Tyler</v>
                </pt>
                <pt idx="9">
                  <v>Grady</v>
                </pt>
              </strCache>
            </strRef>
          </cat>
          <val>
            <numRef>
              <f>Fall2024PRE!$AH$34:$AH$43</f>
              <numCache>
                <formatCode>0.00</formatCode>
                <ptCount val="10"/>
                <pt idx="0">
                  <v>255.138888888889</v>
                </pt>
                <pt idx="1">
                  <v>604.9722222222219</v>
                </pt>
                <pt idx="2">
                  <v>406.055860805861</v>
                </pt>
                <pt idx="3">
                  <v>450.083333333333</v>
                </pt>
                <pt idx="4">
                  <v>210.722222222222</v>
                </pt>
                <pt idx="5">
                  <v>169.527777777778</v>
                </pt>
                <pt idx="6">
                  <v>19.1388888888889</v>
                </pt>
                <pt idx="7">
                  <v>62.6111111111111</v>
                </pt>
                <pt idx="8">
                  <v>2.63888888888889</v>
                </pt>
                <pt idx="9">
                  <v>0</v>
                </pt>
              </numCache>
            </numRef>
          </val>
        </ser>
        <gapWidth val="150"/>
        <overlap val="0"/>
        <axId val="73297229"/>
        <axId val="47147150"/>
      </barChart>
      <catAx>
        <axId val="73297229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7147150"/>
        <crosses val="autoZero"/>
        <auto val="1"/>
        <lblAlgn val="ctr"/>
        <lblOffset val="100"/>
        <noMultiLvlLbl val="0"/>
      </catAx>
      <valAx>
        <axId val="4714715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329722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6472865834921"/>
          <y val="0.165307443365696"/>
          <w val="0.889558109520005"/>
          <h val="0.732686084142395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Fall2024PRE!$AF$60:$AF$63</f>
              <strCache>
                <ptCount val="4"/>
                <pt idx="0">
                  <v>Baris</v>
                </pt>
                <pt idx="1">
                  <v>Leads</v>
                </pt>
                <pt idx="2">
                  <v>Basses</v>
                </pt>
                <pt idx="3">
                  <v>Tenors</v>
                </pt>
              </strCache>
            </strRef>
          </cat>
          <val>
            <numRef>
              <f>Fall2024PRE!$AH$60:$AH$63</f>
              <numCache>
                <formatCode>0.00</formatCode>
                <ptCount val="4"/>
                <pt idx="0">
                  <v>219.510846560847</v>
                </pt>
                <pt idx="1">
                  <v>126.210419210419</v>
                </pt>
                <pt idx="2">
                  <v>66.9663658055815</v>
                </pt>
                <pt idx="3">
                  <v>0</v>
                </pt>
              </numCache>
            </numRef>
          </val>
        </ser>
        <gapWidth val="150"/>
        <overlap val="0"/>
        <axId val="97909037"/>
        <axId val="40345667"/>
      </barChart>
      <catAx>
        <axId val="9790903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0345667"/>
        <crosses val="autoZero"/>
        <auto val="1"/>
        <lblAlgn val="ctr"/>
        <lblOffset val="100"/>
        <noMultiLvlLbl val="0"/>
      </catAx>
      <valAx>
        <axId val="4034566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79090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665618860510805"/>
          <y val="0.158292644510947"/>
          <w val="0.897838899803536"/>
          <h val="0.74090407938258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Fall2024PRE!$G$23:$G$32</f>
              <strCache>
                <ptCount val="10"/>
                <pt idx="0">
                  <v>David</v>
                </pt>
                <pt idx="1">
                  <v>Sam</v>
                </pt>
                <pt idx="2">
                  <v>Carter</v>
                </pt>
                <pt idx="3">
                  <v>Maxine</v>
                </pt>
                <pt idx="4">
                  <v>Peter</v>
                </pt>
                <pt idx="5">
                  <v>Erick</v>
                </pt>
                <pt idx="6">
                  <v>Jon</v>
                </pt>
                <pt idx="7">
                  <v>Grady</v>
                </pt>
                <pt idx="8">
                  <v>Cooper</v>
                </pt>
                <pt idx="9">
                  <v>Tyler</v>
                </pt>
              </strCache>
            </strRef>
          </cat>
          <val>
            <numRef>
              <f>Fall2024PRE!$H$23:$H$32</f>
              <numCache>
                <formatCode>General</formatCode>
                <ptCount val="10"/>
                <pt idx="0">
                  <v>13</v>
                </pt>
                <pt idx="1">
                  <v>12</v>
                </pt>
                <pt idx="2">
                  <v>8</v>
                </pt>
                <pt idx="3">
                  <v>5</v>
                </pt>
                <pt idx="4">
                  <v>5</v>
                </pt>
                <pt idx="5">
                  <v>2</v>
                </pt>
                <pt idx="6">
                  <v>2</v>
                </pt>
                <pt idx="7">
                  <v>1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150"/>
        <overlap val="0"/>
        <axId val="12941786"/>
        <axId val="73585398"/>
      </barChart>
      <catAx>
        <axId val="12941786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3585398"/>
        <crosses val="autoZero"/>
        <auto val="1"/>
        <lblAlgn val="ctr"/>
        <lblOffset val="100"/>
        <noMultiLvlLbl val="0"/>
      </catAx>
      <valAx>
        <axId val="73585398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294178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41026386566839"/>
          <y val="0.155796027275422"/>
          <w val="0.885222068764992"/>
          <h val="0.651941891491254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Spring2024POST!$G$23:$G$34</f>
              <strCache>
                <ptCount val="12"/>
                <pt idx="0">
                  <v>Carter</v>
                </pt>
                <pt idx="1">
                  <v>Sam</v>
                </pt>
                <pt idx="2">
                  <v>Peter</v>
                </pt>
                <pt idx="3">
                  <v>Erick</v>
                </pt>
                <pt idx="4">
                  <v>Anthony</v>
                </pt>
                <pt idx="5">
                  <v>David</v>
                </pt>
                <pt idx="6">
                  <v>Tyler</v>
                </pt>
                <pt idx="7">
                  <v>Jon</v>
                </pt>
                <pt idx="8">
                  <v>Cooper</v>
                </pt>
                <pt idx="9">
                  <v>Grady</v>
                </pt>
                <pt idx="10">
                  <v>Maxine</v>
                </pt>
                <pt idx="11">
                  <v>Seth</v>
                </pt>
              </strCache>
            </strRef>
          </cat>
          <val>
            <numRef>
              <f>Spring2024POST!$H$23:$H$34</f>
              <numCache>
                <formatCode>General</formatCode>
                <ptCount val="12"/>
                <pt idx="0">
                  <v>22</v>
                </pt>
                <pt idx="1">
                  <v>22</v>
                </pt>
                <pt idx="2">
                  <v>17</v>
                </pt>
                <pt idx="3">
                  <v>10</v>
                </pt>
                <pt idx="4">
                  <v>8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3</v>
                </pt>
                <pt idx="9">
                  <v>3</v>
                </pt>
                <pt idx="10">
                  <v>2</v>
                </pt>
                <pt idx="11">
                  <v>0</v>
                </pt>
              </numCache>
            </numRef>
          </val>
        </ser>
        <gapWidth val="150"/>
        <overlap val="0"/>
        <axId val="26011782"/>
        <axId val="27232646"/>
      </barChart>
      <catAx>
        <axId val="2601178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7232646"/>
        <crosses val="autoZero"/>
        <auto val="1"/>
        <lblAlgn val="ctr"/>
        <lblOffset val="100"/>
        <noMultiLvlLbl val="0"/>
      </catAx>
      <valAx>
        <axId val="2723264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601178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800058038305281"/>
          <y val="0.158993969701427"/>
          <w val="0.881311665699362"/>
          <h val="0.6555375790557439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Spring2024POST!$G$37:$G$48</f>
              <strCache>
                <ptCount val="12"/>
                <pt idx="0">
                  <v>Carter</v>
                </pt>
                <pt idx="1">
                  <v>Erick</v>
                </pt>
                <pt idx="2">
                  <v>Sam</v>
                </pt>
                <pt idx="3">
                  <v>Tyler</v>
                </pt>
                <pt idx="4">
                  <v>Peter</v>
                </pt>
                <pt idx="5">
                  <v>David</v>
                </pt>
                <pt idx="6">
                  <v>Seth</v>
                </pt>
                <pt idx="7">
                  <v>Anthony</v>
                </pt>
                <pt idx="8">
                  <v>Grady</v>
                </pt>
                <pt idx="9">
                  <v>Cooper</v>
                </pt>
                <pt idx="10">
                  <v>Maxine</v>
                </pt>
                <pt idx="11">
                  <v>Jon</v>
                </pt>
              </strCache>
            </strRef>
          </cat>
          <val>
            <numRef>
              <f>Spring2024POST!$H$37:$H$48</f>
              <numCache>
                <formatCode>General</formatCode>
                <ptCount val="12"/>
                <pt idx="0">
                  <v>21</v>
                </pt>
                <pt idx="1">
                  <v>14</v>
                </pt>
                <pt idx="2">
                  <v>13</v>
                </pt>
                <pt idx="3">
                  <v>10</v>
                </pt>
                <pt idx="4">
                  <v>9</v>
                </pt>
                <pt idx="5">
                  <v>8</v>
                </pt>
                <pt idx="6">
                  <v>7</v>
                </pt>
                <pt idx="7">
                  <v>7</v>
                </pt>
                <pt idx="8">
                  <v>7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gapWidth val="150"/>
        <overlap val="0"/>
        <axId val="93751000"/>
        <axId val="66035998"/>
      </barChart>
      <catAx>
        <axId val="93751000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6035998"/>
        <crosses val="autoZero"/>
        <auto val="1"/>
        <lblAlgn val="ctr"/>
        <lblOffset val="100"/>
        <noMultiLvlLbl val="0"/>
      </catAx>
      <valAx>
        <axId val="6603599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375100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03729010685469"/>
          <y val="0.15820198482195"/>
          <w val="0.865523006469434"/>
          <h val="0.657910099241097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Spring2024POST!$G$51:$G$62</f>
              <strCache>
                <ptCount val="12"/>
                <pt idx="0">
                  <v>Jon</v>
                </pt>
                <pt idx="1">
                  <v>Peter</v>
                </pt>
                <pt idx="2">
                  <v>Sam</v>
                </pt>
                <pt idx="3">
                  <v>Anthony</v>
                </pt>
                <pt idx="4">
                  <v>Carter</v>
                </pt>
                <pt idx="5">
                  <v>Maxine</v>
                </pt>
                <pt idx="6">
                  <v>David</v>
                </pt>
                <pt idx="7">
                  <v>Erick</v>
                </pt>
                <pt idx="8">
                  <v>Cooper</v>
                </pt>
                <pt idx="9">
                  <v>Tyler</v>
                </pt>
                <pt idx="10">
                  <v>Grady</v>
                </pt>
                <pt idx="11">
                  <v>Seth</v>
                </pt>
              </strCache>
            </strRef>
          </cat>
          <val>
            <numRef>
              <f>Spring2024POST!$H$51:$H$62</f>
              <numCache>
                <formatCode>0.00</formatCode>
                <ptCount val="12"/>
                <pt idx="0">
                  <v>4</v>
                </pt>
                <pt idx="1">
                  <v>1.88888888888889</v>
                </pt>
                <pt idx="2">
                  <v>1.69230769230769</v>
                </pt>
                <pt idx="3">
                  <v>1.14285714285714</v>
                </pt>
                <pt idx="4">
                  <v>1.04761904761905</v>
                </pt>
                <pt idx="5">
                  <v>1</v>
                </pt>
                <pt idx="6">
                  <v>0.875</v>
                </pt>
                <pt idx="7">
                  <v>0.714285714285714</v>
                </pt>
                <pt idx="8">
                  <v>0.6</v>
                </pt>
                <pt idx="9">
                  <v>0.6</v>
                </pt>
                <pt idx="10">
                  <v>0.428571428571429</v>
                </pt>
                <pt idx="11">
                  <v>0</v>
                </pt>
              </numCache>
            </numRef>
          </val>
        </ser>
        <gapWidth val="150"/>
        <overlap val="0"/>
        <axId val="2158101"/>
        <axId val="41662968"/>
      </barChart>
      <catAx>
        <axId val="215810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1662968"/>
        <crosses val="autoZero"/>
        <auto val="1"/>
        <lblAlgn val="ctr"/>
        <lblOffset val="100"/>
        <noMultiLvlLbl val="0"/>
      </catAx>
      <valAx>
        <axId val="4166296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1581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06065002901915"/>
          <y val="0.206185567010309"/>
          <w val="0.834881021474173"/>
          <h val="0.54524627720504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Spring2024POST!$G$65:$G$68</f>
              <strCache>
                <ptCount val="4"/>
                <pt idx="0">
                  <v>Baris</v>
                </pt>
                <pt idx="1">
                  <v>Basses</v>
                </pt>
                <pt idx="2">
                  <v>Tenors</v>
                </pt>
                <pt idx="3">
                  <v>Leads</v>
                </pt>
              </strCache>
            </strRef>
          </cat>
          <val>
            <numRef>
              <f>Spring2024POST!$H$65:$H$68</f>
              <numCache>
                <formatCode>General</formatCode>
                <ptCount val="4"/>
                <pt idx="0">
                  <v>36</v>
                </pt>
                <pt idx="1">
                  <v>31</v>
                </pt>
                <pt idx="2">
                  <v>25</v>
                </pt>
                <pt idx="3">
                  <v>12</v>
                </pt>
              </numCache>
            </numRef>
          </val>
        </ser>
        <gapWidth val="150"/>
        <overlap val="0"/>
        <axId val="72094661"/>
        <axId val="95356256"/>
      </barChart>
      <catAx>
        <axId val="72094661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5356256"/>
        <crosses val="autoZero"/>
        <auto val="1"/>
        <lblAlgn val="ctr"/>
        <lblOffset val="100"/>
        <noMultiLvlLbl val="0"/>
      </catAx>
      <valAx>
        <axId val="9535625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2094661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983749274521184"/>
          <y val="0.226604434072345"/>
          <w val="0.84257109692397"/>
          <h val="0.520186697782964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Spring2024POST!$G$74:$G$77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Basses</v>
                </pt>
                <pt idx="3">
                  <v>Leads</v>
                </pt>
              </strCache>
            </strRef>
          </cat>
          <val>
            <numRef>
              <f>Spring2024POST!$H$74:$H$77</f>
              <numCache>
                <formatCode>General</formatCode>
                <ptCount val="4"/>
                <pt idx="0">
                  <v>35</v>
                </pt>
                <pt idx="1">
                  <v>30</v>
                </pt>
                <pt idx="2">
                  <v>24</v>
                </pt>
                <pt idx="3">
                  <v>15</v>
                </pt>
              </numCache>
            </numRef>
          </val>
        </ser>
        <gapWidth val="150"/>
        <overlap val="0"/>
        <axId val="60814986"/>
        <axId val="11189020"/>
      </barChart>
      <catAx>
        <axId val="60814986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1189020"/>
        <crosses val="autoZero"/>
        <auto val="1"/>
        <lblAlgn val="ctr"/>
        <lblOffset val="100"/>
        <noMultiLvlLbl val="0"/>
      </catAx>
      <valAx>
        <axId val="1118902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0814986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908299477655253"/>
          <y val="0.204617473970122"/>
          <w val="0.840467208357516"/>
          <h val="0.549569941149842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Spring2024POST!$G$83:$G$86</f>
              <strCache>
                <ptCount val="4"/>
                <pt idx="0">
                  <v>Basses</v>
                </pt>
                <pt idx="1">
                  <v>Baris</v>
                </pt>
                <pt idx="2">
                  <v>Leads</v>
                </pt>
                <pt idx="3">
                  <v>Tenors</v>
                </pt>
              </strCache>
            </strRef>
          </cat>
          <val>
            <numRef>
              <f>Spring2024POST!$H$83:$H$86</f>
              <numCache>
                <formatCode>0.00</formatCode>
                <ptCount val="4"/>
                <pt idx="0">
                  <v>1.29166666666667</v>
                </pt>
                <pt idx="1">
                  <v>1.2</v>
                </pt>
                <pt idx="2">
                  <v>0.8</v>
                </pt>
                <pt idx="3">
                  <v>0.714285714285714</v>
                </pt>
              </numCache>
            </numRef>
          </val>
        </ser>
        <gapWidth val="150"/>
        <overlap val="0"/>
        <axId val="44266897"/>
        <axId val="64768842"/>
      </barChart>
      <catAx>
        <axId val="44266897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4768842"/>
        <crosses val="autoZero"/>
        <auto val="1"/>
        <lblAlgn val="ctr"/>
        <lblOffset val="100"/>
        <noMultiLvlLbl val="0"/>
      </catAx>
      <valAx>
        <axId val="6476884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4266897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75997211679963"/>
          <y val="0.159729371966466"/>
          <w val="0.88172875842305"/>
          <h val="0.654949257243712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Spring2024POST!$Q$23:$Q$34</f>
              <strCache>
                <ptCount val="12"/>
                <pt idx="0">
                  <v>Sam</v>
                </pt>
                <pt idx="1">
                  <v>Carter</v>
                </pt>
                <pt idx="2">
                  <v>Peter</v>
                </pt>
                <pt idx="3">
                  <v>Erick</v>
                </pt>
                <pt idx="4">
                  <v>Anthony</v>
                </pt>
                <pt idx="5">
                  <v>David</v>
                </pt>
                <pt idx="6">
                  <v>Tyler</v>
                </pt>
                <pt idx="7">
                  <v>Jon</v>
                </pt>
                <pt idx="8">
                  <v>Grady</v>
                </pt>
                <pt idx="9">
                  <v>Cooper</v>
                </pt>
                <pt idx="10">
                  <v>Maxine</v>
                </pt>
                <pt idx="11">
                  <v>Seth</v>
                </pt>
              </strCache>
            </strRef>
          </cat>
          <val>
            <numRef>
              <f>Spring2024POST!$R$23:$R$34</f>
              <numCache>
                <formatCode>General</formatCode>
                <ptCount val="12"/>
                <pt idx="0">
                  <v>38</v>
                </pt>
                <pt idx="1">
                  <v>27</v>
                </pt>
                <pt idx="2">
                  <v>26</v>
                </pt>
                <pt idx="3">
                  <v>14</v>
                </pt>
                <pt idx="4">
                  <v>12</v>
                </pt>
                <pt idx="5">
                  <v>11</v>
                </pt>
                <pt idx="6">
                  <v>9</v>
                </pt>
                <pt idx="7">
                  <v>8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0</v>
                </pt>
              </numCache>
            </numRef>
          </val>
        </ser>
        <gapWidth val="150"/>
        <overlap val="0"/>
        <axId val="86264090"/>
        <axId val="45658145"/>
      </barChart>
      <catAx>
        <axId val="86264090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5658145"/>
        <crosses val="autoZero"/>
        <auto val="1"/>
        <lblAlgn val="ctr"/>
        <lblOffset val="100"/>
        <noMultiLvlLbl val="0"/>
      </catAx>
      <valAx>
        <axId val="4565814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6264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915204452345984"/>
          <y val="0.161172161172161"/>
          <w val="0.877792378449409"/>
          <h val="0.6540659340659341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Spring2024POST!$Q$37:$Q$48</f>
              <strCache>
                <ptCount val="12"/>
                <pt idx="0">
                  <v>Carter</v>
                </pt>
                <pt idx="1">
                  <v>Erick</v>
                </pt>
                <pt idx="2">
                  <v>Tyler</v>
                </pt>
                <pt idx="3">
                  <v>Sam</v>
                </pt>
                <pt idx="4">
                  <v>Seth</v>
                </pt>
                <pt idx="5">
                  <v>Grady</v>
                </pt>
                <pt idx="6">
                  <v>Peter</v>
                </pt>
                <pt idx="7">
                  <v>David</v>
                </pt>
                <pt idx="8">
                  <v>Anthony</v>
                </pt>
                <pt idx="9">
                  <v>Cooper</v>
                </pt>
                <pt idx="10">
                  <v>Maxine</v>
                </pt>
                <pt idx="11">
                  <v>Jon</v>
                </pt>
              </strCache>
            </strRef>
          </cat>
          <val>
            <numRef>
              <f>Spring2024POST!$R$37:$R$48</f>
              <numCache>
                <formatCode>General</formatCode>
                <ptCount val="12"/>
                <pt idx="0">
                  <v>30</v>
                </pt>
                <pt idx="1">
                  <v>23</v>
                </pt>
                <pt idx="2">
                  <v>16</v>
                </pt>
                <pt idx="3">
                  <v>15</v>
                </pt>
                <pt idx="4">
                  <v>14</v>
                </pt>
                <pt idx="5">
                  <v>13</v>
                </pt>
                <pt idx="6">
                  <v>12</v>
                </pt>
                <pt idx="7">
                  <v>11</v>
                </pt>
                <pt idx="8">
                  <v>10</v>
                </pt>
                <pt idx="9">
                  <v>9</v>
                </pt>
                <pt idx="10">
                  <v>3</v>
                </pt>
                <pt idx="11">
                  <v>2</v>
                </pt>
              </numCache>
            </numRef>
          </val>
        </ser>
        <gapWidth val="150"/>
        <overlap val="0"/>
        <axId val="95079087"/>
        <axId val="36662388"/>
      </barChart>
      <catAx>
        <axId val="9507908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6662388"/>
        <crosses val="autoZero"/>
        <auto val="1"/>
        <lblAlgn val="ctr"/>
        <lblOffset val="100"/>
        <noMultiLvlLbl val="0"/>
      </catAx>
      <valAx>
        <axId val="36662388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507908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08589574781194"/>
          <y val="0.157265209686946"/>
          <w val="0.860738904809852"/>
          <h val="0.656674542232723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Spring2024POST!$Q$51:$Q$62</f>
              <strCache>
                <ptCount val="12"/>
                <pt idx="0">
                  <v>Jon</v>
                </pt>
                <pt idx="1">
                  <v>Sam</v>
                </pt>
                <pt idx="2">
                  <v>Peter</v>
                </pt>
                <pt idx="3">
                  <v>Maxine</v>
                </pt>
                <pt idx="4">
                  <v>Anthony</v>
                </pt>
                <pt idx="5">
                  <v>David</v>
                </pt>
                <pt idx="6">
                  <v>Carter</v>
                </pt>
                <pt idx="7">
                  <v>Erick</v>
                </pt>
                <pt idx="8">
                  <v>Tyler</v>
                </pt>
                <pt idx="9">
                  <v>Cooper</v>
                </pt>
                <pt idx="10">
                  <v>Grady</v>
                </pt>
                <pt idx="11">
                  <v>Seth</v>
                </pt>
              </strCache>
            </strRef>
          </cat>
          <val>
            <numRef>
              <f>Spring2024POST!$R$51:$R$62</f>
              <numCache>
                <formatCode>0.00</formatCode>
                <ptCount val="12"/>
                <pt idx="0">
                  <v>4</v>
                </pt>
                <pt idx="1">
                  <v>2.53333333333333</v>
                </pt>
                <pt idx="2">
                  <v>2.16666666666667</v>
                </pt>
                <pt idx="3">
                  <v>1.33333333333333</v>
                </pt>
                <pt idx="4">
                  <v>1.2</v>
                </pt>
                <pt idx="5">
                  <v>1</v>
                </pt>
                <pt idx="6">
                  <v>0.9</v>
                </pt>
                <pt idx="7">
                  <v>0.608695652173913</v>
                </pt>
                <pt idx="8">
                  <v>0.5625</v>
                </pt>
                <pt idx="9">
                  <v>0.444444444444444</v>
                </pt>
                <pt idx="10">
                  <v>0.384615384615385</v>
                </pt>
                <pt idx="11">
                  <v>0</v>
                </pt>
              </numCache>
            </numRef>
          </val>
        </ser>
        <gapWidth val="150"/>
        <overlap val="0"/>
        <axId val="33320134"/>
        <axId val="8857452"/>
      </barChart>
      <catAx>
        <axId val="33320134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857452"/>
        <crosses val="autoZero"/>
        <auto val="1"/>
        <lblAlgn val="ctr"/>
        <lblOffset val="100"/>
        <noMultiLvlLbl val="0"/>
      </catAx>
      <valAx>
        <axId val="885745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33201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00147161335295"/>
          <y val="0.205727376861397"/>
          <w val="0.838897064518628"/>
          <h val="0.545933562428408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Spring2024POST!$Q$65:$Q$68</f>
              <strCache>
                <ptCount val="4"/>
                <pt idx="0">
                  <v>Baris</v>
                </pt>
                <pt idx="1">
                  <v>Basses</v>
                </pt>
                <pt idx="2">
                  <v>Tenors</v>
                </pt>
                <pt idx="3">
                  <v>Leads</v>
                </pt>
              </strCache>
            </strRef>
          </cat>
          <val>
            <numRef>
              <f>Spring2024POST!$R$65:$R$68</f>
              <numCache>
                <formatCode>General</formatCode>
                <ptCount val="4"/>
                <pt idx="0">
                  <v>59</v>
                </pt>
                <pt idx="1">
                  <v>48</v>
                </pt>
                <pt idx="2">
                  <v>32</v>
                </pt>
                <pt idx="3">
                  <v>19</v>
                </pt>
              </numCache>
            </numRef>
          </val>
        </ser>
        <gapWidth val="150"/>
        <overlap val="0"/>
        <axId val="29812230"/>
        <axId val="79971893"/>
      </barChart>
      <catAx>
        <axId val="29812230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9971893"/>
        <crosses val="autoZero"/>
        <auto val="1"/>
        <lblAlgn val="ctr"/>
        <lblOffset val="100"/>
        <noMultiLvlLbl val="0"/>
      </catAx>
      <valAx>
        <axId val="79971893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981223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9740763737969579"/>
          <y val="0.215796579657966"/>
          <w val="0.841586463831108"/>
          <h val="0.538028802880288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Spring2024POST!$Q$74:$Q$77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Basses</v>
                </pt>
                <pt idx="3">
                  <v>Leads</v>
                </pt>
              </strCache>
            </strRef>
          </cat>
          <val>
            <numRef>
              <f>Spring2024POST!$R$74:$R$77</f>
              <numCache>
                <formatCode>General</formatCode>
                <ptCount val="4"/>
                <pt idx="0">
                  <v>57</v>
                </pt>
                <pt idx="1">
                  <v>41</v>
                </pt>
                <pt idx="2">
                  <v>37</v>
                </pt>
                <pt idx="3">
                  <v>23</v>
                </pt>
              </numCache>
            </numRef>
          </val>
        </ser>
        <gapWidth val="150"/>
        <overlap val="0"/>
        <axId val="71496742"/>
        <axId val="60460556"/>
      </barChart>
      <catAx>
        <axId val="71496742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0460556"/>
        <crosses val="autoZero"/>
        <auto val="1"/>
        <lblAlgn val="ctr"/>
        <lblOffset val="100"/>
        <noMultiLvlLbl val="0"/>
      </catAx>
      <valAx>
        <axId val="6046055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1496742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21856566283763"/>
          <y val="0.207695769576958"/>
          <w val="0.837239987581496"/>
          <h val="0.601485148514852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Spring2024POST!$Q$83:$Q$86</f>
              <strCache>
                <ptCount val="4"/>
                <pt idx="0">
                  <v>Baris</v>
                </pt>
                <pt idx="1">
                  <v>Basses</v>
                </pt>
                <pt idx="2">
                  <v>Leads</v>
                </pt>
                <pt idx="3">
                  <v>Tenors</v>
                </pt>
              </strCache>
            </strRef>
          </cat>
          <val>
            <numRef>
              <f>Spring2024POST!$R$83:$R$86</f>
              <numCache>
                <formatCode>0.00</formatCode>
                <ptCount val="4"/>
                <pt idx="0">
                  <v>1.4390243902439</v>
                </pt>
                <pt idx="1">
                  <v>1.2972972972973</v>
                </pt>
                <pt idx="2">
                  <v>0.826086956521739</v>
                </pt>
                <pt idx="3">
                  <v>0.56140350877193</v>
                </pt>
              </numCache>
            </numRef>
          </val>
        </ser>
        <gapWidth val="150"/>
        <overlap val="0"/>
        <axId val="22065799"/>
        <axId val="92433139"/>
      </barChart>
      <catAx>
        <axId val="22065799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2433139"/>
        <crosses val="autoZero"/>
        <auto val="1"/>
        <lblAlgn val="ctr"/>
        <lblOffset val="100"/>
        <noMultiLvlLbl val="0"/>
      </catAx>
      <valAx>
        <axId val="9243313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2065799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Winner Chart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9272792620103031"/>
          <y val="0.148031140697281"/>
          <w val="0.89445309692105"/>
          <h val="0.735191244499605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Spring2024POST!$AE$33:$AE$44</f>
              <strCache>
                <ptCount val="12"/>
                <pt idx="0">
                  <v>Sam</v>
                </pt>
                <pt idx="1">
                  <v>Peter</v>
                </pt>
                <pt idx="2">
                  <v>Carter</v>
                </pt>
                <pt idx="3">
                  <v>Jon</v>
                </pt>
                <pt idx="4">
                  <v>Anthony</v>
                </pt>
                <pt idx="5">
                  <v>David</v>
                </pt>
                <pt idx="6">
                  <v>Erick</v>
                </pt>
                <pt idx="7">
                  <v>Maxine</v>
                </pt>
                <pt idx="8">
                  <v>Tyler</v>
                </pt>
                <pt idx="9">
                  <v>Cooper</v>
                </pt>
                <pt idx="10">
                  <v>Grady</v>
                </pt>
                <pt idx="11">
                  <v>Seth</v>
                </pt>
              </strCache>
            </strRef>
          </cat>
          <val>
            <numRef>
              <f>Spring2024POST!$AG$33:$AG$44</f>
              <numCache>
                <formatCode>0.00</formatCode>
                <ptCount val="12"/>
                <pt idx="0">
                  <v>769.155011655012</v>
                </pt>
                <pt idx="1">
                  <v>598.083184789067</v>
                </pt>
                <pt idx="2">
                  <v>498.800865800866</v>
                </pt>
                <pt idx="3">
                  <v>462.181818181818</v>
                </pt>
                <pt idx="4">
                  <v>356.363636363636</v>
                </pt>
                <pt idx="5">
                  <v>300.48538961039</v>
                </pt>
                <pt idx="6">
                  <v>275.171936758893</v>
                </pt>
                <pt idx="7">
                  <v>301.378787878788</v>
                </pt>
                <pt idx="8">
                  <v>220.835227272727</v>
                </pt>
                <pt idx="9">
                  <v>225.414141414141</v>
                </pt>
                <pt idx="10">
                  <v>221.838328338328</v>
                </pt>
                <pt idx="11">
                  <v>0</v>
                </pt>
              </numCache>
            </numRef>
          </val>
        </ser>
        <gapWidth val="150"/>
        <overlap val="0"/>
        <axId val="73718151"/>
        <axId val="39030275"/>
      </barChart>
      <catAx>
        <axId val="7371815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9030275"/>
        <crosses val="autoZero"/>
        <auto val="1"/>
        <lblAlgn val="ctr"/>
        <lblOffset val="100"/>
        <noMultiLvlLbl val="0"/>
      </catAx>
      <valAx>
        <axId val="3903027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37181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Winner Chart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264341696424431"/>
          <y val="0.08908876753399721"/>
          <w val="0.947038909242684"/>
          <h val="0.825463111682193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Spring2024POST!$AE$60:$AE$65</f>
              <strCache>
                <ptCount val="6"/>
                <pt idx="0">
                  <v>Baris</v>
                </pt>
                <pt idx="1">
                  <v>Basses</v>
                </pt>
                <pt idx="2">
                  <v>Leads</v>
                </pt>
                <pt idx="3">
                  <v>Tenors</v>
                </pt>
                <pt idx="4">
                  <v>Carter</v>
                </pt>
                <pt idx="5">
                  <v>Seth + Grady</v>
                </pt>
              </strCache>
            </strRef>
          </cat>
          <val>
            <numRef>
              <f>Spring2024POST!$AG$60:$AG$65</f>
              <numCache>
                <formatCode>0.00</formatCode>
                <ptCount val="6"/>
                <pt idx="0">
                  <v>875.127180407668</v>
                </pt>
                <pt idx="1">
                  <v>755.565633908376</v>
                </pt>
                <pt idx="2">
                  <v>376.35930012017</v>
                </pt>
                <pt idx="3">
                  <v>358.627928212139</v>
                </pt>
                <pt idx="4">
                  <v>352.79045954046</v>
                </pt>
                <pt idx="5">
                  <v>0</v>
                </pt>
              </numCache>
            </numRef>
          </val>
        </ser>
        <gapWidth val="150"/>
        <overlap val="0"/>
        <axId val="19286334"/>
        <axId val="25516236"/>
      </barChart>
      <catAx>
        <axId val="19286334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25516236"/>
        <crosses val="autoZero"/>
        <auto val="1"/>
        <lblAlgn val="ctr"/>
        <lblOffset val="100"/>
        <noMultiLvlLbl val="0"/>
      </catAx>
      <valAx>
        <axId val="25516236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92863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59039437719641"/>
          <y val="0.151358736906027"/>
          <w val="0.879812573213588"/>
          <h val="0.657355396994079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E9713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Spring2024!$F$37:$F$48</f>
              <strCache>
                <ptCount val="12"/>
                <pt idx="0">
                  <v>Sam</v>
                </pt>
                <pt idx="1">
                  <v>Carter</v>
                </pt>
                <pt idx="2">
                  <v>David</v>
                </pt>
                <pt idx="3">
                  <v>Jon</v>
                </pt>
                <pt idx="4">
                  <v>Erick</v>
                </pt>
                <pt idx="5">
                  <v>Maxine</v>
                </pt>
                <pt idx="6">
                  <v>Peter</v>
                </pt>
                <pt idx="7">
                  <v>Grady</v>
                </pt>
                <pt idx="8">
                  <v>Cooper</v>
                </pt>
                <pt idx="9">
                  <v>Anthony</v>
                </pt>
                <pt idx="10">
                  <v>Tyler</v>
                </pt>
                <pt idx="11">
                  <v>Seth</v>
                </pt>
              </strCache>
            </strRef>
          </cat>
          <val>
            <numRef>
              <f>Spring2024!$G$37:$G$48</f>
              <numCache>
                <formatCode>General</formatCode>
                <ptCount val="12"/>
                <pt idx="0">
                  <v>24</v>
                </pt>
                <pt idx="1">
                  <v>24</v>
                </pt>
                <pt idx="2">
                  <v>23</v>
                </pt>
                <pt idx="3">
                  <v>15</v>
                </pt>
                <pt idx="4">
                  <v>14</v>
                </pt>
                <pt idx="5">
                  <v>11</v>
                </pt>
                <pt idx="6">
                  <v>9</v>
                </pt>
                <pt idx="7">
                  <v>9</v>
                </pt>
                <pt idx="8">
                  <v>8</v>
                </pt>
                <pt idx="9">
                  <v>7</v>
                </pt>
                <pt idx="10">
                  <v>7</v>
                </pt>
                <pt idx="11">
                  <v>6</v>
                </pt>
              </numCache>
            </numRef>
          </val>
        </ser>
        <gapWidth val="150"/>
        <overlap val="0"/>
        <axId val="55961534"/>
        <axId val="7009222"/>
      </barChart>
      <catAx>
        <axId val="55961534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009222"/>
        <crosses val="autoZero"/>
        <auto val="1"/>
        <lblAlgn val="ctr"/>
        <lblOffset val="100"/>
        <noMultiLvlLbl val="0"/>
      </catAx>
      <valAx>
        <axId val="7009222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59615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15127701375246"/>
          <y val="0.142985208426714"/>
          <w val="0.848644400785855"/>
          <h val="0.644554011653967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Spring2024!$F$51:$F$62</f>
              <strCache>
                <ptCount val="12"/>
                <pt idx="0">
                  <v>Peter</v>
                </pt>
                <pt idx="1">
                  <v>Maxine</v>
                </pt>
                <pt idx="2">
                  <v>David</v>
                </pt>
                <pt idx="3">
                  <v>Sam</v>
                </pt>
                <pt idx="4">
                  <v>Jon</v>
                </pt>
                <pt idx="5">
                  <v>Erick</v>
                </pt>
                <pt idx="6">
                  <v>Carter</v>
                </pt>
                <pt idx="7">
                  <v>Anthony</v>
                </pt>
                <pt idx="8">
                  <v>Cooper</v>
                </pt>
                <pt idx="9">
                  <v>Seth</v>
                </pt>
                <pt idx="10">
                  <v>Tyler</v>
                </pt>
                <pt idx="11">
                  <v>Grady</v>
                </pt>
              </strCache>
            </strRef>
          </cat>
          <val>
            <numRef>
              <f>Spring2024!$G$51:$G$62</f>
              <numCache>
                <formatCode>0.00</formatCode>
                <ptCount val="12"/>
                <pt idx="0">
                  <v>2.22222222222222</v>
                </pt>
                <pt idx="1">
                  <v>2.18181818181818</v>
                </pt>
                <pt idx="2">
                  <v>1.34782608695652</v>
                </pt>
                <pt idx="3">
                  <v>1.29166666666667</v>
                </pt>
                <pt idx="4">
                  <v>0.866666666666667</v>
                </pt>
                <pt idx="5">
                  <v>0.857142857142857</v>
                </pt>
                <pt idx="6">
                  <v>0.75</v>
                </pt>
                <pt idx="7">
                  <v>0.571428571428571</v>
                </pt>
                <pt idx="8">
                  <v>0.25</v>
                </pt>
                <pt idx="9">
                  <v>0.166666666666667</v>
                </pt>
                <pt idx="10">
                  <v>0.142857142857143</v>
                </pt>
                <pt idx="11">
                  <v>0</v>
                </pt>
              </numCache>
            </numRef>
          </val>
        </ser>
        <gapWidth val="150"/>
        <overlap val="0"/>
        <axId val="10271003"/>
        <axId val="53842751"/>
      </barChart>
      <catAx>
        <axId val="10271003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3842751"/>
        <crosses val="autoZero"/>
        <auto val="1"/>
        <lblAlgn val="ctr"/>
        <lblOffset val="100"/>
        <noMultiLvlLbl val="0"/>
      </catAx>
      <valAx>
        <axId val="53842751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027100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0141849995753"/>
          <y val="0.159442027898605"/>
          <w val="0.862906650811178"/>
          <h val="0.6514174291285439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Spring2024!$P$23:$P$34</f>
              <strCache>
                <ptCount val="12"/>
                <pt idx="0">
                  <v>Sam</v>
                </pt>
                <pt idx="1">
                  <v>David</v>
                </pt>
                <pt idx="2">
                  <v>Maxine</v>
                </pt>
                <pt idx="3">
                  <v>Peter</v>
                </pt>
                <pt idx="4">
                  <v>Carter</v>
                </pt>
                <pt idx="5">
                  <v>Jon</v>
                </pt>
                <pt idx="6">
                  <v>Erick</v>
                </pt>
                <pt idx="7">
                  <v>Anthony</v>
                </pt>
                <pt idx="8">
                  <v>Cooper</v>
                </pt>
                <pt idx="9">
                  <v>Tyler</v>
                </pt>
                <pt idx="10">
                  <v>Seth</v>
                </pt>
                <pt idx="11">
                  <v>Grady</v>
                </pt>
              </strCache>
            </strRef>
          </cat>
          <val>
            <numRef>
              <f>Spring2024!$Q$23:$Q$34</f>
              <numCache>
                <formatCode>General</formatCode>
                <ptCount val="12"/>
                <pt idx="0">
                  <v>47</v>
                </pt>
                <pt idx="1">
                  <v>43</v>
                </pt>
                <pt idx="2">
                  <v>0</v>
                </pt>
                <pt idx="3">
                  <v>28</v>
                </pt>
                <pt idx="4">
                  <v>26</v>
                </pt>
                <pt idx="5">
                  <v>20</v>
                </pt>
                <pt idx="6">
                  <v>17</v>
                </pt>
                <pt idx="7">
                  <v>6</v>
                </pt>
                <pt idx="8">
                  <v>3</v>
                </pt>
                <pt idx="9">
                  <v>2</v>
                </pt>
                <pt idx="10">
                  <v>2</v>
                </pt>
                <pt idx="11">
                  <v>0</v>
                </pt>
              </numCache>
            </numRef>
          </val>
        </ser>
        <gapWidth val="150"/>
        <overlap val="0"/>
        <axId val="45928777"/>
        <axId val="71979848"/>
      </barChart>
      <catAx>
        <axId val="45928777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1979848"/>
        <crosses val="autoZero"/>
        <auto val="1"/>
        <lblAlgn val="ctr"/>
        <lblOffset val="100"/>
        <noMultiLvlLbl val="0"/>
      </catAx>
      <valAx>
        <axId val="71979848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4592877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10517840494957"/>
          <y val="0.164909638554217"/>
          <w val="0.850326298838885"/>
          <h val="0.615060240963856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E9713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Spring2024!$P$37:$P$48</f>
              <strCache>
                <ptCount val="12"/>
                <pt idx="0">
                  <v>Carter</v>
                </pt>
                <pt idx="1">
                  <v>Sam</v>
                </pt>
                <pt idx="2">
                  <v>David</v>
                </pt>
                <pt idx="3">
                  <v>Jon</v>
                </pt>
                <pt idx="4">
                  <v>Erick</v>
                </pt>
                <pt idx="5">
                  <v>Grady</v>
                </pt>
                <pt idx="6">
                  <v>Maxine</v>
                </pt>
                <pt idx="7">
                  <v>Tyler</v>
                </pt>
                <pt idx="8">
                  <v>Peter</v>
                </pt>
                <pt idx="9">
                  <v>Anthony</v>
                </pt>
                <pt idx="10">
                  <v>Seth</v>
                </pt>
                <pt idx="11">
                  <v>Cooper</v>
                </pt>
              </strCache>
            </strRef>
          </cat>
          <val>
            <numRef>
              <f>Spring2024!$Q$37:$Q$48</f>
              <numCache>
                <formatCode>General</formatCode>
                <ptCount val="12"/>
                <pt idx="0">
                  <v>36</v>
                </pt>
                <pt idx="1">
                  <v>20</v>
                </pt>
                <pt idx="2">
                  <v>30</v>
                </pt>
                <pt idx="3">
                  <v>19</v>
                </pt>
                <pt idx="4">
                  <v>21</v>
                </pt>
                <pt idx="5">
                  <v>13</v>
                </pt>
                <pt idx="6">
                  <v>0</v>
                </pt>
                <pt idx="7">
                  <v>10</v>
                </pt>
                <pt idx="8">
                  <v>11</v>
                </pt>
                <pt idx="9">
                  <v>12</v>
                </pt>
                <pt idx="10">
                  <v>12</v>
                </pt>
                <pt idx="11">
                  <v>10</v>
                </pt>
              </numCache>
            </numRef>
          </val>
        </ser>
        <gapWidth val="150"/>
        <overlap val="0"/>
        <axId val="77207248"/>
        <axId val="95203029"/>
      </barChart>
      <catAx>
        <axId val="772072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5203029"/>
        <crosses val="autoZero"/>
        <auto val="1"/>
        <lblAlgn val="ctr"/>
        <lblOffset val="100"/>
        <noMultiLvlLbl val="0"/>
      </catAx>
      <valAx>
        <axId val="95203029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720724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20717232090243"/>
          <y val="0.164649633945914"/>
          <w val="0.840979880461318"/>
          <h val="0.647093978783804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Spring2024!$P$51:$P$62</f>
              <strCache>
                <ptCount val="12"/>
                <pt idx="0">
                  <v>Maxine</v>
                </pt>
                <pt idx="1">
                  <v>Peter</v>
                </pt>
                <pt idx="2">
                  <v>Sam</v>
                </pt>
                <pt idx="3">
                  <v>David</v>
                </pt>
                <pt idx="4">
                  <v>Jon</v>
                </pt>
                <pt idx="5">
                  <v>Erick</v>
                </pt>
                <pt idx="6">
                  <v>Carter</v>
                </pt>
                <pt idx="7">
                  <v>Anthony</v>
                </pt>
                <pt idx="8">
                  <v>Cooper</v>
                </pt>
                <pt idx="9">
                  <v>Seth</v>
                </pt>
                <pt idx="10">
                  <v>Tyler</v>
                </pt>
                <pt idx="11">
                  <v>Grady</v>
                </pt>
              </strCache>
            </strRef>
          </cat>
          <val>
            <numRef>
              <f>Spring2024!$Q$51:$Q$62</f>
              <numCache>
                <formatCode>0.00</formatCode>
                <ptCount val="12"/>
                <pt idx="0">
                  <v>0</v>
                </pt>
                <pt idx="1">
                  <v>2.54545454545455</v>
                </pt>
                <pt idx="2">
                  <v>2.35</v>
                </pt>
                <pt idx="3">
                  <v>1.43333333333333</v>
                </pt>
                <pt idx="4">
                  <v>1.05263157894737</v>
                </pt>
                <pt idx="5">
                  <v>0.80952380952381</v>
                </pt>
                <pt idx="6">
                  <v>0.722222222222222</v>
                </pt>
                <pt idx="7">
                  <v>0.5</v>
                </pt>
                <pt idx="8">
                  <v>0.3</v>
                </pt>
                <pt idx="9">
                  <v>0.166666666666667</v>
                </pt>
                <pt idx="10">
                  <v>0.2</v>
                </pt>
                <pt idx="11">
                  <v>0</v>
                </pt>
              </numCache>
            </numRef>
          </val>
        </ser>
        <gapWidth val="150"/>
        <overlap val="0"/>
        <axId val="31611018"/>
        <axId val="64440069"/>
      </barChart>
      <catAx>
        <axId val="3161101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64440069"/>
        <crosses val="autoZero"/>
        <auto val="1"/>
        <lblAlgn val="ctr"/>
        <lblOffset val="100"/>
        <noMultiLvlLbl val="0"/>
      </catAx>
      <valAx>
        <axId val="64440069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16110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71001964636542"/>
          <y val="0.294104410441044"/>
          <w val="0.784282907662083"/>
          <h val="0.473897389738974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Spring2024!$F$65:$F$68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Basses</v>
                </pt>
                <pt idx="3">
                  <v>Leads</v>
                </pt>
              </strCache>
            </strRef>
          </cat>
          <val>
            <numRef>
              <f>Spring2024!$G$65:$G$68</f>
              <numCache>
                <formatCode>General</formatCode>
                <ptCount val="4"/>
                <pt idx="0">
                  <v>19</v>
                </pt>
                <pt idx="1">
                  <v>36</v>
                </pt>
                <pt idx="2">
                  <v>45</v>
                </pt>
                <pt idx="3">
                  <v>57</v>
                </pt>
              </numCache>
            </numRef>
          </val>
        </ser>
        <gapWidth val="150"/>
        <overlap val="0"/>
        <axId val="90682788"/>
        <axId val="78380036"/>
      </barChart>
      <catAx>
        <axId val="90682788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8380036"/>
        <crosses val="autoZero"/>
        <auto val="1"/>
        <lblAlgn val="ctr"/>
        <lblOffset val="100"/>
        <noMultiLvlLbl val="0"/>
      </catAx>
      <valAx>
        <axId val="78380036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0682788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83597705028687"/>
          <y val="0.17427293064877"/>
          <w val="0.7607998650016879"/>
          <h val="0.650559284116331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Spring2024!$P$65:$P$68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Basses</v>
                </pt>
                <pt idx="3">
                  <v>Leads</v>
                </pt>
              </strCache>
            </strRef>
          </cat>
          <val>
            <numRef>
              <f>Spring2024!$Q$65:$Q$68</f>
              <numCache>
                <formatCode>General</formatCode>
                <ptCount val="4"/>
                <pt idx="0">
                  <v>28</v>
                </pt>
                <pt idx="1">
                  <v>55</v>
                </pt>
                <pt idx="2">
                  <v>65</v>
                </pt>
                <pt idx="3">
                  <v>46</v>
                </pt>
              </numCache>
            </numRef>
          </val>
        </ser>
        <gapWidth val="150"/>
        <overlap val="0"/>
        <axId val="82822564"/>
        <axId val="77410366"/>
      </barChart>
      <catAx>
        <axId val="82822564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7410366"/>
        <crosses val="autoZero"/>
        <auto val="1"/>
        <lblAlgn val="ctr"/>
        <lblOffset val="100"/>
        <noMultiLvlLbl val="0"/>
      </catAx>
      <valAx>
        <axId val="77410366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2822564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71352074966533"/>
          <y val="0.222997299729973"/>
          <w val="0.78384124734231"/>
          <h val="0.616786678667867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E9713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Spring2024!$F$74:$F$77</f>
              <strCache>
                <ptCount val="4"/>
                <pt idx="0">
                  <v>Basses</v>
                </pt>
                <pt idx="1">
                  <v>Baris</v>
                </pt>
                <pt idx="2">
                  <v>Tenors</v>
                </pt>
                <pt idx="3">
                  <v>Leads</v>
                </pt>
              </strCache>
            </strRef>
          </cat>
          <val>
            <numRef>
              <f>Spring2024!$G$74:$G$77</f>
              <numCache>
                <formatCode>General</formatCode>
                <ptCount val="4"/>
                <pt idx="0">
                  <v>38</v>
                </pt>
                <pt idx="1">
                  <v>38</v>
                </pt>
                <pt idx="2">
                  <v>39</v>
                </pt>
                <pt idx="3">
                  <v>42</v>
                </pt>
              </numCache>
            </numRef>
          </val>
        </ser>
        <gapWidth val="150"/>
        <overlap val="0"/>
        <axId val="80530196"/>
        <axId val="72177374"/>
      </barChart>
      <catAx>
        <axId val="80530196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2177374"/>
        <crosses val="autoZero"/>
        <auto val="1"/>
        <lblAlgn val="ctr"/>
        <lblOffset val="100"/>
        <noMultiLvlLbl val="0"/>
      </catAx>
      <valAx>
        <axId val="72177374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0530196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82780344393112"/>
          <y val="0.191269126912691"/>
          <w val="0.76942461150777"/>
          <h val="0.5850585058505851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E9713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Spring2024!$P$74:$P$77</f>
              <strCache>
                <ptCount val="4"/>
                <pt idx="0">
                  <v>Basses</v>
                </pt>
                <pt idx="1">
                  <v>Leads</v>
                </pt>
                <pt idx="2">
                  <v>Baris</v>
                </pt>
                <pt idx="3">
                  <v>Tenors</v>
                </pt>
              </strCache>
            </strRef>
          </cat>
          <val>
            <numRef>
              <f>Spring2024!$Q$74:$Q$77</f>
              <numCache>
                <formatCode>General</formatCode>
                <ptCount val="4"/>
                <pt idx="0">
                  <v>51</v>
                </pt>
                <pt idx="1">
                  <v>40</v>
                </pt>
                <pt idx="2">
                  <v>42</v>
                </pt>
                <pt idx="3">
                  <v>61</v>
                </pt>
              </numCache>
            </numRef>
          </val>
        </ser>
        <gapWidth val="150"/>
        <overlap val="0"/>
        <axId val="50993160"/>
        <axId val="80982760"/>
      </barChart>
      <catAx>
        <axId val="50993160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0982760"/>
        <crosses val="autoZero"/>
        <auto val="1"/>
        <lblAlgn val="ctr"/>
        <lblOffset val="100"/>
        <noMultiLvlLbl val="0"/>
      </catAx>
      <valAx>
        <axId val="80982760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0993160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71352074966533"/>
          <y val="0.207020702070207"/>
          <w val="0.773131742656902"/>
          <h val="0.634338433843384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Spring2024!$F$83:$F$86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Basses</v>
                </pt>
                <pt idx="3">
                  <v>Leads</v>
                </pt>
              </strCache>
            </strRef>
          </cat>
          <val>
            <numRef>
              <f>Spring2024!$G$83:$G$86</f>
              <numCache>
                <formatCode>0.00</formatCode>
                <ptCount val="4"/>
                <pt idx="0">
                  <v>0.487179487179487</v>
                </pt>
                <pt idx="1">
                  <v>0.947368421052632</v>
                </pt>
                <pt idx="2">
                  <v>1.18421052631579</v>
                </pt>
                <pt idx="3">
                  <v>1.35714285714286</v>
                </pt>
              </numCache>
            </numRef>
          </val>
        </ser>
        <gapWidth val="150"/>
        <overlap val="0"/>
        <axId val="82402116"/>
        <axId val="32570449"/>
      </barChart>
      <catAx>
        <axId val="82402116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2570449"/>
        <crosses val="autoZero"/>
        <auto val="1"/>
        <lblAlgn val="ctr"/>
        <lblOffset val="100"/>
        <noMultiLvlLbl val="0"/>
      </catAx>
      <valAx>
        <axId val="32570449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2402116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184001352951125"/>
          <y val="0.208239022181983"/>
          <w val="0.756384238119398"/>
          <h val="0.606382978723404"/>
        </manualLayout>
      </layout>
      <barChart>
        <barDir val="bar"/>
        <grouping val="clustered"/>
        <varyColors val="1"/>
        <ser>
          <idx val="0"/>
          <order val="0"/>
          <spPr>
            <a:solidFill>
              <a:srgbClr val="A02B93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Spring2024!$P$83:$P$86</f>
              <strCache>
                <ptCount val="4"/>
                <pt idx="0">
                  <v>Tenors</v>
                </pt>
                <pt idx="1">
                  <v>Baris</v>
                </pt>
                <pt idx="2">
                  <v>Basses</v>
                </pt>
                <pt idx="3">
                  <v>Leads</v>
                </pt>
              </strCache>
            </strRef>
          </cat>
          <val>
            <numRef>
              <f>Spring2024!$Q$83:$Q$86</f>
              <numCache>
                <formatCode>0.00</formatCode>
                <ptCount val="4"/>
                <pt idx="0">
                  <v>0.459016393442623</v>
                </pt>
                <pt idx="1">
                  <v>1.30952380952381</v>
                </pt>
                <pt idx="2">
                  <v>1.27450980392157</v>
                </pt>
                <pt idx="3">
                  <v>1.15</v>
                </pt>
              </numCache>
            </numRef>
          </val>
        </ser>
        <gapWidth val="150"/>
        <overlap val="0"/>
        <axId val="39380901"/>
        <axId val="59056475"/>
      </barChart>
      <catAx>
        <axId val="39380901"/>
        <scaling>
          <orientation val="maxMin"/>
        </scaling>
        <delete val="0"/>
        <axPos val="b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9056475"/>
        <crosses val="autoZero"/>
        <auto val="1"/>
        <lblAlgn val="ctr"/>
        <lblOffset val="100"/>
        <noMultiLvlLbl val="0"/>
      </catAx>
      <valAx>
        <axId val="59056475"/>
        <scaling>
          <orientation val="minMax"/>
        </scaling>
        <delete val="0"/>
        <axPos val="l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9380901"/>
        <crosses val="max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Spring2024!$AD$33:$AD$44</f>
              <strCache>
                <ptCount val="12"/>
                <pt idx="0">
                  <v>Maxine</v>
                </pt>
                <pt idx="1">
                  <v>Peter</v>
                </pt>
                <pt idx="2">
                  <v>Sam</v>
                </pt>
                <pt idx="3">
                  <v>David</v>
                </pt>
                <pt idx="4">
                  <v>Jon</v>
                </pt>
                <pt idx="5">
                  <v>Erick</v>
                </pt>
                <pt idx="6">
                  <v>Anthony</v>
                </pt>
                <pt idx="7">
                  <v>Carter</v>
                </pt>
                <pt idx="8">
                  <v>Cooper</v>
                </pt>
                <pt idx="9">
                  <v>Seth</v>
                </pt>
                <pt idx="10">
                  <v>Tyler</v>
                </pt>
                <pt idx="11">
                  <v>Grady</v>
                </pt>
              </strCache>
            </strRef>
          </cat>
          <val>
            <numRef>
              <f>Spring2024!$AF$33:$AF$44</f>
              <numCache>
                <formatCode>0.00</formatCode>
                <ptCount val="12"/>
                <pt idx="0">
                  <v>341.544332210999</v>
                </pt>
                <pt idx="1">
                  <v>547.3007856341191</v>
                </pt>
                <pt idx="2">
                  <v>616.6291915571491</v>
                </pt>
                <pt idx="3">
                  <v>492.595712776825</v>
                </pt>
                <pt idx="4">
                  <v>275.629919528165</v>
                </pt>
                <pt idx="5">
                  <v>223.090388007055</v>
                </pt>
                <pt idx="6">
                  <v>158.057319223986</v>
                </pt>
                <pt idx="7">
                  <v>179.37037037037</v>
                </pt>
                <pt idx="8">
                  <v>122.804938271605</v>
                </pt>
                <pt idx="9">
                  <v>98.82716049382709</v>
                </pt>
                <pt idx="10">
                  <v>117.976366843034</v>
                </pt>
                <pt idx="11">
                  <v>0</v>
                </pt>
              </numCache>
            </numRef>
          </val>
        </ser>
        <gapWidth val="150"/>
        <overlap val="0"/>
        <axId val="94756011"/>
        <axId val="55582755"/>
      </barChart>
      <catAx>
        <axId val="94756011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55582755"/>
        <crosses val="autoZero"/>
        <auto val="1"/>
        <lblAlgn val="ctr"/>
        <lblOffset val="100"/>
        <noMultiLvlLbl val="0"/>
      </catAx>
      <valAx>
        <axId val="55582755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947560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Spring2024!$AD$59:$AD$62</f>
              <strCache>
                <ptCount val="4"/>
                <pt idx="0">
                  <v>Leads</v>
                </pt>
                <pt idx="1">
                  <v>Basses</v>
                </pt>
                <pt idx="2">
                  <v>Baris</v>
                </pt>
                <pt idx="3">
                  <v>Tenors</v>
                </pt>
              </strCache>
            </strRef>
          </cat>
          <val>
            <numRef>
              <f>Spring2024!$AF$59:$AF$62</f>
              <numCache>
                <formatCode>0.00</formatCode>
                <ptCount val="4"/>
                <pt idx="0">
                  <v>584.055320029091</v>
                </pt>
                <pt idx="1">
                  <v>602.787266452884</v>
                </pt>
                <pt idx="2">
                  <v>515.007232216968</v>
                </pt>
                <pt idx="3">
                  <v>0</v>
                </pt>
              </numCache>
            </numRef>
          </val>
        </ser>
        <gapWidth val="150"/>
        <overlap val="0"/>
        <axId val="80912792"/>
        <axId val="39017792"/>
      </barChart>
      <catAx>
        <axId val="8091279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9017792"/>
        <crosses val="autoZero"/>
        <auto val="1"/>
        <lblAlgn val="ctr"/>
        <lblOffset val="100"/>
        <noMultiLvlLbl val="0"/>
      </catAx>
      <valAx>
        <axId val="39017792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09127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>
        <manualLayout>
          <xMode val="edge"/>
          <yMode val="edge"/>
          <wMode val="factor"/>
          <hMode val="factor"/>
          <x val="0.0846189447701327"/>
          <y val="0.173827235463792"/>
          <w val="0.885143474236347"/>
          <h val="0.585850918475786"/>
        </manualLayout>
      </layout>
      <barChart>
        <barDir val="col"/>
        <grouping val="clustered"/>
        <varyColors val="1"/>
        <ser>
          <idx val="0"/>
          <order val="0"/>
          <spPr>
            <a:solidFill>
              <a:srgbClr val="4EA72E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Spring2024!$F$23:$F$34</f>
              <strCache>
                <ptCount val="12"/>
                <pt idx="0">
                  <v>David</v>
                </pt>
                <pt idx="1">
                  <v>Sam</v>
                </pt>
                <pt idx="2">
                  <v>Maxine</v>
                </pt>
                <pt idx="3">
                  <v>Peter</v>
                </pt>
                <pt idx="4">
                  <v>Carter</v>
                </pt>
                <pt idx="5">
                  <v>Jon</v>
                </pt>
                <pt idx="6">
                  <v>Erick</v>
                </pt>
                <pt idx="7">
                  <v>Anthony</v>
                </pt>
                <pt idx="8">
                  <v>Cooper</v>
                </pt>
                <pt idx="9">
                  <v>Tyler</v>
                </pt>
                <pt idx="10">
                  <v>Seth</v>
                </pt>
                <pt idx="11">
                  <v>Grady</v>
                </pt>
              </strCache>
            </strRef>
          </cat>
          <val>
            <numRef>
              <f>Spring2024!$G$23:$G$34</f>
              <numCache>
                <formatCode>General</formatCode>
                <ptCount val="12"/>
                <pt idx="0">
                  <v>31</v>
                </pt>
                <pt idx="1">
                  <v>31</v>
                </pt>
                <pt idx="2">
                  <v>24</v>
                </pt>
                <pt idx="3">
                  <v>20</v>
                </pt>
                <pt idx="4">
                  <v>18</v>
                </pt>
                <pt idx="5">
                  <v>13</v>
                </pt>
                <pt idx="6">
                  <v>12</v>
                </pt>
                <pt idx="7">
                  <v>4</v>
                </pt>
                <pt idx="8">
                  <v>2</v>
                </pt>
                <pt idx="9">
                  <v>1</v>
                </pt>
                <pt idx="10">
                  <v>1</v>
                </pt>
                <pt idx="11">
                  <v>0</v>
                </pt>
              </numCache>
            </numRef>
          </val>
        </ser>
        <gapWidth val="150"/>
        <overlap val="0"/>
        <axId val="3843319"/>
        <axId val="16215469"/>
      </barChart>
      <catAx>
        <axId val="3843319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16215469"/>
        <crosses val="autoZero"/>
        <auto val="1"/>
        <lblAlgn val="ctr"/>
        <lblOffset val="100"/>
        <noMultiLvlLbl val="0"/>
      </catAx>
      <valAx>
        <axId val="16215469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8433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Best Overall Placing (lower is better)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2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3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4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5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6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7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8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9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0"/>
              <numFmt formatCode="General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OVERALL!$P$2:$P$22</f>
              <strCache>
                <ptCount val="21"/>
                <pt idx="0">
                  <v>David</v>
                </pt>
                <pt idx="1">
                  <v>Ethan</v>
                </pt>
                <pt idx="2">
                  <v>Maxine</v>
                </pt>
                <pt idx="3">
                  <v>Sam</v>
                </pt>
                <pt idx="4">
                  <v>Peter</v>
                </pt>
                <pt idx="5">
                  <v>Anthony</v>
                </pt>
                <pt idx="6">
                  <v>Carter</v>
                </pt>
                <pt idx="7">
                  <v>Grady</v>
                </pt>
                <pt idx="8">
                  <v>Joey</v>
                </pt>
                <pt idx="9">
                  <v>Jon</v>
                </pt>
                <pt idx="10">
                  <v>Mikey</v>
                </pt>
                <pt idx="11">
                  <v>Erick</v>
                </pt>
                <pt idx="12">
                  <v>Evan</v>
                </pt>
                <pt idx="13">
                  <v>Tyler</v>
                </pt>
                <pt idx="14">
                  <v>Will</v>
                </pt>
                <pt idx="15">
                  <v>Cooper</v>
                </pt>
                <pt idx="16">
                  <v>Lucy</v>
                </pt>
                <pt idx="17">
                  <v>Vignesh</v>
                </pt>
                <pt idx="18">
                  <v>Reuben</v>
                </pt>
                <pt idx="19">
                  <v>Seth</v>
                </pt>
                <pt idx="20">
                  <v>Rob</v>
                </pt>
              </strCache>
            </strRef>
          </cat>
          <val>
            <numRef>
              <f>OVERALL!$Q$2:$Q$22</f>
              <numCache>
                <formatCode>General</formatCode>
                <ptCount val="2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2</v>
                </pt>
                <pt idx="5">
                  <v>3</v>
                </pt>
                <pt idx="6">
                  <v>3</v>
                </pt>
                <pt idx="7">
                  <v>3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6</v>
                </pt>
                <pt idx="12">
                  <v>6</v>
                </pt>
                <pt idx="13">
                  <v>6</v>
                </pt>
                <pt idx="14">
                  <v>2</v>
                </pt>
                <pt idx="15">
                  <v>7</v>
                </pt>
                <pt idx="16">
                  <v>5</v>
                </pt>
                <pt idx="17">
                  <v>9</v>
                </pt>
                <pt idx="18">
                  <v>10</v>
                </pt>
                <pt idx="19">
                  <v>10</v>
                </pt>
                <pt idx="20">
                  <v>15</v>
                </pt>
              </numCache>
            </numRef>
          </val>
        </ser>
        <gapWidth val="150"/>
        <overlap val="0"/>
        <axId val="80723452"/>
        <axId val="36761081"/>
      </barChart>
      <catAx>
        <axId val="8072345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36761081"/>
        <crosses val="autoZero"/>
        <auto val="1"/>
        <lblAlgn val="ctr"/>
        <lblOffset val="100"/>
        <noMultiLvlLbl val="0"/>
      </catAx>
      <valAx>
        <axId val="36761081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072345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0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Average Overall Placing (lower is better)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1"/>
        <ser>
          <idx val="0"/>
          <order val="0"/>
          <tx>
            <strRef>
              <f>SPRING2026POST!$A$1</f>
              <strCache>
                <ptCount val="1"/>
                <pt idx="0">
                  <v>Sniper</v>
                </pt>
              </strCache>
            </strRef>
          </tx>
          <spPr>
            <a:solidFill>
              <a:srgbClr val="156082"/>
            </a:solidFill>
            <a:ln w="12600">
              <a:solidFill>
                <a:srgbClr val="000000"/>
              </a:solidFill>
              <a:prstDash val="solid"/>
              <a:round/>
            </a:ln>
          </spPr>
          <invertIfNegative val="0"/>
          <dPt>
            <idx val="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1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2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3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4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5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6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7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8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19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Pt>
            <idx val="20"/>
            <spPr>
              <a:solidFill>
                <a:srgbClr val="000000"/>
              </a:solidFill>
              <a:ln w="0">
                <a:noFill/>
                <a:prstDash val="solid"/>
              </a:ln>
            </spPr>
          </dPt>
          <dLbls>
            <dLbl>
              <idx val="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1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2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3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4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5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6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7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8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19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dLbl>
              <idx val="20"/>
              <numFmt formatCode="0.00"/>
              <txPr>
                <a:bodyPr wrap="square"/>
                <a:lstStyle/>
                <a:p>
                  <a:pPr>
                    <a:defRPr sz="900" b="0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  <a:r>
                    <a:t>None</a:t>
                  </a:r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</dLbl>
            <numFmt formatCode="0.00"/>
            <txPr>
              <a:bodyPr wrap="square"/>
              <a:lstStyle/>
              <a:p>
                <a:pPr>
                  <a:defRPr sz="9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  <a:r>
                  <a:t>None</a:t>
                </a: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OVERALL!$AA$2:$AA$22</f>
              <strCache>
                <ptCount val="21"/>
                <pt idx="0">
                  <v>Ethan</v>
                </pt>
                <pt idx="1">
                  <v>Sam</v>
                </pt>
                <pt idx="2">
                  <v>Peter</v>
                </pt>
                <pt idx="3">
                  <v>David</v>
                </pt>
                <pt idx="4">
                  <v>Maxine</v>
                </pt>
                <pt idx="5">
                  <v>Anthony</v>
                </pt>
                <pt idx="6">
                  <v>Mikey</v>
                </pt>
                <pt idx="7">
                  <v>Carter</v>
                </pt>
                <pt idx="8">
                  <v>Jon</v>
                </pt>
                <pt idx="9">
                  <v>Will</v>
                </pt>
                <pt idx="10">
                  <v>Lucy</v>
                </pt>
                <pt idx="11">
                  <v>Joey</v>
                </pt>
                <pt idx="12">
                  <v>Erick</v>
                </pt>
                <pt idx="13">
                  <v>Vignesh</v>
                </pt>
                <pt idx="14">
                  <v>Tyler</v>
                </pt>
                <pt idx="15">
                  <v>Evan</v>
                </pt>
                <pt idx="16">
                  <v>Grady</v>
                </pt>
                <pt idx="17">
                  <v>Cooper</v>
                </pt>
                <pt idx="18">
                  <v>Seth</v>
                </pt>
                <pt idx="19">
                  <v>Reuben</v>
                </pt>
                <pt idx="20">
                  <v>Rob</v>
                </pt>
              </strCache>
            </strRef>
          </cat>
          <val>
            <numRef>
              <f>OVERALL!$AB$2:$AB$22</f>
              <numCache>
                <formatCode>0.00</formatCode>
                <ptCount val="21"/>
                <pt idx="0">
                  <v>1.5</v>
                </pt>
                <pt idx="1">
                  <v>2</v>
                </pt>
                <pt idx="2">
                  <v>4</v>
                </pt>
                <pt idx="3">
                  <v>3.2</v>
                </pt>
                <pt idx="4">
                  <v>3.42857142857143</v>
                </pt>
                <pt idx="5">
                  <v>5.8</v>
                </pt>
                <pt idx="6">
                  <v>4</v>
                </pt>
                <pt idx="7">
                  <v>6.42857142857143</v>
                </pt>
                <pt idx="8">
                  <v>6</v>
                </pt>
                <pt idx="9">
                  <v>2</v>
                </pt>
                <pt idx="10">
                  <v>5</v>
                </pt>
                <pt idx="11">
                  <v>8</v>
                </pt>
                <pt idx="12">
                  <v>8</v>
                </pt>
                <pt idx="13">
                  <v>9</v>
                </pt>
                <pt idx="14">
                  <v>8.6</v>
                </pt>
                <pt idx="15">
                  <v>8.5</v>
                </pt>
                <pt idx="16">
                  <v>10.4285714285714</v>
                </pt>
                <pt idx="17">
                  <v>9.71428571428571</v>
                </pt>
                <pt idx="18">
                  <v>11</v>
                </pt>
                <pt idx="19">
                  <v>12.75</v>
                </pt>
                <pt idx="20">
                  <v>15</v>
                </pt>
              </numCache>
            </numRef>
          </val>
        </ser>
        <gapWidth val="150"/>
        <overlap val="0"/>
        <axId val="8384546"/>
        <axId val="72578370"/>
      </barChart>
      <catAx>
        <axId val="8384546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72578370"/>
        <crosses val="autoZero"/>
        <auto val="1"/>
        <lblAlgn val="ctr"/>
        <lblOffset val="100"/>
        <noMultiLvlLbl val="0"/>
      </catAx>
      <valAx>
        <axId val="72578370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0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  <a:r>
              <a:t>None</a:t>
            </a:r>
          </a:p>
        </txPr>
        <crossAx val="83845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Relationship Type="http://schemas.openxmlformats.org/officeDocument/2006/relationships/chart" Target="/xl/charts/chart17.xml" Id="rId3" /><Relationship Type="http://schemas.openxmlformats.org/officeDocument/2006/relationships/chart" Target="/xl/charts/chart18.xml" Id="rId4" /><Relationship Type="http://schemas.openxmlformats.org/officeDocument/2006/relationships/chart" Target="/xl/charts/chart19.xml" Id="rId5" /><Relationship Type="http://schemas.openxmlformats.org/officeDocument/2006/relationships/chart" Target="/xl/charts/chart20.xml" Id="rId6" /><Relationship Type="http://schemas.openxmlformats.org/officeDocument/2006/relationships/chart" Target="/xl/charts/chart21.xml" Id="rId7" /><Relationship Type="http://schemas.openxmlformats.org/officeDocument/2006/relationships/chart" Target="/xl/charts/chart22.xml" Id="rId8" /><Relationship Type="http://schemas.openxmlformats.org/officeDocument/2006/relationships/chart" Target="/xl/charts/chart23.xml" Id="rId9" /><Relationship Type="http://schemas.openxmlformats.org/officeDocument/2006/relationships/chart" Target="/xl/charts/chart24.xml" Id="rId10" /><Relationship Type="http://schemas.openxmlformats.org/officeDocument/2006/relationships/chart" Target="/xl/charts/chart25.xml" Id="rId11" /><Relationship Type="http://schemas.openxmlformats.org/officeDocument/2006/relationships/chart" Target="/xl/charts/chart26.xml" Id="rId12" /><Relationship Type="http://schemas.openxmlformats.org/officeDocument/2006/relationships/chart" Target="/xl/charts/chart27.xml" Id="rId13" /><Relationship Type="http://schemas.openxmlformats.org/officeDocument/2006/relationships/chart" Target="/xl/charts/chart28.xml" Id="rId1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Relationship Type="http://schemas.openxmlformats.org/officeDocument/2006/relationships/chart" Target="/xl/charts/chart33.xml" Id="rId5" /><Relationship Type="http://schemas.openxmlformats.org/officeDocument/2006/relationships/chart" Target="/xl/charts/chart34.xml" Id="rId6" /><Relationship Type="http://schemas.openxmlformats.org/officeDocument/2006/relationships/chart" Target="/xl/charts/chart35.xml" Id="rId7" /><Relationship Type="http://schemas.openxmlformats.org/officeDocument/2006/relationships/chart" Target="/xl/charts/chart36.xml" Id="rId8" /><Relationship Type="http://schemas.openxmlformats.org/officeDocument/2006/relationships/chart" Target="/xl/charts/chart37.xml" Id="rId9" /><Relationship Type="http://schemas.openxmlformats.org/officeDocument/2006/relationships/chart" Target="/xl/charts/chart38.xml" Id="rId10" /><Relationship Type="http://schemas.openxmlformats.org/officeDocument/2006/relationships/chart" Target="/xl/charts/chart39.xml" Id="rId11" /><Relationship Type="http://schemas.openxmlformats.org/officeDocument/2006/relationships/chart" Target="/xl/charts/chart40.xml" Id="rId12" /><Relationship Type="http://schemas.openxmlformats.org/officeDocument/2006/relationships/chart" Target="/xl/charts/chart41.xml" Id="rId13" /><Relationship Type="http://schemas.openxmlformats.org/officeDocument/2006/relationships/chart" Target="/xl/charts/chart42.xml" Id="rId1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Relationship Type="http://schemas.openxmlformats.org/officeDocument/2006/relationships/chart" Target="/xl/charts/chart46.xml" Id="rId4" /><Relationship Type="http://schemas.openxmlformats.org/officeDocument/2006/relationships/chart" Target="/xl/charts/chart47.xml" Id="rId5" /><Relationship Type="http://schemas.openxmlformats.org/officeDocument/2006/relationships/chart" Target="/xl/charts/chart48.xml" Id="rId6" /><Relationship Type="http://schemas.openxmlformats.org/officeDocument/2006/relationships/chart" Target="/xl/charts/chart49.xml" Id="rId7" /><Relationship Type="http://schemas.openxmlformats.org/officeDocument/2006/relationships/chart" Target="/xl/charts/chart50.xml" Id="rId8" /><Relationship Type="http://schemas.openxmlformats.org/officeDocument/2006/relationships/chart" Target="/xl/charts/chart51.xml" Id="rId9" /><Relationship Type="http://schemas.openxmlformats.org/officeDocument/2006/relationships/chart" Target="/xl/charts/chart52.xml" Id="rId10" /><Relationship Type="http://schemas.openxmlformats.org/officeDocument/2006/relationships/chart" Target="/xl/charts/chart53.xml" Id="rId11" /><Relationship Type="http://schemas.openxmlformats.org/officeDocument/2006/relationships/chart" Target="/xl/charts/chart54.xml" Id="rId12" /><Relationship Type="http://schemas.openxmlformats.org/officeDocument/2006/relationships/chart" Target="/xl/charts/chart55.xml" Id="rId13" /><Relationship Type="http://schemas.openxmlformats.org/officeDocument/2006/relationships/chart" Target="/xl/charts/chart56.xml" Id="rId1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Relationship Type="http://schemas.openxmlformats.org/officeDocument/2006/relationships/chart" Target="/xl/charts/chart65.xml" Id="rId9" /><Relationship Type="http://schemas.openxmlformats.org/officeDocument/2006/relationships/chart" Target="/xl/charts/chart66.xml" Id="rId10" /><Relationship Type="http://schemas.openxmlformats.org/officeDocument/2006/relationships/chart" Target="/xl/charts/chart67.xml" Id="rId11" /><Relationship Type="http://schemas.openxmlformats.org/officeDocument/2006/relationships/chart" Target="/xl/charts/chart68.xml" Id="rId12" /><Relationship Type="http://schemas.openxmlformats.org/officeDocument/2006/relationships/chart" Target="/xl/charts/chart69.xml" Id="rId13" /><Relationship Type="http://schemas.openxmlformats.org/officeDocument/2006/relationships/chart" Target="/xl/charts/chart70.xml" Id="rId1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1.xml" Id="rId1" /><Relationship Type="http://schemas.openxmlformats.org/officeDocument/2006/relationships/chart" Target="/xl/charts/chart72.xml" Id="rId2" /><Relationship Type="http://schemas.openxmlformats.org/officeDocument/2006/relationships/chart" Target="/xl/charts/chart73.xml" Id="rId3" /><Relationship Type="http://schemas.openxmlformats.org/officeDocument/2006/relationships/chart" Target="/xl/charts/chart74.xml" Id="rId4" /><Relationship Type="http://schemas.openxmlformats.org/officeDocument/2006/relationships/chart" Target="/xl/charts/chart75.xml" Id="rId5" /><Relationship Type="http://schemas.openxmlformats.org/officeDocument/2006/relationships/chart" Target="/xl/charts/chart76.xml" Id="rId6" /><Relationship Type="http://schemas.openxmlformats.org/officeDocument/2006/relationships/chart" Target="/xl/charts/chart77.xml" Id="rId7" /><Relationship Type="http://schemas.openxmlformats.org/officeDocument/2006/relationships/chart" Target="/xl/charts/chart78.xml" Id="rId8" /><Relationship Type="http://schemas.openxmlformats.org/officeDocument/2006/relationships/chart" Target="/xl/charts/chart79.xml" Id="rId9" /><Relationship Type="http://schemas.openxmlformats.org/officeDocument/2006/relationships/chart" Target="/xl/charts/chart80.xml" Id="rId10" /><Relationship Type="http://schemas.openxmlformats.org/officeDocument/2006/relationships/chart" Target="/xl/charts/chart81.xml" Id="rId11" /><Relationship Type="http://schemas.openxmlformats.org/officeDocument/2006/relationships/chart" Target="/xl/charts/chart82.xml" Id="rId12" /><Relationship Type="http://schemas.openxmlformats.org/officeDocument/2006/relationships/chart" Target="/xl/charts/chart83.xml" Id="rId13" /><Relationship Type="http://schemas.openxmlformats.org/officeDocument/2006/relationships/chart" Target="/xl/charts/chart84.xml" Id="rId1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Relationship Type="http://schemas.openxmlformats.org/officeDocument/2006/relationships/chart" Target="/xl/charts/chart87.xml" Id="rId3" /><Relationship Type="http://schemas.openxmlformats.org/officeDocument/2006/relationships/chart" Target="/xl/charts/chart88.xml" Id="rId4" /><Relationship Type="http://schemas.openxmlformats.org/officeDocument/2006/relationships/chart" Target="/xl/charts/chart89.xml" Id="rId5" /><Relationship Type="http://schemas.openxmlformats.org/officeDocument/2006/relationships/chart" Target="/xl/charts/chart90.xml" Id="rId6" /><Relationship Type="http://schemas.openxmlformats.org/officeDocument/2006/relationships/chart" Target="/xl/charts/chart91.xml" Id="rId7" /><Relationship Type="http://schemas.openxmlformats.org/officeDocument/2006/relationships/chart" Target="/xl/charts/chart92.xml" Id="rId8" /><Relationship Type="http://schemas.openxmlformats.org/officeDocument/2006/relationships/chart" Target="/xl/charts/chart93.xml" Id="rId9" /><Relationship Type="http://schemas.openxmlformats.org/officeDocument/2006/relationships/chart" Target="/xl/charts/chart94.xml" Id="rId10" /><Relationship Type="http://schemas.openxmlformats.org/officeDocument/2006/relationships/chart" Target="/xl/charts/chart95.xml" Id="rId11" /><Relationship Type="http://schemas.openxmlformats.org/officeDocument/2006/relationships/chart" Target="/xl/charts/chart96.xml" Id="rId12" /><Relationship Type="http://schemas.openxmlformats.org/officeDocument/2006/relationships/chart" Target="/xl/charts/chart97.xml" Id="rId13" /><Relationship Type="http://schemas.openxmlformats.org/officeDocument/2006/relationships/chart" Target="/xl/charts/chart98.xml" Id="rId1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99.xml" Id="rId1" /><Relationship Type="http://schemas.openxmlformats.org/officeDocument/2006/relationships/chart" Target="/xl/charts/chart100.xml" Id="rId2" /><Relationship Type="http://schemas.openxmlformats.org/officeDocument/2006/relationships/chart" Target="/xl/charts/chart101.xml" Id="rId3" /><Relationship Type="http://schemas.openxmlformats.org/officeDocument/2006/relationships/chart" Target="/xl/charts/chart102.xml" Id="rId4" /><Relationship Type="http://schemas.openxmlformats.org/officeDocument/2006/relationships/chart" Target="/xl/charts/chart103.xml" Id="rId5" /><Relationship Type="http://schemas.openxmlformats.org/officeDocument/2006/relationships/chart" Target="/xl/charts/chart104.xml" Id="rId6" /><Relationship Type="http://schemas.openxmlformats.org/officeDocument/2006/relationships/chart" Target="/xl/charts/chart105.xml" Id="rId7" /><Relationship Type="http://schemas.openxmlformats.org/officeDocument/2006/relationships/chart" Target="/xl/charts/chart106.xml" Id="rId8" /><Relationship Type="http://schemas.openxmlformats.org/officeDocument/2006/relationships/chart" Target="/xl/charts/chart107.xml" Id="rId9" /><Relationship Type="http://schemas.openxmlformats.org/officeDocument/2006/relationships/chart" Target="/xl/charts/chart108.xml" Id="rId10" /><Relationship Type="http://schemas.openxmlformats.org/officeDocument/2006/relationships/chart" Target="/xl/charts/chart109.xml" Id="rId11" /><Relationship Type="http://schemas.openxmlformats.org/officeDocument/2006/relationships/chart" Target="/xl/charts/chart110.xml" Id="rId12" /><Relationship Type="http://schemas.openxmlformats.org/officeDocument/2006/relationships/chart" Target="/xl/charts/chart111.xml" Id="rId13" /><Relationship Type="http://schemas.openxmlformats.org/officeDocument/2006/relationships/chart" Target="/xl/charts/chart112.xml" Id="rId1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13.xml" Id="rId1" /><Relationship Type="http://schemas.openxmlformats.org/officeDocument/2006/relationships/chart" Target="/xl/charts/chart114.xml" Id="rId2" /><Relationship Type="http://schemas.openxmlformats.org/officeDocument/2006/relationships/chart" Target="/xl/charts/chart115.xml" Id="rId3" /><Relationship Type="http://schemas.openxmlformats.org/officeDocument/2006/relationships/chart" Target="/xl/charts/chart116.xml" Id="rId4" /><Relationship Type="http://schemas.openxmlformats.org/officeDocument/2006/relationships/chart" Target="/xl/charts/chart117.xml" Id="rId5" /><Relationship Type="http://schemas.openxmlformats.org/officeDocument/2006/relationships/chart" Target="/xl/charts/chart118.xml" Id="rId6" /><Relationship Type="http://schemas.openxmlformats.org/officeDocument/2006/relationships/chart" Target="/xl/charts/chart119.xml" Id="rId7" /><Relationship Type="http://schemas.openxmlformats.org/officeDocument/2006/relationships/chart" Target="/xl/charts/chart120.xml" Id="rId8" /><Relationship Type="http://schemas.openxmlformats.org/officeDocument/2006/relationships/chart" Target="/xl/charts/chart121.xml" Id="rId9" /><Relationship Type="http://schemas.openxmlformats.org/officeDocument/2006/relationships/chart" Target="/xl/charts/chart122.xml" Id="rId10" /><Relationship Type="http://schemas.openxmlformats.org/officeDocument/2006/relationships/chart" Target="/xl/charts/chart123.xml" Id="rId11" /><Relationship Type="http://schemas.openxmlformats.org/officeDocument/2006/relationships/chart" Target="/xl/charts/chart124.xml" Id="rId12" /><Relationship Type="http://schemas.openxmlformats.org/officeDocument/2006/relationships/chart" Target="/xl/charts/chart125.xml" Id="rId13" /><Relationship Type="http://schemas.openxmlformats.org/officeDocument/2006/relationships/chart" Target="/xl/charts/chart126.xml" Id="rId1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27.xml" Id="rId1" /><Relationship Type="http://schemas.openxmlformats.org/officeDocument/2006/relationships/chart" Target="/xl/charts/chart128.xml" Id="rId2" /><Relationship Type="http://schemas.openxmlformats.org/officeDocument/2006/relationships/chart" Target="/xl/charts/chart129.xml" Id="rId3" /><Relationship Type="http://schemas.openxmlformats.org/officeDocument/2006/relationships/chart" Target="/xl/charts/chart130.xml" Id="rId4" /><Relationship Type="http://schemas.openxmlformats.org/officeDocument/2006/relationships/chart" Target="/xl/charts/chart131.xml" Id="rId5" /><Relationship Type="http://schemas.openxmlformats.org/officeDocument/2006/relationships/chart" Target="/xl/charts/chart132.xml" Id="rId6" /><Relationship Type="http://schemas.openxmlformats.org/officeDocument/2006/relationships/chart" Target="/xl/charts/chart133.xml" Id="rId7" /><Relationship Type="http://schemas.openxmlformats.org/officeDocument/2006/relationships/chart" Target="/xl/charts/chart134.xml" Id="rId8" /><Relationship Type="http://schemas.openxmlformats.org/officeDocument/2006/relationships/chart" Target="/xl/charts/chart135.xml" Id="rId9" /><Relationship Type="http://schemas.openxmlformats.org/officeDocument/2006/relationships/chart" Target="/xl/charts/chart136.xml" Id="rId10" /><Relationship Type="http://schemas.openxmlformats.org/officeDocument/2006/relationships/chart" Target="/xl/charts/chart137.xml" Id="rId11" /><Relationship Type="http://schemas.openxmlformats.org/officeDocument/2006/relationships/chart" Target="/xl/charts/chart138.xml" Id="rId12" /><Relationship Type="http://schemas.openxmlformats.org/officeDocument/2006/relationships/chart" Target="/xl/charts/chart139.xml" Id="rId13" /><Relationship Type="http://schemas.openxmlformats.org/officeDocument/2006/relationships/chart" Target="/xl/charts/chart140.xml" Id="rId1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41.xml" Id="rId1" /><Relationship Type="http://schemas.openxmlformats.org/officeDocument/2006/relationships/chart" Target="/xl/charts/chart14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10</col>
      <colOff>97920</colOff>
      <row>26</row>
      <rowOff>133560</rowOff>
    </from>
    <to>
      <col>16</col>
      <colOff>867240</colOff>
      <row>43</row>
      <rowOff>18720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20</col>
      <colOff>162000</colOff>
      <row>26</row>
      <rowOff>110160</rowOff>
    </from>
    <to>
      <col>30</col>
      <colOff>493200</colOff>
      <row>42</row>
      <rowOff>147240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10</col>
      <colOff>247680</colOff>
      <row>44</row>
      <rowOff>139320</rowOff>
    </from>
    <to>
      <col>16</col>
      <colOff>867240</colOff>
      <row>60</row>
      <rowOff>138240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20</col>
      <colOff>104760</colOff>
      <row>44</row>
      <rowOff>101160</rowOff>
    </from>
    <to>
      <col>30</col>
      <colOff>474120</colOff>
      <row>60</row>
      <rowOff>176400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10</col>
      <colOff>237960</colOff>
      <row>62</row>
      <rowOff>139320</rowOff>
    </from>
    <to>
      <col>16</col>
      <colOff>866880</colOff>
      <row>78</row>
      <rowOff>157680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20</col>
      <colOff>114480</colOff>
      <row>62</row>
      <rowOff>139320</rowOff>
    </from>
    <to>
      <col>30</col>
      <colOff>483840</colOff>
      <row>79</row>
      <rowOff>14760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10</col>
      <colOff>209520</colOff>
      <row>80</row>
      <rowOff>15480</rowOff>
    </from>
    <to>
      <col>16</col>
      <colOff>777600</colOff>
      <row>90</row>
      <rowOff>100440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20</col>
      <colOff>85680</colOff>
      <row>80</row>
      <rowOff>5760</rowOff>
    </from>
    <to>
      <col>30</col>
      <colOff>483480</colOff>
      <row>91</row>
      <rowOff>33840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10</col>
      <colOff>237960</colOff>
      <row>91</row>
      <rowOff>15480</rowOff>
    </from>
    <to>
      <col>17</col>
      <colOff>5760</colOff>
      <row>102</row>
      <rowOff>52920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20</col>
      <colOff>95400</colOff>
      <row>91</row>
      <rowOff>91080</rowOff>
    </from>
    <to>
      <col>30</col>
      <colOff>493200</colOff>
      <row>102</row>
      <rowOff>52200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10</col>
      <colOff>257040</colOff>
      <row>102</row>
      <rowOff>177120</rowOff>
    </from>
    <to>
      <col>17</col>
      <colOff>39240</colOff>
      <row>113</row>
      <rowOff>176400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20</col>
      <colOff>152280</colOff>
      <row>102</row>
      <rowOff>148320</rowOff>
    </from>
    <to>
      <col>30</col>
      <colOff>492840</colOff>
      <row>113</row>
      <rowOff>147600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44</col>
      <colOff>123840</colOff>
      <row>33</row>
      <rowOff>119880</rowOff>
    </from>
    <to>
      <col>52</col>
      <colOff>304200</colOff>
      <row>53</row>
      <rowOff>71280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44</col>
      <colOff>85680</colOff>
      <row>63</row>
      <rowOff>34200</rowOff>
    </from>
    <to>
      <col>51</col>
      <colOff>196920</colOff>
      <row>81</row>
      <rowOff>5040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10</col>
      <colOff>97920</colOff>
      <row>26</row>
      <rowOff>133560</rowOff>
    </from>
    <to>
      <col>16</col>
      <colOff>867240</colOff>
      <row>43</row>
      <rowOff>18720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20</col>
      <colOff>162000</colOff>
      <row>26</row>
      <rowOff>110160</rowOff>
    </from>
    <to>
      <col>30</col>
      <colOff>493200</colOff>
      <row>42</row>
      <rowOff>147600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10</col>
      <colOff>247680</colOff>
      <row>44</row>
      <rowOff>139320</rowOff>
    </from>
    <to>
      <col>16</col>
      <colOff>867240</colOff>
      <row>60</row>
      <rowOff>138240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20</col>
      <colOff>104760</colOff>
      <row>44</row>
      <rowOff>101160</rowOff>
    </from>
    <to>
      <col>30</col>
      <colOff>474120</colOff>
      <row>60</row>
      <rowOff>176400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10</col>
      <colOff>237960</colOff>
      <row>62</row>
      <rowOff>139320</rowOff>
    </from>
    <to>
      <col>16</col>
      <colOff>866880</colOff>
      <row>78</row>
      <rowOff>157320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20</col>
      <colOff>114480</colOff>
      <row>62</row>
      <rowOff>139320</rowOff>
    </from>
    <to>
      <col>30</col>
      <colOff>483840</colOff>
      <row>79</row>
      <rowOff>14760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10</col>
      <colOff>209520</colOff>
      <row>80</row>
      <rowOff>15480</rowOff>
    </from>
    <to>
      <col>16</col>
      <colOff>777600</colOff>
      <row>90</row>
      <rowOff>100440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20</col>
      <colOff>85680</colOff>
      <row>80</row>
      <rowOff>5760</rowOff>
    </from>
    <to>
      <col>30</col>
      <colOff>483480</colOff>
      <row>91</row>
      <rowOff>33480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10</col>
      <colOff>237960</colOff>
      <row>91</row>
      <rowOff>15480</rowOff>
    </from>
    <to>
      <col>17</col>
      <colOff>5760</colOff>
      <row>102</row>
      <rowOff>52920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20</col>
      <colOff>95400</colOff>
      <row>91</row>
      <rowOff>91080</rowOff>
    </from>
    <to>
      <col>30</col>
      <colOff>493200</colOff>
      <row>102</row>
      <rowOff>52200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10</col>
      <colOff>257040</colOff>
      <row>102</row>
      <rowOff>177120</rowOff>
    </from>
    <to>
      <col>17</col>
      <colOff>39240</colOff>
      <row>113</row>
      <rowOff>176760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20</col>
      <colOff>152280</colOff>
      <row>102</row>
      <rowOff>148320</rowOff>
    </from>
    <to>
      <col>30</col>
      <colOff>492840</colOff>
      <row>113</row>
      <rowOff>147960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44</col>
      <colOff>123840</colOff>
      <row>33</row>
      <rowOff>119880</rowOff>
    </from>
    <to>
      <col>52</col>
      <colOff>304200</colOff>
      <row>53</row>
      <rowOff>71640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44</col>
      <colOff>85680</colOff>
      <row>63</row>
      <rowOff>34200</rowOff>
    </from>
    <to>
      <col>51</col>
      <colOff>196920</colOff>
      <row>81</row>
      <rowOff>4680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10</col>
      <colOff>97920</colOff>
      <row>27</row>
      <rowOff>51840</rowOff>
    </from>
    <to>
      <col>16</col>
      <colOff>867240</colOff>
      <row>43</row>
      <rowOff>117720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20</col>
      <colOff>162000</colOff>
      <row>27</row>
      <rowOff>28440</rowOff>
    </from>
    <to>
      <col>30</col>
      <colOff>493200</colOff>
      <row>43</row>
      <rowOff>65520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10</col>
      <colOff>247680</colOff>
      <row>45</row>
      <rowOff>57240</rowOff>
    </from>
    <to>
      <col>16</col>
      <colOff>867240</colOff>
      <row>61</row>
      <rowOff>56520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20</col>
      <colOff>104760</colOff>
      <row>45</row>
      <rowOff>19080</rowOff>
    </from>
    <to>
      <col>30</col>
      <colOff>474120</colOff>
      <row>61</row>
      <rowOff>94680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10</col>
      <colOff>237960</colOff>
      <row>63</row>
      <rowOff>57240</rowOff>
    </from>
    <to>
      <col>16</col>
      <colOff>866880</colOff>
      <row>79</row>
      <rowOff>75600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20</col>
      <colOff>114480</colOff>
      <row>63</row>
      <rowOff>57240</rowOff>
    </from>
    <to>
      <col>30</col>
      <colOff>483840</colOff>
      <row>79</row>
      <rowOff>113760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10</col>
      <colOff>209520</colOff>
      <row>80</row>
      <rowOff>114480</rowOff>
    </from>
    <to>
      <col>16</col>
      <colOff>777600</colOff>
      <row>91</row>
      <rowOff>18360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20</col>
      <colOff>85680</colOff>
      <row>80</row>
      <rowOff>104760</rowOff>
    </from>
    <to>
      <col>30</col>
      <colOff>483480</colOff>
      <row>91</row>
      <rowOff>132480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10</col>
      <colOff>237960</colOff>
      <row>91</row>
      <rowOff>114480</rowOff>
    </from>
    <to>
      <col>17</col>
      <colOff>5760</colOff>
      <row>102</row>
      <rowOff>152280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20</col>
      <colOff>95400</colOff>
      <row>92</row>
      <rowOff>9360</rowOff>
    </from>
    <to>
      <col>30</col>
      <colOff>493200</colOff>
      <row>102</row>
      <rowOff>151560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10</col>
      <colOff>257040</colOff>
      <row>103</row>
      <rowOff>95400</rowOff>
    </from>
    <to>
      <col>17</col>
      <colOff>39240</colOff>
      <row>114</row>
      <rowOff>94680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20</col>
      <colOff>152280</colOff>
      <row>103</row>
      <rowOff>66600</rowOff>
    </from>
    <to>
      <col>30</col>
      <colOff>492840</colOff>
      <row>114</row>
      <rowOff>65880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44</col>
      <colOff>123840</colOff>
      <row>34</row>
      <rowOff>38160</rowOff>
    </from>
    <to>
      <col>52</col>
      <colOff>304200</colOff>
      <row>53</row>
      <rowOff>170640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44</col>
      <colOff>85680</colOff>
      <row>63</row>
      <rowOff>133200</rowOff>
    </from>
    <to>
      <col>51</col>
      <colOff>196920</colOff>
      <row>81</row>
      <rowOff>104040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8</col>
      <colOff>97920</colOff>
      <row>27</row>
      <rowOff>51840</rowOff>
    </from>
    <to>
      <col>15</col>
      <colOff>288360</colOff>
      <row>43</row>
      <rowOff>118080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18</col>
      <colOff>162000</colOff>
      <row>27</row>
      <rowOff>28440</rowOff>
    </from>
    <to>
      <col>29</col>
      <colOff>304560</colOff>
      <row>43</row>
      <rowOff>65880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247680</colOff>
      <row>45</row>
      <rowOff>57240</rowOff>
    </from>
    <to>
      <col>15</col>
      <colOff>295200</colOff>
      <row>61</row>
      <rowOff>56520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18</col>
      <colOff>104760</colOff>
      <row>45</row>
      <rowOff>19080</rowOff>
    </from>
    <to>
      <col>29</col>
      <colOff>285480</colOff>
      <row>61</row>
      <rowOff>94680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237960</colOff>
      <row>63</row>
      <rowOff>57240</rowOff>
    </from>
    <to>
      <col>15</col>
      <colOff>314280</colOff>
      <row>79</row>
      <rowOff>75600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18</col>
      <colOff>114480</colOff>
      <row>63</row>
      <rowOff>57240</rowOff>
    </from>
    <to>
      <col>29</col>
      <colOff>295200</colOff>
      <row>79</row>
      <rowOff>113760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8</col>
      <colOff>209520</colOff>
      <row>80</row>
      <rowOff>114480</rowOff>
    </from>
    <to>
      <col>15</col>
      <colOff>257040</colOff>
      <row>91</row>
      <rowOff>18720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18</col>
      <colOff>85680</colOff>
      <row>80</row>
      <rowOff>104760</rowOff>
    </from>
    <to>
      <col>29</col>
      <colOff>294840</colOff>
      <row>91</row>
      <rowOff>132840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8</col>
      <colOff>237960</colOff>
      <row>91</row>
      <rowOff>114480</rowOff>
    </from>
    <to>
      <col>15</col>
      <colOff>285480</colOff>
      <row>102</row>
      <rowOff>151920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18</col>
      <colOff>95400</colOff>
      <row>92</row>
      <rowOff>9360</rowOff>
    </from>
    <to>
      <col>29</col>
      <colOff>304560</colOff>
      <row>102</row>
      <rowOff>151560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8</col>
      <colOff>257040</colOff>
      <row>103</row>
      <rowOff>95400</rowOff>
    </from>
    <to>
      <col>15</col>
      <colOff>304560</colOff>
      <row>114</row>
      <rowOff>94680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18</col>
      <colOff>152280</colOff>
      <row>103</row>
      <rowOff>66600</rowOff>
    </from>
    <to>
      <col>29</col>
      <colOff>304200</colOff>
      <row>114</row>
      <rowOff>65880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42</col>
      <colOff>123840</colOff>
      <row>34</row>
      <rowOff>38160</rowOff>
    </from>
    <to>
      <col>50</col>
      <colOff>304200</colOff>
      <row>53</row>
      <rowOff>170640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42</col>
      <colOff>85680</colOff>
      <row>63</row>
      <rowOff>133200</rowOff>
    </from>
    <to>
      <col>49</col>
      <colOff>196920</colOff>
      <row>81</row>
      <rowOff>104040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8</col>
      <colOff>152280</colOff>
      <row>24</row>
      <rowOff>38160</rowOff>
    </from>
    <to>
      <col>15</col>
      <colOff>197640</colOff>
      <row>38</row>
      <rowOff>113760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18</col>
      <colOff>162000</colOff>
      <row>24</row>
      <rowOff>28440</rowOff>
    </from>
    <to>
      <col>28</col>
      <colOff>459000</colOff>
      <row>38</row>
      <rowOff>104040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247680</colOff>
      <row>40</row>
      <rowOff>57240</rowOff>
    </from>
    <to>
      <col>15</col>
      <colOff>293040</colOff>
      <row>54</row>
      <rowOff>113760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18</col>
      <colOff>104760</colOff>
      <row>40</row>
      <rowOff>19080</rowOff>
    </from>
    <to>
      <col>28</col>
      <colOff>401760</colOff>
      <row>54</row>
      <rowOff>75600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237960</colOff>
      <row>56</row>
      <rowOff>57240</rowOff>
    </from>
    <to>
      <col>15</col>
      <colOff>283320</colOff>
      <row>70</row>
      <rowOff>132840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18</col>
      <colOff>114480</colOff>
      <row>56</row>
      <rowOff>57240</rowOff>
    </from>
    <to>
      <col>28</col>
      <colOff>411480</colOff>
      <row>70</row>
      <rowOff>132840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8</col>
      <colOff>209520</colOff>
      <row>71</row>
      <rowOff>114480</rowOff>
    </from>
    <to>
      <col>15</col>
      <colOff>254880</colOff>
      <row>82</row>
      <rowOff>18360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18</col>
      <colOff>85680</colOff>
      <row>71</row>
      <rowOff>104760</rowOff>
    </from>
    <to>
      <col>28</col>
      <colOff>382680</colOff>
      <row>82</row>
      <rowOff>132480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8</col>
      <colOff>237960</colOff>
      <row>82</row>
      <rowOff>114480</rowOff>
    </from>
    <to>
      <col>15</col>
      <colOff>283320</colOff>
      <row>93</row>
      <rowOff>151920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18</col>
      <colOff>95400</colOff>
      <row>83</row>
      <rowOff>9360</rowOff>
    </from>
    <to>
      <col>28</col>
      <colOff>392400</colOff>
      <row>93</row>
      <rowOff>151560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8</col>
      <colOff>257040</colOff>
      <row>94</row>
      <rowOff>95400</rowOff>
    </from>
    <to>
      <col>15</col>
      <colOff>302400</colOff>
      <row>105</row>
      <rowOff>95040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18</col>
      <colOff>152280</colOff>
      <row>94</row>
      <rowOff>66600</rowOff>
    </from>
    <to>
      <col>28</col>
      <colOff>449280</colOff>
      <row>105</row>
      <rowOff>66240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37</col>
      <colOff>123840</colOff>
      <row>29</row>
      <rowOff>38160</rowOff>
    </from>
    <to>
      <col>44</col>
      <colOff>309240</colOff>
      <row>47</row>
      <rowOff>37800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37</col>
      <colOff>85680</colOff>
      <row>58</row>
      <rowOff>133200</rowOff>
    </from>
    <to>
      <col>44</col>
      <colOff>195120</colOff>
      <row>76</row>
      <rowOff>103680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8</col>
      <colOff>152280</colOff>
      <row>24</row>
      <rowOff>38160</rowOff>
    </from>
    <to>
      <col>15</col>
      <colOff>234000</colOff>
      <row>38</row>
      <rowOff>113760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18</col>
      <colOff>162000</colOff>
      <row>24</row>
      <rowOff>28440</rowOff>
    </from>
    <to>
      <col>28</col>
      <colOff>222480</colOff>
      <row>38</row>
      <rowOff>104040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247680</colOff>
      <row>40</row>
      <rowOff>57240</rowOff>
    </from>
    <to>
      <col>15</col>
      <colOff>329400</colOff>
      <row>54</row>
      <rowOff>113760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18</col>
      <colOff>104760</colOff>
      <row>40</row>
      <rowOff>19080</rowOff>
    </from>
    <to>
      <col>28</col>
      <colOff>165240</colOff>
      <row>54</row>
      <rowOff>75600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237960</colOff>
      <row>56</row>
      <rowOff>57240</rowOff>
    </from>
    <to>
      <col>15</col>
      <colOff>319680</colOff>
      <row>70</row>
      <rowOff>132840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18</col>
      <colOff>114480</colOff>
      <row>56</row>
      <rowOff>57240</rowOff>
    </from>
    <to>
      <col>28</col>
      <colOff>174960</colOff>
      <row>70</row>
      <rowOff>132840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8</col>
      <colOff>209520</colOff>
      <row>71</row>
      <rowOff>114480</rowOff>
    </from>
    <to>
      <col>15</col>
      <colOff>291240</colOff>
      <row>82</row>
      <rowOff>18360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18</col>
      <colOff>85680</colOff>
      <row>71</row>
      <rowOff>104760</rowOff>
    </from>
    <to>
      <col>28</col>
      <colOff>146160</colOff>
      <row>82</row>
      <rowOff>132480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8</col>
      <colOff>237960</colOff>
      <row>82</row>
      <rowOff>114480</rowOff>
    </from>
    <to>
      <col>15</col>
      <colOff>319680</colOff>
      <row>93</row>
      <rowOff>151920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18</col>
      <colOff>95400</colOff>
      <row>83</row>
      <rowOff>9360</rowOff>
    </from>
    <to>
      <col>28</col>
      <colOff>155880</colOff>
      <row>93</row>
      <rowOff>151560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8</col>
      <colOff>257040</colOff>
      <row>94</row>
      <rowOff>95400</rowOff>
    </from>
    <to>
      <col>15</col>
      <colOff>338760</colOff>
      <row>105</row>
      <rowOff>95040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18</col>
      <colOff>152280</colOff>
      <row>94</row>
      <rowOff>66600</rowOff>
    </from>
    <to>
      <col>28</col>
      <colOff>212760</colOff>
      <row>105</row>
      <rowOff>66240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37</col>
      <colOff>123840</colOff>
      <row>29</row>
      <rowOff>38160</rowOff>
    </from>
    <to>
      <col>44</col>
      <colOff>333720</colOff>
      <row>47</row>
      <rowOff>37800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37</col>
      <colOff>85680</colOff>
      <row>58</row>
      <rowOff>133200</rowOff>
    </from>
    <to>
      <col>44</col>
      <colOff>219240</colOff>
      <row>76</row>
      <rowOff>103680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37</col>
      <colOff>76320</colOff>
      <row>30</row>
      <rowOff>95400</rowOff>
    </from>
    <to>
      <col>44</col>
      <colOff>505800</colOff>
      <row>48</row>
      <rowOff>75600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37</col>
      <colOff>142920</colOff>
      <row>59</row>
      <rowOff>47520</rowOff>
    </from>
    <to>
      <col>44</col>
      <colOff>677160</colOff>
      <row>74</row>
      <rowOff>113760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85680</colOff>
      <row>24</row>
      <rowOff>19080</rowOff>
    </from>
    <to>
      <col>15</col>
      <colOff>415080</colOff>
      <row>39</row>
      <rowOff>37440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8</col>
      <colOff>76320</colOff>
      <row>40</row>
      <rowOff>28440</rowOff>
    </from>
    <to>
      <col>15</col>
      <colOff>405720</colOff>
      <row>55</row>
      <rowOff>46800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95400</colOff>
      <row>55</row>
      <rowOff>171360</rowOff>
    </from>
    <to>
      <col>15</col>
      <colOff>424800</colOff>
      <row>71</row>
      <rowOff>18360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18</col>
      <colOff>114480</colOff>
      <row>24</row>
      <rowOff>9360</rowOff>
    </from>
    <to>
      <col>29</col>
      <colOff>401400</colOff>
      <row>39</row>
      <rowOff>27720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18</col>
      <colOff>123840</colOff>
      <row>40</row>
      <rowOff>19080</rowOff>
    </from>
    <to>
      <col>29</col>
      <colOff>410760</colOff>
      <row>55</row>
      <rowOff>37440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18</col>
      <colOff>95400</colOff>
      <row>56</row>
      <rowOff>38160</rowOff>
    </from>
    <to>
      <col>29</col>
      <colOff>382320</colOff>
      <row>71</row>
      <rowOff>56880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8</col>
      <colOff>114480</colOff>
      <row>72</row>
      <rowOff>38160</rowOff>
    </from>
    <to>
      <col>15</col>
      <colOff>453600</colOff>
      <row>82</row>
      <rowOff>47160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18</col>
      <colOff>114480</colOff>
      <row>72</row>
      <rowOff>57240</rowOff>
    </from>
    <to>
      <col>29</col>
      <colOff>353880</colOff>
      <row>82</row>
      <rowOff>84960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8</col>
      <colOff>133200</colOff>
      <row>83</row>
      <rowOff>19080</rowOff>
    </from>
    <to>
      <col>15</col>
      <colOff>481680</colOff>
      <row>93</row>
      <rowOff>46800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18</col>
      <colOff>104760</colOff>
      <row>83</row>
      <rowOff>47520</rowOff>
    </from>
    <to>
      <col>29</col>
      <colOff>401040</colOff>
      <row>93</row>
      <rowOff>75240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8</col>
      <colOff>123840</colOff>
      <row>94</row>
      <rowOff>9360</rowOff>
    </from>
    <to>
      <col>15</col>
      <colOff>472320</colOff>
      <row>104</row>
      <rowOff>37080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18</col>
      <colOff>104760</colOff>
      <row>94</row>
      <rowOff>9360</rowOff>
    </from>
    <to>
      <col>29</col>
      <colOff>401040</colOff>
      <row>104</row>
      <rowOff>37080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8</col>
      <colOff>152280</colOff>
      <row>35</row>
      <rowOff>0</rowOff>
    </from>
    <to>
      <col>15</col>
      <colOff>185400</colOff>
      <row>47</row>
      <rowOff>113760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8</col>
      <colOff>181080</colOff>
      <row>48</row>
      <rowOff>123840</rowOff>
    </from>
    <to>
      <col>15</col>
      <colOff>214200</colOff>
      <row>61</row>
      <rowOff>56520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18</col>
      <colOff>57240</colOff>
      <row>21</row>
      <rowOff>38160</rowOff>
    </from>
    <to>
      <col>27</col>
      <colOff>700920</colOff>
      <row>33</row>
      <rowOff>151920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18</col>
      <colOff>38160</colOff>
      <row>35</row>
      <rowOff>19080</rowOff>
    </from>
    <to>
      <col>27</col>
      <colOff>681840</colOff>
      <row>47</row>
      <rowOff>132840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18</col>
      <colOff>47520</colOff>
      <row>49</row>
      <rowOff>19080</rowOff>
    </from>
    <to>
      <col>27</col>
      <colOff>691200</colOff>
      <row>61</row>
      <rowOff>132840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8</col>
      <colOff>171360</colOff>
      <row>62</row>
      <rowOff>123840</rowOff>
    </from>
    <to>
      <col>15</col>
      <colOff>204480</colOff>
      <row>71</row>
      <rowOff>47160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18</col>
      <colOff>57240</colOff>
      <row>63</row>
      <rowOff>0</rowOff>
    </from>
    <to>
      <col>27</col>
      <colOff>700920</colOff>
      <row>71</row>
      <rowOff>104400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8</col>
      <colOff>162000</colOff>
      <row>72</row>
      <rowOff>9360</rowOff>
    </from>
    <to>
      <col>15</col>
      <colOff>195120</colOff>
      <row>80</row>
      <rowOff>113400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18</col>
      <colOff>47520</colOff>
      <row>72</row>
      <rowOff>38160</rowOff>
    </from>
    <to>
      <col>27</col>
      <colOff>691200</colOff>
      <row>80</row>
      <rowOff>142200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8</col>
      <colOff>162000</colOff>
      <row>81</row>
      <rowOff>19080</rowOff>
    </from>
    <to>
      <col>15</col>
      <colOff>195120</colOff>
      <row>89</row>
      <rowOff>123120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18</col>
      <colOff>57240</colOff>
      <row>81</row>
      <rowOff>95400</rowOff>
    </from>
    <to>
      <col>27</col>
      <colOff>700920</colOff>
      <row>90</row>
      <rowOff>18360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34</col>
      <colOff>152280</colOff>
      <row>31</row>
      <rowOff>123840</rowOff>
    </from>
    <to>
      <col>41</col>
      <colOff>653760</colOff>
      <row>49</row>
      <rowOff>104040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34</col>
      <colOff>142920</colOff>
      <row>57</row>
      <rowOff>133200</rowOff>
    </from>
    <to>
      <col>41</col>
      <colOff>749160</colOff>
      <row>73</row>
      <rowOff>18000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8</col>
      <colOff>162000</colOff>
      <row>21</row>
      <rowOff>38160</rowOff>
    </from>
    <to>
      <col>15</col>
      <colOff>204480</colOff>
      <row>33</row>
      <rowOff>151920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8</col>
      <colOff>104760</colOff>
      <row>21</row>
      <rowOff>19080</rowOff>
    </from>
    <to>
      <col>15</col>
      <colOff>219960</colOff>
      <row>34</row>
      <rowOff>94680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8</col>
      <colOff>114480</colOff>
      <row>35</row>
      <rowOff>0</rowOff>
    </from>
    <to>
      <col>15</col>
      <colOff>239400</colOff>
      <row>48</row>
      <rowOff>94680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104760</colOff>
      <row>49</row>
      <rowOff>0</rowOff>
    </from>
    <to>
      <col>15</col>
      <colOff>219960</colOff>
      <row>62</row>
      <rowOff>113760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8</col>
      <colOff>104760</colOff>
      <row>63</row>
      <rowOff>28440</rowOff>
    </from>
    <to>
      <col>15</col>
      <colOff>229680</colOff>
      <row>71</row>
      <rowOff>151920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104760</colOff>
      <row>72</row>
      <rowOff>19080</rowOff>
    </from>
    <to>
      <col>15</col>
      <colOff>229680</colOff>
      <row>80</row>
      <rowOff>113400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8</col>
      <colOff>104760</colOff>
      <row>81</row>
      <rowOff>9360</rowOff>
    </from>
    <to>
      <col>15</col>
      <colOff>229680</colOff>
      <row>89</row>
      <rowOff>151560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18</col>
      <colOff>95400</colOff>
      <row>21</row>
      <rowOff>19080</rowOff>
    </from>
    <to>
      <col>27</col>
      <colOff>510120</colOff>
      <row>34</row>
      <rowOff>113760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18</col>
      <colOff>85680</colOff>
      <row>35</row>
      <rowOff>19080</rowOff>
    </from>
    <to>
      <col>27</col>
      <colOff>509760</colOff>
      <row>48</row>
      <rowOff>123120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18</col>
      <colOff>95400</colOff>
      <row>49</row>
      <rowOff>9360</rowOff>
    </from>
    <to>
      <col>27</col>
      <colOff>510120</colOff>
      <row>62</row>
      <rowOff>94320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18</col>
      <colOff>95400</colOff>
      <row>63</row>
      <rowOff>19080</rowOff>
    </from>
    <to>
      <col>27</col>
      <colOff>510120</colOff>
      <row>71</row>
      <rowOff>142560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18</col>
      <colOff>104760</colOff>
      <row>72</row>
      <rowOff>9360</rowOff>
    </from>
    <to>
      <col>27</col>
      <colOff>509760</colOff>
      <row>80</row>
      <rowOff>160920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18</col>
      <colOff>104760</colOff>
      <row>81</row>
      <rowOff>9360</rowOff>
    </from>
    <to>
      <col>27</col>
      <colOff>509760</colOff>
      <row>89</row>
      <rowOff>160920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33</col>
      <colOff>76320</colOff>
      <row>30</row>
      <rowOff>66600</rowOff>
    </from>
    <to>
      <col>40</col>
      <colOff>652680</colOff>
      <row>47</row>
      <rowOff>180360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33</col>
      <colOff>38160</colOff>
      <row>58</row>
      <rowOff>19080</rowOff>
    </from>
    <to>
      <col>43</col>
      <colOff>178560</colOff>
      <row>76</row>
      <rowOff>123120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7</col>
      <colOff>152280</colOff>
      <row>34</row>
      <rowOff>162000</rowOff>
    </from>
    <to>
      <col>14</col>
      <colOff>114120</colOff>
      <row>47</row>
      <rowOff>180360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181080</colOff>
      <row>48</row>
      <rowOff>123840</rowOff>
    </from>
    <to>
      <col>14</col>
      <colOff>114120</colOff>
      <row>61</row>
      <rowOff>180360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17</col>
      <colOff>57240</colOff>
      <row>21</row>
      <rowOff>38160</rowOff>
    </from>
    <to>
      <col>27</col>
      <colOff>33120</colOff>
      <row>34</row>
      <rowOff>85320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17</col>
      <colOff>57240</colOff>
      <row>35</row>
      <rowOff>19080</rowOff>
    </from>
    <to>
      <col>27</col>
      <colOff>42480</colOff>
      <row>48</row>
      <rowOff>56520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17</col>
      <colOff>47520</colOff>
      <row>49</row>
      <rowOff>19080</rowOff>
    </from>
    <to>
      <col>27</col>
      <colOff>61560</colOff>
      <row>62</row>
      <rowOff>75600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7</col>
      <colOff>162000</colOff>
      <row>62</row>
      <rowOff>114480</rowOff>
    </from>
    <to>
      <col>14</col>
      <colOff>95040</colOff>
      <row>71</row>
      <rowOff>85320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17</col>
      <colOff>57240</colOff>
      <row>63</row>
      <rowOff>0</rowOff>
    </from>
    <to>
      <col>27</col>
      <colOff>61560</colOff>
      <row>71</row>
      <rowOff>161280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7</col>
      <colOff>152280</colOff>
      <row>72</row>
      <rowOff>0</rowOff>
    </from>
    <to>
      <col>14</col>
      <colOff>75960</colOff>
      <row>80</row>
      <rowOff>151560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17</col>
      <colOff>47520</colOff>
      <row>72</row>
      <rowOff>38160</rowOff>
    </from>
    <to>
      <col>27</col>
      <colOff>70920</colOff>
      <row>81</row>
      <rowOff>9000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7</col>
      <colOff>152280</colOff>
      <row>81</row>
      <rowOff>19080</rowOff>
    </from>
    <to>
      <col>14</col>
      <colOff>75960</colOff>
      <row>89</row>
      <rowOff>170640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17</col>
      <colOff>66600</colOff>
      <row>81</row>
      <rowOff>95400</rowOff>
    </from>
    <to>
      <col>27</col>
      <colOff>61560</colOff>
      <row>90</row>
      <rowOff>56520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32</col>
      <colOff>152280</colOff>
      <row>30</row>
      <rowOff>123840</rowOff>
    </from>
    <to>
      <col>39</col>
      <colOff>415800</colOff>
      <row>48</row>
      <rowOff>104040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32</col>
      <colOff>142920</colOff>
      <row>56</row>
      <rowOff>133200</rowOff>
    </from>
    <to>
      <col>39</col>
      <colOff>511200</colOff>
      <row>72</row>
      <rowOff>18360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7</col>
      <colOff>152280</colOff>
      <row>21</row>
      <rowOff>19080</rowOff>
    </from>
    <to>
      <col>14</col>
      <colOff>171360</colOff>
      <row>34</row>
      <rowOff>37440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17</col>
      <colOff>190440</colOff>
      <row>0</row>
      <rowOff>38160</rowOff>
    </from>
    <to>
      <col>25</col>
      <colOff>1371960</colOff>
      <row>21</row>
      <rowOff>94680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28</col>
      <colOff>181080</colOff>
      <row>0</row>
      <rowOff>47520</rowOff>
    </from>
    <to>
      <col>38</col>
      <colOff>338760</colOff>
      <row>21</row>
      <rowOff>104040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2.xml" Id="rId1" /></Relationships>
</file>

<file path=xl/pivotCache/_rels/pivotCacheDefinition3.xml.rels><Relationships xmlns="http://schemas.openxmlformats.org/package/2006/relationships"><Relationship Type="http://schemas.openxmlformats.org/officeDocument/2006/relationships/pivotCacheRecords" Target="/xl/pivotCache/pivotCacheRecords3.xml" Id="rId1" /></Relationships>
</file>

<file path=xl/pivotCache/_rels/pivotCacheDefinition4.xml.rels><Relationships xmlns="http://schemas.openxmlformats.org/package/2006/relationships"><Relationship Type="http://schemas.openxmlformats.org/officeDocument/2006/relationships/pivotCacheRecords" Target="/xl/pivotCache/pivotCacheRecords4.xml" Id="rId1" /></Relationships>
</file>

<file path=xl/pivotCache/_rels/pivotCacheDefinition5.xml.rels><Relationships xmlns="http://schemas.openxmlformats.org/package/2006/relationships"><Relationship Type="http://schemas.openxmlformats.org/officeDocument/2006/relationships/pivotCacheRecords" Target="/xl/pivotCache/pivotCacheRecords5.xml" Id="rId1" /></Relationships>
</file>

<file path=xl/pivotCache/_rels/pivotCacheDefinition6.xml.rels><Relationships xmlns="http://schemas.openxmlformats.org/package/2006/relationships"><Relationship Type="http://schemas.openxmlformats.org/officeDocument/2006/relationships/pivotCacheRecords" Target="/xl/pivotCache/pivotCacheRecords6.xml" Id="rId1" /></Relationships>
</file>

<file path=xl/pivotCache/_rels/pivotCacheDefinition7.xml.rels><Relationships xmlns="http://schemas.openxmlformats.org/package/2006/relationships"><Relationship Type="http://schemas.openxmlformats.org/officeDocument/2006/relationships/pivotCacheRecords" Target="/xl/pivotCache/pivotCacheRecords7.xml" Id="rId1" /></Relationships>
</file>

<file path=xl/pivotCache/_rels/pivotCacheDefinition8.xml.rels><Relationships xmlns="http://schemas.openxmlformats.org/package/2006/relationships"><Relationship Type="http://schemas.openxmlformats.org/officeDocument/2006/relationships/pivotCacheRecords" Target="/xl/pivotCache/pivotCacheRecords8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createdVersion="3" recordCount="308" r:id="rId1">
  <cacheSource type="worksheet">
    <worksheetSource ref="A:C" sheet="SPRING2026"/>
  </cacheSource>
  <cacheFields count="3">
    <cacheField name="Sniper" uniqueList="1" numFmtId="0" sqlType="0" hierarchy="0" level="0" databaseField="1">
      <sharedItems count="14" containsBlank="1">
        <s v="Anthony"/>
        <s v="Carter"/>
        <s v="Cooper"/>
        <s v="Ethan"/>
        <s v="Evan"/>
        <s v="Grady"/>
        <s v="Lucy"/>
        <s v="Maxine"/>
        <s v="Mikey"/>
        <s v="Peter"/>
        <s v="Rob"/>
        <s v="Vignesh"/>
        <s v="Will"/>
        <m/>
      </sharedItems>
    </cacheField>
    <cacheField name="Points" uniqueList="1" numFmtId="0" sqlType="0" hierarchy="0" level="0" databaseField="1">
      <sharedItems count="4" containsBlank="1" containsInteger="1" containsNumber="1" containsString="0" minValue="1" maxValue="5">
        <n v="1"/>
        <n v="2"/>
        <n v="5"/>
        <m/>
      </sharedItems>
    </cacheField>
    <cacheField name="Snipee" uniqueList="1" numFmtId="0" sqlType="0" hierarchy="0" level="0" databaseField="1">
      <sharedItems count="17" containsBlank="1">
        <s v="Alumni"/>
        <s v="Anthony"/>
        <s v="Carter"/>
        <s v="Cooper"/>
        <s v="Erick"/>
        <s v="Ethan"/>
        <s v="Evan"/>
        <s v="Grady"/>
        <s v="Lucy"/>
        <s v="Maxine"/>
        <s v="Mikey"/>
        <s v="Peter"/>
        <s v="Reuben"/>
        <s v="Rob"/>
        <s v="Vignesh"/>
        <s v="Will"/>
        <m/>
      </sharedItems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createdVersion="3" recordCount="531" r:id="rId1">
  <cacheSource type="worksheet">
    <worksheetSource ref="A:C" sheet="FALL2025"/>
  </cacheSource>
  <cacheFields count="3">
    <cacheField name="Sniper" uniqueList="1" numFmtId="0" sqlType="0" hierarchy="0" level="0" databaseField="1">
      <sharedItems count="16" containsBlank="1">
        <s v="Anthony"/>
        <s v="Carter"/>
        <s v="Cooper"/>
        <s v="Erick"/>
        <s v="Ethan"/>
        <s v="Evan"/>
        <s v="Grady"/>
        <s v="Joey"/>
        <s v="Lucy"/>
        <s v="Maxine"/>
        <s v="Mikey"/>
        <s v="Peter"/>
        <s v="Rob"/>
        <s v="Vignesh"/>
        <s v="Will"/>
        <m/>
      </sharedItems>
    </cacheField>
    <cacheField name="Points" uniqueList="1" numFmtId="0" sqlType="0" hierarchy="0" level="0" databaseField="1">
      <sharedItems count="4" containsBlank="1" containsInteger="1" containsNumber="1" containsString="0" minValue="1" maxValue="5">
        <n v="1"/>
        <n v="2"/>
        <n v="5"/>
        <m/>
      </sharedItems>
    </cacheField>
    <cacheField name="Snipee" uniqueList="1" numFmtId="0" sqlType="0" hierarchy="0" level="0" databaseField="1">
      <sharedItems count="18" containsBlank="1">
        <s v="Alumni"/>
        <s v="Anthony"/>
        <s v="Carter"/>
        <s v="Cooper"/>
        <s v="Erick"/>
        <s v="Ethan"/>
        <s v="Evan"/>
        <s v="Grady"/>
        <s v="Joey"/>
        <s v="Lucy"/>
        <s v="Maxine"/>
        <s v="Mikey"/>
        <s v="Peter"/>
        <s v="Reuben"/>
        <s v="Rob"/>
        <s v="Vignesh"/>
        <s v="Will"/>
        <m/>
      </sharedItems>
    </cacheField>
  </cacheFields>
</pivotCacheDefinition>
</file>

<file path=xl/pivotCache/pivotCacheDefinition3.xml><?xml version="1.0" encoding="utf-8"?>
<pivotCacheDefinition xmlns:r="http://schemas.openxmlformats.org/officeDocument/2006/relationships" xmlns="http://schemas.openxmlformats.org/spreadsheetml/2006/main" createdVersion="3" recordCount="74" r:id="rId1">
  <cacheSource type="worksheet">
    <worksheetSource ref="A1:C299" sheet="Fall2025PRE"/>
  </cacheSource>
  <cacheFields count="3">
    <cacheField name="Sniper" uniqueList="1" numFmtId="0" sqlType="0" hierarchy="0" level="0" databaseField="1">
      <sharedItems count="11" containsBlank="1">
        <s v="Anthony"/>
        <s v="Carter"/>
        <s v="Cooper"/>
        <s v="Erick"/>
        <s v="Ethan"/>
        <s v="Evan"/>
        <s v="Grady"/>
        <s v="Joey"/>
        <s v="Maxine"/>
        <s v="Peter"/>
        <m/>
      </sharedItems>
    </cacheField>
    <cacheField name="Points" uniqueList="1" numFmtId="0" sqlType="0" hierarchy="0" level="0" databaseField="1">
      <sharedItems count="4" containsBlank="1" containsInteger="1" containsNumber="1" containsString="0" minValue="1" maxValue="5">
        <n v="1"/>
        <n v="2"/>
        <n v="5"/>
        <m/>
      </sharedItems>
    </cacheField>
    <cacheField name="Snipee" uniqueList="1" numFmtId="0" sqlType="0" hierarchy="0" level="0" databaseField="1">
      <sharedItems count="13" containsBlank="1">
        <s v="Alumni"/>
        <s v="Anthony"/>
        <s v="Carter"/>
        <s v="Cooper"/>
        <s v="Erick"/>
        <s v="Ethan"/>
        <s v="Evan"/>
        <s v="Grady"/>
        <s v="Joey"/>
        <s v="Maxine"/>
        <s v="Peter"/>
        <s v="Reuben"/>
        <m/>
      </sharedItems>
    </cacheField>
  </cacheFields>
</pivotCacheDefinition>
</file>

<file path=xl/pivotCache/pivotCacheDefinition4.xml><?xml version="1.0" encoding="utf-8"?>
<pivotCacheDefinition xmlns:r="http://schemas.openxmlformats.org/officeDocument/2006/relationships" xmlns="http://schemas.openxmlformats.org/spreadsheetml/2006/main" createdVersion="3" recordCount="296" r:id="rId1">
  <cacheSource type="worksheet">
    <worksheetSource ref="A1:C423" sheet="Spring2025"/>
  </cacheSource>
  <cacheFields count="3">
    <cacheField name="Sniper" uniqueList="1" numFmtId="0" sqlType="0" hierarchy="0" level="0" databaseField="1">
      <sharedItems count="12" containsBlank="1">
        <s v="Anthony"/>
        <s v="Carter"/>
        <s v="Cooper"/>
        <s v="David"/>
        <s v="Erick"/>
        <s v="Ethan"/>
        <s v="Evan"/>
        <s v="Grady"/>
        <s v="Joey"/>
        <s v="Maxine"/>
        <s v="Tyler"/>
        <m/>
      </sharedItems>
    </cacheField>
    <cacheField name="Points" uniqueList="1" numFmtId="0" sqlType="0" hierarchy="0" level="0" databaseField="1">
      <sharedItems count="4" containsBlank="1" containsInteger="1" containsNumber="1" containsString="0" minValue="1" maxValue="5">
        <n v="1"/>
        <n v="2"/>
        <n v="5"/>
        <m/>
      </sharedItems>
    </cacheField>
    <cacheField name="Snipee" uniqueList="1" numFmtId="0" sqlType="0" hierarchy="0" level="0" databaseField="1">
      <sharedItems count="13" containsBlank="1">
        <s v="Anthony"/>
        <s v="Carter"/>
        <s v="Cooper"/>
        <s v="David"/>
        <s v="Erick"/>
        <s v="Ethan"/>
        <s v="Evan"/>
        <s v="Grady"/>
        <s v="Joey"/>
        <s v="Maxine"/>
        <s v="Reuben"/>
        <s v="Tyler"/>
        <m/>
      </sharedItems>
    </cacheField>
  </cacheFields>
</pivotCacheDefinition>
</file>

<file path=xl/pivotCache/pivotCacheDefinition5.xml><?xml version="1.0" encoding="utf-8"?>
<pivotCacheDefinition xmlns:r="http://schemas.openxmlformats.org/officeDocument/2006/relationships" xmlns="http://schemas.openxmlformats.org/spreadsheetml/2006/main" createdVersion="3" recordCount="426" r:id="rId1">
  <cacheSource type="worksheet">
    <worksheetSource ref="A1:C627" sheet="Fall2024"/>
  </cacheSource>
  <cacheFields count="3">
    <cacheField name="Sniper" uniqueList="1" numFmtId="0" sqlType="0" hierarchy="0" level="0" databaseField="1">
      <sharedItems count="13" containsBlank="1">
        <s v="Carter"/>
        <s v="Cooper"/>
        <s v="David"/>
        <s v="Erick"/>
        <s v="Ethan"/>
        <s v="Evan"/>
        <s v="Grady"/>
        <s v="Jon"/>
        <s v="Maxine"/>
        <s v="Peter"/>
        <s v="Sam"/>
        <s v="Tyler"/>
        <m/>
      </sharedItems>
    </cacheField>
    <cacheField name="Points" uniqueList="1" numFmtId="0" sqlType="0" hierarchy="0" level="0" databaseField="1">
      <sharedItems count="3" containsBlank="1" containsInteger="1" containsNumber="1" containsString="0" minValue="1" maxValue="2">
        <n v="1"/>
        <n v="2"/>
        <m/>
      </sharedItems>
    </cacheField>
    <cacheField name="Snipee" uniqueList="1" numFmtId="0" sqlType="0" hierarchy="0" level="0" databaseField="1">
      <sharedItems count="14" containsBlank="1">
        <s v="Carter"/>
        <s v="Cooper"/>
        <s v="David"/>
        <s v="Erick"/>
        <s v="Ethan"/>
        <s v="Evan"/>
        <s v="Grady"/>
        <s v="Jon"/>
        <s v="Maxine"/>
        <s v="Peter"/>
        <s v="Reuben"/>
        <s v="Sam"/>
        <s v="Tyler"/>
        <m/>
      </sharedItems>
    </cacheField>
  </cacheFields>
</pivotCacheDefinition>
</file>

<file path=xl/pivotCache/pivotCacheDefinition6.xml><?xml version="1.0" encoding="utf-8"?>
<pivotCacheDefinition xmlns:r="http://schemas.openxmlformats.org/officeDocument/2006/relationships" xmlns="http://schemas.openxmlformats.org/spreadsheetml/2006/main" createdVersion="3" recordCount="48" r:id="rId1">
  <cacheSource type="worksheet">
    <worksheetSource ref="A1:C159" sheet="Fall2024PRE"/>
  </cacheSource>
  <cacheFields count="3">
    <cacheField name="Sniper" uniqueList="1" numFmtId="0" sqlType="0" hierarchy="0" level="0" databaseField="1">
      <sharedItems count="9" containsBlank="1">
        <s v="Carter"/>
        <s v="David"/>
        <s v="Erick"/>
        <s v="Grady"/>
        <s v="Jon"/>
        <s v="Maxine"/>
        <s v="Peter"/>
        <s v="Sam"/>
        <m/>
      </sharedItems>
    </cacheField>
    <cacheField name="Points" uniqueList="1" numFmtId="0" sqlType="0" hierarchy="0" level="0" databaseField="1">
      <sharedItems count="3" containsBlank="1" containsInteger="1" containsNumber="1" containsString="0" minValue="1" maxValue="2">
        <n v="1"/>
        <n v="2"/>
        <m/>
      </sharedItems>
    </cacheField>
    <cacheField name="Snipee" uniqueList="1" numFmtId="0" sqlType="0" hierarchy="0" level="0" databaseField="1">
      <sharedItems count="10" containsBlank="1">
        <s v="Carter"/>
        <s v="Cooper"/>
        <s v="David"/>
        <s v="Erick"/>
        <s v="Grady"/>
        <s v="Jon"/>
        <s v="Peter"/>
        <s v="Sam"/>
        <s v="Tyler"/>
        <m/>
      </sharedItems>
    </cacheField>
  </cacheFields>
</pivotCacheDefinition>
</file>

<file path=xl/pivotCache/pivotCacheDefinition7.xml><?xml version="1.0" encoding="utf-8"?>
<pivotCacheDefinition xmlns:r="http://schemas.openxmlformats.org/officeDocument/2006/relationships" xmlns="http://schemas.openxmlformats.org/spreadsheetml/2006/main" createdVersion="3" recordCount="104" r:id="rId1">
  <cacheSource type="worksheet">
    <worksheetSource ref="A1:C105" sheet="Spring2024POST"/>
  </cacheSource>
  <cacheFields count="3">
    <cacheField name="Sniper" uniqueList="1" numFmtId="0" sqlType="0" hierarchy="0" level="0" databaseField="1">
      <sharedItems count="11">
        <s v="Anthony"/>
        <s v="Carter"/>
        <s v="Cooper"/>
        <s v="David"/>
        <s v="Erick"/>
        <s v="Grady"/>
        <s v="Jon"/>
        <s v="Maxine"/>
        <s v="Peter"/>
        <s v="Sam"/>
        <s v="Tyler"/>
      </sharedItems>
    </cacheField>
    <cacheField name="Points" uniqueList="1" numFmtId="0" sqlType="0" hierarchy="0" level="0" databaseField="1">
      <sharedItems count="2" containsInteger="1" containsNumber="1" containsSemiMixedTypes="0" containsString="0" minValue="1" maxValue="2">
        <n v="1"/>
        <n v="2"/>
      </sharedItems>
    </cacheField>
    <cacheField name="Snipee" uniqueList="1" numFmtId="0" sqlType="0" hierarchy="0" level="0" databaseField="1">
      <sharedItems count="12">
        <s v="Anthony"/>
        <s v="Carter"/>
        <s v="Cooper"/>
        <s v="David"/>
        <s v="Erick"/>
        <s v="Grady"/>
        <s v="Jon"/>
        <s v="Maxine"/>
        <s v="Peter"/>
        <s v="Sam"/>
        <s v="Seth"/>
        <s v="Tyler"/>
      </sharedItems>
    </cacheField>
  </cacheFields>
</pivotCacheDefinition>
</file>

<file path=xl/pivotCache/pivotCacheDefinition8.xml><?xml version="1.0" encoding="utf-8"?>
<pivotCacheDefinition xmlns:r="http://schemas.openxmlformats.org/officeDocument/2006/relationships" xmlns="http://schemas.openxmlformats.org/spreadsheetml/2006/main" createdVersion="3" recordCount="157" r:id="rId1">
  <cacheSource type="worksheet">
    <worksheetSource ref="A1:C159" sheet="Spring2024"/>
  </cacheSource>
  <cacheFields count="3">
    <cacheField name="Sniper" uniqueList="1" numFmtId="0" sqlType="0" hierarchy="0" level="0" databaseField="1">
      <sharedItems count="12" containsBlank="1">
        <s v="Anthony"/>
        <s v="Carter"/>
        <s v="Cooper"/>
        <s v="David"/>
        <s v="Erick"/>
        <s v="Jon"/>
        <s v="Maxine"/>
        <s v="Peter"/>
        <s v="Sam"/>
        <s v="Seth"/>
        <s v="Tyler"/>
        <m/>
      </sharedItems>
    </cacheField>
    <cacheField name="Points" uniqueList="1" numFmtId="0" sqlType="0" hierarchy="0" level="0" databaseField="1">
      <sharedItems count="4" containsBlank="1" containsInteger="1" containsNumber="1" containsString="0" minValue="0" maxValue="2">
        <n v="0"/>
        <n v="1"/>
        <n v="2"/>
        <m/>
      </sharedItems>
    </cacheField>
    <cacheField name="Snipee" uniqueList="1" numFmtId="0" sqlType="0" hierarchy="0" level="0" databaseField="1">
      <sharedItems count="13" containsBlank="1">
        <s v="Anthony"/>
        <s v="Carter"/>
        <s v="Cooper"/>
        <s v="David"/>
        <s v="Erick"/>
        <s v="Grady"/>
        <s v="Jon"/>
        <s v="Maxine"/>
        <s v="Peter"/>
        <s v="Sam"/>
        <s v="Seth"/>
        <s v="Tyler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2.xml><?xml version="1.0" encoding="utf-8"?>
<pivotCacheRecords xmlns="http://schemas.openxmlformats.org/spreadsheetml/2006/main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3.xml><?xml version="1.0" encoding="utf-8"?>
<pivotCacheRecords xmlns="http://schemas.openxmlformats.org/spreadsheetml/2006/main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4.xml><?xml version="1.0" encoding="utf-8"?>
<pivotCacheRecords xmlns="http://schemas.openxmlformats.org/spreadsheetml/2006/main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5.xml><?xml version="1.0" encoding="utf-8"?>
<pivotCacheRecords xmlns="http://schemas.openxmlformats.org/spreadsheetml/2006/main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6.xml><?xml version="1.0" encoding="utf-8"?>
<pivotCacheRecords xmlns="http://schemas.openxmlformats.org/spreadsheetml/2006/main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7.xml><?xml version="1.0" encoding="utf-8"?>
<pivotCacheRecords xmlns="http://schemas.openxmlformats.org/spreadsheetml/2006/main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8.xml><?xml version="1.0" encoding="utf-8"?>
<pivotCacheRecords xmlns="http://schemas.openxmlformats.org/spreadsheetml/2006/main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3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4.xml" Id="rId1" /></Relationships>
</file>

<file path=xl/pivotTables/_rels/pivotTable7.xml.rels><Relationships xmlns="http://schemas.openxmlformats.org/package/2006/relationships"><Relationship Type="http://schemas.openxmlformats.org/officeDocument/2006/relationships/pivotCacheDefinition" Target="/xl/pivotCache/pivotCacheDefinition5.xml" Id="rId1" /></Relationships>
</file>

<file path=xl/pivotTables/_rels/pivotTable8.xml.rels><Relationships xmlns="http://schemas.openxmlformats.org/package/2006/relationships"><Relationship Type="http://schemas.openxmlformats.org/officeDocument/2006/relationships/pivotCacheDefinition" Target="/xl/pivotCache/pivotCacheDefinition6.xml" Id="rId1" /></Relationships>
</file>

<file path=xl/pivotTables/_rels/pivotTable9.xml.rels><Relationships xmlns="http://schemas.openxmlformats.org/package/2006/relationships"><Relationship Type="http://schemas.openxmlformats.org/officeDocument/2006/relationships/pivotCacheDefinition" Target="/xl/pivotCache/pivotCacheDefinition7.xml" Id="rId1" /></Relationships>
</file>

<file path=xl/pivotTables/_rels/pivotTable10.xml.rels><Relationships xmlns="http://schemas.openxmlformats.org/package/2006/relationships"><Relationship Type="http://schemas.openxmlformats.org/officeDocument/2006/relationships/pivotCacheDefinition" Target="/xl/pivotCache/pivotCacheDefinition8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T2:AK17" firstHeaderRow="1" firstDataRow="2" firstDataCol="1"/>
  <pivotFields count="3"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h="1" sd="1" x="13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h="1" sd="1" x="16"/>
        <item t="default" sd="1"/>
      </items>
    </pivotField>
  </pivotFields>
  <rowFields count="1">
    <field x="0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Fields count="1">
    <field x="2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colItems>
  <dataFields count="1">
    <dataField name="Sum of Points" fld="1" subtotal="sum" showDataAs="normal" baseField="-1" baseItem="1048832" numFmtId="164"/>
  </dataFields>
  <formats count="16">
    <format action="formatting" dxfId="9">
      <pivotArea type="normal" dataOnly="0" labelOnly="1" outline="1" fieldPosition="0">
        <references count="1">
          <reference field="0"/>
        </references>
      </pivotArea>
    </format>
    <format action="formatting" dxfId="10">
      <pivotArea type="normal" dataOnly="0" labelOnly="1" outline="0" fieldPosition="0"/>
    </format>
    <format action="formatting" dxfId="11">
      <pivotArea type="normal" dataOnly="1" outline="0" fieldPosition="0"/>
    </format>
    <format action="formatting" dxfId="12">
      <pivotArea type="normal" dataOnly="1" outline="0" fieldPosition="0"/>
    </format>
    <format action="formatting" dxfId="13">
      <pivotArea type="normal" dataOnly="0" outline="0" fieldPosition="0"/>
    </format>
    <format action="formatting" dxfId="14">
      <pivotArea type="normal" dataOnly="1" outline="0" fieldPosition="0"/>
    </format>
    <format action="formatting" dxfId="15">
      <pivotArea type="normal" dataOnly="0" labelOnly="1" outline="0" fieldPosition="0"/>
    </format>
    <format action="formatting" dxfId="16">
      <pivotArea type="normal" dataOnly="0" labelOnly="1" outline="0" fieldPosition="0"/>
    </format>
    <format action="formatting" dxfId="17">
      <pivotArea type="normal" dataOnly="0" labelOnly="1" outline="0" fieldPosition="0"/>
    </format>
    <format action="formatting" dxfId="18">
      <pivotArea type="normal" dataOnly="0" labelOnly="1" outline="0" fieldPosition="0"/>
    </format>
    <format action="formatting" dxfId="19">
      <pivotArea type="normal" dataOnly="0" labelOnly="1" outline="1" fieldPosition="0">
        <references count="1">
          <reference field="0"/>
        </references>
      </pivotArea>
    </format>
    <format action="formatting" dxfId="20">
      <pivotArea type="normal" dataOnly="0" labelOnly="1" outline="0" fieldPosition="0"/>
    </format>
    <format action="formatting" dxfId="21">
      <pivotArea type="normal" dataOnly="0" labelOnly="1" outline="1" fieldPosition="0">
        <references count="1">
          <reference field="2"/>
        </references>
      </pivotArea>
    </format>
    <format action="formatting" dxfId="22">
      <pivotArea type="normal" dataOnly="0" labelOnly="1" outline="0" fieldPosition="0"/>
    </format>
    <format action="formatting" dxfId="23">
      <pivotArea type="normal" dataOnly="0" labelOnly="1" outline="1" fieldPosition="0">
        <references count="1">
          <reference field="0"/>
        </references>
      </pivotArea>
    </format>
    <format action="formatting" dxfId="24">
      <pivotArea type="normal" dataOnly="0" labelOnly="1" outline="1" fieldPosition="0">
        <references count="1">
          <reference field="0"/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T2:AK17" firstHeaderRow="1" firstDataRow="2" firstDataCol="1"/>
  <pivotFields count="3"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h="1" sd="1" x="13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h="1" sd="1" x="16"/>
        <item t="default" sd="1"/>
      </items>
    </pivotField>
  </pivotFields>
  <rowFields count="1">
    <field x="0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Fields count="1">
    <field x="2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colItems>
  <dataFields count="1">
    <dataField name="Sum of Points" fld="1" subtotal="sum" showDataAs="normal" baseField="-1" baseItem="1048832" numFmtId="164"/>
  </dataFields>
  <formats count="16">
    <format action="formatting" dxfId="9">
      <pivotArea type="normal" dataOnly="0" labelOnly="1" outline="1" fieldPosition="0">
        <references count="1">
          <reference field="0"/>
        </references>
      </pivotArea>
    </format>
    <format action="formatting" dxfId="10">
      <pivotArea type="normal" dataOnly="0" labelOnly="1" outline="0" fieldPosition="0"/>
    </format>
    <format action="formatting" dxfId="11">
      <pivotArea type="normal" dataOnly="1" outline="0" fieldPosition="0"/>
    </format>
    <format action="formatting" dxfId="12">
      <pivotArea type="normal" dataOnly="1" outline="0" fieldPosition="0"/>
    </format>
    <format action="formatting" dxfId="13">
      <pivotArea type="normal" dataOnly="0" outline="0" fieldPosition="0"/>
    </format>
    <format action="formatting" dxfId="14">
      <pivotArea type="normal" dataOnly="1" outline="0" fieldPosition="0"/>
    </format>
    <format action="formatting" dxfId="15">
      <pivotArea type="normal" dataOnly="0" labelOnly="1" outline="0" fieldPosition="0"/>
    </format>
    <format action="formatting" dxfId="16">
      <pivotArea type="normal" dataOnly="0" labelOnly="1" outline="0" fieldPosition="0"/>
    </format>
    <format action="formatting" dxfId="17">
      <pivotArea type="normal" dataOnly="0" labelOnly="1" outline="0" fieldPosition="0"/>
    </format>
    <format action="formatting" dxfId="18">
      <pivotArea type="normal" dataOnly="0" labelOnly="1" outline="0" fieldPosition="0"/>
    </format>
    <format action="formatting" dxfId="19">
      <pivotArea type="normal" dataOnly="0" labelOnly="1" outline="1" fieldPosition="0">
        <references count="1">
          <reference field="0"/>
        </references>
      </pivotArea>
    </format>
    <format action="formatting" dxfId="20">
      <pivotArea type="normal" dataOnly="0" labelOnly="1" outline="0" fieldPosition="0"/>
    </format>
    <format action="formatting" dxfId="21">
      <pivotArea type="normal" dataOnly="0" labelOnly="1" outline="1" fieldPosition="0">
        <references count="1">
          <reference field="2"/>
        </references>
      </pivotArea>
    </format>
    <format action="formatting" dxfId="22">
      <pivotArea type="normal" dataOnly="0" labelOnly="1" outline="0" fieldPosition="0"/>
    </format>
    <format action="formatting" dxfId="23">
      <pivotArea type="normal" dataOnly="0" labelOnly="1" outline="1" fieldPosition="0">
        <references count="1">
          <reference field="0"/>
        </references>
      </pivotArea>
    </format>
    <format action="formatting" dxfId="24">
      <pivotArea type="normal" dataOnly="0" labelOnly="1" outline="1" fieldPosition="0">
        <references count="1">
          <reference field="0"/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T2:AK17" firstHeaderRow="1" firstDataRow="2" firstDataCol="1"/>
  <pivotFields count="3"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h="1" sd="1" x="13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h="1" sd="1" x="16"/>
        <item t="default" sd="1"/>
      </items>
    </pivotField>
  </pivotFields>
  <rowFields count="1">
    <field x="0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Fields count="1">
    <field x="2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grand" r="0" i="0">
      <x v="0"/>
    </i>
  </colItems>
  <dataFields count="1">
    <dataField name="Sum of Points" fld="1" subtotal="sum" showDataAs="normal" baseField="-1" baseItem="1048832" numFmtId="164"/>
  </dataFields>
  <formats count="16">
    <format action="formatting" dxfId="9">
      <pivotArea type="normal" dataOnly="0" labelOnly="1" outline="1" fieldPosition="0">
        <references count="1">
          <reference field="0"/>
        </references>
      </pivotArea>
    </format>
    <format action="formatting" dxfId="10">
      <pivotArea type="normal" dataOnly="0" labelOnly="1" outline="0" fieldPosition="0"/>
    </format>
    <format action="formatting" dxfId="11">
      <pivotArea type="normal" dataOnly="1" outline="0" fieldPosition="0"/>
    </format>
    <format action="formatting" dxfId="12">
      <pivotArea type="normal" dataOnly="1" outline="0" fieldPosition="0"/>
    </format>
    <format action="formatting" dxfId="13">
      <pivotArea type="normal" dataOnly="0" outline="0" fieldPosition="0"/>
    </format>
    <format action="formatting" dxfId="14">
      <pivotArea type="normal" dataOnly="1" outline="0" fieldPosition="0"/>
    </format>
    <format action="formatting" dxfId="15">
      <pivotArea type="normal" dataOnly="0" labelOnly="1" outline="0" fieldPosition="0"/>
    </format>
    <format action="formatting" dxfId="16">
      <pivotArea type="normal" dataOnly="0" labelOnly="1" outline="0" fieldPosition="0"/>
    </format>
    <format action="formatting" dxfId="17">
      <pivotArea type="normal" dataOnly="0" labelOnly="1" outline="0" fieldPosition="0"/>
    </format>
    <format action="formatting" dxfId="18">
      <pivotArea type="normal" dataOnly="0" labelOnly="1" outline="0" fieldPosition="0"/>
    </format>
    <format action="formatting" dxfId="19">
      <pivotArea type="normal" dataOnly="0" labelOnly="1" outline="1" fieldPosition="0">
        <references count="1">
          <reference field="0"/>
        </references>
      </pivotArea>
    </format>
    <format action="formatting" dxfId="20">
      <pivotArea type="normal" dataOnly="0" labelOnly="1" outline="0" fieldPosition="0"/>
    </format>
    <format action="formatting" dxfId="21">
      <pivotArea type="normal" dataOnly="0" labelOnly="1" outline="1" fieldPosition="0">
        <references count="1">
          <reference field="2"/>
        </references>
      </pivotArea>
    </format>
    <format action="formatting" dxfId="22">
      <pivotArea type="normal" dataOnly="0" labelOnly="1" outline="0" fieldPosition="0"/>
    </format>
    <format action="formatting" dxfId="23">
      <pivotArea type="normal" dataOnly="0" labelOnly="1" outline="1" fieldPosition="0">
        <references count="1">
          <reference field="0"/>
        </references>
      </pivotArea>
    </format>
    <format action="formatting" dxfId="24">
      <pivotArea type="normal" dataOnly="0" labelOnly="1" outline="1" fieldPosition="0">
        <references count="1">
          <reference field="0"/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FALL2025" cacheId="8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R2:AJ19" firstHeaderRow="1" firstDataRow="2" firstDataCol="1"/>
  <pivotFields count="3">
    <pivotField axis="axisRow" showDropDowns="1" compact="0" outline="0" subtotalTop="1" dragToRow="1" dragToCol="1" dragToPage="1" dragToData="1" dragOff="1" showAll="0" topAutoShow="1" itemPageCount="10" sortType="manual" defaultSubtotal="1">
      <items count="1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h="1" sd="1" x="15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h="1" sd="1" x="17"/>
        <item t="default" sd="1"/>
      </items>
    </pivotField>
  </pivotFields>
  <rowFields count="1">
    <field x="0"/>
  </rowFields>
  <rowItems count="1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grand" r="0" i="0">
      <x v="0"/>
    </i>
  </rowItems>
  <colFields count="1">
    <field x="2"/>
  </colFields>
  <colItems count="1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grand" r="0" i="0">
      <x v="0"/>
    </i>
  </colItems>
  <dataFields count="1">
    <dataField name="Sum of Points" fld="1" subtotal="sum" showDataAs="normal" baseField="-1" baseItem="1048832" numFmtId="164"/>
  </dataFields>
  <formats count="22">
    <format action="formatting" dxfId="25">
      <pivotArea type="normal" dataOnly="0" labelOnly="1" outline="0" fieldPosition="0"/>
    </format>
    <format action="formatting" dxfId="26">
      <pivotArea type="normal" dataOnly="0" labelOnly="1" outline="0" fieldPosition="0">
        <references count="1">
          <reference field="0"/>
        </references>
      </pivotArea>
    </format>
    <format action="formatting" dxfId="27">
      <pivotArea type="normal" dataOnly="0" labelOnly="1" outline="0" fieldPosition="0"/>
    </format>
    <format action="formatting" dxfId="28">
      <pivotArea type="normal" dataOnly="0" labelOnly="1" outline="0" fieldPosition="0"/>
    </format>
    <format action="formatting" dxfId="29">
      <pivotArea type="normal" dataOnly="0" labelOnly="1" outline="0" fieldPosition="0">
        <references count="1">
          <reference field="0"/>
        </references>
      </pivotArea>
    </format>
    <format action="formatting" dxfId="30">
      <pivotArea type="normal" dataOnly="0" labelOnly="1" outline="0" fieldPosition="0"/>
    </format>
    <format action="formatting" dxfId="31">
      <pivotArea type="normal" dataOnly="1" outline="0" fieldPosition="0"/>
    </format>
    <format action="formatting" dxfId="32">
      <pivotArea type="normal" dataOnly="0" labelOnly="1" outline="0" fieldPosition="0">
        <references count="1">
          <reference field="2"/>
        </references>
      </pivotArea>
    </format>
    <format action="formatting" dxfId="33">
      <pivotArea type="normal" dataOnly="0" labelOnly="1" outline="0" fieldPosition="0"/>
    </format>
    <format action="formatting" dxfId="34">
      <pivotArea type="normal" dataOnly="1" outline="0" fieldPosition="0"/>
    </format>
    <format action="formatting" dxfId="35">
      <pivotArea type="normal" dataOnly="0" labelOnly="1" outline="0" fieldPosition="0">
        <references count="1">
          <reference field="2"/>
        </references>
      </pivotArea>
    </format>
    <format action="formatting" dxfId="36">
      <pivotArea type="normal" dataOnly="0" labelOnly="1" outline="0" fieldPosition="0"/>
    </format>
    <format action="formatting" dxfId="37">
      <pivotArea type="normal" dataOnly="0" labelOnly="1" outline="0" fieldPosition="0"/>
    </format>
    <format action="formatting" dxfId="38">
      <pivotArea type="normal" dataOnly="0" labelOnly="1" outline="0" fieldPosition="0">
        <references count="1">
          <reference field="0"/>
        </references>
      </pivotArea>
    </format>
    <format action="formatting" dxfId="39">
      <pivotArea type="normal" dataOnly="0" labelOnly="1" outline="0" fieldPosition="0"/>
    </format>
    <format action="formatting" dxfId="40">
      <pivotArea type="normal" dataOnly="0" labelOnly="1" outline="0" fieldPosition="0"/>
    </format>
    <format action="formatting" dxfId="41">
      <pivotArea type="normal" dataOnly="0" labelOnly="1" outline="0" fieldPosition="0"/>
    </format>
    <format action="formatting" dxfId="42">
      <pivotArea type="normal" dataOnly="0" labelOnly="1" outline="0" fieldPosition="0"/>
    </format>
    <format action="formatting" dxfId="43">
      <pivotArea type="normal" dataOnly="0" labelOnly="1" outline="0" fieldPosition="0"/>
    </format>
    <format action="formatting" dxfId="44">
      <pivotArea type="normal" dataOnly="0" labelOnly="1" outline="0" fieldPosition="0">
        <references count="1">
          <reference field="2"/>
        </references>
      </pivotArea>
    </format>
    <format action="formatting" dxfId="45">
      <pivotArea type="normal" dataOnly="0" labelOnly="1" outline="0" fieldPosition="0"/>
    </format>
    <format action="formatting" dxfId="46">
      <pivotArea type="normal"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Fall2025PRE" cacheId="2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R2:AE14" firstHeaderRow="1" firstDataRow="2" firstDataCol="1"/>
  <pivotFields count="3">
    <pivotField axis="axisRow" showDropDowns="1" compact="0" outline="0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h="1" sd="1" x="10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h="1" sd="1" x="12"/>
        <item t="default" sd="1"/>
      </items>
    </pivotField>
  </pivotFields>
  <rowFields count="1">
    <field x="0"/>
  </rowFields>
  <rowItems count="1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grand" r="0" i="0">
      <x v="0"/>
    </i>
  </rowItems>
  <colFields count="1">
    <field x="2"/>
  </colFields>
  <col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colItems>
  <dataFields count="1">
    <dataField name="Sum of Points" fld="1" subtotal="sum" showDataAs="normal" baseField="-1" baseItem="1048832" numFmtId="164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Spring2025" cacheId="3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R2:AD14" firstHeaderRow="1" firstDataRow="2" firstDataCol="1"/>
  <pivotFields count="3">
    <pivotField axis="axisRow" showDropDowns="1" compact="0" outline="0" subtotalTop="1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h="1" sd="1" x="9"/>
        <item t="data" sd="1" x="10"/>
        <item t="data" h="1" sd="1" x="11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h="1" sd="1" x="9"/>
        <item t="data" sd="1" x="10"/>
        <item t="data" sd="1" x="11"/>
        <item t="data" h="1" sd="1" x="12"/>
        <item t="default" sd="1"/>
      </items>
    </pivotField>
  </pivotFields>
  <rowFields count="1">
    <field x="0"/>
  </rowFields>
  <rowItems count="1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10"/>
    </i>
    <i t="grand" r="0" i="0">
      <x v="0"/>
    </i>
  </rowItems>
  <colFields count="1">
    <field x="2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10"/>
    </i>
    <i t="data" r="0" i="0">
      <x v="11"/>
    </i>
    <i t="grand" r="0" i="0">
      <x v="0"/>
    </i>
  </colItems>
  <dataFields count="1">
    <dataField name="Sum of Points" fld="1" subtotal="sum" showDataAs="normal" baseField="-1" baseItem="1048832" numFmtId="164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Fall2024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R2:AE15" firstHeaderRow="1" firstDataRow="2" firstDataCol="1"/>
  <pivotFields count="3"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h="1" sd="1" x="8"/>
        <item t="data" sd="1" x="9"/>
        <item t="data" sd="1" x="10"/>
        <item t="data" sd="1" x="11"/>
        <item t="data" h="1" sd="1" x="12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h="1" sd="1" x="8"/>
        <item t="data" sd="1" x="9"/>
        <item t="data" sd="1" x="10"/>
        <item t="data" sd="1" x="11"/>
        <item t="data" sd="1" x="12"/>
        <item t="data" h="1" sd="1" x="13"/>
        <item t="default" sd="1"/>
      </items>
    </pivotField>
  </pivotFields>
  <rowFields count="1">
    <field x="0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2"/>
  </colFields>
  <col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colItems>
  <dataFields count="1">
    <dataField name="Sum of Points" fld="1" subtotal="sum" showDataAs="normal" baseField="-1" baseItem="1048832" numFmtId="164"/>
  </dataField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:r="http://schemas.openxmlformats.org/officeDocument/2006/relationships" xmlns="http://schemas.openxmlformats.org/spreadsheetml/2006/main" name="Fall2024PRE" cacheId="5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R2:AB11" firstHeaderRow="1" firstDataRow="2" firstDataCol="1"/>
  <pivotFields count="3">
    <pivotField axis="axisRow" showDropDowns="1" compact="0" outline="0" subtotalTop="1" dragToRow="1" dragToCol="1" dragToPage="1" dragToData="1" dragOff="1" showAll="0" topAutoShow="1" itemPageCount="10" sortType="manual" defaultSubtotal="1">
      <items count="10">
        <item t="data" sd="1" x="0"/>
        <item t="data" sd="1" x="1"/>
        <item t="data" sd="1" x="2"/>
        <item t="data" sd="1" x="3"/>
        <item t="data" sd="1" x="4"/>
        <item t="data" h="1" sd="1" x="5"/>
        <item t="data" sd="1" x="6"/>
        <item t="data" sd="1" x="7"/>
        <item t="data" h="1" sd="1" x="8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h="1" sd="1" x="9"/>
        <item t="default" sd="1"/>
      </items>
    </pivotField>
  </pivotFields>
  <rowFields count="1">
    <field x="0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6"/>
    </i>
    <i t="data" r="0" i="0">
      <x v="7"/>
    </i>
    <i t="grand" r="0" i="0">
      <x v="0"/>
    </i>
  </rowItems>
  <colFields count="1">
    <field x="2"/>
  </colFields>
  <col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colItems>
  <dataFields count="1">
    <dataField name="Sum of Points" fld="1" subtotal="sum" showDataAs="normal" baseField="-1" baseItem="1048832" numFmtId="164"/>
  </dataFields>
  <pivotTableStyleInfo name="PivotStyleLight16" showRowHeaders="1" showColHeaders="1" showRowStripes="0" showColStripes="0" showLastColumn="1"/>
</pivotTableDefinition>
</file>

<file path=xl/pivotTables/pivotTable9.xml><?xml version="1.0" encoding="utf-8"?>
<pivotTableDefinition xmlns:r="http://schemas.openxmlformats.org/officeDocument/2006/relationships" xmlns="http://schemas.openxmlformats.org/spreadsheetml/2006/main" name="Spring2024POST" cacheId="6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R2:AE15" firstHeaderRow="1" firstDataRow="2" firstDataCol="1"/>
  <pivotFields count="3">
    <pivotField axis="axisRow" showDropDowns="1" compact="0" outline="0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</pivotFields>
  <rowFields count="1">
    <field x="0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2"/>
  </colFields>
  <col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colItems>
  <dataFields count="1">
    <dataField name="Sum of Points" fld="1" subtotal="sum" showDataAs="normal" baseField="-1" baseItem="1048832" numFmtId="164"/>
  </dataFields>
  <pivotTableStyleInfo name="PivotStyleLight16" showRowHeaders="1" showColHeaders="1" showRowStripes="0" showColStripes="0" showLastColumn="1"/>
</pivotTableDefinition>
</file>

<file path=xl/pivotTables/pivotTable10.xml><?xml version="1.0" encoding="utf-8"?>
<pivotTableDefinition xmlns:r="http://schemas.openxmlformats.org/officeDocument/2006/relationships" xmlns="http://schemas.openxmlformats.org/spreadsheetml/2006/main" name="Spring2024" cacheId="7" dataOnRows="0" dataCaption="Values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Q2:AC14" firstHeaderRow="1" firstDataRow="2" firstDataCol="1"/>
  <pivotFields count="3">
    <pivotField axis="axisRow" showDropDowns="1" compact="0" outline="0" subtotalTop="1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h="1" sd="1" x="6"/>
        <item t="data" sd="1" x="7"/>
        <item t="data" sd="1" x="8"/>
        <item t="data" sd="1" x="9"/>
        <item t="data" sd="1" x="10"/>
        <item t="data" h="1" sd="1" x="11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h="1" sd="1" x="7"/>
        <item t="data" sd="1" x="8"/>
        <item t="data" sd="1" x="9"/>
        <item t="data" sd="1" x="10"/>
        <item t="data" sd="1" x="11"/>
        <item t="data" h="1" sd="1" x="12"/>
        <item t="default" sd="1"/>
      </items>
    </pivotField>
  </pivotFields>
  <rowFields count="1">
    <field x="0"/>
  </rowFields>
  <rowItems count="1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2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colItems>
  <dataFields count="1">
    <dataField name="Sum of Points" fld="1" subtotal="sum" showDataAs="normal" baseField="-1" baseItem="1048832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dn.discordapp.com/ephemeral-attachments/1450933256630440049/1463953458653827136/RDT_20260115_0729213001306827711469532.jpg?ex=6973b467&amp;is=697262e7&amp;hm=abddde1990f77dd09947cbd6cafc421033b30a956f63f0ac302b85f328ba9efb&amp;" TargetMode="External" Id="rId1" /><Relationship Type="http://schemas.openxmlformats.org/officeDocument/2006/relationships/hyperlink" Target="https://cdn.discordapp.com/ephemeral-attachments/1450933256630440049/1465775644741730526/20260127_132802.jpg?ex=697a5572&amp;is=697903f2&amp;hm=9c27e546ab9c73cc77f8c0375cc0951fe876586726fc87be5b26c45984ed2b11&amp;" TargetMode="External" Id="rId2" /><Relationship Type="http://schemas.openxmlformats.org/officeDocument/2006/relationships/drawing" Target="/xl/drawings/drawing2.xml" Id="rId3" /><Relationship Type="http://schemas.openxmlformats.org/officeDocument/2006/relationships/pivotTable" Target="/xl/pivotTables/pivotTable2.xml" Id="rId4" /></Relationships>
</file>

<file path=xl/worksheets/_rels/sheet3.xml.rels><Relationships xmlns="http://schemas.openxmlformats.org/package/2006/relationships"><Relationship Type="http://schemas.openxmlformats.org/officeDocument/2006/relationships/hyperlink" Target="https://cdn.discordapp.com/ephemeral-attachments/1450933256630440049/1463953458653827136/RDT_20260115_0729213001306827711469532.jpg?ex=6973b467&amp;is=697262e7&amp;hm=abddde1990f77dd09947cbd6cafc421033b30a956f63f0ac302b85f328ba9efb&amp;" TargetMode="External" Id="rId1" /><Relationship Type="http://schemas.openxmlformats.org/officeDocument/2006/relationships/hyperlink" Target="https://cdn.discordapp.com/ephemeral-attachments/1450933256630440049/1465775644741730526/20260127_132802.jpg?ex=697a5572&amp;is=697903f2&amp;hm=9c27e546ab9c73cc77f8c0375cc0951fe876586726fc87be5b26c45984ed2b11&amp;" TargetMode="External" Id="rId2" /><Relationship Type="http://schemas.openxmlformats.org/officeDocument/2006/relationships/drawing" Target="/xl/drawings/drawing3.xml" Id="rId3" /><Relationship Type="http://schemas.openxmlformats.org/officeDocument/2006/relationships/pivotTable" Target="/xl/pivotTables/pivotTable3.xm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discord.com/channels/191975109500731392/1212839710439776287/1420102383278624777" TargetMode="External" Id="rId1" /><Relationship Type="http://schemas.openxmlformats.org/officeDocument/2006/relationships/hyperlink" Target="https://discord.com/channels/191975109500731392/1212839710439776287/1420158594686521365" TargetMode="External" Id="rId2" /><Relationship Type="http://schemas.openxmlformats.org/officeDocument/2006/relationships/hyperlink" Target="https://discord.com/channels/191975109500731392/1212839710439776287/1420785838920302643" TargetMode="External" Id="rId3" /><Relationship Type="http://schemas.openxmlformats.org/officeDocument/2006/relationships/hyperlink" Target="https://discord.com/channels/191975109500731392/1212839710439776287/1424816644093513919" TargetMode="External" Id="rId4" /><Relationship Type="http://schemas.openxmlformats.org/officeDocument/2006/relationships/hyperlink" Target="https://discord.com/channels/191975109500731392/1212839710439776287/1426205592493752341" TargetMode="External" Id="rId5" /><Relationship Type="http://schemas.openxmlformats.org/officeDocument/2006/relationships/hyperlink" Target="https://discord.com/channels/191975109500731392/1212839710439776287/1428771201802829969" TargetMode="External" Id="rId6" /><Relationship Type="http://schemas.openxmlformats.org/officeDocument/2006/relationships/hyperlink" Target="https://discord.com/channels/191975109500731392/1212839710439776287/1432781582556725298" TargetMode="External" Id="rId7" /><Relationship Type="http://schemas.openxmlformats.org/officeDocument/2006/relationships/hyperlink" Target="https://discord.com/channels/191975109500731392/1212839710439776287/1433113874529390762" TargetMode="External" Id="rId8" /><Relationship Type="http://schemas.openxmlformats.org/officeDocument/2006/relationships/hyperlink" Target="https://discord.com/channels/191975109500731392/1212839710439776287/1433114152942964889" TargetMode="External" Id="rId9" /><Relationship Type="http://schemas.openxmlformats.org/officeDocument/2006/relationships/hyperlink" Target="https://discord.com/channels/191975109500731392/1212839710439776287/1434983665741598783" TargetMode="External" Id="rId10" /><Relationship Type="http://schemas.openxmlformats.org/officeDocument/2006/relationships/hyperlink" Target="https://discord.com/channels/191975109500731392/1212839710439776287/1435017572138619093" TargetMode="External" Id="rId11" /><Relationship Type="http://schemas.openxmlformats.org/officeDocument/2006/relationships/drawing" Target="/xl/drawings/drawing4.xml" Id="rId12" /><Relationship Type="http://schemas.openxmlformats.org/officeDocument/2006/relationships/pivotTable" Target="/xl/pivotTables/pivotTable4.xml" Id="rId13" /></Relationships>
</file>

<file path=xl/worksheets/_rels/sheet5.xml.rels><Relationships xmlns="http://schemas.openxmlformats.org/package/2006/relationships"><Relationship Type="http://schemas.openxmlformats.org/officeDocument/2006/relationships/hyperlink" Target="https://discord.com/channels/191975109500731392/1212839710439776287/1410732645112877098" TargetMode="External" Id="rId1" /><Relationship Type="http://schemas.openxmlformats.org/officeDocument/2006/relationships/hyperlink" Target="https://discord.com/channels/191975109500731392/1212839710439776287/1418581366886367354" TargetMode="External" Id="rId2" /><Relationship Type="http://schemas.openxmlformats.org/officeDocument/2006/relationships/drawing" Target="/xl/drawings/drawing5.xml" Id="rId3" /><Relationship Type="http://schemas.openxmlformats.org/officeDocument/2006/relationships/pivotTable" Target="/xl/pivotTables/pivotTable5.xml" Id="rId4" /></Relationships>
</file>

<file path=xl/worksheets/_rels/sheet6.xml.rels><Relationships xmlns="http://schemas.openxmlformats.org/package/2006/relationships"><Relationship Type="http://schemas.openxmlformats.org/officeDocument/2006/relationships/hyperlink" Target="https://discord.com/channels/191975109500731392/1212839710439776287/1328421980986146921" TargetMode="External" Id="rId1" /><Relationship Type="http://schemas.openxmlformats.org/officeDocument/2006/relationships/hyperlink" Target="https://discord.com/channels/191975109500731392/1212839710439776287/1328431903224627242" TargetMode="External" Id="rId2" /><Relationship Type="http://schemas.openxmlformats.org/officeDocument/2006/relationships/hyperlink" Target="https://discord.com/channels/191975109500731392/1212839710439776287/1328444788130709625" TargetMode="External" Id="rId3" /><Relationship Type="http://schemas.openxmlformats.org/officeDocument/2006/relationships/hyperlink" Target="https://discord.com/channels/191975109500731392/1212839710439776287/1329116512476205076" TargetMode="External" Id="rId4" /><Relationship Type="http://schemas.openxmlformats.org/officeDocument/2006/relationships/hyperlink" Target="https://discord.com/channels/191975109500731392/1212839710439776287/1329131165818290278" TargetMode="External" Id="rId5" /><Relationship Type="http://schemas.openxmlformats.org/officeDocument/2006/relationships/hyperlink" Target="https://discord.com/channels/191975109500731392/1212839710439776287/1329131398652629064" TargetMode="External" Id="rId6" /><Relationship Type="http://schemas.openxmlformats.org/officeDocument/2006/relationships/hyperlink" Target="https://discord.com/channels/191975109500731392/1212839710439776287/1329161563461910689" TargetMode="External" Id="rId7" /><Relationship Type="http://schemas.openxmlformats.org/officeDocument/2006/relationships/hyperlink" Target="https://discord.com/channels/191975109500731392/1212839710439776287/1329904517151719514" TargetMode="External" Id="rId8" /><Relationship Type="http://schemas.openxmlformats.org/officeDocument/2006/relationships/hyperlink" Target="https://discord.com/channels/191975109500731392/1212839710439776287/1330341537489616977" TargetMode="External" Id="rId9" /><Relationship Type="http://schemas.openxmlformats.org/officeDocument/2006/relationships/hyperlink" Target="https://discord.com/channels/191975109500731392/1212839710439776287/1331407502687862784" TargetMode="External" Id="rId10" /><Relationship Type="http://schemas.openxmlformats.org/officeDocument/2006/relationships/hyperlink" Target="https://discord.com/channels/191975109500731392/1212839710439776287/1331654158717288450" TargetMode="External" Id="rId11" /><Relationship Type="http://schemas.openxmlformats.org/officeDocument/2006/relationships/hyperlink" Target="https://discord.com/channels/191975109500731392/1212839710439776287/1331786975774244975" TargetMode="External" Id="rId12" /><Relationship Type="http://schemas.openxmlformats.org/officeDocument/2006/relationships/hyperlink" Target="https://discord.com/channels/191975109500731392/1212839710439776287/1332096889293770873" TargetMode="External" Id="rId13" /><Relationship Type="http://schemas.openxmlformats.org/officeDocument/2006/relationships/hyperlink" Target="https://discord.com/channels/191975109500731392/1212839710439776287/1332104635577532449" TargetMode="External" Id="rId14" /><Relationship Type="http://schemas.openxmlformats.org/officeDocument/2006/relationships/hyperlink" Target="https://discord.com/channels/191975109500731392/1212839710439776287/1340814596830920714" TargetMode="External" Id="rId15" /><Relationship Type="http://schemas.openxmlformats.org/officeDocument/2006/relationships/hyperlink" Target="https://discord.com/channels/191975109500731392/1212839710439776287/1341446113479098399" TargetMode="External" Id="rId16" /><Relationship Type="http://schemas.openxmlformats.org/officeDocument/2006/relationships/hyperlink" Target="https://discord.com/channels/191975109500731392/1212839710439776287/1351252845374083104" TargetMode="External" Id="rId17" /><Relationship Type="http://schemas.openxmlformats.org/officeDocument/2006/relationships/hyperlink" Target="https://discord.com/channels/191975109500731392/1212839710439776287/1351672302345130024" TargetMode="External" Id="rId18" /><Relationship Type="http://schemas.openxmlformats.org/officeDocument/2006/relationships/hyperlink" Target="https://discord.com/channels/191975109500731392/1212839710439776287/1354853809394024635" TargetMode="External" Id="rId19" /><Relationship Type="http://schemas.openxmlformats.org/officeDocument/2006/relationships/drawing" Target="/xl/drawings/drawing6.xml" Id="rId20" /><Relationship Type="http://schemas.openxmlformats.org/officeDocument/2006/relationships/pivotTable" Target="/xl/pivotTables/pivotTable6.xml" Id="rId21" /></Relationships>
</file>

<file path=xl/worksheets/_rels/sheet7.xml.rels><Relationships xmlns="http://schemas.openxmlformats.org/package/2006/relationships"><Relationship Type="http://schemas.openxmlformats.org/officeDocument/2006/relationships/hyperlink" Target="https://discord.com/channels/191975109500731392/1212839710439776287/1298696788643020852" TargetMode="External" Id="rId1" /><Relationship Type="http://schemas.openxmlformats.org/officeDocument/2006/relationships/hyperlink" Target="https://discord.com/channels/191975109500731392/1212839710439776287/1306325863213830194" TargetMode="External" Id="rId2" /><Relationship Type="http://schemas.openxmlformats.org/officeDocument/2006/relationships/drawing" Target="/xl/drawings/drawing7.xml" Id="rId3" /><Relationship Type="http://schemas.openxmlformats.org/officeDocument/2006/relationships/pivotTable" Target="/xl/pivotTables/pivotTable7.xml" Id="rId4" /></Relationships>
</file>

<file path=xl/worksheets/_rels/sheet8.xml.rels><Relationships xmlns="http://schemas.openxmlformats.org/package/2006/relationships"><Relationship Type="http://schemas.openxmlformats.org/officeDocument/2006/relationships/hyperlink" Target="https://media.discordapp.net/attachments/1212839710439776287/1277352689910677635/IMG_9684.jpg?ex=66d8b865&amp;is=66d766e5&amp;hm=1f04f119402691c1c7c379953474404873dbc457ad84821a86985cf0d3239f08&amp;=&amp;format=webp&amp;width=657&amp;height=876" TargetMode="External" Id="rId1" /><Relationship Type="http://schemas.openxmlformats.org/officeDocument/2006/relationships/hyperlink" Target="https://media.discordapp.net/attachments/1212839710439776287/1280904760328982630/image.jpg?ex=66d9c704&amp;is=66d87584&amp;hm=cba73453ebae8a9e51455943096591d0274c7f4f90193e0bbbc93150b6d3fe3b&amp;=&amp;format=webp&amp;width=657&amp;height=876" TargetMode="External" Id="rId2" /><Relationship Type="http://schemas.openxmlformats.org/officeDocument/2006/relationships/hyperlink" Target="https://media.discordapp.net/attachments/1212839710439776287/1280904799382011994/IMG_0888.jpg?ex=66d9c70e&amp;is=66d8758e&amp;hm=af14c120eff3cd3fd3d7bcdedc4fb4dac0ebd45a4b5f26e2b96cc091f4bf7a46&amp;=&amp;format=webp&amp;width=657&amp;height=876" TargetMode="External" Id="rId3" /><Relationship Type="http://schemas.openxmlformats.org/officeDocument/2006/relationships/hyperlink" Target="https://media.discordapp.net/attachments/1212839710439776287/1280906666250076182/IMG_9755.jpg?ex=66d9c8cb&amp;is=66d8774b&amp;hm=e94195946302b35c2eaead8e00f8cb09510aea8175389518142a979a265556dd&amp;=&amp;format=webp&amp;width=657&amp;height=876" TargetMode="External" Id="rId4" /><Relationship Type="http://schemas.openxmlformats.org/officeDocument/2006/relationships/hyperlink" Target="https://media.discordapp.net/attachments/1212839710439776287/1280916301723865118/IMG_0024.jpg?ex=66d9d1c4&amp;is=66d88044&amp;hm=b75ac0c4a302721e8e3a8ce2eda33b33fc7232283ce9ff9b0fd16a87dd2159c9&amp;=&amp;format=webp&amp;width=657&amp;height=876" TargetMode="External" Id="rId5" /><Relationship Type="http://schemas.openxmlformats.org/officeDocument/2006/relationships/hyperlink" Target="https://media.discordapp.net/attachments/1212839710439776287/1280949676497174639/IMG_0029.jpg?ex=66d9f0d9&amp;is=66d89f59&amp;hm=9536c6c2071867f78706d4a44cc19e60cbbe0145ca9d73d99bad928264e9fbd8&amp;=&amp;format=webp&amp;width=657&amp;height=876" TargetMode="External" Id="rId6" /><Relationship Type="http://schemas.openxmlformats.org/officeDocument/2006/relationships/hyperlink" Target="https://media.discordapp.net/attachments/1212839710439776287/1280949677205880893/IMG_0031.jpg?ex=66d9f0d9&amp;is=66d89f59&amp;hm=95c63ae3123fbba409cf3f1b3a39e042671a7883f86273b1d968360625784a42&amp;=&amp;format=webp&amp;width=657&amp;height=876" TargetMode="External" Id="rId7" /><Relationship Type="http://schemas.openxmlformats.org/officeDocument/2006/relationships/hyperlink" Target="https://media.discordapp.net/attachments/1212839710439776287/1281017660481601622/6011E0D7-56D7-4C16-996D-1C335FB7A821.jpg?ex=66e01eea&amp;is=66decd6a&amp;hm=498f8d5c3c9633d3e8adefdae6800e3e2d5dff02d55f615022603c1567f25c98&amp;=&amp;format=webp&amp;width=657&amp;height=876" TargetMode="External" Id="rId8" /><Relationship Type="http://schemas.openxmlformats.org/officeDocument/2006/relationships/hyperlink" Target="https://media.discordapp.net/attachments/1212839710439776287/1281021962260451339/IMG_9758.jpg?ex=66e022ec&amp;is=66ded16c&amp;hm=83a7b63cf6146f6c88438bf3ac2642b7b5f29a7e5c3fbb847082bb49173c4728&amp;=&amp;format=webp&amp;width=657&amp;height=876" TargetMode="External" Id="rId9" /><Relationship Type="http://schemas.openxmlformats.org/officeDocument/2006/relationships/hyperlink" Target="https://media.discordapp.net/attachments/1212839710439776287/1281273353717551214/IMG_9761.jpg?ex=66e0644c&amp;is=66df12cc&amp;hm=3810ed2172daec7b4e2c440c4a5aa966b61380497260b406c63c1a10f29f3e67&amp;=&amp;format=webp&amp;width=657&amp;height=876" TargetMode="External" Id="rId10" /><Relationship Type="http://schemas.openxmlformats.org/officeDocument/2006/relationships/hyperlink" Target="https://media.discordapp.net/attachments/1212839710439776287/1281288238845399141/PXL_20240905_162109539.jpg?ex=66e07229&amp;is=66df20a9&amp;hm=8470c5ab0bb304c517e2106c13f83ce51bdb512f8ab42580251b97e9160ab88d&amp;=&amp;format=webp&amp;width=492&amp;height=874" TargetMode="External" Id="rId11" /><Relationship Type="http://schemas.openxmlformats.org/officeDocument/2006/relationships/hyperlink" Target="https://media.discordapp.net/attachments/1212839710439776287/1282083076163240027/IMG_6245.jpg?ex=66e00aa9&amp;is=66deb929&amp;hm=d42a28dacaac4c05bf07b794186f748d300585ac2c95495f0911166ab4d84212&amp;=&amp;format=webp&amp;width=657&amp;height=876" TargetMode="External" Id="rId12" /><Relationship Type="http://schemas.openxmlformats.org/officeDocument/2006/relationships/hyperlink" Target="https://media.discordapp.net/attachments/1212839710439776287/1282720914332582031/PXL_20240909_1513352522.jpg?ex=66e06271&amp;is=66df10f1&amp;hm=b2cdb44f4395a96d4ec22a541140c9ce28dcff9e81adca04046511c7b9ee6b36&amp;=&amp;format=webp&amp;width=492&amp;height=874" TargetMode="External" Id="rId13" /><Relationship Type="http://schemas.openxmlformats.org/officeDocument/2006/relationships/hyperlink" Target="https://media.discordapp.net/attachments/1212839710439776287/1282745595345240207/IMG_9781.jpg?ex=66e0796e&amp;is=66df27ee&amp;hm=da964e0128b0e77eb97a447f18ab5f856ca93640a489e27eb8e73a35362471b4&amp;=&amp;format=webp&amp;width=657&amp;height=876" TargetMode="External" Id="rId14" /><Relationship Type="http://schemas.openxmlformats.org/officeDocument/2006/relationships/hyperlink" Target="https://media.discordapp.net/attachments/1212839710439776287/1282747756225630288/image.jpg?ex=66e07b71&amp;is=66df29f1&amp;hm=a0f96c6e96335b4f9dd4ef4c06a359f8d87ecf605692ec41487652c6c43b02f3&amp;=&amp;format=webp&amp;width=657&amp;height=876" TargetMode="External" Id="rId15" /><Relationship Type="http://schemas.openxmlformats.org/officeDocument/2006/relationships/hyperlink" Target="https://media.discordapp.net/attachments/1212839710439776287/1282747813091872940/IMG_0906.jpg?ex=66e07b7e&amp;is=66df29fe&amp;hm=737ee5eb3d8d7b01f28adbf80d3b8a9df356ff9434cc8946f46a379b12b2d942&amp;=&amp;format=webp&amp;width=657&amp;height=876" TargetMode="External" Id="rId16" /><Relationship Type="http://schemas.openxmlformats.org/officeDocument/2006/relationships/hyperlink" Target="https://media.discordapp.net/attachments/1212839710439776287/1282754419263406183/IMG_0907.jpg?ex=66e081a5&amp;is=66df3025&amp;hm=a0a27f4c773019c06cc5ab5e52950030f825b859e7772789925650e143b6d742&amp;=&amp;format=webp&amp;width=657&amp;height=876" TargetMode="External" Id="rId17" /><Relationship Type="http://schemas.openxmlformats.org/officeDocument/2006/relationships/hyperlink" Target="https://media.discordapp.net/attachments/1212839710439776287/1282755803501170879/IMG_0113.jpg?ex=66e082f0&amp;is=66df3170&amp;hm=737ce410b7fc698a1fefd89455bc95977f51bc4e762e62fec4bc68b4b213e69a&amp;=&amp;format=webp&amp;width=657&amp;height=876" TargetMode="External" Id="rId18" /><Relationship Type="http://schemas.openxmlformats.org/officeDocument/2006/relationships/hyperlink" Target="https://media.discordapp.net/attachments/1212839710439776287/1282762630439899228/IMG_0908.jpg?ex=66e47dcb&amp;is=66e32c4b&amp;hm=32bb1b8402c99cffc01a9ef7653a61c4c9c606cee5e840213f50c96e9ee701f1&amp;=&amp;format=webp&amp;width=657&amp;height=876" TargetMode="External" Id="rId19" /><Relationship Type="http://schemas.openxmlformats.org/officeDocument/2006/relationships/hyperlink" Target="https://media.discordapp.net/attachments/1212839710439776287/1283455781148164116/PXL_20240911_155058535.jpg?ex=66e46057&amp;is=66e30ed7&amp;hm=c12f6d3a7fa965997c1b541cad7094438b4e8242923061cb93237db352647687&amp;=&amp;format=webp&amp;width=492&amp;height=874" TargetMode="External" Id="rId20" /><Relationship Type="http://schemas.openxmlformats.org/officeDocument/2006/relationships/hyperlink" Target="https://media.discordapp.net/attachments/1212839710439776287/1283501454258212944/IMG_9785.jpg?ex=66e48ae0&amp;is=66e33960&amp;hm=5e8339fe8485b1cf6dfe92e5cbbb183baa739119fedf006cd8231f0982b0c370&amp;=&amp;format=webp&amp;width=657&amp;height=876" TargetMode="External" Id="rId21" /><Relationship Type="http://schemas.openxmlformats.org/officeDocument/2006/relationships/hyperlink" Target="https://media.discordapp.net/attachments/1212839710439776287/1283533540964958279/IMG_5655.jpg?ex=66e40003&amp;is=66e2ae83&amp;hm=95cb63f6908820d9dc759eed0fb808a4fe869461a7b5ca615c5ae9364fd96d1b&amp;=&amp;format=webp&amp;width=657&amp;height=876" TargetMode="External" Id="rId22" /><Relationship Type="http://schemas.openxmlformats.org/officeDocument/2006/relationships/hyperlink" Target="https://media.discordapp.net/attachments/1212839710439776287/1283843454975348737/20240912_133453.jpg?ex=66e477e4&amp;is=66e32664&amp;hm=13384f356856b2409880f16f0181add6cb98a76ab905dd9cb41408f2c2bed0a6&amp;=&amp;format=webp&amp;width=1168&amp;height=876" TargetMode="External" Id="rId23" /><Relationship Type="http://schemas.openxmlformats.org/officeDocument/2006/relationships/hyperlink" Target="https://media.discordapp.net/attachments/1212839710439776287/1283843643538411561/IMG_0920.jpg?ex=66e47811&amp;is=66e32691&amp;hm=882424e9b8565bd98315bed01491f7b281fedfcf70cf99281bd834cf41cd9878&amp;=&amp;format=webp&amp;width=657&amp;height=876" TargetMode="External" Id="rId24" /><Relationship Type="http://schemas.openxmlformats.org/officeDocument/2006/relationships/hyperlink" Target="https://media.discordapp.net/attachments/1212839710439776287/1283849948168847391/IMG_0921.jpg?ex=66e47df0&amp;is=66e32c70&amp;hm=27e1226a7895f63b4242f14df4106adb90ac201eff723823d32441119d155966&amp;=&amp;format=webp&amp;width=657&amp;height=876" TargetMode="External" Id="rId25" /><Relationship Type="http://schemas.openxmlformats.org/officeDocument/2006/relationships/hyperlink" Target="https://media.discordapp.net/attachments/1212839710439776287/1283852063020810250/PXL_20240912_180905725.jpg?ex=66e47fe8&amp;is=66e32e68&amp;hm=9ac3c0083feed6ddf85d299bb5bb457c8988c3790da62d9403d173c148227141&amp;=&amp;format=webp&amp;width=492&amp;height=874" TargetMode="External" Id="rId26" /><Relationship Type="http://schemas.openxmlformats.org/officeDocument/2006/relationships/hyperlink" Target="https://media.discordapp.net/attachments/1212839710439776287/1283872800414892108/IMG_0922.jpg?ex=66e49338&amp;is=66e341b8&amp;hm=90f1579e96845b0ad80d2b76d88a3681b25d295d378e3b5f3f2247c7f0aa55ba&amp;=&amp;format=webp&amp;width=1168&amp;height=876" TargetMode="External" Id="rId27" /><Relationship Type="http://schemas.openxmlformats.org/officeDocument/2006/relationships/hyperlink" Target="https://media.discordapp.net/attachments/1212839710439776287/1283872916475215912/65EB0CCE-33C6-48A6-AE5E-E6DACDD833EF.jpg?ex=66e49354&amp;is=66e341d4&amp;hm=5bae8bdd199e9770d26eac89b84157813bef5ee5af3a0f2d9aed68f15577b522&amp;=&amp;format=webp&amp;width=657&amp;height=876" TargetMode="External" Id="rId28" /><Relationship Type="http://schemas.openxmlformats.org/officeDocument/2006/relationships/hyperlink" Target="https://media.discordapp.net/attachments/1212839710439776287/1284206593042419743/IMG_5671.jpg?ex=66e5ca17&amp;is=66e47897&amp;hm=ee7c1ead33ea9fa6b6fbfb33ee7588c647f14217b54b00179195b531ddf50dd4&amp;=&amp;format=webp&amp;width=657&amp;height=876" TargetMode="External" Id="rId29" /><Relationship Type="http://schemas.openxmlformats.org/officeDocument/2006/relationships/hyperlink" Target="https://media.discordapp.net/attachments/1212839710439776287/1284206473274069073/20240913_133733.jpg?ex=66e5c9fa&amp;is=66e4787a&amp;hm=e34ca0a1a2ca5462fb5519f08ac1ede1271d39c37c6447530dae553098ad3526&amp;=&amp;format=webp&amp;width=657&amp;height=876" TargetMode="External" Id="rId30" /><Relationship Type="http://schemas.openxmlformats.org/officeDocument/2006/relationships/hyperlink" Target="https://media.discordapp.net/attachments/1212839710439776287/1284208928892125194/IMG_0927.jpg?ex=66e5cc44&amp;is=66e47ac4&amp;hm=6f87c1bc770c0ada4da7320aad068279bcc24330dd0e774325a20c4bd87fa4bf&amp;=&amp;format=webp&amp;width=394&amp;height=525" TargetMode="External" Id="rId31" /><Relationship Type="http://schemas.openxmlformats.org/officeDocument/2006/relationships/hyperlink" Target="https://media.discordapp.net/attachments/1212839710439776287/1284209185575276574/F47ECE56-F318-4BFF-B7EE-F580DE7EC85B.jpg?ex=66e5cc81&amp;is=66e47b01&amp;hm=f34f017c4bac363c0048aa122eec58f7c091106b40811f5fbe17e7f0ab3de082&amp;=&amp;format=webp&amp;width=394&amp;height=525" TargetMode="External" Id="rId32" /><Relationship Type="http://schemas.openxmlformats.org/officeDocument/2006/relationships/hyperlink" Target="https://media.discordapp.net/attachments/1212839710439776287/1284245010111271014/IMG_9792.jpg?ex=66e9399e&amp;is=66e7e81e&amp;hm=e50e875a4769266af805aff5336b77f9d79bf01d466de121021e9280de1b64f7&amp;=&amp;format=webp&amp;width=657&amp;height=876" TargetMode="External" Id="rId33" /><Relationship Type="http://schemas.openxmlformats.org/officeDocument/2006/relationships/drawing" Target="/xl/drawings/drawing8.xml" Id="rId34" /><Relationship Type="http://schemas.openxmlformats.org/officeDocument/2006/relationships/pivotTable" Target="/xl/pivotTables/pivotTable8.xml" Id="rId35" /></Relationships>
</file>

<file path=xl/worksheets/_rels/sheet9.xml.rels><Relationships xmlns="http://schemas.openxmlformats.org/package/2006/relationships"><Relationship Type="http://schemas.openxmlformats.org/officeDocument/2006/relationships/hyperlink" Target="https://discord.com/channels/191975109500731392/1212839710439776287/1227291398378881164" TargetMode="External" Id="rId1" /><Relationship Type="http://schemas.openxmlformats.org/officeDocument/2006/relationships/hyperlink" Target="https://discord.com/channels/191975109500731392/1212839710439776287/1227292812127506555" TargetMode="External" Id="rId2" /><Relationship Type="http://schemas.openxmlformats.org/officeDocument/2006/relationships/hyperlink" Target="https://discord.com/channels/191975109500731392/1212839710439776287/1227292812127506555" TargetMode="External" Id="rId3" /><Relationship Type="http://schemas.openxmlformats.org/officeDocument/2006/relationships/hyperlink" Target="https://discord.com/channels/191975109500731392/1212839710439776287/1227296332406980761" TargetMode="External" Id="rId4" /><Relationship Type="http://schemas.openxmlformats.org/officeDocument/2006/relationships/hyperlink" Target="https://discord.com/channels/191975109500731392/1212839710439776287/1227297185087881307" TargetMode="External" Id="rId5" /><Relationship Type="http://schemas.openxmlformats.org/officeDocument/2006/relationships/hyperlink" Target="https://discord.com/channels/191975109500731392/1212839710439776287/1227297264800763925" TargetMode="External" Id="rId6" /><Relationship Type="http://schemas.openxmlformats.org/officeDocument/2006/relationships/hyperlink" Target="https://discord.com/channels/191975109500731392/1212839710439776287/1227315392998019102" TargetMode="External" Id="rId7" /><Relationship Type="http://schemas.openxmlformats.org/officeDocument/2006/relationships/hyperlink" Target="https://discord.com/channels/191975109500731392/1212839710439776287/1227316801554219029" TargetMode="External" Id="rId8" /><Relationship Type="http://schemas.openxmlformats.org/officeDocument/2006/relationships/hyperlink" Target="https://discord.com/channels/191975109500731392/1212839710439776287/1227316956189687898" TargetMode="External" Id="rId9" /><Relationship Type="http://schemas.openxmlformats.org/officeDocument/2006/relationships/hyperlink" Target="https://discord.com/channels/191975109500731392/1212839710439776287/1227335825466069012" TargetMode="External" Id="rId10" /><Relationship Type="http://schemas.openxmlformats.org/officeDocument/2006/relationships/hyperlink" Target="https://discord.com/channels/191975109500731392/1212839710439776287/1227335808147521597" TargetMode="External" Id="rId11" /><Relationship Type="http://schemas.openxmlformats.org/officeDocument/2006/relationships/hyperlink" Target="https://discord.com/channels/191975109500731392/1212839710439776287/1227336916362461364" TargetMode="External" Id="rId12" /><Relationship Type="http://schemas.openxmlformats.org/officeDocument/2006/relationships/hyperlink" Target="https://discord.com/channels/191975109500731392/1212839710439776287/1227338381516869762" TargetMode="External" Id="rId13" /><Relationship Type="http://schemas.openxmlformats.org/officeDocument/2006/relationships/hyperlink" Target="https://discord.com/channels/191975109500731392/1212839710439776287/1227360711596839027" TargetMode="External" Id="rId14" /><Relationship Type="http://schemas.openxmlformats.org/officeDocument/2006/relationships/hyperlink" Target="https://discord.com/channels/191975109500731392/1212839710439776287/1227361158491803680" TargetMode="External" Id="rId15" /><Relationship Type="http://schemas.openxmlformats.org/officeDocument/2006/relationships/hyperlink" Target="https://discord.com/channels/191975109500731392/1212839710439776287/1227362805548847126" TargetMode="External" Id="rId16" /><Relationship Type="http://schemas.openxmlformats.org/officeDocument/2006/relationships/hyperlink" Target="https://discord.com/channels/191975109500731392/1212839710439776287/1227615365614276660" TargetMode="External" Id="rId17" /><Relationship Type="http://schemas.openxmlformats.org/officeDocument/2006/relationships/hyperlink" Target="https://discord.com/channels/191975109500731392/1212839710439776287/1227674894162985102" TargetMode="External" Id="rId18" /><Relationship Type="http://schemas.openxmlformats.org/officeDocument/2006/relationships/hyperlink" Target="https://discord.com/channels/191975109500731392/1212839710439776287/1227676904061145118" TargetMode="External" Id="rId19" /><Relationship Type="http://schemas.openxmlformats.org/officeDocument/2006/relationships/hyperlink" Target="https://discord.com/channels/191975109500731392/1212839710439776287/1227677100924866602" TargetMode="External" Id="rId20" /><Relationship Type="http://schemas.openxmlformats.org/officeDocument/2006/relationships/hyperlink" Target="https://discord.com/channels/191975109500731392/1212839710439776287/1227679778409021491" TargetMode="External" Id="rId21" /><Relationship Type="http://schemas.openxmlformats.org/officeDocument/2006/relationships/hyperlink" Target="https://discord.com/channels/191975109500731392/1212839710439776287/1227679431997526116" TargetMode="External" Id="rId22" /><Relationship Type="http://schemas.openxmlformats.org/officeDocument/2006/relationships/hyperlink" Target="https://discord.com/channels/191975109500731392/1212839710439776287/1227679422417604710" TargetMode="External" Id="rId23" /><Relationship Type="http://schemas.openxmlformats.org/officeDocument/2006/relationships/hyperlink" Target="https://discord.com/channels/191975109500731392/1212839710439776287/1227679422417604710" TargetMode="External" Id="rId24" /><Relationship Type="http://schemas.openxmlformats.org/officeDocument/2006/relationships/hyperlink" Target="https://discord.com/channels/191975109500731392/1212839710439776287/1227718158215811112" TargetMode="External" Id="rId25" /><Relationship Type="http://schemas.openxmlformats.org/officeDocument/2006/relationships/hyperlink" Target="https://discord.com/channels/191975109500731392/1212839710439776287/1227995877449404447" TargetMode="External" Id="rId26" /><Relationship Type="http://schemas.openxmlformats.org/officeDocument/2006/relationships/hyperlink" Target="https://discord.com/channels/191975109500731392/1212839710439776287/1227995955228573786" TargetMode="External" Id="rId27" /><Relationship Type="http://schemas.openxmlformats.org/officeDocument/2006/relationships/hyperlink" Target="https://discord.com/channels/191975109500731392/1212839710439776287/1228016558236762193" TargetMode="External" Id="rId28" /><Relationship Type="http://schemas.openxmlformats.org/officeDocument/2006/relationships/hyperlink" Target="https://discord.com/channels/191975109500731392/1212839710439776287/1228038997184348231" TargetMode="External" Id="rId29" /><Relationship Type="http://schemas.openxmlformats.org/officeDocument/2006/relationships/hyperlink" Target="https://discord.com/channels/191975109500731392/1212839710439776287/1228039511351496725" TargetMode="External" Id="rId30" /><Relationship Type="http://schemas.openxmlformats.org/officeDocument/2006/relationships/hyperlink" Target="https://discord.com/channels/191975109500731392/1212839710439776287/1228039555077115928" TargetMode="External" Id="rId31" /><Relationship Type="http://schemas.openxmlformats.org/officeDocument/2006/relationships/hyperlink" Target="https://discord.com/channels/191975109500731392/1212839710439776287/1228040054237298739" TargetMode="External" Id="rId32" /><Relationship Type="http://schemas.openxmlformats.org/officeDocument/2006/relationships/hyperlink" Target="https://discord.com/channels/191975109500731392/1212839710439776287/1228040076462653541" TargetMode="External" Id="rId33" /><Relationship Type="http://schemas.openxmlformats.org/officeDocument/2006/relationships/hyperlink" Target="https://discord.com/channels/191975109500731392/1212839710439776287/1228040964749398157" TargetMode="External" Id="rId34" /><Relationship Type="http://schemas.openxmlformats.org/officeDocument/2006/relationships/hyperlink" Target="https://discord.com/channels/191975109500731392/1212839710439776287/1228059971455942706" TargetMode="External" Id="rId35" /><Relationship Type="http://schemas.openxmlformats.org/officeDocument/2006/relationships/hyperlink" Target="https://discord.com/channels/191975109500731392/1212839710439776287/1228061053292904520" TargetMode="External" Id="rId36" /><Relationship Type="http://schemas.openxmlformats.org/officeDocument/2006/relationships/hyperlink" Target="https://discord.com/channels/191975109500731392/1212839710439776287/1228062794700685453" TargetMode="External" Id="rId37" /><Relationship Type="http://schemas.openxmlformats.org/officeDocument/2006/relationships/hyperlink" Target="https://discord.com/channels/191975109500731392/1212839710439776287/1228062819442753536" TargetMode="External" Id="rId38" /><Relationship Type="http://schemas.openxmlformats.org/officeDocument/2006/relationships/hyperlink" Target="https://discord.com/channels/191975109500731392/1212839710439776287/1228136224481476619" TargetMode="External" Id="rId39" /><Relationship Type="http://schemas.openxmlformats.org/officeDocument/2006/relationships/hyperlink" Target="https://discord.com/channels/191975109500731392/1212839710439776287/1228345219498381332" TargetMode="External" Id="rId40" /><Relationship Type="http://schemas.openxmlformats.org/officeDocument/2006/relationships/hyperlink" Target="https://discord.com/channels/191975109500731392/1212839710439776287/1228344958021537935" TargetMode="External" Id="rId41" /><Relationship Type="http://schemas.openxmlformats.org/officeDocument/2006/relationships/hyperlink" Target="https://discord.com/channels/191975109500731392/1212839710439776287/1228347484514811944" TargetMode="External" Id="rId42" /><Relationship Type="http://schemas.openxmlformats.org/officeDocument/2006/relationships/hyperlink" Target="https://discord.com/channels/191975109500731392/1212839710439776287/1228430505586855986" TargetMode="External" Id="rId43" /><Relationship Type="http://schemas.openxmlformats.org/officeDocument/2006/relationships/hyperlink" Target="https://discord.com/channels/191975109500731392/1212839710439776287/1228468638919561368" TargetMode="External" Id="rId44" /><Relationship Type="http://schemas.openxmlformats.org/officeDocument/2006/relationships/hyperlink" Target="https://discord.com/channels/191975109500731392/1212839710439776287/1228469525444427928" TargetMode="External" Id="rId45" /><Relationship Type="http://schemas.openxmlformats.org/officeDocument/2006/relationships/hyperlink" Target="https://discord.com/channels/191975109500731392/1212839710439776287/1228801813075988570" TargetMode="External" Id="rId46" /><Relationship Type="http://schemas.openxmlformats.org/officeDocument/2006/relationships/hyperlink" Target="https://discord.com/channels/191975109500731392/1212839710439776287/1228802395853688862" TargetMode="External" Id="rId47" /><Relationship Type="http://schemas.openxmlformats.org/officeDocument/2006/relationships/hyperlink" Target="https://discord.com/channels/191975109500731392/1212839710439776287/1229103427703930890" TargetMode="External" Id="rId48" /><Relationship Type="http://schemas.openxmlformats.org/officeDocument/2006/relationships/hyperlink" Target="https://discord.com/channels/191975109500731392/1212839710439776287/1229103484364914739" TargetMode="External" Id="rId49" /><Relationship Type="http://schemas.openxmlformats.org/officeDocument/2006/relationships/hyperlink" Target="https://discord.com/channels/191975109500731392/1212839710439776287/1229192908729487370" TargetMode="External" Id="rId50" /><Relationship Type="http://schemas.openxmlformats.org/officeDocument/2006/relationships/hyperlink" Target="https://discord.com/channels/191975109500731392/1212839710439776287/1229192981668561006" TargetMode="External" Id="rId51" /><Relationship Type="http://schemas.openxmlformats.org/officeDocument/2006/relationships/hyperlink" Target="https://discord.com/channels/191975109500731392/1212839710439776287/1229392542655709196" TargetMode="External" Id="rId52" /><Relationship Type="http://schemas.openxmlformats.org/officeDocument/2006/relationships/hyperlink" Target="https://discord.com/channels/191975109500731392/1212839710439776287/1229392965240229969" TargetMode="External" Id="rId53" /><Relationship Type="http://schemas.openxmlformats.org/officeDocument/2006/relationships/hyperlink" Target="https://discord.com/channels/191975109500731392/1212839710439776287/1229461901029937252" TargetMode="External" Id="rId54" /><Relationship Type="http://schemas.openxmlformats.org/officeDocument/2006/relationships/hyperlink" Target="https://discord.com/channels/191975109500731392/1212839710439776287/1229470001149513834" TargetMode="External" Id="rId55" /><Relationship Type="http://schemas.openxmlformats.org/officeDocument/2006/relationships/hyperlink" Target="https://discord.com/channels/191975109500731392/1212839710439776287/1229470571776053288" TargetMode="External" Id="rId56" /><Relationship Type="http://schemas.openxmlformats.org/officeDocument/2006/relationships/hyperlink" Target="https://discord.com/channels/191975109500731392/1212839710439776287/1229542966687694889" TargetMode="External" Id="rId57" /><Relationship Type="http://schemas.openxmlformats.org/officeDocument/2006/relationships/hyperlink" Target="https://discord.com/channels/191975109500731392/1212839710439776287/1229542948002070650" TargetMode="External" Id="rId58" /><Relationship Type="http://schemas.openxmlformats.org/officeDocument/2006/relationships/hyperlink" Target="https://discord.com/channels/191975109500731392/1212839710439776287/1229807547913867346" TargetMode="External" Id="rId59" /><Relationship Type="http://schemas.openxmlformats.org/officeDocument/2006/relationships/hyperlink" Target="https://discord.com/channels/191975109500731392/1212839710439776287/1229821710853865522" TargetMode="External" Id="rId60" /><Relationship Type="http://schemas.openxmlformats.org/officeDocument/2006/relationships/hyperlink" Target="https://discord.com/channels/191975109500731392/1212839710439776287/1229822211351777280" TargetMode="External" Id="rId61" /><Relationship Type="http://schemas.openxmlformats.org/officeDocument/2006/relationships/hyperlink" Target="https://discord.com/channels/191975109500731392/1212839710439776287/1229827842142113844" TargetMode="External" Id="rId62" /><Relationship Type="http://schemas.openxmlformats.org/officeDocument/2006/relationships/hyperlink" Target="https://discord.com/channels/191975109500731392/1212839710439776287/1229852811357847642" TargetMode="External" Id="rId63" /><Relationship Type="http://schemas.openxmlformats.org/officeDocument/2006/relationships/hyperlink" Target="https://discord.com/channels/191975109500731392/1212839710439776287/1229852814314967051" TargetMode="External" Id="rId64" /><Relationship Type="http://schemas.openxmlformats.org/officeDocument/2006/relationships/hyperlink" Target="https://discord.com/channels/191975109500731392/1212839710439776287/1229873318379786290" TargetMode="External" Id="rId65" /><Relationship Type="http://schemas.openxmlformats.org/officeDocument/2006/relationships/hyperlink" Target="https://discord.com/channels/191975109500731392/1212839710439776287/1229873354853318666" TargetMode="External" Id="rId66" /><Relationship Type="http://schemas.openxmlformats.org/officeDocument/2006/relationships/hyperlink" Target="https://discord.com/channels/191975109500731392/1212839710439776287/1230169762168836138" TargetMode="External" Id="rId67" /><Relationship Type="http://schemas.openxmlformats.org/officeDocument/2006/relationships/hyperlink" Target="https://discord.com/channels/191975109500731392/1212839710439776287/1230185006010339328" TargetMode="External" Id="rId68" /><Relationship Type="http://schemas.openxmlformats.org/officeDocument/2006/relationships/hyperlink" Target="https://discord.com/channels/191975109500731392/1212839710439776287/1230480680220360766" TargetMode="External" Id="rId69" /><Relationship Type="http://schemas.openxmlformats.org/officeDocument/2006/relationships/hyperlink" Target="https://discord.com/channels/191975109500731392/1212839710439776287/1230522577647177865" TargetMode="External" Id="rId70" /><Relationship Type="http://schemas.openxmlformats.org/officeDocument/2006/relationships/hyperlink" Target="https://discord.com/channels/191975109500731392/1212839710439776287/1230522672501362758" TargetMode="External" Id="rId71" /><Relationship Type="http://schemas.openxmlformats.org/officeDocument/2006/relationships/hyperlink" Target="https://discord.com/channels/191975109500731392/1212839710439776287/1230530598372774022" TargetMode="External" Id="rId72" /><Relationship Type="http://schemas.openxmlformats.org/officeDocument/2006/relationships/hyperlink" Target="https://discord.com/channels/191975109500731392/1212839710439776287/1230531713101336597" TargetMode="External" Id="rId73" /><Relationship Type="http://schemas.openxmlformats.org/officeDocument/2006/relationships/hyperlink" Target="https://discord.com/channels/191975109500731392/1212839710439776287/1230577377948602469" TargetMode="External" Id="rId74" /><Relationship Type="http://schemas.openxmlformats.org/officeDocument/2006/relationships/hyperlink" Target="https://discord.com/channels/191975109500731392/1212839710439776287/1230624562161647667" TargetMode="External" Id="rId75" /><Relationship Type="http://schemas.openxmlformats.org/officeDocument/2006/relationships/hyperlink" Target="https://discord.com/channels/191975109500731392/1212839710439776287/1231261763463417937" TargetMode="External" Id="rId76" /><Relationship Type="http://schemas.openxmlformats.org/officeDocument/2006/relationships/hyperlink" Target="https://discord.com/channels/191975109500731392/1212839710439776287/1231322624374734868" TargetMode="External" Id="rId77" /><Relationship Type="http://schemas.openxmlformats.org/officeDocument/2006/relationships/hyperlink" Target="https://discord.com/channels/191975109500731392/1212839710439776287/1231927878027841556" TargetMode="External" Id="rId78" /><Relationship Type="http://schemas.openxmlformats.org/officeDocument/2006/relationships/hyperlink" Target="https://discord.com/channels/191975109500731392/1212839710439776287/1232004665718345811" TargetMode="External" Id="rId79" /><Relationship Type="http://schemas.openxmlformats.org/officeDocument/2006/relationships/hyperlink" Target="https://discord.com/channels/191975109500731392/1212839710439776287/1232072341144469605" TargetMode="External" Id="rId80" /><Relationship Type="http://schemas.openxmlformats.org/officeDocument/2006/relationships/hyperlink" Target="https://discord.com/channels/191975109500731392/1212839710439776287/1232072352674611282" TargetMode="External" Id="rId81" /><Relationship Type="http://schemas.openxmlformats.org/officeDocument/2006/relationships/hyperlink" Target="https://discord.com/channels/191975109500731392/1212839710439776287/1232088861924921344" TargetMode="External" Id="rId82" /><Relationship Type="http://schemas.openxmlformats.org/officeDocument/2006/relationships/hyperlink" Target="https://discord.com/channels/191975109500731392/1212839710439776287/1232426661799133226" TargetMode="External" Id="rId83" /><Relationship Type="http://schemas.openxmlformats.org/officeDocument/2006/relationships/hyperlink" Target="https://discord.com/channels/191975109500731392/1212839710439776287/1232433815545446420" TargetMode="External" Id="rId84" /><Relationship Type="http://schemas.openxmlformats.org/officeDocument/2006/relationships/hyperlink" Target="https://discord.com/channels/191975109500731392/1212839710439776287/1232433840409022596" TargetMode="External" Id="rId85" /><Relationship Type="http://schemas.openxmlformats.org/officeDocument/2006/relationships/hyperlink" Target="https://discord.com/channels/191975109500731392/1212839710439776287/1232662168802033725" TargetMode="External" Id="rId86" /><Relationship Type="http://schemas.openxmlformats.org/officeDocument/2006/relationships/hyperlink" Target="https://discord.com/channels/191975109500731392/1212839710439776287/1232662204344434801" TargetMode="External" Id="rId87" /><Relationship Type="http://schemas.openxmlformats.org/officeDocument/2006/relationships/hyperlink" Target="https://discord.com/channels/191975109500731392/1212839710439776287/1232857376789626940" TargetMode="External" Id="rId88" /><Relationship Type="http://schemas.openxmlformats.org/officeDocument/2006/relationships/hyperlink" Target="https://discord.com/channels/191975109500731392/1212839710439776287/1233108942478114886" TargetMode="External" Id="rId89" /><Relationship Type="http://schemas.openxmlformats.org/officeDocument/2006/relationships/hyperlink" Target="https://discord.com/channels/191975109500731392/1212839710439776287/1233113953610109009" TargetMode="External" Id="rId90" /><Relationship Type="http://schemas.openxmlformats.org/officeDocument/2006/relationships/hyperlink" Target="https://discord.com/channels/191975109500731392/1212839710439776287/1233136534924824637" TargetMode="External" Id="rId91" /><Relationship Type="http://schemas.openxmlformats.org/officeDocument/2006/relationships/hyperlink" Target="https://discord.com/channels/191975109500731392/1212839710439776287/1233174769319546920" TargetMode="External" Id="rId92" /><Relationship Type="http://schemas.openxmlformats.org/officeDocument/2006/relationships/hyperlink" Target="https://discord.com/channels/191975109500731392/1212839710439776287/1233433892590194730" TargetMode="External" Id="rId93" /><Relationship Type="http://schemas.openxmlformats.org/officeDocument/2006/relationships/hyperlink" Target="https://discord.com/channels/191975109500731392/1212839710439776287/1233462276095213598" TargetMode="External" Id="rId94" /><Relationship Type="http://schemas.openxmlformats.org/officeDocument/2006/relationships/hyperlink" Target="https://discord.com/channels/191975109500731392/1212839710439776287/1233507913855795381" TargetMode="External" Id="rId95" /><Relationship Type="http://schemas.openxmlformats.org/officeDocument/2006/relationships/hyperlink" Target="https://discord.com/channels/191975109500731392/1212839710439776287/1233508085201506315" TargetMode="External" Id="rId96" /><Relationship Type="http://schemas.openxmlformats.org/officeDocument/2006/relationships/hyperlink" Target="https://discord.com/channels/191975109500731392/1212839710439776287/1233508182685651124" TargetMode="External" Id="rId97" /><Relationship Type="http://schemas.openxmlformats.org/officeDocument/2006/relationships/hyperlink" Target="https://discord.com/channels/191975109500731392/1212839710439776287/1233508186200473720" TargetMode="External" Id="rId98" /><Relationship Type="http://schemas.openxmlformats.org/officeDocument/2006/relationships/hyperlink" Target="https://discord.com/channels/191975109500731392/1212839710439776287/1233575499121295400" TargetMode="External" Id="rId99" /><Relationship Type="http://schemas.openxmlformats.org/officeDocument/2006/relationships/hyperlink" Target="https://discord.com/channels/191975109500731392/1212839710439776287/1233575341268664391" TargetMode="External" Id="rId100" /><Relationship Type="http://schemas.openxmlformats.org/officeDocument/2006/relationships/hyperlink" Target="https://discord.com/channels/191975109500731392/1212839710439776287/1233870071068229753" TargetMode="External" Id="rId101" /><Relationship Type="http://schemas.openxmlformats.org/officeDocument/2006/relationships/hyperlink" Target="https://discord.com/channels/191975109500731392/1212839710439776287/1233913372622192652" TargetMode="External" Id="rId102" /><Relationship Type="http://schemas.openxmlformats.org/officeDocument/2006/relationships/hyperlink" Target="https://discord.com/channels/191975109500731392/1212839710439776287/1234649979440857179" TargetMode="External" Id="rId103" /><Relationship Type="http://schemas.openxmlformats.org/officeDocument/2006/relationships/drawing" Target="/xl/drawings/drawing9.xml" Id="rId104" /><Relationship Type="http://schemas.openxmlformats.org/officeDocument/2006/relationships/pivotTable" Target="/xl/pivotTables/pivotTable9.xml" Id="rId105" /></Relationships>
</file>

<file path=xl/worksheets/_rels/sheet10.xml.rels><Relationships xmlns="http://schemas.openxmlformats.org/package/2006/relationships"><Relationship Type="http://schemas.openxmlformats.org/officeDocument/2006/relationships/hyperlink" Target="https://discord.com/channels/191975109500731392/1212839710439776287/1212845263862108160" TargetMode="External" Id="rId1" /><Relationship Type="http://schemas.openxmlformats.org/officeDocument/2006/relationships/hyperlink" Target="https://discord.com/channels/191975109500731392/1212839710439776287/1212845397924646943" TargetMode="External" Id="rId2" /><Relationship Type="http://schemas.openxmlformats.org/officeDocument/2006/relationships/hyperlink" Target="https://discord.com/channels/191975109500731392/1212839710439776287/1212879934528421971" TargetMode="External" Id="rId3" /><Relationship Type="http://schemas.openxmlformats.org/officeDocument/2006/relationships/hyperlink" Target="https://discord.com/channels/191975109500731392/1212839710439776287/1213187873935728680" TargetMode="External" Id="rId4" /><Relationship Type="http://schemas.openxmlformats.org/officeDocument/2006/relationships/hyperlink" Target="https://discord.com/channels/191975109500731392/1212839710439776287/1213194839336816710" TargetMode="External" Id="rId5" /><Relationship Type="http://schemas.openxmlformats.org/officeDocument/2006/relationships/hyperlink" Target="https://discord.com/channels/191975109500731392/1212839710439776287/1214299533304135760" TargetMode="External" Id="rId6" /><Relationship Type="http://schemas.openxmlformats.org/officeDocument/2006/relationships/hyperlink" Target="https://discord.com/channels/191975109500731392/1212839710439776287/1214328987526897704" TargetMode="External" Id="rId7" /><Relationship Type="http://schemas.openxmlformats.org/officeDocument/2006/relationships/hyperlink" Target="https://discord.com/channels/191975109500731392/1212839710439776287/1214963667682992178" TargetMode="External" Id="rId8" /><Relationship Type="http://schemas.openxmlformats.org/officeDocument/2006/relationships/hyperlink" Target="https://discord.com/channels/191975109500731392/1212839710439776287/1214964509249241108" TargetMode="External" Id="rId9" /><Relationship Type="http://schemas.openxmlformats.org/officeDocument/2006/relationships/hyperlink" Target="https://discord.com/channels/191975109500731392/1212839710439776287/1215015942325665893" TargetMode="External" Id="rId10" /><Relationship Type="http://schemas.openxmlformats.org/officeDocument/2006/relationships/hyperlink" Target="https://discord.com/channels/191975109500731392/1212839710439776287/1215050831033012354" TargetMode="External" Id="rId11" /><Relationship Type="http://schemas.openxmlformats.org/officeDocument/2006/relationships/hyperlink" Target="https://discord.com/channels/191975109500731392/1212839710439776287/1215326037072678973" TargetMode="External" Id="rId12" /><Relationship Type="http://schemas.openxmlformats.org/officeDocument/2006/relationships/hyperlink" Target="https://discord.com/channels/191975109500731392/1212839710439776287/1215363180306636860" TargetMode="External" Id="rId13" /><Relationship Type="http://schemas.openxmlformats.org/officeDocument/2006/relationships/hyperlink" Target="https://discord.com/channels/191975109500731392/1212839710439776287/1215371451373199452" TargetMode="External" Id="rId14" /><Relationship Type="http://schemas.openxmlformats.org/officeDocument/2006/relationships/hyperlink" Target="https://discord.com/channels/191975109500731392/1212839710439776287/1215409481089945600" TargetMode="External" Id="rId15" /><Relationship Type="http://schemas.openxmlformats.org/officeDocument/2006/relationships/hyperlink" Target="https://discord.com/channels/191975109500731392/1212839710439776287/1215409500413104139" TargetMode="External" Id="rId16" /><Relationship Type="http://schemas.openxmlformats.org/officeDocument/2006/relationships/hyperlink" Target="https://discord.com/channels/191975109500731392/1212839710439776287/1215736616535064616" TargetMode="External" Id="rId17" /><Relationship Type="http://schemas.openxmlformats.org/officeDocument/2006/relationships/hyperlink" Target="https://discord.com/channels/191975109500731392/1212839710439776287/1217278694968524851" TargetMode="External" Id="rId18" /><Relationship Type="http://schemas.openxmlformats.org/officeDocument/2006/relationships/hyperlink" Target="https://discord.com/channels/191975109500731392/1212839710439776287/1217278712123494532" TargetMode="External" Id="rId19" /><Relationship Type="http://schemas.openxmlformats.org/officeDocument/2006/relationships/hyperlink" Target="https://discord.com/channels/191975109500731392/1212839710439776287/1217278716401422427" TargetMode="External" Id="rId20" /><Relationship Type="http://schemas.openxmlformats.org/officeDocument/2006/relationships/hyperlink" Target="https://discord.com/channels/191975109500731392/1212839710439776287/1217278716401422427" TargetMode="External" Id="rId21" /><Relationship Type="http://schemas.openxmlformats.org/officeDocument/2006/relationships/drawing" Target="/xl/drawings/drawing10.xml" Id="rId22" /><Relationship Type="http://schemas.openxmlformats.org/officeDocument/2006/relationships/pivotTable" Target="/xl/pivotTables/pivotTable10.xml" Id="rId23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Z485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A2" activeCellId="0" sqref="A2"/>
    </sheetView>
  </sheetViews>
  <sheetFormatPr baseColWidth="8" defaultColWidth="12.54296875" defaultRowHeight="15" customHeight="1" zeroHeight="0" outlineLevelRow="0" outlineLevelCol="0"/>
  <cols>
    <col width="7.45" customWidth="1" style="172" min="1" max="1"/>
    <col width="6.54" customWidth="1" style="173" min="2" max="2"/>
    <col width="13.18" customWidth="1" style="174" min="3" max="3"/>
    <col width="8.539999999999999" customWidth="1" style="173" min="4" max="4"/>
    <col width="2.27" customWidth="1" style="173" min="5" max="5"/>
    <col width="8.539999999999999" customWidth="1" style="173" min="6" max="6"/>
    <col width="7.27" customWidth="1" style="173" min="10" max="11"/>
    <col width="5.45" customWidth="1" style="173" min="12" max="12"/>
    <col width="9.73" customWidth="1" style="173" min="13" max="13"/>
    <col width="12.27" customWidth="1" style="173" min="14" max="14"/>
    <col width="7.18" customWidth="1" style="173" min="15" max="15"/>
    <col width="8.449999999999999" customWidth="1" style="173" min="16" max="16"/>
    <col width="11.18" customWidth="1" style="173" min="17" max="17"/>
    <col width="13.27" customWidth="1" style="173" min="18" max="18"/>
    <col width="7.45" customWidth="1" style="173" min="19" max="19"/>
    <col width="13.54" customWidth="1" style="173" min="20" max="20"/>
    <col width="6.27" customWidth="1" style="173" min="21" max="21"/>
    <col width="4.54" customWidth="1" style="173" min="22" max="22"/>
    <col width="5.18" customWidth="1" style="173" min="23" max="23"/>
    <col width="8.449999999999999" customWidth="1" style="173" min="24" max="24"/>
    <col width="8" customWidth="1" style="173" min="25" max="25"/>
    <col width="5.27" customWidth="1" style="173" min="26" max="26"/>
    <col width="8.18" customWidth="1" style="173" min="27" max="27"/>
    <col width="4.54" customWidth="1" style="173" min="28" max="28"/>
    <col width="6.18" customWidth="1" style="173" min="29" max="29"/>
    <col width="6.73" customWidth="1" style="173" min="30" max="30"/>
    <col width="7.27" customWidth="1" style="173" min="31" max="31"/>
    <col width="7.73" customWidth="1" style="173" min="32" max="32"/>
    <col width="5.82" customWidth="1" style="173" min="33" max="33"/>
    <col width="7.45" customWidth="1" style="173" min="34" max="34"/>
    <col width="6.27" customWidth="1" style="173" min="35" max="35"/>
    <col width="5.45" customWidth="1" style="173" min="36" max="36"/>
    <col width="11.27" customWidth="1" style="173" min="37" max="38"/>
    <col width="6.54" customWidth="1" style="173" min="39" max="39"/>
    <col width="8.539999999999999" customWidth="1" style="173" min="40" max="40"/>
    <col width="21.18" customWidth="1" style="173" min="41" max="41"/>
    <col width="8.449999999999999" customWidth="1" style="173" min="43" max="44"/>
    <col width="7.18" customWidth="1" style="173" min="45" max="45"/>
    <col width="9.27" customWidth="1" style="173" min="46" max="46"/>
    <col width="13.82" customWidth="1" style="173" min="47" max="47"/>
    <col width="7.54" customWidth="1" style="173" min="48" max="48"/>
    <col width="8.18" customWidth="1" style="173" min="49" max="49"/>
    <col width="10.73" customWidth="1" style="173" min="50" max="50"/>
    <col width="12" customWidth="1" style="173" min="51" max="51"/>
    <col width="8.18" customWidth="1" style="173" min="52" max="52"/>
    <col width="8.539999999999999" customWidth="1" style="173" min="53" max="53"/>
  </cols>
  <sheetData>
    <row r="1" ht="14.25" customHeight="1" s="175">
      <c r="A1" s="176" t="inlineStr">
        <is>
          <t>Sniper</t>
        </is>
      </c>
      <c r="B1" s="177" t="inlineStr">
        <is>
          <t>Points</t>
        </is>
      </c>
      <c r="C1" s="178" t="inlineStr">
        <is>
          <t>Snipee</t>
        </is>
      </c>
      <c r="D1" s="173" t="inlineStr">
        <is>
          <t>Link:</t>
        </is>
      </c>
      <c r="I1" s="179" t="inlineStr">
        <is>
          <t>Data by Person:</t>
        </is>
      </c>
      <c r="J1" s="180" t="n"/>
      <c r="K1" s="180" t="n"/>
      <c r="L1" s="180" t="n"/>
      <c r="M1" s="180" t="n"/>
      <c r="N1" s="180" t="n"/>
      <c r="O1" s="180" t="n"/>
      <c r="P1" s="180" t="n"/>
      <c r="Q1" s="180" t="n"/>
      <c r="R1" s="181" t="n"/>
      <c r="S1" s="182" t="n"/>
      <c r="T1" s="183" t="inlineStr">
        <is>
          <t>Kill and Death Points Pivot Table (kill points at right, death points at bottom)</t>
        </is>
      </c>
      <c r="AM1" s="184" t="n"/>
      <c r="AR1" s="179" t="inlineStr">
        <is>
          <t>Ties?</t>
        </is>
      </c>
      <c r="AS1" s="185" t="inlineStr">
        <is>
          <t>Name</t>
        </is>
      </c>
      <c r="AT1" s="186" t="inlineStr">
        <is>
          <t>Value</t>
        </is>
      </c>
      <c r="AU1" s="187" t="inlineStr">
        <is>
          <t>Various Stats:</t>
        </is>
      </c>
      <c r="AV1" s="188" t="inlineStr">
        <is>
          <t>Value</t>
        </is>
      </c>
      <c r="AW1" s="185" t="inlineStr">
        <is>
          <t>Part</t>
        </is>
      </c>
      <c r="AX1" s="179" t="inlineStr">
        <is>
          <t>Ties?</t>
        </is>
      </c>
    </row>
    <row r="2" ht="14.25" customHeight="1" s="175">
      <c r="A2" s="189" t="n"/>
      <c r="B2" s="190" t="n"/>
      <c r="C2" s="191" t="n"/>
      <c r="D2" s="192" t="n"/>
      <c r="E2" s="173" t="n"/>
      <c r="F2" s="207" t="n"/>
      <c r="I2" s="208" t="inlineStr">
        <is>
          <t>Carter</t>
        </is>
      </c>
      <c r="J2" s="209">
        <f>COUNTIF($A:$A,I3)</f>
        <v/>
      </c>
      <c r="K2" s="209">
        <f>COUNTIF($C:$C,I3)</f>
        <v/>
      </c>
      <c r="L2" s="210">
        <f>IF(K3,J3/K3,J3)</f>
        <v/>
      </c>
      <c r="M2" s="209">
        <f>IFERROR(GETPIVOTDATA("Points",$T$2,"Sniper",I3),0)</f>
        <v/>
      </c>
      <c r="N2" s="209">
        <f>IFERROR(GETPIVOTDATA("Points",$T$2,"Snipee",I3),0)</f>
        <v/>
      </c>
      <c r="O2" s="210">
        <f>IF(N3,M3/N3,M3)</f>
        <v/>
      </c>
      <c r="P2" s="210">
        <f>IF(J3,M3/J3,0)</f>
        <v/>
      </c>
      <c r="Q2" s="210">
        <f>IF(K3,N3/K3,0)</f>
        <v/>
      </c>
      <c r="R2" s="211">
        <f>IFERROR(VLOOKUP(I3,T:AM,20,FALSE())/15,0)</f>
        <v/>
      </c>
      <c r="S2" s="182" t="n"/>
      <c r="T2" s="212" t="inlineStr">
        <is>
          <t>Sniper</t>
        </is>
      </c>
      <c r="U2" s="213" t="inlineStr">
        <is>
          <t>Alumni</t>
        </is>
      </c>
      <c r="V2" s="213" t="inlineStr">
        <is>
          <t>Anthony</t>
        </is>
      </c>
      <c r="W2" s="213" t="inlineStr">
        <is>
          <t>Carter</t>
        </is>
      </c>
      <c r="X2" s="213" t="inlineStr">
        <is>
          <t>Cooper</t>
        </is>
      </c>
      <c r="Y2" s="213" t="inlineStr">
        <is>
          <t>Erick</t>
        </is>
      </c>
      <c r="Z2" s="213" t="inlineStr">
        <is>
          <t>Ethan</t>
        </is>
      </c>
      <c r="AA2" s="213" t="inlineStr">
        <is>
          <t>Evan</t>
        </is>
      </c>
      <c r="AB2" s="213" t="inlineStr">
        <is>
          <t>Grady</t>
        </is>
      </c>
      <c r="AC2" s="213" t="inlineStr">
        <is>
          <t>Lucy</t>
        </is>
      </c>
      <c r="AD2" s="213" t="inlineStr">
        <is>
          <t>Maxine</t>
        </is>
      </c>
      <c r="AE2" s="213" t="inlineStr">
        <is>
          <t>Mikey</t>
        </is>
      </c>
      <c r="AF2" s="213" t="inlineStr">
        <is>
          <t>Peter</t>
        </is>
      </c>
      <c r="AG2" s="213" t="inlineStr">
        <is>
          <t>Reuben</t>
        </is>
      </c>
      <c r="AH2" s="213" t="inlineStr">
        <is>
          <t>Rob</t>
        </is>
      </c>
      <c r="AI2" s="213" t="inlineStr">
        <is>
          <t>Vignesh</t>
        </is>
      </c>
      <c r="AJ2" s="213" t="inlineStr">
        <is>
          <t>Will</t>
        </is>
      </c>
      <c r="AK2" s="214" t="inlineStr">
        <is>
          <t>Total Result</t>
        </is>
      </c>
      <c r="AM2" s="202" t="inlineStr">
        <is>
          <t>Kills</t>
        </is>
      </c>
      <c r="AR2" s="203" t="n"/>
      <c r="AS2" s="203" t="n"/>
      <c r="AT2" s="215">
        <f>IFERROR(GETPIVOTDATA("Points",T2),0)</f>
        <v/>
      </c>
      <c r="AU2" s="216" t="inlineStr">
        <is>
          <t>Total Points</t>
        </is>
      </c>
      <c r="AV2" s="215">
        <f>IFERROR(GETPIVOTDATA("Points",T2),0)</f>
        <v/>
      </c>
      <c r="AW2" s="203" t="n"/>
      <c r="AX2" s="203" t="n"/>
    </row>
    <row r="3" ht="14.25" customHeight="1" s="175">
      <c r="A3" s="189" t="n"/>
      <c r="B3" s="190" t="n"/>
      <c r="C3" s="191" t="n"/>
      <c r="D3" s="192" t="n"/>
      <c r="E3" s="173" t="n"/>
      <c r="F3" s="207" t="n"/>
      <c r="G3" s="173" t="n"/>
      <c r="I3" s="208" t="inlineStr">
        <is>
          <t>Grady</t>
        </is>
      </c>
      <c r="J3" s="209">
        <f>COUNTIF($A:$A,I4)</f>
        <v/>
      </c>
      <c r="K3" s="209">
        <f>COUNTIF($C:$C,I4)</f>
        <v/>
      </c>
      <c r="L3" s="210">
        <f>IF(K4,J4/K4,J4)</f>
        <v/>
      </c>
      <c r="M3" s="209">
        <f>IFERROR(GETPIVOTDATA("Points",$T$2,"Sniper",I4),0)</f>
        <v/>
      </c>
      <c r="N3" s="209">
        <f>IFERROR(GETPIVOTDATA("Points",$T$2,"Snipee",I4),0)</f>
        <v/>
      </c>
      <c r="O3" s="210">
        <f>IF(N4,M4/N4,M4)</f>
        <v/>
      </c>
      <c r="P3" s="210">
        <f>IF(J4,M4/J4,0)</f>
        <v/>
      </c>
      <c r="Q3" s="210">
        <f>IF(K4,N4/K4,0)</f>
        <v/>
      </c>
      <c r="R3" s="211">
        <f>IFERROR(VLOOKUP(I4,T:AM,20,FALSE())/15,0)</f>
        <v/>
      </c>
      <c r="S3" s="182" t="n"/>
      <c r="T3" s="217" t="inlineStr">
        <is>
          <t>Anthony</t>
        </is>
      </c>
      <c r="U3" s="218" t="n">
        <v>5</v>
      </c>
      <c r="V3" s="218" t="n"/>
      <c r="W3" s="218" t="n">
        <v>1</v>
      </c>
      <c r="X3" s="218" t="n">
        <v>6</v>
      </c>
      <c r="Y3" s="218" t="n"/>
      <c r="Z3" s="218" t="n">
        <v>2</v>
      </c>
      <c r="AA3" s="218" t="n">
        <v>12</v>
      </c>
      <c r="AB3" s="218" t="n"/>
      <c r="AC3" s="218" t="n">
        <v>3</v>
      </c>
      <c r="AD3" s="218" t="n">
        <v>1</v>
      </c>
      <c r="AE3" s="218" t="n">
        <v>4</v>
      </c>
      <c r="AF3" s="218" t="n">
        <v>4</v>
      </c>
      <c r="AG3" s="218" t="n"/>
      <c r="AH3" s="218" t="n"/>
      <c r="AI3" s="218" t="n">
        <v>2</v>
      </c>
      <c r="AJ3" s="218" t="n"/>
      <c r="AK3" s="219" t="n">
        <v>40</v>
      </c>
      <c r="AM3" s="202">
        <f>IF(COUNT(U4:AL4)&lt;&gt;0,COUNT(U4:AL4)-1,"")</f>
        <v/>
      </c>
      <c r="AR3" s="220">
        <f>COUNTIF(J3:J17,AT4)</f>
        <v/>
      </c>
      <c r="AS3" s="221">
        <f>$I$29</f>
        <v/>
      </c>
      <c r="AT3" s="215">
        <f>MAX(J3:J18)</f>
        <v/>
      </c>
      <c r="AU3" s="216" t="inlineStr">
        <is>
          <t>Most Kills</t>
        </is>
      </c>
      <c r="AV3" s="222">
        <f>MAX(J22:J25)</f>
        <v/>
      </c>
      <c r="AW3" s="223">
        <f>$I$86</f>
        <v/>
      </c>
      <c r="AX3" s="220">
        <f>COUNTIF(J22:J25,AV4)</f>
        <v/>
      </c>
    </row>
    <row r="4" ht="16.15" customHeight="1" s="175">
      <c r="A4" s="189" t="n"/>
      <c r="B4" s="190" t="n"/>
      <c r="C4" s="191" t="n"/>
      <c r="D4" s="192" t="n"/>
      <c r="F4" s="207" t="n"/>
      <c r="G4" s="173" t="n"/>
      <c r="I4" s="208" t="inlineStr">
        <is>
          <t>Lucy</t>
        </is>
      </c>
      <c r="J4" s="209">
        <f>COUNTIF($A:$A,I5)</f>
        <v/>
      </c>
      <c r="K4" s="209">
        <f>COUNTIF($C:$C,I5)</f>
        <v/>
      </c>
      <c r="L4" s="210">
        <f>IF(K5,J5/K5,J5)</f>
        <v/>
      </c>
      <c r="M4" s="209">
        <f>IFERROR(GETPIVOTDATA("Points",$T$2,"Sniper",I5),0)</f>
        <v/>
      </c>
      <c r="N4" s="209">
        <f>IFERROR(GETPIVOTDATA("Points",$T$2,"Snipee",I5),0)</f>
        <v/>
      </c>
      <c r="O4" s="210">
        <f>IF(N5,M5/N5,M5)</f>
        <v/>
      </c>
      <c r="P4" s="210">
        <f>IF(J5,M5/J5,0)</f>
        <v/>
      </c>
      <c r="Q4" s="210">
        <f>IF(K5,N5/K5,0)</f>
        <v/>
      </c>
      <c r="R4" s="211">
        <f>IFERROR(VLOOKUP(I5,T:AM,20,FALSE())/15,0)</f>
        <v/>
      </c>
      <c r="S4" s="182" t="n"/>
      <c r="T4" s="217" t="inlineStr">
        <is>
          <t>Carter</t>
        </is>
      </c>
      <c r="U4" s="218" t="n">
        <v>5</v>
      </c>
      <c r="V4" s="218" t="n">
        <v>1</v>
      </c>
      <c r="W4" s="218" t="n"/>
      <c r="X4" s="218" t="n"/>
      <c r="Y4" s="218" t="n"/>
      <c r="Z4" s="218" t="n"/>
      <c r="AA4" s="218" t="n">
        <v>3</v>
      </c>
      <c r="AB4" s="218" t="n"/>
      <c r="AC4" s="218" t="n">
        <v>3</v>
      </c>
      <c r="AD4" s="218" t="n">
        <v>2</v>
      </c>
      <c r="AE4" s="218" t="n">
        <v>4</v>
      </c>
      <c r="AF4" s="218" t="n"/>
      <c r="AG4" s="218" t="n"/>
      <c r="AH4" s="218" t="n">
        <v>12</v>
      </c>
      <c r="AI4" s="218" t="n">
        <v>9</v>
      </c>
      <c r="AJ4" s="218" t="n">
        <v>4</v>
      </c>
      <c r="AK4" s="219" t="n">
        <v>43</v>
      </c>
      <c r="AM4" s="202">
        <f>IF(COUNT(U5:AL5)&lt;&gt;0,COUNT(U5:AL5)-1,"")</f>
        <v/>
      </c>
      <c r="AR4" s="220">
        <f>COUNTIF(K3:K17,AT5)</f>
        <v/>
      </c>
      <c r="AS4" s="221">
        <f>$I$47</f>
        <v/>
      </c>
      <c r="AT4" s="215">
        <f>MAX(J47:J62)</f>
        <v/>
      </c>
      <c r="AU4" s="216" t="inlineStr">
        <is>
          <t>Most Deaths</t>
        </is>
      </c>
      <c r="AV4" s="222">
        <f>MAX(K22:K25)</f>
        <v/>
      </c>
      <c r="AW4" s="224">
        <f>$I$97</f>
        <v/>
      </c>
      <c r="AX4" s="220">
        <f>COUNTIF(K22:K25,AV5)</f>
        <v/>
      </c>
    </row>
    <row r="5" ht="16.15" customHeight="1" s="175">
      <c r="A5" s="189" t="n"/>
      <c r="B5" s="190" t="n"/>
      <c r="C5" s="191" t="n"/>
      <c r="D5" s="192" t="n"/>
      <c r="F5" s="207" t="n"/>
      <c r="G5" s="173" t="n"/>
      <c r="I5" s="208" t="inlineStr">
        <is>
          <t>Vignesh</t>
        </is>
      </c>
      <c r="J5" s="209">
        <f>COUNTIF($A:$A,I6)</f>
        <v/>
      </c>
      <c r="K5" s="209">
        <f>COUNTIF($C:$C,I6)</f>
        <v/>
      </c>
      <c r="L5" s="210">
        <f>IF(K6,J6/K6,J6)</f>
        <v/>
      </c>
      <c r="M5" s="209">
        <f>IFERROR(GETPIVOTDATA("Points",$T$2,"Sniper",I6),0)</f>
        <v/>
      </c>
      <c r="N5" s="209">
        <f>IFERROR(GETPIVOTDATA("Points",$T$2,"Snipee",I6),0)</f>
        <v/>
      </c>
      <c r="O5" s="210">
        <f>IF(N6,M6/N6,M6)</f>
        <v/>
      </c>
      <c r="P5" s="210">
        <f>IF(J6,M6/J6,0)</f>
        <v/>
      </c>
      <c r="Q5" s="210">
        <f>IF(K6,N6/K6,0)</f>
        <v/>
      </c>
      <c r="R5" s="211">
        <f>IFERROR(VLOOKUP(I6,T:AM,20,FALSE())/15,0)</f>
        <v/>
      </c>
      <c r="S5" s="182" t="n"/>
      <c r="T5" s="217" t="inlineStr">
        <is>
          <t>Cooper</t>
        </is>
      </c>
      <c r="U5" s="218" t="n"/>
      <c r="V5" s="218" t="n"/>
      <c r="W5" s="218" t="n"/>
      <c r="X5" s="218" t="n"/>
      <c r="Y5" s="218" t="n"/>
      <c r="Z5" s="218" t="n"/>
      <c r="AA5" s="218" t="n"/>
      <c r="AB5" s="218" t="n"/>
      <c r="AC5" s="218" t="n"/>
      <c r="AD5" s="218" t="n"/>
      <c r="AE5" s="218" t="n">
        <v>2</v>
      </c>
      <c r="AF5" s="218" t="n"/>
      <c r="AG5" s="218" t="n"/>
      <c r="AH5" s="218" t="n"/>
      <c r="AI5" s="218" t="n"/>
      <c r="AJ5" s="218" t="n"/>
      <c r="AK5" s="219" t="n">
        <v>2</v>
      </c>
      <c r="AM5" s="202">
        <f>IF(COUNT(U6:AL6)&lt;&gt;0,COUNT(U6:AL6)-1,"")</f>
        <v/>
      </c>
      <c r="AR5" s="220">
        <f>COUNTIF(M3:M17,AT6)</f>
        <v/>
      </c>
      <c r="AS5" s="221">
        <f>$S$29</f>
        <v/>
      </c>
      <c r="AT5" s="215">
        <f>MAX(T29:T44)</f>
        <v/>
      </c>
      <c r="AU5" s="216" t="inlineStr">
        <is>
          <t>Most Kill Pts</t>
        </is>
      </c>
      <c r="AV5" s="222">
        <f>MAX(M22:M25)</f>
        <v/>
      </c>
      <c r="AW5" s="224">
        <f>$S$86</f>
        <v/>
      </c>
      <c r="AX5" s="220">
        <f>COUNTIF(M22:M25,AV6)</f>
        <v/>
      </c>
    </row>
    <row r="6" ht="16.15" customHeight="1" s="175">
      <c r="A6" s="189" t="n"/>
      <c r="B6" s="190" t="n"/>
      <c r="C6" s="191" t="n"/>
      <c r="D6" s="192" t="n"/>
      <c r="F6" s="207" t="n"/>
      <c r="G6" s="173" t="n"/>
      <c r="I6" s="208" t="inlineStr">
        <is>
          <t>Cooper</t>
        </is>
      </c>
      <c r="J6" s="209">
        <f>COUNTIF($A:$A,I7)</f>
        <v/>
      </c>
      <c r="K6" s="209">
        <f>COUNTIF($C:$C,I7)</f>
        <v/>
      </c>
      <c r="L6" s="210">
        <f>IF(K7,J7/K7,J7)</f>
        <v/>
      </c>
      <c r="M6" s="209">
        <f>IFERROR(GETPIVOTDATA("Points",$T$2,"Sniper",I7),0)</f>
        <v/>
      </c>
      <c r="N6" s="209">
        <f>IFERROR(GETPIVOTDATA("Points",$T$2,"Snipee",I7),0)</f>
        <v/>
      </c>
      <c r="O6" s="210">
        <f>IF(N7,M7/N7,M7)</f>
        <v/>
      </c>
      <c r="P6" s="210">
        <f>IF(J7,M7/J7,0)</f>
        <v/>
      </c>
      <c r="Q6" s="210">
        <f>IF(K7,N7/K7,0)</f>
        <v/>
      </c>
      <c r="R6" s="211">
        <f>IFERROR(VLOOKUP(I7,T:AM,20,FALSE())/15,0)</f>
        <v/>
      </c>
      <c r="S6" s="182" t="n"/>
      <c r="T6" s="217" t="inlineStr">
        <is>
          <t>Ethan</t>
        </is>
      </c>
      <c r="U6" s="218" t="n"/>
      <c r="V6" s="218" t="n">
        <v>5</v>
      </c>
      <c r="W6" s="218" t="n"/>
      <c r="X6" s="218" t="n">
        <v>2</v>
      </c>
      <c r="Y6" s="218" t="n"/>
      <c r="Z6" s="218" t="n"/>
      <c r="AA6" s="218" t="n">
        <v>2</v>
      </c>
      <c r="AB6" s="218" t="n"/>
      <c r="AC6" s="218" t="n">
        <v>8</v>
      </c>
      <c r="AD6" s="218" t="n"/>
      <c r="AE6" s="218" t="n">
        <v>9</v>
      </c>
      <c r="AF6" s="218" t="n"/>
      <c r="AG6" s="218" t="n">
        <v>7</v>
      </c>
      <c r="AH6" s="218" t="n">
        <v>6</v>
      </c>
      <c r="AI6" s="218" t="n"/>
      <c r="AJ6" s="218" t="n">
        <v>5</v>
      </c>
      <c r="AK6" s="219" t="n">
        <v>44</v>
      </c>
      <c r="AM6" s="202">
        <f>IF(COUNT(U7:AL7)&lt;&gt;0,COUNT(U7:AL7)-1,"")</f>
        <v/>
      </c>
      <c r="AR6" s="220">
        <f>COUNTIF(N3:N17,AT7)</f>
        <v/>
      </c>
      <c r="AS6" s="221">
        <f>$S$47</f>
        <v/>
      </c>
      <c r="AT6" s="215">
        <f>MAX(T47:T62)</f>
        <v/>
      </c>
      <c r="AU6" s="216" t="inlineStr">
        <is>
          <t>Most Death Pts</t>
        </is>
      </c>
      <c r="AV6" s="222">
        <f>MAX(N22:N25)</f>
        <v/>
      </c>
      <c r="AW6" s="224">
        <f>$S$97</f>
        <v/>
      </c>
      <c r="AX6" s="220">
        <f>COUNTIF(N22:N25,AV7)</f>
        <v/>
      </c>
    </row>
    <row r="7" ht="16.15" customHeight="1" s="175">
      <c r="A7" s="189" t="n"/>
      <c r="B7" s="190" t="n"/>
      <c r="C7" s="191" t="n"/>
      <c r="D7" s="192" t="n"/>
      <c r="F7" s="207" t="n"/>
      <c r="G7" s="173" t="n"/>
      <c r="I7" s="208" t="inlineStr">
        <is>
          <t>Evan</t>
        </is>
      </c>
      <c r="J7" s="209">
        <f>COUNTIF($A:$A,I8)</f>
        <v/>
      </c>
      <c r="K7" s="209">
        <f>COUNTIF($C:$C,I8)</f>
        <v/>
      </c>
      <c r="L7" s="210">
        <f>IF(K8,J8/K8,J8)</f>
        <v/>
      </c>
      <c r="M7" s="209">
        <f>IFERROR(GETPIVOTDATA("Points",$T$2,"Sniper",I8),0)</f>
        <v/>
      </c>
      <c r="N7" s="209">
        <f>IFERROR(GETPIVOTDATA("Points",$T$2,"Snipee",I8),0)</f>
        <v/>
      </c>
      <c r="O7" s="210">
        <f>IF(N8,M8/N8,M8)</f>
        <v/>
      </c>
      <c r="P7" s="210">
        <f>IF(J8,M8/J8,0)</f>
        <v/>
      </c>
      <c r="Q7" s="210">
        <f>IF(K8,N8/K8,0)</f>
        <v/>
      </c>
      <c r="R7" s="211">
        <f>IFERROR(VLOOKUP(I8,T:AM,20,FALSE())/15,0)</f>
        <v/>
      </c>
      <c r="S7" s="182" t="n"/>
      <c r="T7" s="217" t="inlineStr">
        <is>
          <t>Evan</t>
        </is>
      </c>
      <c r="U7" s="218" t="n"/>
      <c r="V7" s="218" t="n">
        <v>13</v>
      </c>
      <c r="W7" s="218" t="n">
        <v>1</v>
      </c>
      <c r="X7" s="218" t="n"/>
      <c r="Y7" s="218" t="n"/>
      <c r="Z7" s="218" t="n"/>
      <c r="AA7" s="218" t="n"/>
      <c r="AB7" s="218" t="n"/>
      <c r="AC7" s="218" t="n">
        <v>2</v>
      </c>
      <c r="AD7" s="218" t="n"/>
      <c r="AE7" s="218" t="n">
        <v>6</v>
      </c>
      <c r="AF7" s="218" t="n">
        <v>3</v>
      </c>
      <c r="AG7" s="218" t="n">
        <v>7</v>
      </c>
      <c r="AH7" s="218" t="n">
        <v>1</v>
      </c>
      <c r="AI7" s="218" t="n">
        <v>2</v>
      </c>
      <c r="AJ7" s="218" t="n">
        <v>2</v>
      </c>
      <c r="AK7" s="219" t="n">
        <v>37</v>
      </c>
      <c r="AM7" s="202">
        <f>IF(COUNT(U8:AL8)&lt;&gt;0,COUNT(U8:AL8)-1,"")</f>
        <v/>
      </c>
      <c r="AR7" s="220">
        <f>COUNTIF(L3:L17,AT8)</f>
        <v/>
      </c>
      <c r="AS7" s="225">
        <f>$I$65</f>
        <v/>
      </c>
      <c r="AT7" s="222">
        <f>MAX(L3:L17)</f>
        <v/>
      </c>
      <c r="AU7" s="216" t="inlineStr">
        <is>
          <t>Best KDR</t>
        </is>
      </c>
      <c r="AV7" s="222">
        <f>MAX(L22:L25)</f>
        <v/>
      </c>
      <c r="AW7" s="224">
        <f>$I$108</f>
        <v/>
      </c>
      <c r="AX7" s="220">
        <f>COUNTIF(L22:L25,AV8)</f>
        <v/>
      </c>
    </row>
    <row r="8" ht="16.15" customHeight="1" s="175">
      <c r="A8" s="189" t="n"/>
      <c r="B8" s="190" t="n"/>
      <c r="C8" s="191" t="n"/>
      <c r="D8" s="192" t="n"/>
      <c r="F8" s="192" t="n"/>
      <c r="G8" s="173" t="n"/>
      <c r="I8" s="208" t="inlineStr">
        <is>
          <t>Maxine</t>
        </is>
      </c>
      <c r="J8" s="209">
        <f>COUNTIF($A:$A,I9)</f>
        <v/>
      </c>
      <c r="K8" s="209">
        <f>COUNTIF($C:$C,I9)</f>
        <v/>
      </c>
      <c r="L8" s="210">
        <f>IF(K9,J9/K9,J9)</f>
        <v/>
      </c>
      <c r="M8" s="209">
        <f>IFERROR(GETPIVOTDATA("Points",$T$2,"Sniper",I9),0)</f>
        <v/>
      </c>
      <c r="N8" s="209">
        <f>IFERROR(GETPIVOTDATA("Points",$T$2,"Snipee",I9),0)</f>
        <v/>
      </c>
      <c r="O8" s="210">
        <f>IF(N9,M9/N9,M9)</f>
        <v/>
      </c>
      <c r="P8" s="210">
        <f>IF(J9,M9/J9,0)</f>
        <v/>
      </c>
      <c r="Q8" s="210">
        <f>IF(K9,N9/K9,0)</f>
        <v/>
      </c>
      <c r="R8" s="211">
        <f>IFERROR(VLOOKUP(I9,T:AM,20,FALSE())/15,0)</f>
        <v/>
      </c>
      <c r="S8" s="182" t="n"/>
      <c r="T8" s="217" t="inlineStr">
        <is>
          <t>Grady</t>
        </is>
      </c>
      <c r="U8" s="218" t="n"/>
      <c r="V8" s="218" t="n"/>
      <c r="W8" s="218" t="n"/>
      <c r="X8" s="218" t="n"/>
      <c r="Y8" s="218" t="n"/>
      <c r="Z8" s="218" t="n"/>
      <c r="AA8" s="218" t="n"/>
      <c r="AB8" s="218" t="n"/>
      <c r="AC8" s="218" t="n"/>
      <c r="AD8" s="218" t="n">
        <v>1</v>
      </c>
      <c r="AE8" s="218" t="n">
        <v>2</v>
      </c>
      <c r="AF8" s="218" t="n"/>
      <c r="AG8" s="218" t="n"/>
      <c r="AH8" s="218" t="n">
        <v>2</v>
      </c>
      <c r="AI8" s="218" t="n"/>
      <c r="AJ8" s="218" t="n"/>
      <c r="AK8" s="219" t="n">
        <v>5</v>
      </c>
      <c r="AM8" s="202">
        <f>IF(COUNT(U9:AL9)&lt;&gt;0,COUNT(U9:AL9)-1,"")</f>
        <v/>
      </c>
      <c r="AR8" s="220">
        <f>COUNTIF(L3:L17,AT9)</f>
        <v/>
      </c>
      <c r="AS8" s="225">
        <f>$I$80</f>
        <v/>
      </c>
      <c r="AT8" s="222">
        <f>MIN(L3:L17)</f>
        <v/>
      </c>
      <c r="AU8" s="216" t="inlineStr">
        <is>
          <t>Worst KDR</t>
        </is>
      </c>
      <c r="AV8" s="222">
        <f>MIN(L22:L25)</f>
        <v/>
      </c>
      <c r="AW8" s="224">
        <f>$I$105</f>
        <v/>
      </c>
      <c r="AX8" s="220">
        <f>COUNTIF(L22:L25,AV9)</f>
        <v/>
      </c>
    </row>
    <row r="9" ht="16.15" customHeight="1" s="175">
      <c r="A9" s="189" t="n"/>
      <c r="B9" s="190" t="n"/>
      <c r="C9" s="191" t="n"/>
      <c r="D9" s="192" t="n"/>
      <c r="F9" s="192" t="n"/>
      <c r="G9" s="173" t="n"/>
      <c r="I9" s="208" t="inlineStr">
        <is>
          <t>Mikey</t>
        </is>
      </c>
      <c r="J9" s="209">
        <f>COUNTIF($A:$A,I10)</f>
        <v/>
      </c>
      <c r="K9" s="209">
        <f>COUNTIF($C:$C,I10)</f>
        <v/>
      </c>
      <c r="L9" s="210">
        <f>IF(K10,J10/K10,J10)</f>
        <v/>
      </c>
      <c r="M9" s="209">
        <f>IFERROR(GETPIVOTDATA("Points",$T$2,"Sniper",I10),0)</f>
        <v/>
      </c>
      <c r="N9" s="209">
        <f>IFERROR(GETPIVOTDATA("Points",$T$2,"Snipee",I10),0)</f>
        <v/>
      </c>
      <c r="O9" s="210">
        <f>IF(N10,M10/N10,M10)</f>
        <v/>
      </c>
      <c r="P9" s="210">
        <f>IF(J10,M10/J10,0)</f>
        <v/>
      </c>
      <c r="Q9" s="210">
        <f>IF(K10,N10/K10,0)</f>
        <v/>
      </c>
      <c r="R9" s="211">
        <f>IFERROR(VLOOKUP(I10,T:AM,20,FALSE())/15,0)</f>
        <v/>
      </c>
      <c r="S9" s="182" t="n"/>
      <c r="T9" s="217" t="inlineStr">
        <is>
          <t>Lucy</t>
        </is>
      </c>
      <c r="U9" s="218" t="n"/>
      <c r="V9" s="218" t="n">
        <v>8</v>
      </c>
      <c r="W9" s="218" t="n">
        <v>2</v>
      </c>
      <c r="X9" s="218" t="n"/>
      <c r="Y9" s="218" t="n"/>
      <c r="Z9" s="218" t="n">
        <v>5</v>
      </c>
      <c r="AA9" s="218" t="n">
        <v>7</v>
      </c>
      <c r="AB9" s="218" t="n"/>
      <c r="AC9" s="218" t="n"/>
      <c r="AD9" s="218" t="n"/>
      <c r="AE9" s="218" t="n">
        <v>10</v>
      </c>
      <c r="AF9" s="218" t="n">
        <v>1</v>
      </c>
      <c r="AG9" s="218" t="n">
        <v>1</v>
      </c>
      <c r="AH9" s="218" t="n">
        <v>6</v>
      </c>
      <c r="AI9" s="218" t="n"/>
      <c r="AJ9" s="218" t="n">
        <v>12</v>
      </c>
      <c r="AK9" s="219" t="n">
        <v>52</v>
      </c>
      <c r="AM9" s="202">
        <f>IF(COUNT(U10:AL10)&lt;&gt;0,COUNT(U10:AL10)-1,"")</f>
        <v/>
      </c>
      <c r="AR9" s="220">
        <f>COUNTIF(O3:O17,AT10)</f>
        <v/>
      </c>
      <c r="AS9" s="225">
        <f>$S$65</f>
        <v/>
      </c>
      <c r="AT9" s="222">
        <f>MAX(O3:O17)</f>
        <v/>
      </c>
      <c r="AU9" s="216" t="inlineStr">
        <is>
          <t>Best KpDpR</t>
        </is>
      </c>
      <c r="AV9" s="222">
        <f>MAX(O22:O25)</f>
        <v/>
      </c>
      <c r="AW9" s="224">
        <f>$S$108</f>
        <v/>
      </c>
      <c r="AX9" s="220">
        <f>COUNTIF(O22:O25,AV10)</f>
        <v/>
      </c>
    </row>
    <row r="10" ht="16.15" customHeight="1" s="175">
      <c r="A10" s="189" t="n"/>
      <c r="B10" s="190" t="n"/>
      <c r="C10" s="191" t="n"/>
      <c r="D10" s="192" t="n"/>
      <c r="E10" s="173" t="n"/>
      <c r="F10" s="207" t="n"/>
      <c r="G10" s="173" t="n"/>
      <c r="I10" s="208" t="inlineStr">
        <is>
          <t>Anthony</t>
        </is>
      </c>
      <c r="J10" s="209">
        <f>COUNTIF($A:$A,I11)</f>
        <v/>
      </c>
      <c r="K10" s="209">
        <f>COUNTIF($C:$C,I11)</f>
        <v/>
      </c>
      <c r="L10" s="210">
        <f>IF(K11,J11/K11,J11)</f>
        <v/>
      </c>
      <c r="M10" s="209">
        <f>IFERROR(GETPIVOTDATA("Points",$T$2,"Sniper",I11),0)</f>
        <v/>
      </c>
      <c r="N10" s="209">
        <f>IFERROR(GETPIVOTDATA("Points",$T$2,"Snipee",I11),0)</f>
        <v/>
      </c>
      <c r="O10" s="210">
        <f>IF(N11,M11/N11,M11)</f>
        <v/>
      </c>
      <c r="P10" s="210">
        <f>IF(J11,M11/J11,0)</f>
        <v/>
      </c>
      <c r="Q10" s="210">
        <f>IF(K11,N11/K11,0)</f>
        <v/>
      </c>
      <c r="R10" s="211">
        <f>IFERROR(VLOOKUP(I11,T:AM,20,FALSE())/15,0)</f>
        <v/>
      </c>
      <c r="S10" s="182" t="n"/>
      <c r="T10" s="217" t="inlineStr">
        <is>
          <t>Maxine</t>
        </is>
      </c>
      <c r="U10" s="218" t="n">
        <v>20</v>
      </c>
      <c r="V10" s="218" t="n"/>
      <c r="W10" s="218" t="n">
        <v>1</v>
      </c>
      <c r="X10" s="218" t="n"/>
      <c r="Y10" s="218" t="n"/>
      <c r="Z10" s="218" t="n">
        <v>2</v>
      </c>
      <c r="AA10" s="218" t="n"/>
      <c r="AB10" s="218" t="n">
        <v>1</v>
      </c>
      <c r="AC10" s="218" t="n"/>
      <c r="AD10" s="218" t="n"/>
      <c r="AE10" s="218" t="n"/>
      <c r="AF10" s="218" t="n"/>
      <c r="AG10" s="218" t="n">
        <v>3</v>
      </c>
      <c r="AH10" s="218" t="n"/>
      <c r="AI10" s="218" t="n">
        <v>1</v>
      </c>
      <c r="AJ10" s="218" t="n">
        <v>2</v>
      </c>
      <c r="AK10" s="219" t="n">
        <v>30</v>
      </c>
      <c r="AM10" s="202">
        <f>IF(COUNT(U11:AL11)&lt;&gt;0,COUNT(U11:AL11)-1,"")</f>
        <v/>
      </c>
      <c r="AR10" s="220">
        <f>COUNTIF(O3:O17,AT11)</f>
        <v/>
      </c>
      <c r="AS10" s="225">
        <f>$S$80</f>
        <v/>
      </c>
      <c r="AT10" s="222">
        <f>MIN(O3:O17)</f>
        <v/>
      </c>
      <c r="AU10" s="216" t="inlineStr">
        <is>
          <t>Worst KpDpR</t>
        </is>
      </c>
      <c r="AV10" s="222">
        <f>MIN(O22:O25)</f>
        <v/>
      </c>
      <c r="AW10" s="224">
        <f>$S$105</f>
        <v/>
      </c>
      <c r="AX10" s="220">
        <f>COUNTIF(O22:O25,AV11)</f>
        <v/>
      </c>
    </row>
    <row r="11" ht="16.15" customHeight="1" s="175">
      <c r="A11" s="189" t="n"/>
      <c r="B11" s="190" t="n"/>
      <c r="C11" s="191" t="n"/>
      <c r="D11" s="192" t="n"/>
      <c r="F11" s="207" t="n"/>
      <c r="G11" s="173" t="n"/>
      <c r="I11" s="208" t="inlineStr">
        <is>
          <t>Ethan</t>
        </is>
      </c>
      <c r="J11" s="209">
        <f>COUNTIF($A:$A,I12)</f>
        <v/>
      </c>
      <c r="K11" s="209">
        <f>COUNTIF($C:$C,I12)</f>
        <v/>
      </c>
      <c r="L11" s="210">
        <f>IF(K12,J12/K12,J12)</f>
        <v/>
      </c>
      <c r="M11" s="209">
        <f>IFERROR(GETPIVOTDATA("Points",$T$2,"Sniper",I12),0)</f>
        <v/>
      </c>
      <c r="N11" s="209">
        <f>IFERROR(GETPIVOTDATA("Points",$T$2,"Snipee",I12),0)</f>
        <v/>
      </c>
      <c r="O11" s="210">
        <f>IF(N12,M12/N12,M12)</f>
        <v/>
      </c>
      <c r="P11" s="210">
        <f>IF(J12,M12/J12,0)</f>
        <v/>
      </c>
      <c r="Q11" s="210">
        <f>IF(K12,N12/K12,0)</f>
        <v/>
      </c>
      <c r="R11" s="211">
        <f>IFERROR(VLOOKUP(I12,T:AM,20,FALSE())/15,0)</f>
        <v/>
      </c>
      <c r="S11" s="182" t="n"/>
      <c r="T11" s="217" t="inlineStr">
        <is>
          <t>Mikey</t>
        </is>
      </c>
      <c r="U11" s="218" t="n"/>
      <c r="V11" s="218" t="n">
        <v>4</v>
      </c>
      <c r="W11" s="218" t="n">
        <v>2</v>
      </c>
      <c r="X11" s="218" t="n">
        <v>1</v>
      </c>
      <c r="Y11" s="218" t="n"/>
      <c r="Z11" s="218" t="n">
        <v>4</v>
      </c>
      <c r="AA11" s="218" t="n">
        <v>2</v>
      </c>
      <c r="AB11" s="218" t="n"/>
      <c r="AC11" s="218" t="n">
        <v>8</v>
      </c>
      <c r="AD11" s="218" t="n">
        <v>2</v>
      </c>
      <c r="AE11" s="218" t="n"/>
      <c r="AF11" s="218" t="n">
        <v>2</v>
      </c>
      <c r="AG11" s="218" t="n">
        <v>3</v>
      </c>
      <c r="AH11" s="218" t="n">
        <v>17</v>
      </c>
      <c r="AI11" s="218" t="n"/>
      <c r="AJ11" s="218" t="n">
        <v>5</v>
      </c>
      <c r="AK11" s="219" t="n">
        <v>50</v>
      </c>
      <c r="AM11" s="202">
        <f>IF(COUNT(U12:AL12)&lt;&gt;0,COUNT(U12:AL12)-1,"")</f>
        <v/>
      </c>
    </row>
    <row r="12" ht="15.75" customHeight="1" s="175">
      <c r="A12" s="189" t="n"/>
      <c r="B12" s="190" t="n"/>
      <c r="C12" s="191" t="n"/>
      <c r="D12" s="192" t="n"/>
      <c r="F12" s="207" t="n"/>
      <c r="G12" s="173" t="n"/>
      <c r="I12" s="208" t="inlineStr">
        <is>
          <t>Rob</t>
        </is>
      </c>
      <c r="J12" s="209">
        <f>COUNTIF($A:$A,I13)</f>
        <v/>
      </c>
      <c r="K12" s="209">
        <f>COUNTIF($C:$C,I13)</f>
        <v/>
      </c>
      <c r="L12" s="210">
        <f>IF(K13,J13/K13,J13)</f>
        <v/>
      </c>
      <c r="M12" s="209">
        <f>IFERROR(GETPIVOTDATA("Points",$T$2,"Sniper",I13),0)</f>
        <v/>
      </c>
      <c r="N12" s="209">
        <f>IFERROR(GETPIVOTDATA("Points",$T$2,"Snipee",I13),0)</f>
        <v/>
      </c>
      <c r="O12" s="210">
        <f>IF(N13,M13/N13,M13)</f>
        <v/>
      </c>
      <c r="P12" s="210">
        <f>IF(J13,M13/J13,0)</f>
        <v/>
      </c>
      <c r="Q12" s="210">
        <f>IF(K13,N13/K13,0)</f>
        <v/>
      </c>
      <c r="R12" s="211">
        <f>IFERROR(VLOOKUP(I13,T:AM,20,FALSE())/15,0)</f>
        <v/>
      </c>
      <c r="S12" s="182" t="n"/>
      <c r="T12" s="217" t="inlineStr">
        <is>
          <t>Peter</t>
        </is>
      </c>
      <c r="U12" s="218" t="n">
        <v>5</v>
      </c>
      <c r="V12" s="218" t="n">
        <v>13</v>
      </c>
      <c r="W12" s="218" t="n"/>
      <c r="X12" s="218" t="n">
        <v>5</v>
      </c>
      <c r="Y12" s="218" t="n"/>
      <c r="Z12" s="218" t="n">
        <v>2</v>
      </c>
      <c r="AA12" s="218" t="n">
        <v>3</v>
      </c>
      <c r="AB12" s="218" t="n">
        <v>2</v>
      </c>
      <c r="AC12" s="218" t="n">
        <v>6</v>
      </c>
      <c r="AD12" s="218" t="n">
        <v>1</v>
      </c>
      <c r="AE12" s="218" t="n">
        <v>2</v>
      </c>
      <c r="AF12" s="218" t="n">
        <v>1</v>
      </c>
      <c r="AG12" s="218" t="n">
        <v>2</v>
      </c>
      <c r="AH12" s="218" t="n">
        <v>2</v>
      </c>
      <c r="AI12" s="218" t="n">
        <v>6</v>
      </c>
      <c r="AJ12" s="218" t="n"/>
      <c r="AK12" s="219" t="n">
        <v>50</v>
      </c>
      <c r="AM12" s="202">
        <f>IF(COUNT(U13:AL13)&lt;&gt;0,COUNT(U13:AL13)-1,"")</f>
        <v/>
      </c>
      <c r="AP12" s="179" t="inlineStr">
        <is>
          <t>Overall Winner Chart Decision Matrix</t>
        </is>
      </c>
      <c r="AQ12" s="180" t="n"/>
      <c r="AR12" s="180" t="n"/>
      <c r="AS12" s="180" t="n"/>
      <c r="AT12" s="180" t="n"/>
      <c r="AU12" s="180" t="n"/>
      <c r="AV12" s="180" t="n"/>
      <c r="AW12" s="180" t="n"/>
      <c r="AX12" s="180" t="n"/>
      <c r="AY12" s="181" t="n"/>
    </row>
    <row r="13" ht="15.75" customHeight="1" s="175">
      <c r="A13" s="189" t="n"/>
      <c r="B13" s="190" t="n"/>
      <c r="C13" s="191" t="n"/>
      <c r="D13" s="192" t="n"/>
      <c r="F13" s="207" t="n"/>
      <c r="G13" s="173" t="n"/>
      <c r="I13" s="208" t="inlineStr">
        <is>
          <t>Will</t>
        </is>
      </c>
      <c r="J13" s="209">
        <f>COUNTIF($A:$A,I14)</f>
        <v/>
      </c>
      <c r="K13" s="209">
        <f>COUNTIF($C:$C,I14)</f>
        <v/>
      </c>
      <c r="L13" s="210">
        <f>IF(K14,J14/K14,J14)</f>
        <v/>
      </c>
      <c r="M13" s="209">
        <f>IFERROR(GETPIVOTDATA("Points",$T$2,"Sniper",I14),0)</f>
        <v/>
      </c>
      <c r="N13" s="209">
        <f>IFERROR(GETPIVOTDATA("Points",$T$2,"Snipee",I14),0)</f>
        <v/>
      </c>
      <c r="O13" s="210">
        <f>IF(N14,M14/N14,M14)</f>
        <v/>
      </c>
      <c r="P13" s="210">
        <f>IF(J14,M14/J14,0)</f>
        <v/>
      </c>
      <c r="Q13" s="210">
        <f>IF(K14,N14/K14,0)</f>
        <v/>
      </c>
      <c r="R13" s="211">
        <f>IFERROR(VLOOKUP(I14,T:AM,20,FALSE())/15,0)</f>
        <v/>
      </c>
      <c r="S13" s="182" t="n"/>
      <c r="T13" s="217" t="inlineStr">
        <is>
          <t>Rob</t>
        </is>
      </c>
      <c r="U13" s="218" t="n"/>
      <c r="V13" s="218" t="n">
        <v>3</v>
      </c>
      <c r="W13" s="218" t="n">
        <v>2</v>
      </c>
      <c r="X13" s="218" t="n"/>
      <c r="Y13" s="218" t="n"/>
      <c r="Z13" s="218" t="n">
        <v>1</v>
      </c>
      <c r="AA13" s="218" t="n">
        <v>3</v>
      </c>
      <c r="AB13" s="218" t="n">
        <v>1</v>
      </c>
      <c r="AC13" s="218" t="n">
        <v>4</v>
      </c>
      <c r="AD13" s="218" t="n"/>
      <c r="AE13" s="218" t="n">
        <v>16</v>
      </c>
      <c r="AF13" s="218" t="n"/>
      <c r="AG13" s="218" t="n">
        <v>10</v>
      </c>
      <c r="AH13" s="218" t="n"/>
      <c r="AI13" s="218" t="n">
        <v>1</v>
      </c>
      <c r="AJ13" s="218" t="n">
        <v>4</v>
      </c>
      <c r="AK13" s="219" t="n">
        <v>45</v>
      </c>
      <c r="AM13" s="202">
        <f>IF(COUNT(U14:AL14)&lt;&gt;0,COUNT(U14:AL14)-1,"")</f>
        <v/>
      </c>
      <c r="AP13" s="226" t="inlineStr">
        <is>
          <t>Person:</t>
        </is>
      </c>
      <c r="AQ13" s="206" t="inlineStr">
        <is>
          <t>Kills</t>
        </is>
      </c>
      <c r="AR13" s="206" t="inlineStr">
        <is>
          <t>Deaths</t>
        </is>
      </c>
      <c r="AS13" s="206" t="inlineStr">
        <is>
          <t>KDR</t>
        </is>
      </c>
      <c r="AT13" s="206" t="inlineStr">
        <is>
          <t>Kill Points</t>
        </is>
      </c>
      <c r="AU13" s="206" t="inlineStr">
        <is>
          <t>Death Points</t>
        </is>
      </c>
      <c r="AV13" s="206" t="inlineStr">
        <is>
          <t>KpDpR</t>
        </is>
      </c>
      <c r="AW13" s="206" t="inlineStr">
        <is>
          <t>KPts/Kill</t>
        </is>
      </c>
      <c r="AX13" s="206" t="inlineStr">
        <is>
          <t>DPts/Death</t>
        </is>
      </c>
      <c r="AY13" s="227" t="inlineStr">
        <is>
          <t>Full Sweep %</t>
        </is>
      </c>
    </row>
    <row r="14" ht="16.15" customHeight="1" s="175">
      <c r="A14" s="189" t="n"/>
      <c r="B14" s="190" t="n"/>
      <c r="C14" s="191" t="n"/>
      <c r="D14" s="192" t="n"/>
      <c r="F14" s="207" t="n"/>
      <c r="G14" s="173" t="n"/>
      <c r="I14" s="208" t="inlineStr">
        <is>
          <t>Erick</t>
        </is>
      </c>
      <c r="J14" s="209">
        <f>COUNTIF($A:$A,I15)</f>
        <v/>
      </c>
      <c r="K14" s="209">
        <f>COUNTIF($C:$C,I15)</f>
        <v/>
      </c>
      <c r="L14" s="210">
        <f>IF(K15,J15/K15,J15)</f>
        <v/>
      </c>
      <c r="M14" s="209">
        <f>IFERROR(GETPIVOTDATA("Points",$T$2,"Sniper",I15),0)</f>
        <v/>
      </c>
      <c r="N14" s="209">
        <f>IFERROR(GETPIVOTDATA("Points",$T$2,"Snipee",I15),0)</f>
        <v/>
      </c>
      <c r="O14" s="210">
        <f>IF(N15,M15/N15,M15)</f>
        <v/>
      </c>
      <c r="P14" s="210">
        <f>IF(J15,M15/J15,0)</f>
        <v/>
      </c>
      <c r="Q14" s="210">
        <f>IF(K15,N15/K15,0)</f>
        <v/>
      </c>
      <c r="R14" s="211">
        <f>IFERROR(VLOOKUP(I15,T:AM,20,FALSE())/15,0)</f>
        <v/>
      </c>
      <c r="S14" s="182" t="n"/>
      <c r="T14" s="217" t="inlineStr">
        <is>
          <t>Vignesh</t>
        </is>
      </c>
      <c r="U14" s="218" t="n"/>
      <c r="V14" s="218" t="n">
        <v>1</v>
      </c>
      <c r="W14" s="218" t="n">
        <v>10</v>
      </c>
      <c r="X14" s="218" t="n"/>
      <c r="Y14" s="218" t="n">
        <v>2</v>
      </c>
      <c r="Z14" s="218" t="n"/>
      <c r="AA14" s="218" t="n">
        <v>1</v>
      </c>
      <c r="AB14" s="218" t="n"/>
      <c r="AC14" s="218" t="n">
        <v>4</v>
      </c>
      <c r="AD14" s="218" t="n">
        <v>1</v>
      </c>
      <c r="AE14" s="218" t="n"/>
      <c r="AF14" s="218" t="n">
        <v>2</v>
      </c>
      <c r="AG14" s="218" t="n">
        <v>6</v>
      </c>
      <c r="AH14" s="218" t="n">
        <v>3</v>
      </c>
      <c r="AI14" s="218" t="n"/>
      <c r="AJ14" s="218" t="n"/>
      <c r="AK14" s="219" t="n">
        <v>30</v>
      </c>
      <c r="AM14" s="202">
        <f>IF(COUNT(U15:AL15)&lt;&gt;0,COUNT(U15:AL15)-1,"")</f>
        <v/>
      </c>
      <c r="AP14" s="228" t="inlineStr">
        <is>
          <t>Weight:</t>
        </is>
      </c>
      <c r="AQ14" s="229" t="n">
        <v>7.5</v>
      </c>
      <c r="AR14" s="230" t="n">
        <v>-6</v>
      </c>
      <c r="AS14" s="230" t="n">
        <v>25</v>
      </c>
      <c r="AT14" s="230" t="n">
        <v>8.5</v>
      </c>
      <c r="AU14" s="230" t="n">
        <v>-6.5</v>
      </c>
      <c r="AV14" s="230" t="n">
        <v>25</v>
      </c>
      <c r="AW14" s="230" t="n">
        <v>20</v>
      </c>
      <c r="AX14" s="230" t="n">
        <v>-20</v>
      </c>
      <c r="AY14" s="231" t="n">
        <v>250</v>
      </c>
      <c r="AZ14" s="216" t="inlineStr">
        <is>
          <t>Totals:</t>
        </is>
      </c>
    </row>
    <row r="15" ht="16.15" customHeight="1" s="175">
      <c r="A15" s="189" t="n"/>
      <c r="B15" s="190" t="n"/>
      <c r="C15" s="191" t="n"/>
      <c r="D15" s="192" t="n"/>
      <c r="F15" s="207" t="n"/>
      <c r="G15" s="173" t="n"/>
      <c r="I15" s="208" t="inlineStr">
        <is>
          <t>Joey</t>
        </is>
      </c>
      <c r="J15" s="209">
        <f>COUNTIF($A:$A,I16)</f>
        <v/>
      </c>
      <c r="K15" s="209">
        <f>COUNTIF($C:$C,I16)</f>
        <v/>
      </c>
      <c r="L15" s="210">
        <f>IF(K16,J16/K16,J16)</f>
        <v/>
      </c>
      <c r="M15" s="209">
        <f>IFERROR(GETPIVOTDATA("Points",$T$2,"Sniper",I16),0)</f>
        <v/>
      </c>
      <c r="N15" s="209">
        <f>IFERROR(GETPIVOTDATA("Points",$T$2,"Snipee",I16),0)</f>
        <v/>
      </c>
      <c r="O15" s="210">
        <f>IF(N16,M16/N16,M16)</f>
        <v/>
      </c>
      <c r="P15" s="210">
        <f>IF(J16,M16/J16,0)</f>
        <v/>
      </c>
      <c r="Q15" s="210">
        <f>IF(K16,N16/K16,0)</f>
        <v/>
      </c>
      <c r="R15" s="211">
        <f>IFERROR(VLOOKUP(I16,T:AM,20,FALSE())/15,0)</f>
        <v/>
      </c>
      <c r="S15" s="232" t="n"/>
      <c r="T15" s="217" t="inlineStr">
        <is>
          <t>Will</t>
        </is>
      </c>
      <c r="U15" s="218" t="n"/>
      <c r="V15" s="218" t="n">
        <v>1</v>
      </c>
      <c r="W15" s="218" t="n"/>
      <c r="X15" s="218" t="n">
        <v>2</v>
      </c>
      <c r="Y15" s="218" t="n"/>
      <c r="Z15" s="218" t="n">
        <v>4</v>
      </c>
      <c r="AA15" s="218" t="n">
        <v>2</v>
      </c>
      <c r="AB15" s="218" t="n">
        <v>2</v>
      </c>
      <c r="AC15" s="218" t="n">
        <v>11</v>
      </c>
      <c r="AD15" s="218" t="n"/>
      <c r="AE15" s="218" t="n">
        <v>11</v>
      </c>
      <c r="AF15" s="218" t="n"/>
      <c r="AG15" s="218" t="n">
        <v>8</v>
      </c>
      <c r="AH15" s="218" t="n">
        <v>13</v>
      </c>
      <c r="AI15" s="218" t="n"/>
      <c r="AJ15" s="218" t="n"/>
      <c r="AK15" s="219" t="n">
        <v>54</v>
      </c>
      <c r="AM15" s="202">
        <f>IF(COUNT(U16:AL16)&lt;&gt;0,COUNT(U16:AL16)-1,"")</f>
        <v/>
      </c>
      <c r="AP15" s="208" t="inlineStr">
        <is>
          <t>Carter</t>
        </is>
      </c>
      <c r="AQ15" s="209">
        <f>VLOOKUP(AP16,$I$1:$R$18,2,FALSE()) *$AQ$15</f>
        <v/>
      </c>
      <c r="AR15" s="233">
        <f>VLOOKUP(AP16,$I$1:$R$18,3,FALSE()) *$AR$15</f>
        <v/>
      </c>
      <c r="AS15" s="234">
        <f>VLOOKUP(AP16,$I$1:$R$18,4,FALSE()) * $AS$15</f>
        <v/>
      </c>
      <c r="AT15" s="209">
        <f>VLOOKUP(AP16,$I$1:$R$18,5,FALSE()) *$AT$15</f>
        <v/>
      </c>
      <c r="AU15" s="233">
        <f>VLOOKUP(AP16,$I$1:$R$18,6,FALSE()) *$AU$15</f>
        <v/>
      </c>
      <c r="AV15" s="234">
        <f>VLOOKUP(AP16,$I$1:$R$18,7,FALSE()) * $AV$15</f>
        <v/>
      </c>
      <c r="AW15" s="209">
        <f>VLOOKUP(AP16,$I$1:$R$18,8,FALSE()) *$AW$15</f>
        <v/>
      </c>
      <c r="AX15" s="235">
        <f>VLOOKUP(AP16,$I$1:$R$18,9,FALSE()) *$AX$15</f>
        <v/>
      </c>
      <c r="AY15" s="234">
        <f>VLOOKUP(AP16,$I$1:$R$18,10,FALSE()) * $AY$15</f>
        <v/>
      </c>
      <c r="AZ15" s="236">
        <f>SUM(AQ16:AY16)</f>
        <v/>
      </c>
    </row>
    <row r="16" ht="16.15" customHeight="1" s="175">
      <c r="A16" s="189" t="n"/>
      <c r="B16" s="190" t="n"/>
      <c r="C16" s="191" t="n"/>
      <c r="D16" s="192" t="n"/>
      <c r="E16" s="193" t="n"/>
      <c r="F16" s="207" t="n"/>
      <c r="G16" s="173" t="n"/>
      <c r="I16" s="208" t="inlineStr">
        <is>
          <t>Peter</t>
        </is>
      </c>
      <c r="J16" s="209">
        <f>COUNTIF($A:$A,I17)</f>
        <v/>
      </c>
      <c r="K16" s="209">
        <f>COUNTIF($C:$C,I17)</f>
        <v/>
      </c>
      <c r="L16" s="210">
        <f>IF(K17,J17/K17,J17)</f>
        <v/>
      </c>
      <c r="M16" s="209">
        <f>IFERROR(GETPIVOTDATA("Points",$T$2,"Sniper",I17),0)</f>
        <v/>
      </c>
      <c r="N16" s="209">
        <f>IFERROR(GETPIVOTDATA("Points",$T$2,"Snipee",I17),0)</f>
        <v/>
      </c>
      <c r="O16" s="210">
        <f>IF(N17,M17/N17,M17)</f>
        <v/>
      </c>
      <c r="P16" s="210">
        <f>IF(J17,M17/J17,0)</f>
        <v/>
      </c>
      <c r="Q16" s="210">
        <f>IF(K17,N17/K17,0)</f>
        <v/>
      </c>
      <c r="R16" s="211">
        <f>IFERROR(VLOOKUP(I17,T:AM,20,FALSE())/15,0)</f>
        <v/>
      </c>
      <c r="T16" s="237" t="inlineStr">
        <is>
          <t>Total Result</t>
        </is>
      </c>
      <c r="U16" s="238" t="n">
        <v>35</v>
      </c>
      <c r="V16" s="238" t="n">
        <v>49</v>
      </c>
      <c r="W16" s="238" t="n">
        <v>19</v>
      </c>
      <c r="X16" s="238" t="n">
        <v>16</v>
      </c>
      <c r="Y16" s="238" t="n">
        <v>2</v>
      </c>
      <c r="Z16" s="238" t="n">
        <v>20</v>
      </c>
      <c r="AA16" s="238" t="n">
        <v>35</v>
      </c>
      <c r="AB16" s="238" t="n">
        <v>6</v>
      </c>
      <c r="AC16" s="238" t="n">
        <v>49</v>
      </c>
      <c r="AD16" s="238" t="n">
        <v>8</v>
      </c>
      <c r="AE16" s="238" t="n">
        <v>66</v>
      </c>
      <c r="AF16" s="238" t="n">
        <v>13</v>
      </c>
      <c r="AG16" s="238" t="n">
        <v>47</v>
      </c>
      <c r="AH16" s="238" t="n">
        <v>62</v>
      </c>
      <c r="AI16" s="238" t="n">
        <v>21</v>
      </c>
      <c r="AJ16" s="238" t="n">
        <v>34</v>
      </c>
      <c r="AK16" s="239" t="n">
        <v>482</v>
      </c>
      <c r="AM16" s="202">
        <f>IF(COUNT(U17:AL17)&lt;&gt;0,COUNT(U17:AL17)-1,"")</f>
        <v/>
      </c>
      <c r="AP16" s="208" t="inlineStr">
        <is>
          <t>Grady</t>
        </is>
      </c>
      <c r="AQ16" s="209">
        <f>VLOOKUP(AP17,$I$1:$R$18,2,FALSE()) *$AQ$15</f>
        <v/>
      </c>
      <c r="AR16" s="233">
        <f>VLOOKUP(AP17,$I$1:$R$18,3,FALSE()) *$AR$15</f>
        <v/>
      </c>
      <c r="AS16" s="234">
        <f>VLOOKUP(AP17,$I$1:$R$18,4,FALSE()) * $AS$15</f>
        <v/>
      </c>
      <c r="AT16" s="209">
        <f>VLOOKUP(AP17,$I$1:$R$18,5,FALSE()) *$AT$15</f>
        <v/>
      </c>
      <c r="AU16" s="233">
        <f>VLOOKUP(AP17,$I$1:$R$18,6,FALSE()) *$AU$15</f>
        <v/>
      </c>
      <c r="AV16" s="234">
        <f>VLOOKUP(AP17,$I$1:$R$18,7,FALSE()) * $AV$15</f>
        <v/>
      </c>
      <c r="AW16" s="209">
        <f>VLOOKUP(AP17,$I$1:$R$18,8,FALSE()) *$AW$15</f>
        <v/>
      </c>
      <c r="AX16" s="235">
        <f>VLOOKUP(AP17,$I$1:$R$18,9,FALSE()) *$AX$15</f>
        <v/>
      </c>
      <c r="AY16" s="234">
        <f>VLOOKUP(AP17,$I$1:$R$18,10,FALSE()) * $AY$15</f>
        <v/>
      </c>
      <c r="AZ16" s="236">
        <f>SUM(AQ17:AY17)</f>
        <v/>
      </c>
    </row>
    <row r="17" ht="14.25" customHeight="1" s="175">
      <c r="A17" s="189" t="n"/>
      <c r="B17" s="190" t="n"/>
      <c r="C17" s="191" t="n"/>
      <c r="D17" s="192" t="n"/>
      <c r="F17" s="207" t="n"/>
      <c r="G17" s="173" t="n"/>
      <c r="I17" s="208" t="inlineStr">
        <is>
          <t>Reuben</t>
        </is>
      </c>
      <c r="J17" s="209">
        <f>COUNTIF($A:$A,I18)</f>
        <v/>
      </c>
      <c r="K17" s="209">
        <f>COUNTIF($C:$C,I18)</f>
        <v/>
      </c>
      <c r="L17" s="210">
        <f>IF(K18,J18/K18,J18)</f>
        <v/>
      </c>
      <c r="M17" s="209">
        <f>IFERROR(GETPIVOTDATA("Points",$T$2,"Sniper",I18),0)</f>
        <v/>
      </c>
      <c r="N17" s="209">
        <f>IFERROR(GETPIVOTDATA("Points",$T$2,"Snipee",I18),0)</f>
        <v/>
      </c>
      <c r="O17" s="210">
        <f>IF(N18,M18/N18,M18)</f>
        <v/>
      </c>
      <c r="P17" s="210">
        <f>IF(J18,M18/J18,0)</f>
        <v/>
      </c>
      <c r="Q17" s="210">
        <f>IF(K18,N18/K18,0)</f>
        <v/>
      </c>
      <c r="R17" s="211">
        <f>IFERROR(VLOOKUP(I18,T:AM,20,FALSE())/15,0)</f>
        <v/>
      </c>
      <c r="AM17" s="202">
        <f>IF(COUNT(U18:AL18)&lt;&gt;0,COUNT(U18:AL18)-1,"")</f>
        <v/>
      </c>
      <c r="AP17" s="208" t="inlineStr">
        <is>
          <t>Lucy</t>
        </is>
      </c>
      <c r="AQ17" s="209">
        <f>VLOOKUP(AP18,$I$1:$R$18,2,FALSE()) *$AQ$15</f>
        <v/>
      </c>
      <c r="AR17" s="233">
        <f>VLOOKUP(AP18,$I$1:$R$18,3,FALSE()) *$AR$15</f>
        <v/>
      </c>
      <c r="AS17" s="234">
        <f>VLOOKUP(AP18,$I$1:$R$18,4,FALSE()) * $AS$15</f>
        <v/>
      </c>
      <c r="AT17" s="209">
        <f>VLOOKUP(AP18,$I$1:$R$18,5,FALSE()) *$AT$15</f>
        <v/>
      </c>
      <c r="AU17" s="233">
        <f>VLOOKUP(AP18,$I$1:$R$18,6,FALSE()) *$AU$15</f>
        <v/>
      </c>
      <c r="AV17" s="234">
        <f>VLOOKUP(AP18,$I$1:$R$18,7,FALSE()) * $AV$15</f>
        <v/>
      </c>
      <c r="AW17" s="209">
        <f>VLOOKUP(AP18,$I$1:$R$18,8,FALSE()) *$AW$15</f>
        <v/>
      </c>
      <c r="AX17" s="235">
        <f>VLOOKUP(AP18,$I$1:$R$18,9,FALSE()) *$AX$15</f>
        <v/>
      </c>
      <c r="AY17" s="234">
        <f>VLOOKUP(AP18,$I$1:$R$18,10,FALSE()) * $AY$15</f>
        <v/>
      </c>
      <c r="AZ17" s="236">
        <f>SUM(AQ18:AY18)</f>
        <v/>
      </c>
    </row>
    <row r="18" ht="14.25" customHeight="1" s="175">
      <c r="A18" s="189" t="n"/>
      <c r="B18" s="190" t="n"/>
      <c r="C18" s="191" t="n"/>
      <c r="D18" s="192" t="n"/>
      <c r="F18" s="207" t="n"/>
      <c r="G18" s="173" t="n"/>
      <c r="AM18" s="240" t="n"/>
      <c r="AP18" s="208" t="inlineStr">
        <is>
          <t>Vignesh</t>
        </is>
      </c>
      <c r="AQ18" s="209">
        <f>VLOOKUP(AP19,$I$1:$R$18,2,FALSE()) *$AQ$15</f>
        <v/>
      </c>
      <c r="AR18" s="233">
        <f>VLOOKUP(AP19,$I$1:$R$18,3,FALSE()) *$AR$15</f>
        <v/>
      </c>
      <c r="AS18" s="234">
        <f>VLOOKUP(AP19,$I$1:$R$18,4,FALSE()) * $AS$15</f>
        <v/>
      </c>
      <c r="AT18" s="209">
        <f>VLOOKUP(AP19,$I$1:$R$18,5,FALSE()) *$AT$15</f>
        <v/>
      </c>
      <c r="AU18" s="233">
        <f>VLOOKUP(AP19,$I$1:$R$18,6,FALSE()) *$AU$15</f>
        <v/>
      </c>
      <c r="AV18" s="234">
        <f>VLOOKUP(AP19,$I$1:$R$18,7,FALSE()) * $AV$15</f>
        <v/>
      </c>
      <c r="AW18" s="209">
        <f>VLOOKUP(AP19,$I$1:$R$18,8,FALSE()) *$AW$15</f>
        <v/>
      </c>
      <c r="AX18" s="235">
        <f>VLOOKUP(AP19,$I$1:$R$18,9,FALSE()) *$AX$15</f>
        <v/>
      </c>
      <c r="AY18" s="234">
        <f>VLOOKUP(AP19,$I$1:$R$18,10,FALSE()) * $AY$15</f>
        <v/>
      </c>
      <c r="AZ18" s="236">
        <f>SUM(AQ19:AY19)</f>
        <v/>
      </c>
    </row>
    <row r="19" ht="14.25" customHeight="1" s="175">
      <c r="A19" s="189" t="n"/>
      <c r="B19" s="190" t="n"/>
      <c r="C19" s="191" t="n"/>
      <c r="D19" s="192" t="n"/>
      <c r="E19" s="173" t="n"/>
      <c r="F19" s="207" t="n"/>
      <c r="G19" s="173" t="n"/>
      <c r="I19" s="179" t="inlineStr">
        <is>
          <t>Data By Voice Part (average/person):</t>
        </is>
      </c>
      <c r="J19" s="180" t="n"/>
      <c r="K19" s="180" t="n"/>
      <c r="L19" s="180" t="n"/>
      <c r="M19" s="180" t="n"/>
      <c r="N19" s="180" t="n"/>
      <c r="O19" s="180" t="n"/>
      <c r="P19" s="180" t="n"/>
      <c r="Q19" s="181" t="n"/>
      <c r="AM19" s="240">
        <f>IF(COUNT(U20:AG20)&lt;&gt;0,COUNT(U20:AG20)-1,"")</f>
        <v/>
      </c>
      <c r="AP19" s="208" t="inlineStr">
        <is>
          <t>Cooper</t>
        </is>
      </c>
      <c r="AQ19" s="209">
        <f>VLOOKUP(AP20,$I$1:$R$18,2,FALSE()) *$AQ$15</f>
        <v/>
      </c>
      <c r="AR19" s="233">
        <f>VLOOKUP(AP20,$I$1:$R$18,3,FALSE()) *$AR$15</f>
        <v/>
      </c>
      <c r="AS19" s="234">
        <f>VLOOKUP(AP20,$I$1:$R$18,4,FALSE()) * $AS$15</f>
        <v/>
      </c>
      <c r="AT19" s="209">
        <f>VLOOKUP(AP20,$I$1:$R$18,5,FALSE()) *$AT$15</f>
        <v/>
      </c>
      <c r="AU19" s="233">
        <f>VLOOKUP(AP20,$I$1:$R$18,6,FALSE()) *$AU$15</f>
        <v/>
      </c>
      <c r="AV19" s="234">
        <f>VLOOKUP(AP20,$I$1:$R$18,7,FALSE()) * $AV$15</f>
        <v/>
      </c>
      <c r="AW19" s="209">
        <f>VLOOKUP(AP20,$I$1:$R$18,8,FALSE()) *$AW$15</f>
        <v/>
      </c>
      <c r="AX19" s="235">
        <f>VLOOKUP(AP20,$I$1:$R$18,9,FALSE()) *$AX$15</f>
        <v/>
      </c>
      <c r="AY19" s="234">
        <f>VLOOKUP(AP20,$I$1:$R$18,10,FALSE()) * $AY$15</f>
        <v/>
      </c>
      <c r="AZ19" s="236">
        <f>SUM(AQ20:AY20)</f>
        <v/>
      </c>
    </row>
    <row r="20" ht="15.75" customHeight="1" s="175">
      <c r="A20" s="189" t="n"/>
      <c r="B20" s="190" t="n"/>
      <c r="C20" s="191" t="n"/>
      <c r="D20" s="192" t="n"/>
      <c r="E20" s="173" t="n"/>
      <c r="F20" s="207" t="n"/>
      <c r="G20" s="173" t="n"/>
      <c r="I20" s="226" t="inlineStr">
        <is>
          <t>Part:</t>
        </is>
      </c>
      <c r="J20" s="206" t="inlineStr">
        <is>
          <t>Kills</t>
        </is>
      </c>
      <c r="K20" s="206" t="inlineStr">
        <is>
          <t>Deaths</t>
        </is>
      </c>
      <c r="L20" s="206" t="inlineStr">
        <is>
          <t>KDR</t>
        </is>
      </c>
      <c r="M20" s="206" t="inlineStr">
        <is>
          <t>Kill Points</t>
        </is>
      </c>
      <c r="N20" s="206" t="inlineStr">
        <is>
          <t>Death Points</t>
        </is>
      </c>
      <c r="O20" s="206" t="inlineStr">
        <is>
          <t>KpDpR</t>
        </is>
      </c>
      <c r="P20" s="196" t="inlineStr">
        <is>
          <t>KPts/Kill</t>
        </is>
      </c>
      <c r="Q20" s="206" t="inlineStr">
        <is>
          <t>DPts/Death</t>
        </is>
      </c>
      <c r="AM20" s="240">
        <f>IF(COUNT(U21:AG21)&lt;&gt;0,COUNT(U21:AG21)-1,"")</f>
        <v/>
      </c>
      <c r="AP20" s="208" t="inlineStr">
        <is>
          <t>Evan</t>
        </is>
      </c>
      <c r="AQ20" s="209">
        <f>VLOOKUP(AP21,$I$1:$R$18,2,FALSE()) *$AQ$15</f>
        <v/>
      </c>
      <c r="AR20" s="233">
        <f>VLOOKUP(AP21,$I$1:$R$18,3,FALSE()) *$AR$15</f>
        <v/>
      </c>
      <c r="AS20" s="234">
        <f>VLOOKUP(AP21,$I$1:$R$18,4,FALSE()) * $AS$15</f>
        <v/>
      </c>
      <c r="AT20" s="209">
        <f>VLOOKUP(AP21,$I$1:$R$18,5,FALSE()) *$AT$15</f>
        <v/>
      </c>
      <c r="AU20" s="233">
        <f>VLOOKUP(AP21,$I$1:$R$18,6,FALSE()) *$AU$15</f>
        <v/>
      </c>
      <c r="AV20" s="234">
        <f>VLOOKUP(AP21,$I$1:$R$18,7,FALSE()) * $AV$15</f>
        <v/>
      </c>
      <c r="AW20" s="209">
        <f>VLOOKUP(AP21,$I$1:$R$18,8,FALSE()) *$AW$15</f>
        <v/>
      </c>
      <c r="AX20" s="235">
        <f>VLOOKUP(AP21,$I$1:$R$18,9,FALSE()) *$AX$15</f>
        <v/>
      </c>
      <c r="AY20" s="234">
        <f>VLOOKUP(AP21,$I$1:$R$18,10,FALSE()) * $AY$15</f>
        <v/>
      </c>
      <c r="AZ20" s="236">
        <f>SUM(AQ21:AY21)</f>
        <v/>
      </c>
    </row>
    <row r="21" ht="16.8" customHeight="1" s="175">
      <c r="A21" s="189" t="n"/>
      <c r="B21" s="190" t="n"/>
      <c r="C21" s="191" t="n"/>
      <c r="D21" s="192" t="n"/>
      <c r="F21" s="192" t="n"/>
      <c r="G21" s="173" t="n"/>
      <c r="I21" s="208" t="inlineStr">
        <is>
          <t>Tenors</t>
        </is>
      </c>
      <c r="J21" s="241">
        <f>SUM(J3:J6)/COUNT(J3:J6)</f>
        <v/>
      </c>
      <c r="K21" s="241">
        <f>SUM(K3:K6)/COUNT(K3:K6)</f>
        <v/>
      </c>
      <c r="L21" s="242">
        <f>IF(K22,J22/K22,J22)</f>
        <v/>
      </c>
      <c r="M21" s="241">
        <f>SUM(M3:M6)/COUNT(M3:M6)</f>
        <v/>
      </c>
      <c r="N21" s="241">
        <f>SUM(N3:N6)/COUNT(N3:N6)</f>
        <v/>
      </c>
      <c r="O21" s="242">
        <f>IF(N22,M22/N22,M22)</f>
        <v/>
      </c>
      <c r="P21" s="243">
        <f>IF(J22,M22/J22,0)</f>
        <v/>
      </c>
      <c r="Q21" s="244">
        <f>IF(K22,N22/K22,0)</f>
        <v/>
      </c>
      <c r="S21" s="245" t="n"/>
      <c r="T21" s="246" t="n"/>
      <c r="AM21" s="240">
        <f>IF(COUNT(U22:AG22)&lt;&gt;0,COUNT(U22:AG22)-1,"")</f>
        <v/>
      </c>
      <c r="AP21" s="208" t="inlineStr">
        <is>
          <t>Maxine</t>
        </is>
      </c>
      <c r="AQ21" s="209">
        <f>VLOOKUP(AP22,$I$1:$R$18,2,FALSE()) *$AQ$15</f>
        <v/>
      </c>
      <c r="AR21" s="233">
        <f>VLOOKUP(AP22,$I$1:$R$18,3,FALSE()) *$AR$15</f>
        <v/>
      </c>
      <c r="AS21" s="234">
        <f>VLOOKUP(AP22,$I$1:$R$18,4,FALSE()) * $AS$15</f>
        <v/>
      </c>
      <c r="AT21" s="209">
        <f>VLOOKUP(AP22,$I$1:$R$18,5,FALSE()) *$AT$15</f>
        <v/>
      </c>
      <c r="AU21" s="233">
        <f>VLOOKUP(AP22,$I$1:$R$18,6,FALSE()) *$AU$15</f>
        <v/>
      </c>
      <c r="AV21" s="234">
        <f>VLOOKUP(AP22,$I$1:$R$18,7,FALSE()) * $AV$15</f>
        <v/>
      </c>
      <c r="AW21" s="209">
        <f>VLOOKUP(AP22,$I$1:$R$18,8,FALSE()) *$AW$15</f>
        <v/>
      </c>
      <c r="AX21" s="235">
        <f>VLOOKUP(AP22,$I$1:$R$18,9,FALSE()) *$AX$15</f>
        <v/>
      </c>
      <c r="AY21" s="234">
        <f>VLOOKUP(AP22,$I$1:$R$18,10,FALSE()) * $AY$15</f>
        <v/>
      </c>
      <c r="AZ21" s="236">
        <f>SUM(AQ22:AY22)</f>
        <v/>
      </c>
    </row>
    <row r="22" ht="14.25" customHeight="1" s="175">
      <c r="A22" s="189" t="n"/>
      <c r="B22" s="190" t="n"/>
      <c r="C22" s="191" t="n"/>
      <c r="D22" s="192" t="n"/>
      <c r="E22" s="173" t="n"/>
      <c r="F22" s="207" t="n"/>
      <c r="G22" s="173" t="n"/>
      <c r="I22" s="208" t="inlineStr">
        <is>
          <t>Leads</t>
        </is>
      </c>
      <c r="J22" s="241">
        <f>SUM(J7:J10)/COUNT(J7:J10)</f>
        <v/>
      </c>
      <c r="K22" s="241">
        <f>SUM(K7:K10)/COUNT(K7:K10)</f>
        <v/>
      </c>
      <c r="L22" s="242">
        <f>IF(K23,J23/K23,J23)</f>
        <v/>
      </c>
      <c r="M22" s="241">
        <f>SUM(M7:M10)/COUNT(M7:M10)</f>
        <v/>
      </c>
      <c r="N22" s="241">
        <f>SUM(N7:N10)/COUNT(N7:N10)</f>
        <v/>
      </c>
      <c r="O22" s="242">
        <f>IF(N23,M23/N23,M23)</f>
        <v/>
      </c>
      <c r="P22" s="243">
        <f>IF(J23,M23/J23,0)</f>
        <v/>
      </c>
      <c r="Q22" s="244">
        <f>IF(K23,N23/K23,0)</f>
        <v/>
      </c>
      <c r="S22" s="245" t="n"/>
      <c r="T22" s="246" t="n"/>
      <c r="AP22" s="208" t="inlineStr">
        <is>
          <t>Mikey</t>
        </is>
      </c>
      <c r="AQ22" s="209">
        <f>VLOOKUP(AP23,$I$1:$R$18,2,FALSE()) *$AQ$15</f>
        <v/>
      </c>
      <c r="AR22" s="233">
        <f>VLOOKUP(AP23,$I$1:$R$18,3,FALSE()) *$AR$15</f>
        <v/>
      </c>
      <c r="AS22" s="234">
        <f>VLOOKUP(AP23,$I$1:$R$18,4,FALSE()) * $AS$15</f>
        <v/>
      </c>
      <c r="AT22" s="209">
        <f>VLOOKUP(AP23,$I$1:$R$18,5,FALSE()) *$AT$15</f>
        <v/>
      </c>
      <c r="AU22" s="233">
        <f>VLOOKUP(AP23,$I$1:$R$18,6,FALSE()) *$AU$15</f>
        <v/>
      </c>
      <c r="AV22" s="234">
        <f>VLOOKUP(AP23,$I$1:$R$18,7,FALSE()) * $AV$15</f>
        <v/>
      </c>
      <c r="AW22" s="209">
        <f>VLOOKUP(AP23,$I$1:$R$18,8,FALSE()) *$AW$15</f>
        <v/>
      </c>
      <c r="AX22" s="235">
        <f>VLOOKUP(AP23,$I$1:$R$18,9,FALSE()) *$AX$15</f>
        <v/>
      </c>
      <c r="AY22" s="234">
        <f>VLOOKUP(AP23,$I$1:$R$18,10,FALSE()) * $AY$15</f>
        <v/>
      </c>
      <c r="AZ22" s="236">
        <f>SUM(AQ23:AY23)</f>
        <v/>
      </c>
    </row>
    <row r="23" ht="14.25" customHeight="1" s="175">
      <c r="A23" s="189" t="n"/>
      <c r="B23" s="190" t="n"/>
      <c r="C23" s="191" t="n"/>
      <c r="D23" s="192" t="n"/>
      <c r="F23" s="192" t="n"/>
      <c r="G23" s="173" t="n"/>
      <c r="I23" s="208" t="inlineStr">
        <is>
          <t>Baris</t>
        </is>
      </c>
      <c r="J23" s="241">
        <f>SUM(J11:J14)/COUNT(J11:J14)</f>
        <v/>
      </c>
      <c r="K23" s="241">
        <f>SUM(K11:K14)/COUNT(K11:K14)</f>
        <v/>
      </c>
      <c r="L23" s="242">
        <f>IF(K24,J24/K24,J24)</f>
        <v/>
      </c>
      <c r="M23" s="241">
        <f>SUM(M11:M14)/COUNT(M11:M14)</f>
        <v/>
      </c>
      <c r="N23" s="241">
        <f>SUM(N11:N14)/COUNT(N11:N14)</f>
        <v/>
      </c>
      <c r="O23" s="242">
        <f>IF(N24,M24/N24,M24)</f>
        <v/>
      </c>
      <c r="P23" s="243">
        <f>IF(J24,M24/J24,0)</f>
        <v/>
      </c>
      <c r="Q23" s="244">
        <f>IF(K24,N24/K24,0)</f>
        <v/>
      </c>
      <c r="S23" s="182" t="n"/>
      <c r="AF23" s="246" t="n"/>
      <c r="AP23" s="208" t="inlineStr">
        <is>
          <t>Anthony</t>
        </is>
      </c>
      <c r="AQ23" s="209">
        <f>VLOOKUP(AP24,$I$1:$R$18,2,FALSE()) *$AQ$15</f>
        <v/>
      </c>
      <c r="AR23" s="233">
        <f>VLOOKUP(AP24,$I$1:$R$18,3,FALSE()) *$AR$15</f>
        <v/>
      </c>
      <c r="AS23" s="234">
        <f>VLOOKUP(AP24,$I$1:$R$18,4,FALSE()) * $AS$15</f>
        <v/>
      </c>
      <c r="AT23" s="209">
        <f>VLOOKUP(AP24,$I$1:$R$18,5,FALSE()) *$AT$15</f>
        <v/>
      </c>
      <c r="AU23" s="233">
        <f>VLOOKUP(AP24,$I$1:$R$18,6,FALSE()) *$AU$15</f>
        <v/>
      </c>
      <c r="AV23" s="234">
        <f>VLOOKUP(AP24,$I$1:$R$18,7,FALSE()) * $AV$15</f>
        <v/>
      </c>
      <c r="AW23" s="209">
        <f>VLOOKUP(AP24,$I$1:$R$18,8,FALSE()) *$AW$15</f>
        <v/>
      </c>
      <c r="AX23" s="235">
        <f>VLOOKUP(AP24,$I$1:$R$18,9,FALSE()) *$AX$15</f>
        <v/>
      </c>
      <c r="AY23" s="234">
        <f>VLOOKUP(AP24,$I$1:$R$18,10,FALSE()) * $AY$15</f>
        <v/>
      </c>
      <c r="AZ23" s="236">
        <f>SUM(AQ24:AY24)</f>
        <v/>
      </c>
    </row>
    <row r="24" ht="14.25" customHeight="1" s="175">
      <c r="A24" s="189" t="n"/>
      <c r="B24" s="190" t="n"/>
      <c r="C24" s="191" t="n"/>
      <c r="D24" s="192" t="n"/>
      <c r="E24" s="173" t="n"/>
      <c r="F24" s="207" t="n"/>
      <c r="G24" s="173" t="n"/>
      <c r="I24" s="208" t="inlineStr">
        <is>
          <t>Basses</t>
        </is>
      </c>
      <c r="J24" s="241">
        <f>SUM(J15:J18)/3</f>
        <v/>
      </c>
      <c r="K24" s="241">
        <f>SUM(K17:K18)/3</f>
        <v/>
      </c>
      <c r="L24" s="242">
        <f>IF(K25,J25/K25,J25)</f>
        <v/>
      </c>
      <c r="M24" s="241">
        <f>SUM(M17:M18)/3</f>
        <v/>
      </c>
      <c r="N24" s="241">
        <f>SUM(N17:N18)/3</f>
        <v/>
      </c>
      <c r="O24" s="242">
        <f>IF(N25,M25/N25,M25)</f>
        <v/>
      </c>
      <c r="P24" s="243">
        <f>IF(J25,M25/J25,0)</f>
        <v/>
      </c>
      <c r="Q24" s="244">
        <f>IF(K25,N25/K25,0)</f>
        <v/>
      </c>
      <c r="AP24" s="208" t="inlineStr">
        <is>
          <t>Ethan</t>
        </is>
      </c>
      <c r="AQ24" s="209">
        <f>VLOOKUP(AP25,$I$1:$R$18,2,FALSE()) *$AQ$15</f>
        <v/>
      </c>
      <c r="AR24" s="233">
        <f>VLOOKUP(AP25,$I$1:$R$18,3,FALSE()) *$AR$15</f>
        <v/>
      </c>
      <c r="AS24" s="234">
        <f>VLOOKUP(AP25,$I$1:$R$18,4,FALSE()) * $AS$15</f>
        <v/>
      </c>
      <c r="AT24" s="209">
        <f>VLOOKUP(AP25,$I$1:$R$18,5,FALSE()) *$AT$15</f>
        <v/>
      </c>
      <c r="AU24" s="233">
        <f>VLOOKUP(AP25,$I$1:$R$18,6,FALSE()) *$AU$15</f>
        <v/>
      </c>
      <c r="AV24" s="234">
        <f>VLOOKUP(AP25,$I$1:$R$18,7,FALSE()) * $AV$15</f>
        <v/>
      </c>
      <c r="AW24" s="209">
        <f>VLOOKUP(AP25,$I$1:$R$18,8,FALSE()) *$AW$15</f>
        <v/>
      </c>
      <c r="AX24" s="235">
        <f>VLOOKUP(AP25,$I$1:$R$18,9,FALSE()) *$AX$15</f>
        <v/>
      </c>
      <c r="AY24" s="234">
        <f>VLOOKUP(AP25,$I$1:$R$18,10,FALSE()) * $AY$15</f>
        <v/>
      </c>
      <c r="AZ24" s="236">
        <f>SUM(AQ25:AY25)</f>
        <v/>
      </c>
    </row>
    <row r="25" ht="14.25" customHeight="1" s="175">
      <c r="A25" s="189" t="n"/>
      <c r="B25" s="190" t="n"/>
      <c r="C25" s="191" t="n"/>
      <c r="D25" s="192" t="n"/>
      <c r="F25" s="207" t="n"/>
      <c r="G25" s="173" t="n"/>
      <c r="I25" s="247" t="inlineStr">
        <is>
          <t>Basses (No Reuben)</t>
        </is>
      </c>
      <c r="J25" s="241">
        <f>SUM(J17)/2</f>
        <v/>
      </c>
      <c r="K25" s="241">
        <f>SUM(K17)/2</f>
        <v/>
      </c>
      <c r="L25" s="242">
        <f>IF(K26,J26/K26,J26)</f>
        <v/>
      </c>
      <c r="M25" s="241">
        <f>SUM(M17)/2</f>
        <v/>
      </c>
      <c r="N25" s="241">
        <f>SUM(N17)/2</f>
        <v/>
      </c>
      <c r="O25" s="242">
        <f>IF(N26,M26/N26,M26)</f>
        <v/>
      </c>
      <c r="P25" s="243">
        <f>IF(J26,M26/J26,0)</f>
        <v/>
      </c>
      <c r="Q25" s="244">
        <f>IF(K26,N26/K26,0)</f>
        <v/>
      </c>
      <c r="AP25" s="208" t="inlineStr">
        <is>
          <t>Rob</t>
        </is>
      </c>
      <c r="AQ25" s="209">
        <f>VLOOKUP(AP26,$I$1:$R$18,2,FALSE()) *$AQ$15</f>
        <v/>
      </c>
      <c r="AR25" s="233">
        <f>VLOOKUP(AP26,$I$1:$R$18,3,FALSE()) *$AR$15</f>
        <v/>
      </c>
      <c r="AS25" s="234">
        <f>VLOOKUP(AP26,$I$1:$R$18,4,FALSE()) * $AS$15</f>
        <v/>
      </c>
      <c r="AT25" s="209">
        <f>VLOOKUP(AP26,$I$1:$R$18,5,FALSE()) *$AT$15</f>
        <v/>
      </c>
      <c r="AU25" s="233">
        <f>VLOOKUP(AP26,$I$1:$R$18,6,FALSE()) *$AU$15</f>
        <v/>
      </c>
      <c r="AV25" s="234">
        <f>VLOOKUP(AP26,$I$1:$R$18,7,FALSE()) * $AV$15</f>
        <v/>
      </c>
      <c r="AW25" s="209">
        <f>VLOOKUP(AP26,$I$1:$R$18,8,FALSE()) *$AW$15</f>
        <v/>
      </c>
      <c r="AX25" s="235">
        <f>VLOOKUP(AP26,$I$1:$R$18,9,FALSE()) *$AX$15</f>
        <v/>
      </c>
      <c r="AY25" s="234">
        <f>VLOOKUP(AP26,$I$1:$R$18,10,FALSE()) * $AY$15</f>
        <v/>
      </c>
      <c r="AZ25" s="236">
        <f>SUM(AQ26:AY26)</f>
        <v/>
      </c>
    </row>
    <row r="26" ht="14.25" customHeight="1" s="175">
      <c r="A26" s="189" t="n"/>
      <c r="B26" s="190" t="n"/>
      <c r="C26" s="191" t="n"/>
      <c r="D26" s="192" t="n"/>
      <c r="F26" s="192" t="n"/>
      <c r="G26" s="173" t="n"/>
      <c r="AP26" s="208" t="inlineStr">
        <is>
          <t>Will</t>
        </is>
      </c>
      <c r="AQ26" s="209">
        <f>VLOOKUP(AP27,$I$1:$R$18,2,FALSE()) *$AQ$15</f>
        <v/>
      </c>
      <c r="AR26" s="233">
        <f>VLOOKUP(AP27,$I$1:$R$18,3,FALSE()) *$AR$15</f>
        <v/>
      </c>
      <c r="AS26" s="234">
        <f>VLOOKUP(AP27,$I$1:$R$18,4,FALSE()) * $AS$15</f>
        <v/>
      </c>
      <c r="AT26" s="209">
        <f>VLOOKUP(AP27,$I$1:$R$18,5,FALSE()) *$AT$15</f>
        <v/>
      </c>
      <c r="AU26" s="233">
        <f>VLOOKUP(AP27,$I$1:$R$18,6,FALSE()) *$AU$15</f>
        <v/>
      </c>
      <c r="AV26" s="234">
        <f>VLOOKUP(AP27,$I$1:$R$18,7,FALSE()) * $AV$15</f>
        <v/>
      </c>
      <c r="AW26" s="209">
        <f>VLOOKUP(AP27,$I$1:$R$18,8,FALSE()) *$AW$15</f>
        <v/>
      </c>
      <c r="AX26" s="235">
        <f>VLOOKUP(AP27,$I$1:$R$18,9,FALSE()) *$AX$15</f>
        <v/>
      </c>
      <c r="AY26" s="234">
        <f>VLOOKUP(AP27,$I$1:$R$18,10,FALSE()) * $AY$15</f>
        <v/>
      </c>
      <c r="AZ26" s="236">
        <f>SUM(AQ27:AY27)</f>
        <v/>
      </c>
    </row>
    <row r="27" ht="14.25" customHeight="1" s="175">
      <c r="A27" s="189" t="n"/>
      <c r="B27" s="190" t="n"/>
      <c r="C27" s="191" t="n"/>
      <c r="D27" s="192" t="n"/>
      <c r="F27" s="207" t="n"/>
      <c r="G27" s="173" t="n"/>
      <c r="I27" s="208" t="inlineStr">
        <is>
          <t>Person:</t>
        </is>
      </c>
      <c r="J27" s="216" t="inlineStr">
        <is>
          <t>Kills</t>
        </is>
      </c>
      <c r="S27" s="208" t="inlineStr">
        <is>
          <t>Person:</t>
        </is>
      </c>
      <c r="T27" s="216" t="inlineStr">
        <is>
          <t>Kill Points</t>
        </is>
      </c>
      <c r="AP27" s="208" t="inlineStr">
        <is>
          <t>Erick</t>
        </is>
      </c>
      <c r="AQ27" s="209">
        <f>VLOOKUP(AP28,$I$1:$R$18,2,FALSE()) *$AQ$15</f>
        <v/>
      </c>
      <c r="AR27" s="233">
        <f>VLOOKUP(AP28,$I$1:$R$18,3,FALSE()) *$AR$15</f>
        <v/>
      </c>
      <c r="AS27" s="234">
        <f>VLOOKUP(AP28,$I$1:$R$18,4,FALSE()) * $AS$15</f>
        <v/>
      </c>
      <c r="AT27" s="209">
        <f>VLOOKUP(AP28,$I$1:$R$18,5,FALSE()) *$AT$15</f>
        <v/>
      </c>
      <c r="AU27" s="233">
        <f>VLOOKUP(AP28,$I$1:$R$18,6,FALSE()) *$AU$15</f>
        <v/>
      </c>
      <c r="AV27" s="234">
        <f>VLOOKUP(AP28,$I$1:$R$18,7,FALSE()) * $AV$15</f>
        <v/>
      </c>
      <c r="AW27" s="209">
        <f>VLOOKUP(AP28,$I$1:$R$18,8,FALSE()) *$AW$15</f>
        <v/>
      </c>
      <c r="AX27" s="235">
        <f>VLOOKUP(AP28,$I$1:$R$18,9,FALSE()) *$AX$15</f>
        <v/>
      </c>
      <c r="AY27" s="234">
        <f>VLOOKUP(AP28,$I$1:$R$18,10,FALSE()) * $AY$15</f>
        <v/>
      </c>
      <c r="AZ27" s="236">
        <f>SUM(AQ28:AY28)</f>
        <v/>
      </c>
    </row>
    <row r="28" ht="14.25" customHeight="1" s="175">
      <c r="A28" s="189" t="n"/>
      <c r="B28" s="190" t="n"/>
      <c r="C28" s="191" t="n"/>
      <c r="D28" s="192" t="n"/>
      <c r="F28" s="192" t="n"/>
      <c r="G28" s="173" t="n"/>
      <c r="I28" s="208" t="inlineStr">
        <is>
          <t>Mikey</t>
        </is>
      </c>
      <c r="J28" s="209">
        <f>VLOOKUP(I29,$I$1:$R$18,2,FALSE())</f>
        <v/>
      </c>
      <c r="S28" s="208" t="inlineStr">
        <is>
          <t>Will</t>
        </is>
      </c>
      <c r="T28" s="209">
        <f>VLOOKUP(S29,$I$1:$R$18,5,FALSE())</f>
        <v/>
      </c>
      <c r="AP28" s="208" t="inlineStr">
        <is>
          <t>Joey</t>
        </is>
      </c>
      <c r="AQ28" s="209">
        <f>VLOOKUP(AP29,$I$1:$R$18,2,FALSE()) *$AQ$15</f>
        <v/>
      </c>
      <c r="AR28" s="233">
        <f>VLOOKUP(AP29,$I$1:$R$18,3,FALSE()) *$AR$15</f>
        <v/>
      </c>
      <c r="AS28" s="234">
        <f>VLOOKUP(AP29,$I$1:$R$18,4,FALSE()) * $AS$15</f>
        <v/>
      </c>
      <c r="AT28" s="209">
        <f>VLOOKUP(AP29,$I$1:$R$18,5,FALSE()) *$AT$15</f>
        <v/>
      </c>
      <c r="AU28" s="233">
        <f>VLOOKUP(AP29,$I$1:$R$18,6,FALSE()) *$AU$15</f>
        <v/>
      </c>
      <c r="AV28" s="234">
        <f>VLOOKUP(AP29,$I$1:$R$18,7,FALSE()) * $AV$15</f>
        <v/>
      </c>
      <c r="AW28" s="209">
        <f>VLOOKUP(AP29,$I$1:$R$18,8,FALSE()) *$AW$15</f>
        <v/>
      </c>
      <c r="AX28" s="235">
        <f>VLOOKUP(AP29,$I$1:$R$18,9,FALSE()) *$AX$15</f>
        <v/>
      </c>
      <c r="AY28" s="234">
        <f>VLOOKUP(AP29,$I$1:$R$18,10,FALSE()) * $AY$15</f>
        <v/>
      </c>
      <c r="AZ28" s="236">
        <f>SUM(AQ29:AY29)</f>
        <v/>
      </c>
    </row>
    <row r="29" ht="14.25" customHeight="1" s="175">
      <c r="A29" s="189" t="n"/>
      <c r="B29" s="190" t="n"/>
      <c r="C29" s="191" t="n"/>
      <c r="D29" s="192" t="n"/>
      <c r="F29" s="207" t="n"/>
      <c r="G29" s="173" t="n"/>
      <c r="I29" s="208" t="inlineStr">
        <is>
          <t>Rob</t>
        </is>
      </c>
      <c r="J29" s="209">
        <f>VLOOKUP(I30,$I$1:$R$18,2,FALSE())</f>
        <v/>
      </c>
      <c r="S29" s="208" t="inlineStr">
        <is>
          <t>Peter</t>
        </is>
      </c>
      <c r="T29" s="209">
        <f>VLOOKUP(S30,$I$1:$R$18,5,FALSE())</f>
        <v/>
      </c>
      <c r="AP29" s="208" t="inlineStr">
        <is>
          <t>Peter</t>
        </is>
      </c>
      <c r="AQ29" s="209">
        <f>VLOOKUP(AP30,$I$1:$R$18,2,FALSE()) *$AQ$15</f>
        <v/>
      </c>
      <c r="AR29" s="233">
        <f>VLOOKUP(AP30,$I$1:$R$18,3,FALSE()) *$AR$15</f>
        <v/>
      </c>
      <c r="AS29" s="234">
        <f>VLOOKUP(AP30,$I$1:$R$18,4,FALSE()) * $AS$15</f>
        <v/>
      </c>
      <c r="AT29" s="209">
        <f>VLOOKUP(AP30,$I$1:$R$18,5,FALSE()) *$AT$15</f>
        <v/>
      </c>
      <c r="AU29" s="233">
        <f>VLOOKUP(AP30,$I$1:$R$18,6,FALSE()) *$AU$15</f>
        <v/>
      </c>
      <c r="AV29" s="234">
        <f>VLOOKUP(AP30,$I$1:$R$18,7,FALSE()) * $AV$15</f>
        <v/>
      </c>
      <c r="AW29" s="209">
        <f>VLOOKUP(AP30,$I$1:$R$18,8,FALSE()) *$AW$15</f>
        <v/>
      </c>
      <c r="AX29" s="235">
        <f>VLOOKUP(AP30,$I$1:$R$18,9,FALSE()) *$AX$15</f>
        <v/>
      </c>
      <c r="AY29" s="234">
        <f>VLOOKUP(AP30,$I$1:$R$18,10,FALSE()) * $AY$15</f>
        <v/>
      </c>
      <c r="AZ29" s="236">
        <f>SUM(AQ30:AY30)</f>
        <v/>
      </c>
    </row>
    <row r="30" ht="14.25" customHeight="1" s="175">
      <c r="A30" s="189" t="n"/>
      <c r="B30" s="190" t="n"/>
      <c r="C30" s="191" t="n"/>
      <c r="D30" s="192" t="n"/>
      <c r="F30" s="207" t="n"/>
      <c r="G30" s="173" t="n"/>
      <c r="I30" s="208" t="inlineStr">
        <is>
          <t>Lucy</t>
        </is>
      </c>
      <c r="J30" s="209">
        <f>VLOOKUP(I31,$I$1:$R$18,2,FALSE())</f>
        <v/>
      </c>
      <c r="S30" s="208" t="inlineStr">
        <is>
          <t>Mikey</t>
        </is>
      </c>
      <c r="T30" s="209">
        <f>VLOOKUP(S31,$I$1:$R$18,5,FALSE())</f>
        <v/>
      </c>
      <c r="AP30" s="208" t="inlineStr">
        <is>
          <t>Reuben</t>
        </is>
      </c>
      <c r="AQ30" s="209">
        <f>VLOOKUP(AP31,$I$1:$R$18,2,FALSE()) *$AQ$15</f>
        <v/>
      </c>
      <c r="AR30" s="233">
        <f>VLOOKUP(AP31,$I$1:$R$18,3,FALSE()) *$AR$15</f>
        <v/>
      </c>
      <c r="AS30" s="234">
        <f>VLOOKUP(AP31,$I$1:$R$18,4,FALSE()) * $AS$15</f>
        <v/>
      </c>
      <c r="AT30" s="209">
        <f>VLOOKUP(AP31,$I$1:$R$18,5,FALSE()) *$AT$15</f>
        <v/>
      </c>
      <c r="AU30" s="233">
        <f>VLOOKUP(AP31,$I$1:$R$18,6,FALSE()) *$AU$15</f>
        <v/>
      </c>
      <c r="AV30" s="234">
        <f>VLOOKUP(AP31,$I$1:$R$18,7,FALSE()) * $AV$15</f>
        <v/>
      </c>
      <c r="AW30" s="209">
        <f>VLOOKUP(AP31,$I$1:$R$18,8,FALSE()) *$AW$15</f>
        <v/>
      </c>
      <c r="AX30" s="235">
        <f>VLOOKUP(AP31,$I$1:$R$18,9,FALSE()) *$AX$15</f>
        <v/>
      </c>
      <c r="AY30" s="234">
        <f>VLOOKUP(AP31,$I$1:$R$18,10,FALSE()) * $AY$15</f>
        <v/>
      </c>
      <c r="AZ30" s="236">
        <f>SUM(AQ31:AY31)</f>
        <v/>
      </c>
    </row>
    <row r="31" ht="14.25" customHeight="1" s="175">
      <c r="A31" s="189" t="n"/>
      <c r="B31" s="190" t="n"/>
      <c r="C31" s="191" t="n"/>
      <c r="D31" s="192" t="n"/>
      <c r="F31" s="207" t="n"/>
      <c r="G31" s="173" t="n"/>
      <c r="I31" s="208" t="inlineStr">
        <is>
          <t>Will</t>
        </is>
      </c>
      <c r="J31" s="209">
        <f>VLOOKUP(I32,$I$1:$R$18,2,FALSE())</f>
        <v/>
      </c>
      <c r="S31" s="208" t="inlineStr">
        <is>
          <t>Lucy</t>
        </is>
      </c>
      <c r="T31" s="209">
        <f>VLOOKUP(S32,$I$1:$R$18,5,FALSE())</f>
        <v/>
      </c>
    </row>
    <row r="32" ht="14.25" customHeight="1" s="175">
      <c r="A32" s="189" t="n"/>
      <c r="B32" s="190" t="n"/>
      <c r="C32" s="191" t="n"/>
      <c r="D32" s="192" t="n"/>
      <c r="F32" s="207" t="n"/>
      <c r="G32" s="173" t="n"/>
      <c r="I32" s="208" t="inlineStr">
        <is>
          <t>Peter</t>
        </is>
      </c>
      <c r="J32" s="209">
        <f>VLOOKUP(I33,$I$1:$R$18,2,FALSE())</f>
        <v/>
      </c>
      <c r="S32" s="208" t="inlineStr">
        <is>
          <t>Rob</t>
        </is>
      </c>
      <c r="T32" s="209">
        <f>VLOOKUP(S33,$I$1:$R$18,5,FALSE())</f>
        <v/>
      </c>
      <c r="AJ32" s="246" t="n"/>
    </row>
    <row r="33" ht="14.25" customHeight="1" s="175">
      <c r="A33" s="189" t="n"/>
      <c r="B33" s="190" t="n"/>
      <c r="C33" s="191" t="n"/>
      <c r="D33" s="192" t="n"/>
      <c r="F33" s="207" t="n"/>
      <c r="G33" s="173" t="n"/>
      <c r="I33" s="208" t="inlineStr">
        <is>
          <t>Evan</t>
        </is>
      </c>
      <c r="J33" s="209">
        <f>VLOOKUP(I34,$I$1:$R$18,2,FALSE())</f>
        <v/>
      </c>
      <c r="S33" s="208" t="inlineStr">
        <is>
          <t>Evan</t>
        </is>
      </c>
      <c r="T33" s="209">
        <f>VLOOKUP(S34,$I$1:$R$18,5,FALSE())</f>
        <v/>
      </c>
      <c r="AJ33" s="246" t="n"/>
    </row>
    <row r="34" ht="14.25" customHeight="1" s="175">
      <c r="A34" s="189" t="n"/>
      <c r="B34" s="190" t="n"/>
      <c r="C34" s="191" t="n"/>
      <c r="D34" s="192" t="n"/>
      <c r="F34" s="192" t="n"/>
      <c r="G34" s="173" t="n"/>
      <c r="I34" s="208" t="inlineStr">
        <is>
          <t>Anthony</t>
        </is>
      </c>
      <c r="J34" s="209">
        <f>VLOOKUP(I35,$I$1:$R$18,2,FALSE())</f>
        <v/>
      </c>
      <c r="S34" s="208" t="inlineStr">
        <is>
          <t>Anthony</t>
        </is>
      </c>
      <c r="T34" s="209">
        <f>VLOOKUP(S35,$I$1:$R$18,5,FALSE())</f>
        <v/>
      </c>
      <c r="AJ34" s="246" t="n"/>
      <c r="AP34" s="248" t="inlineStr">
        <is>
          <t>Person:</t>
        </is>
      </c>
      <c r="AQ34" s="249" t="inlineStr">
        <is>
          <t>Score</t>
        </is>
      </c>
      <c r="AR34" s="249" t="inlineStr">
        <is>
          <t>Adjusted</t>
        </is>
      </c>
      <c r="AS34" s="246" t="n"/>
    </row>
    <row r="35" ht="14.25" customHeight="1" s="175">
      <c r="A35" s="189" t="n"/>
      <c r="B35" s="190" t="n"/>
      <c r="C35" s="191" t="n"/>
      <c r="D35" s="192" t="n"/>
      <c r="F35" s="207" t="n"/>
      <c r="G35" s="173" t="n"/>
      <c r="I35" s="208" t="inlineStr">
        <is>
          <t>Carter</t>
        </is>
      </c>
      <c r="J35" s="209">
        <f>VLOOKUP(I36,$I$1:$R$18,2,FALSE())</f>
        <v/>
      </c>
      <c r="S35" s="208" t="inlineStr">
        <is>
          <t>Carter</t>
        </is>
      </c>
      <c r="T35" s="209">
        <f>VLOOKUP(S36,$I$1:$R$18,5,FALSE())</f>
        <v/>
      </c>
      <c r="AJ35" s="246" t="n"/>
      <c r="AO35" s="250" t="inlineStr">
        <is>
          <t>Hmm maybe it's rigged</t>
        </is>
      </c>
      <c r="AP35" s="208" t="inlineStr">
        <is>
          <t>Peter</t>
        </is>
      </c>
      <c r="AQ35" s="236">
        <f>VLOOKUP(AP36,$AP$13:$AZ$31,11,FALSE())</f>
        <v/>
      </c>
      <c r="AR35" s="251">
        <f>AQ36-$AQ$51</f>
        <v/>
      </c>
      <c r="AS35" s="173" t="n">
        <v>1</v>
      </c>
    </row>
    <row r="36" ht="14.25" customHeight="1" s="175">
      <c r="A36" s="189" t="n"/>
      <c r="B36" s="190" t="n"/>
      <c r="C36" s="191" t="n"/>
      <c r="D36" s="192" t="n"/>
      <c r="F36" s="192" t="n"/>
      <c r="G36" s="173" t="n"/>
      <c r="I36" s="208" t="inlineStr">
        <is>
          <t>Vignesh</t>
        </is>
      </c>
      <c r="J36" s="209">
        <f>VLOOKUP(I37,$I$1:$R$18,2,FALSE())</f>
        <v/>
      </c>
      <c r="S36" s="208" t="inlineStr">
        <is>
          <t>Vignesh</t>
        </is>
      </c>
      <c r="T36" s="209">
        <f>VLOOKUP(S37,$I$1:$R$18,5,FALSE())</f>
        <v/>
      </c>
      <c r="AJ36" s="246" t="n"/>
      <c r="AP36" s="208" t="inlineStr">
        <is>
          <t>Will</t>
        </is>
      </c>
      <c r="AQ36" s="236">
        <f>VLOOKUP(AP37,$AP$13:$AZ$31,11,FALSE())</f>
        <v/>
      </c>
      <c r="AR36" s="251">
        <f>AQ37-$AQ$51</f>
        <v/>
      </c>
      <c r="AS36" s="173" t="n">
        <v>2</v>
      </c>
    </row>
    <row r="37" ht="14.25" customHeight="1" s="175">
      <c r="A37" s="189" t="n"/>
      <c r="B37" s="190" t="n"/>
      <c r="C37" s="191" t="n"/>
      <c r="D37" s="192" t="n"/>
      <c r="F37" s="207" t="n"/>
      <c r="G37" s="173" t="n"/>
      <c r="I37" s="208" t="inlineStr">
        <is>
          <t>Ethan</t>
        </is>
      </c>
      <c r="J37" s="209">
        <f>VLOOKUP(I38,$I$1:$R$18,2,FALSE())</f>
        <v/>
      </c>
      <c r="S37" s="208" t="inlineStr">
        <is>
          <t>Ethan</t>
        </is>
      </c>
      <c r="T37" s="209">
        <f>VLOOKUP(S38,$I$1:$R$18,5,FALSE())</f>
        <v/>
      </c>
      <c r="AJ37" s="246" t="n"/>
      <c r="AP37" s="208" t="inlineStr">
        <is>
          <t>Carter</t>
        </is>
      </c>
      <c r="AQ37" s="236">
        <f>VLOOKUP(AP38,$AP$13:$AZ$31,11,FALSE())</f>
        <v/>
      </c>
      <c r="AR37" s="251">
        <f>AQ38-$AQ$51</f>
        <v/>
      </c>
      <c r="AS37" s="173" t="n">
        <v>3</v>
      </c>
    </row>
    <row r="38" ht="14.25" customHeight="1" s="175">
      <c r="A38" s="189" t="n"/>
      <c r="B38" s="190" t="n"/>
      <c r="C38" s="191" t="n"/>
      <c r="D38" s="192" t="n"/>
      <c r="F38" s="207" t="n"/>
      <c r="G38" s="173" t="n"/>
      <c r="I38" s="208" t="inlineStr">
        <is>
          <t>Maxine</t>
        </is>
      </c>
      <c r="J38" s="209">
        <f>VLOOKUP(I39,$I$1:$R$18,2,FALSE())</f>
        <v/>
      </c>
      <c r="S38" s="208" t="inlineStr">
        <is>
          <t>Maxine</t>
        </is>
      </c>
      <c r="T38" s="209">
        <f>VLOOKUP(S39,$I$1:$R$18,5,FALSE())</f>
        <v/>
      </c>
      <c r="AJ38" s="246" t="n"/>
      <c r="AP38" s="208" t="inlineStr">
        <is>
          <t>Evan</t>
        </is>
      </c>
      <c r="AQ38" s="236">
        <f>VLOOKUP(AP39,$AP$13:$AZ$31,11,FALSE())</f>
        <v/>
      </c>
      <c r="AR38" s="251">
        <f>AQ39-$AQ$51</f>
        <v/>
      </c>
      <c r="AS38" s="173" t="n">
        <v>4</v>
      </c>
    </row>
    <row r="39" ht="14.25" customHeight="1" s="175">
      <c r="A39" s="189" t="n"/>
      <c r="B39" s="190" t="n"/>
      <c r="C39" s="191" t="n"/>
      <c r="D39" s="192" t="n"/>
      <c r="F39" s="207" t="n"/>
      <c r="G39" s="173" t="n"/>
      <c r="I39" s="208" t="inlineStr">
        <is>
          <t>Grady</t>
        </is>
      </c>
      <c r="J39" s="209">
        <f>VLOOKUP(I40,$I$1:$R$18,2,FALSE())</f>
        <v/>
      </c>
      <c r="S39" s="208" t="inlineStr">
        <is>
          <t>Grady</t>
        </is>
      </c>
      <c r="T39" s="209">
        <f>VLOOKUP(S40,$I$1:$R$18,5,FALSE())</f>
        <v/>
      </c>
      <c r="AJ39" s="246" t="n"/>
      <c r="AP39" s="208" t="inlineStr">
        <is>
          <t>Vignesh</t>
        </is>
      </c>
      <c r="AQ39" s="236">
        <f>VLOOKUP(AP40,$AP$13:$AZ$31,11,FALSE())</f>
        <v/>
      </c>
      <c r="AR39" s="251">
        <f>AQ40-$AQ$51</f>
        <v/>
      </c>
      <c r="AS39" s="173" t="n">
        <v>5</v>
      </c>
    </row>
    <row r="40" ht="14.25" customHeight="1" s="175">
      <c r="A40" s="189" t="n"/>
      <c r="B40" s="190" t="n"/>
      <c r="C40" s="191" t="n"/>
      <c r="D40" s="192" t="n"/>
      <c r="F40" s="192" t="n"/>
      <c r="G40" s="173" t="n"/>
      <c r="I40" s="208" t="inlineStr">
        <is>
          <t>Cooper</t>
        </is>
      </c>
      <c r="J40" s="209">
        <f>VLOOKUP(I41,$I$1:$R$18,2,FALSE())</f>
        <v/>
      </c>
      <c r="S40" s="208" t="inlineStr">
        <is>
          <t>Cooper</t>
        </is>
      </c>
      <c r="T40" s="209">
        <f>VLOOKUP(S41,$I$1:$R$18,5,FALSE())</f>
        <v/>
      </c>
      <c r="AJ40" s="246" t="n"/>
      <c r="AP40" s="208" t="inlineStr">
        <is>
          <t>Ethan</t>
        </is>
      </c>
      <c r="AQ40" s="236">
        <f>VLOOKUP(AP41,$AP$13:$AZ$31,11,FALSE())</f>
        <v/>
      </c>
      <c r="AR40" s="251">
        <f>AQ41-$AQ$51</f>
        <v/>
      </c>
      <c r="AS40" s="173" t="n">
        <v>6</v>
      </c>
    </row>
    <row r="41" ht="14.25" customHeight="1" s="175">
      <c r="A41" s="189" t="n"/>
      <c r="B41" s="190" t="n"/>
      <c r="C41" s="191" t="n"/>
      <c r="D41" s="192" t="n"/>
      <c r="F41" s="207" t="n"/>
      <c r="G41" s="173" t="n"/>
      <c r="I41" s="208" t="inlineStr">
        <is>
          <t>Joey</t>
        </is>
      </c>
      <c r="J41" s="209">
        <f>VLOOKUP(I42,$I$1:$R$18,2,FALSE())</f>
        <v/>
      </c>
      <c r="S41" s="208" t="inlineStr">
        <is>
          <t>Joey</t>
        </is>
      </c>
      <c r="T41" s="209">
        <f>VLOOKUP(S42,$I$1:$R$18,5,FALSE())</f>
        <v/>
      </c>
      <c r="AJ41" s="246" t="n"/>
      <c r="AP41" s="208" t="inlineStr">
        <is>
          <t>Maxine</t>
        </is>
      </c>
      <c r="AQ41" s="236">
        <f>VLOOKUP(AP42,$AP$13:$AZ$31,11,FALSE())</f>
        <v/>
      </c>
      <c r="AR41" s="251">
        <f>AQ42-$AQ$51</f>
        <v/>
      </c>
      <c r="AS41" s="173" t="n">
        <v>7</v>
      </c>
    </row>
    <row r="42" ht="14.25" customHeight="1" s="175">
      <c r="A42" s="189" t="n"/>
      <c r="B42" s="190" t="n"/>
      <c r="C42" s="191" t="n"/>
      <c r="D42" s="192" t="n"/>
      <c r="F42" s="207" t="n"/>
      <c r="G42" s="173" t="n"/>
      <c r="I42" s="208" t="inlineStr">
        <is>
          <t>Erick</t>
        </is>
      </c>
      <c r="J42" s="209">
        <f>VLOOKUP(I43,$I$1:$R$18,2,FALSE())</f>
        <v/>
      </c>
      <c r="S42" s="208" t="inlineStr">
        <is>
          <t>Erick</t>
        </is>
      </c>
      <c r="T42" s="209">
        <f>VLOOKUP(S43,$I$1:$R$18,5,FALSE())</f>
        <v/>
      </c>
      <c r="AJ42" s="246" t="n"/>
      <c r="AP42" s="208" t="inlineStr">
        <is>
          <t>Lucy</t>
        </is>
      </c>
      <c r="AQ42" s="236">
        <f>VLOOKUP(AP43,$AP$13:$AZ$31,11,FALSE())</f>
        <v/>
      </c>
      <c r="AR42" s="251">
        <f>AQ43-$AQ$51</f>
        <v/>
      </c>
      <c r="AS42" s="173" t="n">
        <v>8</v>
      </c>
    </row>
    <row r="43" ht="14.25" customHeight="1" s="175">
      <c r="A43" s="189" t="n"/>
      <c r="B43" s="190" t="n"/>
      <c r="C43" s="191" t="n"/>
      <c r="D43" s="192" t="n"/>
      <c r="F43" s="207" t="n"/>
      <c r="G43" s="173" t="n"/>
      <c r="I43" s="208" t="inlineStr">
        <is>
          <t>Reuben</t>
        </is>
      </c>
      <c r="J43" s="209">
        <f>VLOOKUP(I44,$I$1:$R$18,2,FALSE())</f>
        <v/>
      </c>
      <c r="S43" s="208" t="inlineStr">
        <is>
          <t>Reuben</t>
        </is>
      </c>
      <c r="T43" s="209">
        <f>VLOOKUP(S44,$I$1:$R$18,5,FALSE())</f>
        <v/>
      </c>
      <c r="AJ43" s="246" t="n"/>
      <c r="AP43" s="208" t="inlineStr">
        <is>
          <t>Mikey</t>
        </is>
      </c>
      <c r="AQ43" s="236">
        <f>VLOOKUP(AP44,$AP$13:$AZ$31,11,FALSE())</f>
        <v/>
      </c>
      <c r="AR43" s="251">
        <f>AQ44-$AQ$51</f>
        <v/>
      </c>
      <c r="AS43" s="173" t="n">
        <v>9</v>
      </c>
    </row>
    <row r="44" ht="14.25" customHeight="1" s="175">
      <c r="A44" s="189" t="n"/>
      <c r="B44" s="190" t="n"/>
      <c r="C44" s="191" t="n"/>
      <c r="D44" s="192" t="n"/>
      <c r="F44" s="192" t="n"/>
      <c r="G44" s="173" t="n"/>
      <c r="AJ44" s="246" t="n"/>
      <c r="AP44" s="208" t="inlineStr">
        <is>
          <t>Rob</t>
        </is>
      </c>
      <c r="AQ44" s="236">
        <f>VLOOKUP(AP45,$AP$13:$AZ$31,11,FALSE())</f>
        <v/>
      </c>
      <c r="AR44" s="251">
        <f>AQ45-$AQ$51</f>
        <v/>
      </c>
      <c r="AS44" s="173" t="n">
        <v>10</v>
      </c>
    </row>
    <row r="45" ht="14.25" customHeight="1" s="175">
      <c r="A45" s="189" t="n"/>
      <c r="B45" s="190" t="n"/>
      <c r="C45" s="191" t="n"/>
      <c r="D45" s="192" t="n"/>
      <c r="E45" s="173" t="n"/>
      <c r="F45" s="207" t="n"/>
      <c r="G45" s="173" t="n"/>
      <c r="I45" s="208" t="inlineStr">
        <is>
          <t>Person:</t>
        </is>
      </c>
      <c r="J45" s="216" t="inlineStr">
        <is>
          <t>Deaths</t>
        </is>
      </c>
      <c r="S45" s="208" t="inlineStr">
        <is>
          <t>Person:</t>
        </is>
      </c>
      <c r="T45" s="216" t="inlineStr">
        <is>
          <t>Death Points</t>
        </is>
      </c>
      <c r="AP45" s="208" t="inlineStr">
        <is>
          <t>Anthony</t>
        </is>
      </c>
      <c r="AQ45" s="236">
        <f>VLOOKUP(AP46,$AP$13:$AZ$31,11,FALSE())</f>
        <v/>
      </c>
      <c r="AR45" s="251">
        <f>AQ46-$AQ$51</f>
        <v/>
      </c>
      <c r="AS45" s="173" t="n">
        <v>11</v>
      </c>
    </row>
    <row r="46" ht="14.25" customHeight="1" s="175">
      <c r="A46" s="189" t="n"/>
      <c r="B46" s="190" t="n"/>
      <c r="C46" s="191" t="n"/>
      <c r="D46" s="192" t="n"/>
      <c r="E46" s="173" t="n"/>
      <c r="F46" s="207" t="n"/>
      <c r="G46" s="173" t="n"/>
      <c r="I46" s="208" t="inlineStr">
        <is>
          <t>Mikey</t>
        </is>
      </c>
      <c r="J46" s="209">
        <f>VLOOKUP(I47,$I$1:$R$18,3,FALSE())</f>
        <v/>
      </c>
      <c r="S46" s="208" t="inlineStr">
        <is>
          <t>Mikey</t>
        </is>
      </c>
      <c r="T46" s="209">
        <f>VLOOKUP(S47,$I$1:$R$18,6,FALSE())</f>
        <v/>
      </c>
      <c r="AP46" s="208" t="inlineStr">
        <is>
          <t>Grady</t>
        </is>
      </c>
      <c r="AQ46" s="236">
        <f>VLOOKUP(AP47,$AP$13:$AZ$31,11,FALSE())</f>
        <v/>
      </c>
      <c r="AR46" s="251">
        <f>AQ47-$AQ$51</f>
        <v/>
      </c>
      <c r="AS46" s="173" t="n">
        <v>12</v>
      </c>
    </row>
    <row r="47" ht="14.25" customHeight="1" s="175">
      <c r="A47" s="189" t="n"/>
      <c r="B47" s="190" t="n"/>
      <c r="C47" s="191" t="n"/>
      <c r="D47" s="192" t="n"/>
      <c r="F47" s="207" t="n"/>
      <c r="G47" s="173" t="n"/>
      <c r="I47" s="208" t="inlineStr">
        <is>
          <t>Rob</t>
        </is>
      </c>
      <c r="J47" s="209">
        <f>VLOOKUP(I48,$I$1:$R$18,3,FALSE())</f>
        <v/>
      </c>
      <c r="S47" s="208" t="inlineStr">
        <is>
          <t>Rob</t>
        </is>
      </c>
      <c r="T47" s="209">
        <f>VLOOKUP(S48,$I$1:$R$18,6,FALSE())</f>
        <v/>
      </c>
      <c r="AP47" s="208" t="inlineStr">
        <is>
          <t>Joey</t>
        </is>
      </c>
      <c r="AQ47" s="236">
        <f>VLOOKUP(AP48,$AP$13:$AZ$31,11,FALSE())</f>
        <v/>
      </c>
      <c r="AR47" s="251">
        <f>AQ48-$AQ$51</f>
        <v/>
      </c>
      <c r="AS47" s="173" t="n">
        <v>13</v>
      </c>
    </row>
    <row r="48" ht="14.25" customHeight="1" s="175">
      <c r="A48" s="189" t="n"/>
      <c r="B48" s="190" t="n"/>
      <c r="C48" s="191" t="n"/>
      <c r="D48" s="192" t="n"/>
      <c r="F48" s="207" t="n"/>
      <c r="G48" s="173" t="n"/>
      <c r="I48" s="208" t="inlineStr">
        <is>
          <t>Lucy</t>
        </is>
      </c>
      <c r="J48" s="209">
        <f>VLOOKUP(I49,$I$1:$R$18,3,FALSE())</f>
        <v/>
      </c>
      <c r="S48" s="208" t="inlineStr">
        <is>
          <t>Lucy</t>
        </is>
      </c>
      <c r="T48" s="209">
        <f>VLOOKUP(S49,$I$1:$R$18,6,FALSE())</f>
        <v/>
      </c>
      <c r="AP48" s="208" t="inlineStr">
        <is>
          <t>Erick</t>
        </is>
      </c>
      <c r="AQ48" s="236">
        <f>VLOOKUP(AP49,$AP$13:$AZ$31,11,FALSE())</f>
        <v/>
      </c>
      <c r="AR48" s="251">
        <f>AQ49-$AQ$51</f>
        <v/>
      </c>
      <c r="AS48" s="173" t="n">
        <v>14</v>
      </c>
    </row>
    <row r="49" ht="14.25" customHeight="1" s="175">
      <c r="A49" s="189" t="n"/>
      <c r="B49" s="190" t="n"/>
      <c r="C49" s="191" t="n"/>
      <c r="D49" s="192" t="n"/>
      <c r="F49" s="207" t="n"/>
      <c r="G49" s="173" t="n"/>
      <c r="I49" s="208" t="inlineStr">
        <is>
          <t>Anthony</t>
        </is>
      </c>
      <c r="J49" s="209">
        <f>VLOOKUP(I50,$I$1:$R$18,3,FALSE())</f>
        <v/>
      </c>
      <c r="S49" s="208" t="inlineStr">
        <is>
          <t>Anthony</t>
        </is>
      </c>
      <c r="T49" s="209">
        <f>VLOOKUP(S50,$I$1:$R$18,6,FALSE())</f>
        <v/>
      </c>
      <c r="AO49" s="250" t="inlineStr">
        <is>
          <t>Best fodder</t>
        </is>
      </c>
      <c r="AP49" s="208" t="inlineStr">
        <is>
          <t>Cooper</t>
        </is>
      </c>
      <c r="AQ49" s="236">
        <f>VLOOKUP(AP50,$AP$13:$AZ$31,11,FALSE())</f>
        <v/>
      </c>
      <c r="AR49" s="251">
        <f>AQ50-$AQ$51</f>
        <v/>
      </c>
      <c r="AS49" s="173" t="n">
        <v>15</v>
      </c>
    </row>
    <row r="50" ht="14.25" customHeight="1" s="175">
      <c r="A50" s="189" t="n"/>
      <c r="B50" s="190" t="n"/>
      <c r="C50" s="191" t="n"/>
      <c r="D50" s="192" t="n"/>
      <c r="F50" s="207" t="n"/>
      <c r="G50" s="173" t="n"/>
      <c r="I50" s="208" t="inlineStr">
        <is>
          <t>Reuben</t>
        </is>
      </c>
      <c r="J50" s="209">
        <f>VLOOKUP(I51,$I$1:$R$18,3,FALSE())</f>
        <v/>
      </c>
      <c r="S50" s="208" t="inlineStr">
        <is>
          <t>Reuben</t>
        </is>
      </c>
      <c r="T50" s="209">
        <f>VLOOKUP(S51,$I$1:$R$18,6,FALSE())</f>
        <v/>
      </c>
      <c r="AO50" s="250" t="inlineStr">
        <is>
          <t>Same as it ever was</t>
        </is>
      </c>
      <c r="AP50" s="208" t="inlineStr">
        <is>
          <t>Reuben</t>
        </is>
      </c>
      <c r="AQ50" s="236">
        <f>VLOOKUP(AP51,$AP$13:$AZ$31,11,FALSE())</f>
        <v/>
      </c>
      <c r="AR50" s="251">
        <f>AQ51-$AQ$51</f>
        <v/>
      </c>
      <c r="AS50" s="173" t="n">
        <v>16</v>
      </c>
    </row>
    <row r="51" ht="14.25" customHeight="1" s="175">
      <c r="A51" s="189" t="n"/>
      <c r="B51" s="190" t="n"/>
      <c r="C51" s="191" t="n"/>
      <c r="D51" s="192" t="n"/>
      <c r="F51" s="207" t="n"/>
      <c r="G51" s="173" t="n"/>
      <c r="I51" s="208" t="inlineStr">
        <is>
          <t>Evan</t>
        </is>
      </c>
      <c r="J51" s="209">
        <f>VLOOKUP(I52,$I$1:$R$18,3,FALSE())</f>
        <v/>
      </c>
      <c r="S51" s="208" t="inlineStr">
        <is>
          <t>Evan</t>
        </is>
      </c>
      <c r="T51" s="209">
        <f>VLOOKUP(S52,$I$1:$R$18,6,FALSE())</f>
        <v/>
      </c>
    </row>
    <row r="52" ht="14.25" customHeight="1" s="175">
      <c r="A52" s="189" t="n"/>
      <c r="B52" s="190" t="n"/>
      <c r="C52" s="191" t="n"/>
      <c r="D52" s="192" t="n"/>
      <c r="F52" s="207" t="n"/>
      <c r="G52" s="173" t="n"/>
      <c r="I52" s="208" t="inlineStr">
        <is>
          <t>Will</t>
        </is>
      </c>
      <c r="J52" s="209">
        <f>VLOOKUP(I53,$I$1:$R$18,3,FALSE())</f>
        <v/>
      </c>
      <c r="S52" s="208" t="inlineStr">
        <is>
          <t>Will</t>
        </is>
      </c>
      <c r="T52" s="209">
        <f>VLOOKUP(S53,$I$1:$R$18,6,FALSE())</f>
        <v/>
      </c>
    </row>
    <row r="53" ht="14.25" customHeight="1" s="175">
      <c r="A53" s="189" t="n"/>
      <c r="B53" s="190" t="n"/>
      <c r="C53" s="191" t="n"/>
      <c r="D53" s="192" t="n"/>
      <c r="F53" s="207" t="n"/>
      <c r="G53" s="173" t="n"/>
      <c r="I53" s="208" t="inlineStr">
        <is>
          <t>Vignesh</t>
        </is>
      </c>
      <c r="J53" s="209">
        <f>VLOOKUP(I54,$I$1:$R$18,3,FALSE())</f>
        <v/>
      </c>
      <c r="S53" s="208" t="inlineStr">
        <is>
          <t>Ethan</t>
        </is>
      </c>
      <c r="T53" s="209">
        <f>VLOOKUP(S54,$I$1:$R$18,6,FALSE())</f>
        <v/>
      </c>
    </row>
    <row r="54" ht="14.25" customHeight="1" s="175">
      <c r="A54" s="189" t="n"/>
      <c r="B54" s="190" t="n"/>
      <c r="C54" s="191" t="n"/>
      <c r="D54" s="192" t="n"/>
      <c r="F54" s="207" t="n"/>
      <c r="G54" s="173" t="n"/>
      <c r="I54" s="208" t="inlineStr">
        <is>
          <t>Ethan</t>
        </is>
      </c>
      <c r="J54" s="209">
        <f>VLOOKUP(I55,$I$1:$R$18,3,FALSE())</f>
        <v/>
      </c>
      <c r="S54" s="208" t="inlineStr">
        <is>
          <t>Vignesh</t>
        </is>
      </c>
      <c r="T54" s="209">
        <f>VLOOKUP(S55,$I$1:$R$18,6,FALSE())</f>
        <v/>
      </c>
      <c r="AP54" s="246" t="n"/>
      <c r="AQ54" s="246" t="n"/>
      <c r="AR54" s="246" t="n"/>
    </row>
    <row r="55" ht="14.25" customHeight="1" s="175">
      <c r="A55" s="189" t="n"/>
      <c r="B55" s="190" t="n"/>
      <c r="C55" s="191" t="n"/>
      <c r="D55" s="192" t="n"/>
      <c r="F55" s="207" t="n"/>
      <c r="G55" s="173" t="n"/>
      <c r="I55" s="208" t="inlineStr">
        <is>
          <t>Carter</t>
        </is>
      </c>
      <c r="J55" s="209">
        <f>VLOOKUP(I56,$I$1:$R$18,3,FALSE())</f>
        <v/>
      </c>
      <c r="S55" s="208" t="inlineStr">
        <is>
          <t>Carter</t>
        </is>
      </c>
      <c r="T55" s="209">
        <f>VLOOKUP(S56,$I$1:$R$18,6,FALSE())</f>
        <v/>
      </c>
      <c r="AP55" s="179" t="inlineStr">
        <is>
          <t>Overall Part Winner Chart Decision Matrix</t>
        </is>
      </c>
      <c r="AQ55" s="180" t="n"/>
      <c r="AR55" s="180" t="n"/>
      <c r="AS55" s="180" t="n"/>
      <c r="AT55" s="180" t="n"/>
      <c r="AU55" s="180" t="n"/>
      <c r="AV55" s="180" t="n"/>
      <c r="AW55" s="180" t="n"/>
      <c r="AX55" s="181" t="n"/>
    </row>
    <row r="56" ht="14.25" customHeight="1" s="175">
      <c r="A56" s="189" t="n"/>
      <c r="B56" s="190" t="n"/>
      <c r="C56" s="191" t="n"/>
      <c r="D56" s="173" t="n"/>
      <c r="E56" s="173" t="n"/>
      <c r="F56" s="173" t="n"/>
      <c r="G56" s="173" t="n"/>
      <c r="I56" s="208" t="inlineStr">
        <is>
          <t>Peter</t>
        </is>
      </c>
      <c r="J56" s="209">
        <f>VLOOKUP(I57,$I$1:$R$18,3,FALSE())</f>
        <v/>
      </c>
      <c r="S56" s="208" t="inlineStr">
        <is>
          <t>Cooper</t>
        </is>
      </c>
      <c r="T56" s="209">
        <f>VLOOKUP(S57,$I$1:$R$18,6,FALSE())</f>
        <v/>
      </c>
      <c r="AP56" s="252" t="inlineStr">
        <is>
          <t>MATRIX</t>
        </is>
      </c>
      <c r="AQ56" s="253" t="inlineStr">
        <is>
          <t>Kills</t>
        </is>
      </c>
      <c r="AR56" s="253" t="inlineStr">
        <is>
          <t>Deaths</t>
        </is>
      </c>
      <c r="AS56" s="253" t="inlineStr">
        <is>
          <t>KDR</t>
        </is>
      </c>
      <c r="AT56" s="253" t="inlineStr">
        <is>
          <t>Kill Points</t>
        </is>
      </c>
      <c r="AU56" s="253" t="inlineStr">
        <is>
          <t>Death Points</t>
        </is>
      </c>
      <c r="AV56" s="253" t="inlineStr">
        <is>
          <t>KpDpR</t>
        </is>
      </c>
      <c r="AW56" s="253" t="inlineStr">
        <is>
          <t>KPts/Kill</t>
        </is>
      </c>
      <c r="AX56" s="253" t="inlineStr">
        <is>
          <t>DPts/Death</t>
        </is>
      </c>
    </row>
    <row r="57" ht="14.25" customHeight="1" s="175">
      <c r="A57" s="189" t="n"/>
      <c r="B57" s="190" t="n"/>
      <c r="C57" s="191" t="n"/>
      <c r="D57" s="173" t="n"/>
      <c r="E57" s="173" t="n"/>
      <c r="F57" s="173" t="n"/>
      <c r="G57" s="173" t="n"/>
      <c r="I57" s="208" t="inlineStr">
        <is>
          <t>Cooper</t>
        </is>
      </c>
      <c r="J57" s="209">
        <f>VLOOKUP(I58,$I$1:$R$18,3,FALSE())</f>
        <v/>
      </c>
      <c r="S57" s="208" t="inlineStr">
        <is>
          <t>Peter</t>
        </is>
      </c>
      <c r="T57" s="209">
        <f>VLOOKUP(S58,$I$1:$R$18,6,FALSE())</f>
        <v/>
      </c>
      <c r="AP57" s="208" t="inlineStr">
        <is>
          <t>Weight:</t>
        </is>
      </c>
      <c r="AQ57" s="229" t="n">
        <v>7.5</v>
      </c>
      <c r="AR57" s="230" t="n">
        <v>-6</v>
      </c>
      <c r="AS57" s="230" t="n">
        <v>25</v>
      </c>
      <c r="AT57" s="230" t="n">
        <v>8.5</v>
      </c>
      <c r="AU57" s="230" t="n">
        <v>-6.5</v>
      </c>
      <c r="AV57" s="230" t="n">
        <v>25</v>
      </c>
      <c r="AW57" s="230" t="n">
        <v>20</v>
      </c>
      <c r="AX57" s="230" t="n">
        <v>-20</v>
      </c>
      <c r="AY57" s="216" t="inlineStr">
        <is>
          <t>Totals:</t>
        </is>
      </c>
    </row>
    <row r="58" ht="14.25" customHeight="1" s="175">
      <c r="A58" s="189" t="n"/>
      <c r="B58" s="190" t="n"/>
      <c r="C58" s="191" t="n"/>
      <c r="D58" s="173" t="n"/>
      <c r="E58" s="173" t="n"/>
      <c r="F58" s="173" t="n"/>
      <c r="G58" s="173" t="n"/>
      <c r="I58" s="208" t="inlineStr">
        <is>
          <t>Maxine</t>
        </is>
      </c>
      <c r="J58" s="209">
        <f>VLOOKUP(I59,$I$1:$R$18,3,FALSE())</f>
        <v/>
      </c>
      <c r="S58" s="208" t="inlineStr">
        <is>
          <t>Grady</t>
        </is>
      </c>
      <c r="T58" s="209">
        <f>VLOOKUP(S59,$I$1:$R$18,6,FALSE())</f>
        <v/>
      </c>
      <c r="AP58" s="226" t="inlineStr">
        <is>
          <t>Tenors</t>
        </is>
      </c>
      <c r="AQ58" s="210">
        <f>J22*$AQ$58</f>
        <v/>
      </c>
      <c r="AR58" s="210">
        <f>K22*$AR$58</f>
        <v/>
      </c>
      <c r="AS58" s="210">
        <f>L22*$AS$58</f>
        <v/>
      </c>
      <c r="AT58" s="210">
        <f>M22*$AT$58</f>
        <v/>
      </c>
      <c r="AU58" s="210">
        <f>N22*$AU$58</f>
        <v/>
      </c>
      <c r="AV58" s="210">
        <f>O22*$AV$58</f>
        <v/>
      </c>
      <c r="AW58" s="210">
        <f>P22*$AW$58</f>
        <v/>
      </c>
      <c r="AX58" s="210">
        <f>Q22*$AX$58</f>
        <v/>
      </c>
      <c r="AY58" s="210">
        <f>SUM(AQ59:AX59)</f>
        <v/>
      </c>
    </row>
    <row r="59" ht="14.25" customHeight="1" s="175">
      <c r="A59" s="189" t="n"/>
      <c r="B59" s="190" t="n"/>
      <c r="C59" s="191" t="n"/>
      <c r="D59" s="173" t="n"/>
      <c r="E59" s="173" t="n"/>
      <c r="F59" s="173" t="n"/>
      <c r="G59" s="173" t="n"/>
      <c r="I59" s="208" t="inlineStr">
        <is>
          <t>Grady</t>
        </is>
      </c>
      <c r="J59" s="209">
        <f>VLOOKUP(I60,$I$1:$R$18,3,FALSE())</f>
        <v/>
      </c>
      <c r="S59" s="208" t="inlineStr">
        <is>
          <t>Maxine</t>
        </is>
      </c>
      <c r="T59" s="209">
        <f>VLOOKUP(S60,$I$1:$R$18,6,FALSE())</f>
        <v/>
      </c>
      <c r="AP59" s="208" t="inlineStr">
        <is>
          <t>Leads</t>
        </is>
      </c>
      <c r="AQ59" s="210">
        <f>J23*$AQ$58</f>
        <v/>
      </c>
      <c r="AR59" s="210">
        <f>K23*$AR$58</f>
        <v/>
      </c>
      <c r="AS59" s="210">
        <f>L23*$AS$58</f>
        <v/>
      </c>
      <c r="AT59" s="210">
        <f>M23*$AT$58</f>
        <v/>
      </c>
      <c r="AU59" s="210">
        <f>N23*$AU$58</f>
        <v/>
      </c>
      <c r="AV59" s="210">
        <f>O23*$AV$58</f>
        <v/>
      </c>
      <c r="AW59" s="210">
        <f>P23*$AW$58</f>
        <v/>
      </c>
      <c r="AX59" s="210">
        <f>Q23*$AX$58</f>
        <v/>
      </c>
      <c r="AY59" s="210">
        <f>SUM(AQ60:AX60)</f>
        <v/>
      </c>
    </row>
    <row r="60" ht="14.25" customHeight="1" s="175">
      <c r="A60" s="189" t="n"/>
      <c r="B60" s="190" t="n"/>
      <c r="C60" s="191" t="n"/>
      <c r="D60" s="173" t="n"/>
      <c r="E60" s="173" t="n"/>
      <c r="F60" s="173" t="n"/>
      <c r="G60" s="173" t="n"/>
      <c r="I60" s="208" t="inlineStr">
        <is>
          <t>Erick</t>
        </is>
      </c>
      <c r="J60" s="209">
        <f>VLOOKUP(I61,$I$1:$R$18,3,FALSE())</f>
        <v/>
      </c>
      <c r="S60" s="208" t="inlineStr">
        <is>
          <t>Erick</t>
        </is>
      </c>
      <c r="T60" s="209">
        <f>VLOOKUP(S61,$I$1:$R$18,6,FALSE())</f>
        <v/>
      </c>
      <c r="AP60" s="208" t="inlineStr">
        <is>
          <t>Baris</t>
        </is>
      </c>
      <c r="AQ60" s="210">
        <f>J24*$AQ$58</f>
        <v/>
      </c>
      <c r="AR60" s="210">
        <f>K24*$AR$58</f>
        <v/>
      </c>
      <c r="AS60" s="210">
        <f>L24*$AS$58</f>
        <v/>
      </c>
      <c r="AT60" s="210">
        <f>M24*$AT$58</f>
        <v/>
      </c>
      <c r="AU60" s="210">
        <f>N24*$AU$58</f>
        <v/>
      </c>
      <c r="AV60" s="210">
        <f>O24*$AV$58</f>
        <v/>
      </c>
      <c r="AW60" s="210">
        <f>P24*$AW$58</f>
        <v/>
      </c>
      <c r="AX60" s="210">
        <f>Q24*$AX$58</f>
        <v/>
      </c>
      <c r="AY60" s="210">
        <f>SUM(AQ61:AX61)</f>
        <v/>
      </c>
    </row>
    <row r="61" ht="14.25" customHeight="1" s="175">
      <c r="A61" s="189" t="n"/>
      <c r="B61" s="190" t="n"/>
      <c r="C61" s="191" t="n"/>
      <c r="D61" s="173" t="n"/>
      <c r="E61" s="173" t="n"/>
      <c r="F61" s="173" t="n"/>
      <c r="G61" s="173" t="n"/>
      <c r="I61" s="208" t="inlineStr">
        <is>
          <t>Joey</t>
        </is>
      </c>
      <c r="J61" s="209">
        <f>VLOOKUP(I62,$I$1:$R$18,3,FALSE())</f>
        <v/>
      </c>
      <c r="S61" s="208" t="inlineStr">
        <is>
          <t>Joey</t>
        </is>
      </c>
      <c r="T61" s="209">
        <f>VLOOKUP(S62,$I$1:$R$18,6,FALSE())</f>
        <v/>
      </c>
      <c r="AP61" s="208" t="inlineStr">
        <is>
          <t>Basses</t>
        </is>
      </c>
      <c r="AQ61" s="210">
        <f>J25*$AQ$58</f>
        <v/>
      </c>
      <c r="AR61" s="210">
        <f>K25*$AR$58</f>
        <v/>
      </c>
      <c r="AS61" s="210">
        <f>L25*$AS$58</f>
        <v/>
      </c>
      <c r="AT61" s="210">
        <f>M25*$AT$58</f>
        <v/>
      </c>
      <c r="AU61" s="210">
        <f>N25*$AU$58</f>
        <v/>
      </c>
      <c r="AV61" s="210">
        <f>O25*$AV$58</f>
        <v/>
      </c>
      <c r="AW61" s="210">
        <f>P25*$AW$58</f>
        <v/>
      </c>
      <c r="AX61" s="210">
        <f>Q25*$AX$58</f>
        <v/>
      </c>
      <c r="AY61" s="210">
        <f>SUM(AQ62:AX62)</f>
        <v/>
      </c>
    </row>
    <row r="62" ht="14.25" customHeight="1" s="175">
      <c r="A62" s="189" t="n"/>
      <c r="B62" s="190" t="n"/>
      <c r="C62" s="191" t="n"/>
      <c r="D62" s="173" t="n"/>
      <c r="E62" s="173" t="n"/>
      <c r="F62" s="173" t="n"/>
      <c r="G62" s="173" t="n"/>
      <c r="AP62" s="247" t="inlineStr">
        <is>
          <t>Basses (No Reuben)</t>
        </is>
      </c>
      <c r="AQ62" s="210">
        <f>J26*$AQ$58</f>
        <v/>
      </c>
      <c r="AR62" s="210">
        <f>K26*$AR$58</f>
        <v/>
      </c>
      <c r="AS62" s="210">
        <f>L26*$AS$58</f>
        <v/>
      </c>
      <c r="AT62" s="210">
        <f>M26*$AT$58</f>
        <v/>
      </c>
      <c r="AU62" s="210">
        <f>N26*$AU$58</f>
        <v/>
      </c>
      <c r="AV62" s="210">
        <f>O26*$AV$58</f>
        <v/>
      </c>
      <c r="AW62" s="210">
        <f>P26*$AW$58</f>
        <v/>
      </c>
      <c r="AX62" s="210">
        <f>Q26*$AX$58</f>
        <v/>
      </c>
      <c r="AY62" s="210">
        <f>SUM(AQ63:AX63)</f>
        <v/>
      </c>
    </row>
    <row r="63" ht="14.25" customHeight="1" s="175">
      <c r="A63" s="189" t="n"/>
      <c r="B63" s="190" t="n"/>
      <c r="C63" s="191" t="n"/>
      <c r="D63" s="173" t="n"/>
      <c r="E63" s="173" t="n"/>
      <c r="F63" s="173" t="n"/>
      <c r="G63" s="173" t="n"/>
      <c r="I63" s="208" t="inlineStr">
        <is>
          <t>Person:</t>
        </is>
      </c>
      <c r="J63" s="216" t="inlineStr">
        <is>
          <t>KDR</t>
        </is>
      </c>
      <c r="S63" s="208" t="inlineStr">
        <is>
          <t>Person:</t>
        </is>
      </c>
      <c r="T63" s="216" t="inlineStr">
        <is>
          <t>KpDpR</t>
        </is>
      </c>
    </row>
    <row r="64" ht="14.25" customHeight="1" s="175">
      <c r="A64" s="189" t="n"/>
      <c r="B64" s="190" t="n"/>
      <c r="C64" s="191" t="n"/>
      <c r="D64" s="173" t="n"/>
      <c r="E64" s="173" t="n"/>
      <c r="F64" s="173" t="n"/>
      <c r="G64" s="173" t="n"/>
      <c r="I64" s="208" t="inlineStr">
        <is>
          <t>Peter</t>
        </is>
      </c>
      <c r="J64" s="210">
        <f>VLOOKUP(I65,$I$1:$R$18,4,FALSE())</f>
        <v/>
      </c>
      <c r="S64" s="208" t="inlineStr">
        <is>
          <t>Peter</t>
        </is>
      </c>
      <c r="T64" s="210">
        <f>VLOOKUP(S65,$I$1:$R$18,7,FALSE())</f>
        <v/>
      </c>
      <c r="AP64" s="248" t="inlineStr">
        <is>
          <t>Part</t>
        </is>
      </c>
      <c r="AQ64" s="249" t="inlineStr">
        <is>
          <t>Score</t>
        </is>
      </c>
      <c r="AR64" s="249" t="inlineStr">
        <is>
          <t>Adjusted</t>
        </is>
      </c>
    </row>
    <row r="65" ht="14.25" customHeight="1" s="175">
      <c r="A65" s="254" t="n"/>
      <c r="B65" s="202" t="n"/>
      <c r="C65" s="255" t="n"/>
      <c r="D65" s="173" t="n"/>
      <c r="E65" s="173" t="n"/>
      <c r="F65" s="173" t="n"/>
      <c r="G65" s="173" t="n"/>
      <c r="I65" s="208" t="inlineStr">
        <is>
          <t>Will</t>
        </is>
      </c>
      <c r="J65" s="210">
        <f>VLOOKUP(I66,$I$1:$R$18,4,FALSE())</f>
        <v/>
      </c>
      <c r="S65" s="208" t="inlineStr">
        <is>
          <t>Maxine</t>
        </is>
      </c>
      <c r="T65" s="210">
        <f>VLOOKUP(S66,$I$1:$R$18,7,FALSE())</f>
        <v/>
      </c>
      <c r="AP65" s="256" t="inlineStr">
        <is>
          <t>Basses (No Reuben)</t>
        </is>
      </c>
      <c r="AQ65" s="251">
        <f>$AY$63</f>
        <v/>
      </c>
      <c r="AR65" s="251">
        <f>AQ66-($AQ$70)</f>
        <v/>
      </c>
    </row>
    <row r="66" ht="14.25" customHeight="1" s="175">
      <c r="A66" s="254" t="n"/>
      <c r="B66" s="202" t="n"/>
      <c r="C66" s="255" t="n"/>
      <c r="D66" s="173" t="n"/>
      <c r="E66" s="173" t="n"/>
      <c r="F66" s="173" t="n"/>
      <c r="G66" s="173" t="n"/>
      <c r="I66" s="208" t="inlineStr">
        <is>
          <t>Carter</t>
        </is>
      </c>
      <c r="J66" s="210">
        <f>VLOOKUP(I67,$I$1:$R$18,4,FALSE())</f>
        <v/>
      </c>
      <c r="S66" s="208" t="inlineStr">
        <is>
          <t>Will</t>
        </is>
      </c>
      <c r="T66" s="210">
        <f>VLOOKUP(S67,$I$1:$R$18,7,FALSE())</f>
        <v/>
      </c>
      <c r="AP66" s="208" t="inlineStr">
        <is>
          <t>Tenors</t>
        </is>
      </c>
      <c r="AQ66" s="251">
        <f>$AY$59</f>
        <v/>
      </c>
      <c r="AR66" s="251">
        <f>AQ67-($AQ$70)</f>
        <v/>
      </c>
    </row>
    <row r="67" ht="14.25" customHeight="1" s="175">
      <c r="A67" s="254" t="n"/>
      <c r="B67" s="202" t="n"/>
      <c r="C67" s="255" t="n"/>
      <c r="D67" s="173" t="n"/>
      <c r="E67" s="173" t="n"/>
      <c r="F67" s="173" t="n"/>
      <c r="G67" s="173" t="n"/>
      <c r="I67" s="208" t="inlineStr">
        <is>
          <t>Vignesh</t>
        </is>
      </c>
      <c r="J67" s="210">
        <f>VLOOKUP(I68,$I$1:$R$18,4,FALSE())</f>
        <v/>
      </c>
      <c r="S67" s="208" t="inlineStr">
        <is>
          <t>Carter</t>
        </is>
      </c>
      <c r="T67" s="210">
        <f>VLOOKUP(S68,$I$1:$R$18,7,FALSE())</f>
        <v/>
      </c>
      <c r="AP67" s="208" t="inlineStr">
        <is>
          <t>Baris</t>
        </is>
      </c>
      <c r="AQ67" s="251">
        <f>$AY$61</f>
        <v/>
      </c>
      <c r="AR67" s="251">
        <f>AQ68-($AQ$70)</f>
        <v/>
      </c>
    </row>
    <row r="68" ht="14.25" customHeight="1" s="175">
      <c r="A68" s="254" t="n"/>
      <c r="B68" s="202" t="n"/>
      <c r="C68" s="255" t="n"/>
      <c r="D68" s="173" t="n"/>
      <c r="E68" s="173" t="n"/>
      <c r="F68" s="173" t="n"/>
      <c r="G68" s="173" t="n"/>
      <c r="I68" s="208" t="inlineStr">
        <is>
          <t>Ethan</t>
        </is>
      </c>
      <c r="J68" s="210">
        <f>VLOOKUP(I69,$I$1:$R$18,4,FALSE())</f>
        <v/>
      </c>
      <c r="S68" s="208" t="inlineStr">
        <is>
          <t>Vignesh</t>
        </is>
      </c>
      <c r="T68" s="210">
        <f>VLOOKUP(S69,$I$1:$R$18,7,FALSE())</f>
        <v/>
      </c>
      <c r="AP68" s="208" t="inlineStr">
        <is>
          <t>Leads</t>
        </is>
      </c>
      <c r="AQ68" s="257">
        <f>$AY$60</f>
        <v/>
      </c>
      <c r="AR68" s="251">
        <f>AQ69-($AQ$70)</f>
        <v/>
      </c>
    </row>
    <row r="69" ht="14.25" customHeight="1" s="175">
      <c r="A69" s="254" t="n"/>
      <c r="B69" s="202" t="n"/>
      <c r="C69" s="255" t="n"/>
      <c r="D69" s="173" t="n"/>
      <c r="E69" s="173" t="n"/>
      <c r="F69" s="173" t="n"/>
      <c r="G69" s="173" t="n"/>
      <c r="I69" s="208" t="inlineStr">
        <is>
          <t>Evan</t>
        </is>
      </c>
      <c r="J69" s="210">
        <f>VLOOKUP(I70,$I$1:$R$18,4,FALSE())</f>
        <v/>
      </c>
      <c r="S69" s="208" t="inlineStr">
        <is>
          <t>Ethan</t>
        </is>
      </c>
      <c r="T69" s="210">
        <f>VLOOKUP(S70,$I$1:$R$18,7,FALSE())</f>
        <v/>
      </c>
      <c r="AP69" s="258" t="inlineStr">
        <is>
          <t>Basses</t>
        </is>
      </c>
      <c r="AQ69" s="251">
        <f>$AY$62</f>
        <v/>
      </c>
      <c r="AR69" s="259">
        <f>AQ70-($AQ$70)</f>
        <v/>
      </c>
    </row>
    <row r="70" ht="14.25" customHeight="1" s="175">
      <c r="A70" s="254" t="n"/>
      <c r="B70" s="202" t="n"/>
      <c r="C70" s="255" t="n"/>
      <c r="D70" s="173" t="n"/>
      <c r="E70" s="173" t="n"/>
      <c r="F70" s="173" t="n"/>
      <c r="G70" s="173" t="n"/>
      <c r="I70" s="208" t="inlineStr">
        <is>
          <t>Maxine</t>
        </is>
      </c>
      <c r="J70" s="210">
        <f>VLOOKUP(I71,$I$1:$R$18,4,FALSE())</f>
        <v/>
      </c>
      <c r="S70" s="208" t="inlineStr">
        <is>
          <t>Evan</t>
        </is>
      </c>
      <c r="T70" s="210">
        <f>VLOOKUP(S71,$I$1:$R$18,7,FALSE())</f>
        <v/>
      </c>
    </row>
    <row r="71" ht="14.25" customHeight="1" s="175">
      <c r="A71" s="254" t="n"/>
      <c r="B71" s="202" t="n"/>
      <c r="C71" s="255" t="n"/>
      <c r="D71" s="173" t="n"/>
      <c r="E71" s="173" t="n"/>
      <c r="F71" s="173" t="n"/>
      <c r="G71" s="173" t="n"/>
      <c r="I71" s="208" t="inlineStr">
        <is>
          <t>Lucy</t>
        </is>
      </c>
      <c r="J71" s="210">
        <f>VLOOKUP(I72,$I$1:$R$18,4,FALSE())</f>
        <v/>
      </c>
      <c r="S71" s="208" t="inlineStr">
        <is>
          <t>Lucy</t>
        </is>
      </c>
      <c r="T71" s="210">
        <f>VLOOKUP(S72,$I$1:$R$18,7,FALSE())</f>
        <v/>
      </c>
    </row>
    <row r="72" ht="14.25" customHeight="1" s="175">
      <c r="A72" s="254" t="n"/>
      <c r="B72" s="202" t="n"/>
      <c r="C72" s="255" t="n"/>
      <c r="D72" s="173" t="n"/>
      <c r="E72" s="173" t="n"/>
      <c r="F72" s="173" t="n"/>
      <c r="G72" s="173" t="n"/>
      <c r="I72" s="208" t="inlineStr">
        <is>
          <t>Mikey</t>
        </is>
      </c>
      <c r="J72" s="210">
        <f>VLOOKUP(I73,$I$1:$R$18,4,FALSE())</f>
        <v/>
      </c>
      <c r="S72" s="208" t="inlineStr">
        <is>
          <t>Grady</t>
        </is>
      </c>
      <c r="T72" s="210">
        <f>VLOOKUP(S73,$I$1:$R$18,7,FALSE())</f>
        <v/>
      </c>
    </row>
    <row r="73" ht="14.25" customHeight="1" s="175">
      <c r="A73" s="254" t="n"/>
      <c r="B73" s="202" t="n"/>
      <c r="C73" s="255" t="n"/>
      <c r="D73" s="173" t="n"/>
      <c r="E73" s="173" t="n"/>
      <c r="F73" s="173" t="n"/>
      <c r="G73" s="173" t="n"/>
      <c r="I73" s="208" t="inlineStr">
        <is>
          <t>Rob</t>
        </is>
      </c>
      <c r="J73" s="210">
        <f>VLOOKUP(I74,$I$1:$R$18,4,FALSE())</f>
        <v/>
      </c>
      <c r="S73" s="208" t="inlineStr">
        <is>
          <t>Mikey</t>
        </is>
      </c>
      <c r="T73" s="210">
        <f>VLOOKUP(S74,$I$1:$R$18,7,FALSE())</f>
        <v/>
      </c>
      <c r="AJ73" s="246" t="n"/>
      <c r="AM73" s="246" t="n"/>
      <c r="AP73" s="246" t="n"/>
      <c r="AQ73" s="246" t="n"/>
      <c r="AR73" s="246" t="n"/>
    </row>
    <row r="74" ht="14.25" customHeight="1" s="175">
      <c r="A74" s="254" t="n"/>
      <c r="B74" s="202" t="n"/>
      <c r="C74" s="255" t="n"/>
      <c r="D74" s="173" t="n"/>
      <c r="E74" s="173" t="n"/>
      <c r="F74" s="173" t="n"/>
      <c r="G74" s="173" t="n"/>
      <c r="I74" s="208" t="inlineStr">
        <is>
          <t>Grady</t>
        </is>
      </c>
      <c r="J74" s="210">
        <f>VLOOKUP(I75,$I$1:$R$18,4,FALSE())</f>
        <v/>
      </c>
      <c r="S74" s="208" t="inlineStr">
        <is>
          <t>Anthony</t>
        </is>
      </c>
      <c r="T74" s="210">
        <f>VLOOKUP(S75,$I$1:$R$18,7,FALSE())</f>
        <v/>
      </c>
      <c r="AG74" s="246" t="n"/>
      <c r="AH74" s="246" t="n"/>
      <c r="AM74" s="246" t="n"/>
      <c r="AP74" s="246" t="n"/>
      <c r="AQ74" s="246" t="n"/>
      <c r="AR74" s="246" t="n"/>
    </row>
    <row r="75" ht="14.25" customHeight="1" s="175">
      <c r="A75" s="254" t="n"/>
      <c r="B75" s="202" t="n"/>
      <c r="C75" s="255" t="n"/>
      <c r="D75" s="173" t="n"/>
      <c r="E75" s="173" t="n"/>
      <c r="F75" s="173" t="n"/>
      <c r="G75" s="173" t="n"/>
      <c r="I75" s="208" t="inlineStr">
        <is>
          <t>Anthony</t>
        </is>
      </c>
      <c r="J75" s="210">
        <f>VLOOKUP(I76,$I$1:$R$18,4,FALSE())</f>
        <v/>
      </c>
      <c r="S75" s="208" t="inlineStr">
        <is>
          <t>Rob</t>
        </is>
      </c>
      <c r="T75" s="210">
        <f>VLOOKUP(S76,$I$1:$R$18,7,FALSE())</f>
        <v/>
      </c>
      <c r="AP75" s="246" t="n"/>
      <c r="AQ75" s="246" t="n"/>
      <c r="AR75" s="246" t="n"/>
    </row>
    <row r="76" ht="14.25" customHeight="1" s="175">
      <c r="A76" s="254" t="n"/>
      <c r="B76" s="202" t="n"/>
      <c r="C76" s="255" t="n"/>
      <c r="D76" s="173" t="n"/>
      <c r="E76" s="173" t="n"/>
      <c r="F76" s="173" t="n"/>
      <c r="G76" s="173" t="n"/>
      <c r="I76" s="208" t="inlineStr">
        <is>
          <t>Cooper</t>
        </is>
      </c>
      <c r="J76" s="210">
        <f>VLOOKUP(I77,$I$1:$R$18,4,FALSE())</f>
        <v/>
      </c>
      <c r="S76" s="208" t="inlineStr">
        <is>
          <t>Cooper</t>
        </is>
      </c>
      <c r="T76" s="210">
        <f>VLOOKUP(S77,$I$1:$R$18,7,FALSE())</f>
        <v/>
      </c>
      <c r="AP76" s="246" t="n"/>
      <c r="AQ76" s="246" t="n"/>
      <c r="AR76" s="246" t="n"/>
    </row>
    <row r="77" ht="14.25" customHeight="1" s="175">
      <c r="A77" s="254" t="n"/>
      <c r="B77" s="202" t="n"/>
      <c r="C77" s="255" t="n"/>
      <c r="D77" s="173" t="n"/>
      <c r="E77" s="173" t="n"/>
      <c r="F77" s="173" t="n"/>
      <c r="G77" s="173" t="n"/>
      <c r="I77" s="208" t="inlineStr">
        <is>
          <t>Joey</t>
        </is>
      </c>
      <c r="J77" s="210">
        <f>VLOOKUP(I78,$I$1:$R$18,4,FALSE())</f>
        <v/>
      </c>
      <c r="S77" s="208" t="inlineStr">
        <is>
          <t>Joey</t>
        </is>
      </c>
      <c r="T77" s="210">
        <f>VLOOKUP(S78,$I$1:$R$18,7,FALSE())</f>
        <v/>
      </c>
      <c r="AQ77" s="246" t="n"/>
      <c r="AR77" s="246" t="n"/>
    </row>
    <row r="78" ht="14.25" customHeight="1" s="175">
      <c r="A78" s="254" t="n"/>
      <c r="B78" s="202" t="n"/>
      <c r="C78" s="255" t="n"/>
      <c r="D78" s="173" t="n"/>
      <c r="E78" s="173" t="n"/>
      <c r="F78" s="173" t="n"/>
      <c r="G78" s="173" t="n"/>
      <c r="I78" s="208" t="inlineStr">
        <is>
          <t>Erick</t>
        </is>
      </c>
      <c r="J78" s="210">
        <f>VLOOKUP(I79,$I$1:$R$18,4,FALSE())</f>
        <v/>
      </c>
      <c r="S78" s="208" t="inlineStr">
        <is>
          <t>Erick</t>
        </is>
      </c>
      <c r="T78" s="210">
        <f>VLOOKUP(S79,$I$1:$R$18,7,FALSE())</f>
        <v/>
      </c>
      <c r="AP78" s="246" t="n"/>
      <c r="AQ78" s="246" t="n"/>
      <c r="AR78" s="246" t="n"/>
    </row>
    <row r="79" ht="14.25" customHeight="1" s="175">
      <c r="A79" s="254" t="n"/>
      <c r="B79" s="202" t="n"/>
      <c r="C79" s="255" t="n"/>
      <c r="D79" s="173" t="n"/>
      <c r="E79" s="173" t="n"/>
      <c r="F79" s="173" t="n"/>
      <c r="G79" s="173" t="n"/>
      <c r="I79" s="208" t="inlineStr">
        <is>
          <t>Reuben</t>
        </is>
      </c>
      <c r="J79" s="210">
        <f>VLOOKUP(I80,$I$1:$R$18,4,FALSE())</f>
        <v/>
      </c>
      <c r="S79" s="208" t="inlineStr">
        <is>
          <t>Reuben</t>
        </is>
      </c>
      <c r="T79" s="210">
        <f>VLOOKUP(S80,$I$1:$R$18,7,FALSE())</f>
        <v/>
      </c>
    </row>
    <row r="80" ht="14.25" customHeight="1" s="175">
      <c r="A80" s="254" t="n"/>
      <c r="B80" s="202" t="n"/>
      <c r="C80" s="255" t="n"/>
      <c r="D80" s="173" t="n"/>
      <c r="E80" s="173" t="n"/>
      <c r="F80" s="173" t="n"/>
      <c r="G80" s="173" t="n"/>
    </row>
    <row r="81" ht="14.25" customHeight="1" s="175">
      <c r="A81" s="254" t="n"/>
      <c r="B81" s="202" t="n"/>
      <c r="C81" s="255" t="n"/>
      <c r="D81" s="173" t="n"/>
      <c r="E81" s="173" t="n"/>
      <c r="F81" s="173" t="n"/>
      <c r="G81" s="173" t="n"/>
      <c r="I81" s="208" t="inlineStr">
        <is>
          <t>Part:</t>
        </is>
      </c>
      <c r="J81" s="216" t="inlineStr">
        <is>
          <t>Kills</t>
        </is>
      </c>
      <c r="S81" s="208" t="inlineStr">
        <is>
          <t>Part:</t>
        </is>
      </c>
      <c r="T81" s="216" t="inlineStr">
        <is>
          <t>Kill Points</t>
        </is>
      </c>
    </row>
    <row r="82" ht="14.25" customHeight="1" s="175">
      <c r="A82" s="254" t="n"/>
      <c r="B82" s="202" t="n"/>
      <c r="C82" s="255" t="n"/>
      <c r="D82" s="173" t="n"/>
      <c r="E82" s="173" t="n"/>
      <c r="F82" s="173" t="n"/>
      <c r="G82" s="173" t="n"/>
      <c r="I82" s="226" t="inlineStr">
        <is>
          <t>Baris</t>
        </is>
      </c>
      <c r="J82" s="241">
        <f>VLOOKUP(I83,$I$22:$Q$26,2,FALSE())</f>
        <v/>
      </c>
      <c r="S82" s="226" t="inlineStr">
        <is>
          <t>Baris</t>
        </is>
      </c>
      <c r="T82" s="241">
        <f>VLOOKUP(S83,$I$22:$Q$26,5,FALSE())</f>
        <v/>
      </c>
    </row>
    <row r="83" ht="14.25" customHeight="1" s="175">
      <c r="A83" s="254" t="n"/>
      <c r="B83" s="202" t="n"/>
      <c r="C83" s="255" t="n"/>
      <c r="D83" s="173" t="n"/>
      <c r="E83" s="173" t="n"/>
      <c r="F83" s="173" t="n"/>
      <c r="G83" s="173" t="n"/>
      <c r="I83" s="208" t="inlineStr">
        <is>
          <t>Tenors</t>
        </is>
      </c>
      <c r="J83" s="241">
        <f>VLOOKUP(I84,$I$22:$Q$26,2,FALSE())</f>
        <v/>
      </c>
      <c r="S83" s="208" t="inlineStr">
        <is>
          <t>Tenors</t>
        </is>
      </c>
      <c r="T83" s="241">
        <f>VLOOKUP(S84,$I$22:$Q$26,5,FALSE())</f>
        <v/>
      </c>
    </row>
    <row r="84" ht="14.25" customHeight="1" s="175">
      <c r="A84" s="254" t="n"/>
      <c r="B84" s="202" t="n"/>
      <c r="C84" s="255" t="n"/>
      <c r="D84" s="173" t="n"/>
      <c r="E84" s="173" t="n"/>
      <c r="F84" s="173" t="n"/>
      <c r="G84" s="173" t="n"/>
      <c r="I84" s="208" t="inlineStr">
        <is>
          <t>Leads</t>
        </is>
      </c>
      <c r="J84" s="241">
        <f>VLOOKUP(I85,$I$22:$Q$26,2,FALSE())</f>
        <v/>
      </c>
      <c r="S84" s="208" t="inlineStr">
        <is>
          <t>Leads</t>
        </is>
      </c>
      <c r="T84" s="241">
        <f>VLOOKUP(S85,$I$22:$Q$26,5,FALSE())</f>
        <v/>
      </c>
    </row>
    <row r="85" ht="14.25" customHeight="1" s="175">
      <c r="A85" s="254" t="n"/>
      <c r="B85" s="202" t="n"/>
      <c r="C85" s="255" t="n"/>
      <c r="D85" s="173" t="n"/>
      <c r="E85" s="173" t="n"/>
      <c r="F85" s="173" t="n"/>
      <c r="G85" s="173" t="n"/>
      <c r="I85" s="208" t="inlineStr">
        <is>
          <t>Basses</t>
        </is>
      </c>
      <c r="J85" s="241">
        <f>VLOOKUP(I86,$I$22:$Q$26,2,FALSE())</f>
        <v/>
      </c>
      <c r="S85" s="208" t="inlineStr">
        <is>
          <t>Basses</t>
        </is>
      </c>
      <c r="T85" s="241">
        <f>VLOOKUP(S86,$I$22:$Q$26,5,FALSE())</f>
        <v/>
      </c>
    </row>
    <row r="86" ht="14.25" customHeight="1" s="175">
      <c r="A86" s="254" t="n"/>
      <c r="B86" s="202" t="n"/>
      <c r="C86" s="255" t="n"/>
      <c r="D86" s="173" t="n"/>
      <c r="E86" s="173" t="n"/>
      <c r="F86" s="173" t="n"/>
      <c r="G86" s="173" t="n"/>
    </row>
    <row r="87" ht="14.25" customHeight="1" s="175">
      <c r="A87" s="254" t="n"/>
      <c r="B87" s="202" t="n"/>
      <c r="C87" s="255" t="n"/>
      <c r="D87" s="173" t="n"/>
      <c r="E87" s="173" t="n"/>
      <c r="F87" s="173" t="n"/>
      <c r="G87" s="173" t="n"/>
    </row>
    <row r="88" ht="14.25" customHeight="1" s="175">
      <c r="A88" s="254" t="n"/>
      <c r="B88" s="202" t="n"/>
      <c r="C88" s="255" t="n"/>
      <c r="D88" s="173" t="n"/>
      <c r="E88" s="173" t="n"/>
      <c r="F88" s="173" t="n"/>
      <c r="G88" s="173" t="n"/>
      <c r="AQ88" s="246" t="n"/>
      <c r="AR88" s="260" t="n"/>
    </row>
    <row r="89" ht="14.25" customHeight="1" s="175">
      <c r="A89" s="254" t="n"/>
      <c r="B89" s="202" t="n"/>
      <c r="C89" s="255" t="n"/>
      <c r="D89" s="173" t="n"/>
      <c r="E89" s="173" t="n"/>
      <c r="F89" s="173" t="n"/>
      <c r="G89" s="173" t="n"/>
      <c r="AQ89" s="246" t="n"/>
      <c r="AR89" s="260" t="n"/>
    </row>
    <row r="90" ht="14.25" customHeight="1" s="175">
      <c r="A90" s="254" t="n"/>
      <c r="B90" s="202" t="n"/>
      <c r="C90" s="255" t="n"/>
      <c r="D90" s="173" t="n"/>
      <c r="E90" s="173" t="n"/>
      <c r="F90" s="173" t="n"/>
      <c r="G90" s="173" t="n"/>
      <c r="AQ90" s="246" t="n"/>
      <c r="AR90" s="260" t="n"/>
    </row>
    <row r="91" ht="14.25" customHeight="1" s="175">
      <c r="A91" s="254" t="n"/>
      <c r="B91" s="202" t="n"/>
      <c r="C91" s="255" t="n"/>
      <c r="D91" s="173" t="n"/>
      <c r="E91" s="173" t="n"/>
      <c r="F91" s="173" t="n"/>
      <c r="G91" s="173" t="n"/>
      <c r="AQ91" s="246" t="n"/>
      <c r="AR91" s="260" t="n"/>
    </row>
    <row r="92" ht="14.25" customHeight="1" s="175">
      <c r="A92" s="254" t="n"/>
      <c r="B92" s="202" t="n"/>
      <c r="C92" s="255" t="n"/>
      <c r="D92" s="173" t="n"/>
      <c r="E92" s="173" t="n"/>
      <c r="F92" s="173" t="n"/>
      <c r="G92" s="173" t="n"/>
      <c r="I92" s="208" t="inlineStr">
        <is>
          <t>Part:</t>
        </is>
      </c>
      <c r="J92" s="216" t="inlineStr">
        <is>
          <t>Deaths</t>
        </is>
      </c>
      <c r="S92" s="208" t="inlineStr">
        <is>
          <t>Part:</t>
        </is>
      </c>
      <c r="T92" s="216" t="inlineStr">
        <is>
          <t>Death Points</t>
        </is>
      </c>
      <c r="AQ92" s="246" t="n"/>
      <c r="AR92" s="260" t="n"/>
    </row>
    <row r="93" ht="14.25" customHeight="1" s="175">
      <c r="A93" s="254" t="n"/>
      <c r="B93" s="202" t="n"/>
      <c r="C93" s="255" t="n"/>
      <c r="D93" s="173" t="n"/>
      <c r="E93" s="173" t="n"/>
      <c r="F93" s="173" t="n"/>
      <c r="G93" s="173" t="n"/>
      <c r="I93" s="208" t="inlineStr">
        <is>
          <t>Baris</t>
        </is>
      </c>
      <c r="J93" s="243">
        <f>VLOOKUP(I94,$I$22:$Q$26,3,FALSE())</f>
        <v/>
      </c>
      <c r="S93" s="208" t="inlineStr">
        <is>
          <t>Baris</t>
        </is>
      </c>
      <c r="T93" s="243">
        <f>VLOOKUP(S94,$I$22:$Q$26,6,FALSE())</f>
        <v/>
      </c>
      <c r="AM93" s="246" t="n"/>
      <c r="AQ93" s="246" t="n"/>
      <c r="AR93" s="260" t="n"/>
    </row>
    <row r="94" ht="14.25" customHeight="1" s="175">
      <c r="A94" s="254" t="n"/>
      <c r="B94" s="202" t="n"/>
      <c r="C94" s="255" t="n"/>
      <c r="D94" s="173" t="n"/>
      <c r="E94" s="173" t="n"/>
      <c r="F94" s="173" t="n"/>
      <c r="G94" s="173" t="n"/>
      <c r="I94" s="208" t="inlineStr">
        <is>
          <t>Leads</t>
        </is>
      </c>
      <c r="J94" s="243">
        <f>VLOOKUP(I95,$I$22:$Q$26,3,FALSE())</f>
        <v/>
      </c>
      <c r="S94" s="208" t="inlineStr">
        <is>
          <t>Leads</t>
        </is>
      </c>
      <c r="T94" s="243">
        <f>VLOOKUP(S95,$I$22:$Q$26,6,FALSE())</f>
        <v/>
      </c>
      <c r="AM94" s="246" t="n"/>
      <c r="AQ94" s="246" t="n"/>
      <c r="AR94" s="260" t="n"/>
    </row>
    <row r="95" ht="14.25" customHeight="1" s="175">
      <c r="A95" s="254" t="n"/>
      <c r="B95" s="202" t="n"/>
      <c r="C95" s="255" t="n"/>
      <c r="D95" s="173" t="n"/>
      <c r="E95" s="173" t="n"/>
      <c r="F95" s="173" t="n"/>
      <c r="G95" s="173" t="n"/>
      <c r="I95" s="208" t="inlineStr">
        <is>
          <t>Basses</t>
        </is>
      </c>
      <c r="J95" s="243">
        <f>VLOOKUP(I96,$I$22:$Q$26,3,FALSE())</f>
        <v/>
      </c>
      <c r="S95" s="208" t="inlineStr">
        <is>
          <t>Basses</t>
        </is>
      </c>
      <c r="T95" s="243">
        <f>VLOOKUP(S96,$I$22:$Q$26,6,FALSE())</f>
        <v/>
      </c>
      <c r="AM95" s="246" t="n"/>
      <c r="AQ95" s="246" t="n"/>
      <c r="AR95" s="260" t="n"/>
    </row>
    <row r="96" ht="14.25" customHeight="1" s="175">
      <c r="A96" s="254" t="n"/>
      <c r="B96" s="202" t="n"/>
      <c r="C96" s="255" t="n"/>
      <c r="D96" s="173" t="n"/>
      <c r="E96" s="173" t="n"/>
      <c r="F96" s="173" t="n"/>
      <c r="G96" s="173" t="n"/>
      <c r="I96" s="208" t="inlineStr">
        <is>
          <t>Tenors</t>
        </is>
      </c>
      <c r="J96" s="243">
        <f>VLOOKUP(I97,$I$22:$Q$26,3,FALSE())</f>
        <v/>
      </c>
      <c r="S96" s="208" t="inlineStr">
        <is>
          <t>Tenors</t>
        </is>
      </c>
      <c r="T96" s="243">
        <f>VLOOKUP(S97,$I$22:$Q$26,6,FALSE())</f>
        <v/>
      </c>
      <c r="AM96" s="246" t="n"/>
      <c r="AQ96" s="246" t="n"/>
      <c r="AR96" s="260" t="n"/>
    </row>
    <row r="97" ht="14.25" customHeight="1" s="175">
      <c r="A97" s="254" t="n"/>
      <c r="B97" s="202" t="n"/>
      <c r="C97" s="255" t="n"/>
      <c r="D97" s="173" t="n"/>
      <c r="E97" s="173" t="n"/>
      <c r="F97" s="173" t="n"/>
      <c r="G97" s="173" t="n"/>
      <c r="AM97" s="246" t="n"/>
      <c r="AQ97" s="246" t="n"/>
      <c r="AR97" s="260" t="n"/>
    </row>
    <row r="98" ht="14.25" customHeight="1" s="175">
      <c r="A98" s="254" t="n"/>
      <c r="B98" s="202" t="n"/>
      <c r="C98" s="255" t="n"/>
      <c r="D98" s="173" t="n"/>
      <c r="E98" s="173" t="n"/>
      <c r="F98" s="173" t="n"/>
      <c r="G98" s="173" t="n"/>
      <c r="AM98" s="246" t="n"/>
      <c r="AQ98" s="246" t="n"/>
      <c r="AR98" s="260" t="n"/>
    </row>
    <row r="99" ht="14.25" customHeight="1" s="175">
      <c r="A99" s="254" t="n"/>
      <c r="B99" s="202" t="n"/>
      <c r="C99" s="255" t="n"/>
      <c r="D99" s="173" t="n"/>
      <c r="E99" s="173" t="n"/>
      <c r="F99" s="173" t="n"/>
      <c r="G99" s="173" t="n"/>
      <c r="AM99" s="246" t="n"/>
      <c r="AQ99" s="246" t="n"/>
      <c r="AR99" s="260" t="n"/>
    </row>
    <row r="100" ht="14.25" customHeight="1" s="175">
      <c r="A100" s="254" t="n"/>
      <c r="B100" s="202" t="n"/>
      <c r="C100" s="255" t="n"/>
      <c r="D100" s="173" t="n"/>
      <c r="E100" s="173" t="n"/>
      <c r="F100" s="173" t="n"/>
      <c r="G100" s="173" t="n"/>
      <c r="AM100" s="246" t="n"/>
      <c r="AQ100" s="246" t="n"/>
      <c r="AR100" s="260" t="n"/>
    </row>
    <row r="101" ht="14.25" customHeight="1" s="175">
      <c r="A101" s="254" t="n"/>
      <c r="B101" s="202" t="n"/>
      <c r="C101" s="255" t="n"/>
      <c r="D101" s="173" t="n"/>
      <c r="E101" s="173" t="n"/>
      <c r="F101" s="173" t="n"/>
      <c r="G101" s="173" t="n"/>
      <c r="AM101" s="246" t="n"/>
      <c r="AQ101" s="246" t="n"/>
      <c r="AR101" s="260" t="n"/>
    </row>
    <row r="102" ht="14.25" customHeight="1" s="175">
      <c r="A102" s="254" t="n"/>
      <c r="B102" s="202" t="n"/>
      <c r="C102" s="255" t="n"/>
      <c r="D102" s="173" t="n"/>
      <c r="E102" s="173" t="n"/>
      <c r="F102" s="173" t="n"/>
      <c r="G102" s="173" t="n"/>
      <c r="L102" s="246" t="n"/>
      <c r="M102" s="246" t="n"/>
      <c r="N102" s="246" t="n"/>
      <c r="O102" s="260" t="n"/>
      <c r="P102" s="260" t="n"/>
      <c r="Q102" s="260" t="n"/>
      <c r="R102" s="260" t="n"/>
      <c r="S102" s="182" t="n"/>
      <c r="V102" s="246" t="n"/>
      <c r="W102" s="246" t="n"/>
      <c r="X102" s="246" t="n"/>
      <c r="Y102" s="246" t="n"/>
      <c r="Z102" s="246" t="n"/>
      <c r="AA102" s="246" t="n"/>
      <c r="AB102" s="246" t="n"/>
      <c r="AC102" s="246" t="n"/>
      <c r="AD102" s="246" t="n"/>
      <c r="AE102" s="246" t="n"/>
      <c r="AF102" s="246" t="n"/>
      <c r="AM102" s="246" t="n"/>
      <c r="AQ102" s="246" t="n"/>
      <c r="AR102" s="260" t="n"/>
    </row>
    <row r="103" ht="14.25" customHeight="1" s="175">
      <c r="A103" s="254" t="n"/>
      <c r="B103" s="202" t="n"/>
      <c r="C103" s="255" t="n"/>
      <c r="D103" s="173" t="n"/>
      <c r="E103" s="173" t="n"/>
      <c r="F103" s="173" t="n"/>
      <c r="G103" s="173" t="n"/>
      <c r="I103" s="208" t="inlineStr">
        <is>
          <t>Part:</t>
        </is>
      </c>
      <c r="J103" s="216" t="inlineStr">
        <is>
          <t>KDR</t>
        </is>
      </c>
      <c r="L103" s="246" t="n"/>
      <c r="M103" s="246" t="n"/>
      <c r="N103" s="246" t="n"/>
      <c r="O103" s="260" t="n"/>
      <c r="P103" s="260" t="n"/>
      <c r="Q103" s="260" t="n"/>
      <c r="R103" s="260" t="n"/>
      <c r="S103" s="208" t="inlineStr">
        <is>
          <t>Part:</t>
        </is>
      </c>
      <c r="T103" s="216" t="inlineStr">
        <is>
          <t>KpDpR</t>
        </is>
      </c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E103" s="246" t="n"/>
      <c r="AF103" s="246" t="n"/>
      <c r="AM103" s="246" t="n"/>
      <c r="AQ103" s="246" t="n"/>
      <c r="AR103" s="260" t="n"/>
    </row>
    <row r="104" ht="14.25" customHeight="1" s="175">
      <c r="A104" s="254" t="n"/>
      <c r="B104" s="202" t="n"/>
      <c r="C104" s="255" t="n"/>
      <c r="D104" s="173" t="n"/>
      <c r="E104" s="173" t="n"/>
      <c r="F104" s="173" t="n"/>
      <c r="G104" s="173" t="n"/>
      <c r="I104" s="226" t="inlineStr">
        <is>
          <t>Tenors</t>
        </is>
      </c>
      <c r="J104" s="242">
        <f>VLOOKUP(I105,$I$22:$Q$26,4,FALSE())</f>
        <v/>
      </c>
      <c r="L104" s="246" t="n"/>
      <c r="M104" s="246" t="n"/>
      <c r="N104" s="246" t="n"/>
      <c r="O104" s="260" t="n"/>
      <c r="P104" s="260" t="n"/>
      <c r="Q104" s="260" t="n"/>
      <c r="R104" s="260" t="n"/>
      <c r="S104" s="226" t="inlineStr">
        <is>
          <t>Tenors</t>
        </is>
      </c>
      <c r="T104" s="242">
        <f>VLOOKUP(S105,$I$22:$Q$26,7,FALSE())</f>
        <v/>
      </c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E104" s="246" t="n"/>
      <c r="AF104" s="246" t="n"/>
      <c r="AM104" s="246" t="n"/>
      <c r="AQ104" s="246" t="n"/>
      <c r="AR104" s="260" t="n"/>
    </row>
    <row r="105" ht="14.25" customHeight="1" s="175">
      <c r="A105" s="254" t="n"/>
      <c r="B105" s="202" t="n"/>
      <c r="C105" s="255" t="n"/>
      <c r="D105" s="173" t="n"/>
      <c r="E105" s="173" t="n"/>
      <c r="F105" s="173" t="n"/>
      <c r="G105" s="173" t="n"/>
      <c r="I105" s="208" t="inlineStr">
        <is>
          <t>Baris</t>
        </is>
      </c>
      <c r="J105" s="242">
        <f>VLOOKUP(I106,$I$22:$Q$26,4,FALSE())</f>
        <v/>
      </c>
      <c r="L105" s="246" t="n"/>
      <c r="M105" s="246" t="n"/>
      <c r="N105" s="246" t="n"/>
      <c r="O105" s="260" t="n"/>
      <c r="P105" s="260" t="n"/>
      <c r="Q105" s="260" t="n"/>
      <c r="R105" s="260" t="n"/>
      <c r="S105" s="208" t="inlineStr">
        <is>
          <t>Baris</t>
        </is>
      </c>
      <c r="T105" s="242">
        <f>VLOOKUP(S106,$I$22:$Q$26,7,FALSE())</f>
        <v/>
      </c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E105" s="246" t="n"/>
      <c r="AF105" s="246" t="n"/>
      <c r="AM105" s="246" t="n"/>
      <c r="AQ105" s="246" t="n"/>
      <c r="AR105" s="260" t="n"/>
    </row>
    <row r="106" ht="14.25" customHeight="1" s="175">
      <c r="A106" s="254" t="n"/>
      <c r="B106" s="202" t="n"/>
      <c r="C106" s="255" t="n"/>
      <c r="D106" s="173" t="n"/>
      <c r="E106" s="173" t="n"/>
      <c r="F106" s="173" t="n"/>
      <c r="G106" s="173" t="n"/>
      <c r="I106" s="208" t="inlineStr">
        <is>
          <t>Leads</t>
        </is>
      </c>
      <c r="J106" s="242">
        <f>VLOOKUP(I107,$I$22:$Q$26,4,FALSE())</f>
        <v/>
      </c>
      <c r="L106" s="246" t="n"/>
      <c r="M106" s="246" t="n"/>
      <c r="N106" s="246" t="n"/>
      <c r="O106" s="260" t="n"/>
      <c r="P106" s="260" t="n"/>
      <c r="Q106" s="260" t="n"/>
      <c r="R106" s="260" t="n"/>
      <c r="S106" s="208" t="inlineStr">
        <is>
          <t>Leads</t>
        </is>
      </c>
      <c r="T106" s="242">
        <f>VLOOKUP(S107,$I$22:$Q$26,7,FALSE())</f>
        <v/>
      </c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E106" s="246" t="n"/>
      <c r="AF106" s="246" t="n"/>
      <c r="AM106" s="246" t="n"/>
      <c r="AQ106" s="246" t="n"/>
      <c r="AR106" s="260" t="n"/>
    </row>
    <row r="107" ht="14.25" customHeight="1" s="175">
      <c r="A107" s="254" t="n"/>
      <c r="B107" s="202" t="n"/>
      <c r="C107" s="255" t="n"/>
      <c r="D107" s="173" t="n"/>
      <c r="E107" s="173" t="n"/>
      <c r="F107" s="173" t="n"/>
      <c r="G107" s="173" t="n"/>
      <c r="I107" s="208" t="inlineStr">
        <is>
          <t>Basses</t>
        </is>
      </c>
      <c r="J107" s="242">
        <f>VLOOKUP(I108,$I$22:$Q$26,4,FALSE())</f>
        <v/>
      </c>
      <c r="L107" s="246" t="n"/>
      <c r="M107" s="246" t="n"/>
      <c r="N107" s="246" t="n"/>
      <c r="O107" s="260" t="n"/>
      <c r="P107" s="260" t="n"/>
      <c r="Q107" s="260" t="n"/>
      <c r="R107" s="260" t="n"/>
      <c r="S107" s="208" t="inlineStr">
        <is>
          <t>Basses</t>
        </is>
      </c>
      <c r="T107" s="242">
        <f>VLOOKUP(S108,$I$22:$Q$26,7,FALSE())</f>
        <v/>
      </c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E107" s="246" t="n"/>
      <c r="AF107" s="246" t="n"/>
      <c r="AM107" s="246" t="n"/>
      <c r="AQ107" s="246" t="n"/>
      <c r="AR107" s="260" t="n"/>
    </row>
    <row r="108" ht="14.25" customHeight="1" s="175">
      <c r="A108" s="254" t="n"/>
      <c r="B108" s="202" t="n"/>
      <c r="C108" s="255" t="n"/>
      <c r="D108" s="173" t="n"/>
      <c r="E108" s="173" t="n"/>
      <c r="F108" s="173" t="n"/>
      <c r="G108" s="173" t="n"/>
      <c r="L108" s="246" t="n"/>
      <c r="M108" s="246" t="n"/>
      <c r="N108" s="246" t="n"/>
      <c r="O108" s="260" t="n"/>
      <c r="P108" s="260" t="n"/>
      <c r="Q108" s="260" t="n"/>
      <c r="R108" s="260" t="n"/>
      <c r="S108" s="182" t="n"/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E108" s="246" t="n"/>
      <c r="AF108" s="246" t="n"/>
      <c r="AG108" s="246" t="n"/>
      <c r="AH108" s="246" t="n"/>
      <c r="AM108" s="246" t="n"/>
      <c r="AQ108" s="246" t="n"/>
      <c r="AR108" s="260" t="n"/>
    </row>
    <row r="109" ht="14.25" customHeight="1" s="175">
      <c r="A109" s="254" t="n"/>
      <c r="B109" s="202" t="n"/>
      <c r="C109" s="255" t="n"/>
      <c r="D109" s="173" t="n"/>
      <c r="E109" s="173" t="n"/>
      <c r="F109" s="173" t="n"/>
      <c r="G109" s="173" t="n"/>
      <c r="L109" s="246" t="n"/>
      <c r="M109" s="246" t="n"/>
      <c r="N109" s="246" t="n"/>
      <c r="O109" s="260" t="n"/>
      <c r="P109" s="260" t="n"/>
      <c r="Q109" s="260" t="n"/>
      <c r="R109" s="260" t="n"/>
      <c r="S109" s="182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G109" s="246" t="n"/>
      <c r="AH109" s="246" t="n"/>
      <c r="AM109" s="246" t="n"/>
      <c r="AQ109" s="246" t="n"/>
      <c r="AR109" s="260" t="n"/>
    </row>
    <row r="110" ht="14.25" customHeight="1" s="175">
      <c r="A110" s="254" t="n"/>
      <c r="B110" s="202" t="n"/>
      <c r="C110" s="255" t="n"/>
      <c r="D110" s="173" t="n"/>
      <c r="E110" s="173" t="n"/>
      <c r="F110" s="173" t="n"/>
      <c r="G110" s="173" t="n"/>
      <c r="L110" s="246" t="n"/>
      <c r="M110" s="246" t="n"/>
      <c r="N110" s="246" t="n"/>
      <c r="O110" s="260" t="n"/>
      <c r="P110" s="260" t="n"/>
      <c r="Q110" s="260" t="n"/>
      <c r="R110" s="260" t="n"/>
      <c r="S110" s="182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G110" s="246" t="n"/>
      <c r="AH110" s="246" t="n"/>
      <c r="AM110" s="246" t="n"/>
      <c r="AQ110" s="246" t="n"/>
      <c r="AR110" s="260" t="n"/>
    </row>
    <row r="111" ht="14.25" customHeight="1" s="175">
      <c r="A111" s="254" t="n"/>
      <c r="B111" s="202" t="n"/>
      <c r="C111" s="255" t="n"/>
      <c r="D111" s="173" t="n"/>
      <c r="E111" s="173" t="n"/>
      <c r="F111" s="173" t="n"/>
      <c r="G111" s="173" t="n"/>
      <c r="L111" s="246" t="n"/>
      <c r="M111" s="246" t="n"/>
      <c r="N111" s="246" t="n"/>
      <c r="O111" s="260" t="n"/>
      <c r="P111" s="260" t="n"/>
      <c r="Q111" s="260" t="n"/>
      <c r="R111" s="260" t="n"/>
      <c r="S111" s="182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G111" s="246" t="n"/>
      <c r="AH111" s="246" t="n"/>
      <c r="AM111" s="246" t="n"/>
      <c r="AQ111" s="246" t="n"/>
      <c r="AR111" s="260" t="n"/>
    </row>
    <row r="112" ht="14.25" customHeight="1" s="175">
      <c r="A112" s="254" t="n"/>
      <c r="B112" s="202" t="n"/>
      <c r="C112" s="255" t="n"/>
      <c r="D112" s="173" t="n"/>
      <c r="E112" s="173" t="n"/>
      <c r="F112" s="173" t="n"/>
      <c r="G112" s="173" t="n"/>
      <c r="L112" s="246" t="n"/>
      <c r="M112" s="246" t="n"/>
      <c r="N112" s="246" t="n"/>
      <c r="O112" s="260" t="n"/>
      <c r="P112" s="260" t="n"/>
      <c r="Q112" s="260" t="n"/>
      <c r="R112" s="260" t="n"/>
      <c r="S112" s="182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G112" s="246" t="n"/>
      <c r="AH112" s="246" t="n"/>
      <c r="AM112" s="246" t="n"/>
      <c r="AQ112" s="246" t="n"/>
      <c r="AR112" s="260" t="n"/>
    </row>
    <row r="113" ht="14.25" customHeight="1" s="175">
      <c r="A113" s="254" t="n"/>
      <c r="B113" s="202" t="n"/>
      <c r="C113" s="255" t="n"/>
      <c r="D113" s="173" t="n"/>
      <c r="E113" s="173" t="n"/>
      <c r="F113" s="173" t="n"/>
      <c r="G113" s="173" t="n"/>
      <c r="L113" s="246" t="n"/>
      <c r="M113" s="246" t="n"/>
      <c r="N113" s="246" t="n"/>
      <c r="O113" s="260" t="n"/>
      <c r="P113" s="260" t="n"/>
      <c r="Q113" s="260" t="n"/>
      <c r="R113" s="260" t="n"/>
      <c r="S113" s="182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G113" s="246" t="n"/>
      <c r="AH113" s="246" t="n"/>
      <c r="AM113" s="246" t="n"/>
      <c r="AQ113" s="246" t="n"/>
      <c r="AR113" s="260" t="n"/>
    </row>
    <row r="114" ht="14.25" customHeight="1" s="175">
      <c r="A114" s="254" t="n"/>
      <c r="B114" s="202" t="n"/>
      <c r="C114" s="255" t="n"/>
      <c r="D114" s="173" t="n"/>
      <c r="E114" s="173" t="n"/>
      <c r="F114" s="173" t="n"/>
      <c r="G114" s="173" t="n"/>
      <c r="L114" s="246" t="n"/>
      <c r="M114" s="246" t="n"/>
      <c r="N114" s="246" t="n"/>
      <c r="O114" s="260" t="n"/>
      <c r="P114" s="260" t="n"/>
      <c r="Q114" s="260" t="n"/>
      <c r="R114" s="260" t="n"/>
      <c r="S114" s="182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G114" s="246" t="n"/>
      <c r="AH114" s="246" t="n"/>
      <c r="AM114" s="246" t="n"/>
      <c r="AQ114" s="246" t="n"/>
      <c r="AR114" s="260" t="n"/>
    </row>
    <row r="115" ht="14.25" customHeight="1" s="175">
      <c r="A115" s="254" t="n"/>
      <c r="B115" s="202" t="n"/>
      <c r="C115" s="255" t="n"/>
      <c r="D115" s="173" t="n"/>
      <c r="E115" s="173" t="n"/>
      <c r="F115" s="173" t="n"/>
      <c r="G115" s="173" t="n"/>
      <c r="AG115" s="246" t="n"/>
      <c r="AH115" s="246" t="n"/>
      <c r="AM115" s="246" t="n"/>
      <c r="AQ115" s="246" t="n"/>
      <c r="AR115" s="260" t="n"/>
    </row>
    <row r="116" ht="14.25" customHeight="1" s="175">
      <c r="A116" s="254" t="n"/>
      <c r="B116" s="202" t="n"/>
      <c r="C116" s="255" t="n"/>
      <c r="D116" s="173" t="n"/>
      <c r="E116" s="173" t="n"/>
      <c r="F116" s="173" t="n"/>
      <c r="G116" s="173" t="n"/>
      <c r="AG116" s="246" t="n"/>
      <c r="AH116" s="246" t="n"/>
      <c r="AM116" s="246" t="n"/>
      <c r="AQ116" s="246" t="n"/>
      <c r="AR116" s="260" t="n"/>
    </row>
    <row r="117" ht="14.25" customHeight="1" s="175">
      <c r="A117" s="254" t="n"/>
      <c r="B117" s="202" t="n"/>
      <c r="C117" s="255" t="n"/>
      <c r="D117" s="173" t="n"/>
      <c r="E117" s="173" t="n"/>
      <c r="F117" s="173" t="n"/>
      <c r="G117" s="173" t="n"/>
      <c r="AG117" s="246" t="n"/>
      <c r="AH117" s="246" t="n"/>
      <c r="AM117" s="246" t="n"/>
      <c r="AQ117" s="246" t="n"/>
      <c r="AR117" s="260" t="n"/>
    </row>
    <row r="118" ht="14.25" customHeight="1" s="175">
      <c r="A118" s="254" t="n"/>
      <c r="B118" s="202" t="n"/>
      <c r="C118" s="255" t="n"/>
      <c r="D118" s="173" t="n"/>
      <c r="E118" s="173" t="n"/>
      <c r="F118" s="173" t="n"/>
      <c r="G118" s="173" t="n"/>
      <c r="AG118" s="246" t="n"/>
      <c r="AH118" s="246" t="n"/>
      <c r="AM118" s="246" t="n"/>
      <c r="AQ118" s="246" t="n"/>
      <c r="AR118" s="260" t="n"/>
    </row>
    <row r="119" ht="14.25" customHeight="1" s="175">
      <c r="A119" s="254" t="n"/>
      <c r="B119" s="202" t="n"/>
      <c r="C119" s="255" t="n"/>
      <c r="D119" s="173" t="n"/>
      <c r="E119" s="173" t="n"/>
      <c r="F119" s="173" t="n"/>
      <c r="G119" s="173" t="n"/>
      <c r="AG119" s="246" t="n"/>
      <c r="AH119" s="246" t="n"/>
      <c r="AM119" s="246" t="n"/>
      <c r="AQ119" s="246" t="n"/>
      <c r="AR119" s="260" t="n"/>
    </row>
    <row r="120" ht="14.25" customHeight="1" s="175">
      <c r="A120" s="254" t="n"/>
      <c r="B120" s="202" t="n"/>
      <c r="C120" s="255" t="n"/>
      <c r="D120" s="173" t="n"/>
      <c r="E120" s="173" t="n"/>
      <c r="F120" s="173" t="n"/>
      <c r="G120" s="173" t="n"/>
      <c r="AG120" s="246" t="n"/>
      <c r="AH120" s="246" t="n"/>
      <c r="AM120" s="246" t="n"/>
      <c r="AQ120" s="246" t="n"/>
      <c r="AR120" s="260" t="n"/>
    </row>
    <row r="121" ht="14.25" customHeight="1" s="175">
      <c r="A121" s="254" t="n"/>
      <c r="B121" s="202" t="n"/>
      <c r="C121" s="255" t="n"/>
      <c r="D121" s="173" t="n"/>
      <c r="E121" s="173" t="n"/>
      <c r="F121" s="173" t="n"/>
      <c r="G121" s="173" t="n"/>
      <c r="AG121" s="246" t="n"/>
      <c r="AH121" s="246" t="n"/>
      <c r="AM121" s="246" t="n"/>
      <c r="AQ121" s="246" t="n"/>
      <c r="AR121" s="260" t="n"/>
    </row>
    <row r="122" ht="14.25" customHeight="1" s="175">
      <c r="A122" s="254" t="n"/>
      <c r="B122" s="202" t="n"/>
      <c r="C122" s="255" t="n"/>
      <c r="D122" s="173" t="n"/>
      <c r="E122" s="173" t="n"/>
      <c r="F122" s="173" t="n"/>
      <c r="G122" s="173" t="n"/>
      <c r="AG122" s="246" t="n"/>
      <c r="AH122" s="246" t="n"/>
      <c r="AM122" s="246" t="n"/>
      <c r="AQ122" s="246" t="n"/>
      <c r="AR122" s="260" t="n"/>
    </row>
    <row r="123" ht="14.25" customHeight="1" s="175">
      <c r="A123" s="254" t="n"/>
      <c r="B123" s="202" t="n"/>
      <c r="C123" s="255" t="n"/>
      <c r="D123" s="173" t="n"/>
      <c r="E123" s="173" t="n"/>
      <c r="F123" s="173" t="n"/>
      <c r="G123" s="173" t="n"/>
      <c r="AG123" s="246" t="n"/>
      <c r="AH123" s="246" t="n"/>
      <c r="AM123" s="246" t="n"/>
      <c r="AQ123" s="246" t="n"/>
      <c r="AR123" s="260" t="n"/>
    </row>
    <row r="124" ht="14.25" customHeight="1" s="175">
      <c r="A124" s="254" t="n"/>
      <c r="B124" s="202" t="n"/>
      <c r="C124" s="255" t="n"/>
      <c r="D124" s="173" t="n"/>
      <c r="E124" s="173" t="n"/>
      <c r="F124" s="173" t="n"/>
      <c r="G124" s="173" t="n"/>
      <c r="L124" s="246" t="n"/>
      <c r="M124" s="246" t="n"/>
      <c r="N124" s="246" t="n"/>
      <c r="O124" s="260" t="n"/>
      <c r="P124" s="260" t="n"/>
      <c r="Q124" s="260" t="n"/>
      <c r="R124" s="260" t="n"/>
      <c r="S124" s="182" t="n"/>
      <c r="V124" s="246" t="n"/>
      <c r="W124" s="246" t="n"/>
      <c r="X124" s="246" t="n"/>
      <c r="Y124" s="246" t="n"/>
      <c r="Z124" s="246" t="n"/>
      <c r="AA124" s="246" t="n"/>
      <c r="AB124" s="246" t="n"/>
      <c r="AC124" s="246" t="n"/>
      <c r="AD124" s="246" t="n"/>
      <c r="AE124" s="246" t="n"/>
      <c r="AF124" s="246" t="n"/>
      <c r="AG124" s="246" t="n"/>
      <c r="AH124" s="246" t="n"/>
      <c r="AM124" s="246" t="n"/>
      <c r="AQ124" s="246" t="n"/>
      <c r="AR124" s="260" t="n"/>
    </row>
    <row r="125" ht="14.25" customHeight="1" s="175">
      <c r="A125" s="254" t="n"/>
      <c r="B125" s="202" t="n"/>
      <c r="C125" s="255" t="n"/>
      <c r="D125" s="173" t="n"/>
      <c r="E125" s="173" t="n"/>
      <c r="F125" s="173" t="n"/>
      <c r="G125" s="173" t="n"/>
    </row>
    <row r="126" ht="14.25" customHeight="1" s="175">
      <c r="A126" s="254" t="n"/>
      <c r="B126" s="202" t="n"/>
      <c r="C126" s="255" t="n"/>
      <c r="D126" s="173" t="n"/>
      <c r="E126" s="173" t="n"/>
      <c r="F126" s="173" t="n"/>
      <c r="G126" s="173" t="n"/>
    </row>
    <row r="127" ht="14.25" customHeight="1" s="175">
      <c r="A127" s="254" t="n"/>
      <c r="B127" s="202" t="n"/>
      <c r="C127" s="255" t="n"/>
      <c r="D127" s="173" t="n"/>
      <c r="E127" s="173" t="n"/>
      <c r="F127" s="173" t="n"/>
      <c r="G127" s="173" t="n"/>
    </row>
    <row r="128" ht="14.25" customHeight="1" s="175">
      <c r="A128" s="254" t="n"/>
      <c r="B128" s="202" t="n"/>
      <c r="C128" s="255" t="n"/>
      <c r="D128" s="173" t="n"/>
      <c r="E128" s="173" t="n"/>
      <c r="F128" s="173" t="n"/>
      <c r="G128" s="173" t="n"/>
    </row>
    <row r="129" ht="14.25" customHeight="1" s="175">
      <c r="A129" s="254" t="n"/>
      <c r="B129" s="202" t="n"/>
      <c r="C129" s="255" t="n"/>
      <c r="D129" s="173" t="n"/>
      <c r="E129" s="173" t="n"/>
      <c r="F129" s="173" t="n"/>
      <c r="G129" s="173" t="n"/>
    </row>
    <row r="130" ht="14.25" customHeight="1" s="175">
      <c r="A130" s="254" t="n"/>
      <c r="B130" s="202" t="n"/>
      <c r="C130" s="255" t="n"/>
      <c r="D130" s="173" t="n"/>
      <c r="E130" s="173" t="n"/>
      <c r="F130" s="173" t="n"/>
      <c r="G130" s="173" t="n"/>
    </row>
    <row r="131" ht="14.25" customHeight="1" s="175">
      <c r="A131" s="254" t="n"/>
      <c r="B131" s="202" t="n"/>
      <c r="C131" s="255" t="n"/>
      <c r="D131" s="173" t="n"/>
      <c r="E131" s="173" t="n"/>
      <c r="F131" s="173" t="n"/>
      <c r="G131" s="173" t="n"/>
    </row>
    <row r="132" ht="14.25" customHeight="1" s="175">
      <c r="A132" s="254" t="n"/>
      <c r="B132" s="202" t="n"/>
      <c r="C132" s="255" t="n"/>
      <c r="D132" s="173" t="n"/>
      <c r="E132" s="173" t="n"/>
      <c r="F132" s="173" t="n"/>
      <c r="G132" s="173" t="n"/>
    </row>
    <row r="133" ht="14.25" customHeight="1" s="175">
      <c r="A133" s="254" t="n"/>
      <c r="B133" s="202" t="n"/>
      <c r="C133" s="255" t="n"/>
      <c r="D133" s="173" t="n"/>
      <c r="E133" s="173" t="n"/>
      <c r="F133" s="173" t="n"/>
      <c r="G133" s="173" t="n"/>
    </row>
    <row r="134" ht="14.25" customHeight="1" s="175">
      <c r="A134" s="254" t="n"/>
      <c r="B134" s="202" t="n"/>
      <c r="C134" s="255" t="n"/>
      <c r="D134" s="173" t="n"/>
      <c r="E134" s="173" t="n"/>
      <c r="F134" s="173" t="n"/>
      <c r="G134" s="173" t="n"/>
    </row>
    <row r="135" ht="14.25" customHeight="1" s="175">
      <c r="A135" s="254" t="n"/>
      <c r="B135" s="202" t="n"/>
      <c r="C135" s="255" t="n"/>
      <c r="D135" s="173" t="n"/>
      <c r="E135" s="173" t="n"/>
      <c r="F135" s="173" t="n"/>
      <c r="G135" s="173" t="n"/>
    </row>
    <row r="136" ht="14.25" customHeight="1" s="175">
      <c r="A136" s="254" t="n"/>
      <c r="B136" s="202" t="n"/>
      <c r="C136" s="255" t="n"/>
      <c r="D136" s="173" t="n"/>
      <c r="E136" s="173" t="n"/>
      <c r="F136" s="173" t="n"/>
      <c r="G136" s="173" t="n"/>
    </row>
    <row r="137" ht="14.25" customHeight="1" s="175">
      <c r="A137" s="254" t="n"/>
      <c r="B137" s="202" t="n"/>
      <c r="C137" s="255" t="n"/>
      <c r="D137" s="173" t="n"/>
      <c r="E137" s="173" t="n"/>
      <c r="F137" s="173" t="n"/>
      <c r="G137" s="173" t="n"/>
    </row>
    <row r="138" ht="14.25" customHeight="1" s="175">
      <c r="A138" s="254" t="n"/>
      <c r="B138" s="202" t="n"/>
      <c r="C138" s="255" t="n"/>
      <c r="D138" s="173" t="n"/>
      <c r="E138" s="173" t="n"/>
      <c r="F138" s="173" t="n"/>
      <c r="G138" s="173" t="n"/>
    </row>
    <row r="139" ht="14.25" customHeight="1" s="175">
      <c r="A139" s="254" t="n"/>
      <c r="B139" s="202" t="n"/>
      <c r="C139" s="255" t="n"/>
      <c r="D139" s="173" t="n"/>
      <c r="E139" s="173" t="n"/>
      <c r="F139" s="173" t="n"/>
      <c r="G139" s="173" t="n"/>
    </row>
    <row r="140" ht="14.25" customHeight="1" s="175">
      <c r="A140" s="254" t="n"/>
      <c r="B140" s="202" t="n"/>
      <c r="C140" s="255" t="n"/>
      <c r="D140" s="173" t="n"/>
      <c r="E140" s="173" t="n"/>
      <c r="F140" s="173" t="n"/>
      <c r="G140" s="173" t="n"/>
    </row>
    <row r="141" ht="14.25" customHeight="1" s="175">
      <c r="A141" s="254" t="n"/>
      <c r="B141" s="202" t="n"/>
      <c r="C141" s="255" t="n"/>
      <c r="D141" s="173" t="n"/>
      <c r="E141" s="173" t="n"/>
      <c r="F141" s="173" t="n"/>
      <c r="G141" s="173" t="n"/>
    </row>
    <row r="142" ht="14.25" customHeight="1" s="175">
      <c r="A142" s="254" t="n"/>
      <c r="B142" s="202" t="n"/>
      <c r="C142" s="255" t="n"/>
      <c r="D142" s="173" t="n"/>
      <c r="E142" s="173" t="n"/>
      <c r="F142" s="173" t="n"/>
      <c r="G142" s="173" t="n"/>
    </row>
    <row r="143" ht="14.25" customHeight="1" s="175">
      <c r="A143" s="254" t="n"/>
      <c r="B143" s="202" t="n"/>
      <c r="C143" s="255" t="n"/>
      <c r="D143" s="173" t="n"/>
      <c r="E143" s="173" t="n"/>
      <c r="F143" s="173" t="n"/>
      <c r="G143" s="173" t="n"/>
    </row>
    <row r="144" ht="14.25" customHeight="1" s="175">
      <c r="A144" s="254" t="n"/>
      <c r="B144" s="202" t="n"/>
      <c r="C144" s="255" t="n"/>
      <c r="D144" s="173" t="n"/>
      <c r="E144" s="173" t="n"/>
      <c r="F144" s="173" t="n"/>
      <c r="G144" s="173" t="n"/>
    </row>
    <row r="145" ht="14.25" customHeight="1" s="175">
      <c r="A145" s="254" t="n"/>
      <c r="B145" s="202" t="n"/>
      <c r="C145" s="255" t="n"/>
      <c r="D145" s="173" t="n"/>
      <c r="E145" s="173" t="n"/>
      <c r="F145" s="173" t="n"/>
      <c r="G145" s="173" t="n"/>
    </row>
    <row r="146" ht="14.25" customHeight="1" s="175">
      <c r="A146" s="254" t="n"/>
      <c r="B146" s="202" t="n"/>
      <c r="C146" s="255" t="n"/>
      <c r="D146" s="173" t="n"/>
      <c r="E146" s="173" t="n"/>
      <c r="F146" s="173" t="n"/>
      <c r="G146" s="173" t="n"/>
    </row>
    <row r="147" ht="14.25" customHeight="1" s="175">
      <c r="A147" s="254" t="n"/>
      <c r="B147" s="202" t="n"/>
      <c r="C147" s="255" t="n"/>
      <c r="D147" s="173" t="n"/>
      <c r="E147" s="173" t="n"/>
      <c r="F147" s="173" t="n"/>
      <c r="G147" s="173" t="n"/>
    </row>
    <row r="148" ht="14.25" customHeight="1" s="175">
      <c r="A148" s="254" t="n"/>
      <c r="B148" s="202" t="n"/>
      <c r="C148" s="255" t="n"/>
      <c r="D148" s="173" t="n"/>
      <c r="E148" s="173" t="n"/>
      <c r="F148" s="173" t="n"/>
      <c r="G148" s="173" t="n"/>
    </row>
    <row r="149" ht="14.25" customHeight="1" s="175">
      <c r="A149" s="254" t="n"/>
      <c r="B149" s="202" t="n"/>
      <c r="C149" s="255" t="n"/>
      <c r="D149" s="173" t="n"/>
      <c r="E149" s="173" t="n"/>
      <c r="F149" s="173" t="n"/>
      <c r="G149" s="173" t="n"/>
    </row>
    <row r="150" ht="14.25" customHeight="1" s="175">
      <c r="A150" s="254" t="n"/>
      <c r="B150" s="202" t="n"/>
      <c r="C150" s="255" t="n"/>
      <c r="D150" s="173" t="n"/>
      <c r="E150" s="173" t="n"/>
      <c r="F150" s="173" t="n"/>
      <c r="G150" s="173" t="n"/>
    </row>
    <row r="151" ht="14.25" customHeight="1" s="175">
      <c r="A151" s="254" t="n"/>
      <c r="B151" s="202" t="n"/>
      <c r="C151" s="255" t="n"/>
      <c r="D151" s="173" t="n"/>
      <c r="E151" s="173" t="n"/>
      <c r="F151" s="173" t="n"/>
      <c r="G151" s="173" t="n"/>
    </row>
    <row r="152" ht="14.25" customHeight="1" s="175">
      <c r="A152" s="254" t="n"/>
      <c r="B152" s="202" t="n"/>
      <c r="C152" s="255" t="n"/>
      <c r="D152" s="173" t="n"/>
      <c r="E152" s="173" t="n"/>
      <c r="F152" s="173" t="n"/>
      <c r="G152" s="173" t="n"/>
    </row>
    <row r="153" ht="14.25" customHeight="1" s="175">
      <c r="A153" s="254" t="n"/>
      <c r="B153" s="202" t="n"/>
      <c r="C153" s="255" t="n"/>
      <c r="D153" s="173" t="n"/>
      <c r="E153" s="173" t="n"/>
      <c r="F153" s="173" t="n"/>
      <c r="G153" s="173" t="n"/>
    </row>
    <row r="154" ht="14.25" customHeight="1" s="175">
      <c r="A154" s="254" t="n"/>
      <c r="B154" s="202" t="n"/>
      <c r="C154" s="255" t="n"/>
      <c r="D154" s="173" t="n"/>
      <c r="E154" s="173" t="n"/>
      <c r="F154" s="173" t="n"/>
      <c r="G154" s="173" t="n"/>
    </row>
    <row r="155" ht="14.25" customHeight="1" s="175">
      <c r="A155" s="254" t="n"/>
      <c r="B155" s="202" t="n"/>
      <c r="C155" s="255" t="n"/>
      <c r="D155" s="173" t="n"/>
      <c r="E155" s="173" t="n"/>
      <c r="F155" s="173" t="n"/>
      <c r="G155" s="173" t="n"/>
    </row>
    <row r="156" ht="14.25" customHeight="1" s="175">
      <c r="A156" s="254" t="n"/>
      <c r="B156" s="202" t="n"/>
      <c r="C156" s="255" t="n"/>
      <c r="D156" s="173" t="n"/>
      <c r="E156" s="173" t="n"/>
      <c r="F156" s="173" t="n"/>
      <c r="G156" s="173" t="n"/>
    </row>
    <row r="157" ht="14.25" customHeight="1" s="175">
      <c r="A157" s="254" t="n"/>
      <c r="B157" s="202" t="n"/>
      <c r="C157" s="255" t="n"/>
      <c r="D157" s="173" t="n"/>
      <c r="E157" s="173" t="n"/>
      <c r="F157" s="173" t="n"/>
      <c r="G157" s="173" t="n"/>
    </row>
    <row r="158" ht="14.25" customHeight="1" s="175">
      <c r="A158" s="254" t="n"/>
      <c r="B158" s="202" t="n"/>
      <c r="C158" s="255" t="n"/>
      <c r="D158" s="173" t="n"/>
      <c r="E158" s="173" t="n"/>
      <c r="F158" s="173" t="n"/>
      <c r="G158" s="173" t="n"/>
    </row>
    <row r="159" ht="14.25" customHeight="1" s="175">
      <c r="A159" s="254" t="n"/>
      <c r="B159" s="202" t="n"/>
      <c r="C159" s="255" t="n"/>
      <c r="D159" s="173" t="n"/>
      <c r="E159" s="173" t="n"/>
      <c r="F159" s="173" t="n"/>
      <c r="G159" s="173" t="n"/>
    </row>
    <row r="160" ht="14.25" customHeight="1" s="175">
      <c r="A160" s="254" t="n"/>
      <c r="B160" s="202" t="n"/>
      <c r="C160" s="255" t="n"/>
      <c r="D160" s="173" t="n"/>
      <c r="E160" s="173" t="n"/>
      <c r="F160" s="173" t="n"/>
      <c r="G160" s="173" t="n"/>
    </row>
    <row r="161" ht="14.25" customHeight="1" s="175">
      <c r="A161" s="254" t="n"/>
      <c r="B161" s="202" t="n"/>
      <c r="C161" s="255" t="n"/>
      <c r="D161" s="173" t="n"/>
      <c r="E161" s="173" t="n"/>
      <c r="F161" s="173" t="n"/>
      <c r="G161" s="173" t="n"/>
    </row>
    <row r="162" ht="14.25" customHeight="1" s="175">
      <c r="A162" s="254" t="n"/>
      <c r="B162" s="202" t="n"/>
      <c r="C162" s="255" t="n"/>
      <c r="D162" s="173" t="n"/>
      <c r="E162" s="173" t="n"/>
      <c r="F162" s="173" t="n"/>
      <c r="G162" s="173" t="n"/>
    </row>
    <row r="163" ht="14.25" customHeight="1" s="175">
      <c r="A163" s="254" t="n"/>
      <c r="B163" s="202" t="n"/>
      <c r="C163" s="255" t="n"/>
      <c r="D163" s="173" t="n"/>
      <c r="E163" s="173" t="n"/>
      <c r="F163" s="173" t="n"/>
      <c r="G163" s="173" t="n"/>
    </row>
    <row r="164" ht="14.25" customHeight="1" s="175">
      <c r="A164" s="254" t="n"/>
      <c r="B164" s="202" t="n"/>
      <c r="C164" s="255" t="n"/>
      <c r="D164" s="173" t="n"/>
      <c r="E164" s="173" t="n"/>
      <c r="F164" s="173" t="n"/>
      <c r="G164" s="173" t="n"/>
    </row>
    <row r="165" ht="14.25" customHeight="1" s="175">
      <c r="A165" s="254" t="n"/>
      <c r="B165" s="202" t="n"/>
      <c r="C165" s="255" t="n"/>
      <c r="D165" s="173" t="n"/>
      <c r="E165" s="173" t="n"/>
      <c r="F165" s="173" t="n"/>
      <c r="G165" s="173" t="n"/>
    </row>
    <row r="166" ht="14.25" customHeight="1" s="175">
      <c r="A166" s="254" t="n"/>
      <c r="B166" s="202" t="n"/>
      <c r="C166" s="255" t="n"/>
      <c r="D166" s="173" t="n"/>
      <c r="E166" s="173" t="n"/>
      <c r="F166" s="173" t="n"/>
      <c r="G166" s="173" t="n"/>
    </row>
    <row r="167" ht="14.25" customHeight="1" s="175">
      <c r="A167" s="254" t="n"/>
      <c r="B167" s="202" t="n"/>
      <c r="C167" s="255" t="n"/>
      <c r="D167" s="173" t="n"/>
      <c r="E167" s="173" t="n"/>
      <c r="F167" s="173" t="n"/>
      <c r="G167" s="173" t="n"/>
      <c r="I167" s="240" t="n"/>
      <c r="J167" s="240" t="n"/>
    </row>
    <row r="168" ht="14.25" customHeight="1" s="175">
      <c r="A168" s="254" t="n"/>
      <c r="B168" s="202" t="n"/>
      <c r="C168" s="255" t="n"/>
      <c r="D168" s="173" t="n"/>
      <c r="E168" s="173" t="n"/>
      <c r="F168" s="173" t="n"/>
      <c r="G168" s="173" t="n"/>
      <c r="I168" s="240" t="n"/>
      <c r="J168" s="240" t="n"/>
    </row>
    <row r="169" ht="14.25" customHeight="1" s="175">
      <c r="A169" s="254" t="n"/>
      <c r="B169" s="202" t="n"/>
      <c r="C169" s="255" t="n"/>
      <c r="D169" s="173" t="n"/>
      <c r="E169" s="173" t="n"/>
      <c r="F169" s="173" t="n"/>
      <c r="G169" s="173" t="n"/>
      <c r="I169" s="240" t="n"/>
      <c r="J169" s="240" t="n"/>
    </row>
    <row r="170" ht="14.25" customHeight="1" s="175">
      <c r="A170" s="254" t="n"/>
      <c r="B170" s="202" t="n"/>
      <c r="C170" s="255" t="n"/>
      <c r="D170" s="173" t="n"/>
      <c r="E170" s="173" t="n"/>
      <c r="F170" s="173" t="n"/>
      <c r="G170" s="173" t="n"/>
      <c r="I170" s="240" t="n"/>
      <c r="J170" s="240" t="n"/>
    </row>
    <row r="171" ht="14.25" customHeight="1" s="175">
      <c r="A171" s="254" t="n"/>
      <c r="B171" s="202" t="n"/>
      <c r="C171" s="255" t="n"/>
      <c r="D171" s="173" t="n"/>
      <c r="E171" s="173" t="n"/>
      <c r="F171" s="173" t="n"/>
      <c r="G171" s="173" t="n"/>
      <c r="I171" s="240" t="n"/>
      <c r="J171" s="240" t="n"/>
    </row>
    <row r="172" ht="14.25" customHeight="1" s="175">
      <c r="A172" s="254" t="n"/>
      <c r="B172" s="202" t="n"/>
      <c r="C172" s="255" t="n"/>
      <c r="D172" s="173" t="n"/>
      <c r="E172" s="173" t="n"/>
      <c r="F172" s="173" t="n"/>
      <c r="G172" s="173" t="n"/>
      <c r="I172" s="240" t="n"/>
      <c r="J172" s="240" t="n"/>
    </row>
    <row r="173" ht="14.25" customHeight="1" s="175">
      <c r="A173" s="254" t="n"/>
      <c r="B173" s="202" t="n"/>
      <c r="C173" s="255" t="n"/>
      <c r="D173" s="173" t="n"/>
      <c r="E173" s="173" t="n"/>
      <c r="F173" s="173" t="n"/>
      <c r="G173" s="173" t="n"/>
      <c r="I173" s="240" t="n"/>
      <c r="J173" s="240" t="n"/>
    </row>
    <row r="174" ht="14.25" customHeight="1" s="175">
      <c r="A174" s="254" t="n"/>
      <c r="B174" s="202" t="n"/>
      <c r="C174" s="255" t="n"/>
      <c r="D174" s="173" t="n"/>
      <c r="E174" s="173" t="n"/>
      <c r="F174" s="173" t="n"/>
      <c r="G174" s="173" t="n"/>
      <c r="I174" s="240" t="n"/>
      <c r="J174" s="240" t="n"/>
    </row>
    <row r="175" ht="14.25" customHeight="1" s="175">
      <c r="A175" s="254" t="n"/>
      <c r="B175" s="202" t="n"/>
      <c r="C175" s="255" t="n"/>
      <c r="D175" s="173" t="n"/>
      <c r="E175" s="173" t="n"/>
      <c r="F175" s="173" t="n"/>
      <c r="G175" s="173" t="n"/>
      <c r="I175" s="240" t="n"/>
      <c r="J175" s="240" t="n"/>
    </row>
    <row r="176" ht="14.25" customHeight="1" s="175">
      <c r="A176" s="254" t="n"/>
      <c r="B176" s="202" t="n"/>
      <c r="C176" s="255" t="n"/>
      <c r="D176" s="173" t="n"/>
      <c r="E176" s="173" t="n"/>
      <c r="F176" s="173" t="n"/>
      <c r="G176" s="173" t="n"/>
    </row>
    <row r="177" ht="14.25" customHeight="1" s="175">
      <c r="A177" s="254" t="n"/>
      <c r="B177" s="202" t="n"/>
      <c r="C177" s="255" t="n"/>
      <c r="D177" s="173" t="n"/>
      <c r="E177" s="173" t="n"/>
      <c r="F177" s="173" t="n"/>
      <c r="G177" s="173" t="n"/>
    </row>
    <row r="178" ht="14.25" customHeight="1" s="175">
      <c r="A178" s="254" t="n"/>
      <c r="B178" s="202" t="n"/>
      <c r="C178" s="255" t="n"/>
      <c r="D178" s="173" t="n"/>
      <c r="E178" s="173" t="n"/>
      <c r="F178" s="173" t="n"/>
      <c r="G178" s="173" t="n"/>
    </row>
    <row r="179" ht="14.25" customHeight="1" s="175">
      <c r="A179" s="254" t="n"/>
      <c r="B179" s="202" t="n"/>
      <c r="C179" s="255" t="n"/>
      <c r="D179" s="173" t="n"/>
      <c r="E179" s="173" t="n"/>
      <c r="F179" s="173" t="n"/>
      <c r="G179" s="173" t="n"/>
    </row>
    <row r="180" ht="14.25" customHeight="1" s="175">
      <c r="A180" s="254" t="n"/>
      <c r="B180" s="202" t="n"/>
      <c r="C180" s="255" t="n"/>
      <c r="D180" s="173" t="n"/>
      <c r="E180" s="173" t="n"/>
      <c r="F180" s="173" t="n"/>
      <c r="G180" s="173" t="n"/>
    </row>
    <row r="181" ht="14.25" customHeight="1" s="175">
      <c r="A181" s="254" t="n"/>
      <c r="B181" s="202" t="n"/>
      <c r="C181" s="255" t="n"/>
      <c r="D181" s="173" t="n"/>
      <c r="E181" s="173" t="n"/>
      <c r="F181" s="173" t="n"/>
      <c r="G181" s="173" t="n"/>
    </row>
    <row r="182" ht="14.25" customHeight="1" s="175">
      <c r="A182" s="254" t="n"/>
      <c r="B182" s="202" t="n"/>
      <c r="C182" s="255" t="n"/>
      <c r="D182" s="173" t="n"/>
      <c r="E182" s="173" t="n"/>
      <c r="F182" s="173" t="n"/>
      <c r="G182" s="173" t="n"/>
    </row>
    <row r="183" ht="14.25" customHeight="1" s="175">
      <c r="A183" s="254" t="n"/>
      <c r="B183" s="202" t="n"/>
      <c r="C183" s="255" t="n"/>
      <c r="D183" s="173" t="n"/>
      <c r="E183" s="173" t="n"/>
      <c r="F183" s="173" t="n"/>
      <c r="G183" s="173" t="n"/>
    </row>
    <row r="184" ht="14.25" customHeight="1" s="175">
      <c r="A184" s="254" t="n"/>
      <c r="B184" s="202" t="n"/>
      <c r="C184" s="255" t="n"/>
      <c r="D184" s="173" t="n"/>
      <c r="E184" s="173" t="n"/>
      <c r="F184" s="173" t="n"/>
      <c r="G184" s="173" t="n"/>
    </row>
    <row r="185" ht="14.25" customHeight="1" s="175">
      <c r="A185" s="254" t="n"/>
      <c r="B185" s="202" t="n"/>
      <c r="C185" s="255" t="n"/>
      <c r="D185" s="173" t="n"/>
      <c r="E185" s="173" t="n"/>
      <c r="F185" s="173" t="n"/>
      <c r="G185" s="173" t="n"/>
    </row>
    <row r="186" ht="14.25" customHeight="1" s="175">
      <c r="A186" s="254" t="n"/>
      <c r="B186" s="202" t="n"/>
      <c r="C186" s="255" t="n"/>
      <c r="D186" s="173" t="n"/>
      <c r="E186" s="173" t="n"/>
      <c r="F186" s="173" t="n"/>
      <c r="G186" s="173" t="n"/>
    </row>
    <row r="187" ht="14.25" customHeight="1" s="175">
      <c r="A187" s="254" t="n"/>
      <c r="B187" s="202" t="n"/>
      <c r="C187" s="255" t="n"/>
      <c r="D187" s="173" t="n"/>
      <c r="E187" s="173" t="n"/>
      <c r="F187" s="173" t="n"/>
      <c r="G187" s="173" t="n"/>
    </row>
    <row r="188" ht="14.25" customHeight="1" s="175">
      <c r="A188" s="254" t="n"/>
      <c r="B188" s="202" t="n"/>
      <c r="C188" s="255" t="n"/>
      <c r="D188" s="173" t="n"/>
      <c r="E188" s="173" t="n"/>
      <c r="F188" s="173" t="n"/>
      <c r="G188" s="173" t="n"/>
    </row>
    <row r="189" ht="14.25" customHeight="1" s="175">
      <c r="A189" s="254" t="n"/>
      <c r="B189" s="202" t="n"/>
      <c r="C189" s="255" t="n"/>
      <c r="D189" s="173" t="n"/>
      <c r="E189" s="173" t="n"/>
      <c r="F189" s="173" t="n"/>
      <c r="G189" s="173" t="n"/>
    </row>
    <row r="190" ht="14.25" customHeight="1" s="175">
      <c r="A190" s="254" t="n"/>
      <c r="B190" s="202" t="n"/>
      <c r="C190" s="255" t="n"/>
      <c r="D190" s="173" t="n"/>
      <c r="E190" s="173" t="n"/>
      <c r="F190" s="173" t="n"/>
      <c r="G190" s="173" t="n"/>
    </row>
    <row r="191" ht="14.25" customHeight="1" s="175">
      <c r="A191" s="254" t="n"/>
      <c r="B191" s="202" t="n"/>
      <c r="C191" s="255" t="n"/>
      <c r="D191" s="173" t="n"/>
      <c r="E191" s="173" t="n"/>
      <c r="F191" s="173" t="n"/>
      <c r="G191" s="173" t="n"/>
    </row>
    <row r="192" ht="14.25" customHeight="1" s="175">
      <c r="A192" s="254" t="n"/>
      <c r="B192" s="202" t="n"/>
      <c r="C192" s="255" t="n"/>
      <c r="D192" s="173" t="n"/>
      <c r="E192" s="173" t="n"/>
      <c r="F192" s="173" t="n"/>
      <c r="G192" s="173" t="n"/>
    </row>
    <row r="193" ht="14.25" customHeight="1" s="175">
      <c r="A193" s="254" t="n"/>
      <c r="B193" s="202" t="n"/>
      <c r="C193" s="255" t="n"/>
      <c r="D193" s="173" t="n"/>
      <c r="E193" s="173" t="n"/>
      <c r="F193" s="173" t="n"/>
      <c r="G193" s="173" t="n"/>
    </row>
    <row r="194" ht="14.25" customHeight="1" s="175">
      <c r="A194" s="254" t="n"/>
      <c r="B194" s="202" t="n"/>
      <c r="C194" s="255" t="n"/>
      <c r="D194" s="173" t="n"/>
      <c r="E194" s="173" t="n"/>
      <c r="F194" s="173" t="n"/>
      <c r="G194" s="173" t="n"/>
    </row>
    <row r="195" ht="14.25" customHeight="1" s="175">
      <c r="A195" s="254" t="n"/>
      <c r="B195" s="202" t="n"/>
      <c r="C195" s="255" t="n"/>
      <c r="D195" s="173" t="n"/>
      <c r="E195" s="173" t="n"/>
      <c r="F195" s="173" t="n"/>
      <c r="G195" s="173" t="n"/>
    </row>
    <row r="196" ht="14.25" customHeight="1" s="175">
      <c r="A196" s="254" t="n"/>
      <c r="B196" s="202" t="n"/>
      <c r="C196" s="255" t="n"/>
      <c r="D196" s="173" t="n"/>
      <c r="E196" s="173" t="n"/>
      <c r="F196" s="173" t="n"/>
      <c r="G196" s="173" t="n"/>
    </row>
    <row r="197" ht="14.25" customHeight="1" s="175">
      <c r="A197" s="254" t="n"/>
      <c r="B197" s="202" t="n"/>
      <c r="C197" s="255" t="n"/>
      <c r="D197" s="173" t="n"/>
      <c r="E197" s="173" t="n"/>
      <c r="F197" s="173" t="n"/>
      <c r="G197" s="173" t="n"/>
    </row>
    <row r="198" ht="14.25" customHeight="1" s="175">
      <c r="A198" s="254" t="n"/>
      <c r="B198" s="202" t="n"/>
      <c r="C198" s="255" t="n"/>
      <c r="D198" s="173" t="n"/>
      <c r="E198" s="173" t="n"/>
      <c r="F198" s="173" t="n"/>
      <c r="G198" s="173" t="n"/>
    </row>
    <row r="199" ht="14.25" customHeight="1" s="175">
      <c r="A199" s="254" t="n"/>
      <c r="B199" s="202" t="n"/>
      <c r="C199" s="255" t="n"/>
      <c r="D199" s="173" t="n"/>
      <c r="E199" s="173" t="n"/>
      <c r="F199" s="173" t="n"/>
      <c r="G199" s="173" t="n"/>
    </row>
    <row r="200" ht="14.25" customHeight="1" s="175">
      <c r="A200" s="254" t="n"/>
      <c r="B200" s="202" t="n"/>
      <c r="C200" s="255" t="n"/>
      <c r="D200" s="173" t="n"/>
      <c r="E200" s="173" t="n"/>
      <c r="F200" s="173" t="n"/>
      <c r="G200" s="173" t="n"/>
    </row>
    <row r="201" ht="14.25" customHeight="1" s="175">
      <c r="A201" s="254" t="n"/>
      <c r="B201" s="202" t="n"/>
      <c r="C201" s="255" t="n"/>
      <c r="D201" s="173" t="n"/>
      <c r="E201" s="173" t="n"/>
      <c r="F201" s="173" t="n"/>
      <c r="G201" s="173" t="n"/>
    </row>
    <row r="202" ht="14.25" customHeight="1" s="175">
      <c r="A202" s="254" t="n"/>
      <c r="B202" s="202" t="n"/>
      <c r="C202" s="255" t="n"/>
      <c r="D202" s="173" t="n"/>
      <c r="E202" s="173" t="n"/>
      <c r="F202" s="173" t="n"/>
      <c r="G202" s="173" t="n"/>
    </row>
    <row r="203" ht="14.25" customHeight="1" s="175">
      <c r="A203" s="254" t="n"/>
      <c r="B203" s="202" t="n"/>
      <c r="C203" s="255" t="n"/>
      <c r="D203" s="173" t="n"/>
      <c r="E203" s="173" t="n"/>
      <c r="F203" s="173" t="n"/>
      <c r="G203" s="173" t="n"/>
    </row>
    <row r="204" ht="14.25" customHeight="1" s="175">
      <c r="A204" s="254" t="n"/>
      <c r="B204" s="202" t="n"/>
      <c r="C204" s="255" t="n"/>
      <c r="D204" s="173" t="n"/>
      <c r="E204" s="173" t="n"/>
      <c r="F204" s="173" t="n"/>
      <c r="G204" s="173" t="n"/>
    </row>
    <row r="205" ht="14.25" customHeight="1" s="175">
      <c r="A205" s="254" t="n"/>
      <c r="B205" s="202" t="n"/>
      <c r="C205" s="255" t="n"/>
      <c r="D205" s="173" t="n"/>
      <c r="E205" s="173" t="n"/>
      <c r="F205" s="173" t="n"/>
      <c r="G205" s="173" t="n"/>
    </row>
    <row r="206" ht="14.25" customHeight="1" s="175">
      <c r="A206" s="254" t="n"/>
      <c r="B206" s="202" t="n"/>
      <c r="C206" s="255" t="n"/>
      <c r="D206" s="173" t="n"/>
      <c r="E206" s="173" t="n"/>
      <c r="F206" s="173" t="n"/>
      <c r="G206" s="173" t="n"/>
    </row>
    <row r="207" ht="14.25" customHeight="1" s="175">
      <c r="A207" s="254" t="n"/>
      <c r="B207" s="202" t="n"/>
      <c r="C207" s="255" t="n"/>
      <c r="D207" s="173" t="n"/>
      <c r="E207" s="173" t="n"/>
      <c r="F207" s="173" t="n"/>
      <c r="G207" s="173" t="n"/>
    </row>
    <row r="208" ht="14.25" customHeight="1" s="175">
      <c r="A208" s="254" t="n"/>
      <c r="B208" s="202" t="n"/>
      <c r="C208" s="255" t="n"/>
      <c r="D208" s="173" t="n"/>
      <c r="E208" s="173" t="n"/>
      <c r="F208" s="173" t="n"/>
      <c r="G208" s="173" t="n"/>
    </row>
    <row r="209" ht="14.25" customHeight="1" s="175">
      <c r="A209" s="254" t="n"/>
      <c r="B209" s="202" t="n"/>
      <c r="C209" s="255" t="n"/>
      <c r="D209" s="173" t="n"/>
      <c r="E209" s="173" t="n"/>
      <c r="F209" s="173" t="n"/>
      <c r="G209" s="173" t="n"/>
    </row>
    <row r="210" ht="14.25" customHeight="1" s="175">
      <c r="A210" s="254" t="n"/>
      <c r="B210" s="202" t="n"/>
      <c r="C210" s="255" t="n"/>
      <c r="D210" s="173" t="n"/>
      <c r="E210" s="173" t="n"/>
      <c r="F210" s="173" t="n"/>
      <c r="G210" s="173" t="n"/>
    </row>
    <row r="211" ht="14.25" customHeight="1" s="175">
      <c r="A211" s="254" t="n"/>
      <c r="B211" s="202" t="n"/>
      <c r="C211" s="255" t="n"/>
      <c r="D211" s="173" t="n"/>
      <c r="E211" s="173" t="n"/>
      <c r="F211" s="173" t="n"/>
      <c r="G211" s="173" t="n"/>
    </row>
    <row r="212" ht="14.25" customHeight="1" s="175">
      <c r="A212" s="254" t="n"/>
      <c r="B212" s="202" t="n"/>
      <c r="C212" s="255" t="n"/>
      <c r="D212" s="173" t="n"/>
      <c r="E212" s="173" t="n"/>
      <c r="F212" s="173" t="n"/>
      <c r="G212" s="173" t="n"/>
    </row>
    <row r="213" ht="14.25" customHeight="1" s="175">
      <c r="A213" s="254" t="n"/>
      <c r="B213" s="202" t="n"/>
      <c r="C213" s="255" t="n"/>
      <c r="D213" s="173" t="n"/>
      <c r="E213" s="173" t="n"/>
      <c r="F213" s="173" t="n"/>
      <c r="G213" s="173" t="n"/>
    </row>
    <row r="214" ht="14.25" customHeight="1" s="175">
      <c r="A214" s="254" t="n"/>
      <c r="B214" s="202" t="n"/>
      <c r="C214" s="255" t="n"/>
      <c r="D214" s="173" t="n"/>
      <c r="E214" s="173" t="n"/>
      <c r="F214" s="173" t="n"/>
      <c r="G214" s="173" t="n"/>
    </row>
    <row r="215" ht="14.25" customHeight="1" s="175">
      <c r="A215" s="254" t="n"/>
      <c r="B215" s="202" t="n"/>
      <c r="C215" s="255" t="n"/>
      <c r="D215" s="173" t="n"/>
      <c r="E215" s="173" t="n"/>
      <c r="F215" s="173" t="n"/>
      <c r="G215" s="173" t="n"/>
    </row>
    <row r="216" ht="14.25" customHeight="1" s="175">
      <c r="A216" s="254" t="n"/>
      <c r="B216" s="202" t="n"/>
      <c r="C216" s="255" t="n"/>
      <c r="D216" s="173" t="n"/>
      <c r="E216" s="173" t="n"/>
      <c r="F216" s="173" t="n"/>
      <c r="G216" s="173" t="n"/>
    </row>
    <row r="217" ht="14.25" customHeight="1" s="175">
      <c r="A217" s="254" t="n"/>
      <c r="B217" s="202" t="n"/>
      <c r="C217" s="255" t="n"/>
      <c r="D217" s="173" t="n"/>
      <c r="E217" s="173" t="n"/>
      <c r="F217" s="173" t="n"/>
      <c r="G217" s="173" t="n"/>
    </row>
    <row r="218" ht="14.25" customHeight="1" s="175">
      <c r="A218" s="254" t="n"/>
      <c r="B218" s="202" t="n"/>
      <c r="C218" s="255" t="n"/>
      <c r="D218" s="173" t="n"/>
      <c r="E218" s="173" t="n"/>
      <c r="F218" s="173" t="n"/>
      <c r="G218" s="173" t="n"/>
    </row>
    <row r="219" ht="14.25" customHeight="1" s="175">
      <c r="A219" s="254" t="n"/>
      <c r="B219" s="202" t="n"/>
      <c r="C219" s="255" t="n"/>
      <c r="D219" s="173" t="n"/>
      <c r="E219" s="173" t="n"/>
      <c r="F219" s="173" t="n"/>
      <c r="G219" s="173" t="n"/>
    </row>
    <row r="220" ht="14.25" customHeight="1" s="175">
      <c r="A220" s="254" t="n"/>
      <c r="B220" s="202" t="n"/>
      <c r="C220" s="255" t="n"/>
      <c r="D220" s="173" t="n"/>
      <c r="E220" s="173" t="n"/>
      <c r="F220" s="173" t="n"/>
      <c r="G220" s="173" t="n"/>
    </row>
    <row r="221" ht="14.25" customHeight="1" s="175">
      <c r="A221" s="254" t="n"/>
      <c r="B221" s="202" t="n"/>
      <c r="C221" s="255" t="n"/>
      <c r="D221" s="173" t="n"/>
      <c r="E221" s="173" t="n"/>
      <c r="F221" s="173" t="n"/>
      <c r="G221" s="173" t="n"/>
    </row>
    <row r="222" ht="14.25" customHeight="1" s="175">
      <c r="A222" s="254" t="n"/>
      <c r="B222" s="202" t="n"/>
      <c r="C222" s="255" t="n"/>
      <c r="D222" s="173" t="n"/>
      <c r="E222" s="173" t="n"/>
      <c r="F222" s="173" t="n"/>
      <c r="G222" s="173" t="n"/>
    </row>
    <row r="223" ht="14.25" customHeight="1" s="175">
      <c r="A223" s="254" t="n"/>
      <c r="B223" s="202" t="n"/>
      <c r="C223" s="255" t="n"/>
      <c r="D223" s="173" t="n"/>
      <c r="E223" s="173" t="n"/>
      <c r="F223" s="173" t="n"/>
      <c r="G223" s="173" t="n"/>
    </row>
    <row r="224" ht="14.25" customHeight="1" s="175">
      <c r="A224" s="254" t="n"/>
      <c r="B224" s="202" t="n"/>
      <c r="C224" s="255" t="n"/>
      <c r="D224" s="173" t="n"/>
      <c r="E224" s="173" t="n"/>
      <c r="F224" s="173" t="n"/>
      <c r="G224" s="173" t="n"/>
    </row>
    <row r="225" ht="14.25" customHeight="1" s="175">
      <c r="A225" s="254" t="n"/>
      <c r="B225" s="202" t="n"/>
      <c r="C225" s="255" t="n"/>
      <c r="D225" s="173" t="n"/>
      <c r="E225" s="173" t="n"/>
      <c r="F225" s="173" t="n"/>
      <c r="G225" s="173" t="n"/>
    </row>
    <row r="226" ht="14.25" customHeight="1" s="175">
      <c r="A226" s="254" t="n"/>
      <c r="B226" s="202" t="n"/>
      <c r="C226" s="255" t="n"/>
      <c r="D226" s="173" t="n"/>
      <c r="E226" s="173" t="n"/>
      <c r="F226" s="173" t="n"/>
      <c r="G226" s="173" t="n"/>
    </row>
    <row r="227" ht="14.25" customHeight="1" s="175">
      <c r="A227" s="254" t="n"/>
      <c r="B227" s="202" t="n"/>
      <c r="C227" s="255" t="n"/>
      <c r="D227" s="173" t="n"/>
      <c r="E227" s="173" t="n"/>
      <c r="F227" s="173" t="n"/>
      <c r="G227" s="173" t="n"/>
    </row>
    <row r="228" ht="14.25" customHeight="1" s="175">
      <c r="A228" s="254" t="n"/>
      <c r="B228" s="202" t="n"/>
      <c r="C228" s="255" t="n"/>
      <c r="D228" s="173" t="n"/>
      <c r="E228" s="173" t="n"/>
      <c r="F228" s="173" t="n"/>
      <c r="G228" s="173" t="n"/>
    </row>
    <row r="229" ht="14.25" customHeight="1" s="175">
      <c r="A229" s="254" t="n"/>
      <c r="B229" s="202" t="n"/>
      <c r="C229" s="255" t="n"/>
      <c r="D229" s="173" t="n"/>
      <c r="E229" s="173" t="n"/>
      <c r="F229" s="173" t="n"/>
      <c r="G229" s="173" t="n"/>
    </row>
    <row r="230" ht="14.25" customHeight="1" s="175">
      <c r="A230" s="254" t="n"/>
      <c r="B230" s="202" t="n"/>
      <c r="C230" s="255" t="n"/>
      <c r="D230" s="173" t="n"/>
      <c r="E230" s="173" t="n"/>
      <c r="F230" s="173" t="n"/>
      <c r="G230" s="173" t="n"/>
    </row>
    <row r="231" ht="14.25" customHeight="1" s="175">
      <c r="A231" s="254" t="n"/>
      <c r="B231" s="202" t="n"/>
      <c r="C231" s="255" t="n"/>
      <c r="D231" s="173" t="n"/>
      <c r="E231" s="173" t="n"/>
      <c r="F231" s="173" t="n"/>
      <c r="G231" s="173" t="n"/>
    </row>
    <row r="232" ht="14.25" customHeight="1" s="175">
      <c r="A232" s="254" t="n"/>
      <c r="B232" s="202" t="n"/>
      <c r="C232" s="255" t="n"/>
      <c r="D232" s="173" t="n"/>
      <c r="E232" s="173" t="n"/>
      <c r="F232" s="173" t="n"/>
      <c r="G232" s="173" t="n"/>
    </row>
    <row r="233" ht="14.25" customHeight="1" s="175">
      <c r="A233" s="254" t="n"/>
      <c r="B233" s="202" t="n"/>
      <c r="C233" s="255" t="n"/>
      <c r="D233" s="173" t="n"/>
      <c r="E233" s="173" t="n"/>
      <c r="F233" s="173" t="n"/>
      <c r="G233" s="173" t="n"/>
    </row>
    <row r="234" ht="14.25" customHeight="1" s="175">
      <c r="A234" s="254" t="n"/>
      <c r="B234" s="202" t="n"/>
      <c r="C234" s="255" t="n"/>
      <c r="D234" s="173" t="n"/>
      <c r="E234" s="173" t="n"/>
      <c r="F234" s="173" t="n"/>
      <c r="G234" s="173" t="n"/>
    </row>
    <row r="235" ht="14.25" customHeight="1" s="175">
      <c r="A235" s="254" t="n"/>
      <c r="B235" s="202" t="n"/>
      <c r="C235" s="255" t="n"/>
      <c r="D235" s="173" t="n"/>
      <c r="E235" s="173" t="n"/>
      <c r="F235" s="173" t="n"/>
      <c r="G235" s="173" t="n"/>
    </row>
    <row r="236" ht="14.25" customHeight="1" s="175">
      <c r="A236" s="254" t="n"/>
      <c r="B236" s="202" t="n"/>
      <c r="C236" s="255" t="n"/>
      <c r="D236" s="173" t="n"/>
      <c r="E236" s="173" t="n"/>
      <c r="F236" s="173" t="n"/>
      <c r="G236" s="173" t="n"/>
    </row>
    <row r="237" ht="14.25" customHeight="1" s="175">
      <c r="A237" s="254" t="n"/>
      <c r="B237" s="202" t="n"/>
      <c r="C237" s="255" t="n"/>
      <c r="D237" s="173" t="n"/>
      <c r="E237" s="173" t="n"/>
      <c r="F237" s="173" t="n"/>
      <c r="G237" s="173" t="n"/>
    </row>
    <row r="238" ht="14.25" customHeight="1" s="175">
      <c r="A238" s="254" t="n"/>
      <c r="B238" s="202" t="n"/>
      <c r="C238" s="255" t="n"/>
      <c r="D238" s="173" t="n"/>
      <c r="E238" s="173" t="n"/>
      <c r="F238" s="173" t="n"/>
      <c r="G238" s="173" t="n"/>
    </row>
    <row r="239" ht="14.25" customHeight="1" s="175">
      <c r="A239" s="254" t="n"/>
      <c r="B239" s="202" t="n"/>
      <c r="C239" s="255" t="n"/>
      <c r="D239" s="173" t="n"/>
      <c r="E239" s="173" t="n"/>
      <c r="F239" s="173" t="n"/>
      <c r="G239" s="173" t="n"/>
    </row>
    <row r="240" ht="14.25" customHeight="1" s="175">
      <c r="A240" s="254" t="n"/>
      <c r="B240" s="202" t="n"/>
      <c r="C240" s="255" t="n"/>
      <c r="D240" s="173" t="n"/>
      <c r="E240" s="173" t="n"/>
      <c r="F240" s="173" t="n"/>
      <c r="G240" s="173" t="n"/>
    </row>
    <row r="241" ht="14.25" customHeight="1" s="175">
      <c r="A241" s="254" t="n"/>
      <c r="B241" s="202" t="n"/>
      <c r="C241" s="255" t="n"/>
      <c r="D241" s="173" t="n"/>
      <c r="E241" s="173" t="n"/>
      <c r="F241" s="173" t="n"/>
      <c r="G241" s="173" t="n"/>
    </row>
    <row r="242" ht="14.25" customHeight="1" s="175">
      <c r="A242" s="254" t="n"/>
      <c r="B242" s="202" t="n"/>
      <c r="C242" s="255" t="n"/>
      <c r="D242" s="173" t="n"/>
      <c r="E242" s="173" t="n"/>
      <c r="F242" s="173" t="n"/>
      <c r="G242" s="173" t="n"/>
    </row>
    <row r="243" ht="14.25" customHeight="1" s="175">
      <c r="A243" s="254" t="n"/>
      <c r="B243" s="202" t="n"/>
      <c r="C243" s="255" t="n"/>
      <c r="D243" s="173" t="n"/>
      <c r="E243" s="173" t="n"/>
      <c r="F243" s="173" t="n"/>
      <c r="G243" s="173" t="n"/>
    </row>
    <row r="244" ht="14.25" customHeight="1" s="175">
      <c r="A244" s="254" t="n"/>
      <c r="B244" s="202" t="n"/>
      <c r="C244" s="255" t="n"/>
      <c r="D244" s="173" t="n"/>
      <c r="E244" s="173" t="n"/>
      <c r="F244" s="173" t="n"/>
      <c r="G244" s="173" t="n"/>
    </row>
    <row r="245" ht="14.25" customHeight="1" s="175">
      <c r="A245" s="173" t="n"/>
      <c r="B245" s="173" t="n"/>
      <c r="C245" s="173" t="n"/>
      <c r="D245" s="173" t="n"/>
    </row>
    <row r="246" ht="14.25" customHeight="1" s="175">
      <c r="A246" s="173" t="n"/>
      <c r="B246" s="173" t="n"/>
      <c r="C246" s="173" t="n"/>
    </row>
    <row r="247" ht="14.25" customHeight="1" s="175">
      <c r="A247" s="173" t="n"/>
      <c r="B247" s="173" t="n"/>
      <c r="C247" s="173" t="n"/>
      <c r="D247" s="192" t="n"/>
    </row>
    <row r="248" ht="14.25" customHeight="1" s="175">
      <c r="A248" s="173" t="n"/>
      <c r="B248" s="173" t="n"/>
      <c r="C248" s="173" t="n"/>
      <c r="D248" s="250" t="n"/>
    </row>
    <row r="249" ht="14.25" customHeight="1" s="175">
      <c r="A249" s="173" t="n"/>
      <c r="B249" s="173" t="n"/>
      <c r="C249" s="173" t="n"/>
    </row>
    <row r="250" ht="14.25" customHeight="1" s="175">
      <c r="A250" s="173" t="n"/>
      <c r="B250" s="173" t="n"/>
      <c r="C250" s="173" t="n"/>
      <c r="D250" s="250" t="n"/>
    </row>
    <row r="251" ht="14.25" customHeight="1" s="175">
      <c r="A251" s="173" t="n"/>
      <c r="B251" s="173" t="n"/>
      <c r="C251" s="173" t="n"/>
    </row>
    <row r="252" ht="14.25" customHeight="1" s="175">
      <c r="A252" s="173" t="n"/>
      <c r="B252" s="173" t="n"/>
      <c r="C252" s="173" t="n"/>
    </row>
    <row r="253" ht="14.25" customHeight="1" s="175">
      <c r="A253" s="173" t="n"/>
      <c r="B253" s="173" t="n"/>
      <c r="C253" s="173" t="n"/>
    </row>
    <row r="254" ht="14.25" customHeight="1" s="175">
      <c r="A254" s="173" t="n"/>
      <c r="B254" s="173" t="n"/>
      <c r="C254" s="173" t="n"/>
    </row>
    <row r="255" ht="14.25" customHeight="1" s="175">
      <c r="A255" s="173" t="n"/>
      <c r="B255" s="173" t="n"/>
      <c r="C255" s="173" t="n"/>
    </row>
    <row r="256" ht="14.25" customHeight="1" s="175">
      <c r="A256" s="173" t="n"/>
      <c r="B256" s="173" t="n"/>
      <c r="C256" s="173" t="n"/>
    </row>
    <row r="257" ht="14.25" customHeight="1" s="175">
      <c r="A257" s="173" t="n"/>
      <c r="B257" s="173" t="n"/>
      <c r="C257" s="173" t="n"/>
    </row>
    <row r="258" ht="14.25" customHeight="1" s="175">
      <c r="A258" s="173" t="n"/>
      <c r="B258" s="173" t="n"/>
      <c r="C258" s="173" t="n"/>
    </row>
    <row r="259" ht="14.25" customHeight="1" s="175">
      <c r="A259" s="173" t="n"/>
      <c r="B259" s="173" t="n"/>
      <c r="C259" s="173" t="n"/>
    </row>
    <row r="260" ht="14.25" customHeight="1" s="175">
      <c r="A260" s="173" t="n"/>
      <c r="B260" s="173" t="n"/>
      <c r="C260" s="173" t="n"/>
    </row>
    <row r="261" ht="14.25" customHeight="1" s="175">
      <c r="A261" s="173" t="n"/>
      <c r="B261" s="173" t="n"/>
      <c r="C261" s="173" t="n"/>
    </row>
    <row r="262" ht="14.25" customHeight="1" s="175">
      <c r="A262" s="173" t="n"/>
      <c r="B262" s="173" t="n"/>
      <c r="C262" s="173" t="n"/>
    </row>
    <row r="263" ht="14.25" customHeight="1" s="175">
      <c r="A263" s="173" t="n"/>
      <c r="B263" s="173" t="n"/>
      <c r="C263" s="173" t="n"/>
    </row>
    <row r="264" ht="14.25" customHeight="1" s="175">
      <c r="A264" s="173" t="n"/>
      <c r="B264" s="173" t="n"/>
      <c r="C264" s="173" t="n"/>
    </row>
    <row r="265" ht="14.25" customHeight="1" s="175">
      <c r="A265" s="173" t="n"/>
      <c r="B265" s="173" t="n"/>
      <c r="C265" s="173" t="n"/>
    </row>
    <row r="266" ht="14.25" customHeight="1" s="175">
      <c r="A266" s="173" t="n"/>
      <c r="B266" s="173" t="n"/>
      <c r="C266" s="173" t="n"/>
    </row>
    <row r="267" ht="14.25" customHeight="1" s="175">
      <c r="A267" s="173" t="n"/>
      <c r="B267" s="173" t="n"/>
      <c r="C267" s="173" t="n"/>
    </row>
    <row r="268" ht="14.25" customHeight="1" s="175">
      <c r="A268" s="173" t="n"/>
      <c r="B268" s="173" t="n"/>
      <c r="C268" s="173" t="n"/>
    </row>
    <row r="269" ht="14.25" customHeight="1" s="175">
      <c r="A269" s="173" t="n"/>
      <c r="B269" s="173" t="n"/>
      <c r="C269" s="173" t="n"/>
    </row>
    <row r="270" ht="14.25" customHeight="1" s="175">
      <c r="A270" s="173" t="n"/>
      <c r="B270" s="173" t="n"/>
      <c r="C270" s="173" t="n"/>
    </row>
    <row r="271" ht="14.25" customHeight="1" s="175">
      <c r="A271" s="173" t="n"/>
      <c r="B271" s="173" t="n"/>
      <c r="C271" s="173" t="n"/>
    </row>
    <row r="272" ht="14.25" customHeight="1" s="175">
      <c r="A272" s="173" t="n"/>
      <c r="B272" s="173" t="n"/>
      <c r="C272" s="173" t="n"/>
    </row>
    <row r="273" ht="14.25" customHeight="1" s="175">
      <c r="A273" s="173" t="n"/>
      <c r="B273" s="173" t="n"/>
      <c r="C273" s="173" t="n"/>
    </row>
    <row r="274" ht="14.25" customHeight="1" s="175">
      <c r="A274" s="173" t="n"/>
      <c r="B274" s="173" t="n"/>
      <c r="C274" s="173" t="n"/>
    </row>
    <row r="275" ht="14.25" customHeight="1" s="175">
      <c r="A275" s="173" t="n"/>
      <c r="B275" s="173" t="n"/>
      <c r="C275" s="173" t="n"/>
    </row>
    <row r="276" ht="14.25" customHeight="1" s="175">
      <c r="A276" s="173" t="n"/>
      <c r="B276" s="173" t="n"/>
      <c r="C276" s="173" t="n"/>
    </row>
    <row r="277" ht="14.25" customHeight="1" s="175">
      <c r="A277" s="173" t="n"/>
      <c r="B277" s="173" t="n"/>
      <c r="C277" s="173" t="n"/>
    </row>
    <row r="278" ht="14.25" customHeight="1" s="175">
      <c r="A278" s="173" t="n"/>
      <c r="B278" s="173" t="n"/>
      <c r="C278" s="173" t="n"/>
    </row>
    <row r="279" ht="14.25" customHeight="1" s="175">
      <c r="A279" s="173" t="n"/>
      <c r="B279" s="173" t="n"/>
      <c r="C279" s="173" t="n"/>
    </row>
    <row r="280" ht="14.25" customHeight="1" s="175">
      <c r="A280" s="173" t="n"/>
      <c r="B280" s="173" t="n"/>
      <c r="C280" s="173" t="n"/>
    </row>
    <row r="281" ht="14.25" customHeight="1" s="175">
      <c r="A281" s="173" t="n"/>
      <c r="B281" s="173" t="n"/>
      <c r="C281" s="173" t="n"/>
    </row>
    <row r="282" ht="14.25" customHeight="1" s="175">
      <c r="A282" s="173" t="n"/>
      <c r="B282" s="173" t="n"/>
      <c r="C282" s="173" t="n"/>
    </row>
    <row r="283" ht="14.25" customHeight="1" s="175">
      <c r="A283" s="173" t="n"/>
      <c r="B283" s="173" t="n"/>
      <c r="C283" s="173" t="n"/>
    </row>
    <row r="284" ht="14.25" customHeight="1" s="175">
      <c r="A284" s="173" t="n"/>
      <c r="B284" s="173" t="n"/>
      <c r="C284" s="173" t="n"/>
    </row>
    <row r="285" ht="14.25" customHeight="1" s="175">
      <c r="A285" s="173" t="n"/>
      <c r="B285" s="173" t="n"/>
      <c r="C285" s="173" t="n"/>
      <c r="D285" s="193" t="n"/>
    </row>
    <row r="286" ht="14.25" customHeight="1" s="175">
      <c r="A286" s="173" t="n"/>
      <c r="B286" s="173" t="n"/>
      <c r="C286" s="173" t="n"/>
    </row>
    <row r="287" ht="14.25" customHeight="1" s="175">
      <c r="A287" s="173" t="n"/>
      <c r="B287" s="173" t="n"/>
      <c r="C287" s="173" t="n"/>
    </row>
    <row r="288" ht="14.25" customHeight="1" s="175">
      <c r="A288" s="173" t="n"/>
      <c r="B288" s="173" t="n"/>
      <c r="C288" s="173" t="n"/>
    </row>
    <row r="289" ht="14.25" customHeight="1" s="175">
      <c r="A289" s="173" t="n"/>
      <c r="B289" s="173" t="n"/>
      <c r="C289" s="173" t="n"/>
    </row>
    <row r="290" ht="14.25" customHeight="1" s="175">
      <c r="A290" s="173" t="n"/>
      <c r="B290" s="173" t="n"/>
      <c r="C290" s="173" t="n"/>
    </row>
    <row r="291" ht="14.25" customHeight="1" s="175">
      <c r="A291" s="173" t="n"/>
      <c r="B291" s="173" t="n"/>
      <c r="C291" s="173" t="n"/>
    </row>
    <row r="292" ht="14.25" customHeight="1" s="175">
      <c r="A292" s="173" t="n"/>
      <c r="B292" s="173" t="n"/>
      <c r="C292" s="173" t="n"/>
    </row>
    <row r="293" ht="14.25" customHeight="1" s="175">
      <c r="A293" s="173" t="n"/>
      <c r="B293" s="173" t="n"/>
      <c r="C293" s="173" t="n"/>
    </row>
    <row r="294" ht="14.25" customHeight="1" s="175">
      <c r="A294" s="173" t="n"/>
      <c r="B294" s="173" t="n"/>
      <c r="C294" s="173" t="n"/>
    </row>
    <row r="295" ht="14.25" customHeight="1" s="175">
      <c r="A295" s="173" t="n"/>
      <c r="B295" s="173" t="n"/>
      <c r="C295" s="173" t="n"/>
    </row>
    <row r="296" ht="14.25" customHeight="1" s="175">
      <c r="A296" s="173" t="n"/>
      <c r="B296" s="173" t="n"/>
      <c r="C296" s="173" t="n"/>
    </row>
    <row r="297" ht="14.25" customHeight="1" s="175">
      <c r="A297" s="173" t="n"/>
      <c r="B297" s="173" t="n"/>
      <c r="C297" s="173" t="n"/>
    </row>
    <row r="298" ht="14.25" customHeight="1" s="175">
      <c r="A298" s="173" t="n"/>
      <c r="B298" s="173" t="n"/>
      <c r="C298" s="173" t="n"/>
    </row>
    <row r="299" ht="14.25" customHeight="1" s="175">
      <c r="A299" s="173" t="n"/>
      <c r="B299" s="173" t="n"/>
      <c r="C299" s="173" t="n"/>
    </row>
    <row r="300" ht="14.25" customHeight="1" s="175">
      <c r="A300" s="173" t="n"/>
      <c r="B300" s="173" t="n"/>
      <c r="C300" s="173" t="n"/>
      <c r="D300" s="193" t="n"/>
    </row>
    <row r="301" ht="14.25" customHeight="1" s="175">
      <c r="A301" s="173" t="n"/>
      <c r="B301" s="173" t="n"/>
      <c r="C301" s="173" t="n"/>
      <c r="D301" s="193" t="n"/>
    </row>
    <row r="302" ht="14.25" customHeight="1" s="175">
      <c r="A302" s="173" t="n"/>
      <c r="B302" s="173" t="n"/>
      <c r="C302" s="173" t="n"/>
    </row>
    <row r="303" ht="14.25" customHeight="1" s="175">
      <c r="A303" s="173" t="n"/>
      <c r="B303" s="173" t="n"/>
      <c r="C303" s="173" t="n"/>
    </row>
    <row r="304" ht="14.25" customHeight="1" s="175">
      <c r="A304" s="173" t="n"/>
      <c r="B304" s="173" t="n"/>
      <c r="C304" s="173" t="n"/>
    </row>
    <row r="305" ht="14.25" customHeight="1" s="175">
      <c r="A305" s="173" t="n"/>
      <c r="B305" s="173" t="n"/>
      <c r="C305" s="173" t="n"/>
    </row>
    <row r="306" ht="14.25" customHeight="1" s="175">
      <c r="A306" s="173" t="n"/>
      <c r="B306" s="173" t="n"/>
      <c r="C306" s="173" t="n"/>
    </row>
    <row r="307" ht="14.25" customHeight="1" s="175">
      <c r="A307" s="173" t="n"/>
      <c r="B307" s="173" t="n"/>
      <c r="C307" s="173" t="n"/>
      <c r="D307" s="192" t="n"/>
    </row>
    <row r="308" ht="14.25" customHeight="1" s="175">
      <c r="A308" s="173" t="n"/>
      <c r="B308" s="173" t="n"/>
      <c r="C308" s="173" t="n"/>
    </row>
    <row r="309" ht="14.25" customHeight="1" s="175"/>
    <row r="310" ht="14.25" customHeight="1" s="175"/>
    <row r="311" ht="14.25" customHeight="1" s="175"/>
    <row r="312" ht="14.25" customHeight="1" s="175"/>
    <row r="313" ht="14.25" customHeight="1" s="175"/>
    <row r="314" ht="14.25" customHeight="1" s="175"/>
    <row r="315" ht="14.25" customHeight="1" s="175"/>
    <row r="316" ht="14.25" customHeight="1" s="175"/>
    <row r="317" ht="14.25" customHeight="1" s="175"/>
    <row r="318" ht="14.25" customHeight="1" s="175"/>
    <row r="319" ht="14.25" customHeight="1" s="175"/>
    <row r="320" ht="14.25" customHeight="1" s="175"/>
    <row r="321" ht="14.25" customHeight="1" s="175"/>
    <row r="322" ht="14.25" customHeight="1" s="175"/>
    <row r="323" ht="14.25" customHeight="1" s="175"/>
    <row r="324" ht="14.25" customHeight="1" s="175"/>
    <row r="325" ht="14.25" customHeight="1" s="175"/>
    <row r="326" ht="14.25" customHeight="1" s="175"/>
    <row r="327" ht="14.25" customHeight="1" s="175"/>
    <row r="328" ht="14.25" customHeight="1" s="175"/>
    <row r="329" ht="14.25" customHeight="1" s="175"/>
    <row r="330" ht="14.25" customHeight="1" s="175"/>
    <row r="331" ht="14.25" customHeight="1" s="175"/>
    <row r="332" ht="14.25" customHeight="1" s="175"/>
    <row r="333" ht="14.25" customHeight="1" s="175"/>
    <row r="334" ht="14.25" customHeight="1" s="175"/>
    <row r="335" ht="14.25" customHeight="1" s="175"/>
    <row r="336" ht="14.25" customHeight="1" s="175"/>
    <row r="337" ht="14.25" customHeight="1" s="175"/>
    <row r="338" ht="14.25" customHeight="1" s="175"/>
    <row r="339" ht="14.25" customHeight="1" s="175"/>
    <row r="340" ht="14.25" customHeight="1" s="175"/>
    <row r="341" ht="14.25" customHeight="1" s="175"/>
    <row r="342" ht="14.25" customHeight="1" s="175"/>
    <row r="343" ht="14.25" customHeight="1" s="175"/>
    <row r="344" ht="14.25" customHeight="1" s="175"/>
    <row r="345" ht="14.25" customHeight="1" s="175"/>
    <row r="346" ht="14.25" customHeight="1" s="175"/>
    <row r="347" ht="14.25" customHeight="1" s="175"/>
    <row r="348" ht="14.25" customHeight="1" s="175"/>
    <row r="349" ht="14.25" customHeight="1" s="175"/>
    <row r="350" ht="14.25" customHeight="1" s="175"/>
    <row r="351" ht="14.25" customHeight="1" s="175"/>
    <row r="352" ht="14.25" customHeight="1" s="175"/>
    <row r="353" ht="14.25" customHeight="1" s="175">
      <c r="D353" s="193" t="n"/>
    </row>
    <row r="354" ht="14.25" customHeight="1" s="175"/>
    <row r="355" ht="14.25" customHeight="1" s="175"/>
    <row r="356" ht="14.25" customHeight="1" s="175"/>
    <row r="357" ht="14.25" customHeight="1" s="175"/>
    <row r="358" ht="14.25" customHeight="1" s="175">
      <c r="D358" s="193" t="n"/>
    </row>
    <row r="359" ht="14.25" customHeight="1" s="175"/>
    <row r="360" ht="14.25" customHeight="1" s="175"/>
    <row r="361" ht="14.25" customHeight="1" s="175"/>
    <row r="362" ht="14.25" customHeight="1" s="175"/>
    <row r="363" ht="14.25" customHeight="1" s="175"/>
    <row r="364" ht="14.25" customHeight="1" s="175"/>
    <row r="365" ht="14.25" customHeight="1" s="175"/>
    <row r="366" ht="14.25" customHeight="1" s="175"/>
    <row r="367" ht="14.25" customHeight="1" s="175"/>
    <row r="368" ht="14.25" customHeight="1" s="175"/>
    <row r="369" ht="14.25" customHeight="1" s="175"/>
    <row r="370" ht="14.25" customHeight="1" s="175"/>
    <row r="371" ht="14.25" customHeight="1" s="175"/>
    <row r="372" ht="14.25" customHeight="1" s="175"/>
    <row r="373" ht="14.25" customHeight="1" s="175"/>
    <row r="374" ht="14.25" customHeight="1" s="175"/>
    <row r="375" ht="14.25" customHeight="1" s="175"/>
    <row r="376" ht="14.25" customHeight="1" s="175"/>
    <row r="377" ht="14.25" customHeight="1" s="175"/>
    <row r="378" ht="14.25" customHeight="1" s="175"/>
    <row r="379" ht="14.25" customHeight="1" s="175"/>
    <row r="380" ht="14.25" customHeight="1" s="175"/>
    <row r="381" ht="14.25" customHeight="1" s="175"/>
    <row r="382" ht="14.25" customHeight="1" s="175"/>
    <row r="383" ht="14.25" customHeight="1" s="175"/>
    <row r="384" ht="14.25" customHeight="1" s="175"/>
    <row r="385" ht="14.25" customHeight="1" s="175"/>
    <row r="386" ht="14.25" customHeight="1" s="175"/>
    <row r="387" ht="14.25" customHeight="1" s="175"/>
    <row r="388" ht="14.25" customHeight="1" s="175"/>
    <row r="389" ht="14.25" customHeight="1" s="175"/>
    <row r="390" ht="14.25" customHeight="1" s="175"/>
    <row r="391" ht="14.25" customHeight="1" s="175"/>
    <row r="392" ht="14.25" customHeight="1" s="175"/>
    <row r="393" ht="14.25" customHeight="1" s="175"/>
    <row r="394" ht="14.25" customHeight="1" s="175"/>
    <row r="395" ht="14.25" customHeight="1" s="175"/>
    <row r="396" ht="14.25" customHeight="1" s="175"/>
    <row r="397" ht="14.25" customHeight="1" s="175">
      <c r="D397" s="250" t="n"/>
    </row>
    <row r="398" ht="14.25" customHeight="1" s="175"/>
    <row r="399" ht="14.25" customHeight="1" s="175"/>
    <row r="400" ht="14.25" customHeight="1" s="175"/>
    <row r="401" ht="14.25" customHeight="1" s="175"/>
    <row r="402" ht="14.25" customHeight="1" s="175"/>
    <row r="403" ht="14.25" customHeight="1" s="175"/>
    <row r="404" ht="14.25" customHeight="1" s="175"/>
    <row r="405" ht="14.25" customHeight="1" s="175"/>
    <row r="406" ht="14.25" customHeight="1" s="175"/>
    <row r="407" ht="14.25" customHeight="1" s="175"/>
    <row r="408" ht="14.25" customHeight="1" s="175"/>
    <row r="409" ht="14.25" customHeight="1" s="175"/>
    <row r="410" ht="14.25" customHeight="1" s="175"/>
    <row r="411" ht="14.25" customHeight="1" s="175"/>
    <row r="412" ht="14.25" customHeight="1" s="175"/>
    <row r="413" ht="14.25" customHeight="1" s="175"/>
    <row r="414" ht="14.25" customHeight="1" s="175"/>
    <row r="415" ht="14.25" customHeight="1" s="175"/>
    <row r="416" ht="14.25" customHeight="1" s="175"/>
    <row r="417" ht="14.25" customHeight="1" s="175"/>
    <row r="418" ht="14.25" customHeight="1" s="175"/>
    <row r="419" ht="14.25" customHeight="1" s="175"/>
    <row r="420" ht="14.25" customHeight="1" s="175"/>
    <row r="421" ht="14.25" customHeight="1" s="175"/>
    <row r="422" ht="14.25" customHeight="1" s="175"/>
    <row r="423" ht="14.25" customHeight="1" s="175"/>
    <row r="424" ht="14.25" customHeight="1" s="175"/>
    <row r="425" ht="14.25" customHeight="1" s="175"/>
    <row r="426" ht="14.25" customHeight="1" s="175"/>
    <row r="427" ht="14.25" customHeight="1" s="175"/>
    <row r="428" ht="14.25" customHeight="1" s="175"/>
    <row r="429" ht="14.25" customHeight="1" s="175"/>
    <row r="430" ht="14.25" customHeight="1" s="175"/>
    <row r="431" ht="14.25" customHeight="1" s="175"/>
    <row r="432" ht="14.25" customHeight="1" s="175"/>
    <row r="433" ht="14.25" customHeight="1" s="175"/>
    <row r="434" ht="14.25" customHeight="1" s="175"/>
    <row r="435" ht="14.25" customHeight="1" s="175"/>
    <row r="436" ht="14.25" customHeight="1" s="175"/>
    <row r="437" ht="14.25" customHeight="1" s="175"/>
    <row r="438" ht="14.25" customHeight="1" s="175"/>
    <row r="439" ht="14.25" customHeight="1" s="175"/>
    <row r="440" ht="14.25" customHeight="1" s="175"/>
    <row r="441" ht="14.25" customHeight="1" s="175"/>
    <row r="442" ht="14.25" customHeight="1" s="175"/>
    <row r="443" ht="14.25" customHeight="1" s="175"/>
    <row r="444" ht="14.25" customHeight="1" s="175"/>
    <row r="445" ht="14.25" customHeight="1" s="175"/>
    <row r="446" ht="14.25" customHeight="1" s="175"/>
    <row r="447" ht="14.25" customHeight="1" s="175"/>
    <row r="448" ht="14.25" customHeight="1" s="175"/>
    <row r="449" ht="14.25" customHeight="1" s="175"/>
    <row r="450" ht="14.25" customHeight="1" s="175"/>
    <row r="451" ht="14.25" customHeight="1" s="175"/>
    <row r="452" ht="14.25" customHeight="1" s="175"/>
    <row r="453" ht="14.25" customHeight="1" s="175"/>
    <row r="454" ht="14.25" customHeight="1" s="175"/>
    <row r="455" ht="14.25" customHeight="1" s="175"/>
    <row r="456" ht="14.25" customHeight="1" s="175"/>
    <row r="457" ht="14.25" customHeight="1" s="175"/>
    <row r="458" ht="14.25" customHeight="1" s="175"/>
    <row r="459" ht="14.25" customHeight="1" s="175"/>
    <row r="460" ht="14.25" customHeight="1" s="175"/>
    <row r="461" ht="14.25" customHeight="1" s="175"/>
    <row r="462" ht="14.25" customHeight="1" s="175"/>
    <row r="463" ht="14.25" customHeight="1" s="175"/>
    <row r="464" ht="14.25" customHeight="1" s="175"/>
    <row r="465" ht="14.25" customHeight="1" s="175"/>
    <row r="466" ht="14.25" customHeight="1" s="175"/>
    <row r="467" ht="14.25" customHeight="1" s="175"/>
    <row r="468" ht="14.25" customHeight="1" s="175"/>
    <row r="469" ht="14.25" customHeight="1" s="175"/>
    <row r="470" ht="14.25" customHeight="1" s="175"/>
    <row r="471" ht="14.25" customHeight="1" s="175"/>
    <row r="472" ht="14.25" customHeight="1" s="175"/>
    <row r="473" ht="14.25" customHeight="1" s="175"/>
    <row r="474" ht="14.25" customHeight="1" s="175"/>
    <row r="475" ht="14.25" customHeight="1" s="175"/>
    <row r="476" ht="14.25" customHeight="1" s="175"/>
    <row r="477" ht="14.25" customHeight="1" s="175"/>
    <row r="478" ht="14.25" customHeight="1" s="175"/>
    <row r="479" ht="14.25" customHeight="1" s="175"/>
    <row r="480" ht="14.25" customHeight="1" s="175"/>
    <row r="481" ht="14.25" customHeight="1" s="175"/>
    <row r="482" ht="14.25" customHeight="1" s="175">
      <c r="D482" s="250" t="n"/>
    </row>
    <row r="483" ht="14.25" customHeight="1" s="175">
      <c r="D483" s="250" t="n"/>
    </row>
    <row r="484" ht="14.25" customHeight="1" s="175">
      <c r="D484" s="250" t="n"/>
    </row>
    <row r="485" ht="14.25" customHeight="1" s="175">
      <c r="D485" s="193" t="n"/>
    </row>
    <row r="486" ht="14.25" customHeight="1" s="175"/>
    <row r="487" ht="14.25" customHeight="1" s="175"/>
    <row r="488" ht="14.25" customHeight="1" s="175"/>
    <row r="489" ht="14.25" customHeight="1" s="175"/>
    <row r="490" ht="14.25" customHeight="1" s="175"/>
    <row r="491" ht="14.25" customHeight="1" s="175"/>
    <row r="492" ht="14.25" customHeight="1" s="175"/>
    <row r="493" ht="14.25" customHeight="1" s="175"/>
    <row r="494" ht="14.25" customHeight="1" s="175"/>
    <row r="495" ht="14.25" customHeight="1" s="175"/>
    <row r="496" ht="14.25" customHeight="1" s="175"/>
    <row r="497" ht="14.25" customHeight="1" s="175"/>
    <row r="498" ht="14.25" customHeight="1" s="175"/>
    <row r="499" ht="14.25" customHeight="1" s="175"/>
    <row r="500" ht="14.25" customHeight="1" s="175"/>
    <row r="501" ht="14.25" customHeight="1" s="175"/>
    <row r="502" ht="14.25" customHeight="1" s="175"/>
    <row r="503" ht="14.25" customHeight="1" s="175"/>
    <row r="504" ht="14.25" customHeight="1" s="175"/>
    <row r="505" ht="14.25" customHeight="1" s="175"/>
    <row r="506" ht="14.25" customHeight="1" s="175"/>
    <row r="507" ht="14.25" customHeight="1" s="175"/>
    <row r="508" ht="14.25" customHeight="1" s="175"/>
    <row r="509" ht="14.25" customHeight="1" s="175"/>
    <row r="510" ht="14.25" customHeight="1" s="175"/>
    <row r="511" ht="14.25" customHeight="1" s="175"/>
    <row r="512" ht="14.25" customHeight="1" s="175"/>
    <row r="513" ht="14.25" customHeight="1" s="175"/>
    <row r="514" ht="14.25" customHeight="1" s="175"/>
    <row r="515" ht="14.25" customHeight="1" s="175"/>
    <row r="516" ht="14.25" customHeight="1" s="175"/>
    <row r="517" ht="14.25" customHeight="1" s="175"/>
    <row r="518" ht="14.25" customHeight="1" s="175"/>
    <row r="519" ht="14.25" customHeight="1" s="175"/>
    <row r="520" ht="14.25" customHeight="1" s="175"/>
    <row r="521" ht="14.25" customHeight="1" s="175"/>
    <row r="522" ht="14.25" customHeight="1" s="175"/>
    <row r="523" ht="14.25" customHeight="1" s="175"/>
    <row r="524" ht="14.25" customHeight="1" s="175"/>
    <row r="525" ht="14.25" customHeight="1" s="175"/>
    <row r="526" ht="14.25" customHeight="1" s="175"/>
    <row r="527" ht="14.25" customHeight="1" s="175"/>
    <row r="528" ht="14.25" customHeight="1" s="175"/>
    <row r="529" ht="14.25" customHeight="1" s="175"/>
    <row r="530" ht="14.25" customHeight="1" s="175"/>
    <row r="531" ht="14.25" customHeight="1" s="175"/>
    <row r="532" ht="14.25" customHeight="1" s="175"/>
    <row r="533" ht="14.25" customHeight="1" s="175"/>
    <row r="534" ht="14.25" customHeight="1" s="175"/>
    <row r="535" ht="14.25" customHeight="1" s="175"/>
    <row r="536" ht="14.25" customHeight="1" s="175"/>
    <row r="537" ht="14.25" customHeight="1" s="175"/>
    <row r="538" ht="14.25" customHeight="1" s="175"/>
    <row r="539" ht="14.25" customHeight="1" s="175"/>
    <row r="540" ht="14.25" customHeight="1" s="175"/>
    <row r="541" ht="14.25" customHeight="1" s="175"/>
    <row r="542" ht="14.25" customHeight="1" s="175"/>
    <row r="543" ht="14.25" customHeight="1" s="175"/>
    <row r="544" ht="14.25" customHeight="1" s="175"/>
    <row r="545" ht="14.25" customHeight="1" s="175"/>
    <row r="546" ht="14.25" customHeight="1" s="175"/>
    <row r="547" ht="14.25" customHeight="1" s="175"/>
    <row r="548" ht="14.25" customHeight="1" s="175"/>
    <row r="549" ht="14.25" customHeight="1" s="175"/>
    <row r="550" ht="14.25" customHeight="1" s="175"/>
    <row r="551" ht="14.25" customHeight="1" s="175"/>
    <row r="552" ht="14.25" customHeight="1" s="175"/>
    <row r="553" ht="14.25" customHeight="1" s="175"/>
    <row r="554" ht="14.25" customHeight="1" s="175"/>
    <row r="555" ht="14.25" customHeight="1" s="175"/>
    <row r="556" ht="14.25" customHeight="1" s="175"/>
    <row r="557" ht="14.25" customHeight="1" s="175"/>
    <row r="558" ht="14.25" customHeight="1" s="175"/>
    <row r="559" ht="14.25" customHeight="1" s="175"/>
    <row r="560" ht="14.25" customHeight="1" s="175"/>
    <row r="561" ht="14.25" customHeight="1" s="175"/>
    <row r="562" ht="14.25" customHeight="1" s="175"/>
    <row r="563" ht="14.25" customHeight="1" s="175"/>
    <row r="564" ht="14.25" customHeight="1" s="175"/>
    <row r="565" ht="14.25" customHeight="1" s="175"/>
    <row r="566" ht="14.25" customHeight="1" s="175"/>
    <row r="567" ht="14.25" customHeight="1" s="175"/>
    <row r="568" ht="14.25" customHeight="1" s="175"/>
    <row r="569" ht="14.25" customHeight="1" s="175"/>
    <row r="570" ht="14.25" customHeight="1" s="175"/>
    <row r="571" ht="14.25" customHeight="1" s="175"/>
    <row r="572" ht="14.25" customHeight="1" s="175"/>
    <row r="573" ht="14.25" customHeight="1" s="175"/>
    <row r="574" ht="14.25" customHeight="1" s="175"/>
    <row r="575" ht="14.25" customHeight="1" s="175"/>
    <row r="576" ht="14.25" customHeight="1" s="175"/>
    <row r="577" ht="14.25" customHeight="1" s="175"/>
    <row r="578" ht="14.25" customHeight="1" s="175"/>
    <row r="579" ht="14.25" customHeight="1" s="175"/>
    <row r="580" ht="14.25" customHeight="1" s="175"/>
    <row r="581" ht="14.25" customHeight="1" s="175"/>
    <row r="582" ht="14.25" customHeight="1" s="175"/>
    <row r="583" ht="14.25" customHeight="1" s="175"/>
    <row r="584" ht="14.25" customHeight="1" s="175"/>
    <row r="585" ht="14.25" customHeight="1" s="175"/>
    <row r="586" ht="14.25" customHeight="1" s="175"/>
    <row r="587" ht="14.25" customHeight="1" s="175"/>
    <row r="588" ht="14.25" customHeight="1" s="175"/>
    <row r="589" ht="14.25" customHeight="1" s="175"/>
    <row r="590" ht="14.25" customHeight="1" s="175"/>
    <row r="591" ht="14.25" customHeight="1" s="175"/>
    <row r="592" ht="14.25" customHeight="1" s="175"/>
    <row r="593" ht="14.25" customHeight="1" s="175"/>
    <row r="594" ht="14.25" customHeight="1" s="175"/>
    <row r="595" ht="14.25" customHeight="1" s="175"/>
    <row r="596" ht="14.25" customHeight="1" s="175"/>
    <row r="597" ht="14.25" customHeight="1" s="175"/>
    <row r="598" ht="14.25" customHeight="1" s="175"/>
    <row r="599" ht="14.25" customHeight="1" s="175"/>
    <row r="600" ht="14.25" customHeight="1" s="175"/>
    <row r="601" ht="14.25" customHeight="1" s="175"/>
    <row r="602" ht="14.25" customHeight="1" s="175"/>
    <row r="603" ht="14.25" customHeight="1" s="175"/>
    <row r="604" ht="14.25" customHeight="1" s="175"/>
    <row r="605" ht="14.25" customHeight="1" s="175"/>
    <row r="606" ht="14.25" customHeight="1" s="175"/>
    <row r="607" ht="14.25" customHeight="1" s="175"/>
    <row r="608" ht="14.25" customHeight="1" s="175"/>
    <row r="609" ht="14.25" customHeight="1" s="175"/>
    <row r="610" ht="14.25" customHeight="1" s="175"/>
    <row r="611" ht="14.25" customHeight="1" s="175"/>
    <row r="612" ht="14.25" customHeight="1" s="175"/>
    <row r="613" ht="14.25" customHeight="1" s="175"/>
    <row r="614" ht="14.25" customHeight="1" s="175"/>
    <row r="615" ht="14.25" customHeight="1" s="175"/>
    <row r="616" ht="14.25" customHeight="1" s="175"/>
    <row r="617" ht="14.25" customHeight="1" s="175"/>
    <row r="618" ht="14.25" customHeight="1" s="175"/>
    <row r="619" ht="14.25" customHeight="1" s="175"/>
    <row r="620" ht="14.25" customHeight="1" s="175"/>
    <row r="621" ht="14.25" customHeight="1" s="175"/>
    <row r="622" ht="14.25" customHeight="1" s="175"/>
    <row r="623" ht="14.25" customHeight="1" s="175"/>
    <row r="624" ht="14.25" customHeight="1" s="175"/>
    <row r="625" ht="14.25" customHeight="1" s="175"/>
    <row r="626" ht="14.25" customHeight="1" s="175"/>
    <row r="627" ht="14.25" customHeight="1" s="175"/>
    <row r="628" ht="14.25" customHeight="1" s="175"/>
    <row r="629" ht="14.25" customHeight="1" s="175"/>
    <row r="630" ht="14.25" customHeight="1" s="175"/>
    <row r="631" ht="14.25" customHeight="1" s="175"/>
    <row r="632" ht="14.25" customHeight="1" s="175"/>
    <row r="633" ht="14.25" customHeight="1" s="175"/>
    <row r="634" ht="14.25" customHeight="1" s="175"/>
    <row r="635" ht="14.25" customHeight="1" s="175"/>
    <row r="636" ht="14.25" customHeight="1" s="175"/>
    <row r="637" ht="14.25" customHeight="1" s="175"/>
    <row r="638" ht="14.25" customHeight="1" s="175"/>
    <row r="639" ht="14.25" customHeight="1" s="175"/>
    <row r="640" ht="14.25" customHeight="1" s="175"/>
    <row r="641" ht="14.25" customHeight="1" s="175"/>
    <row r="642" ht="14.25" customHeight="1" s="175"/>
    <row r="643" ht="14.25" customHeight="1" s="175"/>
    <row r="644" ht="14.25" customHeight="1" s="175"/>
    <row r="645" ht="14.25" customHeight="1" s="175"/>
    <row r="646" ht="14.25" customHeight="1" s="175"/>
    <row r="647" ht="14.25" customHeight="1" s="175"/>
    <row r="648" ht="14.25" customHeight="1" s="175"/>
    <row r="649" ht="14.25" customHeight="1" s="175"/>
    <row r="650" ht="14.25" customHeight="1" s="175"/>
    <row r="651" ht="14.25" customHeight="1" s="175"/>
    <row r="652" ht="14.25" customHeight="1" s="175"/>
    <row r="653" ht="14.25" customHeight="1" s="175"/>
    <row r="654" ht="14.25" customHeight="1" s="175"/>
    <row r="655" ht="14.25" customHeight="1" s="175"/>
    <row r="656" ht="14.25" customHeight="1" s="175"/>
    <row r="657" ht="14.25" customHeight="1" s="175"/>
    <row r="658" ht="14.25" customHeight="1" s="175"/>
    <row r="659" ht="14.25" customHeight="1" s="175"/>
    <row r="660" ht="14.25" customHeight="1" s="175"/>
    <row r="661" ht="14.25" customHeight="1" s="175"/>
    <row r="662" ht="14.25" customHeight="1" s="175"/>
    <row r="663" ht="14.25" customHeight="1" s="175"/>
    <row r="664" ht="14.25" customHeight="1" s="175"/>
    <row r="665" ht="14.25" customHeight="1" s="175"/>
    <row r="666" ht="14.25" customHeight="1" s="175"/>
    <row r="667" ht="14.25" customHeight="1" s="175"/>
    <row r="668" ht="14.25" customHeight="1" s="175"/>
    <row r="669" ht="14.25" customHeight="1" s="175"/>
    <row r="670" ht="14.25" customHeight="1" s="175"/>
    <row r="671" ht="14.25" customHeight="1" s="175"/>
    <row r="672" ht="14.25" customHeight="1" s="175"/>
    <row r="673" ht="14.25" customHeight="1" s="175"/>
    <row r="674" ht="14.25" customHeight="1" s="175"/>
    <row r="675" ht="14.25" customHeight="1" s="175"/>
    <row r="676" ht="14.25" customHeight="1" s="175"/>
    <row r="677" ht="14.25" customHeight="1" s="175"/>
    <row r="678" ht="14.25" customHeight="1" s="175"/>
    <row r="679" ht="14.25" customHeight="1" s="175"/>
    <row r="680" ht="14.25" customHeight="1" s="175"/>
    <row r="681" ht="14.25" customHeight="1" s="175"/>
    <row r="682" ht="14.25" customHeight="1" s="175"/>
    <row r="683" ht="14.25" customHeight="1" s="175"/>
    <row r="684" ht="14.25" customHeight="1" s="175"/>
    <row r="685" ht="14.25" customHeight="1" s="175"/>
    <row r="686" ht="14.25" customHeight="1" s="175"/>
    <row r="687" ht="14.25" customHeight="1" s="175"/>
    <row r="688" ht="14.25" customHeight="1" s="175"/>
    <row r="689" ht="14.25" customHeight="1" s="175"/>
    <row r="690" ht="14.25" customHeight="1" s="175"/>
    <row r="691" ht="14.25" customHeight="1" s="175"/>
    <row r="692" ht="14.25" customHeight="1" s="175"/>
    <row r="693" ht="14.25" customHeight="1" s="175"/>
    <row r="694" ht="14.25" customHeight="1" s="175"/>
    <row r="695" ht="14.25" customHeight="1" s="175"/>
    <row r="696" ht="14.25" customHeight="1" s="175"/>
    <row r="697" ht="14.25" customHeight="1" s="175"/>
    <row r="698" ht="14.25" customHeight="1" s="175"/>
    <row r="699" ht="14.25" customHeight="1" s="175"/>
    <row r="700" ht="14.25" customHeight="1" s="175"/>
    <row r="701" ht="14.25" customHeight="1" s="175"/>
    <row r="702" ht="14.25" customHeight="1" s="175"/>
    <row r="703" ht="14.25" customHeight="1" s="175"/>
    <row r="704" ht="14.25" customHeight="1" s="175"/>
    <row r="705" ht="14.25" customHeight="1" s="175"/>
    <row r="706" ht="14.25" customHeight="1" s="175"/>
    <row r="707" ht="14.25" customHeight="1" s="175"/>
    <row r="708" ht="14.25" customHeight="1" s="175"/>
    <row r="709" ht="14.25" customHeight="1" s="175"/>
    <row r="710" ht="14.25" customHeight="1" s="175"/>
    <row r="711" ht="14.25" customHeight="1" s="175"/>
    <row r="712" ht="14.25" customHeight="1" s="175"/>
    <row r="713" ht="14.25" customHeight="1" s="175"/>
    <row r="714" ht="14.25" customHeight="1" s="175"/>
    <row r="715" ht="14.25" customHeight="1" s="175"/>
    <row r="716" ht="14.25" customHeight="1" s="175"/>
    <row r="717" ht="14.25" customHeight="1" s="175"/>
    <row r="718" ht="14.25" customHeight="1" s="175"/>
    <row r="719" ht="14.25" customHeight="1" s="175"/>
    <row r="720" ht="14.25" customHeight="1" s="175"/>
    <row r="721" ht="14.25" customHeight="1" s="175"/>
    <row r="722" ht="14.25" customHeight="1" s="175"/>
    <row r="723" ht="14.25" customHeight="1" s="175"/>
    <row r="724" ht="14.25" customHeight="1" s="175"/>
    <row r="725" ht="14.25" customHeight="1" s="175"/>
    <row r="726" ht="14.25" customHeight="1" s="175"/>
    <row r="727" ht="14.25" customHeight="1" s="175"/>
    <row r="728" ht="14.25" customHeight="1" s="175"/>
    <row r="729" ht="14.25" customHeight="1" s="175"/>
    <row r="730" ht="14.25" customHeight="1" s="175"/>
    <row r="731" ht="14.25" customHeight="1" s="175"/>
    <row r="732" ht="14.25" customHeight="1" s="175"/>
    <row r="733" ht="14.25" customHeight="1" s="175"/>
    <row r="734" ht="14.25" customHeight="1" s="175"/>
    <row r="735" ht="14.25" customHeight="1" s="175"/>
    <row r="736" ht="14.25" customHeight="1" s="175"/>
    <row r="737" ht="14.25" customHeight="1" s="175"/>
    <row r="738" ht="14.25" customHeight="1" s="175"/>
    <row r="739" ht="14.25" customHeight="1" s="175"/>
    <row r="740" ht="14.25" customHeight="1" s="175"/>
    <row r="741" ht="14.25" customHeight="1" s="175"/>
    <row r="742" ht="14.25" customHeight="1" s="175"/>
    <row r="743" ht="14.25" customHeight="1" s="175"/>
    <row r="744" ht="14.25" customHeight="1" s="175"/>
    <row r="745" ht="14.25" customHeight="1" s="175"/>
    <row r="746" ht="14.25" customHeight="1" s="175"/>
    <row r="747" ht="14.25" customHeight="1" s="175"/>
    <row r="748" ht="14.25" customHeight="1" s="175"/>
    <row r="749" ht="14.25" customHeight="1" s="175"/>
    <row r="750" ht="14.25" customHeight="1" s="175"/>
    <row r="751" ht="14.25" customHeight="1" s="175"/>
    <row r="752" ht="14.25" customHeight="1" s="175"/>
    <row r="753" ht="14.25" customHeight="1" s="175"/>
    <row r="754" ht="14.25" customHeight="1" s="175"/>
    <row r="755" ht="14.25" customHeight="1" s="175"/>
    <row r="756" ht="14.25" customHeight="1" s="175"/>
    <row r="757" ht="14.25" customHeight="1" s="175"/>
    <row r="758" ht="14.25" customHeight="1" s="175"/>
    <row r="759" ht="14.25" customHeight="1" s="175"/>
    <row r="760" ht="14.25" customHeight="1" s="175"/>
    <row r="761" ht="14.25" customHeight="1" s="175"/>
    <row r="762" ht="14.25" customHeight="1" s="175"/>
    <row r="763" ht="14.25" customHeight="1" s="175"/>
    <row r="764" ht="14.25" customHeight="1" s="175"/>
    <row r="765" ht="14.25" customHeight="1" s="175"/>
    <row r="766" ht="14.25" customHeight="1" s="175"/>
    <row r="767" ht="14.25" customHeight="1" s="175"/>
    <row r="768" ht="14.25" customHeight="1" s="175"/>
    <row r="769" ht="14.25" customHeight="1" s="175"/>
    <row r="770" ht="14.25" customHeight="1" s="175"/>
    <row r="771" ht="14.25" customHeight="1" s="175"/>
    <row r="772" ht="14.25" customHeight="1" s="175"/>
    <row r="773" ht="14.25" customHeight="1" s="175"/>
    <row r="774" ht="14.25" customHeight="1" s="175"/>
    <row r="775" ht="14.25" customHeight="1" s="175"/>
    <row r="776" ht="14.25" customHeight="1" s="175"/>
    <row r="777" ht="14.25" customHeight="1" s="175"/>
    <row r="778" ht="14.25" customHeight="1" s="175"/>
    <row r="779" ht="14.25" customHeight="1" s="175"/>
    <row r="780" ht="14.25" customHeight="1" s="175"/>
    <row r="781" ht="14.25" customHeight="1" s="175"/>
    <row r="782" ht="14.25" customHeight="1" s="175"/>
    <row r="783" ht="14.25" customHeight="1" s="175"/>
    <row r="784" ht="14.25" customHeight="1" s="175"/>
    <row r="785" ht="14.25" customHeight="1" s="175"/>
    <row r="786" ht="14.25" customHeight="1" s="175"/>
    <row r="787" ht="14.25" customHeight="1" s="175"/>
    <row r="788" ht="14.25" customHeight="1" s="175"/>
    <row r="789" ht="14.25" customHeight="1" s="175"/>
    <row r="790" ht="14.25" customHeight="1" s="175"/>
    <row r="791" ht="14.25" customHeight="1" s="175"/>
    <row r="792" ht="14.25" customHeight="1" s="175"/>
    <row r="793" ht="14.25" customHeight="1" s="175"/>
    <row r="794" ht="14.25" customHeight="1" s="175"/>
    <row r="795" ht="14.25" customHeight="1" s="175"/>
    <row r="796" ht="14.25" customHeight="1" s="175"/>
    <row r="797" ht="14.25" customHeight="1" s="175"/>
    <row r="798" ht="14.25" customHeight="1" s="175"/>
    <row r="799" ht="14.25" customHeight="1" s="175"/>
    <row r="800" ht="14.25" customHeight="1" s="175"/>
    <row r="801" ht="14.25" customHeight="1" s="175"/>
    <row r="802" ht="14.25" customHeight="1" s="175"/>
    <row r="803" ht="14.25" customHeight="1" s="175"/>
    <row r="804" ht="14.25" customHeight="1" s="175"/>
    <row r="805" ht="14.25" customHeight="1" s="175"/>
    <row r="806" ht="14.25" customHeight="1" s="175"/>
    <row r="807" ht="14.25" customHeight="1" s="175"/>
    <row r="808" ht="14.25" customHeight="1" s="175"/>
    <row r="809" ht="14.25" customHeight="1" s="175"/>
    <row r="810" ht="14.25" customHeight="1" s="175"/>
    <row r="811" ht="14.25" customHeight="1" s="175"/>
    <row r="812" ht="14.25" customHeight="1" s="175"/>
    <row r="813" ht="14.25" customHeight="1" s="175"/>
    <row r="814" ht="14.25" customHeight="1" s="175"/>
    <row r="815" ht="14.25" customHeight="1" s="175"/>
    <row r="816" ht="14.25" customHeight="1" s="175"/>
    <row r="817" ht="14.25" customHeight="1" s="175"/>
    <row r="818" ht="14.25" customHeight="1" s="175"/>
    <row r="819" ht="14.25" customHeight="1" s="175"/>
    <row r="820" ht="14.25" customHeight="1" s="175"/>
    <row r="821" ht="14.25" customHeight="1" s="175"/>
    <row r="822" ht="14.25" customHeight="1" s="175"/>
    <row r="823" ht="14.25" customHeight="1" s="175"/>
    <row r="824" ht="14.25" customHeight="1" s="175"/>
    <row r="825" ht="14.25" customHeight="1" s="175"/>
    <row r="826" ht="14.25" customHeight="1" s="175"/>
    <row r="827" ht="14.25" customHeight="1" s="175"/>
    <row r="828" ht="14.25" customHeight="1" s="175"/>
    <row r="829" ht="14.25" customHeight="1" s="175"/>
    <row r="830" ht="14.25" customHeight="1" s="175"/>
    <row r="831" ht="14.25" customHeight="1" s="175"/>
    <row r="832" ht="14.25" customHeight="1" s="175"/>
    <row r="833" ht="14.25" customHeight="1" s="175"/>
    <row r="834" ht="14.25" customHeight="1" s="175"/>
    <row r="835" ht="14.25" customHeight="1" s="175"/>
    <row r="836" ht="14.25" customHeight="1" s="175"/>
    <row r="837" ht="14.25" customHeight="1" s="175"/>
    <row r="838" ht="14.25" customHeight="1" s="175"/>
    <row r="839" ht="14.25" customHeight="1" s="175"/>
    <row r="840" ht="14.25" customHeight="1" s="175"/>
    <row r="841" ht="14.25" customHeight="1" s="175"/>
    <row r="842" ht="14.25" customHeight="1" s="175"/>
    <row r="843" ht="14.25" customHeight="1" s="175"/>
    <row r="844" ht="14.25" customHeight="1" s="175"/>
    <row r="845" ht="14.25" customHeight="1" s="175"/>
    <row r="846" ht="14.25" customHeight="1" s="175"/>
    <row r="847" ht="14.25" customHeight="1" s="175"/>
    <row r="848" ht="14.25" customHeight="1" s="175"/>
    <row r="849" ht="14.25" customHeight="1" s="175"/>
    <row r="850" ht="14.25" customHeight="1" s="175"/>
    <row r="851" ht="14.25" customHeight="1" s="175"/>
    <row r="852" ht="14.25" customHeight="1" s="175"/>
    <row r="853" ht="14.25" customHeight="1" s="175"/>
    <row r="854" ht="14.25" customHeight="1" s="175"/>
    <row r="855" ht="14.25" customHeight="1" s="175"/>
    <row r="856" ht="14.25" customHeight="1" s="175"/>
    <row r="857" ht="14.25" customHeight="1" s="175"/>
    <row r="858" ht="14.25" customHeight="1" s="175"/>
    <row r="859" ht="14.25" customHeight="1" s="175"/>
    <row r="860" ht="14.25" customHeight="1" s="175"/>
    <row r="861" ht="14.25" customHeight="1" s="175"/>
    <row r="862" ht="14.25" customHeight="1" s="175"/>
    <row r="863" ht="14.25" customHeight="1" s="175"/>
    <row r="864" ht="14.25" customHeight="1" s="175"/>
    <row r="865" ht="14.25" customHeight="1" s="175"/>
    <row r="866" ht="14.25" customHeight="1" s="175"/>
    <row r="867" ht="14.25" customHeight="1" s="175"/>
    <row r="868" ht="14.25" customHeight="1" s="175"/>
    <row r="869" ht="14.25" customHeight="1" s="175"/>
    <row r="870" ht="14.25" customHeight="1" s="175"/>
    <row r="871" ht="14.25" customHeight="1" s="175"/>
    <row r="872" ht="14.25" customHeight="1" s="175"/>
    <row r="873" ht="14.25" customHeight="1" s="175"/>
    <row r="874" ht="14.25" customHeight="1" s="175"/>
    <row r="875" ht="14.25" customHeight="1" s="175"/>
    <row r="876" ht="14.25" customHeight="1" s="175"/>
    <row r="877" ht="14.25" customHeight="1" s="175"/>
    <row r="878" ht="14.25" customHeight="1" s="175"/>
    <row r="879" ht="14.25" customHeight="1" s="175"/>
    <row r="880" ht="14.25" customHeight="1" s="175"/>
    <row r="881" ht="14.25" customHeight="1" s="175"/>
    <row r="882" ht="14.25" customHeight="1" s="175"/>
    <row r="883" ht="14.25" customHeight="1" s="175"/>
    <row r="884" ht="14.25" customHeight="1" s="175"/>
    <row r="885" ht="14.25" customHeight="1" s="175"/>
    <row r="886" ht="14.25" customHeight="1" s="175"/>
    <row r="887" ht="14.25" customHeight="1" s="175"/>
    <row r="888" ht="14.25" customHeight="1" s="175"/>
    <row r="889" ht="14.25" customHeight="1" s="175"/>
    <row r="890" ht="14.25" customHeight="1" s="175"/>
    <row r="891" ht="14.25" customHeight="1" s="175"/>
    <row r="892" ht="14.25" customHeight="1" s="175"/>
    <row r="893" ht="14.25" customHeight="1" s="175"/>
    <row r="894" ht="14.25" customHeight="1" s="175"/>
    <row r="895" ht="14.25" customHeight="1" s="175"/>
    <row r="896" ht="14.25" customHeight="1" s="175"/>
    <row r="897" ht="14.25" customHeight="1" s="175"/>
    <row r="898" ht="14.25" customHeight="1" s="175"/>
    <row r="899" ht="14.25" customHeight="1" s="175"/>
    <row r="900" ht="14.25" customHeight="1" s="175"/>
    <row r="901" ht="14.25" customHeight="1" s="175"/>
    <row r="902" ht="14.25" customHeight="1" s="175"/>
    <row r="903" ht="14.25" customHeight="1" s="175"/>
    <row r="904" ht="14.25" customHeight="1" s="175"/>
    <row r="905" ht="14.25" customHeight="1" s="175"/>
    <row r="906" ht="14.25" customHeight="1" s="175"/>
    <row r="907" ht="14.25" customHeight="1" s="175"/>
    <row r="908" ht="14.25" customHeight="1" s="175"/>
    <row r="909" ht="14.25" customHeight="1" s="175"/>
    <row r="910" ht="14.25" customHeight="1" s="175"/>
    <row r="911" ht="14.25" customHeight="1" s="175"/>
    <row r="912" ht="14.25" customHeight="1" s="175"/>
    <row r="913" ht="14.25" customHeight="1" s="175"/>
    <row r="914" ht="14.25" customHeight="1" s="175"/>
    <row r="915" ht="14.25" customHeight="1" s="175"/>
    <row r="916" ht="14.25" customHeight="1" s="175"/>
    <row r="917" ht="14.25" customHeight="1" s="175"/>
    <row r="918" ht="14.25" customHeight="1" s="175"/>
    <row r="919" ht="14.25" customHeight="1" s="175"/>
    <row r="920" ht="14.25" customHeight="1" s="175"/>
    <row r="921" ht="14.25" customHeight="1" s="175"/>
    <row r="922" ht="14.25" customHeight="1" s="175"/>
    <row r="923" ht="14.25" customHeight="1" s="175"/>
    <row r="924" ht="14.25" customHeight="1" s="175"/>
    <row r="925" ht="14.25" customHeight="1" s="175"/>
    <row r="926" ht="14.25" customHeight="1" s="175"/>
    <row r="927" ht="14.25" customHeight="1" s="175"/>
    <row r="928" ht="14.25" customHeight="1" s="175"/>
    <row r="929" ht="14.25" customHeight="1" s="175"/>
    <row r="930" ht="14.25" customHeight="1" s="175"/>
    <row r="931" ht="14.25" customHeight="1" s="175"/>
    <row r="932" ht="14.25" customHeight="1" s="175"/>
    <row r="933" ht="14.25" customHeight="1" s="175"/>
    <row r="934" ht="14.25" customHeight="1" s="175"/>
    <row r="935" ht="14.25" customHeight="1" s="175"/>
    <row r="936" ht="14.25" customHeight="1" s="175"/>
    <row r="937" ht="14.25" customHeight="1" s="175"/>
    <row r="938" ht="14.25" customHeight="1" s="175"/>
    <row r="939" ht="14.25" customHeight="1" s="175"/>
    <row r="940" ht="14.25" customHeight="1" s="175"/>
    <row r="941" ht="14.25" customHeight="1" s="175"/>
    <row r="942" ht="14.25" customHeight="1" s="175"/>
    <row r="943" ht="14.25" customHeight="1" s="175"/>
    <row r="944" ht="14.25" customHeight="1" s="175"/>
    <row r="945" ht="14.25" customHeight="1" s="175"/>
    <row r="946" ht="14.25" customHeight="1" s="175"/>
    <row r="947" ht="14.25" customHeight="1" s="175"/>
    <row r="948" ht="14.25" customHeight="1" s="175"/>
    <row r="949" ht="14.25" customHeight="1" s="175"/>
    <row r="950" ht="14.25" customHeight="1" s="175"/>
    <row r="951" ht="14.25" customHeight="1" s="175"/>
    <row r="952" ht="14.25" customHeight="1" s="175"/>
    <row r="953" ht="14.25" customHeight="1" s="175"/>
    <row r="954" ht="14.25" customHeight="1" s="175"/>
    <row r="955" ht="14.25" customHeight="1" s="175"/>
    <row r="956" ht="14.25" customHeight="1" s="175"/>
    <row r="957" ht="14.25" customHeight="1" s="175"/>
    <row r="958" ht="14.25" customHeight="1" s="175"/>
    <row r="959" ht="14.25" customHeight="1" s="175"/>
    <row r="960" ht="14.25" customHeight="1" s="175"/>
    <row r="961" ht="14.25" customHeight="1" s="175"/>
    <row r="962" ht="14.25" customHeight="1" s="175"/>
    <row r="963" ht="14.25" customHeight="1" s="175"/>
    <row r="964" ht="14.25" customHeight="1" s="175"/>
    <row r="965" ht="14.25" customHeight="1" s="175"/>
    <row r="966" ht="14.25" customHeight="1" s="175"/>
    <row r="967" ht="14.25" customHeight="1" s="175"/>
    <row r="968" ht="14.25" customHeight="1" s="175"/>
    <row r="969" ht="14.25" customHeight="1" s="175"/>
    <row r="970" ht="14.25" customHeight="1" s="175"/>
    <row r="971" ht="14.25" customHeight="1" s="175"/>
    <row r="972" ht="14.25" customHeight="1" s="175"/>
    <row r="973" ht="14.25" customHeight="1" s="175"/>
    <row r="974" ht="14.25" customHeight="1" s="175"/>
    <row r="975" ht="14.25" customHeight="1" s="175"/>
    <row r="976" ht="14.25" customHeight="1" s="175"/>
    <row r="977" ht="14.25" customHeight="1" s="175"/>
    <row r="978" ht="14.25" customHeight="1" s="175"/>
    <row r="979" ht="14.25" customHeight="1" s="175"/>
    <row r="980" ht="14.25" customHeight="1" s="175"/>
    <row r="981" ht="14.25" customHeight="1" s="175"/>
    <row r="982" ht="14.25" customHeight="1" s="175"/>
    <row r="983" ht="14.25" customHeight="1" s="175"/>
    <row r="984" ht="14.25" customHeight="1" s="175"/>
    <row r="985" ht="14.25" customHeight="1" s="175"/>
    <row r="986" ht="14.25" customHeight="1" s="175"/>
    <row r="987" ht="14.25" customHeight="1" s="175"/>
    <row r="988" ht="14.25" customHeight="1" s="175"/>
    <row r="989" ht="14.25" customHeight="1" s="175"/>
    <row r="990" ht="14.25" customHeight="1" s="175"/>
    <row r="991" ht="14.25" customHeight="1" s="175"/>
    <row r="992" ht="14.25" customHeight="1" s="175"/>
    <row r="993" ht="14.25" customHeight="1" s="175"/>
    <row r="994" ht="14.25" customHeight="1" s="175"/>
    <row r="995" ht="14.25" customHeight="1" s="175"/>
    <row r="996" ht="14.25" customHeight="1" s="175"/>
    <row r="997" ht="14.25" customHeight="1" s="175"/>
    <row r="998" ht="14.25" customHeight="1" s="175"/>
    <row r="999" ht="14.25" customHeight="1" s="175"/>
    <row r="1000" ht="14.25" customHeight="1" s="175"/>
  </sheetData>
  <mergeCells count="5">
    <mergeCell ref="I20:Q20"/>
    <mergeCell ref="I1:R1"/>
    <mergeCell ref="AP13:AY13"/>
    <mergeCell ref="AP56:AX56"/>
    <mergeCell ref="T1:AM1"/>
  </mergeCells>
  <conditionalFormatting sqref="AQ66:AQ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Y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K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2:L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N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2:P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2:Q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35:AQ51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59:AX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59:AY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66:AR7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K26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22:N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4:AR11 AX4:AX11">
    <cfRule type="cellIs" rank="0" priority="17" equalAverage="0" operator="greaterThan" aboveAverage="0" dxfId="0" text="" percent="0" bottom="0">
      <formula>1</formula>
    </cfRule>
  </conditionalFormatting>
  <conditionalFormatting sqref="J83:J86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83:T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94:J97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94:T97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105:J108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105:T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Z16:AZ31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36:AR51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4:AM18"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J65:J80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65:T80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7:J62"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7:T62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9:J44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29:T44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8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8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8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8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3:P18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3:Q18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:R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50">
      <colorScale>
        <cfvo type="min" val="0"/>
        <cfvo type="max" val="0"/>
        <color rgb="FFF8696B"/>
        <color rgb="FFFCFCFF"/>
      </colorScale>
    </cfRule>
  </conditionalFormatting>
  <conditionalFormatting sqref="AS16:AS31">
    <cfRule type="colorScale" priority="51">
      <colorScale>
        <cfvo type="min" val="0"/>
        <cfvo type="max" val="0"/>
        <color rgb="FFFCFCFF"/>
        <color rgb="FF63BE7B"/>
      </colorScale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Z504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G1" activeCellId="0" sqref="G1"/>
    </sheetView>
  </sheetViews>
  <sheetFormatPr baseColWidth="8" defaultColWidth="12.54296875" defaultRowHeight="15" customHeight="1" zeroHeight="0" outlineLevelRow="0" outlineLevelCol="0"/>
  <cols>
    <col width="7.45" customWidth="1" style="172" min="1" max="1"/>
    <col width="6.54" customWidth="1" style="173" min="2" max="2"/>
    <col width="13.18" customWidth="1" style="174" min="3" max="3"/>
    <col width="8.539999999999999" customWidth="1" style="173" min="4" max="4"/>
    <col width="2.27" customWidth="1" style="173" min="5" max="5"/>
    <col width="8.539999999999999" customWidth="1" style="173" min="6" max="6"/>
    <col width="7.27" customWidth="1" style="173" min="10" max="11"/>
    <col width="5.45" customWidth="1" style="173" min="12" max="12"/>
    <col width="9.73" customWidth="1" style="173" min="13" max="13"/>
    <col width="12.27" customWidth="1" style="173" min="14" max="14"/>
    <col width="7.18" customWidth="1" style="173" min="15" max="15"/>
    <col width="8.449999999999999" customWidth="1" style="173" min="16" max="16"/>
    <col width="11.18" customWidth="1" style="173" min="17" max="17"/>
    <col width="13.27" customWidth="1" style="173" min="18" max="18"/>
    <col width="7.45" customWidth="1" style="173" min="19" max="19"/>
    <col width="13.54" customWidth="1" style="173" min="20" max="20"/>
    <col width="6.27" customWidth="1" style="173" min="21" max="21"/>
    <col width="4.54" customWidth="1" style="173" min="22" max="22"/>
    <col width="5.18" customWidth="1" style="173" min="23" max="23"/>
    <col width="8.449999999999999" customWidth="1" style="173" min="24" max="24"/>
    <col width="8" customWidth="1" style="173" min="25" max="25"/>
    <col width="5.27" customWidth="1" style="173" min="26" max="26"/>
    <col width="8.18" customWidth="1" style="173" min="27" max="27"/>
    <col width="4.54" customWidth="1" style="173" min="28" max="28"/>
    <col width="6.18" customWidth="1" style="173" min="29" max="29"/>
    <col width="6.73" customWidth="1" style="173" min="30" max="30"/>
    <col width="7.27" customWidth="1" style="173" min="31" max="31"/>
    <col width="7.73" customWidth="1" style="173" min="32" max="32"/>
    <col width="5.82" customWidth="1" style="173" min="33" max="33"/>
    <col width="7.45" customWidth="1" style="173" min="34" max="34"/>
    <col width="6.27" customWidth="1" style="173" min="35" max="35"/>
    <col width="5.45" customWidth="1" style="173" min="36" max="36"/>
    <col width="11.27" customWidth="1" style="173" min="37" max="38"/>
    <col width="6.54" customWidth="1" style="173" min="39" max="39"/>
    <col width="8.539999999999999" customWidth="1" style="173" min="40" max="40"/>
    <col width="21.18" customWidth="1" style="173" min="41" max="41"/>
    <col width="8.449999999999999" customWidth="1" style="173" min="43" max="44"/>
    <col width="7.18" customWidth="1" style="173" min="45" max="45"/>
    <col width="9.27" customWidth="1" style="173" min="46" max="46"/>
    <col width="13.82" customWidth="1" style="173" min="47" max="47"/>
    <col width="7.54" customWidth="1" style="173" min="48" max="48"/>
    <col width="8.18" customWidth="1" style="173" min="49" max="49"/>
    <col width="10.73" customWidth="1" style="173" min="50" max="50"/>
    <col width="12" customWidth="1" style="173" min="51" max="51"/>
    <col width="8.18" customWidth="1" style="173" min="52" max="52"/>
    <col width="8.539999999999999" customWidth="1" style="173" min="53" max="53"/>
  </cols>
  <sheetData>
    <row r="1" ht="14.25" customHeight="1" s="175">
      <c r="A1" s="176" t="inlineStr">
        <is>
          <t>Sniper</t>
        </is>
      </c>
      <c r="B1" s="177" t="inlineStr">
        <is>
          <t>Points</t>
        </is>
      </c>
      <c r="C1" s="178" t="inlineStr">
        <is>
          <t>Snipee</t>
        </is>
      </c>
      <c r="D1" s="173" t="inlineStr">
        <is>
          <t>Link:</t>
        </is>
      </c>
      <c r="I1" s="179" t="inlineStr">
        <is>
          <t>Data by Person:</t>
        </is>
      </c>
      <c r="J1" s="180" t="n"/>
      <c r="K1" s="180" t="n"/>
      <c r="L1" s="180" t="n"/>
      <c r="M1" s="180" t="n"/>
      <c r="N1" s="180" t="n"/>
      <c r="O1" s="180" t="n"/>
      <c r="P1" s="180" t="n"/>
      <c r="Q1" s="180" t="n"/>
      <c r="R1" s="181" t="n"/>
      <c r="S1" s="182" t="n"/>
      <c r="T1" s="183" t="inlineStr">
        <is>
          <t>Kill and Death Points Pivot Table (kill points at right, death points at bottom)</t>
        </is>
      </c>
      <c r="AM1" s="184" t="n"/>
      <c r="AR1" s="179" t="inlineStr">
        <is>
          <t>Ties?</t>
        </is>
      </c>
      <c r="AS1" s="185" t="inlineStr">
        <is>
          <t>Name</t>
        </is>
      </c>
      <c r="AT1" s="186" t="inlineStr">
        <is>
          <t>Value</t>
        </is>
      </c>
      <c r="AU1" s="187" t="inlineStr">
        <is>
          <t>Various Stats:</t>
        </is>
      </c>
      <c r="AV1" s="188" t="inlineStr">
        <is>
          <t>Value</t>
        </is>
      </c>
      <c r="AW1" s="185" t="inlineStr">
        <is>
          <t>Part</t>
        </is>
      </c>
      <c r="AX1" s="179" t="inlineStr">
        <is>
          <t>Ties?</t>
        </is>
      </c>
    </row>
    <row r="2" ht="14.25" customHeight="1" s="175">
      <c r="A2" s="189" t="inlineStr">
        <is>
          <t>Mikey</t>
        </is>
      </c>
      <c r="B2" s="190" t="n">
        <v>1</v>
      </c>
      <c r="C2" s="191" t="inlineStr">
        <is>
          <t>Peter</t>
        </is>
      </c>
      <c r="D2" s="192" t="inlineStr">
        <is>
          <t>2026-01-22 12:48:27</t>
        </is>
      </c>
      <c r="E2" s="193" t="inlineStr">
        <is>
          <t>https://cdn.discordapp.com/ephemeral-attachments/1450933256630440049/1463953458653827136/RDT_20260115_0729213001306827711469532.jpg?ex=6973b467&amp;is=697262e7&amp;hm=abddde1990f77dd09947cbd6cafc421033b30a956f63f0ac302b85f328ba9efb&amp;</t>
        </is>
      </c>
      <c r="F2" s="194" t="inlineStr">
        <is>
          <t>290654652838576130</t>
        </is>
      </c>
      <c r="I2" s="195" t="n"/>
      <c r="J2" s="196" t="inlineStr">
        <is>
          <t>Kills</t>
        </is>
      </c>
      <c r="K2" s="196" t="inlineStr">
        <is>
          <t>Deaths</t>
        </is>
      </c>
      <c r="L2" s="196" t="inlineStr">
        <is>
          <t>KDR</t>
        </is>
      </c>
      <c r="M2" s="196" t="inlineStr">
        <is>
          <t>Kill Points</t>
        </is>
      </c>
      <c r="N2" s="196" t="inlineStr">
        <is>
          <t>Death Points</t>
        </is>
      </c>
      <c r="O2" s="196" t="inlineStr">
        <is>
          <t>KpDpR</t>
        </is>
      </c>
      <c r="P2" s="196" t="inlineStr">
        <is>
          <t>KPts/Kill</t>
        </is>
      </c>
      <c r="Q2" s="196" t="inlineStr">
        <is>
          <t>DPts/Death</t>
        </is>
      </c>
      <c r="R2" s="197" t="inlineStr">
        <is>
          <t>Full Sweep %</t>
        </is>
      </c>
      <c r="S2" s="182" t="n"/>
      <c r="T2" s="198" t="inlineStr">
        <is>
          <t>Sum of Points</t>
        </is>
      </c>
      <c r="U2" s="199" t="inlineStr">
        <is>
          <t>Snipee</t>
        </is>
      </c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  <c r="AH2" s="200" t="n"/>
      <c r="AI2" s="200" t="n"/>
      <c r="AJ2" s="200" t="n"/>
      <c r="AK2" s="201" t="n"/>
      <c r="AM2" s="202" t="inlineStr">
        <is>
          <t>Unique</t>
        </is>
      </c>
      <c r="AR2" s="203" t="n"/>
      <c r="AS2" s="204" t="n"/>
      <c r="AT2" s="205">
        <f>COUNT(B$1:B$155)</f>
        <v/>
      </c>
      <c r="AU2" s="206" t="inlineStr">
        <is>
          <t>Total Snipes</t>
        </is>
      </c>
      <c r="AV2" s="205">
        <f>COUNT(B$1:B$155)</f>
        <v/>
      </c>
      <c r="AW2" s="203" t="n"/>
      <c r="AX2" s="203" t="n"/>
    </row>
    <row r="3" ht="14.25" customHeight="1" s="175">
      <c r="A3" s="189" t="inlineStr">
        <is>
          <t>Peter</t>
        </is>
      </c>
      <c r="B3" s="190" t="n">
        <v>1</v>
      </c>
      <c r="C3" s="191" t="inlineStr">
        <is>
          <t>Mikey</t>
        </is>
      </c>
      <c r="D3" s="192" t="inlineStr">
        <is>
          <t>2026-01-22 12:50:13</t>
        </is>
      </c>
      <c r="E3" s="173" t="inlineStr">
        <is>
          <t>https://cdn.discordapp.com/ephemeral-attachments/1450933256630440049/1463953905699258553/addressMe.jpg?ex=6973b4d2&amp;is=69726352&amp;hm=d535f07ed7a4d0de92469b97b0cb528e6b860f1845d43e0c01d58b17b6082216&amp;</t>
        </is>
      </c>
      <c r="F3" s="207" t="inlineStr">
        <is>
          <t>290654652838576130</t>
        </is>
      </c>
      <c r="I3" s="208" t="inlineStr">
        <is>
          <t>Carter</t>
        </is>
      </c>
      <c r="J3" s="209">
        <f>COUNTIF($A:$A,I3)</f>
        <v/>
      </c>
      <c r="K3" s="209">
        <f>COUNTIF($C:$C,I3)</f>
        <v/>
      </c>
      <c r="L3" s="210">
        <f>IF(K3,J3/K3,J3)</f>
        <v/>
      </c>
      <c r="M3" s="209">
        <f>IFERROR(GETPIVOTDATA("Points",$T$2,"Sniper",I3),0)</f>
        <v/>
      </c>
      <c r="N3" s="209">
        <f>IFERROR(GETPIVOTDATA("Points",$T$2,"Snipee",I3),0)</f>
        <v/>
      </c>
      <c r="O3" s="210">
        <f>IF(N3,M3/N3,M3)</f>
        <v/>
      </c>
      <c r="P3" s="210">
        <f>IF(J3,M3/J3,0)</f>
        <v/>
      </c>
      <c r="Q3" s="210">
        <f>IF(K3,N3/K3,0)</f>
        <v/>
      </c>
      <c r="R3" s="211">
        <f>IFERROR(VLOOKUP(I3,T:AM,20,FALSE())/15,0)</f>
        <v/>
      </c>
      <c r="S3" s="182" t="n"/>
      <c r="T3" s="212" t="inlineStr">
        <is>
          <t>Sniper</t>
        </is>
      </c>
      <c r="U3" s="213" t="inlineStr">
        <is>
          <t>Alumni</t>
        </is>
      </c>
      <c r="V3" s="213" t="inlineStr">
        <is>
          <t>Anthony</t>
        </is>
      </c>
      <c r="W3" s="213" t="inlineStr">
        <is>
          <t>Carter</t>
        </is>
      </c>
      <c r="X3" s="213" t="inlineStr">
        <is>
          <t>Cooper</t>
        </is>
      </c>
      <c r="Y3" s="213" t="inlineStr">
        <is>
          <t>Erick</t>
        </is>
      </c>
      <c r="Z3" s="213" t="inlineStr">
        <is>
          <t>Ethan</t>
        </is>
      </c>
      <c r="AA3" s="213" t="inlineStr">
        <is>
          <t>Evan</t>
        </is>
      </c>
      <c r="AB3" s="213" t="inlineStr">
        <is>
          <t>Grady</t>
        </is>
      </c>
      <c r="AC3" s="213" t="inlineStr">
        <is>
          <t>Lucy</t>
        </is>
      </c>
      <c r="AD3" s="213" t="inlineStr">
        <is>
          <t>Maxine</t>
        </is>
      </c>
      <c r="AE3" s="213" t="inlineStr">
        <is>
          <t>Mikey</t>
        </is>
      </c>
      <c r="AF3" s="213" t="inlineStr">
        <is>
          <t>Peter</t>
        </is>
      </c>
      <c r="AG3" s="213" t="inlineStr">
        <is>
          <t>Reuben</t>
        </is>
      </c>
      <c r="AH3" s="213" t="inlineStr">
        <is>
          <t>Rob</t>
        </is>
      </c>
      <c r="AI3" s="213" t="inlineStr">
        <is>
          <t>Vignesh</t>
        </is>
      </c>
      <c r="AJ3" s="213" t="inlineStr">
        <is>
          <t>Will</t>
        </is>
      </c>
      <c r="AK3" s="214" t="inlineStr">
        <is>
          <t>Total Result</t>
        </is>
      </c>
      <c r="AM3" s="202" t="inlineStr">
        <is>
          <t>Kills</t>
        </is>
      </c>
      <c r="AR3" s="203" t="n"/>
      <c r="AS3" s="203" t="n"/>
      <c r="AT3" s="215">
        <f>IFERROR(GETPIVOTDATA("Points",T2),0)</f>
        <v/>
      </c>
      <c r="AU3" s="216" t="inlineStr">
        <is>
          <t>Total Points</t>
        </is>
      </c>
      <c r="AV3" s="215">
        <f>IFERROR(GETPIVOTDATA("Points",T2),0)</f>
        <v/>
      </c>
      <c r="AW3" s="203" t="n"/>
      <c r="AX3" s="203" t="n"/>
    </row>
    <row r="4" ht="16.8" customHeight="1" s="175">
      <c r="A4" s="189" t="inlineStr">
        <is>
          <t>Peter</t>
        </is>
      </c>
      <c r="B4" s="190" t="n">
        <v>1</v>
      </c>
      <c r="C4" s="191" t="inlineStr">
        <is>
          <t>Evan</t>
        </is>
      </c>
      <c r="D4" s="192" t="inlineStr">
        <is>
          <t>2026-01-22 12:56:11</t>
        </is>
      </c>
      <c r="E4" s="173" t="inlineStr">
        <is>
          <t>https://cdn.discordapp.com/ephemeral-attachments/1450933256630440049/1463955403951046798/im-a-big-fan.png?ex=6973b637&amp;is=697264b7&amp;hm=7e3be5a35b9edc261db08ee0f2f289acf04d6b845f60192f95eeb8964b6122d5&amp;</t>
        </is>
      </c>
      <c r="F4" s="207" t="inlineStr">
        <is>
          <t>290654652838576130</t>
        </is>
      </c>
      <c r="G4" s="173" t="inlineStr">
        <is>
          <t>601936524044664852</t>
        </is>
      </c>
      <c r="I4" s="208" t="inlineStr">
        <is>
          <t>Grady</t>
        </is>
      </c>
      <c r="J4" s="209">
        <f>COUNTIF($A:$A,I4)</f>
        <v/>
      </c>
      <c r="K4" s="209">
        <f>COUNTIF($C:$C,I4)</f>
        <v/>
      </c>
      <c r="L4" s="210">
        <f>IF(K4,J4/K4,J4)</f>
        <v/>
      </c>
      <c r="M4" s="209">
        <f>IFERROR(GETPIVOTDATA("Points",$T$2,"Sniper",I4),0)</f>
        <v/>
      </c>
      <c r="N4" s="209">
        <f>IFERROR(GETPIVOTDATA("Points",$T$2,"Snipee",I4),0)</f>
        <v/>
      </c>
      <c r="O4" s="210">
        <f>IF(N4,M4/N4,M4)</f>
        <v/>
      </c>
      <c r="P4" s="210">
        <f>IF(J4,M4/J4,0)</f>
        <v/>
      </c>
      <c r="Q4" s="210">
        <f>IF(K4,N4/K4,0)</f>
        <v/>
      </c>
      <c r="R4" s="211">
        <f>IFERROR(VLOOKUP(I4,T:AM,20,FALSE())/15,0)</f>
        <v/>
      </c>
      <c r="S4" s="182" t="n"/>
      <c r="T4" s="217" t="inlineStr">
        <is>
          <t>Anthony</t>
        </is>
      </c>
      <c r="U4" s="218" t="n">
        <v>5</v>
      </c>
      <c r="V4" s="218" t="n"/>
      <c r="W4" s="218" t="n">
        <v>1</v>
      </c>
      <c r="X4" s="218" t="n">
        <v>6</v>
      </c>
      <c r="Y4" s="218" t="n"/>
      <c r="Z4" s="218" t="n">
        <v>2</v>
      </c>
      <c r="AA4" s="218" t="n">
        <v>12</v>
      </c>
      <c r="AB4" s="218" t="n"/>
      <c r="AC4" s="218" t="n">
        <v>3</v>
      </c>
      <c r="AD4" s="218" t="n">
        <v>1</v>
      </c>
      <c r="AE4" s="218" t="n">
        <v>4</v>
      </c>
      <c r="AF4" s="218" t="n">
        <v>4</v>
      </c>
      <c r="AG4" s="218" t="n"/>
      <c r="AH4" s="218" t="n"/>
      <c r="AI4" s="218" t="n">
        <v>2</v>
      </c>
      <c r="AJ4" s="218" t="n"/>
      <c r="AK4" s="219" t="n">
        <v>40</v>
      </c>
      <c r="AM4" s="202">
        <f>IF(COUNT(U4:AL4)&lt;&gt;0,COUNT(U4:AL4)-1,"")</f>
        <v/>
      </c>
      <c r="AR4" s="220">
        <f>COUNTIF(J3:J17,AT4)</f>
        <v/>
      </c>
      <c r="AS4" s="221">
        <f>$I$29</f>
        <v/>
      </c>
      <c r="AT4" s="215">
        <f>MAX(J3:J18)</f>
        <v/>
      </c>
      <c r="AU4" s="216" t="inlineStr">
        <is>
          <t>Most Kills</t>
        </is>
      </c>
      <c r="AV4" s="222">
        <f>MAX(J22:J25)</f>
        <v/>
      </c>
      <c r="AW4" s="223">
        <f>$I$86</f>
        <v/>
      </c>
      <c r="AX4" s="220">
        <f>COUNTIF(J22:J25,AV4)</f>
        <v/>
      </c>
    </row>
    <row r="5" ht="16.8" customHeight="1" s="175">
      <c r="A5" s="189" t="inlineStr">
        <is>
          <t>Evan</t>
        </is>
      </c>
      <c r="B5" s="190" t="n">
        <v>1</v>
      </c>
      <c r="C5" s="191" t="inlineStr">
        <is>
          <t>Peter</t>
        </is>
      </c>
      <c r="D5" s="192" t="inlineStr">
        <is>
          <t>2026-01-22 13:53:32</t>
        </is>
      </c>
      <c r="E5" s="173" t="inlineStr">
        <is>
          <t>https://cdn.discordapp.com/ephemeral-attachments/1450933256630440049/1463969837284982917/IMG_2487.jpg?ex=6973c3a8&amp;is=69727228&amp;hm=c53817c1e975bd1c38a7abb5d10629697a8abf2b7a8e581f8752acc38b38c753&amp;</t>
        </is>
      </c>
      <c r="F5" s="207" t="inlineStr">
        <is>
          <t>1031639054846021672</t>
        </is>
      </c>
      <c r="G5" s="173" t="inlineStr">
        <is>
          <t>619268961393049601</t>
        </is>
      </c>
      <c r="I5" s="208" t="inlineStr">
        <is>
          <t>Lucy</t>
        </is>
      </c>
      <c r="J5" s="209">
        <f>COUNTIF($A:$A,I5)</f>
        <v/>
      </c>
      <c r="K5" s="209">
        <f>COUNTIF($C:$C,I5)</f>
        <v/>
      </c>
      <c r="L5" s="210">
        <f>IF(K5,J5/K5,J5)</f>
        <v/>
      </c>
      <c r="M5" s="209">
        <f>IFERROR(GETPIVOTDATA("Points",$T$2,"Sniper",I5),0)</f>
        <v/>
      </c>
      <c r="N5" s="209">
        <f>IFERROR(GETPIVOTDATA("Points",$T$2,"Snipee",I5),0)</f>
        <v/>
      </c>
      <c r="O5" s="210">
        <f>IF(N5,M5/N5,M5)</f>
        <v/>
      </c>
      <c r="P5" s="210">
        <f>IF(J5,M5/J5,0)</f>
        <v/>
      </c>
      <c r="Q5" s="210">
        <f>IF(K5,N5/K5,0)</f>
        <v/>
      </c>
      <c r="R5" s="211">
        <f>IFERROR(VLOOKUP(I5,T:AM,20,FALSE())/15,0)</f>
        <v/>
      </c>
      <c r="S5" s="182" t="n"/>
      <c r="T5" s="217" t="inlineStr">
        <is>
          <t>Carter</t>
        </is>
      </c>
      <c r="U5" s="218" t="n">
        <v>5</v>
      </c>
      <c r="V5" s="218" t="n">
        <v>1</v>
      </c>
      <c r="W5" s="218" t="n"/>
      <c r="X5" s="218" t="n"/>
      <c r="Y5" s="218" t="n"/>
      <c r="Z5" s="218" t="n"/>
      <c r="AA5" s="218" t="n">
        <v>3</v>
      </c>
      <c r="AB5" s="218" t="n"/>
      <c r="AC5" s="218" t="n">
        <v>3</v>
      </c>
      <c r="AD5" s="218" t="n">
        <v>2</v>
      </c>
      <c r="AE5" s="218" t="n">
        <v>4</v>
      </c>
      <c r="AF5" s="218" t="n"/>
      <c r="AG5" s="218" t="n"/>
      <c r="AH5" s="218" t="n">
        <v>12</v>
      </c>
      <c r="AI5" s="218" t="n">
        <v>9</v>
      </c>
      <c r="AJ5" s="218" t="n">
        <v>4</v>
      </c>
      <c r="AK5" s="219" t="n">
        <v>43</v>
      </c>
      <c r="AM5" s="202">
        <f>IF(COUNT(U5:AL5)&lt;&gt;0,COUNT(U5:AL5)-1,"")</f>
        <v/>
      </c>
      <c r="AR5" s="220">
        <f>COUNTIF(K3:K17,AT5)</f>
        <v/>
      </c>
      <c r="AS5" s="221">
        <f>$I$47</f>
        <v/>
      </c>
      <c r="AT5" s="215">
        <f>MAX(J47:J62)</f>
        <v/>
      </c>
      <c r="AU5" s="216" t="inlineStr">
        <is>
          <t>Most Deaths</t>
        </is>
      </c>
      <c r="AV5" s="222">
        <f>MAX(K22:K25)</f>
        <v/>
      </c>
      <c r="AW5" s="224">
        <f>$I$97</f>
        <v/>
      </c>
      <c r="AX5" s="220">
        <f>COUNTIF(K22:K25,AV5)</f>
        <v/>
      </c>
    </row>
    <row r="6" ht="16.8" customHeight="1" s="175">
      <c r="A6" s="189" t="inlineStr">
        <is>
          <t>Peter</t>
        </is>
      </c>
      <c r="B6" s="190" t="n">
        <v>2</v>
      </c>
      <c r="C6" s="191" t="inlineStr">
        <is>
          <t>Vignesh</t>
        </is>
      </c>
      <c r="D6" s="192" t="inlineStr">
        <is>
          <t>2026-01-22 17:55:17</t>
        </is>
      </c>
      <c r="E6" s="173" t="inlineStr">
        <is>
          <t>https://cdn.discordapp.com/ephemeral-attachments/1450933256630440049/1464030673936584714/20260122_175055.jpg?ex=6973fc51&amp;is=6972aad1&amp;hm=e0cf27aa857f1bdb73acdfc9bce5d4cd87c15b97c81112278263366df7c285b6&amp;</t>
        </is>
      </c>
      <c r="F6" s="207" t="inlineStr">
        <is>
          <t>423221841872814081</t>
        </is>
      </c>
      <c r="G6" s="173" t="inlineStr">
        <is>
          <t>689822943307759670</t>
        </is>
      </c>
      <c r="I6" s="208" t="inlineStr">
        <is>
          <t>Vignesh</t>
        </is>
      </c>
      <c r="J6" s="209">
        <f>COUNTIF($A:$A,I6)</f>
        <v/>
      </c>
      <c r="K6" s="209">
        <f>COUNTIF($C:$C,I6)</f>
        <v/>
      </c>
      <c r="L6" s="210">
        <f>IF(K6,J6/K6,J6)</f>
        <v/>
      </c>
      <c r="M6" s="209">
        <f>IFERROR(GETPIVOTDATA("Points",$T$2,"Sniper",I6),0)</f>
        <v/>
      </c>
      <c r="N6" s="209">
        <f>IFERROR(GETPIVOTDATA("Points",$T$2,"Snipee",I6),0)</f>
        <v/>
      </c>
      <c r="O6" s="210">
        <f>IF(N6,M6/N6,M6)</f>
        <v/>
      </c>
      <c r="P6" s="210">
        <f>IF(J6,M6/J6,0)</f>
        <v/>
      </c>
      <c r="Q6" s="210">
        <f>IF(K6,N6/K6,0)</f>
        <v/>
      </c>
      <c r="R6" s="211">
        <f>IFERROR(VLOOKUP(I6,T:AM,20,FALSE())/15,0)</f>
        <v/>
      </c>
      <c r="S6" s="182" t="n"/>
      <c r="T6" s="217" t="inlineStr">
        <is>
          <t>Cooper</t>
        </is>
      </c>
      <c r="U6" s="218" t="n"/>
      <c r="V6" s="218" t="n"/>
      <c r="W6" s="218" t="n"/>
      <c r="X6" s="218" t="n"/>
      <c r="Y6" s="218" t="n"/>
      <c r="Z6" s="218" t="n"/>
      <c r="AA6" s="218" t="n"/>
      <c r="AB6" s="218" t="n"/>
      <c r="AC6" s="218" t="n"/>
      <c r="AD6" s="218" t="n"/>
      <c r="AE6" s="218" t="n">
        <v>2</v>
      </c>
      <c r="AF6" s="218" t="n"/>
      <c r="AG6" s="218" t="n"/>
      <c r="AH6" s="218" t="n"/>
      <c r="AI6" s="218" t="n"/>
      <c r="AJ6" s="218" t="n"/>
      <c r="AK6" s="219" t="n">
        <v>2</v>
      </c>
      <c r="AM6" s="202">
        <f>IF(COUNT(U6:AL6)&lt;&gt;0,COUNT(U6:AL6)-1,"")</f>
        <v/>
      </c>
      <c r="AR6" s="220">
        <f>COUNTIF(M3:M17,AT6)</f>
        <v/>
      </c>
      <c r="AS6" s="221">
        <f>$S$29</f>
        <v/>
      </c>
      <c r="AT6" s="215">
        <f>MAX(T29:T44)</f>
        <v/>
      </c>
      <c r="AU6" s="216" t="inlineStr">
        <is>
          <t>Most Kill Pts</t>
        </is>
      </c>
      <c r="AV6" s="222">
        <f>MAX(M22:M25)</f>
        <v/>
      </c>
      <c r="AW6" s="224">
        <f>$S$86</f>
        <v/>
      </c>
      <c r="AX6" s="220">
        <f>COUNTIF(M22:M25,AV6)</f>
        <v/>
      </c>
    </row>
    <row r="7" ht="16.8" customHeight="1" s="175">
      <c r="A7" s="189" t="inlineStr">
        <is>
          <t>Mikey</t>
        </is>
      </c>
      <c r="B7" s="190" t="n">
        <v>1</v>
      </c>
      <c r="C7" s="191" t="inlineStr">
        <is>
          <t>Anthony</t>
        </is>
      </c>
      <c r="D7" s="192" t="inlineStr">
        <is>
          <t>2026-01-23 09:58:44</t>
        </is>
      </c>
      <c r="E7" s="173" t="inlineStr">
        <is>
          <t>https://cdn.discordapp.com/ephemeral-attachments/1450933256630440049/1464273124320350372/IMG_1859.jpg?ex=6974de1d&amp;is=69738c9d&amp;hm=86f4e9ba3edae8ffeff2af198126d56e02617416571980856a3049f3f7007d55&amp;</t>
        </is>
      </c>
      <c r="F7" s="207" t="inlineStr">
        <is>
          <t>707377558940811335</t>
        </is>
      </c>
      <c r="G7" s="173" t="inlineStr">
        <is>
          <t>619268961393049601</t>
        </is>
      </c>
      <c r="I7" s="208" t="inlineStr">
        <is>
          <t>Cooper</t>
        </is>
      </c>
      <c r="J7" s="209">
        <f>COUNTIF($A:$A,I7)</f>
        <v/>
      </c>
      <c r="K7" s="209">
        <f>COUNTIF($C:$C,I7)</f>
        <v/>
      </c>
      <c r="L7" s="210">
        <f>IF(K7,J7/K7,J7)</f>
        <v/>
      </c>
      <c r="M7" s="209">
        <f>IFERROR(GETPIVOTDATA("Points",$T$2,"Sniper",I7),0)</f>
        <v/>
      </c>
      <c r="N7" s="209">
        <f>IFERROR(GETPIVOTDATA("Points",$T$2,"Snipee",I7),0)</f>
        <v/>
      </c>
      <c r="O7" s="210">
        <f>IF(N7,M7/N7,M7)</f>
        <v/>
      </c>
      <c r="P7" s="210">
        <f>IF(J7,M7/J7,0)</f>
        <v/>
      </c>
      <c r="Q7" s="210">
        <f>IF(K7,N7/K7,0)</f>
        <v/>
      </c>
      <c r="R7" s="211">
        <f>IFERROR(VLOOKUP(I7,T:AM,20,FALSE())/15,0)</f>
        <v/>
      </c>
      <c r="S7" s="182" t="n"/>
      <c r="T7" s="217" t="inlineStr">
        <is>
          <t>Ethan</t>
        </is>
      </c>
      <c r="U7" s="218" t="n"/>
      <c r="V7" s="218" t="n">
        <v>5</v>
      </c>
      <c r="W7" s="218" t="n"/>
      <c r="X7" s="218" t="n">
        <v>2</v>
      </c>
      <c r="Y7" s="218" t="n"/>
      <c r="Z7" s="218" t="n"/>
      <c r="AA7" s="218" t="n">
        <v>2</v>
      </c>
      <c r="AB7" s="218" t="n"/>
      <c r="AC7" s="218" t="n">
        <v>8</v>
      </c>
      <c r="AD7" s="218" t="n"/>
      <c r="AE7" s="218" t="n">
        <v>9</v>
      </c>
      <c r="AF7" s="218" t="n"/>
      <c r="AG7" s="218" t="n">
        <v>7</v>
      </c>
      <c r="AH7" s="218" t="n">
        <v>6</v>
      </c>
      <c r="AI7" s="218" t="n"/>
      <c r="AJ7" s="218" t="n">
        <v>5</v>
      </c>
      <c r="AK7" s="219" t="n">
        <v>44</v>
      </c>
      <c r="AM7" s="202">
        <f>IF(COUNT(U7:AL7)&lt;&gt;0,COUNT(U7:AL7)-1,"")</f>
        <v/>
      </c>
      <c r="AR7" s="220">
        <f>COUNTIF(N3:N17,AT7)</f>
        <v/>
      </c>
      <c r="AS7" s="221">
        <f>$S$47</f>
        <v/>
      </c>
      <c r="AT7" s="215">
        <f>MAX(T47:T62)</f>
        <v/>
      </c>
      <c r="AU7" s="216" t="inlineStr">
        <is>
          <t>Most Death Pts</t>
        </is>
      </c>
      <c r="AV7" s="222">
        <f>MAX(N22:N25)</f>
        <v/>
      </c>
      <c r="AW7" s="224">
        <f>$S$97</f>
        <v/>
      </c>
      <c r="AX7" s="220">
        <f>COUNTIF(N22:N25,AV7)</f>
        <v/>
      </c>
    </row>
    <row r="8" ht="16.8" customHeight="1" s="175">
      <c r="A8" s="189" t="inlineStr">
        <is>
          <t>Anthony</t>
        </is>
      </c>
      <c r="B8" s="190" t="n">
        <v>2</v>
      </c>
      <c r="C8" s="191" t="inlineStr">
        <is>
          <t>Evan</t>
        </is>
      </c>
      <c r="D8" s="192" t="inlineStr">
        <is>
          <t>2026-01-23 11:45:24</t>
        </is>
      </c>
      <c r="E8" s="173" t="inlineStr">
        <is>
          <t>https://cdn.discordapp.com/ephemeral-attachments/1450933256630440049/1464299959141798166/IMG_1862.jpg?ex=6974f71b&amp;is=6973a59b&amp;hm=2bc563a4c5b3e5fd54bd683d3ed1b9b6b0f5cf983116d5e763d9207d118e1740&amp;</t>
        </is>
      </c>
      <c r="F8" s="207" t="inlineStr">
        <is>
          <t>707377558940811335</t>
        </is>
      </c>
      <c r="G8" s="173" t="inlineStr">
        <is>
          <t>1021390383915204648</t>
        </is>
      </c>
      <c r="I8" s="208" t="inlineStr">
        <is>
          <t>Evan</t>
        </is>
      </c>
      <c r="J8" s="209">
        <f>COUNTIF($A:$A,I8)</f>
        <v/>
      </c>
      <c r="K8" s="209">
        <f>COUNTIF($C:$C,I8)</f>
        <v/>
      </c>
      <c r="L8" s="210">
        <f>IF(K8,J8/K8,J8)</f>
        <v/>
      </c>
      <c r="M8" s="209">
        <f>IFERROR(GETPIVOTDATA("Points",$T$2,"Sniper",I8),0)</f>
        <v/>
      </c>
      <c r="N8" s="209">
        <f>IFERROR(GETPIVOTDATA("Points",$T$2,"Snipee",I8),0)</f>
        <v/>
      </c>
      <c r="O8" s="210">
        <f>IF(N8,M8/N8,M8)</f>
        <v/>
      </c>
      <c r="P8" s="210">
        <f>IF(J8,M8/J8,0)</f>
        <v/>
      </c>
      <c r="Q8" s="210">
        <f>IF(K8,N8/K8,0)</f>
        <v/>
      </c>
      <c r="R8" s="211">
        <f>IFERROR(VLOOKUP(I8,T:AM,20,FALSE())/15,0)</f>
        <v/>
      </c>
      <c r="S8" s="182" t="n"/>
      <c r="T8" s="217" t="inlineStr">
        <is>
          <t>Evan</t>
        </is>
      </c>
      <c r="U8" s="218" t="n"/>
      <c r="V8" s="218" t="n">
        <v>13</v>
      </c>
      <c r="W8" s="218" t="n">
        <v>1</v>
      </c>
      <c r="X8" s="218" t="n"/>
      <c r="Y8" s="218" t="n"/>
      <c r="Z8" s="218" t="n"/>
      <c r="AA8" s="218" t="n"/>
      <c r="AB8" s="218" t="n"/>
      <c r="AC8" s="218" t="n">
        <v>2</v>
      </c>
      <c r="AD8" s="218" t="n"/>
      <c r="AE8" s="218" t="n">
        <v>6</v>
      </c>
      <c r="AF8" s="218" t="n">
        <v>3</v>
      </c>
      <c r="AG8" s="218" t="n">
        <v>7</v>
      </c>
      <c r="AH8" s="218" t="n">
        <v>1</v>
      </c>
      <c r="AI8" s="218" t="n">
        <v>2</v>
      </c>
      <c r="AJ8" s="218" t="n">
        <v>2</v>
      </c>
      <c r="AK8" s="219" t="n">
        <v>37</v>
      </c>
      <c r="AM8" s="202">
        <f>IF(COUNT(U8:AL8)&lt;&gt;0,COUNT(U8:AL8)-1,"")</f>
        <v/>
      </c>
      <c r="AR8" s="220">
        <f>COUNTIF(L3:L17,AT8)</f>
        <v/>
      </c>
      <c r="AS8" s="225">
        <f>$I$65</f>
        <v/>
      </c>
      <c r="AT8" s="222">
        <f>MAX(L3:L17)</f>
        <v/>
      </c>
      <c r="AU8" s="216" t="inlineStr">
        <is>
          <t>Best KDR</t>
        </is>
      </c>
      <c r="AV8" s="222">
        <f>MAX(L22:L25)</f>
        <v/>
      </c>
      <c r="AW8" s="224">
        <f>$I$108</f>
        <v/>
      </c>
      <c r="AX8" s="220">
        <f>COUNTIF(L22:L25,AV8)</f>
        <v/>
      </c>
    </row>
    <row r="9" ht="16.8" customHeight="1" s="175">
      <c r="A9" s="189" t="inlineStr">
        <is>
          <t>Will</t>
        </is>
      </c>
      <c r="B9" s="190" t="n">
        <v>2</v>
      </c>
      <c r="C9" s="191" t="inlineStr">
        <is>
          <t>Rob</t>
        </is>
      </c>
      <c r="D9" s="192" t="inlineStr">
        <is>
          <t>2026-01-24 13:09:51</t>
        </is>
      </c>
      <c r="E9" s="173" t="inlineStr">
        <is>
          <t>https://cdn.discordapp.com/ephemeral-attachments/1450933256630440049/1464683610203357204/IMG_1906.jpg?ex=69765c69&amp;is=69750ae9&amp;hm=4b909292d0456161d7833ebe419dc22b90c1f21819a2b7818aa166313d0b4f76&amp;</t>
        </is>
      </c>
      <c r="F9" s="192" t="inlineStr">
        <is>
          <t>601936524044664852</t>
        </is>
      </c>
      <c r="G9" s="173" t="inlineStr">
        <is>
          <t>0000</t>
        </is>
      </c>
      <c r="I9" s="208" t="inlineStr">
        <is>
          <t>Maxine</t>
        </is>
      </c>
      <c r="J9" s="209">
        <f>COUNTIF($A:$A,I9)</f>
        <v/>
      </c>
      <c r="K9" s="209">
        <f>COUNTIF($C:$C,I9)</f>
        <v/>
      </c>
      <c r="L9" s="210">
        <f>IF(K9,J9/K9,J9)</f>
        <v/>
      </c>
      <c r="M9" s="209">
        <f>IFERROR(GETPIVOTDATA("Points",$T$2,"Sniper",I9),0)</f>
        <v/>
      </c>
      <c r="N9" s="209">
        <f>IFERROR(GETPIVOTDATA("Points",$T$2,"Snipee",I9),0)</f>
        <v/>
      </c>
      <c r="O9" s="210">
        <f>IF(N9,M9/N9,M9)</f>
        <v/>
      </c>
      <c r="P9" s="210">
        <f>IF(J9,M9/J9,0)</f>
        <v/>
      </c>
      <c r="Q9" s="210">
        <f>IF(K9,N9/K9,0)</f>
        <v/>
      </c>
      <c r="R9" s="211">
        <f>IFERROR(VLOOKUP(I9,T:AM,20,FALSE())/15,0)</f>
        <v/>
      </c>
      <c r="S9" s="182" t="n"/>
      <c r="T9" s="217" t="inlineStr">
        <is>
          <t>Grady</t>
        </is>
      </c>
      <c r="U9" s="218" t="n"/>
      <c r="V9" s="218" t="n"/>
      <c r="W9" s="218" t="n"/>
      <c r="X9" s="218" t="n"/>
      <c r="Y9" s="218" t="n"/>
      <c r="Z9" s="218" t="n"/>
      <c r="AA9" s="218" t="n"/>
      <c r="AB9" s="218" t="n"/>
      <c r="AC9" s="218" t="n"/>
      <c r="AD9" s="218" t="n">
        <v>1</v>
      </c>
      <c r="AE9" s="218" t="n">
        <v>2</v>
      </c>
      <c r="AF9" s="218" t="n"/>
      <c r="AG9" s="218" t="n"/>
      <c r="AH9" s="218" t="n">
        <v>2</v>
      </c>
      <c r="AI9" s="218" t="n"/>
      <c r="AJ9" s="218" t="n"/>
      <c r="AK9" s="219" t="n">
        <v>5</v>
      </c>
      <c r="AM9" s="202">
        <f>IF(COUNT(U9:AL9)&lt;&gt;0,COUNT(U9:AL9)-1,"")</f>
        <v/>
      </c>
      <c r="AR9" s="220">
        <f>COUNTIF(L3:L17,AT9)</f>
        <v/>
      </c>
      <c r="AS9" s="225">
        <f>$I$80</f>
        <v/>
      </c>
      <c r="AT9" s="222">
        <f>MIN(L3:L17)</f>
        <v/>
      </c>
      <c r="AU9" s="216" t="inlineStr">
        <is>
          <t>Worst KDR</t>
        </is>
      </c>
      <c r="AV9" s="222">
        <f>MIN(L22:L25)</f>
        <v/>
      </c>
      <c r="AW9" s="224">
        <f>$I$105</f>
        <v/>
      </c>
      <c r="AX9" s="220">
        <f>COUNTIF(L22:L25,AV9)</f>
        <v/>
      </c>
    </row>
    <row r="10" ht="16.8" customHeight="1" s="175">
      <c r="A10" s="189" t="inlineStr">
        <is>
          <t>Rob</t>
        </is>
      </c>
      <c r="B10" s="190" t="n">
        <v>1</v>
      </c>
      <c r="C10" s="191" t="inlineStr">
        <is>
          <t>Will</t>
        </is>
      </c>
      <c r="D10" s="192" t="inlineStr">
        <is>
          <t>2026-01-27 09:31:45</t>
        </is>
      </c>
      <c r="E10" s="173" t="inlineStr">
        <is>
          <t>https://cdn.discordapp.com/ephemeral-attachments/1450933256630440049/1465715902304751750/IMG_1871.jpg?ex=697a1dce&amp;is=6978cc4e&amp;hm=cf29717cb908270f1b8bfa6af845fd65816251e7b854931403eef80838b2be3a&amp;</t>
        </is>
      </c>
      <c r="F10" s="192" t="inlineStr">
        <is>
          <t>707377558940811335</t>
        </is>
      </c>
      <c r="G10" s="173" t="inlineStr">
        <is>
          <t>423221841872814081</t>
        </is>
      </c>
      <c r="I10" s="208" t="inlineStr">
        <is>
          <t>Mikey</t>
        </is>
      </c>
      <c r="J10" s="209">
        <f>COUNTIF($A:$A,I10)</f>
        <v/>
      </c>
      <c r="K10" s="209">
        <f>COUNTIF($C:$C,I10)</f>
        <v/>
      </c>
      <c r="L10" s="210">
        <f>IF(K10,J10/K10,J10)</f>
        <v/>
      </c>
      <c r="M10" s="209">
        <f>IFERROR(GETPIVOTDATA("Points",$T$2,"Sniper",I10),0)</f>
        <v/>
      </c>
      <c r="N10" s="209">
        <f>IFERROR(GETPIVOTDATA("Points",$T$2,"Snipee",I10),0)</f>
        <v/>
      </c>
      <c r="O10" s="210">
        <f>IF(N10,M10/N10,M10)</f>
        <v/>
      </c>
      <c r="P10" s="210">
        <f>IF(J10,M10/J10,0)</f>
        <v/>
      </c>
      <c r="Q10" s="210">
        <f>IF(K10,N10/K10,0)</f>
        <v/>
      </c>
      <c r="R10" s="211">
        <f>IFERROR(VLOOKUP(I10,T:AM,20,FALSE())/15,0)</f>
        <v/>
      </c>
      <c r="S10" s="182" t="n"/>
      <c r="T10" s="217" t="inlineStr">
        <is>
          <t>Lucy</t>
        </is>
      </c>
      <c r="U10" s="218" t="n"/>
      <c r="V10" s="218" t="n">
        <v>8</v>
      </c>
      <c r="W10" s="218" t="n">
        <v>2</v>
      </c>
      <c r="X10" s="218" t="n"/>
      <c r="Y10" s="218" t="n"/>
      <c r="Z10" s="218" t="n">
        <v>5</v>
      </c>
      <c r="AA10" s="218" t="n">
        <v>7</v>
      </c>
      <c r="AB10" s="218" t="n"/>
      <c r="AC10" s="218" t="n"/>
      <c r="AD10" s="218" t="n"/>
      <c r="AE10" s="218" t="n">
        <v>10</v>
      </c>
      <c r="AF10" s="218" t="n">
        <v>1</v>
      </c>
      <c r="AG10" s="218" t="n">
        <v>1</v>
      </c>
      <c r="AH10" s="218" t="n">
        <v>6</v>
      </c>
      <c r="AI10" s="218" t="n"/>
      <c r="AJ10" s="218" t="n">
        <v>12</v>
      </c>
      <c r="AK10" s="219" t="n">
        <v>52</v>
      </c>
      <c r="AM10" s="202">
        <f>IF(COUNT(U10:AL10)&lt;&gt;0,COUNT(U10:AL10)-1,"")</f>
        <v/>
      </c>
      <c r="AR10" s="220">
        <f>COUNTIF(O3:O17,AT10)</f>
        <v/>
      </c>
      <c r="AS10" s="225">
        <f>$S$65</f>
        <v/>
      </c>
      <c r="AT10" s="222">
        <f>MAX(O3:O17)</f>
        <v/>
      </c>
      <c r="AU10" s="216" t="inlineStr">
        <is>
          <t>Best KpDpR</t>
        </is>
      </c>
      <c r="AV10" s="222">
        <f>MAX(O22:O25)</f>
        <v/>
      </c>
      <c r="AW10" s="224">
        <f>$S$108</f>
        <v/>
      </c>
      <c r="AX10" s="220">
        <f>COUNTIF(O22:O25,AV10)</f>
        <v/>
      </c>
    </row>
    <row r="11" ht="16.8" customHeight="1" s="175">
      <c r="A11" s="189" t="inlineStr">
        <is>
          <t>Will</t>
        </is>
      </c>
      <c r="B11" s="190" t="n">
        <v>1</v>
      </c>
      <c r="C11" s="191" t="inlineStr">
        <is>
          <t>Ethan</t>
        </is>
      </c>
      <c r="D11" s="192" t="inlineStr">
        <is>
          <t>2026-01-27 10:53:31</t>
        </is>
      </c>
      <c r="E11" s="173" t="inlineStr">
        <is>
          <t>https://cdn.discordapp.com/ephemeral-attachments/1450933256630440049/1465736478859591741/IMG_6685.jpg?ex=697a30f8&amp;is=6978df78&amp;hm=fe1f12e862d2597c103a307748c06366a12780b54a1256d69a8250e21b75265d&amp;</t>
        </is>
      </c>
      <c r="F11" s="207" t="inlineStr">
        <is>
          <t>525816152161648680</t>
        </is>
      </c>
      <c r="G11" s="173" t="inlineStr">
        <is>
          <t>310453864866512907</t>
        </is>
      </c>
      <c r="I11" s="208" t="inlineStr">
        <is>
          <t>Anthony</t>
        </is>
      </c>
      <c r="J11" s="209">
        <f>COUNTIF($A:$A,I11)</f>
        <v/>
      </c>
      <c r="K11" s="209">
        <f>COUNTIF($C:$C,I11)</f>
        <v/>
      </c>
      <c r="L11" s="210">
        <f>IF(K11,J11/K11,J11)</f>
        <v/>
      </c>
      <c r="M11" s="209">
        <f>IFERROR(GETPIVOTDATA("Points",$T$2,"Sniper",I11),0)</f>
        <v/>
      </c>
      <c r="N11" s="209">
        <f>IFERROR(GETPIVOTDATA("Points",$T$2,"Snipee",I11),0)</f>
        <v/>
      </c>
      <c r="O11" s="210">
        <f>IF(N11,M11/N11,M11)</f>
        <v/>
      </c>
      <c r="P11" s="210">
        <f>IF(J11,M11/J11,0)</f>
        <v/>
      </c>
      <c r="Q11" s="210">
        <f>IF(K11,N11/K11,0)</f>
        <v/>
      </c>
      <c r="R11" s="211">
        <f>IFERROR(VLOOKUP(I11,T:AM,20,FALSE())/15,0)</f>
        <v/>
      </c>
      <c r="S11" s="182" t="n"/>
      <c r="T11" s="217" t="inlineStr">
        <is>
          <t>Maxine</t>
        </is>
      </c>
      <c r="U11" s="218" t="n">
        <v>20</v>
      </c>
      <c r="V11" s="218" t="n"/>
      <c r="W11" s="218" t="n">
        <v>1</v>
      </c>
      <c r="X11" s="218" t="n"/>
      <c r="Y11" s="218" t="n"/>
      <c r="Z11" s="218" t="n">
        <v>2</v>
      </c>
      <c r="AA11" s="218" t="n"/>
      <c r="AB11" s="218" t="n">
        <v>1</v>
      </c>
      <c r="AC11" s="218" t="n"/>
      <c r="AD11" s="218" t="n"/>
      <c r="AE11" s="218" t="n"/>
      <c r="AF11" s="218" t="n"/>
      <c r="AG11" s="218" t="n">
        <v>3</v>
      </c>
      <c r="AH11" s="218" t="n"/>
      <c r="AI11" s="218" t="n">
        <v>1</v>
      </c>
      <c r="AJ11" s="218" t="n">
        <v>2</v>
      </c>
      <c r="AK11" s="219" t="n">
        <v>30</v>
      </c>
      <c r="AM11" s="202">
        <f>IF(COUNT(U11:AL11)&lt;&gt;0,COUNT(U11:AL11)-1,"")</f>
        <v/>
      </c>
      <c r="AR11" s="220">
        <f>COUNTIF(O3:O17,AT11)</f>
        <v/>
      </c>
      <c r="AS11" s="225">
        <f>$S$80</f>
        <v/>
      </c>
      <c r="AT11" s="222">
        <f>MIN(O3:O17)</f>
        <v/>
      </c>
      <c r="AU11" s="216" t="inlineStr">
        <is>
          <t>Worst KpDpR</t>
        </is>
      </c>
      <c r="AV11" s="222">
        <f>MIN(O22:O25)</f>
        <v/>
      </c>
      <c r="AW11" s="224">
        <f>$S$105</f>
        <v/>
      </c>
      <c r="AX11" s="220">
        <f>COUNTIF(O22:O25,AV11)</f>
        <v/>
      </c>
    </row>
    <row r="12" ht="15.75" customHeight="1" s="175">
      <c r="A12" s="189" t="inlineStr">
        <is>
          <t>Will</t>
        </is>
      </c>
      <c r="B12" s="190" t="n">
        <v>1</v>
      </c>
      <c r="C12" s="191" t="inlineStr">
        <is>
          <t>Anthony</t>
        </is>
      </c>
      <c r="D12" s="192" t="inlineStr">
        <is>
          <t>2026-01-27 10:54:57</t>
        </is>
      </c>
      <c r="E12" s="173" t="inlineStr">
        <is>
          <t>https://cdn.discordapp.com/ephemeral-attachments/1450933256630440049/1465736837287903332/20260127_104927.jpg?ex=697a314e&amp;is=6978dfce&amp;hm=bb5e1bb458ed655bd416148308a310c9bba7c633f6f5519d30fd423999ec52c4&amp;</t>
        </is>
      </c>
      <c r="F12" s="207" t="inlineStr">
        <is>
          <t>310453864866512907</t>
        </is>
      </c>
      <c r="G12" s="173" t="inlineStr">
        <is>
          <t>525816152161648680</t>
        </is>
      </c>
      <c r="I12" s="208" t="inlineStr">
        <is>
          <t>Ethan</t>
        </is>
      </c>
      <c r="J12" s="209">
        <f>COUNTIF($A:$A,I12)</f>
        <v/>
      </c>
      <c r="K12" s="209">
        <f>COUNTIF($C:$C,I12)</f>
        <v/>
      </c>
      <c r="L12" s="210">
        <f>IF(K12,J12/K12,J12)</f>
        <v/>
      </c>
      <c r="M12" s="209">
        <f>IFERROR(GETPIVOTDATA("Points",$T$2,"Sniper",I12),0)</f>
        <v/>
      </c>
      <c r="N12" s="209">
        <f>IFERROR(GETPIVOTDATA("Points",$T$2,"Snipee",I12),0)</f>
        <v/>
      </c>
      <c r="O12" s="210">
        <f>IF(N12,M12/N12,M12)</f>
        <v/>
      </c>
      <c r="P12" s="210">
        <f>IF(J12,M12/J12,0)</f>
        <v/>
      </c>
      <c r="Q12" s="210">
        <f>IF(K12,N12/K12,0)</f>
        <v/>
      </c>
      <c r="R12" s="211">
        <f>IFERROR(VLOOKUP(I12,T:AM,20,FALSE())/15,0)</f>
        <v/>
      </c>
      <c r="S12" s="182" t="n"/>
      <c r="T12" s="217" t="inlineStr">
        <is>
          <t>Mikey</t>
        </is>
      </c>
      <c r="U12" s="218" t="n"/>
      <c r="V12" s="218" t="n">
        <v>4</v>
      </c>
      <c r="W12" s="218" t="n">
        <v>2</v>
      </c>
      <c r="X12" s="218" t="n">
        <v>1</v>
      </c>
      <c r="Y12" s="218" t="n"/>
      <c r="Z12" s="218" t="n">
        <v>4</v>
      </c>
      <c r="AA12" s="218" t="n">
        <v>2</v>
      </c>
      <c r="AB12" s="218" t="n"/>
      <c r="AC12" s="218" t="n">
        <v>8</v>
      </c>
      <c r="AD12" s="218" t="n">
        <v>2</v>
      </c>
      <c r="AE12" s="218" t="n"/>
      <c r="AF12" s="218" t="n">
        <v>2</v>
      </c>
      <c r="AG12" s="218" t="n">
        <v>3</v>
      </c>
      <c r="AH12" s="218" t="n">
        <v>17</v>
      </c>
      <c r="AI12" s="218" t="n"/>
      <c r="AJ12" s="218" t="n">
        <v>5</v>
      </c>
      <c r="AK12" s="219" t="n">
        <v>50</v>
      </c>
      <c r="AM12" s="202">
        <f>IF(COUNT(U12:AL12)&lt;&gt;0,COUNT(U12:AL12)-1,"")</f>
        <v/>
      </c>
    </row>
    <row r="13" ht="15.75" customHeight="1" s="175">
      <c r="A13" s="189" t="inlineStr">
        <is>
          <t>Maxine</t>
        </is>
      </c>
      <c r="B13" s="190" t="n">
        <v>1</v>
      </c>
      <c r="C13" s="191" t="inlineStr">
        <is>
          <t>Carter</t>
        </is>
      </c>
      <c r="D13" s="192" t="inlineStr">
        <is>
          <t>2026-01-27 12:19:37</t>
        </is>
      </c>
      <c r="E13" s="173" t="inlineStr">
        <is>
          <t>https://cdn.discordapp.com/ephemeral-attachments/1450933256630440049/1465758143660425217/IMG_2202.jpg?ex=697a4525&amp;is=6978f3a5&amp;hm=f86900c8371f658d30000058e571e874e3f0131c434009c87ec5be623824f24f&amp;</t>
        </is>
      </c>
      <c r="F13" s="207" t="inlineStr">
        <is>
          <t>288299360557465600</t>
        </is>
      </c>
      <c r="G13" s="173" t="inlineStr">
        <is>
          <t>310453864866512907</t>
        </is>
      </c>
      <c r="I13" s="208" t="inlineStr">
        <is>
          <t>Rob</t>
        </is>
      </c>
      <c r="J13" s="209">
        <f>COUNTIF($A:$A,I13)</f>
        <v/>
      </c>
      <c r="K13" s="209">
        <f>COUNTIF($C:$C,I13)</f>
        <v/>
      </c>
      <c r="L13" s="210">
        <f>IF(K13,J13/K13,J13)</f>
        <v/>
      </c>
      <c r="M13" s="209">
        <f>IFERROR(GETPIVOTDATA("Points",$T$2,"Sniper",I13),0)</f>
        <v/>
      </c>
      <c r="N13" s="209">
        <f>IFERROR(GETPIVOTDATA("Points",$T$2,"Snipee",I13),0)</f>
        <v/>
      </c>
      <c r="O13" s="210">
        <f>IF(N13,M13/N13,M13)</f>
        <v/>
      </c>
      <c r="P13" s="210">
        <f>IF(J13,M13/J13,0)</f>
        <v/>
      </c>
      <c r="Q13" s="210">
        <f>IF(K13,N13/K13,0)</f>
        <v/>
      </c>
      <c r="R13" s="211">
        <f>IFERROR(VLOOKUP(I13,T:AM,20,FALSE())/15,0)</f>
        <v/>
      </c>
      <c r="S13" s="182" t="n"/>
      <c r="T13" s="217" t="inlineStr">
        <is>
          <t>Peter</t>
        </is>
      </c>
      <c r="U13" s="218" t="n">
        <v>5</v>
      </c>
      <c r="V13" s="218" t="n">
        <v>13</v>
      </c>
      <c r="W13" s="218" t="n"/>
      <c r="X13" s="218" t="n">
        <v>5</v>
      </c>
      <c r="Y13" s="218" t="n"/>
      <c r="Z13" s="218" t="n">
        <v>2</v>
      </c>
      <c r="AA13" s="218" t="n">
        <v>3</v>
      </c>
      <c r="AB13" s="218" t="n">
        <v>2</v>
      </c>
      <c r="AC13" s="218" t="n">
        <v>6</v>
      </c>
      <c r="AD13" s="218" t="n">
        <v>1</v>
      </c>
      <c r="AE13" s="218" t="n">
        <v>2</v>
      </c>
      <c r="AF13" s="218" t="n">
        <v>1</v>
      </c>
      <c r="AG13" s="218" t="n">
        <v>2</v>
      </c>
      <c r="AH13" s="218" t="n">
        <v>2</v>
      </c>
      <c r="AI13" s="218" t="n">
        <v>6</v>
      </c>
      <c r="AJ13" s="218" t="n"/>
      <c r="AK13" s="219" t="n">
        <v>50</v>
      </c>
      <c r="AM13" s="202">
        <f>IF(COUNT(U13:AL13)&lt;&gt;0,COUNT(U13:AL13)-1,"")</f>
        <v/>
      </c>
      <c r="AP13" s="179" t="inlineStr">
        <is>
          <t>Overall Winner Chart Decision Matrix</t>
        </is>
      </c>
      <c r="AQ13" s="180" t="n"/>
      <c r="AR13" s="180" t="n"/>
      <c r="AS13" s="180" t="n"/>
      <c r="AT13" s="180" t="n"/>
      <c r="AU13" s="180" t="n"/>
      <c r="AV13" s="180" t="n"/>
      <c r="AW13" s="180" t="n"/>
      <c r="AX13" s="180" t="n"/>
      <c r="AY13" s="181" t="n"/>
    </row>
    <row r="14" ht="16.8" customHeight="1" s="175">
      <c r="A14" s="189" t="inlineStr">
        <is>
          <t>Maxine</t>
        </is>
      </c>
      <c r="B14" s="190" t="n">
        <v>5</v>
      </c>
      <c r="C14" s="191" t="inlineStr">
        <is>
          <t>Alumni</t>
        </is>
      </c>
      <c r="D14" s="192" t="inlineStr">
        <is>
          <t>2026-01-27 12:30:04</t>
        </is>
      </c>
      <c r="E14" s="173" t="inlineStr">
        <is>
          <t>https://cdn.discordapp.com/ephemeral-attachments/1450933256630440049/1465760776831762649/IMG_1873.jpg?ex=697a4799&amp;is=6978f619&amp;hm=bdae59f474166a56ed08cd16a9871f627f40f74e64601b15b3d8f9dc3e3a18e5&amp;</t>
        </is>
      </c>
      <c r="F14" s="207" t="inlineStr">
        <is>
          <t>707377558940811335</t>
        </is>
      </c>
      <c r="G14" s="173" t="inlineStr">
        <is>
          <t>689822943307759670</t>
        </is>
      </c>
      <c r="I14" s="208" t="inlineStr">
        <is>
          <t>Will</t>
        </is>
      </c>
      <c r="J14" s="209">
        <f>COUNTIF($A:$A,I14)</f>
        <v/>
      </c>
      <c r="K14" s="209">
        <f>COUNTIF($C:$C,I14)</f>
        <v/>
      </c>
      <c r="L14" s="210">
        <f>IF(K14,J14/K14,J14)</f>
        <v/>
      </c>
      <c r="M14" s="209">
        <f>IFERROR(GETPIVOTDATA("Points",$T$2,"Sniper",I14),0)</f>
        <v/>
      </c>
      <c r="N14" s="209">
        <f>IFERROR(GETPIVOTDATA("Points",$T$2,"Snipee",I14),0)</f>
        <v/>
      </c>
      <c r="O14" s="210">
        <f>IF(N14,M14/N14,M14)</f>
        <v/>
      </c>
      <c r="P14" s="210">
        <f>IF(J14,M14/J14,0)</f>
        <v/>
      </c>
      <c r="Q14" s="210">
        <f>IF(K14,N14/K14,0)</f>
        <v/>
      </c>
      <c r="R14" s="211">
        <f>IFERROR(VLOOKUP(I14,T:AM,20,FALSE())/15,0)</f>
        <v/>
      </c>
      <c r="S14" s="182" t="n"/>
      <c r="T14" s="217" t="inlineStr">
        <is>
          <t>Rob</t>
        </is>
      </c>
      <c r="U14" s="218" t="n"/>
      <c r="V14" s="218" t="n">
        <v>3</v>
      </c>
      <c r="W14" s="218" t="n">
        <v>2</v>
      </c>
      <c r="X14" s="218" t="n"/>
      <c r="Y14" s="218" t="n"/>
      <c r="Z14" s="218" t="n">
        <v>1</v>
      </c>
      <c r="AA14" s="218" t="n">
        <v>3</v>
      </c>
      <c r="AB14" s="218" t="n">
        <v>1</v>
      </c>
      <c r="AC14" s="218" t="n">
        <v>4</v>
      </c>
      <c r="AD14" s="218" t="n"/>
      <c r="AE14" s="218" t="n">
        <v>16</v>
      </c>
      <c r="AF14" s="218" t="n"/>
      <c r="AG14" s="218" t="n">
        <v>10</v>
      </c>
      <c r="AH14" s="218" t="n"/>
      <c r="AI14" s="218" t="n">
        <v>1</v>
      </c>
      <c r="AJ14" s="218" t="n">
        <v>4</v>
      </c>
      <c r="AK14" s="219" t="n">
        <v>45</v>
      </c>
      <c r="AM14" s="202">
        <f>IF(COUNT(U14:AL14)&lt;&gt;0,COUNT(U14:AL14)-1,"")</f>
        <v/>
      </c>
      <c r="AP14" s="226" t="inlineStr">
        <is>
          <t>Person:</t>
        </is>
      </c>
      <c r="AQ14" s="206" t="inlineStr">
        <is>
          <t>Kills</t>
        </is>
      </c>
      <c r="AR14" s="206" t="inlineStr">
        <is>
          <t>Deaths</t>
        </is>
      </c>
      <c r="AS14" s="206" t="inlineStr">
        <is>
          <t>KDR</t>
        </is>
      </c>
      <c r="AT14" s="206" t="inlineStr">
        <is>
          <t>Kill Points</t>
        </is>
      </c>
      <c r="AU14" s="206" t="inlineStr">
        <is>
          <t>Death Points</t>
        </is>
      </c>
      <c r="AV14" s="206" t="inlineStr">
        <is>
          <t>KpDpR</t>
        </is>
      </c>
      <c r="AW14" s="206" t="inlineStr">
        <is>
          <t>KPts/Kill</t>
        </is>
      </c>
      <c r="AX14" s="206" t="inlineStr">
        <is>
          <t>DPts/Death</t>
        </is>
      </c>
      <c r="AY14" s="227" t="inlineStr">
        <is>
          <t>Full Sweep %</t>
        </is>
      </c>
    </row>
    <row r="15" ht="16.8" customHeight="1" s="175">
      <c r="A15" s="189" t="inlineStr">
        <is>
          <t>Carter</t>
        </is>
      </c>
      <c r="B15" s="190" t="n">
        <v>5</v>
      </c>
      <c r="C15" s="191" t="inlineStr">
        <is>
          <t>Alumni</t>
        </is>
      </c>
      <c r="D15" s="192" t="inlineStr">
        <is>
          <t>2026-01-27 13:26:00</t>
        </is>
      </c>
      <c r="E15" s="173" t="inlineStr">
        <is>
          <t>https://cdn.discordapp.com/ephemeral-attachments/1450933256630440049/1465774845538078820/20260127_132424.jpg?ex=697a54b3&amp;is=69790333&amp;hm=fc235a270f4ca5faeeb0a5a06f0b91ee07298b2356987d8a35a44ffc3115efae&amp;</t>
        </is>
      </c>
      <c r="F15" s="207" t="inlineStr">
        <is>
          <t>1021390383915204648</t>
        </is>
      </c>
      <c r="G15" s="173" t="inlineStr">
        <is>
          <t>423221841872814081</t>
        </is>
      </c>
      <c r="I15" s="208" t="inlineStr">
        <is>
          <t>Erick</t>
        </is>
      </c>
      <c r="J15" s="209">
        <f>COUNTIF($A:$A,I15)</f>
        <v/>
      </c>
      <c r="K15" s="209">
        <f>COUNTIF($C:$C,I15)</f>
        <v/>
      </c>
      <c r="L15" s="210">
        <f>IF(K15,J15/K15,J15)</f>
        <v/>
      </c>
      <c r="M15" s="209">
        <f>IFERROR(GETPIVOTDATA("Points",$T$2,"Sniper",I15),0)</f>
        <v/>
      </c>
      <c r="N15" s="209">
        <f>IFERROR(GETPIVOTDATA("Points",$T$2,"Snipee",I15),0)</f>
        <v/>
      </c>
      <c r="O15" s="210">
        <f>IF(N15,M15/N15,M15)</f>
        <v/>
      </c>
      <c r="P15" s="210">
        <f>IF(J15,M15/J15,0)</f>
        <v/>
      </c>
      <c r="Q15" s="210">
        <f>IF(K15,N15/K15,0)</f>
        <v/>
      </c>
      <c r="R15" s="211">
        <f>IFERROR(VLOOKUP(I15,T:AM,20,FALSE())/15,0)</f>
        <v/>
      </c>
      <c r="S15" s="182" t="n"/>
      <c r="T15" s="217" t="inlineStr">
        <is>
          <t>Vignesh</t>
        </is>
      </c>
      <c r="U15" s="218" t="n"/>
      <c r="V15" s="218" t="n">
        <v>1</v>
      </c>
      <c r="W15" s="218" t="n">
        <v>10</v>
      </c>
      <c r="X15" s="218" t="n"/>
      <c r="Y15" s="218" t="n">
        <v>2</v>
      </c>
      <c r="Z15" s="218" t="n"/>
      <c r="AA15" s="218" t="n">
        <v>1</v>
      </c>
      <c r="AB15" s="218" t="n"/>
      <c r="AC15" s="218" t="n">
        <v>4</v>
      </c>
      <c r="AD15" s="218" t="n">
        <v>1</v>
      </c>
      <c r="AE15" s="218" t="n"/>
      <c r="AF15" s="218" t="n">
        <v>2</v>
      </c>
      <c r="AG15" s="218" t="n">
        <v>6</v>
      </c>
      <c r="AH15" s="218" t="n">
        <v>3</v>
      </c>
      <c r="AI15" s="218" t="n"/>
      <c r="AJ15" s="218" t="n"/>
      <c r="AK15" s="219" t="n">
        <v>30</v>
      </c>
      <c r="AM15" s="202">
        <f>IF(COUNT(U15:AL15)&lt;&gt;0,COUNT(U15:AL15)-1,"")</f>
        <v/>
      </c>
      <c r="AP15" s="228" t="inlineStr">
        <is>
          <t>Weight:</t>
        </is>
      </c>
      <c r="AQ15" s="229" t="n">
        <v>7.5</v>
      </c>
      <c r="AR15" s="230" t="n">
        <v>-6</v>
      </c>
      <c r="AS15" s="230" t="n">
        <v>25</v>
      </c>
      <c r="AT15" s="230" t="n">
        <v>8.5</v>
      </c>
      <c r="AU15" s="230" t="n">
        <v>-6.5</v>
      </c>
      <c r="AV15" s="230" t="n">
        <v>25</v>
      </c>
      <c r="AW15" s="230" t="n">
        <v>20</v>
      </c>
      <c r="AX15" s="230" t="n">
        <v>-20</v>
      </c>
      <c r="AY15" s="231" t="n">
        <v>250</v>
      </c>
      <c r="AZ15" s="216" t="inlineStr">
        <is>
          <t>Totals:</t>
        </is>
      </c>
    </row>
    <row r="16" ht="16.8" customHeight="1" s="175">
      <c r="A16" s="189" t="inlineStr">
        <is>
          <t>Carter</t>
        </is>
      </c>
      <c r="B16" s="190" t="n">
        <v>1</v>
      </c>
      <c r="C16" s="191" t="inlineStr">
        <is>
          <t>Maxine</t>
        </is>
      </c>
      <c r="D16" s="192" t="inlineStr">
        <is>
          <t>2026-01-27 13:28:54</t>
        </is>
      </c>
      <c r="E16" s="173" t="inlineStr">
        <is>
          <t>https://cdn.discordapp.com/ephemeral-attachments/1450933256630440049/1465775571597394133/20260127_132429.jpg?ex=697a5561&amp;is=697903e1&amp;hm=8ab8529063ff73b11049b09dde9a2a6d931c91c74ec20981d336cb4c13bb656b&amp;</t>
        </is>
      </c>
      <c r="F16" s="207" t="inlineStr">
        <is>
          <t>423221841872814081</t>
        </is>
      </c>
      <c r="G16" s="173" t="inlineStr">
        <is>
          <t>1021390383915204648</t>
        </is>
      </c>
      <c r="I16" s="208" t="inlineStr">
        <is>
          <t>Joey</t>
        </is>
      </c>
      <c r="J16" s="209">
        <f>COUNTIF($A:$A,I16)</f>
        <v/>
      </c>
      <c r="K16" s="209">
        <f>COUNTIF($C:$C,I16)</f>
        <v/>
      </c>
      <c r="L16" s="210">
        <f>IF(K16,J16/K16,J16)</f>
        <v/>
      </c>
      <c r="M16" s="209">
        <f>IFERROR(GETPIVOTDATA("Points",$T$2,"Sniper",I16),0)</f>
        <v/>
      </c>
      <c r="N16" s="209">
        <f>IFERROR(GETPIVOTDATA("Points",$T$2,"Snipee",I16),0)</f>
        <v/>
      </c>
      <c r="O16" s="210">
        <f>IF(N16,M16/N16,M16)</f>
        <v/>
      </c>
      <c r="P16" s="210">
        <f>IF(J16,M16/J16,0)</f>
        <v/>
      </c>
      <c r="Q16" s="210">
        <f>IF(K16,N16/K16,0)</f>
        <v/>
      </c>
      <c r="R16" s="211">
        <f>IFERROR(VLOOKUP(I16,T:AM,20,FALSE())/15,0)</f>
        <v/>
      </c>
      <c r="S16" s="232" t="n"/>
      <c r="T16" s="217" t="inlineStr">
        <is>
          <t>Will</t>
        </is>
      </c>
      <c r="U16" s="218" t="n"/>
      <c r="V16" s="218" t="n">
        <v>1</v>
      </c>
      <c r="W16" s="218" t="n"/>
      <c r="X16" s="218" t="n">
        <v>2</v>
      </c>
      <c r="Y16" s="218" t="n"/>
      <c r="Z16" s="218" t="n">
        <v>4</v>
      </c>
      <c r="AA16" s="218" t="n">
        <v>2</v>
      </c>
      <c r="AB16" s="218" t="n">
        <v>2</v>
      </c>
      <c r="AC16" s="218" t="n">
        <v>11</v>
      </c>
      <c r="AD16" s="218" t="n"/>
      <c r="AE16" s="218" t="n">
        <v>11</v>
      </c>
      <c r="AF16" s="218" t="n"/>
      <c r="AG16" s="218" t="n">
        <v>8</v>
      </c>
      <c r="AH16" s="218" t="n">
        <v>13</v>
      </c>
      <c r="AI16" s="218" t="n"/>
      <c r="AJ16" s="218" t="n"/>
      <c r="AK16" s="219" t="n">
        <v>54</v>
      </c>
      <c r="AM16" s="202">
        <f>IF(COUNT(U16:AL16)&lt;&gt;0,COUNT(U16:AL16)-1,"")</f>
        <v/>
      </c>
      <c r="AP16" s="208" t="inlineStr">
        <is>
          <t>Carter</t>
        </is>
      </c>
      <c r="AQ16" s="209">
        <f>VLOOKUP(AP16,$I$1:$R$18,2,FALSE()) *$AQ$15</f>
        <v/>
      </c>
      <c r="AR16" s="233">
        <f>VLOOKUP(AP16,$I$1:$R$18,3,FALSE()) *$AR$15</f>
        <v/>
      </c>
      <c r="AS16" s="234">
        <f>VLOOKUP(AP16,$I$1:$R$18,4,FALSE()) * $AS$15</f>
        <v/>
      </c>
      <c r="AT16" s="209">
        <f>VLOOKUP(AP16,$I$1:$R$18,5,FALSE()) *$AT$15</f>
        <v/>
      </c>
      <c r="AU16" s="233">
        <f>VLOOKUP(AP16,$I$1:$R$18,6,FALSE()) *$AU$15</f>
        <v/>
      </c>
      <c r="AV16" s="234">
        <f>VLOOKUP(AP16,$I$1:$R$18,7,FALSE()) * $AV$15</f>
        <v/>
      </c>
      <c r="AW16" s="209">
        <f>VLOOKUP(AP16,$I$1:$R$18,8,FALSE()) *$AW$15</f>
        <v/>
      </c>
      <c r="AX16" s="235">
        <f>VLOOKUP(AP16,$I$1:$R$18,9,FALSE()) *$AX$15</f>
        <v/>
      </c>
      <c r="AY16" s="234">
        <f>VLOOKUP(AP16,$I$1:$R$18,10,FALSE()) * $AY$15</f>
        <v/>
      </c>
      <c r="AZ16" s="236">
        <f>SUM(AQ16:AY16)</f>
        <v/>
      </c>
    </row>
    <row r="17" ht="14.25" customHeight="1" s="175">
      <c r="A17" s="189" t="inlineStr">
        <is>
          <t>Carter</t>
        </is>
      </c>
      <c r="B17" s="190" t="n">
        <v>1</v>
      </c>
      <c r="C17" s="191" t="inlineStr">
        <is>
          <t>Anthony</t>
        </is>
      </c>
      <c r="D17" s="192" t="inlineStr">
        <is>
          <t>2026-01-27 13:29:11</t>
        </is>
      </c>
      <c r="E17" s="193" t="inlineStr">
        <is>
          <t>https://cdn.discordapp.com/ephemeral-attachments/1450933256630440049/1465775644741730526/20260127_132802.jpg?ex=697a5572&amp;is=697903f2&amp;hm=9c27e546ab9c73cc77f8c0375cc0951fe876586726fc87be5b26c45984ed2b11&amp;</t>
        </is>
      </c>
      <c r="F17" s="207" t="inlineStr">
        <is>
          <t>423221841872814081</t>
        </is>
      </c>
      <c r="G17" s="173" t="inlineStr">
        <is>
          <t>688178971183153173</t>
        </is>
      </c>
      <c r="I17" s="208" t="inlineStr">
        <is>
          <t>Peter</t>
        </is>
      </c>
      <c r="J17" s="209">
        <f>COUNTIF($A:$A,I17)</f>
        <v/>
      </c>
      <c r="K17" s="209">
        <f>COUNTIF($C:$C,I17)</f>
        <v/>
      </c>
      <c r="L17" s="210">
        <f>IF(K17,J17/K17,J17)</f>
        <v/>
      </c>
      <c r="M17" s="209">
        <f>IFERROR(GETPIVOTDATA("Points",$T$2,"Sniper",I17),0)</f>
        <v/>
      </c>
      <c r="N17" s="209">
        <f>IFERROR(GETPIVOTDATA("Points",$T$2,"Snipee",I17),0)</f>
        <v/>
      </c>
      <c r="O17" s="210">
        <f>IF(N17,M17/N17,M17)</f>
        <v/>
      </c>
      <c r="P17" s="210">
        <f>IF(J17,M17/J17,0)</f>
        <v/>
      </c>
      <c r="Q17" s="210">
        <f>IF(K17,N17/K17,0)</f>
        <v/>
      </c>
      <c r="R17" s="211">
        <f>IFERROR(VLOOKUP(I17,T:AM,20,FALSE())/15,0)</f>
        <v/>
      </c>
      <c r="T17" s="237" t="inlineStr">
        <is>
          <t>Total Result</t>
        </is>
      </c>
      <c r="U17" s="238" t="n">
        <v>35</v>
      </c>
      <c r="V17" s="238" t="n">
        <v>49</v>
      </c>
      <c r="W17" s="238" t="n">
        <v>19</v>
      </c>
      <c r="X17" s="238" t="n">
        <v>16</v>
      </c>
      <c r="Y17" s="238" t="n">
        <v>2</v>
      </c>
      <c r="Z17" s="238" t="n">
        <v>20</v>
      </c>
      <c r="AA17" s="238" t="n">
        <v>35</v>
      </c>
      <c r="AB17" s="238" t="n">
        <v>6</v>
      </c>
      <c r="AC17" s="238" t="n">
        <v>49</v>
      </c>
      <c r="AD17" s="238" t="n">
        <v>8</v>
      </c>
      <c r="AE17" s="238" t="n">
        <v>66</v>
      </c>
      <c r="AF17" s="238" t="n">
        <v>13</v>
      </c>
      <c r="AG17" s="238" t="n">
        <v>47</v>
      </c>
      <c r="AH17" s="238" t="n">
        <v>62</v>
      </c>
      <c r="AI17" s="238" t="n">
        <v>21</v>
      </c>
      <c r="AJ17" s="238" t="n">
        <v>34</v>
      </c>
      <c r="AK17" s="239" t="n">
        <v>482</v>
      </c>
      <c r="AM17" s="202">
        <f>IF(COUNT(U17:AL17)&lt;&gt;0,COUNT(U17:AL17)-1,"")</f>
        <v/>
      </c>
      <c r="AP17" s="208" t="inlineStr">
        <is>
          <t>Grady</t>
        </is>
      </c>
      <c r="AQ17" s="209">
        <f>VLOOKUP(AP17,$I$1:$R$18,2,FALSE()) *$AQ$15</f>
        <v/>
      </c>
      <c r="AR17" s="233">
        <f>VLOOKUP(AP17,$I$1:$R$18,3,FALSE()) *$AR$15</f>
        <v/>
      </c>
      <c r="AS17" s="234">
        <f>VLOOKUP(AP17,$I$1:$R$18,4,FALSE()) * $AS$15</f>
        <v/>
      </c>
      <c r="AT17" s="209">
        <f>VLOOKUP(AP17,$I$1:$R$18,5,FALSE()) *$AT$15</f>
        <v/>
      </c>
      <c r="AU17" s="233">
        <f>VLOOKUP(AP17,$I$1:$R$18,6,FALSE()) *$AU$15</f>
        <v/>
      </c>
      <c r="AV17" s="234">
        <f>VLOOKUP(AP17,$I$1:$R$18,7,FALSE()) * $AV$15</f>
        <v/>
      </c>
      <c r="AW17" s="209">
        <f>VLOOKUP(AP17,$I$1:$R$18,8,FALSE()) *$AW$15</f>
        <v/>
      </c>
      <c r="AX17" s="235">
        <f>VLOOKUP(AP17,$I$1:$R$18,9,FALSE()) *$AX$15</f>
        <v/>
      </c>
      <c r="AY17" s="234">
        <f>VLOOKUP(AP17,$I$1:$R$18,10,FALSE()) * $AY$15</f>
        <v/>
      </c>
      <c r="AZ17" s="236">
        <f>SUM(AQ17:AY17)</f>
        <v/>
      </c>
    </row>
    <row r="18" ht="14.25" customHeight="1" s="175">
      <c r="A18" s="189" t="inlineStr">
        <is>
          <t>Anthony</t>
        </is>
      </c>
      <c r="B18" s="190" t="n">
        <v>1</v>
      </c>
      <c r="C18" s="191" t="inlineStr">
        <is>
          <t>Carter</t>
        </is>
      </c>
      <c r="D18" s="192" t="inlineStr">
        <is>
          <t>2026-01-27 13:45:11</t>
        </is>
      </c>
      <c r="E18" s="173" t="inlineStr">
        <is>
          <t>https://cdn.discordapp.com/ephemeral-attachments/1450933256630440049/1465779676013269023/IMG_6686.jpg?ex=697a5933&amp;is=697907b3&amp;hm=8660feaeb254fff9ebba3cb7595a185d66f15ec5e2fa04aef6ab2fb2eed8297d&amp;</t>
        </is>
      </c>
      <c r="F18" s="207" t="inlineStr">
        <is>
          <t>525816152161648680</t>
        </is>
      </c>
      <c r="G18" s="173" t="inlineStr">
        <is>
          <t>688178971183153173</t>
        </is>
      </c>
      <c r="I18" s="208" t="inlineStr">
        <is>
          <t>Reuben</t>
        </is>
      </c>
      <c r="J18" s="209">
        <f>COUNTIF($A:$A,I18)</f>
        <v/>
      </c>
      <c r="K18" s="209">
        <f>COUNTIF($C:$C,I18)</f>
        <v/>
      </c>
      <c r="L18" s="210">
        <f>IF(K18,J18/K18,J18)</f>
        <v/>
      </c>
      <c r="M18" s="209">
        <f>IFERROR(GETPIVOTDATA("Points",$T$2,"Sniper",I18),0)</f>
        <v/>
      </c>
      <c r="N18" s="209">
        <f>IFERROR(GETPIVOTDATA("Points",$T$2,"Snipee",I18),0)</f>
        <v/>
      </c>
      <c r="O18" s="210">
        <f>IF(N18,M18/N18,M18)</f>
        <v/>
      </c>
      <c r="P18" s="210">
        <f>IF(J18,M18/J18,0)</f>
        <v/>
      </c>
      <c r="Q18" s="210">
        <f>IF(K18,N18/K18,0)</f>
        <v/>
      </c>
      <c r="R18" s="211">
        <f>IFERROR(VLOOKUP(I18,T:AM,20,FALSE())/15,0)</f>
        <v/>
      </c>
      <c r="AM18" s="202">
        <f>IF(COUNT(U18:AL18)&lt;&gt;0,COUNT(U18:AL18)-1,"")</f>
        <v/>
      </c>
      <c r="AP18" s="208" t="inlineStr">
        <is>
          <t>Lucy</t>
        </is>
      </c>
      <c r="AQ18" s="209">
        <f>VLOOKUP(AP18,$I$1:$R$18,2,FALSE()) *$AQ$15</f>
        <v/>
      </c>
      <c r="AR18" s="233">
        <f>VLOOKUP(AP18,$I$1:$R$18,3,FALSE()) *$AR$15</f>
        <v/>
      </c>
      <c r="AS18" s="234">
        <f>VLOOKUP(AP18,$I$1:$R$18,4,FALSE()) * $AS$15</f>
        <v/>
      </c>
      <c r="AT18" s="209">
        <f>VLOOKUP(AP18,$I$1:$R$18,5,FALSE()) *$AT$15</f>
        <v/>
      </c>
      <c r="AU18" s="233">
        <f>VLOOKUP(AP18,$I$1:$R$18,6,FALSE()) *$AU$15</f>
        <v/>
      </c>
      <c r="AV18" s="234">
        <f>VLOOKUP(AP18,$I$1:$R$18,7,FALSE()) * $AV$15</f>
        <v/>
      </c>
      <c r="AW18" s="209">
        <f>VLOOKUP(AP18,$I$1:$R$18,8,FALSE()) *$AW$15</f>
        <v/>
      </c>
      <c r="AX18" s="235">
        <f>VLOOKUP(AP18,$I$1:$R$18,9,FALSE()) *$AX$15</f>
        <v/>
      </c>
      <c r="AY18" s="234">
        <f>VLOOKUP(AP18,$I$1:$R$18,10,FALSE()) * $AY$15</f>
        <v/>
      </c>
      <c r="AZ18" s="236">
        <f>SUM(AQ18:AY18)</f>
        <v/>
      </c>
    </row>
    <row r="19" ht="14.25" customHeight="1" s="175">
      <c r="A19" s="189" t="inlineStr">
        <is>
          <t>Anthony</t>
        </is>
      </c>
      <c r="B19" s="190" t="n">
        <v>1</v>
      </c>
      <c r="C19" s="191" t="inlineStr">
        <is>
          <t>Maxine</t>
        </is>
      </c>
      <c r="D19" s="192" t="inlineStr">
        <is>
          <t>2026-01-27 13:54:19</t>
        </is>
      </c>
      <c r="E19" s="173" t="inlineStr">
        <is>
          <t>https://cdn.discordapp.com/ephemeral-attachments/1450933256630440049/1465781973506330841/IMG_1977.jpg?ex=697a5b57&amp;is=697909d7&amp;hm=99500f8b3ae178669e49a2e1f3e933fd5859c7248b464e85437b2a15473436ae&amp;</t>
        </is>
      </c>
      <c r="F19" s="207" t="inlineStr">
        <is>
          <t>601936524044664852</t>
        </is>
      </c>
      <c r="G19" s="173" t="inlineStr">
        <is>
          <t>689822943307759670</t>
        </is>
      </c>
      <c r="AM19" s="240" t="n"/>
      <c r="AP19" s="208" t="inlineStr">
        <is>
          <t>Vignesh</t>
        </is>
      </c>
      <c r="AQ19" s="209">
        <f>VLOOKUP(AP19,$I$1:$R$18,2,FALSE()) *$AQ$15</f>
        <v/>
      </c>
      <c r="AR19" s="233">
        <f>VLOOKUP(AP19,$I$1:$R$18,3,FALSE()) *$AR$15</f>
        <v/>
      </c>
      <c r="AS19" s="234">
        <f>VLOOKUP(AP19,$I$1:$R$18,4,FALSE()) * $AS$15</f>
        <v/>
      </c>
      <c r="AT19" s="209">
        <f>VLOOKUP(AP19,$I$1:$R$18,5,FALSE()) *$AT$15</f>
        <v/>
      </c>
      <c r="AU19" s="233">
        <f>VLOOKUP(AP19,$I$1:$R$18,6,FALSE()) *$AU$15</f>
        <v/>
      </c>
      <c r="AV19" s="234">
        <f>VLOOKUP(AP19,$I$1:$R$18,7,FALSE()) * $AV$15</f>
        <v/>
      </c>
      <c r="AW19" s="209">
        <f>VLOOKUP(AP19,$I$1:$R$18,8,FALSE()) *$AW$15</f>
        <v/>
      </c>
      <c r="AX19" s="235">
        <f>VLOOKUP(AP19,$I$1:$R$18,9,FALSE()) *$AX$15</f>
        <v/>
      </c>
      <c r="AY19" s="234">
        <f>VLOOKUP(AP19,$I$1:$R$18,10,FALSE()) * $AY$15</f>
        <v/>
      </c>
      <c r="AZ19" s="236">
        <f>SUM(AQ19:AY19)</f>
        <v/>
      </c>
    </row>
    <row r="20" ht="15.75" customHeight="1" s="175">
      <c r="A20" s="189" t="inlineStr">
        <is>
          <t>Anthony</t>
        </is>
      </c>
      <c r="B20" s="190" t="n">
        <v>5</v>
      </c>
      <c r="C20" s="191" t="inlineStr">
        <is>
          <t>Alumni</t>
        </is>
      </c>
      <c r="D20" s="192" t="inlineStr">
        <is>
          <t>2026-01-28 16:58:47</t>
        </is>
      </c>
      <c r="E20" s="173" t="inlineStr">
        <is>
          <t>https://cdn.discordapp.com/ephemeral-attachments/1450933256630440049/1466190787858530515/IMG_2209.jpg?ex=697bd814&amp;is=697a8694&amp;hm=e8b7bd9bedcf72bf221185f9144803fddbdcc9cc40a47805ba67d6c79c65b9c4&amp;</t>
        </is>
      </c>
      <c r="F20" s="207" t="inlineStr">
        <is>
          <t>288299360557465600</t>
        </is>
      </c>
      <c r="G20" s="173" t="inlineStr">
        <is>
          <t>525816152161648680</t>
        </is>
      </c>
      <c r="I20" s="179" t="inlineStr">
        <is>
          <t>Data By Voice Part (average/person):</t>
        </is>
      </c>
      <c r="J20" s="180" t="n"/>
      <c r="K20" s="180" t="n"/>
      <c r="L20" s="180" t="n"/>
      <c r="M20" s="180" t="n"/>
      <c r="N20" s="180" t="n"/>
      <c r="O20" s="180" t="n"/>
      <c r="P20" s="180" t="n"/>
      <c r="Q20" s="181" t="n"/>
      <c r="AM20" s="240">
        <f>IF(COUNT(U20:AG20)&lt;&gt;0,COUNT(U20:AG20)-1,"")</f>
        <v/>
      </c>
      <c r="AP20" s="208" t="inlineStr">
        <is>
          <t>Cooper</t>
        </is>
      </c>
      <c r="AQ20" s="209">
        <f>VLOOKUP(AP20,$I$1:$R$18,2,FALSE()) *$AQ$15</f>
        <v/>
      </c>
      <c r="AR20" s="233">
        <f>VLOOKUP(AP20,$I$1:$R$18,3,FALSE()) *$AR$15</f>
        <v/>
      </c>
      <c r="AS20" s="234">
        <f>VLOOKUP(AP20,$I$1:$R$18,4,FALSE()) * $AS$15</f>
        <v/>
      </c>
      <c r="AT20" s="209">
        <f>VLOOKUP(AP20,$I$1:$R$18,5,FALSE()) *$AT$15</f>
        <v/>
      </c>
      <c r="AU20" s="233">
        <f>VLOOKUP(AP20,$I$1:$R$18,6,FALSE()) *$AU$15</f>
        <v/>
      </c>
      <c r="AV20" s="234">
        <f>VLOOKUP(AP20,$I$1:$R$18,7,FALSE()) * $AV$15</f>
        <v/>
      </c>
      <c r="AW20" s="209">
        <f>VLOOKUP(AP20,$I$1:$R$18,8,FALSE()) *$AW$15</f>
        <v/>
      </c>
      <c r="AX20" s="235">
        <f>VLOOKUP(AP20,$I$1:$R$18,9,FALSE()) *$AX$15</f>
        <v/>
      </c>
      <c r="AY20" s="234">
        <f>VLOOKUP(AP20,$I$1:$R$18,10,FALSE()) * $AY$15</f>
        <v/>
      </c>
      <c r="AZ20" s="236">
        <f>SUM(AQ20:AY20)</f>
        <v/>
      </c>
    </row>
    <row r="21" ht="16.8" customHeight="1" s="175">
      <c r="A21" s="189" t="inlineStr">
        <is>
          <t>Carter</t>
        </is>
      </c>
      <c r="B21" s="190" t="n">
        <v>2</v>
      </c>
      <c r="C21" s="191" t="inlineStr">
        <is>
          <t>Will</t>
        </is>
      </c>
      <c r="D21" s="192" t="inlineStr">
        <is>
          <t>2026-01-28 16:59:16</t>
        </is>
      </c>
      <c r="E21" s="173" t="inlineStr">
        <is>
          <t>https://cdn.discordapp.com/ephemeral-attachments/1450933256630440049/1466190904380620901/IMG_6692.jpg?ex=697bd830&amp;is=697a86b0&amp;hm=672ec29f4affdeb3c5cda078242af7cc7f309448e4a9668a135c12d0ac0d570c&amp;</t>
        </is>
      </c>
      <c r="F21" s="207" t="inlineStr">
        <is>
          <t>525816152161648680</t>
        </is>
      </c>
      <c r="G21" s="173" t="inlineStr">
        <is>
          <t>288299360557465600</t>
        </is>
      </c>
      <c r="I21" s="226" t="inlineStr">
        <is>
          <t>Part:</t>
        </is>
      </c>
      <c r="J21" s="206" t="inlineStr">
        <is>
          <t>Kills</t>
        </is>
      </c>
      <c r="K21" s="206" t="inlineStr">
        <is>
          <t>Deaths</t>
        </is>
      </c>
      <c r="L21" s="206" t="inlineStr">
        <is>
          <t>KDR</t>
        </is>
      </c>
      <c r="M21" s="206" t="inlineStr">
        <is>
          <t>Kill Points</t>
        </is>
      </c>
      <c r="N21" s="206" t="inlineStr">
        <is>
          <t>Death Points</t>
        </is>
      </c>
      <c r="O21" s="206" t="inlineStr">
        <is>
          <t>KpDpR</t>
        </is>
      </c>
      <c r="P21" s="196" t="inlineStr">
        <is>
          <t>KPts/Kill</t>
        </is>
      </c>
      <c r="Q21" s="206" t="inlineStr">
        <is>
          <t>DPts/Death</t>
        </is>
      </c>
      <c r="AM21" s="240">
        <f>IF(COUNT(U21:AG21)&lt;&gt;0,COUNT(U21:AG21)-1,"")</f>
        <v/>
      </c>
      <c r="AP21" s="208" t="inlineStr">
        <is>
          <t>Evan</t>
        </is>
      </c>
      <c r="AQ21" s="209">
        <f>VLOOKUP(AP21,$I$1:$R$18,2,FALSE()) *$AQ$15</f>
        <v/>
      </c>
      <c r="AR21" s="233">
        <f>VLOOKUP(AP21,$I$1:$R$18,3,FALSE()) *$AR$15</f>
        <v/>
      </c>
      <c r="AS21" s="234">
        <f>VLOOKUP(AP21,$I$1:$R$18,4,FALSE()) * $AS$15</f>
        <v/>
      </c>
      <c r="AT21" s="209">
        <f>VLOOKUP(AP21,$I$1:$R$18,5,FALSE()) *$AT$15</f>
        <v/>
      </c>
      <c r="AU21" s="233">
        <f>VLOOKUP(AP21,$I$1:$R$18,6,FALSE()) *$AU$15</f>
        <v/>
      </c>
      <c r="AV21" s="234">
        <f>VLOOKUP(AP21,$I$1:$R$18,7,FALSE()) * $AV$15</f>
        <v/>
      </c>
      <c r="AW21" s="209">
        <f>VLOOKUP(AP21,$I$1:$R$18,8,FALSE()) *$AW$15</f>
        <v/>
      </c>
      <c r="AX21" s="235">
        <f>VLOOKUP(AP21,$I$1:$R$18,9,FALSE()) *$AX$15</f>
        <v/>
      </c>
      <c r="AY21" s="234">
        <f>VLOOKUP(AP21,$I$1:$R$18,10,FALSE()) * $AY$15</f>
        <v/>
      </c>
      <c r="AZ21" s="236">
        <f>SUM(AQ21:AY21)</f>
        <v/>
      </c>
    </row>
    <row r="22" ht="14.25" customHeight="1" s="175">
      <c r="A22" s="189" t="inlineStr">
        <is>
          <t>Maxine</t>
        </is>
      </c>
      <c r="B22" s="190" t="n">
        <v>2</v>
      </c>
      <c r="C22" s="191" t="inlineStr">
        <is>
          <t>Will</t>
        </is>
      </c>
      <c r="D22" s="192" t="inlineStr">
        <is>
          <t>2026-01-28 18:01:05</t>
        </is>
      </c>
      <c r="E22" s="173" t="inlineStr">
        <is>
          <t>https://cdn.discordapp.com/ephemeral-attachments/1450933256630440049/1466206465181093970/IMG_2210.jpg?ex=697be6ae&amp;is=697a952e&amp;hm=abb00051a14bb8fce1be078b8ccdfa922df701d49eb57a9e0effc156ef516af1&amp;</t>
        </is>
      </c>
      <c r="F22" s="192" t="inlineStr">
        <is>
          <t>288299360557465600</t>
        </is>
      </c>
      <c r="G22" s="173" t="inlineStr">
        <is>
          <t>619268961393049601</t>
        </is>
      </c>
      <c r="I22" s="208" t="inlineStr">
        <is>
          <t>Tenors</t>
        </is>
      </c>
      <c r="J22" s="241">
        <f>SUM(J3:J6)/COUNT(J3:J6)</f>
        <v/>
      </c>
      <c r="K22" s="241">
        <f>SUM(K3:K6)/COUNT(K3:K6)</f>
        <v/>
      </c>
      <c r="L22" s="242">
        <f>IF(K22,J22/K22,J22)</f>
        <v/>
      </c>
      <c r="M22" s="241">
        <f>SUM(M3:M6)/COUNT(M3:M6)</f>
        <v/>
      </c>
      <c r="N22" s="241">
        <f>SUM(N3:N6)/COUNT(N3:N6)</f>
        <v/>
      </c>
      <c r="O22" s="242">
        <f>IF(N22,M22/N22,M22)</f>
        <v/>
      </c>
      <c r="P22" s="243">
        <f>IF(J22,M22/J22,0)</f>
        <v/>
      </c>
      <c r="Q22" s="244">
        <f>IF(K22,N22/K22,0)</f>
        <v/>
      </c>
      <c r="S22" s="245" t="n"/>
      <c r="T22" s="246" t="n"/>
      <c r="AM22" s="240">
        <f>IF(COUNT(U22:AG22)&lt;&gt;0,COUNT(U22:AG22)-1,"")</f>
        <v/>
      </c>
      <c r="AP22" s="208" t="inlineStr">
        <is>
          <t>Maxine</t>
        </is>
      </c>
      <c r="AQ22" s="209">
        <f>VLOOKUP(AP22,$I$1:$R$18,2,FALSE()) *$AQ$15</f>
        <v/>
      </c>
      <c r="AR22" s="233">
        <f>VLOOKUP(AP22,$I$1:$R$18,3,FALSE()) *$AR$15</f>
        <v/>
      </c>
      <c r="AS22" s="234">
        <f>VLOOKUP(AP22,$I$1:$R$18,4,FALSE()) * $AS$15</f>
        <v/>
      </c>
      <c r="AT22" s="209">
        <f>VLOOKUP(AP22,$I$1:$R$18,5,FALSE()) *$AT$15</f>
        <v/>
      </c>
      <c r="AU22" s="233">
        <f>VLOOKUP(AP22,$I$1:$R$18,6,FALSE()) *$AU$15</f>
        <v/>
      </c>
      <c r="AV22" s="234">
        <f>VLOOKUP(AP22,$I$1:$R$18,7,FALSE()) * $AV$15</f>
        <v/>
      </c>
      <c r="AW22" s="209">
        <f>VLOOKUP(AP22,$I$1:$R$18,8,FALSE()) *$AW$15</f>
        <v/>
      </c>
      <c r="AX22" s="235">
        <f>VLOOKUP(AP22,$I$1:$R$18,9,FALSE()) *$AX$15</f>
        <v/>
      </c>
      <c r="AY22" s="234">
        <f>VLOOKUP(AP22,$I$1:$R$18,10,FALSE()) * $AY$15</f>
        <v/>
      </c>
      <c r="AZ22" s="236">
        <f>SUM(AQ22:AY22)</f>
        <v/>
      </c>
    </row>
    <row r="23" ht="14.25" customHeight="1" s="175">
      <c r="A23" s="189" t="inlineStr">
        <is>
          <t>Maxine</t>
        </is>
      </c>
      <c r="B23" s="190" t="n">
        <v>2</v>
      </c>
      <c r="C23" s="191" t="inlineStr">
        <is>
          <t>Ethan</t>
        </is>
      </c>
      <c r="D23" s="192" t="inlineStr">
        <is>
          <t>2026-01-29 10:52:51</t>
        </is>
      </c>
      <c r="E23" s="173" t="inlineStr">
        <is>
          <t>https://cdn.discordapp.com/ephemeral-attachments/1450933256630440049/1466461074281992488/20260129_105147.jpg?ex=697cd3cd&amp;is=697b824d&amp;hm=ceeae3d78c62ff407e32cac00d137a25b210f1ab3d81da47f4cb48734aae9de3&amp;</t>
        </is>
      </c>
      <c r="F23" s="207" t="inlineStr">
        <is>
          <t>1021390383915204648</t>
        </is>
      </c>
      <c r="G23" s="173" t="inlineStr">
        <is>
          <t>525816152161648680</t>
        </is>
      </c>
      <c r="I23" s="208" t="inlineStr">
        <is>
          <t>Leads</t>
        </is>
      </c>
      <c r="J23" s="241">
        <f>SUM(J7:J10)/COUNT(J7:J10)</f>
        <v/>
      </c>
      <c r="K23" s="241">
        <f>SUM(K7:K10)/COUNT(K7:K10)</f>
        <v/>
      </c>
      <c r="L23" s="242">
        <f>IF(K23,J23/K23,J23)</f>
        <v/>
      </c>
      <c r="M23" s="241">
        <f>SUM(M7:M10)/COUNT(M7:M10)</f>
        <v/>
      </c>
      <c r="N23" s="241">
        <f>SUM(N7:N10)/COUNT(N7:N10)</f>
        <v/>
      </c>
      <c r="O23" s="242">
        <f>IF(N23,M23/N23,M23)</f>
        <v/>
      </c>
      <c r="P23" s="243">
        <f>IF(J23,M23/J23,0)</f>
        <v/>
      </c>
      <c r="Q23" s="244">
        <f>IF(K23,N23/K23,0)</f>
        <v/>
      </c>
      <c r="S23" s="245" t="n"/>
      <c r="T23" s="246" t="n"/>
      <c r="AP23" s="208" t="inlineStr">
        <is>
          <t>Mikey</t>
        </is>
      </c>
      <c r="AQ23" s="209">
        <f>VLOOKUP(AP23,$I$1:$R$18,2,FALSE()) *$AQ$15</f>
        <v/>
      </c>
      <c r="AR23" s="233">
        <f>VLOOKUP(AP23,$I$1:$R$18,3,FALSE()) *$AR$15</f>
        <v/>
      </c>
      <c r="AS23" s="234">
        <f>VLOOKUP(AP23,$I$1:$R$18,4,FALSE()) * $AS$15</f>
        <v/>
      </c>
      <c r="AT23" s="209">
        <f>VLOOKUP(AP23,$I$1:$R$18,5,FALSE()) *$AT$15</f>
        <v/>
      </c>
      <c r="AU23" s="233">
        <f>VLOOKUP(AP23,$I$1:$R$18,6,FALSE()) *$AU$15</f>
        <v/>
      </c>
      <c r="AV23" s="234">
        <f>VLOOKUP(AP23,$I$1:$R$18,7,FALSE()) * $AV$15</f>
        <v/>
      </c>
      <c r="AW23" s="209">
        <f>VLOOKUP(AP23,$I$1:$R$18,8,FALSE()) *$AW$15</f>
        <v/>
      </c>
      <c r="AX23" s="235">
        <f>VLOOKUP(AP23,$I$1:$R$18,9,FALSE()) *$AX$15</f>
        <v/>
      </c>
      <c r="AY23" s="234">
        <f>VLOOKUP(AP23,$I$1:$R$18,10,FALSE()) * $AY$15</f>
        <v/>
      </c>
      <c r="AZ23" s="236">
        <f>SUM(AQ23:AY23)</f>
        <v/>
      </c>
    </row>
    <row r="24" ht="14.25" customHeight="1" s="175">
      <c r="A24" s="189" t="inlineStr">
        <is>
          <t>Lucy</t>
        </is>
      </c>
      <c r="B24" s="190" t="n">
        <v>1</v>
      </c>
      <c r="C24" s="191" t="inlineStr">
        <is>
          <t>Anthony</t>
        </is>
      </c>
      <c r="D24" s="192" t="inlineStr">
        <is>
          <t>2026-01-29 12:20:20</t>
        </is>
      </c>
      <c r="E24" s="173" t="inlineStr">
        <is>
          <t>https://cdn.discordapp.com/ephemeral-attachments/1450933256630440049/1466483084395548742/B0594F0C-A8EF-4D4B-9FB1-B967F698C654.jpg?ex=697ce84d&amp;is=697b96cd&amp;hm=0b4edc04f72784b2f19893c2498d1db5ba1a9272360cb21683354e4ef170bba7&amp;</t>
        </is>
      </c>
      <c r="F24" s="192" t="inlineStr">
        <is>
          <t>619268961393049601</t>
        </is>
      </c>
      <c r="G24" s="173" t="inlineStr">
        <is>
          <t>689822943307759670</t>
        </is>
      </c>
      <c r="I24" s="208" t="inlineStr">
        <is>
          <t>Baris</t>
        </is>
      </c>
      <c r="J24" s="241">
        <f>SUM(J11:J14)/COUNT(J11:J14)</f>
        <v/>
      </c>
      <c r="K24" s="241">
        <f>SUM(K11:K14)/COUNT(K11:K14)</f>
        <v/>
      </c>
      <c r="L24" s="242">
        <f>IF(K24,J24/K24,J24)</f>
        <v/>
      </c>
      <c r="M24" s="241">
        <f>SUM(M11:M14)/COUNT(M11:M14)</f>
        <v/>
      </c>
      <c r="N24" s="241">
        <f>SUM(N11:N14)/COUNT(N11:N14)</f>
        <v/>
      </c>
      <c r="O24" s="242">
        <f>IF(N24,M24/N24,M24)</f>
        <v/>
      </c>
      <c r="P24" s="243">
        <f>IF(J24,M24/J24,0)</f>
        <v/>
      </c>
      <c r="Q24" s="244">
        <f>IF(K24,N24/K24,0)</f>
        <v/>
      </c>
      <c r="S24" s="182" t="n"/>
      <c r="AF24" s="246" t="n"/>
      <c r="AP24" s="208" t="inlineStr">
        <is>
          <t>Anthony</t>
        </is>
      </c>
      <c r="AQ24" s="209">
        <f>VLOOKUP(AP24,$I$1:$R$18,2,FALSE()) *$AQ$15</f>
        <v/>
      </c>
      <c r="AR24" s="233">
        <f>VLOOKUP(AP24,$I$1:$R$18,3,FALSE()) *$AR$15</f>
        <v/>
      </c>
      <c r="AS24" s="234">
        <f>VLOOKUP(AP24,$I$1:$R$18,4,FALSE()) * $AS$15</f>
        <v/>
      </c>
      <c r="AT24" s="209">
        <f>VLOOKUP(AP24,$I$1:$R$18,5,FALSE()) *$AT$15</f>
        <v/>
      </c>
      <c r="AU24" s="233">
        <f>VLOOKUP(AP24,$I$1:$R$18,6,FALSE()) *$AU$15</f>
        <v/>
      </c>
      <c r="AV24" s="234">
        <f>VLOOKUP(AP24,$I$1:$R$18,7,FALSE()) * $AV$15</f>
        <v/>
      </c>
      <c r="AW24" s="209">
        <f>VLOOKUP(AP24,$I$1:$R$18,8,FALSE()) *$AW$15</f>
        <v/>
      </c>
      <c r="AX24" s="235">
        <f>VLOOKUP(AP24,$I$1:$R$18,9,FALSE()) *$AX$15</f>
        <v/>
      </c>
      <c r="AY24" s="234">
        <f>VLOOKUP(AP24,$I$1:$R$18,10,FALSE()) * $AY$15</f>
        <v/>
      </c>
      <c r="AZ24" s="236">
        <f>SUM(AQ24:AY24)</f>
        <v/>
      </c>
    </row>
    <row r="25" ht="14.25" customHeight="1" s="175">
      <c r="A25" s="189" t="inlineStr">
        <is>
          <t>Peter</t>
        </is>
      </c>
      <c r="B25" s="190" t="n">
        <v>2</v>
      </c>
      <c r="C25" s="191" t="inlineStr">
        <is>
          <t>Anthony</t>
        </is>
      </c>
      <c r="D25" s="192" t="inlineStr">
        <is>
          <t>2026-01-29 12:27:04</t>
        </is>
      </c>
      <c r="E25" s="173" t="inlineStr">
        <is>
          <t>https://cdn.discordapp.com/ephemeral-attachments/1450933256630440049/1466484781415141556/IMG_1878.jpg?ex=697ce9e1&amp;is=697b9861&amp;hm=988a726a62bb0f204a4e0be273539f2ddcc1184f97b1065918f140ba27fba8aa&amp;</t>
        </is>
      </c>
      <c r="F25" s="207" t="inlineStr">
        <is>
          <t>707377558940811335</t>
        </is>
      </c>
      <c r="G25" s="173" t="inlineStr">
        <is>
          <t>689822943307759670</t>
        </is>
      </c>
      <c r="I25" s="208" t="inlineStr">
        <is>
          <t>Basses</t>
        </is>
      </c>
      <c r="J25" s="241">
        <f>SUM(J15:J18)/3</f>
        <v/>
      </c>
      <c r="K25" s="241">
        <f>SUM(K17:K18)/3</f>
        <v/>
      </c>
      <c r="L25" s="242">
        <f>IF(K25,J25/K25,J25)</f>
        <v/>
      </c>
      <c r="M25" s="241">
        <f>SUM(M17:M18)/3</f>
        <v/>
      </c>
      <c r="N25" s="241">
        <f>SUM(N17:N18)/3</f>
        <v/>
      </c>
      <c r="O25" s="242">
        <f>IF(N25,M25/N25,M25)</f>
        <v/>
      </c>
      <c r="P25" s="243">
        <f>IF(J25,M25/J25,0)</f>
        <v/>
      </c>
      <c r="Q25" s="244">
        <f>IF(K25,N25/K25,0)</f>
        <v/>
      </c>
      <c r="AP25" s="208" t="inlineStr">
        <is>
          <t>Ethan</t>
        </is>
      </c>
      <c r="AQ25" s="209">
        <f>VLOOKUP(AP25,$I$1:$R$18,2,FALSE()) *$AQ$15</f>
        <v/>
      </c>
      <c r="AR25" s="233">
        <f>VLOOKUP(AP25,$I$1:$R$18,3,FALSE()) *$AR$15</f>
        <v/>
      </c>
      <c r="AS25" s="234">
        <f>VLOOKUP(AP25,$I$1:$R$18,4,FALSE()) * $AS$15</f>
        <v/>
      </c>
      <c r="AT25" s="209">
        <f>VLOOKUP(AP25,$I$1:$R$18,5,FALSE()) *$AT$15</f>
        <v/>
      </c>
      <c r="AU25" s="233">
        <f>VLOOKUP(AP25,$I$1:$R$18,6,FALSE()) *$AU$15</f>
        <v/>
      </c>
      <c r="AV25" s="234">
        <f>VLOOKUP(AP25,$I$1:$R$18,7,FALSE()) * $AV$15</f>
        <v/>
      </c>
      <c r="AW25" s="209">
        <f>VLOOKUP(AP25,$I$1:$R$18,8,FALSE()) *$AW$15</f>
        <v/>
      </c>
      <c r="AX25" s="235">
        <f>VLOOKUP(AP25,$I$1:$R$18,9,FALSE()) *$AX$15</f>
        <v/>
      </c>
      <c r="AY25" s="234">
        <f>VLOOKUP(AP25,$I$1:$R$18,10,FALSE()) * $AY$15</f>
        <v/>
      </c>
      <c r="AZ25" s="236">
        <f>SUM(AQ25:AY25)</f>
        <v/>
      </c>
    </row>
    <row r="26" ht="14.25" customHeight="1" s="175">
      <c r="A26" s="189" t="inlineStr">
        <is>
          <t>Peter</t>
        </is>
      </c>
      <c r="B26" s="190" t="n">
        <v>2</v>
      </c>
      <c r="C26" s="191" t="inlineStr">
        <is>
          <t>Cooper</t>
        </is>
      </c>
      <c r="D26" s="192" t="inlineStr">
        <is>
          <t>2026-01-29 13:35:19</t>
        </is>
      </c>
      <c r="E26" s="173" t="inlineStr">
        <is>
          <t>https://cdn.discordapp.com/ephemeral-attachments/1450933256630440049/1466501956507009054/IMG_6695.jpg?ex=697cf9e0&amp;is=697ba860&amp;hm=de9936e25169084ae817716d611ba93c9383c9d89395201a5725191895920e4b&amp;</t>
        </is>
      </c>
      <c r="F26" s="207" t="inlineStr">
        <is>
          <t>525816152161648680</t>
        </is>
      </c>
      <c r="G26" s="173" t="inlineStr">
        <is>
          <t>688178971183153173</t>
        </is>
      </c>
      <c r="I26" s="247" t="inlineStr">
        <is>
          <t>Basses (No Reuben)</t>
        </is>
      </c>
      <c r="J26" s="241">
        <f>SUM(J17)/2</f>
        <v/>
      </c>
      <c r="K26" s="241">
        <f>SUM(K17)/2</f>
        <v/>
      </c>
      <c r="L26" s="242">
        <f>IF(K26,J26/K26,J26)</f>
        <v/>
      </c>
      <c r="M26" s="241">
        <f>SUM(M17)/2</f>
        <v/>
      </c>
      <c r="N26" s="241">
        <f>SUM(N17)/2</f>
        <v/>
      </c>
      <c r="O26" s="242">
        <f>IF(N26,M26/N26,M26)</f>
        <v/>
      </c>
      <c r="P26" s="243">
        <f>IF(J26,M26/J26,0)</f>
        <v/>
      </c>
      <c r="Q26" s="244">
        <f>IF(K26,N26/K26,0)</f>
        <v/>
      </c>
      <c r="AP26" s="208" t="inlineStr">
        <is>
          <t>Rob</t>
        </is>
      </c>
      <c r="AQ26" s="209">
        <f>VLOOKUP(AP26,$I$1:$R$18,2,FALSE()) *$AQ$15</f>
        <v/>
      </c>
      <c r="AR26" s="233">
        <f>VLOOKUP(AP26,$I$1:$R$18,3,FALSE()) *$AR$15</f>
        <v/>
      </c>
      <c r="AS26" s="234">
        <f>VLOOKUP(AP26,$I$1:$R$18,4,FALSE()) * $AS$15</f>
        <v/>
      </c>
      <c r="AT26" s="209">
        <f>VLOOKUP(AP26,$I$1:$R$18,5,FALSE()) *$AT$15</f>
        <v/>
      </c>
      <c r="AU26" s="233">
        <f>VLOOKUP(AP26,$I$1:$R$18,6,FALSE()) *$AU$15</f>
        <v/>
      </c>
      <c r="AV26" s="234">
        <f>VLOOKUP(AP26,$I$1:$R$18,7,FALSE()) * $AV$15</f>
        <v/>
      </c>
      <c r="AW26" s="209">
        <f>VLOOKUP(AP26,$I$1:$R$18,8,FALSE()) *$AW$15</f>
        <v/>
      </c>
      <c r="AX26" s="235">
        <f>VLOOKUP(AP26,$I$1:$R$18,9,FALSE()) *$AX$15</f>
        <v/>
      </c>
      <c r="AY26" s="234">
        <f>VLOOKUP(AP26,$I$1:$R$18,10,FALSE()) * $AY$15</f>
        <v/>
      </c>
      <c r="AZ26" s="236">
        <f>SUM(AQ26:AY26)</f>
        <v/>
      </c>
    </row>
    <row r="27" ht="14.25" customHeight="1" s="175">
      <c r="A27" s="189" t="inlineStr">
        <is>
          <t>Ethan</t>
        </is>
      </c>
      <c r="B27" s="190" t="n">
        <v>2</v>
      </c>
      <c r="C27" s="191" t="inlineStr">
        <is>
          <t>Reuben</t>
        </is>
      </c>
      <c r="D27" s="192" t="inlineStr">
        <is>
          <t>2026-01-29 13:48:05</t>
        </is>
      </c>
      <c r="E27" s="173" t="inlineStr">
        <is>
          <t>https://cdn.discordapp.com/ephemeral-attachments/1450933256630440049/1466505167519355043/IMG_2220.jpg?ex=697cfcde&amp;is=697bab5e&amp;hm=f105d68f7fe594d9835bf202d25f037f0d28b44bcd1bc2849afa135b90c539a6&amp;</t>
        </is>
      </c>
      <c r="F27" s="192" t="inlineStr">
        <is>
          <t>288299360557465600</t>
        </is>
      </c>
      <c r="G27" s="173" t="inlineStr">
        <is>
          <t>619268961393049601</t>
        </is>
      </c>
      <c r="AP27" s="208" t="inlineStr">
        <is>
          <t>Will</t>
        </is>
      </c>
      <c r="AQ27" s="209">
        <f>VLOOKUP(AP27,$I$1:$R$18,2,FALSE()) *$AQ$15</f>
        <v/>
      </c>
      <c r="AR27" s="233">
        <f>VLOOKUP(AP27,$I$1:$R$18,3,FALSE()) *$AR$15</f>
        <v/>
      </c>
      <c r="AS27" s="234">
        <f>VLOOKUP(AP27,$I$1:$R$18,4,FALSE()) * $AS$15</f>
        <v/>
      </c>
      <c r="AT27" s="209">
        <f>VLOOKUP(AP27,$I$1:$R$18,5,FALSE()) *$AT$15</f>
        <v/>
      </c>
      <c r="AU27" s="233">
        <f>VLOOKUP(AP27,$I$1:$R$18,6,FALSE()) *$AU$15</f>
        <v/>
      </c>
      <c r="AV27" s="234">
        <f>VLOOKUP(AP27,$I$1:$R$18,7,FALSE()) * $AV$15</f>
        <v/>
      </c>
      <c r="AW27" s="209">
        <f>VLOOKUP(AP27,$I$1:$R$18,8,FALSE()) *$AW$15</f>
        <v/>
      </c>
      <c r="AX27" s="235">
        <f>VLOOKUP(AP27,$I$1:$R$18,9,FALSE()) *$AX$15</f>
        <v/>
      </c>
      <c r="AY27" s="234">
        <f>VLOOKUP(AP27,$I$1:$R$18,10,FALSE()) * $AY$15</f>
        <v/>
      </c>
      <c r="AZ27" s="236">
        <f>SUM(AQ27:AY27)</f>
        <v/>
      </c>
    </row>
    <row r="28" ht="14.25" customHeight="1" s="175">
      <c r="A28" s="189" t="inlineStr">
        <is>
          <t>Mikey</t>
        </is>
      </c>
      <c r="B28" s="190" t="n">
        <v>1</v>
      </c>
      <c r="C28" s="191" t="inlineStr">
        <is>
          <t>Will</t>
        </is>
      </c>
      <c r="D28" s="192" t="inlineStr">
        <is>
          <t>2026-01-29 13:48:38</t>
        </is>
      </c>
      <c r="E28" s="173" t="inlineStr">
        <is>
          <t>https://cdn.discordapp.com/ephemeral-attachments/1450933256630440049/1466505300096979149/9D82CD61-99D0-4297-8E6B-7D7E21D07F48.jpg?ex=697cfcfd&amp;is=697bab7d&amp;hm=7b1bb71d9b3bd500e1d747d2e0efccbc6c1a0bffddb24cfaf1bb6aa76bfc0cc0&amp;</t>
        </is>
      </c>
      <c r="F28" s="207" t="inlineStr">
        <is>
          <t>619268961393049601</t>
        </is>
      </c>
      <c r="G28" s="173" t="inlineStr">
        <is>
          <t>288299360557465600</t>
        </is>
      </c>
      <c r="I28" s="208" t="inlineStr">
        <is>
          <t>Person:</t>
        </is>
      </c>
      <c r="J28" s="216" t="inlineStr">
        <is>
          <t>Kills</t>
        </is>
      </c>
      <c r="S28" s="208" t="inlineStr">
        <is>
          <t>Person:</t>
        </is>
      </c>
      <c r="T28" s="216" t="inlineStr">
        <is>
          <t>Kill Points</t>
        </is>
      </c>
      <c r="AP28" s="208" t="inlineStr">
        <is>
          <t>Erick</t>
        </is>
      </c>
      <c r="AQ28" s="209">
        <f>VLOOKUP(AP28,$I$1:$R$18,2,FALSE()) *$AQ$15</f>
        <v/>
      </c>
      <c r="AR28" s="233">
        <f>VLOOKUP(AP28,$I$1:$R$18,3,FALSE()) *$AR$15</f>
        <v/>
      </c>
      <c r="AS28" s="234">
        <f>VLOOKUP(AP28,$I$1:$R$18,4,FALSE()) * $AS$15</f>
        <v/>
      </c>
      <c r="AT28" s="209">
        <f>VLOOKUP(AP28,$I$1:$R$18,5,FALSE()) *$AT$15</f>
        <v/>
      </c>
      <c r="AU28" s="233">
        <f>VLOOKUP(AP28,$I$1:$R$18,6,FALSE()) *$AU$15</f>
        <v/>
      </c>
      <c r="AV28" s="234">
        <f>VLOOKUP(AP28,$I$1:$R$18,7,FALSE()) * $AV$15</f>
        <v/>
      </c>
      <c r="AW28" s="209">
        <f>VLOOKUP(AP28,$I$1:$R$18,8,FALSE()) *$AW$15</f>
        <v/>
      </c>
      <c r="AX28" s="235">
        <f>VLOOKUP(AP28,$I$1:$R$18,9,FALSE()) *$AX$15</f>
        <v/>
      </c>
      <c r="AY28" s="234">
        <f>VLOOKUP(AP28,$I$1:$R$18,10,FALSE()) * $AY$15</f>
        <v/>
      </c>
      <c r="AZ28" s="236">
        <f>SUM(AQ28:AY28)</f>
        <v/>
      </c>
    </row>
    <row r="29" ht="14.25" customHeight="1" s="175">
      <c r="A29" s="189" t="inlineStr">
        <is>
          <t>Will</t>
        </is>
      </c>
      <c r="B29" s="190" t="n">
        <v>1</v>
      </c>
      <c r="C29" s="191" t="inlineStr">
        <is>
          <t>Mikey</t>
        </is>
      </c>
      <c r="D29" s="192" t="inlineStr">
        <is>
          <t>2026-01-29 15:20:05</t>
        </is>
      </c>
      <c r="E29" s="173" t="inlineStr">
        <is>
          <t>https://cdn.discordapp.com/ephemeral-attachments/1450933256630440049/1466528318617551094/IMG_6696.png?ex=697d126d&amp;is=697bc0ed&amp;hm=7f525ee4234f887397e5bb5a625986b7b9b97e50513cb9ccd952912e543e1ffa&amp;</t>
        </is>
      </c>
      <c r="F29" s="192" t="inlineStr">
        <is>
          <t>525816152161648680</t>
        </is>
      </c>
      <c r="G29" s="173" t="inlineStr">
        <is>
          <t>688178971183153173</t>
        </is>
      </c>
      <c r="I29" s="208" t="inlineStr">
        <is>
          <t>Mikey</t>
        </is>
      </c>
      <c r="J29" s="209">
        <f>VLOOKUP(I29,$I$1:$R$18,2,FALSE())</f>
        <v/>
      </c>
      <c r="S29" s="208" t="inlineStr">
        <is>
          <t>Will</t>
        </is>
      </c>
      <c r="T29" s="209">
        <f>VLOOKUP(S29,$I$1:$R$18,5,FALSE())</f>
        <v/>
      </c>
      <c r="AP29" s="208" t="inlineStr">
        <is>
          <t>Joey</t>
        </is>
      </c>
      <c r="AQ29" s="209">
        <f>VLOOKUP(AP29,$I$1:$R$18,2,FALSE()) *$AQ$15</f>
        <v/>
      </c>
      <c r="AR29" s="233">
        <f>VLOOKUP(AP29,$I$1:$R$18,3,FALSE()) *$AR$15</f>
        <v/>
      </c>
      <c r="AS29" s="234">
        <f>VLOOKUP(AP29,$I$1:$R$18,4,FALSE()) * $AS$15</f>
        <v/>
      </c>
      <c r="AT29" s="209">
        <f>VLOOKUP(AP29,$I$1:$R$18,5,FALSE()) *$AT$15</f>
        <v/>
      </c>
      <c r="AU29" s="233">
        <f>VLOOKUP(AP29,$I$1:$R$18,6,FALSE()) *$AU$15</f>
        <v/>
      </c>
      <c r="AV29" s="234">
        <f>VLOOKUP(AP29,$I$1:$R$18,7,FALSE()) * $AV$15</f>
        <v/>
      </c>
      <c r="AW29" s="209">
        <f>VLOOKUP(AP29,$I$1:$R$18,8,FALSE()) *$AW$15</f>
        <v/>
      </c>
      <c r="AX29" s="235">
        <f>VLOOKUP(AP29,$I$1:$R$18,9,FALSE()) *$AX$15</f>
        <v/>
      </c>
      <c r="AY29" s="234">
        <f>VLOOKUP(AP29,$I$1:$R$18,10,FALSE()) * $AY$15</f>
        <v/>
      </c>
      <c r="AZ29" s="236">
        <f>SUM(AQ29:AY29)</f>
        <v/>
      </c>
    </row>
    <row r="30" ht="14.25" customHeight="1" s="175">
      <c r="A30" s="189" t="inlineStr">
        <is>
          <t>Lucy</t>
        </is>
      </c>
      <c r="B30" s="190" t="n">
        <v>2</v>
      </c>
      <c r="C30" s="191" t="inlineStr">
        <is>
          <t>Will</t>
        </is>
      </c>
      <c r="D30" s="192" t="inlineStr">
        <is>
          <t>2026-01-30 09:56:34</t>
        </is>
      </c>
      <c r="E30" s="173" t="inlineStr">
        <is>
          <t>https://cdn.discordapp.com/ephemeral-attachments/1450933256630440049/1466809307021705463/IMG_1885.jpg?ex=697e181e&amp;is=697cc69e&amp;hm=7cc9c28c4f72eb5b602486120e78cef1c0f6d4764275f06ad42b4079fa73204b&amp;</t>
        </is>
      </c>
      <c r="F30" s="207" t="inlineStr">
        <is>
          <t>707377558940811335</t>
        </is>
      </c>
      <c r="G30" s="173" t="inlineStr">
        <is>
          <t>678304540856025153</t>
        </is>
      </c>
      <c r="I30" s="208" t="inlineStr">
        <is>
          <t>Rob</t>
        </is>
      </c>
      <c r="J30" s="209">
        <f>VLOOKUP(I30,$I$1:$R$18,2,FALSE())</f>
        <v/>
      </c>
      <c r="S30" s="208" t="inlineStr">
        <is>
          <t>Peter</t>
        </is>
      </c>
      <c r="T30" s="209">
        <f>VLOOKUP(S30,$I$1:$R$18,5,FALSE())</f>
        <v/>
      </c>
      <c r="AP30" s="208" t="inlineStr">
        <is>
          <t>Peter</t>
        </is>
      </c>
      <c r="AQ30" s="209">
        <f>VLOOKUP(AP30,$I$1:$R$18,2,FALSE()) *$AQ$15</f>
        <v/>
      </c>
      <c r="AR30" s="233">
        <f>VLOOKUP(AP30,$I$1:$R$18,3,FALSE()) *$AR$15</f>
        <v/>
      </c>
      <c r="AS30" s="234">
        <f>VLOOKUP(AP30,$I$1:$R$18,4,FALSE()) * $AS$15</f>
        <v/>
      </c>
      <c r="AT30" s="209">
        <f>VLOOKUP(AP30,$I$1:$R$18,5,FALSE()) *$AT$15</f>
        <v/>
      </c>
      <c r="AU30" s="233">
        <f>VLOOKUP(AP30,$I$1:$R$18,6,FALSE()) *$AU$15</f>
        <v/>
      </c>
      <c r="AV30" s="234">
        <f>VLOOKUP(AP30,$I$1:$R$18,7,FALSE()) * $AV$15</f>
        <v/>
      </c>
      <c r="AW30" s="209">
        <f>VLOOKUP(AP30,$I$1:$R$18,8,FALSE()) *$AW$15</f>
        <v/>
      </c>
      <c r="AX30" s="235">
        <f>VLOOKUP(AP30,$I$1:$R$18,9,FALSE()) *$AX$15</f>
        <v/>
      </c>
      <c r="AY30" s="234">
        <f>VLOOKUP(AP30,$I$1:$R$18,10,FALSE()) * $AY$15</f>
        <v/>
      </c>
      <c r="AZ30" s="236">
        <f>SUM(AQ30:AY30)</f>
        <v/>
      </c>
    </row>
    <row r="31" ht="14.25" customHeight="1" s="175">
      <c r="A31" s="189" t="inlineStr">
        <is>
          <t>Ethan</t>
        </is>
      </c>
      <c r="B31" s="190" t="n">
        <v>2</v>
      </c>
      <c r="C31" s="191" t="inlineStr">
        <is>
          <t>Reuben</t>
        </is>
      </c>
      <c r="D31" s="192" t="inlineStr">
        <is>
          <t>2026-01-30 19:35:21</t>
        </is>
      </c>
      <c r="E31" s="173" t="inlineStr">
        <is>
          <t>https://cdn.discordapp.com/ephemeral-attachments/1450933256630440049/1466954958590050507/IMG_1888.jpg?ex=697e9fc4&amp;is=697d4e44&amp;hm=22ed064a4da54bb126516fe908746923c4250f1b703f4167c5a8dacfb7410caa&amp;</t>
        </is>
      </c>
      <c r="F31" s="207" t="inlineStr">
        <is>
          <t>707377558940811335</t>
        </is>
      </c>
      <c r="G31" s="173" t="inlineStr">
        <is>
          <t>1021390383915204648</t>
        </is>
      </c>
      <c r="I31" s="208" t="inlineStr">
        <is>
          <t>Lucy</t>
        </is>
      </c>
      <c r="J31" s="209">
        <f>VLOOKUP(I31,$I$1:$R$18,2,FALSE())</f>
        <v/>
      </c>
      <c r="S31" s="208" t="inlineStr">
        <is>
          <t>Mikey</t>
        </is>
      </c>
      <c r="T31" s="209">
        <f>VLOOKUP(S31,$I$1:$R$18,5,FALSE())</f>
        <v/>
      </c>
      <c r="AP31" s="208" t="inlineStr">
        <is>
          <t>Reuben</t>
        </is>
      </c>
      <c r="AQ31" s="209">
        <f>VLOOKUP(AP31,$I$1:$R$18,2,FALSE()) *$AQ$15</f>
        <v/>
      </c>
      <c r="AR31" s="233">
        <f>VLOOKUP(AP31,$I$1:$R$18,3,FALSE()) *$AR$15</f>
        <v/>
      </c>
      <c r="AS31" s="234">
        <f>VLOOKUP(AP31,$I$1:$R$18,4,FALSE()) * $AS$15</f>
        <v/>
      </c>
      <c r="AT31" s="209">
        <f>VLOOKUP(AP31,$I$1:$R$18,5,FALSE()) *$AT$15</f>
        <v/>
      </c>
      <c r="AU31" s="233">
        <f>VLOOKUP(AP31,$I$1:$R$18,6,FALSE()) *$AU$15</f>
        <v/>
      </c>
      <c r="AV31" s="234">
        <f>VLOOKUP(AP31,$I$1:$R$18,7,FALSE()) * $AV$15</f>
        <v/>
      </c>
      <c r="AW31" s="209">
        <f>VLOOKUP(AP31,$I$1:$R$18,8,FALSE()) *$AW$15</f>
        <v/>
      </c>
      <c r="AX31" s="235">
        <f>VLOOKUP(AP31,$I$1:$R$18,9,FALSE()) *$AX$15</f>
        <v/>
      </c>
      <c r="AY31" s="234">
        <f>VLOOKUP(AP31,$I$1:$R$18,10,FALSE()) * $AY$15</f>
        <v/>
      </c>
      <c r="AZ31" s="236">
        <f>SUM(AQ31:AY31)</f>
        <v/>
      </c>
    </row>
    <row r="32" ht="14.25" customHeight="1" s="175">
      <c r="A32" s="189" t="inlineStr">
        <is>
          <t>Ethan</t>
        </is>
      </c>
      <c r="B32" s="190" t="n">
        <v>2</v>
      </c>
      <c r="C32" s="191" t="inlineStr">
        <is>
          <t>Evan</t>
        </is>
      </c>
      <c r="D32" s="192" t="inlineStr">
        <is>
          <t>2026-01-30 19:36:21</t>
        </is>
      </c>
      <c r="E32" s="173" t="inlineStr">
        <is>
          <t>https://cdn.discordapp.com/ephemeral-attachments/1450933256630440049/1466955212412555264/20260130_193449.jpg?ex=697ea001&amp;is=697d4e81&amp;hm=fd79e0b5351c691b5f0722bd5f52fa6e637d4ba03d0cce4280a1eb160f96e1c5&amp;</t>
        </is>
      </c>
      <c r="F32" s="207" t="inlineStr">
        <is>
          <t>1021390383915204648</t>
        </is>
      </c>
      <c r="G32" s="173" t="inlineStr">
        <is>
          <t>707377558940811335</t>
        </is>
      </c>
      <c r="I32" s="208" t="inlineStr">
        <is>
          <t>Will</t>
        </is>
      </c>
      <c r="J32" s="209">
        <f>VLOOKUP(I32,$I$1:$R$18,2,FALSE())</f>
        <v/>
      </c>
      <c r="S32" s="208" t="inlineStr">
        <is>
          <t>Lucy</t>
        </is>
      </c>
      <c r="T32" s="209">
        <f>VLOOKUP(S32,$I$1:$R$18,5,FALSE())</f>
        <v/>
      </c>
    </row>
    <row r="33" ht="14.25" customHeight="1" s="175">
      <c r="A33" s="189" t="inlineStr">
        <is>
          <t>Ethan</t>
        </is>
      </c>
      <c r="B33" s="190" t="n">
        <v>2</v>
      </c>
      <c r="C33" s="191" t="inlineStr">
        <is>
          <t>Mikey</t>
        </is>
      </c>
      <c r="D33" s="192" t="inlineStr">
        <is>
          <t>2026-01-30 20:17:51</t>
        </is>
      </c>
      <c r="E33" s="173" t="inlineStr">
        <is>
          <t>https://cdn.discordapp.com/ephemeral-attachments/1450933256630440049/1466965655726063812/20260130_201704.jpg?ex=697ea9bb&amp;is=697d583b&amp;hm=67c45ff04de6c23b572ecc9217c90289dc7a567e75fc9ca3df6f5668ce7ad524&amp;</t>
        </is>
      </c>
      <c r="F33" s="207" t="inlineStr">
        <is>
          <t>1021390383915204648</t>
        </is>
      </c>
      <c r="G33" s="173" t="inlineStr">
        <is>
          <t>619268961393049601</t>
        </is>
      </c>
      <c r="I33" s="208" t="inlineStr">
        <is>
          <t>Peter</t>
        </is>
      </c>
      <c r="J33" s="209">
        <f>VLOOKUP(I33,$I$1:$R$18,2,FALSE())</f>
        <v/>
      </c>
      <c r="S33" s="208" t="inlineStr">
        <is>
          <t>Rob</t>
        </is>
      </c>
      <c r="T33" s="209">
        <f>VLOOKUP(S33,$I$1:$R$18,5,FALSE())</f>
        <v/>
      </c>
      <c r="AJ33" s="246" t="n"/>
    </row>
    <row r="34" ht="14.25" customHeight="1" s="175">
      <c r="A34" s="189" t="inlineStr">
        <is>
          <t>Vignesh</t>
        </is>
      </c>
      <c r="B34" s="190" t="n">
        <v>2</v>
      </c>
      <c r="C34" s="191" t="inlineStr">
        <is>
          <t>Carter</t>
        </is>
      </c>
      <c r="D34" s="192" t="inlineStr">
        <is>
          <t>2026-01-30 20:18:46</t>
        </is>
      </c>
      <c r="E34" s="173" t="inlineStr">
        <is>
          <t>https://cdn.discordapp.com/ephemeral-attachments/1450933256630440049/1466965884680536065/BC64918C-BCF2-4575-9DFA-52ECCA5E5301.jpg?ex=697ea9f1&amp;is=697d5871&amp;hm=93fab4fcaa7626ab468fe9ed02ef7cb48e276bd09a0b9b4033663fadc0f9a558&amp;</t>
        </is>
      </c>
      <c r="F34" s="207" t="inlineStr">
        <is>
          <t>619268961393049601</t>
        </is>
      </c>
      <c r="G34" s="173" t="inlineStr">
        <is>
          <t>1021390383915204648</t>
        </is>
      </c>
      <c r="I34" s="208" t="inlineStr">
        <is>
          <t>Evan</t>
        </is>
      </c>
      <c r="J34" s="209">
        <f>VLOOKUP(I34,$I$1:$R$18,2,FALSE())</f>
        <v/>
      </c>
      <c r="S34" s="208" t="inlineStr">
        <is>
          <t>Evan</t>
        </is>
      </c>
      <c r="T34" s="209">
        <f>VLOOKUP(S34,$I$1:$R$18,5,FALSE())</f>
        <v/>
      </c>
      <c r="AJ34" s="246" t="n"/>
    </row>
    <row r="35" ht="14.25" customHeight="1" s="175">
      <c r="A35" s="189" t="inlineStr">
        <is>
          <t>Ethan</t>
        </is>
      </c>
      <c r="B35" s="190" t="n">
        <v>2</v>
      </c>
      <c r="C35" s="191" t="inlineStr">
        <is>
          <t>Rob</t>
        </is>
      </c>
      <c r="D35" s="192" t="inlineStr">
        <is>
          <t>2026-01-30 20:25:01</t>
        </is>
      </c>
      <c r="E35" s="173" t="inlineStr">
        <is>
          <t>https://cdn.discordapp.com/ephemeral-attachments/1450933256630440049/1466967456986693815/IMG_1889.jpg?ex=697eab68&amp;is=697d59e8&amp;hm=14e096ccbee184010e9a079487d7b3e26536d77b988a090d4936fe7afb15f34c&amp;</t>
        </is>
      </c>
      <c r="F35" s="192" t="inlineStr">
        <is>
          <t>707377558940811335</t>
        </is>
      </c>
      <c r="G35" s="173" t="inlineStr">
        <is>
          <t>619268961393049601</t>
        </is>
      </c>
      <c r="I35" s="208" t="inlineStr">
        <is>
          <t>Anthony</t>
        </is>
      </c>
      <c r="J35" s="209">
        <f>VLOOKUP(I35,$I$1:$R$18,2,FALSE())</f>
        <v/>
      </c>
      <c r="S35" s="208" t="inlineStr">
        <is>
          <t>Anthony</t>
        </is>
      </c>
      <c r="T35" s="209">
        <f>VLOOKUP(S35,$I$1:$R$18,5,FALSE())</f>
        <v/>
      </c>
      <c r="AJ35" s="246" t="n"/>
      <c r="AP35" s="248" t="inlineStr">
        <is>
          <t>Person:</t>
        </is>
      </c>
      <c r="AQ35" s="249" t="inlineStr">
        <is>
          <t>Score</t>
        </is>
      </c>
      <c r="AR35" s="249" t="inlineStr">
        <is>
          <t>Adjusted</t>
        </is>
      </c>
      <c r="AS35" s="246" t="n"/>
    </row>
    <row r="36" ht="14.25" customHeight="1" s="175">
      <c r="A36" s="189" t="inlineStr">
        <is>
          <t>Lucy</t>
        </is>
      </c>
      <c r="B36" s="190" t="n">
        <v>1</v>
      </c>
      <c r="C36" s="191" t="inlineStr">
        <is>
          <t>Reuben</t>
        </is>
      </c>
      <c r="D36" s="192" t="inlineStr">
        <is>
          <t>2026-02-02 14:03:09</t>
        </is>
      </c>
      <c r="E36" s="173" t="inlineStr">
        <is>
          <t>https://cdn.discordapp.com/ephemeral-attachments/1450933256630440049/1467958503074172958/IMG_1909.jpg?ex=69824664&amp;is=6980f4e4&amp;hm=f8b71e54aa0c2dea916ba8d3b14ab17e809415b76e0d03a6397b2dc58b95db07&amp;</t>
        </is>
      </c>
      <c r="F36" s="207" t="inlineStr">
        <is>
          <t>707377558940811335</t>
        </is>
      </c>
      <c r="G36" s="173" t="inlineStr">
        <is>
          <t>288299360557465600</t>
        </is>
      </c>
      <c r="I36" s="208" t="inlineStr">
        <is>
          <t>Carter</t>
        </is>
      </c>
      <c r="J36" s="209">
        <f>VLOOKUP(I36,$I$1:$R$18,2,FALSE())</f>
        <v/>
      </c>
      <c r="S36" s="208" t="inlineStr">
        <is>
          <t>Carter</t>
        </is>
      </c>
      <c r="T36" s="209">
        <f>VLOOKUP(S36,$I$1:$R$18,5,FALSE())</f>
        <v/>
      </c>
      <c r="AJ36" s="246" t="n"/>
      <c r="AO36" s="250" t="inlineStr">
        <is>
          <t>Hmm maybe it's rigged</t>
        </is>
      </c>
      <c r="AP36" s="208" t="inlineStr">
        <is>
          <t>Peter</t>
        </is>
      </c>
      <c r="AQ36" s="236">
        <f>VLOOKUP(AP36,$AP$13:$AZ$31,11,FALSE())</f>
        <v/>
      </c>
      <c r="AR36" s="251">
        <f>AQ36-$AQ$51</f>
        <v/>
      </c>
      <c r="AS36" s="173" t="n">
        <v>1</v>
      </c>
    </row>
    <row r="37" ht="14.25" customHeight="1" s="175">
      <c r="A37" s="189" t="inlineStr">
        <is>
          <t>Ethan</t>
        </is>
      </c>
      <c r="B37" s="190" t="n">
        <v>2</v>
      </c>
      <c r="C37" s="191" t="inlineStr">
        <is>
          <t>Reuben</t>
        </is>
      </c>
      <c r="D37" s="192" t="inlineStr">
        <is>
          <t>2026-02-02 14:45:39</t>
        </is>
      </c>
      <c r="E37" s="173" t="inlineStr">
        <is>
          <t>https://cdn.discordapp.com/ephemeral-attachments/1450933256630440049/1467969197710512303/PXL_20260202_194449365.jpg?ex=6982505a&amp;is=6980feda&amp;hm=0af2d792e9dcbd293cd892f60fbbc4c9b453b9dd013e919e5dfc35e28c985550&amp;</t>
        </is>
      </c>
      <c r="F37" s="192" t="inlineStr">
        <is>
          <t>290654652838576130</t>
        </is>
      </c>
      <c r="G37" s="173" t="inlineStr">
        <is>
          <t>688178971183153173</t>
        </is>
      </c>
      <c r="I37" s="208" t="inlineStr">
        <is>
          <t>Vignesh</t>
        </is>
      </c>
      <c r="J37" s="209">
        <f>VLOOKUP(I37,$I$1:$R$18,2,FALSE())</f>
        <v/>
      </c>
      <c r="S37" s="208" t="inlineStr">
        <is>
          <t>Vignesh</t>
        </is>
      </c>
      <c r="T37" s="209">
        <f>VLOOKUP(S37,$I$1:$R$18,5,FALSE())</f>
        <v/>
      </c>
      <c r="AJ37" s="246" t="n"/>
      <c r="AP37" s="208" t="inlineStr">
        <is>
          <t>Will</t>
        </is>
      </c>
      <c r="AQ37" s="236">
        <f>VLOOKUP(AP37,$AP$13:$AZ$31,11,FALSE())</f>
        <v/>
      </c>
      <c r="AR37" s="251">
        <f>AQ37-$AQ$51</f>
        <v/>
      </c>
      <c r="AS37" s="173" t="n">
        <v>2</v>
      </c>
    </row>
    <row r="38" ht="14.25" customHeight="1" s="175">
      <c r="A38" s="189" t="inlineStr">
        <is>
          <t>Mikey</t>
        </is>
      </c>
      <c r="B38" s="190" t="n">
        <v>1</v>
      </c>
      <c r="C38" s="191" t="inlineStr">
        <is>
          <t>Lucy</t>
        </is>
      </c>
      <c r="D38" s="192" t="inlineStr">
        <is>
          <t>2026-02-02 14:45:47</t>
        </is>
      </c>
      <c r="E38" s="173" t="inlineStr">
        <is>
          <t>https://cdn.discordapp.com/ephemeral-attachments/1450933256630440049/1467969228752556155/IMG_6714.jpg?ex=69825061&amp;is=6980fee1&amp;hm=0d47feb0d4d00f15acfc502cdf3cb5f367b2b70b5f4c40becaa4b629d86cd7c1&amp;</t>
        </is>
      </c>
      <c r="F38" s="207" t="inlineStr">
        <is>
          <t>525816152161648680</t>
        </is>
      </c>
      <c r="G38" s="173" t="inlineStr">
        <is>
          <t>290654652838576130</t>
        </is>
      </c>
      <c r="I38" s="208" t="inlineStr">
        <is>
          <t>Ethan</t>
        </is>
      </c>
      <c r="J38" s="209">
        <f>VLOOKUP(I38,$I$1:$R$18,2,FALSE())</f>
        <v/>
      </c>
      <c r="S38" s="208" t="inlineStr">
        <is>
          <t>Ethan</t>
        </is>
      </c>
      <c r="T38" s="209">
        <f>VLOOKUP(S38,$I$1:$R$18,5,FALSE())</f>
        <v/>
      </c>
      <c r="AJ38" s="246" t="n"/>
      <c r="AP38" s="208" t="inlineStr">
        <is>
          <t>Carter</t>
        </is>
      </c>
      <c r="AQ38" s="236">
        <f>VLOOKUP(AP38,$AP$13:$AZ$31,11,FALSE())</f>
        <v/>
      </c>
      <c r="AR38" s="251">
        <f>AQ38-$AQ$51</f>
        <v/>
      </c>
      <c r="AS38" s="173" t="n">
        <v>3</v>
      </c>
    </row>
    <row r="39" ht="14.25" customHeight="1" s="175">
      <c r="A39" s="189" t="inlineStr">
        <is>
          <t>Lucy</t>
        </is>
      </c>
      <c r="B39" s="190" t="n">
        <v>1</v>
      </c>
      <c r="C39" s="191" t="inlineStr">
        <is>
          <t>Mikey</t>
        </is>
      </c>
      <c r="D39" s="192" t="inlineStr">
        <is>
          <t>2026-02-02 14:45:52</t>
        </is>
      </c>
      <c r="E39" s="173" t="inlineStr">
        <is>
          <t>https://cdn.discordapp.com/ephemeral-attachments/1450933256630440049/1467969250227523645/PXL_20260202_194502543.jpg?ex=69825066&amp;is=6980fee6&amp;hm=7658d52728ecaba56757d8913c388dcf012e201808cbe8165dce0bd9d872e45b&amp;</t>
        </is>
      </c>
      <c r="F39" s="207" t="inlineStr">
        <is>
          <t>290654652838576130</t>
        </is>
      </c>
      <c r="G39" s="173" t="inlineStr">
        <is>
          <t>525816152161648680</t>
        </is>
      </c>
      <c r="I39" s="208" t="inlineStr">
        <is>
          <t>Maxine</t>
        </is>
      </c>
      <c r="J39" s="209">
        <f>VLOOKUP(I39,$I$1:$R$18,2,FALSE())</f>
        <v/>
      </c>
      <c r="S39" s="208" t="inlineStr">
        <is>
          <t>Maxine</t>
        </is>
      </c>
      <c r="T39" s="209">
        <f>VLOOKUP(S39,$I$1:$R$18,5,FALSE())</f>
        <v/>
      </c>
      <c r="AJ39" s="246" t="n"/>
      <c r="AP39" s="208" t="inlineStr">
        <is>
          <t>Evan</t>
        </is>
      </c>
      <c r="AQ39" s="236">
        <f>VLOOKUP(AP39,$AP$13:$AZ$31,11,FALSE())</f>
        <v/>
      </c>
      <c r="AR39" s="251">
        <f>AQ39-$AQ$51</f>
        <v/>
      </c>
      <c r="AS39" s="173" t="n">
        <v>4</v>
      </c>
    </row>
    <row r="40" ht="14.25" customHeight="1" s="175">
      <c r="A40" s="189" t="inlineStr">
        <is>
          <t>Mikey</t>
        </is>
      </c>
      <c r="B40" s="190" t="n">
        <v>1</v>
      </c>
      <c r="C40" s="191" t="inlineStr">
        <is>
          <t>Will</t>
        </is>
      </c>
      <c r="D40" s="192" t="inlineStr">
        <is>
          <t>2026-02-02 17:05:49</t>
        </is>
      </c>
      <c r="E40" s="173" t="inlineStr">
        <is>
          <t>https://cdn.discordapp.com/ephemeral-attachments/1450933256630440049/1468004469202489526/E5BB0A1C-6047-4100-9411-CEDD0B8DED5D.jpg?ex=69827133&amp;is=69811fb3&amp;hm=8bdc04c9ed1cb562a9bd322f3b9290e2f67f65f1ffb6d3c0888fa6f4be875f5d&amp;</t>
        </is>
      </c>
      <c r="F40" s="207" t="inlineStr">
        <is>
          <t>619268961393049601</t>
        </is>
      </c>
      <c r="G40" s="173" t="inlineStr">
        <is>
          <t>689822943307759670</t>
        </is>
      </c>
      <c r="I40" s="208" t="inlineStr">
        <is>
          <t>Grady</t>
        </is>
      </c>
      <c r="J40" s="209">
        <f>VLOOKUP(I40,$I$1:$R$18,2,FALSE())</f>
        <v/>
      </c>
      <c r="S40" s="208" t="inlineStr">
        <is>
          <t>Grady</t>
        </is>
      </c>
      <c r="T40" s="209">
        <f>VLOOKUP(S40,$I$1:$R$18,5,FALSE())</f>
        <v/>
      </c>
      <c r="AJ40" s="246" t="n"/>
      <c r="AP40" s="208" t="inlineStr">
        <is>
          <t>Vignesh</t>
        </is>
      </c>
      <c r="AQ40" s="236">
        <f>VLOOKUP(AP40,$AP$13:$AZ$31,11,FALSE())</f>
        <v/>
      </c>
      <c r="AR40" s="251">
        <f>AQ40-$AQ$51</f>
        <v/>
      </c>
      <c r="AS40" s="173" t="n">
        <v>5</v>
      </c>
    </row>
    <row r="41" ht="14.25" customHeight="1" s="175">
      <c r="A41" s="189" t="inlineStr">
        <is>
          <t>Will</t>
        </is>
      </c>
      <c r="B41" s="190" t="n">
        <v>1</v>
      </c>
      <c r="C41" s="191" t="inlineStr">
        <is>
          <t>Mikey</t>
        </is>
      </c>
      <c r="D41" s="192" t="inlineStr">
        <is>
          <t>2026-02-02 17:16:46</t>
        </is>
      </c>
      <c r="E41" s="173" t="inlineStr">
        <is>
          <t>https://cdn.discordapp.com/ephemeral-attachments/1450933256630440049/1468007226076692540/IMG_2298.jpg?ex=698273c4&amp;is=69812244&amp;hm=b198fa47e6cf0b52fcf6135f72d6274b5424233bc5a626056c76efeab7a00c8c&amp;</t>
        </is>
      </c>
      <c r="F41" s="192" t="inlineStr">
        <is>
          <t>288299360557465600</t>
        </is>
      </c>
      <c r="G41" s="173" t="inlineStr">
        <is>
          <t>619268961393049601</t>
        </is>
      </c>
      <c r="I41" s="208" t="inlineStr">
        <is>
          <t>Cooper</t>
        </is>
      </c>
      <c r="J41" s="209">
        <f>VLOOKUP(I41,$I$1:$R$18,2,FALSE())</f>
        <v/>
      </c>
      <c r="S41" s="208" t="inlineStr">
        <is>
          <t>Cooper</t>
        </is>
      </c>
      <c r="T41" s="209">
        <f>VLOOKUP(S41,$I$1:$R$18,5,FALSE())</f>
        <v/>
      </c>
      <c r="AJ41" s="246" t="n"/>
      <c r="AP41" s="208" t="inlineStr">
        <is>
          <t>Ethan</t>
        </is>
      </c>
      <c r="AQ41" s="236">
        <f>VLOOKUP(AP41,$AP$13:$AZ$31,11,FALSE())</f>
        <v/>
      </c>
      <c r="AR41" s="251">
        <f>AQ41-$AQ$51</f>
        <v/>
      </c>
      <c r="AS41" s="173" t="n">
        <v>6</v>
      </c>
    </row>
    <row r="42" ht="14.25" customHeight="1" s="175">
      <c r="A42" s="189" t="inlineStr">
        <is>
          <t>Rob</t>
        </is>
      </c>
      <c r="B42" s="190" t="n">
        <v>1</v>
      </c>
      <c r="C42" s="191" t="inlineStr">
        <is>
          <t>Lucy</t>
        </is>
      </c>
      <c r="D42" s="192" t="inlineStr">
        <is>
          <t>2026-02-02 17:17:15</t>
        </is>
      </c>
      <c r="E42" s="173" t="inlineStr">
        <is>
          <t>https://cdn.discordapp.com/ephemeral-attachments/1450933256630440049/1468007345949900912/115BA10D-B850-4F9B-AA3E-E47916468D55.jpg?ex=698273e1&amp;is=69812261&amp;hm=fcf371122c981ee21f1d690ca9dfc94491b2c66bc75b50c85df0e01bc27b4b2e&amp;</t>
        </is>
      </c>
      <c r="F42" s="207" t="inlineStr">
        <is>
          <t>619268961393049601</t>
        </is>
      </c>
      <c r="G42" s="173" t="inlineStr">
        <is>
          <t>288299360557465600</t>
        </is>
      </c>
      <c r="I42" s="208" t="inlineStr">
        <is>
          <t>Joey</t>
        </is>
      </c>
      <c r="J42" s="209">
        <f>VLOOKUP(I42,$I$1:$R$18,2,FALSE())</f>
        <v/>
      </c>
      <c r="S42" s="208" t="inlineStr">
        <is>
          <t>Joey</t>
        </is>
      </c>
      <c r="T42" s="209">
        <f>VLOOKUP(S42,$I$1:$R$18,5,FALSE())</f>
        <v/>
      </c>
      <c r="AJ42" s="246" t="n"/>
      <c r="AP42" s="208" t="inlineStr">
        <is>
          <t>Maxine</t>
        </is>
      </c>
      <c r="AQ42" s="236">
        <f>VLOOKUP(AP42,$AP$13:$AZ$31,11,FALSE())</f>
        <v/>
      </c>
      <c r="AR42" s="251">
        <f>AQ42-$AQ$51</f>
        <v/>
      </c>
      <c r="AS42" s="173" t="n">
        <v>7</v>
      </c>
    </row>
    <row r="43" ht="14.25" customHeight="1" s="175">
      <c r="A43" s="189" t="inlineStr">
        <is>
          <t>Lucy</t>
        </is>
      </c>
      <c r="B43" s="190" t="n">
        <v>1</v>
      </c>
      <c r="C43" s="191" t="inlineStr">
        <is>
          <t>Rob</t>
        </is>
      </c>
      <c r="D43" s="192" t="inlineStr">
        <is>
          <t>2026-02-02 17:18:02</t>
        </is>
      </c>
      <c r="E43" s="173" t="inlineStr">
        <is>
          <t>https://cdn.discordapp.com/ephemeral-attachments/1450933256630440049/1468007544772497428/IMG_2299.jpg?ex=69827410&amp;is=69812290&amp;hm=729feba9dfb43c2f182f2f6b88385f3c0cd9cb7aebeb6d44f227c4c84c71af87&amp;</t>
        </is>
      </c>
      <c r="F43" s="207" t="inlineStr">
        <is>
          <t>288299360557465600</t>
        </is>
      </c>
      <c r="G43" s="173" t="inlineStr">
        <is>
          <t>423221841872814081</t>
        </is>
      </c>
      <c r="I43" s="208" t="inlineStr">
        <is>
          <t>Erick</t>
        </is>
      </c>
      <c r="J43" s="209">
        <f>VLOOKUP(I43,$I$1:$R$18,2,FALSE())</f>
        <v/>
      </c>
      <c r="S43" s="208" t="inlineStr">
        <is>
          <t>Erick</t>
        </is>
      </c>
      <c r="T43" s="209">
        <f>VLOOKUP(S43,$I$1:$R$18,5,FALSE())</f>
        <v/>
      </c>
      <c r="AJ43" s="246" t="n"/>
      <c r="AP43" s="208" t="inlineStr">
        <is>
          <t>Lucy</t>
        </is>
      </c>
      <c r="AQ43" s="236">
        <f>VLOOKUP(AP43,$AP$13:$AZ$31,11,FALSE())</f>
        <v/>
      </c>
      <c r="AR43" s="251">
        <f>AQ43-$AQ$51</f>
        <v/>
      </c>
      <c r="AS43" s="173" t="n">
        <v>8</v>
      </c>
    </row>
    <row r="44" ht="14.25" customHeight="1" s="175">
      <c r="A44" s="189" t="inlineStr">
        <is>
          <t>Lucy</t>
        </is>
      </c>
      <c r="B44" s="190" t="n">
        <v>2</v>
      </c>
      <c r="C44" s="191" t="inlineStr">
        <is>
          <t>Will</t>
        </is>
      </c>
      <c r="D44" s="192" t="inlineStr">
        <is>
          <t>2026-02-02 17:18:17</t>
        </is>
      </c>
      <c r="E44" s="173" t="inlineStr">
        <is>
          <t>https://cdn.discordapp.com/ephemeral-attachments/1450933256630440049/1468007608190242977/IMG_3698.jpg?ex=69827420&amp;is=698122a0&amp;hm=c8160d7a5669a9dfa7393a19704ff0acbd7b66ce33ca1325d596a40a7f13c065&amp;</t>
        </is>
      </c>
      <c r="F44" s="207" t="inlineStr">
        <is>
          <t>619268961393049601</t>
        </is>
      </c>
      <c r="G44" s="173" t="inlineStr">
        <is>
          <t>423221841872814081</t>
        </is>
      </c>
      <c r="I44" s="208" t="inlineStr">
        <is>
          <t>Reuben</t>
        </is>
      </c>
      <c r="J44" s="209">
        <f>VLOOKUP(I44,$I$1:$R$18,2,FALSE())</f>
        <v/>
      </c>
      <c r="S44" s="208" t="inlineStr">
        <is>
          <t>Reuben</t>
        </is>
      </c>
      <c r="T44" s="209">
        <f>VLOOKUP(S44,$I$1:$R$18,5,FALSE())</f>
        <v/>
      </c>
      <c r="AJ44" s="246" t="n"/>
      <c r="AP44" s="208" t="inlineStr">
        <is>
          <t>Mikey</t>
        </is>
      </c>
      <c r="AQ44" s="236">
        <f>VLOOKUP(AP44,$AP$13:$AZ$31,11,FALSE())</f>
        <v/>
      </c>
      <c r="AR44" s="251">
        <f>AQ44-$AQ$51</f>
        <v/>
      </c>
      <c r="AS44" s="173" t="n">
        <v>9</v>
      </c>
    </row>
    <row r="45" ht="14.25" customHeight="1" s="175">
      <c r="A45" s="189" t="inlineStr">
        <is>
          <t>Will</t>
        </is>
      </c>
      <c r="B45" s="190" t="n">
        <v>2</v>
      </c>
      <c r="C45" s="191" t="inlineStr">
        <is>
          <t>Evan</t>
        </is>
      </c>
      <c r="D45" s="192" t="inlineStr">
        <is>
          <t>2026-02-02 17:18:43</t>
        </is>
      </c>
      <c r="E45" s="173" t="inlineStr">
        <is>
          <t>https://cdn.discordapp.com/ephemeral-attachments/1450933256630440049/1468007714268643501/20260202_171722.jpg?ex=69827439&amp;is=698122b9&amp;hm=148fd8e8395361425897936aac9b599c4272de2bca688597a281d6bbf33b127d&amp;</t>
        </is>
      </c>
      <c r="F45" s="192" t="inlineStr">
        <is>
          <t>423221841872814081</t>
        </is>
      </c>
      <c r="G45" s="173" t="inlineStr">
        <is>
          <t>288299360557465600</t>
        </is>
      </c>
      <c r="AJ45" s="246" t="n"/>
      <c r="AP45" s="208" t="inlineStr">
        <is>
          <t>Rob</t>
        </is>
      </c>
      <c r="AQ45" s="236">
        <f>VLOOKUP(AP45,$AP$13:$AZ$31,11,FALSE())</f>
        <v/>
      </c>
      <c r="AR45" s="251">
        <f>AQ45-$AQ$51</f>
        <v/>
      </c>
      <c r="AS45" s="173" t="n">
        <v>10</v>
      </c>
    </row>
    <row r="46" ht="14.25" customHeight="1" s="175">
      <c r="A46" s="189" t="inlineStr">
        <is>
          <t>Carter</t>
        </is>
      </c>
      <c r="B46" s="190" t="n">
        <v>2</v>
      </c>
      <c r="C46" s="191" t="inlineStr">
        <is>
          <t>Rob</t>
        </is>
      </c>
      <c r="D46" s="192" t="inlineStr">
        <is>
          <t>2026-02-02 17:19:43</t>
        </is>
      </c>
      <c r="E46" s="173" t="inlineStr">
        <is>
          <t>https://cdn.discordapp.com/ephemeral-attachments/1450933256630440049/1468007966287335606/20260202_171722.jpg?ex=69827475&amp;is=698122f5&amp;hm=906e89582ef5b8241ed030c186c0bf4b5e7e9dcd24b1be47cf5d7c0d5c8e66e6&amp;</t>
        </is>
      </c>
      <c r="F46" s="207" t="inlineStr">
        <is>
          <t>423221841872814081</t>
        </is>
      </c>
      <c r="G46" s="173" t="inlineStr">
        <is>
          <t>619268961393049601</t>
        </is>
      </c>
      <c r="I46" s="208" t="inlineStr">
        <is>
          <t>Person:</t>
        </is>
      </c>
      <c r="J46" s="216" t="inlineStr">
        <is>
          <t>Deaths</t>
        </is>
      </c>
      <c r="S46" s="208" t="inlineStr">
        <is>
          <t>Person:</t>
        </is>
      </c>
      <c r="T46" s="216" t="inlineStr">
        <is>
          <t>Death Points</t>
        </is>
      </c>
      <c r="AP46" s="208" t="inlineStr">
        <is>
          <t>Anthony</t>
        </is>
      </c>
      <c r="AQ46" s="236">
        <f>VLOOKUP(AP46,$AP$13:$AZ$31,11,FALSE())</f>
        <v/>
      </c>
      <c r="AR46" s="251">
        <f>AQ46-$AQ$51</f>
        <v/>
      </c>
      <c r="AS46" s="173" t="n">
        <v>11</v>
      </c>
    </row>
    <row r="47" ht="14.25" customHeight="1" s="175">
      <c r="A47" s="189" t="inlineStr">
        <is>
          <t>Rob</t>
        </is>
      </c>
      <c r="B47" s="190" t="n">
        <v>2</v>
      </c>
      <c r="C47" s="191" t="inlineStr">
        <is>
          <t>Evan</t>
        </is>
      </c>
      <c r="D47" s="192" t="inlineStr">
        <is>
          <t>2026-02-02 17:31:38</t>
        </is>
      </c>
      <c r="E47" s="173" t="inlineStr">
        <is>
          <t>https://cdn.discordapp.com/ephemeral-attachments/1450933256630440049/1468010966573777099/IMG_3699.jpg?ex=69827740&amp;is=698125c0&amp;hm=ece5ea47ff777526424e0e5506187200dd59e70e57edf1c43972c6ec82bf2027&amp;</t>
        </is>
      </c>
      <c r="F47" s="207" t="inlineStr">
        <is>
          <t>619268961393049601</t>
        </is>
      </c>
      <c r="G47" s="173" t="inlineStr">
        <is>
          <t>525816152161648680</t>
        </is>
      </c>
      <c r="I47" s="208" t="inlineStr">
        <is>
          <t>Mikey</t>
        </is>
      </c>
      <c r="J47" s="209">
        <f>VLOOKUP(I47,$I$1:$R$18,3,FALSE())</f>
        <v/>
      </c>
      <c r="S47" s="208" t="inlineStr">
        <is>
          <t>Mikey</t>
        </is>
      </c>
      <c r="T47" s="209">
        <f>VLOOKUP(S47,$I$1:$R$18,6,FALSE())</f>
        <v/>
      </c>
      <c r="AP47" s="208" t="inlineStr">
        <is>
          <t>Grady</t>
        </is>
      </c>
      <c r="AQ47" s="236">
        <f>VLOOKUP(AP47,$AP$13:$AZ$31,11,FALSE())</f>
        <v/>
      </c>
      <c r="AR47" s="251">
        <f>AQ47-$AQ$51</f>
        <v/>
      </c>
      <c r="AS47" s="173" t="n">
        <v>12</v>
      </c>
    </row>
    <row r="48" ht="14.25" customHeight="1" s="175">
      <c r="A48" s="189" t="inlineStr">
        <is>
          <t>Evan</t>
        </is>
      </c>
      <c r="B48" s="190" t="n">
        <v>1</v>
      </c>
      <c r="C48" s="191" t="inlineStr">
        <is>
          <t>Anthony</t>
        </is>
      </c>
      <c r="D48" s="192" t="inlineStr">
        <is>
          <t>2026-02-02 17:32:00</t>
        </is>
      </c>
      <c r="E48" s="173" t="inlineStr">
        <is>
          <t>https://cdn.discordapp.com/ephemeral-attachments/1450933256630440049/1468011055732232316/20260202_173103.jpg?ex=69827756&amp;is=698125d6&amp;hm=a4fe194afe9cf1ae503a7708c16af9facb0851130ccf07a5472e4b4d8b463b3d&amp;</t>
        </is>
      </c>
      <c r="F48" s="207" t="inlineStr">
        <is>
          <t>423221841872814081</t>
        </is>
      </c>
      <c r="G48" s="173" t="inlineStr">
        <is>
          <t>525816152161648680</t>
        </is>
      </c>
      <c r="I48" s="208" t="inlineStr">
        <is>
          <t>Rob</t>
        </is>
      </c>
      <c r="J48" s="209">
        <f>VLOOKUP(I48,$I$1:$R$18,3,FALSE())</f>
        <v/>
      </c>
      <c r="S48" s="208" t="inlineStr">
        <is>
          <t>Rob</t>
        </is>
      </c>
      <c r="T48" s="209">
        <f>VLOOKUP(S48,$I$1:$R$18,6,FALSE())</f>
        <v/>
      </c>
      <c r="AP48" s="208" t="inlineStr">
        <is>
          <t>Joey</t>
        </is>
      </c>
      <c r="AQ48" s="236">
        <f>VLOOKUP(AP48,$AP$13:$AZ$31,11,FALSE())</f>
        <v/>
      </c>
      <c r="AR48" s="251">
        <f>AQ48-$AQ$51</f>
        <v/>
      </c>
      <c r="AS48" s="173" t="n">
        <v>13</v>
      </c>
    </row>
    <row r="49" ht="14.25" customHeight="1" s="175">
      <c r="A49" s="189" t="inlineStr">
        <is>
          <t>Lucy</t>
        </is>
      </c>
      <c r="B49" s="190" t="n">
        <v>2</v>
      </c>
      <c r="C49" s="191" t="inlineStr">
        <is>
          <t>Evan</t>
        </is>
      </c>
      <c r="D49" s="192" t="inlineStr">
        <is>
          <t>2026-02-02 17:32:03</t>
        </is>
      </c>
      <c r="E49" s="173" t="inlineStr">
        <is>
          <t>https://cdn.discordapp.com/ephemeral-attachments/1450933256630440049/1468011062929654013/IMG_2300.jpg?ex=69827757&amp;is=698125d7&amp;hm=3d5e61c5d40c6191b92158799e735be855faf36ad0b8d417427f0fcc20d5aa19&amp;</t>
        </is>
      </c>
      <c r="F49" s="207" t="inlineStr">
        <is>
          <t>288299360557465600</t>
        </is>
      </c>
      <c r="G49" s="173" t="inlineStr">
        <is>
          <t>525816152161648680</t>
        </is>
      </c>
      <c r="I49" s="208" t="inlineStr">
        <is>
          <t>Lucy</t>
        </is>
      </c>
      <c r="J49" s="209">
        <f>VLOOKUP(I49,$I$1:$R$18,3,FALSE())</f>
        <v/>
      </c>
      <c r="S49" s="208" t="inlineStr">
        <is>
          <t>Lucy</t>
        </is>
      </c>
      <c r="T49" s="209">
        <f>VLOOKUP(S49,$I$1:$R$18,6,FALSE())</f>
        <v/>
      </c>
      <c r="AP49" s="208" t="inlineStr">
        <is>
          <t>Erick</t>
        </is>
      </c>
      <c r="AQ49" s="236">
        <f>VLOOKUP(AP49,$AP$13:$AZ$31,11,FALSE())</f>
        <v/>
      </c>
      <c r="AR49" s="251">
        <f>AQ49-$AQ$51</f>
        <v/>
      </c>
      <c r="AS49" s="173" t="n">
        <v>14</v>
      </c>
    </row>
    <row r="50" ht="14.25" customHeight="1" s="175">
      <c r="A50" s="189" t="inlineStr">
        <is>
          <t>Ethan</t>
        </is>
      </c>
      <c r="B50" s="190" t="n">
        <v>2</v>
      </c>
      <c r="C50" s="191" t="inlineStr">
        <is>
          <t>Mikey</t>
        </is>
      </c>
      <c r="D50" s="192" t="inlineStr">
        <is>
          <t>2026-02-03 10:43:37</t>
        </is>
      </c>
      <c r="E50" s="173" t="inlineStr">
        <is>
          <t>https://cdn.discordapp.com/ephemeral-attachments/1450933256630440049/1468270662958321735/20260203_104252.jpg?ex=6983691d&amp;is=6982179d&amp;hm=fb5ce47fe3e6a68d17b751925db8733c09f35503b0892c51665d8d738d2959bd&amp;</t>
        </is>
      </c>
      <c r="F50" s="207" t="inlineStr">
        <is>
          <t>310453864866512907</t>
        </is>
      </c>
      <c r="G50" s="173" t="inlineStr">
        <is>
          <t>525816152161648680</t>
        </is>
      </c>
      <c r="I50" s="208" t="inlineStr">
        <is>
          <t>Anthony</t>
        </is>
      </c>
      <c r="J50" s="209">
        <f>VLOOKUP(I50,$I$1:$R$18,3,FALSE())</f>
        <v/>
      </c>
      <c r="S50" s="208" t="inlineStr">
        <is>
          <t>Anthony</t>
        </is>
      </c>
      <c r="T50" s="209">
        <f>VLOOKUP(S50,$I$1:$R$18,6,FALSE())</f>
        <v/>
      </c>
      <c r="AO50" s="250" t="inlineStr">
        <is>
          <t>Best fodder</t>
        </is>
      </c>
      <c r="AP50" s="208" t="inlineStr">
        <is>
          <t>Cooper</t>
        </is>
      </c>
      <c r="AQ50" s="236">
        <f>VLOOKUP(AP50,$AP$13:$AZ$31,11,FALSE())</f>
        <v/>
      </c>
      <c r="AR50" s="251">
        <f>AQ50-$AQ$51</f>
        <v/>
      </c>
      <c r="AS50" s="173" t="n">
        <v>15</v>
      </c>
    </row>
    <row r="51" ht="14.25" customHeight="1" s="175">
      <c r="A51" s="189" t="inlineStr">
        <is>
          <t>Ethan</t>
        </is>
      </c>
      <c r="B51" s="190" t="n">
        <v>2</v>
      </c>
      <c r="C51" s="191" t="inlineStr">
        <is>
          <t>Will</t>
        </is>
      </c>
      <c r="D51" s="192" t="inlineStr">
        <is>
          <t>2026-02-03 10:44:43</t>
        </is>
      </c>
      <c r="E51" s="173" t="inlineStr">
        <is>
          <t>https://cdn.discordapp.com/ephemeral-attachments/1450933256630440049/1468270939845427353/IMG_6735.jpg?ex=6983695f&amp;is=698217df&amp;hm=417dfedb11c65b9225eb0ce38f49a45ec2a751c57729a8dbd86cbf080923ae79&amp;</t>
        </is>
      </c>
      <c r="F51" s="207" t="inlineStr">
        <is>
          <t>525816152161648680</t>
        </is>
      </c>
      <c r="G51" s="173" t="inlineStr">
        <is>
          <t>310453864866512907</t>
        </is>
      </c>
      <c r="I51" s="208" t="inlineStr">
        <is>
          <t>Reuben</t>
        </is>
      </c>
      <c r="J51" s="209">
        <f>VLOOKUP(I51,$I$1:$R$18,3,FALSE())</f>
        <v/>
      </c>
      <c r="S51" s="208" t="inlineStr">
        <is>
          <t>Reuben</t>
        </is>
      </c>
      <c r="T51" s="209">
        <f>VLOOKUP(S51,$I$1:$R$18,6,FALSE())</f>
        <v/>
      </c>
      <c r="AO51" s="250" t="inlineStr">
        <is>
          <t>Same as it ever was</t>
        </is>
      </c>
      <c r="AP51" s="208" t="inlineStr">
        <is>
          <t>Reuben</t>
        </is>
      </c>
      <c r="AQ51" s="236">
        <f>VLOOKUP(AP51,$AP$13:$AZ$31,11,FALSE())</f>
        <v/>
      </c>
      <c r="AR51" s="251">
        <f>AQ51-$AQ$51</f>
        <v/>
      </c>
      <c r="AS51" s="173" t="n">
        <v>16</v>
      </c>
    </row>
    <row r="52" ht="14.25" customHeight="1" s="175">
      <c r="A52" s="189" t="inlineStr">
        <is>
          <t>Mikey</t>
        </is>
      </c>
      <c r="B52" s="190" t="n">
        <v>1</v>
      </c>
      <c r="C52" s="191" t="inlineStr">
        <is>
          <t>Will</t>
        </is>
      </c>
      <c r="D52" s="192" t="inlineStr">
        <is>
          <t>2026-02-04 09:56:24</t>
        </is>
      </c>
      <c r="E52" s="173" t="inlineStr">
        <is>
          <t>https://cdn.discordapp.com/ephemeral-attachments/1450933256630440049/1468621152057295003/20260204_095453.jpg?ex=6984af88&amp;is=69835e08&amp;hm=f5e67bf856db730c995110685842d1ae3c73b32e9ca1056d6ecde16d3fa229c2&amp;</t>
        </is>
      </c>
      <c r="F52" s="207" t="inlineStr">
        <is>
          <t>423221841872814081</t>
        </is>
      </c>
      <c r="G52" s="173" t="inlineStr">
        <is>
          <t>707377558940811335</t>
        </is>
      </c>
      <c r="I52" s="208" t="inlineStr">
        <is>
          <t>Evan</t>
        </is>
      </c>
      <c r="J52" s="209">
        <f>VLOOKUP(I52,$I$1:$R$18,3,FALSE())</f>
        <v/>
      </c>
      <c r="S52" s="208" t="inlineStr">
        <is>
          <t>Evan</t>
        </is>
      </c>
      <c r="T52" s="209">
        <f>VLOOKUP(S52,$I$1:$R$18,6,FALSE())</f>
        <v/>
      </c>
    </row>
    <row r="53" ht="14.25" customHeight="1" s="175">
      <c r="A53" s="189" t="inlineStr">
        <is>
          <t>Will</t>
        </is>
      </c>
      <c r="B53" s="190" t="n">
        <v>1</v>
      </c>
      <c r="C53" s="191" t="inlineStr">
        <is>
          <t>Mikey</t>
        </is>
      </c>
      <c r="D53" s="192" t="inlineStr">
        <is>
          <t>2026-02-04 14:04:15</t>
        </is>
      </c>
      <c r="E53" s="173" t="inlineStr">
        <is>
          <t>https://cdn.discordapp.com/ephemeral-attachments/1450933256630440049/1468683524008841338/IMG20260204140307.jpg?ex=6984e99e&amp;is=6983981e&amp;hm=99c010cc9410587d569bfc375ea6be5ba87184e0b22617c49dca40b4c9284177&amp;</t>
        </is>
      </c>
      <c r="F53" s="207" t="inlineStr">
        <is>
          <t>483162151046086657</t>
        </is>
      </c>
      <c r="G53" s="173" t="inlineStr">
        <is>
          <t>1021390383915204648</t>
        </is>
      </c>
      <c r="I53" s="208" t="inlineStr">
        <is>
          <t>Will</t>
        </is>
      </c>
      <c r="J53" s="209">
        <f>VLOOKUP(I53,$I$1:$R$18,3,FALSE())</f>
        <v/>
      </c>
      <c r="S53" s="208" t="inlineStr">
        <is>
          <t>Will</t>
        </is>
      </c>
      <c r="T53" s="209">
        <f>VLOOKUP(S53,$I$1:$R$18,6,FALSE())</f>
        <v/>
      </c>
    </row>
    <row r="54" ht="14.25" customHeight="1" s="175">
      <c r="A54" s="189" t="inlineStr">
        <is>
          <t>Ethan</t>
        </is>
      </c>
      <c r="B54" s="190" t="n">
        <v>2</v>
      </c>
      <c r="C54" s="191" t="inlineStr">
        <is>
          <t>Lucy</t>
        </is>
      </c>
      <c r="D54" s="192" t="inlineStr">
        <is>
          <t>2026-02-04 14:50:56</t>
        </is>
      </c>
      <c r="E54" s="173" t="inlineStr">
        <is>
          <t>https://cdn.discordapp.com/ephemeral-attachments/1450933256630440049/1468695266986295347/PXL_20260204_194954045.jpg?ex=6984f48e&amp;is=6983a30e&amp;hm=d9d92ebd01a0f68cb17a9eb744ca5a3f8f6fa6461f8d461d3a4145384f96af0d&amp;</t>
        </is>
      </c>
      <c r="F54" s="207" t="inlineStr">
        <is>
          <t>290654652838576130</t>
        </is>
      </c>
      <c r="G54" s="173" t="inlineStr">
        <is>
          <t>1021390383915204648</t>
        </is>
      </c>
      <c r="I54" s="208" t="inlineStr">
        <is>
          <t>Vignesh</t>
        </is>
      </c>
      <c r="J54" s="209">
        <f>VLOOKUP(I54,$I$1:$R$18,3,FALSE())</f>
        <v/>
      </c>
      <c r="S54" s="208" t="inlineStr">
        <is>
          <t>Ethan</t>
        </is>
      </c>
      <c r="T54" s="209">
        <f>VLOOKUP(S54,$I$1:$R$18,6,FALSE())</f>
        <v/>
      </c>
    </row>
    <row r="55" ht="14.25" customHeight="1" s="175">
      <c r="A55" s="189" t="inlineStr">
        <is>
          <t>Mikey</t>
        </is>
      </c>
      <c r="B55" s="190" t="n">
        <v>2</v>
      </c>
      <c r="C55" s="191" t="inlineStr">
        <is>
          <t>Reuben</t>
        </is>
      </c>
      <c r="D55" s="192" t="inlineStr">
        <is>
          <t>2026-02-04 16:12:44</t>
        </is>
      </c>
      <c r="E55" s="173" t="inlineStr">
        <is>
          <t>https://cdn.discordapp.com/ephemeral-attachments/1450933256630440049/1468715854597460021/20260204_161156.jpg?ex=698507bb&amp;is=6983b63b&amp;hm=32013d5dc72a30d958138f617d39eb88cda5ea09d2d5ae8faa2b6d41e7c506bf&amp;</t>
        </is>
      </c>
      <c r="F55" s="207" t="inlineStr">
        <is>
          <t>1021390383915204648</t>
        </is>
      </c>
      <c r="G55" s="173" t="inlineStr">
        <is>
          <t>525816152161648680</t>
        </is>
      </c>
      <c r="I55" s="208" t="inlineStr">
        <is>
          <t>Ethan</t>
        </is>
      </c>
      <c r="J55" s="209">
        <f>VLOOKUP(I55,$I$1:$R$18,3,FALSE())</f>
        <v/>
      </c>
      <c r="S55" s="208" t="inlineStr">
        <is>
          <t>Vignesh</t>
        </is>
      </c>
      <c r="T55" s="209">
        <f>VLOOKUP(S55,$I$1:$R$18,6,FALSE())</f>
        <v/>
      </c>
      <c r="AP55" s="246" t="n"/>
      <c r="AQ55" s="246" t="n"/>
      <c r="AR55" s="246" t="n"/>
    </row>
    <row r="56" ht="14.25" customHeight="1" s="175">
      <c r="A56" s="189" t="inlineStr">
        <is>
          <t>Mikey</t>
        </is>
      </c>
      <c r="B56" s="190" t="n">
        <v>1</v>
      </c>
      <c r="C56" s="191" t="inlineStr">
        <is>
          <t>Rob</t>
        </is>
      </c>
      <c r="D56" s="192" t="inlineStr">
        <is>
          <t>2026-02-05 10:21:34</t>
        </is>
      </c>
      <c r="E56" s="173" t="inlineStr">
        <is>
          <t>https://cdn.discordapp.com/ephemeral-attachments/1450933256630440049/1468989929676865577/IMG20260205101725.jpg?ex=698606fb&amp;is=6984b57b&amp;hm=6e074e92a0ea2f20b148e90f18c6d1f5b08abbcf1906a5f53726defc6bf69b22&amp;</t>
        </is>
      </c>
      <c r="F56" s="207" t="inlineStr">
        <is>
          <t>483162151046086657</t>
        </is>
      </c>
      <c r="G56" s="173" t="inlineStr">
        <is>
          <t>689822943307759670</t>
        </is>
      </c>
      <c r="I56" s="208" t="inlineStr">
        <is>
          <t>Carter</t>
        </is>
      </c>
      <c r="J56" s="209">
        <f>VLOOKUP(I56,$I$1:$R$18,3,FALSE())</f>
        <v/>
      </c>
      <c r="S56" s="208" t="inlineStr">
        <is>
          <t>Carter</t>
        </is>
      </c>
      <c r="T56" s="209">
        <f>VLOOKUP(S56,$I$1:$R$18,6,FALSE())</f>
        <v/>
      </c>
      <c r="AP56" s="179" t="inlineStr">
        <is>
          <t>Overall Part Winner Chart Decision Matrix</t>
        </is>
      </c>
      <c r="AQ56" s="180" t="n"/>
      <c r="AR56" s="180" t="n"/>
      <c r="AS56" s="180" t="n"/>
      <c r="AT56" s="180" t="n"/>
      <c r="AU56" s="180" t="n"/>
      <c r="AV56" s="180" t="n"/>
      <c r="AW56" s="180" t="n"/>
      <c r="AX56" s="181" t="n"/>
    </row>
    <row r="57" ht="14.25" customHeight="1" s="175">
      <c r="A57" s="189" t="inlineStr">
        <is>
          <t>Rob</t>
        </is>
      </c>
      <c r="B57" s="190" t="n">
        <v>2</v>
      </c>
      <c r="C57" s="191" t="inlineStr">
        <is>
          <t>Mikey</t>
        </is>
      </c>
      <c r="D57" s="173" t="inlineStr">
        <is>
          <t>2026-02-07 23:10:16</t>
        </is>
      </c>
      <c r="E57" s="173" t="inlineStr">
        <is>
          <t>https://cdn.discordapp.com/ephemeral-attachments/1450933256630440049/1469908130992357477/IMG_2334.jpg?ex=69895e20&amp;is=69880ca0&amp;hm=2240f18a968b3750d286092b91c6d087002edb5d794318919972888d7a8c2177&amp;</t>
        </is>
      </c>
      <c r="F57" s="173" t="inlineStr">
        <is>
          <t>288299360557465600</t>
        </is>
      </c>
      <c r="G57" s="173" t="inlineStr">
        <is>
          <t>619268961393049601</t>
        </is>
      </c>
      <c r="I57" s="208" t="inlineStr">
        <is>
          <t>Peter</t>
        </is>
      </c>
      <c r="J57" s="209">
        <f>VLOOKUP(I57,$I$1:$R$18,3,FALSE())</f>
        <v/>
      </c>
      <c r="S57" s="208" t="inlineStr">
        <is>
          <t>Cooper</t>
        </is>
      </c>
      <c r="T57" s="209">
        <f>VLOOKUP(S57,$I$1:$R$18,6,FALSE())</f>
        <v/>
      </c>
      <c r="AP57" s="252" t="inlineStr">
        <is>
          <t>MATRIX</t>
        </is>
      </c>
      <c r="AQ57" s="253" t="inlineStr">
        <is>
          <t>Kills</t>
        </is>
      </c>
      <c r="AR57" s="253" t="inlineStr">
        <is>
          <t>Deaths</t>
        </is>
      </c>
      <c r="AS57" s="253" t="inlineStr">
        <is>
          <t>KDR</t>
        </is>
      </c>
      <c r="AT57" s="253" t="inlineStr">
        <is>
          <t>Kill Points</t>
        </is>
      </c>
      <c r="AU57" s="253" t="inlineStr">
        <is>
          <t>Death Points</t>
        </is>
      </c>
      <c r="AV57" s="253" t="inlineStr">
        <is>
          <t>KpDpR</t>
        </is>
      </c>
      <c r="AW57" s="253" t="inlineStr">
        <is>
          <t>KPts/Kill</t>
        </is>
      </c>
      <c r="AX57" s="253" t="inlineStr">
        <is>
          <t>DPts/Death</t>
        </is>
      </c>
    </row>
    <row r="58" ht="14.25" customHeight="1" s="175">
      <c r="A58" s="189" t="inlineStr">
        <is>
          <t>Evan</t>
        </is>
      </c>
      <c r="B58" s="190" t="n">
        <v>1</v>
      </c>
      <c r="C58" s="191" t="inlineStr">
        <is>
          <t>Reuben</t>
        </is>
      </c>
      <c r="D58" s="173" t="inlineStr">
        <is>
          <t>2026-02-07 23:11:17</t>
        </is>
      </c>
      <c r="E58" s="173" t="inlineStr">
        <is>
          <t>https://cdn.discordapp.com/ephemeral-attachments/1450933256630440049/1469908387776041056/IMG_3725.jpg?ex=69895e5d&amp;is=69880cdd&amp;hm=42fa55393d21fe8b8872520fac750fb134815c06434b5b4e19009f5018c44ff6&amp;</t>
        </is>
      </c>
      <c r="F58" s="173" t="inlineStr">
        <is>
          <t>619268961393049601</t>
        </is>
      </c>
      <c r="G58" s="173" t="inlineStr">
        <is>
          <t>288299360557465600</t>
        </is>
      </c>
      <c r="I58" s="208" t="inlineStr">
        <is>
          <t>Cooper</t>
        </is>
      </c>
      <c r="J58" s="209">
        <f>VLOOKUP(I58,$I$1:$R$18,3,FALSE())</f>
        <v/>
      </c>
      <c r="S58" s="208" t="inlineStr">
        <is>
          <t>Peter</t>
        </is>
      </c>
      <c r="T58" s="209">
        <f>VLOOKUP(S58,$I$1:$R$18,6,FALSE())</f>
        <v/>
      </c>
      <c r="AP58" s="208" t="inlineStr">
        <is>
          <t>Weight:</t>
        </is>
      </c>
      <c r="AQ58" s="229" t="n">
        <v>7.5</v>
      </c>
      <c r="AR58" s="230" t="n">
        <v>-6</v>
      </c>
      <c r="AS58" s="230" t="n">
        <v>25</v>
      </c>
      <c r="AT58" s="230" t="n">
        <v>8.5</v>
      </c>
      <c r="AU58" s="230" t="n">
        <v>-6.5</v>
      </c>
      <c r="AV58" s="230" t="n">
        <v>25</v>
      </c>
      <c r="AW58" s="230" t="n">
        <v>20</v>
      </c>
      <c r="AX58" s="230" t="n">
        <v>-20</v>
      </c>
      <c r="AY58" s="216" t="inlineStr">
        <is>
          <t>Totals:</t>
        </is>
      </c>
    </row>
    <row r="59" ht="14.25" customHeight="1" s="175">
      <c r="A59" s="189" t="inlineStr">
        <is>
          <t>Carter</t>
        </is>
      </c>
      <c r="B59" s="190" t="n">
        <v>2</v>
      </c>
      <c r="C59" s="191" t="inlineStr">
        <is>
          <t>Vignesh</t>
        </is>
      </c>
      <c r="D59" s="173" t="inlineStr">
        <is>
          <t>2026-02-09 09:56:07</t>
        </is>
      </c>
      <c r="E59" s="173" t="inlineStr">
        <is>
          <t>https://cdn.discordapp.com/ephemeral-attachments/1450933256630440049/1470433072251011112/PXL_20260209_145519035.jpg?ex=698b4703&amp;is=6989f583&amp;hm=f605092ae86f1b02288806188da34499d3cced1f575f92ecfa2c90c621d9ba2d&amp;</t>
        </is>
      </c>
      <c r="F59" s="173" t="inlineStr">
        <is>
          <t>290654652838576130</t>
        </is>
      </c>
      <c r="G59" s="173" t="inlineStr">
        <is>
          <t>678304540856025153</t>
        </is>
      </c>
      <c r="I59" s="208" t="inlineStr">
        <is>
          <t>Maxine</t>
        </is>
      </c>
      <c r="J59" s="209">
        <f>VLOOKUP(I59,$I$1:$R$18,3,FALSE())</f>
        <v/>
      </c>
      <c r="S59" s="208" t="inlineStr">
        <is>
          <t>Grady</t>
        </is>
      </c>
      <c r="T59" s="209">
        <f>VLOOKUP(S59,$I$1:$R$18,6,FALSE())</f>
        <v/>
      </c>
      <c r="AP59" s="226" t="inlineStr">
        <is>
          <t>Tenors</t>
        </is>
      </c>
      <c r="AQ59" s="210">
        <f>J22*$AQ$58</f>
        <v/>
      </c>
      <c r="AR59" s="210">
        <f>K22*$AR$58</f>
        <v/>
      </c>
      <c r="AS59" s="210">
        <f>L22*$AS$58</f>
        <v/>
      </c>
      <c r="AT59" s="210">
        <f>M22*$AT$58</f>
        <v/>
      </c>
      <c r="AU59" s="210">
        <f>N22*$AU$58</f>
        <v/>
      </c>
      <c r="AV59" s="210">
        <f>O22*$AV$58</f>
        <v/>
      </c>
      <c r="AW59" s="210">
        <f>P22*$AW$58</f>
        <v/>
      </c>
      <c r="AX59" s="210">
        <f>Q22*$AX$58</f>
        <v/>
      </c>
      <c r="AY59" s="210">
        <f>SUM(AQ59:AX59)</f>
        <v/>
      </c>
    </row>
    <row r="60" ht="14.25" customHeight="1" s="175">
      <c r="A60" s="189" t="inlineStr">
        <is>
          <t>Maxine</t>
        </is>
      </c>
      <c r="B60" s="190" t="n">
        <v>5</v>
      </c>
      <c r="C60" s="191" t="inlineStr">
        <is>
          <t>Alumni</t>
        </is>
      </c>
      <c r="D60" s="173" t="inlineStr">
        <is>
          <t>2026-02-09 11:45:01</t>
        </is>
      </c>
      <c r="E60" s="173" t="inlineStr">
        <is>
          <t>https://cdn.discordapp.com/ephemeral-attachments/1450933256630440049/1470460478110306407/IMG_6754.jpg?ex=698b6089&amp;is=698a0f09&amp;hm=bfafbfe724e099daa29de117003c79d19256421771381b190b823a05bd01a810&amp;</t>
        </is>
      </c>
      <c r="F60" s="173" t="inlineStr">
        <is>
          <t>525816152161648680</t>
        </is>
      </c>
      <c r="G60" s="173" t="inlineStr">
        <is>
          <t>310453864866512907</t>
        </is>
      </c>
      <c r="I60" s="208" t="inlineStr">
        <is>
          <t>Grady</t>
        </is>
      </c>
      <c r="J60" s="209">
        <f>VLOOKUP(I60,$I$1:$R$18,3,FALSE())</f>
        <v/>
      </c>
      <c r="S60" s="208" t="inlineStr">
        <is>
          <t>Maxine</t>
        </is>
      </c>
      <c r="T60" s="209">
        <f>VLOOKUP(S60,$I$1:$R$18,6,FALSE())</f>
        <v/>
      </c>
      <c r="AP60" s="208" t="inlineStr">
        <is>
          <t>Leads</t>
        </is>
      </c>
      <c r="AQ60" s="210">
        <f>J23*$AQ$58</f>
        <v/>
      </c>
      <c r="AR60" s="210">
        <f>K23*$AR$58</f>
        <v/>
      </c>
      <c r="AS60" s="210">
        <f>L23*$AS$58</f>
        <v/>
      </c>
      <c r="AT60" s="210">
        <f>M23*$AT$58</f>
        <v/>
      </c>
      <c r="AU60" s="210">
        <f>N23*$AU$58</f>
        <v/>
      </c>
      <c r="AV60" s="210">
        <f>O23*$AV$58</f>
        <v/>
      </c>
      <c r="AW60" s="210">
        <f>P23*$AW$58</f>
        <v/>
      </c>
      <c r="AX60" s="210">
        <f>Q23*$AX$58</f>
        <v/>
      </c>
      <c r="AY60" s="210">
        <f>SUM(AQ60:AX60)</f>
        <v/>
      </c>
    </row>
    <row r="61" ht="14.25" customHeight="1" s="175">
      <c r="A61" s="189" t="inlineStr">
        <is>
          <t>Will</t>
        </is>
      </c>
      <c r="B61" s="190" t="n">
        <v>1</v>
      </c>
      <c r="C61" s="191" t="inlineStr">
        <is>
          <t>Reuben</t>
        </is>
      </c>
      <c r="D61" s="173" t="inlineStr">
        <is>
          <t>2026-02-09 11:51:29</t>
        </is>
      </c>
      <c r="E61" s="173" t="inlineStr">
        <is>
          <t>https://cdn.discordapp.com/ephemeral-attachments/1450933256630440049/1470462107651801341/20260209_115058.jpg?ex=698b620e&amp;is=698a108e&amp;hm=13598c6f9c4cafce4ed564e3fec66ff44a141d9084fd5a0ab9eb794aea55b4e2&amp;</t>
        </is>
      </c>
      <c r="F61" s="173" t="inlineStr">
        <is>
          <t>1021390383915204648</t>
        </is>
      </c>
      <c r="G61" s="173" t="inlineStr">
        <is>
          <t>707377558940811335</t>
        </is>
      </c>
      <c r="I61" s="208" t="inlineStr">
        <is>
          <t>Erick</t>
        </is>
      </c>
      <c r="J61" s="209">
        <f>VLOOKUP(I61,$I$1:$R$18,3,FALSE())</f>
        <v/>
      </c>
      <c r="S61" s="208" t="inlineStr">
        <is>
          <t>Erick</t>
        </is>
      </c>
      <c r="T61" s="209">
        <f>VLOOKUP(S61,$I$1:$R$18,6,FALSE())</f>
        <v/>
      </c>
      <c r="AP61" s="208" t="inlineStr">
        <is>
          <t>Baris</t>
        </is>
      </c>
      <c r="AQ61" s="210">
        <f>J24*$AQ$58</f>
        <v/>
      </c>
      <c r="AR61" s="210">
        <f>K24*$AR$58</f>
        <v/>
      </c>
      <c r="AS61" s="210">
        <f>L24*$AS$58</f>
        <v/>
      </c>
      <c r="AT61" s="210">
        <f>M24*$AT$58</f>
        <v/>
      </c>
      <c r="AU61" s="210">
        <f>N24*$AU$58</f>
        <v/>
      </c>
      <c r="AV61" s="210">
        <f>O24*$AV$58</f>
        <v/>
      </c>
      <c r="AW61" s="210">
        <f>P24*$AW$58</f>
        <v/>
      </c>
      <c r="AX61" s="210">
        <f>Q24*$AX$58</f>
        <v/>
      </c>
      <c r="AY61" s="210">
        <f>SUM(AQ61:AX61)</f>
        <v/>
      </c>
    </row>
    <row r="62" ht="14.25" customHeight="1" s="175">
      <c r="A62" s="189" t="inlineStr">
        <is>
          <t>Lucy</t>
        </is>
      </c>
      <c r="B62" s="190" t="n">
        <v>1</v>
      </c>
      <c r="C62" s="191" t="inlineStr">
        <is>
          <t>Will</t>
        </is>
      </c>
      <c r="D62" s="173" t="inlineStr">
        <is>
          <t>2026-02-09 11:51:52</t>
        </is>
      </c>
      <c r="E62" s="173" t="inlineStr">
        <is>
          <t>https://cdn.discordapp.com/ephemeral-attachments/1450933256630440049/1470462203432800421/IMG_1935.jpg?ex=698b6225&amp;is=698a10a5&amp;hm=2adcd4c01411150ecd8dd59e84d82507c9fe22ebcda21ee8216c1bc79368a4fc&amp;</t>
        </is>
      </c>
      <c r="F62" s="173" t="inlineStr">
        <is>
          <t>707377558940811335</t>
        </is>
      </c>
      <c r="G62" s="173" t="inlineStr">
        <is>
          <t>1021390383915204648</t>
        </is>
      </c>
      <c r="I62" s="208" t="inlineStr">
        <is>
          <t>Joey</t>
        </is>
      </c>
      <c r="J62" s="209">
        <f>VLOOKUP(I62,$I$1:$R$18,3,FALSE())</f>
        <v/>
      </c>
      <c r="S62" s="208" t="inlineStr">
        <is>
          <t>Joey</t>
        </is>
      </c>
      <c r="T62" s="209">
        <f>VLOOKUP(S62,$I$1:$R$18,6,FALSE())</f>
        <v/>
      </c>
      <c r="AP62" s="208" t="inlineStr">
        <is>
          <t>Basses</t>
        </is>
      </c>
      <c r="AQ62" s="210">
        <f>J25*$AQ$58</f>
        <v/>
      </c>
      <c r="AR62" s="210">
        <f>K25*$AR$58</f>
        <v/>
      </c>
      <c r="AS62" s="210">
        <f>L25*$AS$58</f>
        <v/>
      </c>
      <c r="AT62" s="210">
        <f>M25*$AT$58</f>
        <v/>
      </c>
      <c r="AU62" s="210">
        <f>N25*$AU$58</f>
        <v/>
      </c>
      <c r="AV62" s="210">
        <f>O25*$AV$58</f>
        <v/>
      </c>
      <c r="AW62" s="210">
        <f>P25*$AW$58</f>
        <v/>
      </c>
      <c r="AX62" s="210">
        <f>Q25*$AX$58</f>
        <v/>
      </c>
      <c r="AY62" s="210">
        <f>SUM(AQ62:AX62)</f>
        <v/>
      </c>
    </row>
    <row r="63" ht="14.25" customHeight="1" s="175">
      <c r="A63" s="189" t="inlineStr">
        <is>
          <t>Will</t>
        </is>
      </c>
      <c r="B63" s="190" t="n">
        <v>1</v>
      </c>
      <c r="C63" s="191" t="inlineStr">
        <is>
          <t>Lucy</t>
        </is>
      </c>
      <c r="D63" s="173" t="inlineStr">
        <is>
          <t>2026-02-09 11:57:37</t>
        </is>
      </c>
      <c r="E63" s="173" t="inlineStr">
        <is>
          <t>https://cdn.discordapp.com/ephemeral-attachments/1450933256630440049/1470463650887372954/20260209_115655.jpg?ex=698b637e&amp;is=698a11fe&amp;hm=71713036fc4ee5e4e5ae529c232dc17f48ef1893ad5146ce1c87a8d7984ac096&amp;</t>
        </is>
      </c>
      <c r="F63" s="173" t="inlineStr">
        <is>
          <t>310453864866512907</t>
        </is>
      </c>
      <c r="G63" s="173" t="inlineStr">
        <is>
          <t>525816152161648680</t>
        </is>
      </c>
      <c r="AP63" s="247" t="inlineStr">
        <is>
          <t>Basses (No Reuben)</t>
        </is>
      </c>
      <c r="AQ63" s="210">
        <f>J26*$AQ$58</f>
        <v/>
      </c>
      <c r="AR63" s="210">
        <f>K26*$AR$58</f>
        <v/>
      </c>
      <c r="AS63" s="210">
        <f>L26*$AS$58</f>
        <v/>
      </c>
      <c r="AT63" s="210">
        <f>M26*$AT$58</f>
        <v/>
      </c>
      <c r="AU63" s="210">
        <f>N26*$AU$58</f>
        <v/>
      </c>
      <c r="AV63" s="210">
        <f>O26*$AV$58</f>
        <v/>
      </c>
      <c r="AW63" s="210">
        <f>P26*$AW$58</f>
        <v/>
      </c>
      <c r="AX63" s="210">
        <f>Q26*$AX$58</f>
        <v/>
      </c>
      <c r="AY63" s="210">
        <f>SUM(AQ63:AX63)</f>
        <v/>
      </c>
    </row>
    <row r="64" ht="14.25" customHeight="1" s="175">
      <c r="A64" s="189" t="inlineStr">
        <is>
          <t>Lucy</t>
        </is>
      </c>
      <c r="B64" s="190" t="n">
        <v>2</v>
      </c>
      <c r="C64" s="191" t="inlineStr">
        <is>
          <t>Will</t>
        </is>
      </c>
      <c r="D64" s="173" t="inlineStr">
        <is>
          <t>2026-02-09 11:58:48</t>
        </is>
      </c>
      <c r="E64" s="173" t="inlineStr">
        <is>
          <t>https://cdn.discordapp.com/ephemeral-attachments/1450933256630440049/1470463947785240771/20260209_115750.jpg?ex=698b63c5&amp;is=698a1245&amp;hm=8c1b553c2255a21ea1c916f97d18311c7c6e8c97e56f3947926f27d4f0ddd621&amp;</t>
        </is>
      </c>
      <c r="F64" s="173" t="inlineStr">
        <is>
          <t>310453864866512907</t>
        </is>
      </c>
      <c r="G64" s="173" t="inlineStr">
        <is>
          <t>689822943307759670</t>
        </is>
      </c>
      <c r="I64" s="208" t="inlineStr">
        <is>
          <t>Person:</t>
        </is>
      </c>
      <c r="J64" s="216" t="inlineStr">
        <is>
          <t>KDR</t>
        </is>
      </c>
      <c r="S64" s="208" t="inlineStr">
        <is>
          <t>Person:</t>
        </is>
      </c>
      <c r="T64" s="216" t="inlineStr">
        <is>
          <t>KpDpR</t>
        </is>
      </c>
    </row>
    <row r="65" ht="14.25" customHeight="1" s="175">
      <c r="A65" s="189" t="inlineStr">
        <is>
          <t>Will</t>
        </is>
      </c>
      <c r="B65" s="190" t="n">
        <v>1</v>
      </c>
      <c r="C65" s="191" t="inlineStr">
        <is>
          <t>Lucy</t>
        </is>
      </c>
      <c r="D65" s="173" t="inlineStr">
        <is>
          <t>2026-02-09 12:58:04</t>
        </is>
      </c>
      <c r="E65" s="173" t="inlineStr">
        <is>
          <t>https://cdn.discordapp.com/ephemeral-attachments/1450933256630440049/1470478863141175356/IMG_1936.jpg?ex=698b71a9&amp;is=698a2029&amp;hm=0f43be9885c97a7528fc68c79b7fecc75c5cd1866be425075dd8b0b18f5d857e&amp;</t>
        </is>
      </c>
      <c r="F65" s="173" t="inlineStr">
        <is>
          <t>707377558940811335</t>
        </is>
      </c>
      <c r="G65" s="173" t="inlineStr">
        <is>
          <t>619268961393049601</t>
        </is>
      </c>
      <c r="I65" s="208" t="inlineStr">
        <is>
          <t>Peter</t>
        </is>
      </c>
      <c r="J65" s="210">
        <f>VLOOKUP(I65,$I$1:$R$18,4,FALSE())</f>
        <v/>
      </c>
      <c r="S65" s="208" t="inlineStr">
        <is>
          <t>Peter</t>
        </is>
      </c>
      <c r="T65" s="210">
        <f>VLOOKUP(S65,$I$1:$R$18,7,FALSE())</f>
        <v/>
      </c>
      <c r="AP65" s="248" t="inlineStr">
        <is>
          <t>Part</t>
        </is>
      </c>
      <c r="AQ65" s="249" t="inlineStr">
        <is>
          <t>Score</t>
        </is>
      </c>
      <c r="AR65" s="249" t="inlineStr">
        <is>
          <t>Adjusted</t>
        </is>
      </c>
    </row>
    <row r="66" ht="14.25" customHeight="1" s="175">
      <c r="A66" s="254" t="n"/>
      <c r="B66" s="202" t="n"/>
      <c r="C66" s="255" t="n"/>
      <c r="D66" s="173" t="n"/>
      <c r="E66" s="173" t="n"/>
      <c r="F66" s="173" t="n"/>
      <c r="G66" s="173" t="n"/>
      <c r="I66" s="208" t="inlineStr">
        <is>
          <t>Will</t>
        </is>
      </c>
      <c r="J66" s="210">
        <f>VLOOKUP(I66,$I$1:$R$18,4,FALSE())</f>
        <v/>
      </c>
      <c r="S66" s="208" t="inlineStr">
        <is>
          <t>Maxine</t>
        </is>
      </c>
      <c r="T66" s="210">
        <f>VLOOKUP(S66,$I$1:$R$18,7,FALSE())</f>
        <v/>
      </c>
      <c r="AP66" s="256" t="inlineStr">
        <is>
          <t>Basses (No Reuben)</t>
        </is>
      </c>
      <c r="AQ66" s="251">
        <f>$AY$63</f>
        <v/>
      </c>
      <c r="AR66" s="251">
        <f>AQ66-($AQ$70)</f>
        <v/>
      </c>
    </row>
    <row r="67" ht="14.25" customHeight="1" s="175">
      <c r="A67" s="254" t="n"/>
      <c r="B67" s="202" t="n"/>
      <c r="C67" s="255" t="n"/>
      <c r="D67" s="173" t="n"/>
      <c r="E67" s="173" t="n"/>
      <c r="F67" s="173" t="n"/>
      <c r="G67" s="173" t="n"/>
      <c r="I67" s="208" t="inlineStr">
        <is>
          <t>Carter</t>
        </is>
      </c>
      <c r="J67" s="210">
        <f>VLOOKUP(I67,$I$1:$R$18,4,FALSE())</f>
        <v/>
      </c>
      <c r="S67" s="208" t="inlineStr">
        <is>
          <t>Will</t>
        </is>
      </c>
      <c r="T67" s="210">
        <f>VLOOKUP(S67,$I$1:$R$18,7,FALSE())</f>
        <v/>
      </c>
      <c r="AP67" s="208" t="inlineStr">
        <is>
          <t>Tenors</t>
        </is>
      </c>
      <c r="AQ67" s="251">
        <f>$AY$59</f>
        <v/>
      </c>
      <c r="AR67" s="251">
        <f>AQ67-($AQ$70)</f>
        <v/>
      </c>
    </row>
    <row r="68" ht="14.25" customHeight="1" s="175">
      <c r="A68" s="254" t="n"/>
      <c r="B68" s="202" t="n"/>
      <c r="C68" s="255" t="n"/>
      <c r="D68" s="173" t="n"/>
      <c r="E68" s="173" t="n"/>
      <c r="F68" s="173" t="n"/>
      <c r="G68" s="173" t="n"/>
      <c r="I68" s="208" t="inlineStr">
        <is>
          <t>Vignesh</t>
        </is>
      </c>
      <c r="J68" s="210">
        <f>VLOOKUP(I68,$I$1:$R$18,4,FALSE())</f>
        <v/>
      </c>
      <c r="S68" s="208" t="inlineStr">
        <is>
          <t>Carter</t>
        </is>
      </c>
      <c r="T68" s="210">
        <f>VLOOKUP(S68,$I$1:$R$18,7,FALSE())</f>
        <v/>
      </c>
      <c r="AP68" s="208" t="inlineStr">
        <is>
          <t>Baris</t>
        </is>
      </c>
      <c r="AQ68" s="251">
        <f>$AY$61</f>
        <v/>
      </c>
      <c r="AR68" s="251">
        <f>AQ68-($AQ$70)</f>
        <v/>
      </c>
    </row>
    <row r="69" ht="14.25" customHeight="1" s="175">
      <c r="A69" s="254" t="n"/>
      <c r="B69" s="202" t="n"/>
      <c r="C69" s="255" t="n"/>
      <c r="D69" s="173" t="n"/>
      <c r="E69" s="173" t="n"/>
      <c r="F69" s="173" t="n"/>
      <c r="G69" s="173" t="n"/>
      <c r="I69" s="208" t="inlineStr">
        <is>
          <t>Ethan</t>
        </is>
      </c>
      <c r="J69" s="210">
        <f>VLOOKUP(I69,$I$1:$R$18,4,FALSE())</f>
        <v/>
      </c>
      <c r="S69" s="208" t="inlineStr">
        <is>
          <t>Vignesh</t>
        </is>
      </c>
      <c r="T69" s="210">
        <f>VLOOKUP(S69,$I$1:$R$18,7,FALSE())</f>
        <v/>
      </c>
      <c r="AP69" s="208" t="inlineStr">
        <is>
          <t>Leads</t>
        </is>
      </c>
      <c r="AQ69" s="257">
        <f>$AY$60</f>
        <v/>
      </c>
      <c r="AR69" s="251">
        <f>AQ69-($AQ$70)</f>
        <v/>
      </c>
    </row>
    <row r="70" ht="14.25" customHeight="1" s="175">
      <c r="A70" s="254" t="n"/>
      <c r="B70" s="202" t="n"/>
      <c r="C70" s="255" t="n"/>
      <c r="D70" s="173" t="n"/>
      <c r="E70" s="173" t="n"/>
      <c r="F70" s="173" t="n"/>
      <c r="G70" s="173" t="n"/>
      <c r="I70" s="208" t="inlineStr">
        <is>
          <t>Evan</t>
        </is>
      </c>
      <c r="J70" s="210">
        <f>VLOOKUP(I70,$I$1:$R$18,4,FALSE())</f>
        <v/>
      </c>
      <c r="S70" s="208" t="inlineStr">
        <is>
          <t>Ethan</t>
        </is>
      </c>
      <c r="T70" s="210">
        <f>VLOOKUP(S70,$I$1:$R$18,7,FALSE())</f>
        <v/>
      </c>
      <c r="AP70" s="258" t="inlineStr">
        <is>
          <t>Basses</t>
        </is>
      </c>
      <c r="AQ70" s="251">
        <f>$AY$62</f>
        <v/>
      </c>
      <c r="AR70" s="259">
        <f>AQ70-($AQ$70)</f>
        <v/>
      </c>
    </row>
    <row r="71" ht="14.25" customHeight="1" s="175">
      <c r="A71" s="254" t="n"/>
      <c r="B71" s="202" t="n"/>
      <c r="C71" s="255" t="n"/>
      <c r="D71" s="173" t="n"/>
      <c r="E71" s="173" t="n"/>
      <c r="F71" s="173" t="n"/>
      <c r="G71" s="173" t="n"/>
      <c r="I71" s="208" t="inlineStr">
        <is>
          <t>Maxine</t>
        </is>
      </c>
      <c r="J71" s="210">
        <f>VLOOKUP(I71,$I$1:$R$18,4,FALSE())</f>
        <v/>
      </c>
      <c r="S71" s="208" t="inlineStr">
        <is>
          <t>Evan</t>
        </is>
      </c>
      <c r="T71" s="210">
        <f>VLOOKUP(S71,$I$1:$R$18,7,FALSE())</f>
        <v/>
      </c>
    </row>
    <row r="72" ht="14.25" customHeight="1" s="175">
      <c r="A72" s="254" t="n"/>
      <c r="B72" s="202" t="n"/>
      <c r="C72" s="255" t="n"/>
      <c r="D72" s="173" t="n"/>
      <c r="E72" s="173" t="n"/>
      <c r="F72" s="173" t="n"/>
      <c r="G72" s="173" t="n"/>
      <c r="I72" s="208" t="inlineStr">
        <is>
          <t>Lucy</t>
        </is>
      </c>
      <c r="J72" s="210">
        <f>VLOOKUP(I72,$I$1:$R$18,4,FALSE())</f>
        <v/>
      </c>
      <c r="S72" s="208" t="inlineStr">
        <is>
          <t>Lucy</t>
        </is>
      </c>
      <c r="T72" s="210">
        <f>VLOOKUP(S72,$I$1:$R$18,7,FALSE())</f>
        <v/>
      </c>
    </row>
    <row r="73" ht="14.25" customHeight="1" s="175">
      <c r="A73" s="254" t="n"/>
      <c r="B73" s="202" t="n"/>
      <c r="C73" s="255" t="n"/>
      <c r="D73" s="173" t="n"/>
      <c r="E73" s="173" t="n"/>
      <c r="F73" s="173" t="n"/>
      <c r="G73" s="173" t="n"/>
      <c r="I73" s="208" t="inlineStr">
        <is>
          <t>Mikey</t>
        </is>
      </c>
      <c r="J73" s="210">
        <f>VLOOKUP(I73,$I$1:$R$18,4,FALSE())</f>
        <v/>
      </c>
      <c r="S73" s="208" t="inlineStr">
        <is>
          <t>Grady</t>
        </is>
      </c>
      <c r="T73" s="210">
        <f>VLOOKUP(S73,$I$1:$R$18,7,FALSE())</f>
        <v/>
      </c>
    </row>
    <row r="74" ht="14.25" customHeight="1" s="175">
      <c r="A74" s="254" t="n"/>
      <c r="B74" s="202" t="n"/>
      <c r="C74" s="255" t="n"/>
      <c r="D74" s="173" t="n"/>
      <c r="E74" s="173" t="n"/>
      <c r="F74" s="173" t="n"/>
      <c r="G74" s="173" t="n"/>
      <c r="I74" s="208" t="inlineStr">
        <is>
          <t>Rob</t>
        </is>
      </c>
      <c r="J74" s="210">
        <f>VLOOKUP(I74,$I$1:$R$18,4,FALSE())</f>
        <v/>
      </c>
      <c r="S74" s="208" t="inlineStr">
        <is>
          <t>Mikey</t>
        </is>
      </c>
      <c r="T74" s="210">
        <f>VLOOKUP(S74,$I$1:$R$18,7,FALSE())</f>
        <v/>
      </c>
      <c r="AJ74" s="246" t="n"/>
      <c r="AM74" s="246" t="n"/>
      <c r="AP74" s="246" t="n"/>
      <c r="AQ74" s="246" t="n"/>
      <c r="AR74" s="246" t="n"/>
    </row>
    <row r="75" ht="14.25" customHeight="1" s="175">
      <c r="A75" s="254" t="n"/>
      <c r="B75" s="202" t="n"/>
      <c r="C75" s="255" t="n"/>
      <c r="D75" s="173" t="n"/>
      <c r="E75" s="173" t="n"/>
      <c r="F75" s="173" t="n"/>
      <c r="G75" s="173" t="n"/>
      <c r="I75" s="208" t="inlineStr">
        <is>
          <t>Grady</t>
        </is>
      </c>
      <c r="J75" s="210">
        <f>VLOOKUP(I75,$I$1:$R$18,4,FALSE())</f>
        <v/>
      </c>
      <c r="S75" s="208" t="inlineStr">
        <is>
          <t>Anthony</t>
        </is>
      </c>
      <c r="T75" s="210">
        <f>VLOOKUP(S75,$I$1:$R$18,7,FALSE())</f>
        <v/>
      </c>
      <c r="AG75" s="246" t="n"/>
      <c r="AH75" s="246" t="n"/>
      <c r="AM75" s="246" t="n"/>
      <c r="AP75" s="246" t="n"/>
      <c r="AQ75" s="246" t="n"/>
      <c r="AR75" s="246" t="n"/>
    </row>
    <row r="76" ht="14.25" customHeight="1" s="175">
      <c r="A76" s="254" t="n"/>
      <c r="B76" s="202" t="n"/>
      <c r="C76" s="255" t="n"/>
      <c r="D76" s="173" t="n"/>
      <c r="E76" s="173" t="n"/>
      <c r="F76" s="173" t="n"/>
      <c r="G76" s="173" t="n"/>
      <c r="I76" s="208" t="inlineStr">
        <is>
          <t>Anthony</t>
        </is>
      </c>
      <c r="J76" s="210">
        <f>VLOOKUP(I76,$I$1:$R$18,4,FALSE())</f>
        <v/>
      </c>
      <c r="S76" s="208" t="inlineStr">
        <is>
          <t>Rob</t>
        </is>
      </c>
      <c r="T76" s="210">
        <f>VLOOKUP(S76,$I$1:$R$18,7,FALSE())</f>
        <v/>
      </c>
      <c r="AP76" s="246" t="n"/>
      <c r="AQ76" s="246" t="n"/>
      <c r="AR76" s="246" t="n"/>
    </row>
    <row r="77" ht="14.25" customHeight="1" s="175">
      <c r="A77" s="254" t="n"/>
      <c r="B77" s="202" t="n"/>
      <c r="C77" s="255" t="n"/>
      <c r="D77" s="173" t="n"/>
      <c r="E77" s="173" t="n"/>
      <c r="F77" s="173" t="n"/>
      <c r="G77" s="173" t="n"/>
      <c r="I77" s="208" t="inlineStr">
        <is>
          <t>Cooper</t>
        </is>
      </c>
      <c r="J77" s="210">
        <f>VLOOKUP(I77,$I$1:$R$18,4,FALSE())</f>
        <v/>
      </c>
      <c r="S77" s="208" t="inlineStr">
        <is>
          <t>Cooper</t>
        </is>
      </c>
      <c r="T77" s="210">
        <f>VLOOKUP(S77,$I$1:$R$18,7,FALSE())</f>
        <v/>
      </c>
      <c r="AP77" s="246" t="n"/>
      <c r="AQ77" s="246" t="n"/>
      <c r="AR77" s="246" t="n"/>
    </row>
    <row r="78" ht="14.25" customHeight="1" s="175">
      <c r="A78" s="254" t="n"/>
      <c r="B78" s="202" t="n"/>
      <c r="C78" s="255" t="n"/>
      <c r="D78" s="173" t="n"/>
      <c r="E78" s="173" t="n"/>
      <c r="F78" s="173" t="n"/>
      <c r="G78" s="173" t="n"/>
      <c r="I78" s="208" t="inlineStr">
        <is>
          <t>Joey</t>
        </is>
      </c>
      <c r="J78" s="210">
        <f>VLOOKUP(I78,$I$1:$R$18,4,FALSE())</f>
        <v/>
      </c>
      <c r="S78" s="208" t="inlineStr">
        <is>
          <t>Joey</t>
        </is>
      </c>
      <c r="T78" s="210">
        <f>VLOOKUP(S78,$I$1:$R$18,7,FALSE())</f>
        <v/>
      </c>
      <c r="AQ78" s="246" t="n"/>
      <c r="AR78" s="246" t="n"/>
    </row>
    <row r="79" ht="14.25" customHeight="1" s="175">
      <c r="A79" s="254" t="n"/>
      <c r="B79" s="202" t="n"/>
      <c r="C79" s="255" t="n"/>
      <c r="D79" s="173" t="n"/>
      <c r="E79" s="173" t="n"/>
      <c r="F79" s="173" t="n"/>
      <c r="G79" s="173" t="n"/>
      <c r="I79" s="208" t="inlineStr">
        <is>
          <t>Erick</t>
        </is>
      </c>
      <c r="J79" s="210">
        <f>VLOOKUP(I79,$I$1:$R$18,4,FALSE())</f>
        <v/>
      </c>
      <c r="S79" s="208" t="inlineStr">
        <is>
          <t>Erick</t>
        </is>
      </c>
      <c r="T79" s="210">
        <f>VLOOKUP(S79,$I$1:$R$18,7,FALSE())</f>
        <v/>
      </c>
      <c r="AP79" s="246" t="n"/>
      <c r="AQ79" s="246" t="n"/>
      <c r="AR79" s="246" t="n"/>
    </row>
    <row r="80" ht="14.25" customHeight="1" s="175">
      <c r="A80" s="254" t="n"/>
      <c r="B80" s="202" t="n"/>
      <c r="C80" s="255" t="n"/>
      <c r="D80" s="173" t="n"/>
      <c r="E80" s="173" t="n"/>
      <c r="F80" s="173" t="n"/>
      <c r="G80" s="173" t="n"/>
      <c r="I80" s="208" t="inlineStr">
        <is>
          <t>Reuben</t>
        </is>
      </c>
      <c r="J80" s="210">
        <f>VLOOKUP(I80,$I$1:$R$18,4,FALSE())</f>
        <v/>
      </c>
      <c r="S80" s="208" t="inlineStr">
        <is>
          <t>Reuben</t>
        </is>
      </c>
      <c r="T80" s="210">
        <f>VLOOKUP(S80,$I$1:$R$18,7,FALSE())</f>
        <v/>
      </c>
    </row>
    <row r="81" ht="14.25" customHeight="1" s="175">
      <c r="A81" s="254" t="n"/>
      <c r="B81" s="202" t="n"/>
      <c r="C81" s="255" t="n"/>
      <c r="D81" s="173" t="n"/>
      <c r="E81" s="173" t="n"/>
      <c r="F81" s="173" t="n"/>
      <c r="G81" s="173" t="n"/>
    </row>
    <row r="82" ht="14.25" customHeight="1" s="175">
      <c r="A82" s="254" t="n"/>
      <c r="B82" s="202" t="n"/>
      <c r="C82" s="255" t="n"/>
      <c r="D82" s="173" t="n"/>
      <c r="E82" s="173" t="n"/>
      <c r="F82" s="173" t="n"/>
      <c r="G82" s="173" t="n"/>
      <c r="I82" s="208" t="inlineStr">
        <is>
          <t>Part:</t>
        </is>
      </c>
      <c r="J82" s="216" t="inlineStr">
        <is>
          <t>Kills</t>
        </is>
      </c>
      <c r="S82" s="208" t="inlineStr">
        <is>
          <t>Part:</t>
        </is>
      </c>
      <c r="T82" s="216" t="inlineStr">
        <is>
          <t>Kill Points</t>
        </is>
      </c>
    </row>
    <row r="83" ht="14.25" customHeight="1" s="175">
      <c r="A83" s="254" t="n"/>
      <c r="B83" s="202" t="n"/>
      <c r="C83" s="255" t="n"/>
      <c r="D83" s="173" t="n"/>
      <c r="E83" s="173" t="n"/>
      <c r="F83" s="173" t="n"/>
      <c r="G83" s="173" t="n"/>
      <c r="I83" s="226" t="inlineStr">
        <is>
          <t>Baris</t>
        </is>
      </c>
      <c r="J83" s="241">
        <f>VLOOKUP(I83,$I$22:$Q$26,2,FALSE())</f>
        <v/>
      </c>
      <c r="S83" s="226" t="inlineStr">
        <is>
          <t>Baris</t>
        </is>
      </c>
      <c r="T83" s="241">
        <f>VLOOKUP(S83,$I$22:$Q$26,5,FALSE())</f>
        <v/>
      </c>
    </row>
    <row r="84" ht="14.25" customHeight="1" s="175">
      <c r="A84" s="254" t="n"/>
      <c r="B84" s="202" t="n"/>
      <c r="C84" s="255" t="n"/>
      <c r="D84" s="173" t="n"/>
      <c r="E84" s="173" t="n"/>
      <c r="F84" s="173" t="n"/>
      <c r="G84" s="173" t="n"/>
      <c r="I84" s="208" t="inlineStr">
        <is>
          <t>Tenors</t>
        </is>
      </c>
      <c r="J84" s="241">
        <f>VLOOKUP(I84,$I$22:$Q$26,2,FALSE())</f>
        <v/>
      </c>
      <c r="S84" s="208" t="inlineStr">
        <is>
          <t>Tenors</t>
        </is>
      </c>
      <c r="T84" s="241">
        <f>VLOOKUP(S84,$I$22:$Q$26,5,FALSE())</f>
        <v/>
      </c>
    </row>
    <row r="85" ht="14.25" customHeight="1" s="175">
      <c r="A85" s="254" t="n"/>
      <c r="B85" s="202" t="n"/>
      <c r="C85" s="255" t="n"/>
      <c r="D85" s="173" t="n"/>
      <c r="E85" s="173" t="n"/>
      <c r="F85" s="173" t="n"/>
      <c r="G85" s="173" t="n"/>
      <c r="I85" s="208" t="inlineStr">
        <is>
          <t>Leads</t>
        </is>
      </c>
      <c r="J85" s="241">
        <f>VLOOKUP(I85,$I$22:$Q$26,2,FALSE())</f>
        <v/>
      </c>
      <c r="S85" s="208" t="inlineStr">
        <is>
          <t>Leads</t>
        </is>
      </c>
      <c r="T85" s="241">
        <f>VLOOKUP(S85,$I$22:$Q$26,5,FALSE())</f>
        <v/>
      </c>
    </row>
    <row r="86" ht="14.25" customHeight="1" s="175">
      <c r="A86" s="254" t="n"/>
      <c r="B86" s="202" t="n"/>
      <c r="C86" s="255" t="n"/>
      <c r="D86" s="173" t="n"/>
      <c r="E86" s="173" t="n"/>
      <c r="F86" s="173" t="n"/>
      <c r="G86" s="173" t="n"/>
      <c r="I86" s="208" t="inlineStr">
        <is>
          <t>Basses</t>
        </is>
      </c>
      <c r="J86" s="241">
        <f>VLOOKUP(I86,$I$22:$Q$26,2,FALSE())</f>
        <v/>
      </c>
      <c r="S86" s="208" t="inlineStr">
        <is>
          <t>Basses</t>
        </is>
      </c>
      <c r="T86" s="241">
        <f>VLOOKUP(S86,$I$22:$Q$26,5,FALSE())</f>
        <v/>
      </c>
    </row>
    <row r="87" ht="14.25" customHeight="1" s="175">
      <c r="A87" s="254" t="n"/>
      <c r="B87" s="202" t="n"/>
      <c r="C87" s="255" t="n"/>
      <c r="D87" s="173" t="n"/>
      <c r="E87" s="173" t="n"/>
      <c r="F87" s="173" t="n"/>
      <c r="G87" s="173" t="n"/>
    </row>
    <row r="88" ht="14.25" customHeight="1" s="175">
      <c r="A88" s="254" t="n"/>
      <c r="B88" s="202" t="n"/>
      <c r="C88" s="255" t="n"/>
      <c r="D88" s="173" t="n"/>
      <c r="E88" s="173" t="n"/>
      <c r="F88" s="173" t="n"/>
      <c r="G88" s="173" t="n"/>
    </row>
    <row r="89" ht="14.25" customHeight="1" s="175">
      <c r="A89" s="254" t="n"/>
      <c r="B89" s="202" t="n"/>
      <c r="C89" s="255" t="n"/>
      <c r="D89" s="173" t="n"/>
      <c r="E89" s="173" t="n"/>
      <c r="F89" s="173" t="n"/>
      <c r="G89" s="173" t="n"/>
      <c r="AQ89" s="246" t="n"/>
      <c r="AR89" s="260" t="n"/>
    </row>
    <row r="90" ht="14.25" customHeight="1" s="175">
      <c r="A90" s="254" t="n"/>
      <c r="B90" s="202" t="n"/>
      <c r="C90" s="255" t="n"/>
      <c r="D90" s="173" t="n"/>
      <c r="E90" s="173" t="n"/>
      <c r="F90" s="173" t="n"/>
      <c r="G90" s="173" t="n"/>
      <c r="AQ90" s="246" t="n"/>
      <c r="AR90" s="260" t="n"/>
    </row>
    <row r="91" ht="14.25" customHeight="1" s="175">
      <c r="A91" s="254" t="n"/>
      <c r="B91" s="202" t="n"/>
      <c r="C91" s="255" t="n"/>
      <c r="D91" s="173" t="n"/>
      <c r="E91" s="173" t="n"/>
      <c r="F91" s="173" t="n"/>
      <c r="G91" s="173" t="n"/>
      <c r="AQ91" s="246" t="n"/>
      <c r="AR91" s="260" t="n"/>
    </row>
    <row r="92" ht="14.25" customHeight="1" s="175">
      <c r="A92" s="254" t="n"/>
      <c r="B92" s="202" t="n"/>
      <c r="C92" s="255" t="n"/>
      <c r="D92" s="173" t="n"/>
      <c r="E92" s="173" t="n"/>
      <c r="F92" s="173" t="n"/>
      <c r="G92" s="173" t="n"/>
      <c r="AQ92" s="246" t="n"/>
      <c r="AR92" s="260" t="n"/>
    </row>
    <row r="93" ht="14.25" customHeight="1" s="175">
      <c r="A93" s="254" t="n"/>
      <c r="B93" s="202" t="n"/>
      <c r="C93" s="255" t="n"/>
      <c r="D93" s="173" t="n"/>
      <c r="E93" s="173" t="n"/>
      <c r="F93" s="173" t="n"/>
      <c r="G93" s="173" t="n"/>
      <c r="I93" s="208" t="inlineStr">
        <is>
          <t>Part:</t>
        </is>
      </c>
      <c r="J93" s="216" t="inlineStr">
        <is>
          <t>Deaths</t>
        </is>
      </c>
      <c r="S93" s="208" t="inlineStr">
        <is>
          <t>Part:</t>
        </is>
      </c>
      <c r="T93" s="216" t="inlineStr">
        <is>
          <t>Death Points</t>
        </is>
      </c>
      <c r="AQ93" s="246" t="n"/>
      <c r="AR93" s="260" t="n"/>
    </row>
    <row r="94" ht="14.25" customHeight="1" s="175">
      <c r="A94" s="254" t="n"/>
      <c r="B94" s="202" t="n"/>
      <c r="C94" s="255" t="n"/>
      <c r="D94" s="173" t="n"/>
      <c r="E94" s="173" t="n"/>
      <c r="F94" s="173" t="n"/>
      <c r="G94" s="173" t="n"/>
      <c r="I94" s="208" t="inlineStr">
        <is>
          <t>Baris</t>
        </is>
      </c>
      <c r="J94" s="243">
        <f>VLOOKUP(I94,$I$22:$Q$26,3,FALSE())</f>
        <v/>
      </c>
      <c r="S94" s="208" t="inlineStr">
        <is>
          <t>Baris</t>
        </is>
      </c>
      <c r="T94" s="243">
        <f>VLOOKUP(S94,$I$22:$Q$26,6,FALSE())</f>
        <v/>
      </c>
      <c r="AM94" s="246" t="n"/>
      <c r="AQ94" s="246" t="n"/>
      <c r="AR94" s="260" t="n"/>
    </row>
    <row r="95" ht="14.25" customHeight="1" s="175">
      <c r="A95" s="254" t="n"/>
      <c r="B95" s="202" t="n"/>
      <c r="C95" s="255" t="n"/>
      <c r="D95" s="173" t="n"/>
      <c r="E95" s="173" t="n"/>
      <c r="F95" s="173" t="n"/>
      <c r="G95" s="173" t="n"/>
      <c r="I95" s="208" t="inlineStr">
        <is>
          <t>Leads</t>
        </is>
      </c>
      <c r="J95" s="243">
        <f>VLOOKUP(I95,$I$22:$Q$26,3,FALSE())</f>
        <v/>
      </c>
      <c r="S95" s="208" t="inlineStr">
        <is>
          <t>Leads</t>
        </is>
      </c>
      <c r="T95" s="243">
        <f>VLOOKUP(S95,$I$22:$Q$26,6,FALSE())</f>
        <v/>
      </c>
      <c r="AM95" s="246" t="n"/>
      <c r="AQ95" s="246" t="n"/>
      <c r="AR95" s="260" t="n"/>
    </row>
    <row r="96" ht="14.25" customHeight="1" s="175">
      <c r="A96" s="254" t="n"/>
      <c r="B96" s="202" t="n"/>
      <c r="C96" s="255" t="n"/>
      <c r="D96" s="173" t="n"/>
      <c r="E96" s="173" t="n"/>
      <c r="F96" s="173" t="n"/>
      <c r="G96" s="173" t="n"/>
      <c r="I96" s="208" t="inlineStr">
        <is>
          <t>Basses</t>
        </is>
      </c>
      <c r="J96" s="243">
        <f>VLOOKUP(I96,$I$22:$Q$26,3,FALSE())</f>
        <v/>
      </c>
      <c r="S96" s="208" t="inlineStr">
        <is>
          <t>Basses</t>
        </is>
      </c>
      <c r="T96" s="243">
        <f>VLOOKUP(S96,$I$22:$Q$26,6,FALSE())</f>
        <v/>
      </c>
      <c r="AM96" s="246" t="n"/>
      <c r="AQ96" s="246" t="n"/>
      <c r="AR96" s="260" t="n"/>
    </row>
    <row r="97" ht="14.25" customHeight="1" s="175">
      <c r="A97" s="254" t="n"/>
      <c r="B97" s="202" t="n"/>
      <c r="C97" s="255" t="n"/>
      <c r="D97" s="173" t="n"/>
      <c r="E97" s="173" t="n"/>
      <c r="F97" s="173" t="n"/>
      <c r="G97" s="173" t="n"/>
      <c r="I97" s="208" t="inlineStr">
        <is>
          <t>Tenors</t>
        </is>
      </c>
      <c r="J97" s="243">
        <f>VLOOKUP(I97,$I$22:$Q$26,3,FALSE())</f>
        <v/>
      </c>
      <c r="S97" s="208" t="inlineStr">
        <is>
          <t>Tenors</t>
        </is>
      </c>
      <c r="T97" s="243">
        <f>VLOOKUP(S97,$I$22:$Q$26,6,FALSE())</f>
        <v/>
      </c>
      <c r="AM97" s="246" t="n"/>
      <c r="AQ97" s="246" t="n"/>
      <c r="AR97" s="260" t="n"/>
    </row>
    <row r="98" ht="14.25" customHeight="1" s="175">
      <c r="A98" s="254" t="n"/>
      <c r="B98" s="202" t="n"/>
      <c r="C98" s="255" t="n"/>
      <c r="D98" s="173" t="n"/>
      <c r="E98" s="173" t="n"/>
      <c r="F98" s="173" t="n"/>
      <c r="G98" s="173" t="n"/>
      <c r="AM98" s="246" t="n"/>
      <c r="AQ98" s="246" t="n"/>
      <c r="AR98" s="260" t="n"/>
    </row>
    <row r="99" ht="14.25" customHeight="1" s="175">
      <c r="A99" s="254" t="n"/>
      <c r="B99" s="202" t="n"/>
      <c r="C99" s="255" t="n"/>
      <c r="D99" s="173" t="n"/>
      <c r="E99" s="173" t="n"/>
      <c r="F99" s="173" t="n"/>
      <c r="G99" s="173" t="n"/>
      <c r="AM99" s="246" t="n"/>
      <c r="AQ99" s="246" t="n"/>
      <c r="AR99" s="260" t="n"/>
    </row>
    <row r="100" ht="14.25" customHeight="1" s="175">
      <c r="A100" s="254" t="n"/>
      <c r="B100" s="202" t="n"/>
      <c r="C100" s="255" t="n"/>
      <c r="D100" s="173" t="n"/>
      <c r="E100" s="173" t="n"/>
      <c r="F100" s="173" t="n"/>
      <c r="G100" s="173" t="n"/>
      <c r="AM100" s="246" t="n"/>
      <c r="AQ100" s="246" t="n"/>
      <c r="AR100" s="260" t="n"/>
    </row>
    <row r="101" ht="14.25" customHeight="1" s="175">
      <c r="A101" s="254" t="n"/>
      <c r="B101" s="202" t="n"/>
      <c r="C101" s="255" t="n"/>
      <c r="D101" s="173" t="n"/>
      <c r="E101" s="173" t="n"/>
      <c r="F101" s="173" t="n"/>
      <c r="G101" s="173" t="n"/>
      <c r="AM101" s="246" t="n"/>
      <c r="AQ101" s="246" t="n"/>
      <c r="AR101" s="260" t="n"/>
    </row>
    <row r="102" ht="14.25" customHeight="1" s="175">
      <c r="A102" s="254" t="n"/>
      <c r="B102" s="202" t="n"/>
      <c r="C102" s="255" t="n"/>
      <c r="D102" s="173" t="n"/>
      <c r="E102" s="173" t="n"/>
      <c r="F102" s="173" t="n"/>
      <c r="G102" s="173" t="n"/>
      <c r="AM102" s="246" t="n"/>
      <c r="AQ102" s="246" t="n"/>
      <c r="AR102" s="260" t="n"/>
    </row>
    <row r="103" ht="14.25" customHeight="1" s="175">
      <c r="A103" s="254" t="n"/>
      <c r="B103" s="202" t="n"/>
      <c r="C103" s="255" t="n"/>
      <c r="D103" s="173" t="n"/>
      <c r="E103" s="173" t="n"/>
      <c r="F103" s="173" t="n"/>
      <c r="G103" s="173" t="n"/>
      <c r="L103" s="246" t="n"/>
      <c r="M103" s="246" t="n"/>
      <c r="N103" s="246" t="n"/>
      <c r="O103" s="260" t="n"/>
      <c r="P103" s="260" t="n"/>
      <c r="Q103" s="260" t="n"/>
      <c r="R103" s="260" t="n"/>
      <c r="S103" s="182" t="n"/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E103" s="246" t="n"/>
      <c r="AF103" s="246" t="n"/>
      <c r="AM103" s="246" t="n"/>
      <c r="AQ103" s="246" t="n"/>
      <c r="AR103" s="260" t="n"/>
    </row>
    <row r="104" ht="14.25" customHeight="1" s="175">
      <c r="A104" s="254" t="n"/>
      <c r="B104" s="202" t="n"/>
      <c r="C104" s="255" t="n"/>
      <c r="D104" s="173" t="n"/>
      <c r="E104" s="173" t="n"/>
      <c r="F104" s="173" t="n"/>
      <c r="G104" s="173" t="n"/>
      <c r="I104" s="208" t="inlineStr">
        <is>
          <t>Part:</t>
        </is>
      </c>
      <c r="J104" s="216" t="inlineStr">
        <is>
          <t>KDR</t>
        </is>
      </c>
      <c r="L104" s="246" t="n"/>
      <c r="M104" s="246" t="n"/>
      <c r="N104" s="246" t="n"/>
      <c r="O104" s="260" t="n"/>
      <c r="P104" s="260" t="n"/>
      <c r="Q104" s="260" t="n"/>
      <c r="R104" s="260" t="n"/>
      <c r="S104" s="208" t="inlineStr">
        <is>
          <t>Part:</t>
        </is>
      </c>
      <c r="T104" s="216" t="inlineStr">
        <is>
          <t>KpDpR</t>
        </is>
      </c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E104" s="246" t="n"/>
      <c r="AF104" s="246" t="n"/>
      <c r="AM104" s="246" t="n"/>
      <c r="AQ104" s="246" t="n"/>
      <c r="AR104" s="260" t="n"/>
    </row>
    <row r="105" ht="14.25" customHeight="1" s="175">
      <c r="A105" s="254" t="n"/>
      <c r="B105" s="202" t="n"/>
      <c r="C105" s="255" t="n"/>
      <c r="D105" s="173" t="n"/>
      <c r="E105" s="173" t="n"/>
      <c r="F105" s="173" t="n"/>
      <c r="G105" s="173" t="n"/>
      <c r="I105" s="226" t="inlineStr">
        <is>
          <t>Tenors</t>
        </is>
      </c>
      <c r="J105" s="242">
        <f>VLOOKUP(I105,$I$22:$Q$26,4,FALSE())</f>
        <v/>
      </c>
      <c r="L105" s="246" t="n"/>
      <c r="M105" s="246" t="n"/>
      <c r="N105" s="246" t="n"/>
      <c r="O105" s="260" t="n"/>
      <c r="P105" s="260" t="n"/>
      <c r="Q105" s="260" t="n"/>
      <c r="R105" s="260" t="n"/>
      <c r="S105" s="226" t="inlineStr">
        <is>
          <t>Tenors</t>
        </is>
      </c>
      <c r="T105" s="242">
        <f>VLOOKUP(S105,$I$22:$Q$26,7,FALSE())</f>
        <v/>
      </c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E105" s="246" t="n"/>
      <c r="AF105" s="246" t="n"/>
      <c r="AM105" s="246" t="n"/>
      <c r="AQ105" s="246" t="n"/>
      <c r="AR105" s="260" t="n"/>
    </row>
    <row r="106" ht="14.25" customHeight="1" s="175">
      <c r="A106" s="254" t="n"/>
      <c r="B106" s="202" t="n"/>
      <c r="C106" s="255" t="n"/>
      <c r="D106" s="173" t="n"/>
      <c r="E106" s="173" t="n"/>
      <c r="F106" s="173" t="n"/>
      <c r="G106" s="173" t="n"/>
      <c r="I106" s="208" t="inlineStr">
        <is>
          <t>Baris</t>
        </is>
      </c>
      <c r="J106" s="242">
        <f>VLOOKUP(I106,$I$22:$Q$26,4,FALSE())</f>
        <v/>
      </c>
      <c r="L106" s="246" t="n"/>
      <c r="M106" s="246" t="n"/>
      <c r="N106" s="246" t="n"/>
      <c r="O106" s="260" t="n"/>
      <c r="P106" s="260" t="n"/>
      <c r="Q106" s="260" t="n"/>
      <c r="R106" s="260" t="n"/>
      <c r="S106" s="208" t="inlineStr">
        <is>
          <t>Baris</t>
        </is>
      </c>
      <c r="T106" s="242">
        <f>VLOOKUP(S106,$I$22:$Q$26,7,FALSE())</f>
        <v/>
      </c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E106" s="246" t="n"/>
      <c r="AF106" s="246" t="n"/>
      <c r="AM106" s="246" t="n"/>
      <c r="AQ106" s="246" t="n"/>
      <c r="AR106" s="260" t="n"/>
    </row>
    <row r="107" ht="14.25" customHeight="1" s="175">
      <c r="A107" s="254" t="n"/>
      <c r="B107" s="202" t="n"/>
      <c r="C107" s="255" t="n"/>
      <c r="D107" s="173" t="n"/>
      <c r="E107" s="173" t="n"/>
      <c r="F107" s="173" t="n"/>
      <c r="G107" s="173" t="n"/>
      <c r="I107" s="208" t="inlineStr">
        <is>
          <t>Leads</t>
        </is>
      </c>
      <c r="J107" s="242">
        <f>VLOOKUP(I107,$I$22:$Q$26,4,FALSE())</f>
        <v/>
      </c>
      <c r="L107" s="246" t="n"/>
      <c r="M107" s="246" t="n"/>
      <c r="N107" s="246" t="n"/>
      <c r="O107" s="260" t="n"/>
      <c r="P107" s="260" t="n"/>
      <c r="Q107" s="260" t="n"/>
      <c r="R107" s="260" t="n"/>
      <c r="S107" s="208" t="inlineStr">
        <is>
          <t>Leads</t>
        </is>
      </c>
      <c r="T107" s="242">
        <f>VLOOKUP(S107,$I$22:$Q$26,7,FALSE())</f>
        <v/>
      </c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E107" s="246" t="n"/>
      <c r="AF107" s="246" t="n"/>
      <c r="AM107" s="246" t="n"/>
      <c r="AQ107" s="246" t="n"/>
      <c r="AR107" s="260" t="n"/>
    </row>
    <row r="108" ht="14.25" customHeight="1" s="175">
      <c r="A108" s="254" t="n"/>
      <c r="B108" s="202" t="n"/>
      <c r="C108" s="255" t="n"/>
      <c r="D108" s="173" t="n"/>
      <c r="E108" s="173" t="n"/>
      <c r="F108" s="173" t="n"/>
      <c r="G108" s="173" t="n"/>
      <c r="I108" s="208" t="inlineStr">
        <is>
          <t>Basses</t>
        </is>
      </c>
      <c r="J108" s="242">
        <f>VLOOKUP(I108,$I$22:$Q$26,4,FALSE())</f>
        <v/>
      </c>
      <c r="L108" s="246" t="n"/>
      <c r="M108" s="246" t="n"/>
      <c r="N108" s="246" t="n"/>
      <c r="O108" s="260" t="n"/>
      <c r="P108" s="260" t="n"/>
      <c r="Q108" s="260" t="n"/>
      <c r="R108" s="260" t="n"/>
      <c r="S108" s="208" t="inlineStr">
        <is>
          <t>Basses</t>
        </is>
      </c>
      <c r="T108" s="242">
        <f>VLOOKUP(S108,$I$22:$Q$26,7,FALSE())</f>
        <v/>
      </c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E108" s="246" t="n"/>
      <c r="AF108" s="246" t="n"/>
      <c r="AM108" s="246" t="n"/>
      <c r="AQ108" s="246" t="n"/>
      <c r="AR108" s="260" t="n"/>
    </row>
    <row r="109" ht="14.25" customHeight="1" s="175">
      <c r="A109" s="254" t="n"/>
      <c r="B109" s="202" t="n"/>
      <c r="C109" s="255" t="n"/>
      <c r="D109" s="173" t="n"/>
      <c r="E109" s="173" t="n"/>
      <c r="F109" s="173" t="n"/>
      <c r="G109" s="173" t="n"/>
      <c r="L109" s="246" t="n"/>
      <c r="M109" s="246" t="n"/>
      <c r="N109" s="246" t="n"/>
      <c r="O109" s="260" t="n"/>
      <c r="P109" s="260" t="n"/>
      <c r="Q109" s="260" t="n"/>
      <c r="R109" s="260" t="n"/>
      <c r="S109" s="182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G109" s="246" t="n"/>
      <c r="AH109" s="246" t="n"/>
      <c r="AM109" s="246" t="n"/>
      <c r="AQ109" s="246" t="n"/>
      <c r="AR109" s="260" t="n"/>
    </row>
    <row r="110" ht="14.25" customHeight="1" s="175">
      <c r="A110" s="254" t="n"/>
      <c r="B110" s="202" t="n"/>
      <c r="C110" s="255" t="n"/>
      <c r="D110" s="173" t="n"/>
      <c r="E110" s="173" t="n"/>
      <c r="F110" s="173" t="n"/>
      <c r="G110" s="173" t="n"/>
      <c r="L110" s="246" t="n"/>
      <c r="M110" s="246" t="n"/>
      <c r="N110" s="246" t="n"/>
      <c r="O110" s="260" t="n"/>
      <c r="P110" s="260" t="n"/>
      <c r="Q110" s="260" t="n"/>
      <c r="R110" s="260" t="n"/>
      <c r="S110" s="182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G110" s="246" t="n"/>
      <c r="AH110" s="246" t="n"/>
      <c r="AM110" s="246" t="n"/>
      <c r="AQ110" s="246" t="n"/>
      <c r="AR110" s="260" t="n"/>
    </row>
    <row r="111" ht="14.25" customHeight="1" s="175">
      <c r="A111" s="254" t="n"/>
      <c r="B111" s="202" t="n"/>
      <c r="C111" s="255" t="n"/>
      <c r="D111" s="173" t="n"/>
      <c r="E111" s="173" t="n"/>
      <c r="F111" s="173" t="n"/>
      <c r="G111" s="173" t="n"/>
      <c r="L111" s="246" t="n"/>
      <c r="M111" s="246" t="n"/>
      <c r="N111" s="246" t="n"/>
      <c r="O111" s="260" t="n"/>
      <c r="P111" s="260" t="n"/>
      <c r="Q111" s="260" t="n"/>
      <c r="R111" s="260" t="n"/>
      <c r="S111" s="182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G111" s="246" t="n"/>
      <c r="AH111" s="246" t="n"/>
      <c r="AM111" s="246" t="n"/>
      <c r="AQ111" s="246" t="n"/>
      <c r="AR111" s="260" t="n"/>
    </row>
    <row r="112" ht="14.25" customHeight="1" s="175">
      <c r="A112" s="254" t="n"/>
      <c r="B112" s="202" t="n"/>
      <c r="C112" s="255" t="n"/>
      <c r="D112" s="173" t="n"/>
      <c r="E112" s="173" t="n"/>
      <c r="F112" s="173" t="n"/>
      <c r="G112" s="173" t="n"/>
      <c r="L112" s="246" t="n"/>
      <c r="M112" s="246" t="n"/>
      <c r="N112" s="246" t="n"/>
      <c r="O112" s="260" t="n"/>
      <c r="P112" s="260" t="n"/>
      <c r="Q112" s="260" t="n"/>
      <c r="R112" s="260" t="n"/>
      <c r="S112" s="182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G112" s="246" t="n"/>
      <c r="AH112" s="246" t="n"/>
      <c r="AM112" s="246" t="n"/>
      <c r="AQ112" s="246" t="n"/>
      <c r="AR112" s="260" t="n"/>
    </row>
    <row r="113" ht="14.25" customHeight="1" s="175">
      <c r="A113" s="254" t="n"/>
      <c r="B113" s="202" t="n"/>
      <c r="C113" s="255" t="n"/>
      <c r="D113" s="173" t="n"/>
      <c r="E113" s="173" t="n"/>
      <c r="F113" s="173" t="n"/>
      <c r="G113" s="173" t="n"/>
      <c r="L113" s="246" t="n"/>
      <c r="M113" s="246" t="n"/>
      <c r="N113" s="246" t="n"/>
      <c r="O113" s="260" t="n"/>
      <c r="P113" s="260" t="n"/>
      <c r="Q113" s="260" t="n"/>
      <c r="R113" s="260" t="n"/>
      <c r="S113" s="182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G113" s="246" t="n"/>
      <c r="AH113" s="246" t="n"/>
      <c r="AM113" s="246" t="n"/>
      <c r="AQ113" s="246" t="n"/>
      <c r="AR113" s="260" t="n"/>
    </row>
    <row r="114" ht="14.25" customHeight="1" s="175">
      <c r="A114" s="254" t="n"/>
      <c r="B114" s="202" t="n"/>
      <c r="C114" s="255" t="n"/>
      <c r="D114" s="173" t="n"/>
      <c r="E114" s="173" t="n"/>
      <c r="F114" s="173" t="n"/>
      <c r="G114" s="173" t="n"/>
      <c r="L114" s="246" t="n"/>
      <c r="M114" s="246" t="n"/>
      <c r="N114" s="246" t="n"/>
      <c r="O114" s="260" t="n"/>
      <c r="P114" s="260" t="n"/>
      <c r="Q114" s="260" t="n"/>
      <c r="R114" s="260" t="n"/>
      <c r="S114" s="182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G114" s="246" t="n"/>
      <c r="AH114" s="246" t="n"/>
      <c r="AM114" s="246" t="n"/>
      <c r="AQ114" s="246" t="n"/>
      <c r="AR114" s="260" t="n"/>
    </row>
    <row r="115" ht="14.25" customHeight="1" s="175">
      <c r="A115" s="254" t="n"/>
      <c r="B115" s="202" t="n"/>
      <c r="C115" s="255" t="n"/>
      <c r="D115" s="173" t="n"/>
      <c r="E115" s="173" t="n"/>
      <c r="F115" s="173" t="n"/>
      <c r="G115" s="173" t="n"/>
      <c r="L115" s="246" t="n"/>
      <c r="M115" s="246" t="n"/>
      <c r="N115" s="246" t="n"/>
      <c r="O115" s="260" t="n"/>
      <c r="P115" s="260" t="n"/>
      <c r="Q115" s="260" t="n"/>
      <c r="R115" s="260" t="n"/>
      <c r="S115" s="182" t="n"/>
      <c r="V115" s="246" t="n"/>
      <c r="W115" s="246" t="n"/>
      <c r="X115" s="246" t="n"/>
      <c r="Y115" s="246" t="n"/>
      <c r="Z115" s="246" t="n"/>
      <c r="AA115" s="246" t="n"/>
      <c r="AB115" s="246" t="n"/>
      <c r="AC115" s="246" t="n"/>
      <c r="AD115" s="246" t="n"/>
      <c r="AE115" s="246" t="n"/>
      <c r="AF115" s="246" t="n"/>
      <c r="AG115" s="246" t="n"/>
      <c r="AH115" s="246" t="n"/>
      <c r="AM115" s="246" t="n"/>
      <c r="AQ115" s="246" t="n"/>
      <c r="AR115" s="260" t="n"/>
    </row>
    <row r="116" ht="14.25" customHeight="1" s="175">
      <c r="A116" s="254" t="n"/>
      <c r="B116" s="202" t="n"/>
      <c r="C116" s="255" t="n"/>
      <c r="D116" s="173" t="n"/>
      <c r="E116" s="173" t="n"/>
      <c r="F116" s="173" t="n"/>
      <c r="G116" s="173" t="n"/>
      <c r="AG116" s="246" t="n"/>
      <c r="AH116" s="246" t="n"/>
      <c r="AM116" s="246" t="n"/>
      <c r="AQ116" s="246" t="n"/>
      <c r="AR116" s="260" t="n"/>
    </row>
    <row r="117" ht="14.25" customHeight="1" s="175">
      <c r="A117" s="254" t="n"/>
      <c r="B117" s="202" t="n"/>
      <c r="C117" s="255" t="n"/>
      <c r="D117" s="173" t="n"/>
      <c r="E117" s="173" t="n"/>
      <c r="F117" s="173" t="n"/>
      <c r="G117" s="173" t="n"/>
      <c r="AG117" s="246" t="n"/>
      <c r="AH117" s="246" t="n"/>
      <c r="AM117" s="246" t="n"/>
      <c r="AQ117" s="246" t="n"/>
      <c r="AR117" s="260" t="n"/>
    </row>
    <row r="118" ht="14.25" customHeight="1" s="175">
      <c r="A118" s="254" t="n"/>
      <c r="B118" s="202" t="n"/>
      <c r="C118" s="255" t="n"/>
      <c r="D118" s="173" t="n"/>
      <c r="E118" s="173" t="n"/>
      <c r="F118" s="173" t="n"/>
      <c r="G118" s="173" t="n"/>
      <c r="AG118" s="246" t="n"/>
      <c r="AH118" s="246" t="n"/>
      <c r="AM118" s="246" t="n"/>
      <c r="AQ118" s="246" t="n"/>
      <c r="AR118" s="260" t="n"/>
    </row>
    <row r="119" ht="14.25" customHeight="1" s="175">
      <c r="A119" s="254" t="n"/>
      <c r="B119" s="202" t="n"/>
      <c r="C119" s="255" t="n"/>
      <c r="D119" s="173" t="n"/>
      <c r="E119" s="173" t="n"/>
      <c r="F119" s="173" t="n"/>
      <c r="G119" s="173" t="n"/>
      <c r="AG119" s="246" t="n"/>
      <c r="AH119" s="246" t="n"/>
      <c r="AM119" s="246" t="n"/>
      <c r="AQ119" s="246" t="n"/>
      <c r="AR119" s="260" t="n"/>
    </row>
    <row r="120" ht="14.25" customHeight="1" s="175">
      <c r="A120" s="254" t="n"/>
      <c r="B120" s="202" t="n"/>
      <c r="C120" s="255" t="n"/>
      <c r="D120" s="173" t="n"/>
      <c r="E120" s="173" t="n"/>
      <c r="F120" s="173" t="n"/>
      <c r="G120" s="173" t="n"/>
      <c r="AG120" s="246" t="n"/>
      <c r="AH120" s="246" t="n"/>
      <c r="AM120" s="246" t="n"/>
      <c r="AQ120" s="246" t="n"/>
      <c r="AR120" s="260" t="n"/>
    </row>
    <row r="121" ht="14.25" customHeight="1" s="175">
      <c r="A121" s="254" t="n"/>
      <c r="B121" s="202" t="n"/>
      <c r="C121" s="255" t="n"/>
      <c r="D121" s="173" t="n"/>
      <c r="E121" s="173" t="n"/>
      <c r="F121" s="173" t="n"/>
      <c r="G121" s="173" t="n"/>
      <c r="AG121" s="246" t="n"/>
      <c r="AH121" s="246" t="n"/>
      <c r="AM121" s="246" t="n"/>
      <c r="AQ121" s="246" t="n"/>
      <c r="AR121" s="260" t="n"/>
    </row>
    <row r="122" ht="14.25" customHeight="1" s="175">
      <c r="A122" s="254" t="n"/>
      <c r="B122" s="202" t="n"/>
      <c r="C122" s="255" t="n"/>
      <c r="D122" s="173" t="n"/>
      <c r="E122" s="173" t="n"/>
      <c r="F122" s="173" t="n"/>
      <c r="G122" s="173" t="n"/>
      <c r="AG122" s="246" t="n"/>
      <c r="AH122" s="246" t="n"/>
      <c r="AM122" s="246" t="n"/>
      <c r="AQ122" s="246" t="n"/>
      <c r="AR122" s="260" t="n"/>
    </row>
    <row r="123" ht="14.25" customHeight="1" s="175">
      <c r="A123" s="254" t="n"/>
      <c r="B123" s="202" t="n"/>
      <c r="C123" s="255" t="n"/>
      <c r="D123" s="173" t="n"/>
      <c r="E123" s="173" t="n"/>
      <c r="F123" s="173" t="n"/>
      <c r="G123" s="173" t="n"/>
      <c r="AG123" s="246" t="n"/>
      <c r="AH123" s="246" t="n"/>
      <c r="AM123" s="246" t="n"/>
      <c r="AQ123" s="246" t="n"/>
      <c r="AR123" s="260" t="n"/>
    </row>
    <row r="124" ht="14.25" customHeight="1" s="175">
      <c r="A124" s="254" t="n"/>
      <c r="B124" s="202" t="n"/>
      <c r="C124" s="255" t="n"/>
      <c r="D124" s="173" t="n"/>
      <c r="E124" s="173" t="n"/>
      <c r="F124" s="173" t="n"/>
      <c r="G124" s="173" t="n"/>
      <c r="AG124" s="246" t="n"/>
      <c r="AH124" s="246" t="n"/>
      <c r="AM124" s="246" t="n"/>
      <c r="AQ124" s="246" t="n"/>
      <c r="AR124" s="260" t="n"/>
    </row>
    <row r="125" ht="14.25" customHeight="1" s="175">
      <c r="A125" s="254" t="n"/>
      <c r="B125" s="202" t="n"/>
      <c r="C125" s="255" t="n"/>
      <c r="D125" s="173" t="n"/>
      <c r="E125" s="173" t="n"/>
      <c r="F125" s="173" t="n"/>
      <c r="G125" s="173" t="n"/>
      <c r="L125" s="246" t="n"/>
      <c r="M125" s="246" t="n"/>
      <c r="N125" s="246" t="n"/>
      <c r="O125" s="260" t="n"/>
      <c r="P125" s="260" t="n"/>
      <c r="Q125" s="260" t="n"/>
      <c r="R125" s="260" t="n"/>
      <c r="S125" s="182" t="n"/>
      <c r="V125" s="246" t="n"/>
      <c r="W125" s="246" t="n"/>
      <c r="X125" s="246" t="n"/>
      <c r="Y125" s="246" t="n"/>
      <c r="Z125" s="246" t="n"/>
      <c r="AA125" s="246" t="n"/>
      <c r="AB125" s="246" t="n"/>
      <c r="AC125" s="246" t="n"/>
      <c r="AD125" s="246" t="n"/>
      <c r="AE125" s="246" t="n"/>
      <c r="AF125" s="246" t="n"/>
      <c r="AG125" s="246" t="n"/>
      <c r="AH125" s="246" t="n"/>
      <c r="AM125" s="246" t="n"/>
      <c r="AQ125" s="246" t="n"/>
      <c r="AR125" s="260" t="n"/>
    </row>
    <row r="126" ht="14.25" customHeight="1" s="175">
      <c r="A126" s="254" t="n"/>
      <c r="B126" s="202" t="n"/>
      <c r="C126" s="255" t="n"/>
      <c r="D126" s="173" t="n"/>
      <c r="E126" s="173" t="n"/>
      <c r="F126" s="173" t="n"/>
      <c r="G126" s="173" t="n"/>
    </row>
    <row r="127" ht="14.25" customHeight="1" s="175">
      <c r="A127" s="254" t="n"/>
      <c r="B127" s="202" t="n"/>
      <c r="C127" s="255" t="n"/>
      <c r="D127" s="173" t="n"/>
      <c r="E127" s="173" t="n"/>
      <c r="F127" s="173" t="n"/>
      <c r="G127" s="173" t="n"/>
    </row>
    <row r="128" ht="14.25" customHeight="1" s="175">
      <c r="A128" s="254" t="n"/>
      <c r="B128" s="202" t="n"/>
      <c r="C128" s="255" t="n"/>
      <c r="D128" s="173" t="n"/>
      <c r="E128" s="173" t="n"/>
      <c r="F128" s="173" t="n"/>
      <c r="G128" s="173" t="n"/>
    </row>
    <row r="129" ht="14.25" customHeight="1" s="175">
      <c r="A129" s="254" t="n"/>
      <c r="B129" s="202" t="n"/>
      <c r="C129" s="255" t="n"/>
      <c r="D129" s="173" t="n"/>
      <c r="E129" s="173" t="n"/>
      <c r="F129" s="173" t="n"/>
      <c r="G129" s="173" t="n"/>
    </row>
    <row r="130" ht="14.25" customHeight="1" s="175">
      <c r="A130" s="254" t="n"/>
      <c r="B130" s="202" t="n"/>
      <c r="C130" s="255" t="n"/>
      <c r="D130" s="173" t="n"/>
      <c r="E130" s="173" t="n"/>
      <c r="F130" s="173" t="n"/>
      <c r="G130" s="173" t="n"/>
    </row>
    <row r="131" ht="14.25" customHeight="1" s="175">
      <c r="A131" s="254" t="n"/>
      <c r="B131" s="202" t="n"/>
      <c r="C131" s="255" t="n"/>
      <c r="D131" s="173" t="n"/>
      <c r="E131" s="173" t="n"/>
      <c r="F131" s="173" t="n"/>
      <c r="G131" s="173" t="n"/>
    </row>
    <row r="132" ht="14.25" customHeight="1" s="175">
      <c r="A132" s="254" t="n"/>
      <c r="B132" s="202" t="n"/>
      <c r="C132" s="255" t="n"/>
      <c r="D132" s="173" t="n"/>
      <c r="E132" s="173" t="n"/>
      <c r="F132" s="173" t="n"/>
      <c r="G132" s="173" t="n"/>
    </row>
    <row r="133" ht="14.25" customHeight="1" s="175">
      <c r="A133" s="254" t="n"/>
      <c r="B133" s="202" t="n"/>
      <c r="C133" s="255" t="n"/>
      <c r="D133" s="173" t="n"/>
      <c r="E133" s="173" t="n"/>
      <c r="F133" s="173" t="n"/>
      <c r="G133" s="173" t="n"/>
    </row>
    <row r="134" ht="14.25" customHeight="1" s="175">
      <c r="A134" s="254" t="n"/>
      <c r="B134" s="202" t="n"/>
      <c r="C134" s="255" t="n"/>
      <c r="D134" s="173" t="n"/>
      <c r="E134" s="173" t="n"/>
      <c r="F134" s="173" t="n"/>
      <c r="G134" s="173" t="n"/>
    </row>
    <row r="135" ht="14.25" customHeight="1" s="175">
      <c r="A135" s="254" t="n"/>
      <c r="B135" s="202" t="n"/>
      <c r="C135" s="255" t="n"/>
      <c r="D135" s="173" t="n"/>
      <c r="E135" s="173" t="n"/>
      <c r="F135" s="173" t="n"/>
      <c r="G135" s="173" t="n"/>
    </row>
    <row r="136" ht="14.25" customHeight="1" s="175">
      <c r="A136" s="254" t="n"/>
      <c r="B136" s="202" t="n"/>
      <c r="C136" s="255" t="n"/>
      <c r="D136" s="173" t="n"/>
      <c r="E136" s="173" t="n"/>
      <c r="F136" s="173" t="n"/>
      <c r="G136" s="173" t="n"/>
    </row>
    <row r="137" ht="14.25" customHeight="1" s="175">
      <c r="A137" s="254" t="n"/>
      <c r="B137" s="202" t="n"/>
      <c r="C137" s="255" t="n"/>
      <c r="D137" s="173" t="n"/>
      <c r="E137" s="173" t="n"/>
      <c r="F137" s="173" t="n"/>
      <c r="G137" s="173" t="n"/>
    </row>
    <row r="138" ht="14.25" customHeight="1" s="175">
      <c r="A138" s="254" t="n"/>
      <c r="B138" s="202" t="n"/>
      <c r="C138" s="255" t="n"/>
      <c r="D138" s="173" t="n"/>
      <c r="E138" s="173" t="n"/>
      <c r="F138" s="173" t="n"/>
      <c r="G138" s="173" t="n"/>
    </row>
    <row r="139" ht="14.25" customHeight="1" s="175">
      <c r="A139" s="254" t="n"/>
      <c r="B139" s="202" t="n"/>
      <c r="C139" s="255" t="n"/>
      <c r="D139" s="173" t="n"/>
      <c r="E139" s="173" t="n"/>
      <c r="F139" s="173" t="n"/>
      <c r="G139" s="173" t="n"/>
    </row>
    <row r="140" ht="14.25" customHeight="1" s="175">
      <c r="A140" s="254" t="n"/>
      <c r="B140" s="202" t="n"/>
      <c r="C140" s="255" t="n"/>
      <c r="D140" s="173" t="n"/>
      <c r="E140" s="173" t="n"/>
      <c r="F140" s="173" t="n"/>
      <c r="G140" s="173" t="n"/>
    </row>
    <row r="141" ht="14.25" customHeight="1" s="175">
      <c r="A141" s="254" t="n"/>
      <c r="B141" s="202" t="n"/>
      <c r="C141" s="255" t="n"/>
      <c r="D141" s="173" t="n"/>
      <c r="E141" s="173" t="n"/>
      <c r="F141" s="173" t="n"/>
      <c r="G141" s="173" t="n"/>
    </row>
    <row r="142" ht="14.25" customHeight="1" s="175">
      <c r="A142" s="254" t="n"/>
      <c r="B142" s="202" t="n"/>
      <c r="C142" s="255" t="n"/>
      <c r="D142" s="173" t="n"/>
      <c r="E142" s="173" t="n"/>
      <c r="F142" s="173" t="n"/>
      <c r="G142" s="173" t="n"/>
    </row>
    <row r="143" ht="14.25" customHeight="1" s="175">
      <c r="A143" s="254" t="n"/>
      <c r="B143" s="202" t="n"/>
      <c r="C143" s="255" t="n"/>
      <c r="D143" s="173" t="n"/>
      <c r="E143" s="173" t="n"/>
      <c r="F143" s="173" t="n"/>
      <c r="G143" s="173" t="n"/>
    </row>
    <row r="144" ht="14.25" customHeight="1" s="175">
      <c r="A144" s="254" t="n"/>
      <c r="B144" s="202" t="n"/>
      <c r="C144" s="255" t="n"/>
      <c r="D144" s="173" t="n"/>
      <c r="E144" s="173" t="n"/>
      <c r="F144" s="173" t="n"/>
      <c r="G144" s="173" t="n"/>
    </row>
    <row r="145" ht="14.25" customHeight="1" s="175">
      <c r="A145" s="254" t="n"/>
      <c r="B145" s="202" t="n"/>
      <c r="C145" s="255" t="n"/>
      <c r="D145" s="173" t="n"/>
      <c r="E145" s="173" t="n"/>
      <c r="F145" s="173" t="n"/>
      <c r="G145" s="173" t="n"/>
    </row>
    <row r="146" ht="14.25" customHeight="1" s="175">
      <c r="A146" s="254" t="n"/>
      <c r="B146" s="202" t="n"/>
      <c r="C146" s="255" t="n"/>
      <c r="D146" s="173" t="n"/>
      <c r="E146" s="173" t="n"/>
      <c r="F146" s="173" t="n"/>
      <c r="G146" s="173" t="n"/>
    </row>
    <row r="147" ht="14.25" customHeight="1" s="175">
      <c r="A147" s="254" t="n"/>
      <c r="B147" s="202" t="n"/>
      <c r="C147" s="255" t="n"/>
      <c r="D147" s="173" t="n"/>
      <c r="E147" s="173" t="n"/>
      <c r="F147" s="173" t="n"/>
      <c r="G147" s="173" t="n"/>
    </row>
    <row r="148" ht="14.25" customHeight="1" s="175">
      <c r="A148" s="254" t="n"/>
      <c r="B148" s="202" t="n"/>
      <c r="C148" s="255" t="n"/>
      <c r="D148" s="173" t="n"/>
      <c r="E148" s="173" t="n"/>
      <c r="F148" s="173" t="n"/>
      <c r="G148" s="173" t="n"/>
    </row>
    <row r="149" ht="14.25" customHeight="1" s="175">
      <c r="A149" s="254" t="n"/>
      <c r="B149" s="202" t="n"/>
      <c r="C149" s="255" t="n"/>
      <c r="D149" s="173" t="n"/>
      <c r="E149" s="173" t="n"/>
      <c r="F149" s="173" t="n"/>
      <c r="G149" s="173" t="n"/>
    </row>
    <row r="150" ht="14.25" customHeight="1" s="175">
      <c r="A150" s="254" t="n"/>
      <c r="B150" s="202" t="n"/>
      <c r="C150" s="255" t="n"/>
      <c r="D150" s="173" t="n"/>
      <c r="E150" s="173" t="n"/>
      <c r="F150" s="173" t="n"/>
      <c r="G150" s="173" t="n"/>
    </row>
    <row r="151" ht="14.25" customHeight="1" s="175">
      <c r="A151" s="254" t="n"/>
      <c r="B151" s="202" t="n"/>
      <c r="C151" s="255" t="n"/>
      <c r="D151" s="173" t="n"/>
      <c r="E151" s="173" t="n"/>
      <c r="F151" s="173" t="n"/>
      <c r="G151" s="173" t="n"/>
    </row>
    <row r="152" ht="14.25" customHeight="1" s="175">
      <c r="A152" s="254" t="n"/>
      <c r="B152" s="202" t="n"/>
      <c r="C152" s="255" t="n"/>
      <c r="D152" s="173" t="n"/>
      <c r="E152" s="173" t="n"/>
      <c r="F152" s="173" t="n"/>
      <c r="G152" s="173" t="n"/>
    </row>
    <row r="153" ht="14.25" customHeight="1" s="175">
      <c r="A153" s="254" t="n"/>
      <c r="B153" s="202" t="n"/>
      <c r="C153" s="255" t="n"/>
      <c r="D153" s="173" t="n"/>
      <c r="E153" s="173" t="n"/>
      <c r="F153" s="173" t="n"/>
      <c r="G153" s="173" t="n"/>
    </row>
    <row r="154" ht="14.25" customHeight="1" s="175">
      <c r="A154" s="254" t="n"/>
      <c r="B154" s="202" t="n"/>
      <c r="C154" s="255" t="n"/>
      <c r="D154" s="173" t="n"/>
      <c r="E154" s="173" t="n"/>
      <c r="F154" s="173" t="n"/>
      <c r="G154" s="173" t="n"/>
    </row>
    <row r="155" ht="14.25" customHeight="1" s="175">
      <c r="A155" s="254" t="n"/>
      <c r="B155" s="202" t="n"/>
      <c r="C155" s="255" t="n"/>
      <c r="D155" s="173" t="n"/>
      <c r="E155" s="173" t="n"/>
      <c r="F155" s="173" t="n"/>
      <c r="G155" s="173" t="n"/>
    </row>
    <row r="156" ht="14.25" customHeight="1" s="175">
      <c r="A156" s="254" t="n"/>
      <c r="B156" s="202" t="n"/>
      <c r="C156" s="255" t="n"/>
      <c r="D156" s="173" t="n"/>
      <c r="E156" s="173" t="n"/>
      <c r="F156" s="173" t="n"/>
      <c r="G156" s="173" t="n"/>
    </row>
    <row r="157" ht="14.25" customHeight="1" s="175">
      <c r="A157" s="254" t="n"/>
      <c r="B157" s="202" t="n"/>
      <c r="C157" s="255" t="n"/>
      <c r="D157" s="173" t="n"/>
      <c r="E157" s="173" t="n"/>
      <c r="F157" s="173" t="n"/>
      <c r="G157" s="173" t="n"/>
    </row>
    <row r="158" ht="14.25" customHeight="1" s="175">
      <c r="A158" s="254" t="n"/>
      <c r="B158" s="202" t="n"/>
      <c r="C158" s="255" t="n"/>
      <c r="D158" s="173" t="n"/>
      <c r="E158" s="173" t="n"/>
      <c r="F158" s="173" t="n"/>
      <c r="G158" s="173" t="n"/>
    </row>
    <row r="159" ht="14.25" customHeight="1" s="175">
      <c r="A159" s="254" t="n"/>
      <c r="B159" s="202" t="n"/>
      <c r="C159" s="255" t="n"/>
      <c r="D159" s="173" t="n"/>
      <c r="E159" s="173" t="n"/>
      <c r="F159" s="173" t="n"/>
      <c r="G159" s="173" t="n"/>
    </row>
    <row r="160" ht="14.25" customHeight="1" s="175">
      <c r="A160" s="254" t="n"/>
      <c r="B160" s="202" t="n"/>
      <c r="C160" s="255" t="n"/>
      <c r="D160" s="173" t="n"/>
      <c r="E160" s="173" t="n"/>
      <c r="F160" s="173" t="n"/>
      <c r="G160" s="173" t="n"/>
    </row>
    <row r="161" ht="14.25" customHeight="1" s="175">
      <c r="A161" s="254" t="n"/>
      <c r="B161" s="202" t="n"/>
      <c r="C161" s="255" t="n"/>
      <c r="D161" s="173" t="n"/>
      <c r="E161" s="173" t="n"/>
      <c r="F161" s="173" t="n"/>
      <c r="G161" s="173" t="n"/>
    </row>
    <row r="162" ht="14.25" customHeight="1" s="175">
      <c r="A162" s="254" t="n"/>
      <c r="B162" s="202" t="n"/>
      <c r="C162" s="255" t="n"/>
      <c r="D162" s="173" t="n"/>
      <c r="E162" s="173" t="n"/>
      <c r="F162" s="173" t="n"/>
      <c r="G162" s="173" t="n"/>
    </row>
    <row r="163" ht="14.25" customHeight="1" s="175">
      <c r="A163" s="254" t="n"/>
      <c r="B163" s="202" t="n"/>
      <c r="C163" s="255" t="n"/>
      <c r="D163" s="173" t="n"/>
      <c r="E163" s="173" t="n"/>
      <c r="F163" s="173" t="n"/>
      <c r="G163" s="173" t="n"/>
    </row>
    <row r="164" ht="14.25" customHeight="1" s="175">
      <c r="A164" s="254" t="n"/>
      <c r="B164" s="202" t="n"/>
      <c r="C164" s="255" t="n"/>
      <c r="D164" s="173" t="n"/>
      <c r="E164" s="173" t="n"/>
      <c r="F164" s="173" t="n"/>
      <c r="G164" s="173" t="n"/>
    </row>
    <row r="165" ht="14.25" customHeight="1" s="175">
      <c r="A165" s="254" t="n"/>
      <c r="B165" s="202" t="n"/>
      <c r="C165" s="255" t="n"/>
      <c r="D165" s="173" t="n"/>
      <c r="E165" s="173" t="n"/>
      <c r="F165" s="173" t="n"/>
      <c r="G165" s="173" t="n"/>
    </row>
    <row r="166" ht="14.25" customHeight="1" s="175">
      <c r="A166" s="254" t="n"/>
      <c r="B166" s="202" t="n"/>
      <c r="C166" s="255" t="n"/>
      <c r="D166" s="173" t="n"/>
      <c r="E166" s="173" t="n"/>
      <c r="F166" s="173" t="n"/>
      <c r="G166" s="173" t="n"/>
    </row>
    <row r="167" ht="14.25" customHeight="1" s="175">
      <c r="A167" s="254" t="n"/>
      <c r="B167" s="202" t="n"/>
      <c r="C167" s="255" t="n"/>
      <c r="D167" s="173" t="n"/>
      <c r="E167" s="173" t="n"/>
      <c r="F167" s="173" t="n"/>
      <c r="G167" s="173" t="n"/>
    </row>
    <row r="168" ht="14.25" customHeight="1" s="175">
      <c r="A168" s="254" t="n"/>
      <c r="B168" s="202" t="n"/>
      <c r="C168" s="255" t="n"/>
      <c r="D168" s="173" t="n"/>
      <c r="E168" s="173" t="n"/>
      <c r="F168" s="173" t="n"/>
      <c r="G168" s="173" t="n"/>
      <c r="I168" s="240" t="n"/>
      <c r="J168" s="240" t="n"/>
    </row>
    <row r="169" ht="14.25" customHeight="1" s="175">
      <c r="A169" s="254" t="n"/>
      <c r="B169" s="202" t="n"/>
      <c r="C169" s="255" t="n"/>
      <c r="D169" s="173" t="n"/>
      <c r="E169" s="173" t="n"/>
      <c r="F169" s="173" t="n"/>
      <c r="G169" s="173" t="n"/>
      <c r="I169" s="240" t="n"/>
      <c r="J169" s="240" t="n"/>
    </row>
    <row r="170" ht="14.25" customHeight="1" s="175">
      <c r="A170" s="254" t="n"/>
      <c r="B170" s="202" t="n"/>
      <c r="C170" s="255" t="n"/>
      <c r="D170" s="173" t="n"/>
      <c r="E170" s="173" t="n"/>
      <c r="F170" s="173" t="n"/>
      <c r="G170" s="173" t="n"/>
      <c r="I170" s="240" t="n"/>
      <c r="J170" s="240" t="n"/>
    </row>
    <row r="171" ht="14.25" customHeight="1" s="175">
      <c r="A171" s="254" t="n"/>
      <c r="B171" s="202" t="n"/>
      <c r="C171" s="255" t="n"/>
      <c r="D171" s="173" t="n"/>
      <c r="E171" s="173" t="n"/>
      <c r="F171" s="173" t="n"/>
      <c r="G171" s="173" t="n"/>
      <c r="I171" s="240" t="n"/>
      <c r="J171" s="240" t="n"/>
    </row>
    <row r="172" ht="14.25" customHeight="1" s="175">
      <c r="A172" s="254" t="n"/>
      <c r="B172" s="202" t="n"/>
      <c r="C172" s="255" t="n"/>
      <c r="D172" s="173" t="n"/>
      <c r="E172" s="173" t="n"/>
      <c r="F172" s="173" t="n"/>
      <c r="G172" s="173" t="n"/>
      <c r="I172" s="240" t="n"/>
      <c r="J172" s="240" t="n"/>
    </row>
    <row r="173" ht="14.25" customHeight="1" s="175">
      <c r="A173" s="254" t="n"/>
      <c r="B173" s="202" t="n"/>
      <c r="C173" s="255" t="n"/>
      <c r="D173" s="173" t="n"/>
      <c r="E173" s="173" t="n"/>
      <c r="F173" s="173" t="n"/>
      <c r="G173" s="173" t="n"/>
      <c r="I173" s="240" t="n"/>
      <c r="J173" s="240" t="n"/>
    </row>
    <row r="174" ht="14.25" customHeight="1" s="175">
      <c r="A174" s="254" t="n"/>
      <c r="B174" s="202" t="n"/>
      <c r="C174" s="255" t="n"/>
      <c r="D174" s="173" t="n"/>
      <c r="E174" s="173" t="n"/>
      <c r="F174" s="173" t="n"/>
      <c r="G174" s="173" t="n"/>
      <c r="I174" s="240" t="n"/>
      <c r="J174" s="240" t="n"/>
    </row>
    <row r="175" ht="14.25" customHeight="1" s="175">
      <c r="A175" s="254" t="n"/>
      <c r="B175" s="202" t="n"/>
      <c r="C175" s="255" t="n"/>
      <c r="D175" s="173" t="n"/>
      <c r="E175" s="173" t="n"/>
      <c r="F175" s="173" t="n"/>
      <c r="G175" s="173" t="n"/>
      <c r="I175" s="240" t="n"/>
      <c r="J175" s="240" t="n"/>
    </row>
    <row r="176" ht="14.25" customHeight="1" s="175">
      <c r="A176" s="254" t="n"/>
      <c r="B176" s="202" t="n"/>
      <c r="C176" s="255" t="n"/>
      <c r="D176" s="173" t="n"/>
      <c r="E176" s="173" t="n"/>
      <c r="F176" s="173" t="n"/>
      <c r="G176" s="173" t="n"/>
      <c r="I176" s="240" t="n"/>
      <c r="J176" s="240" t="n"/>
    </row>
    <row r="177" ht="14.25" customHeight="1" s="175">
      <c r="A177" s="254" t="n"/>
      <c r="B177" s="202" t="n"/>
      <c r="C177" s="255" t="n"/>
      <c r="D177" s="173" t="n"/>
      <c r="E177" s="173" t="n"/>
      <c r="F177" s="173" t="n"/>
      <c r="G177" s="173" t="n"/>
    </row>
    <row r="178" ht="14.25" customHeight="1" s="175">
      <c r="A178" s="254" t="n"/>
      <c r="B178" s="202" t="n"/>
      <c r="C178" s="255" t="n"/>
      <c r="D178" s="173" t="n"/>
      <c r="E178" s="173" t="n"/>
      <c r="F178" s="173" t="n"/>
      <c r="G178" s="173" t="n"/>
    </row>
    <row r="179" ht="14.25" customHeight="1" s="175">
      <c r="A179" s="254" t="n"/>
      <c r="B179" s="202" t="n"/>
      <c r="C179" s="255" t="n"/>
      <c r="D179" s="173" t="n"/>
      <c r="E179" s="173" t="n"/>
      <c r="F179" s="173" t="n"/>
      <c r="G179" s="173" t="n"/>
    </row>
    <row r="180" ht="14.25" customHeight="1" s="175">
      <c r="A180" s="254" t="n"/>
      <c r="B180" s="202" t="n"/>
      <c r="C180" s="255" t="n"/>
      <c r="D180" s="173" t="n"/>
      <c r="E180" s="173" t="n"/>
      <c r="F180" s="173" t="n"/>
      <c r="G180" s="173" t="n"/>
    </row>
    <row r="181" ht="14.25" customHeight="1" s="175">
      <c r="A181" s="254" t="n"/>
      <c r="B181" s="202" t="n"/>
      <c r="C181" s="255" t="n"/>
      <c r="D181" s="173" t="n"/>
      <c r="E181" s="173" t="n"/>
      <c r="F181" s="173" t="n"/>
      <c r="G181" s="173" t="n"/>
    </row>
    <row r="182" ht="14.25" customHeight="1" s="175">
      <c r="A182" s="254" t="n"/>
      <c r="B182" s="202" t="n"/>
      <c r="C182" s="255" t="n"/>
      <c r="D182" s="173" t="n"/>
      <c r="E182" s="173" t="n"/>
      <c r="F182" s="173" t="n"/>
      <c r="G182" s="173" t="n"/>
    </row>
    <row r="183" ht="14.25" customHeight="1" s="175">
      <c r="A183" s="254" t="n"/>
      <c r="B183" s="202" t="n"/>
      <c r="C183" s="255" t="n"/>
      <c r="D183" s="173" t="n"/>
      <c r="E183" s="173" t="n"/>
      <c r="F183" s="173" t="n"/>
      <c r="G183" s="173" t="n"/>
    </row>
    <row r="184" ht="14.25" customHeight="1" s="175">
      <c r="A184" s="254" t="n"/>
      <c r="B184" s="202" t="n"/>
      <c r="C184" s="255" t="n"/>
      <c r="D184" s="173" t="n"/>
      <c r="E184" s="173" t="n"/>
      <c r="F184" s="173" t="n"/>
      <c r="G184" s="173" t="n"/>
    </row>
    <row r="185" ht="14.25" customHeight="1" s="175">
      <c r="A185" s="254" t="n"/>
      <c r="B185" s="202" t="n"/>
      <c r="C185" s="255" t="n"/>
      <c r="D185" s="173" t="n"/>
      <c r="E185" s="173" t="n"/>
      <c r="F185" s="173" t="n"/>
      <c r="G185" s="173" t="n"/>
    </row>
    <row r="186" ht="14.25" customHeight="1" s="175">
      <c r="A186" s="254" t="n"/>
      <c r="B186" s="202" t="n"/>
      <c r="C186" s="255" t="n"/>
      <c r="D186" s="173" t="n"/>
      <c r="E186" s="173" t="n"/>
      <c r="F186" s="173" t="n"/>
      <c r="G186" s="173" t="n"/>
    </row>
    <row r="187" ht="14.25" customHeight="1" s="175">
      <c r="A187" s="254" t="n"/>
      <c r="B187" s="202" t="n"/>
      <c r="C187" s="255" t="n"/>
      <c r="D187" s="173" t="n"/>
      <c r="E187" s="173" t="n"/>
      <c r="F187" s="173" t="n"/>
      <c r="G187" s="173" t="n"/>
    </row>
    <row r="188" ht="14.25" customHeight="1" s="175">
      <c r="A188" s="254" t="n"/>
      <c r="B188" s="202" t="n"/>
      <c r="C188" s="255" t="n"/>
      <c r="D188" s="173" t="n"/>
      <c r="E188" s="173" t="n"/>
      <c r="F188" s="173" t="n"/>
      <c r="G188" s="173" t="n"/>
    </row>
    <row r="189" ht="14.25" customHeight="1" s="175">
      <c r="A189" s="254" t="n"/>
      <c r="B189" s="202" t="n"/>
      <c r="C189" s="255" t="n"/>
      <c r="D189" s="173" t="n"/>
      <c r="E189" s="173" t="n"/>
      <c r="F189" s="173" t="n"/>
      <c r="G189" s="173" t="n"/>
    </row>
    <row r="190" ht="14.25" customHeight="1" s="175">
      <c r="A190" s="254" t="n"/>
      <c r="B190" s="202" t="n"/>
      <c r="C190" s="255" t="n"/>
      <c r="D190" s="173" t="n"/>
      <c r="E190" s="173" t="n"/>
      <c r="F190" s="173" t="n"/>
      <c r="G190" s="173" t="n"/>
    </row>
    <row r="191" ht="14.25" customHeight="1" s="175">
      <c r="A191" s="254" t="n"/>
      <c r="B191" s="202" t="n"/>
      <c r="C191" s="255" t="n"/>
      <c r="D191" s="173" t="n"/>
      <c r="E191" s="173" t="n"/>
      <c r="F191" s="173" t="n"/>
      <c r="G191" s="173" t="n"/>
    </row>
    <row r="192" ht="14.25" customHeight="1" s="175">
      <c r="A192" s="254" t="n"/>
      <c r="B192" s="202" t="n"/>
      <c r="C192" s="255" t="n"/>
      <c r="D192" s="173" t="n"/>
      <c r="E192" s="173" t="n"/>
      <c r="F192" s="173" t="n"/>
      <c r="G192" s="173" t="n"/>
    </row>
    <row r="193" ht="14.25" customHeight="1" s="175">
      <c r="A193" s="254" t="n"/>
      <c r="B193" s="202" t="n"/>
      <c r="C193" s="255" t="n"/>
      <c r="D193" s="173" t="n"/>
      <c r="E193" s="173" t="n"/>
      <c r="F193" s="173" t="n"/>
      <c r="G193" s="173" t="n"/>
    </row>
    <row r="194" ht="14.25" customHeight="1" s="175">
      <c r="A194" s="254" t="n"/>
      <c r="B194" s="202" t="n"/>
      <c r="C194" s="255" t="n"/>
      <c r="D194" s="173" t="n"/>
      <c r="E194" s="173" t="n"/>
      <c r="F194" s="173" t="n"/>
      <c r="G194" s="173" t="n"/>
    </row>
    <row r="195" ht="14.25" customHeight="1" s="175">
      <c r="A195" s="254" t="n"/>
      <c r="B195" s="202" t="n"/>
      <c r="C195" s="255" t="n"/>
      <c r="D195" s="173" t="n"/>
      <c r="E195" s="173" t="n"/>
      <c r="F195" s="173" t="n"/>
      <c r="G195" s="173" t="n"/>
    </row>
    <row r="196" ht="14.25" customHeight="1" s="175">
      <c r="A196" s="254" t="n"/>
      <c r="B196" s="202" t="n"/>
      <c r="C196" s="255" t="n"/>
      <c r="D196" s="173" t="n"/>
      <c r="E196" s="173" t="n"/>
      <c r="F196" s="173" t="n"/>
      <c r="G196" s="173" t="n"/>
    </row>
    <row r="197" ht="14.25" customHeight="1" s="175">
      <c r="A197" s="254" t="n"/>
      <c r="B197" s="202" t="n"/>
      <c r="C197" s="255" t="n"/>
      <c r="D197" s="173" t="n"/>
      <c r="E197" s="173" t="n"/>
      <c r="F197" s="173" t="n"/>
      <c r="G197" s="173" t="n"/>
    </row>
    <row r="198" ht="14.25" customHeight="1" s="175">
      <c r="A198" s="254" t="n"/>
      <c r="B198" s="202" t="n"/>
      <c r="C198" s="255" t="n"/>
      <c r="D198" s="173" t="n"/>
      <c r="E198" s="173" t="n"/>
      <c r="F198" s="173" t="n"/>
      <c r="G198" s="173" t="n"/>
    </row>
    <row r="199" ht="14.25" customHeight="1" s="175">
      <c r="A199" s="254" t="n"/>
      <c r="B199" s="202" t="n"/>
      <c r="C199" s="255" t="n"/>
      <c r="D199" s="173" t="n"/>
      <c r="E199" s="173" t="n"/>
      <c r="F199" s="173" t="n"/>
      <c r="G199" s="173" t="n"/>
    </row>
    <row r="200" ht="14.25" customHeight="1" s="175">
      <c r="A200" s="254" t="n"/>
      <c r="B200" s="202" t="n"/>
      <c r="C200" s="255" t="n"/>
      <c r="D200" s="173" t="n"/>
      <c r="E200" s="173" t="n"/>
      <c r="F200" s="173" t="n"/>
      <c r="G200" s="173" t="n"/>
    </row>
    <row r="201" ht="14.25" customHeight="1" s="175">
      <c r="A201" s="254" t="n"/>
      <c r="B201" s="202" t="n"/>
      <c r="C201" s="255" t="n"/>
      <c r="D201" s="173" t="n"/>
      <c r="E201" s="173" t="n"/>
      <c r="F201" s="173" t="n"/>
      <c r="G201" s="173" t="n"/>
    </row>
    <row r="202" ht="14.25" customHeight="1" s="175">
      <c r="A202" s="254" t="n"/>
      <c r="B202" s="202" t="n"/>
      <c r="C202" s="255" t="n"/>
      <c r="D202" s="173" t="n"/>
      <c r="E202" s="173" t="n"/>
      <c r="F202" s="173" t="n"/>
      <c r="G202" s="173" t="n"/>
    </row>
    <row r="203" ht="14.25" customHeight="1" s="175">
      <c r="A203" s="254" t="n"/>
      <c r="B203" s="202" t="n"/>
      <c r="C203" s="255" t="n"/>
      <c r="D203" s="173" t="n"/>
      <c r="E203" s="173" t="n"/>
      <c r="F203" s="173" t="n"/>
      <c r="G203" s="173" t="n"/>
    </row>
    <row r="204" ht="14.25" customHeight="1" s="175">
      <c r="A204" s="254" t="n"/>
      <c r="B204" s="202" t="n"/>
      <c r="C204" s="255" t="n"/>
      <c r="D204" s="173" t="n"/>
      <c r="E204" s="173" t="n"/>
      <c r="F204" s="173" t="n"/>
      <c r="G204" s="173" t="n"/>
    </row>
    <row r="205" ht="14.25" customHeight="1" s="175">
      <c r="A205" s="254" t="n"/>
      <c r="B205" s="202" t="n"/>
      <c r="C205" s="255" t="n"/>
      <c r="D205" s="173" t="n"/>
      <c r="E205" s="173" t="n"/>
      <c r="F205" s="173" t="n"/>
      <c r="G205" s="173" t="n"/>
    </row>
    <row r="206" ht="14.25" customHeight="1" s="175">
      <c r="A206" s="254" t="n"/>
      <c r="B206" s="202" t="n"/>
      <c r="C206" s="255" t="n"/>
      <c r="D206" s="173" t="n"/>
      <c r="E206" s="173" t="n"/>
      <c r="F206" s="173" t="n"/>
      <c r="G206" s="173" t="n"/>
    </row>
    <row r="207" ht="14.25" customHeight="1" s="175">
      <c r="A207" s="254" t="n"/>
      <c r="B207" s="202" t="n"/>
      <c r="C207" s="255" t="n"/>
      <c r="D207" s="173" t="n"/>
      <c r="E207" s="173" t="n"/>
      <c r="F207" s="173" t="n"/>
      <c r="G207" s="173" t="n"/>
    </row>
    <row r="208" ht="14.25" customHeight="1" s="175">
      <c r="A208" s="254" t="n"/>
      <c r="B208" s="202" t="n"/>
      <c r="C208" s="255" t="n"/>
      <c r="D208" s="173" t="n"/>
      <c r="E208" s="173" t="n"/>
      <c r="F208" s="173" t="n"/>
      <c r="G208" s="173" t="n"/>
    </row>
    <row r="209" ht="14.25" customHeight="1" s="175">
      <c r="A209" s="254" t="n"/>
      <c r="B209" s="202" t="n"/>
      <c r="C209" s="255" t="n"/>
      <c r="D209" s="173" t="n"/>
      <c r="E209" s="173" t="n"/>
      <c r="F209" s="173" t="n"/>
      <c r="G209" s="173" t="n"/>
    </row>
    <row r="210" ht="14.25" customHeight="1" s="175">
      <c r="A210" s="254" t="n"/>
      <c r="B210" s="202" t="n"/>
      <c r="C210" s="255" t="n"/>
      <c r="D210" s="173" t="n"/>
      <c r="E210" s="173" t="n"/>
      <c r="F210" s="173" t="n"/>
      <c r="G210" s="173" t="n"/>
    </row>
    <row r="211" ht="14.25" customHeight="1" s="175">
      <c r="A211" s="254" t="n"/>
      <c r="B211" s="202" t="n"/>
      <c r="C211" s="255" t="n"/>
      <c r="D211" s="173" t="n"/>
      <c r="E211" s="173" t="n"/>
      <c r="F211" s="173" t="n"/>
      <c r="G211" s="173" t="n"/>
    </row>
    <row r="212" ht="14.25" customHeight="1" s="175">
      <c r="A212" s="254" t="n"/>
      <c r="B212" s="202" t="n"/>
      <c r="C212" s="255" t="n"/>
      <c r="D212" s="173" t="n"/>
      <c r="E212" s="173" t="n"/>
      <c r="F212" s="173" t="n"/>
      <c r="G212" s="173" t="n"/>
    </row>
    <row r="213" ht="14.25" customHeight="1" s="175">
      <c r="A213" s="254" t="n"/>
      <c r="B213" s="202" t="n"/>
      <c r="C213" s="255" t="n"/>
      <c r="D213" s="173" t="n"/>
      <c r="E213" s="173" t="n"/>
      <c r="F213" s="173" t="n"/>
      <c r="G213" s="173" t="n"/>
    </row>
    <row r="214" ht="14.25" customHeight="1" s="175">
      <c r="A214" s="254" t="n"/>
      <c r="B214" s="202" t="n"/>
      <c r="C214" s="255" t="n"/>
      <c r="D214" s="173" t="n"/>
      <c r="E214" s="173" t="n"/>
      <c r="F214" s="173" t="n"/>
      <c r="G214" s="173" t="n"/>
    </row>
    <row r="215" ht="14.25" customHeight="1" s="175">
      <c r="A215" s="254" t="n"/>
      <c r="B215" s="202" t="n"/>
      <c r="C215" s="255" t="n"/>
      <c r="D215" s="173" t="n"/>
      <c r="E215" s="173" t="n"/>
      <c r="F215" s="173" t="n"/>
      <c r="G215" s="173" t="n"/>
    </row>
    <row r="216" ht="14.25" customHeight="1" s="175">
      <c r="A216" s="254" t="n"/>
      <c r="B216" s="202" t="n"/>
      <c r="C216" s="255" t="n"/>
      <c r="D216" s="173" t="n"/>
      <c r="E216" s="173" t="n"/>
      <c r="F216" s="173" t="n"/>
      <c r="G216" s="173" t="n"/>
    </row>
    <row r="217" ht="14.25" customHeight="1" s="175">
      <c r="A217" s="254" t="n"/>
      <c r="B217" s="202" t="n"/>
      <c r="C217" s="255" t="n"/>
      <c r="D217" s="173" t="n"/>
      <c r="E217" s="173" t="n"/>
      <c r="F217" s="173" t="n"/>
      <c r="G217" s="173" t="n"/>
    </row>
    <row r="218" ht="14.25" customHeight="1" s="175">
      <c r="A218" s="254" t="n"/>
      <c r="B218" s="202" t="n"/>
      <c r="C218" s="255" t="n"/>
      <c r="D218" s="173" t="n"/>
      <c r="E218" s="173" t="n"/>
      <c r="F218" s="173" t="n"/>
      <c r="G218" s="173" t="n"/>
    </row>
    <row r="219" ht="14.25" customHeight="1" s="175">
      <c r="A219" s="254" t="n"/>
      <c r="B219" s="202" t="n"/>
      <c r="C219" s="255" t="n"/>
      <c r="D219" s="173" t="n"/>
      <c r="E219" s="173" t="n"/>
      <c r="F219" s="173" t="n"/>
      <c r="G219" s="173" t="n"/>
    </row>
    <row r="220" ht="14.25" customHeight="1" s="175">
      <c r="A220" s="254" t="n"/>
      <c r="B220" s="202" t="n"/>
      <c r="C220" s="255" t="n"/>
      <c r="D220" s="173" t="n"/>
      <c r="E220" s="173" t="n"/>
      <c r="F220" s="173" t="n"/>
      <c r="G220" s="173" t="n"/>
    </row>
    <row r="221" ht="14.25" customHeight="1" s="175">
      <c r="A221" s="254" t="n"/>
      <c r="B221" s="202" t="n"/>
      <c r="C221" s="255" t="n"/>
      <c r="D221" s="173" t="n"/>
      <c r="E221" s="173" t="n"/>
      <c r="F221" s="173" t="n"/>
      <c r="G221" s="173" t="n"/>
    </row>
    <row r="222" ht="14.25" customHeight="1" s="175">
      <c r="A222" s="254" t="n"/>
      <c r="B222" s="202" t="n"/>
      <c r="C222" s="255" t="n"/>
      <c r="D222" s="173" t="n"/>
      <c r="E222" s="173" t="n"/>
      <c r="F222" s="173" t="n"/>
      <c r="G222" s="173" t="n"/>
    </row>
    <row r="223" ht="14.25" customHeight="1" s="175">
      <c r="A223" s="254" t="n"/>
      <c r="B223" s="202" t="n"/>
      <c r="C223" s="255" t="n"/>
      <c r="D223" s="173" t="n"/>
      <c r="E223" s="173" t="n"/>
      <c r="F223" s="173" t="n"/>
      <c r="G223" s="173" t="n"/>
    </row>
    <row r="224" ht="14.25" customHeight="1" s="175">
      <c r="A224" s="254" t="n"/>
      <c r="B224" s="202" t="n"/>
      <c r="C224" s="255" t="n"/>
      <c r="D224" s="173" t="n"/>
      <c r="E224" s="173" t="n"/>
      <c r="F224" s="173" t="n"/>
      <c r="G224" s="173" t="n"/>
    </row>
    <row r="225" ht="14.25" customHeight="1" s="175">
      <c r="A225" s="254" t="n"/>
      <c r="B225" s="202" t="n"/>
      <c r="C225" s="255" t="n"/>
      <c r="D225" s="173" t="n"/>
      <c r="E225" s="173" t="n"/>
      <c r="F225" s="173" t="n"/>
      <c r="G225" s="173" t="n"/>
    </row>
    <row r="226" ht="14.25" customHeight="1" s="175">
      <c r="A226" s="254" t="n"/>
      <c r="B226" s="202" t="n"/>
      <c r="C226" s="255" t="n"/>
      <c r="D226" s="173" t="n"/>
      <c r="E226" s="173" t="n"/>
      <c r="F226" s="173" t="n"/>
      <c r="G226" s="173" t="n"/>
    </row>
    <row r="227" ht="14.25" customHeight="1" s="175">
      <c r="A227" s="254" t="n"/>
      <c r="B227" s="202" t="n"/>
      <c r="C227" s="255" t="n"/>
      <c r="D227" s="173" t="n"/>
      <c r="E227" s="173" t="n"/>
      <c r="F227" s="173" t="n"/>
      <c r="G227" s="173" t="n"/>
    </row>
    <row r="228" ht="14.25" customHeight="1" s="175">
      <c r="A228" s="254" t="n"/>
      <c r="B228" s="202" t="n"/>
      <c r="C228" s="255" t="n"/>
      <c r="D228" s="173" t="n"/>
      <c r="E228" s="173" t="n"/>
      <c r="F228" s="173" t="n"/>
      <c r="G228" s="173" t="n"/>
    </row>
    <row r="229" ht="14.25" customHeight="1" s="175">
      <c r="A229" s="254" t="n"/>
      <c r="B229" s="202" t="n"/>
      <c r="C229" s="255" t="n"/>
      <c r="D229" s="173" t="n"/>
      <c r="E229" s="173" t="n"/>
      <c r="F229" s="173" t="n"/>
      <c r="G229" s="173" t="n"/>
    </row>
    <row r="230" ht="14.25" customHeight="1" s="175">
      <c r="A230" s="254" t="n"/>
      <c r="B230" s="202" t="n"/>
      <c r="C230" s="255" t="n"/>
      <c r="D230" s="173" t="n"/>
      <c r="E230" s="173" t="n"/>
      <c r="F230" s="173" t="n"/>
      <c r="G230" s="173" t="n"/>
    </row>
    <row r="231" ht="14.25" customHeight="1" s="175">
      <c r="A231" s="254" t="n"/>
      <c r="B231" s="202" t="n"/>
      <c r="C231" s="255" t="n"/>
      <c r="D231" s="173" t="n"/>
      <c r="E231" s="173" t="n"/>
      <c r="F231" s="173" t="n"/>
      <c r="G231" s="173" t="n"/>
    </row>
    <row r="232" ht="14.25" customHeight="1" s="175">
      <c r="A232" s="254" t="n"/>
      <c r="B232" s="202" t="n"/>
      <c r="C232" s="255" t="n"/>
      <c r="D232" s="173" t="n"/>
      <c r="E232" s="173" t="n"/>
      <c r="F232" s="173" t="n"/>
      <c r="G232" s="173" t="n"/>
    </row>
    <row r="233" ht="14.25" customHeight="1" s="175">
      <c r="A233" s="254" t="n"/>
      <c r="B233" s="202" t="n"/>
      <c r="C233" s="255" t="n"/>
      <c r="D233" s="173" t="n"/>
      <c r="E233" s="173" t="n"/>
      <c r="F233" s="173" t="n"/>
      <c r="G233" s="173" t="n"/>
    </row>
    <row r="234" ht="14.25" customHeight="1" s="175">
      <c r="A234" s="254" t="n"/>
      <c r="B234" s="202" t="n"/>
      <c r="C234" s="255" t="n"/>
      <c r="D234" s="173" t="n"/>
      <c r="E234" s="173" t="n"/>
      <c r="F234" s="173" t="n"/>
      <c r="G234" s="173" t="n"/>
    </row>
    <row r="235" ht="14.25" customHeight="1" s="175">
      <c r="A235" s="254" t="n"/>
      <c r="B235" s="202" t="n"/>
      <c r="C235" s="255" t="n"/>
      <c r="D235" s="173" t="n"/>
      <c r="E235" s="173" t="n"/>
      <c r="F235" s="173" t="n"/>
      <c r="G235" s="173" t="n"/>
    </row>
    <row r="236" ht="14.25" customHeight="1" s="175">
      <c r="A236" s="254" t="n"/>
      <c r="B236" s="202" t="n"/>
      <c r="C236" s="255" t="n"/>
      <c r="D236" s="173" t="n"/>
      <c r="E236" s="173" t="n"/>
      <c r="F236" s="173" t="n"/>
      <c r="G236" s="173" t="n"/>
    </row>
    <row r="237" ht="14.25" customHeight="1" s="175">
      <c r="A237" s="254" t="n"/>
      <c r="B237" s="202" t="n"/>
      <c r="C237" s="255" t="n"/>
      <c r="D237" s="173" t="n"/>
      <c r="E237" s="173" t="n"/>
      <c r="F237" s="173" t="n"/>
      <c r="G237" s="173" t="n"/>
    </row>
    <row r="238" ht="14.25" customHeight="1" s="175">
      <c r="A238" s="254" t="n"/>
      <c r="B238" s="202" t="n"/>
      <c r="C238" s="255" t="n"/>
      <c r="D238" s="173" t="n"/>
      <c r="E238" s="173" t="n"/>
      <c r="F238" s="173" t="n"/>
      <c r="G238" s="173" t="n"/>
    </row>
    <row r="239" ht="14.25" customHeight="1" s="175">
      <c r="A239" s="254" t="n"/>
      <c r="B239" s="202" t="n"/>
      <c r="C239" s="255" t="n"/>
      <c r="D239" s="173" t="n"/>
      <c r="E239" s="173" t="n"/>
      <c r="F239" s="173" t="n"/>
      <c r="G239" s="173" t="n"/>
    </row>
    <row r="240" ht="14.25" customHeight="1" s="175">
      <c r="A240" s="254" t="n"/>
      <c r="B240" s="202" t="n"/>
      <c r="C240" s="255" t="n"/>
      <c r="D240" s="173" t="n"/>
      <c r="E240" s="173" t="n"/>
      <c r="F240" s="173" t="n"/>
      <c r="G240" s="173" t="n"/>
    </row>
    <row r="241" ht="14.25" customHeight="1" s="175">
      <c r="A241" s="254" t="n"/>
      <c r="B241" s="202" t="n"/>
      <c r="C241" s="255" t="n"/>
      <c r="D241" s="173" t="n"/>
      <c r="E241" s="173" t="n"/>
      <c r="F241" s="173" t="n"/>
      <c r="G241" s="173" t="n"/>
    </row>
    <row r="242" ht="14.25" customHeight="1" s="175">
      <c r="A242" s="254" t="n"/>
      <c r="B242" s="202" t="n"/>
      <c r="C242" s="255" t="n"/>
      <c r="D242" s="173" t="n"/>
      <c r="E242" s="173" t="n"/>
      <c r="F242" s="173" t="n"/>
      <c r="G242" s="173" t="n"/>
    </row>
    <row r="243" ht="14.25" customHeight="1" s="175">
      <c r="A243" s="254" t="n"/>
      <c r="B243" s="202" t="n"/>
      <c r="C243" s="255" t="n"/>
      <c r="D243" s="173" t="n"/>
      <c r="E243" s="173" t="n"/>
      <c r="F243" s="173" t="n"/>
      <c r="G243" s="173" t="n"/>
    </row>
    <row r="244" ht="14.25" customHeight="1" s="175">
      <c r="A244" s="254" t="n"/>
      <c r="B244" s="202" t="n"/>
      <c r="C244" s="255" t="n"/>
      <c r="D244" s="173" t="n"/>
      <c r="E244" s="173" t="n"/>
      <c r="F244" s="173" t="n"/>
      <c r="G244" s="173" t="n"/>
    </row>
    <row r="245" ht="14.25" customHeight="1" s="175">
      <c r="A245" s="254" t="n"/>
      <c r="B245" s="202" t="n"/>
      <c r="C245" s="255" t="n"/>
      <c r="D245" s="173" t="n"/>
      <c r="E245" s="173" t="n"/>
      <c r="F245" s="173" t="n"/>
      <c r="G245" s="173" t="n"/>
    </row>
    <row r="246" ht="14.25" customHeight="1" s="175">
      <c r="A246" s="173" t="n"/>
      <c r="B246" s="173" t="n"/>
      <c r="C246" s="173" t="n"/>
      <c r="D246" s="173" t="n"/>
    </row>
    <row r="247" ht="14.25" customHeight="1" s="175">
      <c r="A247" s="173" t="n"/>
      <c r="B247" s="173" t="n"/>
      <c r="C247" s="173" t="n"/>
    </row>
    <row r="248" ht="14.25" customHeight="1" s="175">
      <c r="A248" s="173" t="n"/>
      <c r="B248" s="173" t="n"/>
      <c r="C248" s="173" t="n"/>
      <c r="D248" s="192" t="n"/>
    </row>
    <row r="249" ht="14.25" customHeight="1" s="175">
      <c r="A249" s="173" t="n"/>
      <c r="B249" s="173" t="n"/>
      <c r="C249" s="173" t="n"/>
      <c r="D249" s="250" t="n"/>
    </row>
    <row r="250" ht="14.25" customHeight="1" s="175">
      <c r="A250" s="173" t="n"/>
      <c r="B250" s="173" t="n"/>
      <c r="C250" s="173" t="n"/>
    </row>
    <row r="251" ht="14.25" customHeight="1" s="175">
      <c r="A251" s="173" t="n"/>
      <c r="B251" s="173" t="n"/>
      <c r="C251" s="173" t="n"/>
      <c r="D251" s="250" t="n"/>
    </row>
    <row r="252" ht="14.25" customHeight="1" s="175">
      <c r="A252" s="173" t="n"/>
      <c r="B252" s="173" t="n"/>
      <c r="C252" s="173" t="n"/>
    </row>
    <row r="253" ht="14.25" customHeight="1" s="175">
      <c r="A253" s="173" t="n"/>
      <c r="B253" s="173" t="n"/>
      <c r="C253" s="173" t="n"/>
    </row>
    <row r="254" ht="14.25" customHeight="1" s="175">
      <c r="A254" s="173" t="n"/>
      <c r="B254" s="173" t="n"/>
      <c r="C254" s="173" t="n"/>
    </row>
    <row r="255" ht="14.25" customHeight="1" s="175">
      <c r="A255" s="173" t="n"/>
      <c r="B255" s="173" t="n"/>
      <c r="C255" s="173" t="n"/>
    </row>
    <row r="256" ht="14.25" customHeight="1" s="175">
      <c r="A256" s="173" t="n"/>
      <c r="B256" s="173" t="n"/>
      <c r="C256" s="173" t="n"/>
    </row>
    <row r="257" ht="14.25" customHeight="1" s="175">
      <c r="A257" s="173" t="n"/>
      <c r="B257" s="173" t="n"/>
      <c r="C257" s="173" t="n"/>
    </row>
    <row r="258" ht="14.25" customHeight="1" s="175">
      <c r="A258" s="173" t="n"/>
      <c r="B258" s="173" t="n"/>
      <c r="C258" s="173" t="n"/>
    </row>
    <row r="259" ht="14.25" customHeight="1" s="175">
      <c r="A259" s="173" t="n"/>
      <c r="B259" s="173" t="n"/>
      <c r="C259" s="173" t="n"/>
    </row>
    <row r="260" ht="14.25" customHeight="1" s="175">
      <c r="A260" s="173" t="n"/>
      <c r="B260" s="173" t="n"/>
      <c r="C260" s="173" t="n"/>
    </row>
    <row r="261" ht="14.25" customHeight="1" s="175">
      <c r="A261" s="173" t="n"/>
      <c r="B261" s="173" t="n"/>
      <c r="C261" s="173" t="n"/>
    </row>
    <row r="262" ht="14.25" customHeight="1" s="175">
      <c r="A262" s="173" t="n"/>
      <c r="B262" s="173" t="n"/>
      <c r="C262" s="173" t="n"/>
    </row>
    <row r="263" ht="14.25" customHeight="1" s="175">
      <c r="A263" s="173" t="n"/>
      <c r="B263" s="173" t="n"/>
      <c r="C263" s="173" t="n"/>
    </row>
    <row r="264" ht="14.25" customHeight="1" s="175">
      <c r="A264" s="173" t="n"/>
      <c r="B264" s="173" t="n"/>
      <c r="C264" s="173" t="n"/>
    </row>
    <row r="265" ht="14.25" customHeight="1" s="175">
      <c r="A265" s="173" t="n"/>
      <c r="B265" s="173" t="n"/>
      <c r="C265" s="173" t="n"/>
    </row>
    <row r="266" ht="14.25" customHeight="1" s="175">
      <c r="A266" s="173" t="n"/>
      <c r="B266" s="173" t="n"/>
      <c r="C266" s="173" t="n"/>
    </row>
    <row r="267" ht="14.25" customHeight="1" s="175">
      <c r="A267" s="173" t="n"/>
      <c r="B267" s="173" t="n"/>
      <c r="C267" s="173" t="n"/>
    </row>
    <row r="268" ht="14.25" customHeight="1" s="175">
      <c r="A268" s="173" t="n"/>
      <c r="B268" s="173" t="n"/>
      <c r="C268" s="173" t="n"/>
    </row>
    <row r="269" ht="14.25" customHeight="1" s="175">
      <c r="A269" s="173" t="n"/>
      <c r="B269" s="173" t="n"/>
      <c r="C269" s="173" t="n"/>
    </row>
    <row r="270" ht="14.25" customHeight="1" s="175">
      <c r="A270" s="173" t="n"/>
      <c r="B270" s="173" t="n"/>
      <c r="C270" s="173" t="n"/>
    </row>
    <row r="271" ht="14.25" customHeight="1" s="175">
      <c r="A271" s="173" t="n"/>
      <c r="B271" s="173" t="n"/>
      <c r="C271" s="173" t="n"/>
    </row>
    <row r="272" ht="14.25" customHeight="1" s="175">
      <c r="A272" s="173" t="n"/>
      <c r="B272" s="173" t="n"/>
      <c r="C272" s="173" t="n"/>
    </row>
    <row r="273" ht="14.25" customHeight="1" s="175">
      <c r="A273" s="173" t="n"/>
      <c r="B273" s="173" t="n"/>
      <c r="C273" s="173" t="n"/>
    </row>
    <row r="274" ht="14.25" customHeight="1" s="175">
      <c r="A274" s="173" t="n"/>
      <c r="B274" s="173" t="n"/>
      <c r="C274" s="173" t="n"/>
    </row>
    <row r="275" ht="14.25" customHeight="1" s="175">
      <c r="A275" s="173" t="n"/>
      <c r="B275" s="173" t="n"/>
      <c r="C275" s="173" t="n"/>
    </row>
    <row r="276" ht="14.25" customHeight="1" s="175">
      <c r="A276" s="173" t="n"/>
      <c r="B276" s="173" t="n"/>
      <c r="C276" s="173" t="n"/>
    </row>
    <row r="277" ht="14.25" customHeight="1" s="175">
      <c r="A277" s="173" t="n"/>
      <c r="B277" s="173" t="n"/>
      <c r="C277" s="173" t="n"/>
    </row>
    <row r="278" ht="14.25" customHeight="1" s="175">
      <c r="A278" s="173" t="n"/>
      <c r="B278" s="173" t="n"/>
      <c r="C278" s="173" t="n"/>
    </row>
    <row r="279" ht="14.25" customHeight="1" s="175">
      <c r="A279" s="173" t="n"/>
      <c r="B279" s="173" t="n"/>
      <c r="C279" s="173" t="n"/>
    </row>
    <row r="280" ht="14.25" customHeight="1" s="175">
      <c r="A280" s="173" t="n"/>
      <c r="B280" s="173" t="n"/>
      <c r="C280" s="173" t="n"/>
    </row>
    <row r="281" ht="14.25" customHeight="1" s="175">
      <c r="A281" s="173" t="n"/>
      <c r="B281" s="173" t="n"/>
      <c r="C281" s="173" t="n"/>
    </row>
    <row r="282" ht="14.25" customHeight="1" s="175">
      <c r="A282" s="173" t="n"/>
      <c r="B282" s="173" t="n"/>
      <c r="C282" s="173" t="n"/>
    </row>
    <row r="283" ht="14.25" customHeight="1" s="175">
      <c r="A283" s="173" t="n"/>
      <c r="B283" s="173" t="n"/>
      <c r="C283" s="173" t="n"/>
    </row>
    <row r="284" ht="14.25" customHeight="1" s="175">
      <c r="A284" s="173" t="n"/>
      <c r="B284" s="173" t="n"/>
      <c r="C284" s="173" t="n"/>
    </row>
    <row r="285" ht="14.25" customHeight="1" s="175">
      <c r="A285" s="173" t="n"/>
      <c r="B285" s="173" t="n"/>
      <c r="C285" s="173" t="n"/>
    </row>
    <row r="286" ht="14.25" customHeight="1" s="175">
      <c r="A286" s="173" t="n"/>
      <c r="B286" s="173" t="n"/>
      <c r="C286" s="173" t="n"/>
      <c r="D286" s="193" t="n"/>
    </row>
    <row r="287" ht="14.25" customHeight="1" s="175">
      <c r="A287" s="173" t="n"/>
      <c r="B287" s="173" t="n"/>
      <c r="C287" s="173" t="n"/>
    </row>
    <row r="288" ht="14.25" customHeight="1" s="175">
      <c r="A288" s="173" t="n"/>
      <c r="B288" s="173" t="n"/>
      <c r="C288" s="173" t="n"/>
    </row>
    <row r="289" ht="14.25" customHeight="1" s="175">
      <c r="A289" s="173" t="n"/>
      <c r="B289" s="173" t="n"/>
      <c r="C289" s="173" t="n"/>
    </row>
    <row r="290" ht="14.25" customHeight="1" s="175">
      <c r="A290" s="173" t="n"/>
      <c r="B290" s="173" t="n"/>
      <c r="C290" s="173" t="n"/>
    </row>
    <row r="291" ht="14.25" customHeight="1" s="175">
      <c r="A291" s="173" t="n"/>
      <c r="B291" s="173" t="n"/>
      <c r="C291" s="173" t="n"/>
    </row>
    <row r="292" ht="14.25" customHeight="1" s="175">
      <c r="A292" s="173" t="n"/>
      <c r="B292" s="173" t="n"/>
      <c r="C292" s="173" t="n"/>
    </row>
    <row r="293" ht="14.25" customHeight="1" s="175">
      <c r="A293" s="173" t="n"/>
      <c r="B293" s="173" t="n"/>
      <c r="C293" s="173" t="n"/>
    </row>
    <row r="294" ht="14.25" customHeight="1" s="175">
      <c r="A294" s="173" t="n"/>
      <c r="B294" s="173" t="n"/>
      <c r="C294" s="173" t="n"/>
    </row>
    <row r="295" ht="14.25" customHeight="1" s="175">
      <c r="A295" s="173" t="n"/>
      <c r="B295" s="173" t="n"/>
      <c r="C295" s="173" t="n"/>
    </row>
    <row r="296" ht="14.25" customHeight="1" s="175">
      <c r="A296" s="173" t="n"/>
      <c r="B296" s="173" t="n"/>
      <c r="C296" s="173" t="n"/>
    </row>
    <row r="297" ht="14.25" customHeight="1" s="175">
      <c r="A297" s="173" t="n"/>
      <c r="B297" s="173" t="n"/>
      <c r="C297" s="173" t="n"/>
    </row>
    <row r="298" ht="14.25" customHeight="1" s="175">
      <c r="A298" s="173" t="n"/>
      <c r="B298" s="173" t="n"/>
      <c r="C298" s="173" t="n"/>
    </row>
    <row r="299" ht="14.25" customHeight="1" s="175">
      <c r="A299" s="173" t="n"/>
      <c r="B299" s="173" t="n"/>
      <c r="C299" s="173" t="n"/>
    </row>
    <row r="300" ht="14.25" customHeight="1" s="175">
      <c r="A300" s="173" t="n"/>
      <c r="B300" s="173" t="n"/>
      <c r="C300" s="173" t="n"/>
    </row>
    <row r="301" ht="14.25" customHeight="1" s="175">
      <c r="A301" s="173" t="n"/>
      <c r="B301" s="173" t="n"/>
      <c r="C301" s="173" t="n"/>
      <c r="D301" s="193" t="n"/>
    </row>
    <row r="302" ht="14.25" customHeight="1" s="175">
      <c r="A302" s="173" t="n"/>
      <c r="B302" s="173" t="n"/>
      <c r="C302" s="173" t="n"/>
      <c r="D302" s="193" t="n"/>
    </row>
    <row r="303" ht="14.25" customHeight="1" s="175">
      <c r="A303" s="173" t="n"/>
      <c r="B303" s="173" t="n"/>
      <c r="C303" s="173" t="n"/>
    </row>
    <row r="304" ht="14.25" customHeight="1" s="175">
      <c r="A304" s="173" t="n"/>
      <c r="B304" s="173" t="n"/>
      <c r="C304" s="173" t="n"/>
    </row>
    <row r="305" ht="14.25" customHeight="1" s="175">
      <c r="A305" s="173" t="n"/>
      <c r="B305" s="173" t="n"/>
      <c r="C305" s="173" t="n"/>
    </row>
    <row r="306" ht="14.25" customHeight="1" s="175">
      <c r="A306" s="173" t="n"/>
      <c r="B306" s="173" t="n"/>
      <c r="C306" s="173" t="n"/>
    </row>
    <row r="307" ht="14.25" customHeight="1" s="175">
      <c r="A307" s="173" t="n"/>
      <c r="B307" s="173" t="n"/>
      <c r="C307" s="173" t="n"/>
    </row>
    <row r="308" ht="14.25" customHeight="1" s="175">
      <c r="A308" s="173" t="n"/>
      <c r="B308" s="173" t="n"/>
      <c r="C308" s="173" t="n"/>
      <c r="D308" s="192" t="n"/>
    </row>
    <row r="309" ht="14.25" customHeight="1" s="175">
      <c r="A309" s="173" t="n"/>
      <c r="B309" s="173" t="n"/>
      <c r="C309" s="173" t="n"/>
    </row>
    <row r="310" ht="14.25" customHeight="1" s="175"/>
    <row r="311" ht="14.25" customHeight="1" s="175"/>
    <row r="312" ht="14.25" customHeight="1" s="175"/>
    <row r="313" ht="14.25" customHeight="1" s="175"/>
    <row r="314" ht="14.25" customHeight="1" s="175"/>
    <row r="315" ht="14.25" customHeight="1" s="175"/>
    <row r="316" ht="14.25" customHeight="1" s="175"/>
    <row r="317" ht="14.25" customHeight="1" s="175"/>
    <row r="318" ht="14.25" customHeight="1" s="175"/>
    <row r="319" ht="14.25" customHeight="1" s="175"/>
    <row r="320" ht="14.25" customHeight="1" s="175"/>
    <row r="321" ht="14.25" customHeight="1" s="175"/>
    <row r="322" ht="14.25" customHeight="1" s="175"/>
    <row r="323" ht="14.25" customHeight="1" s="175"/>
    <row r="324" ht="14.25" customHeight="1" s="175"/>
    <row r="325" ht="14.25" customHeight="1" s="175"/>
    <row r="326" ht="14.25" customHeight="1" s="175"/>
    <row r="327" ht="14.25" customHeight="1" s="175"/>
    <row r="328" ht="14.25" customHeight="1" s="175"/>
    <row r="329" ht="14.25" customHeight="1" s="175"/>
    <row r="330" ht="14.25" customHeight="1" s="175"/>
    <row r="331" ht="14.25" customHeight="1" s="175"/>
    <row r="332" ht="14.25" customHeight="1" s="175"/>
    <row r="333" ht="14.25" customHeight="1" s="175"/>
    <row r="334" ht="14.25" customHeight="1" s="175"/>
    <row r="335" ht="14.25" customHeight="1" s="175"/>
    <row r="336" ht="14.25" customHeight="1" s="175"/>
    <row r="337" ht="14.25" customHeight="1" s="175"/>
    <row r="338" ht="14.25" customHeight="1" s="175"/>
    <row r="339" ht="14.25" customHeight="1" s="175"/>
    <row r="340" ht="14.25" customHeight="1" s="175"/>
    <row r="341" ht="14.25" customHeight="1" s="175"/>
    <row r="342" ht="14.25" customHeight="1" s="175"/>
    <row r="343" ht="14.25" customHeight="1" s="175"/>
    <row r="344" ht="14.25" customHeight="1" s="175"/>
    <row r="345" ht="14.25" customHeight="1" s="175"/>
    <row r="346" ht="14.25" customHeight="1" s="175"/>
    <row r="347" ht="14.25" customHeight="1" s="175"/>
    <row r="348" ht="14.25" customHeight="1" s="175"/>
    <row r="349" ht="14.25" customHeight="1" s="175"/>
    <row r="350" ht="14.25" customHeight="1" s="175"/>
    <row r="351" ht="14.25" customHeight="1" s="175"/>
    <row r="352" ht="14.25" customHeight="1" s="175"/>
    <row r="353" ht="14.25" customHeight="1" s="175"/>
    <row r="354" ht="14.25" customHeight="1" s="175">
      <c r="D354" s="193" t="n"/>
    </row>
    <row r="355" ht="14.25" customHeight="1" s="175"/>
    <row r="356" ht="14.25" customHeight="1" s="175"/>
    <row r="357" ht="14.25" customHeight="1" s="175"/>
    <row r="358" ht="14.25" customHeight="1" s="175"/>
    <row r="359" ht="14.25" customHeight="1" s="175">
      <c r="D359" s="193" t="n"/>
    </row>
    <row r="360" ht="14.25" customHeight="1" s="175"/>
    <row r="361" ht="14.25" customHeight="1" s="175"/>
    <row r="362" ht="14.25" customHeight="1" s="175"/>
    <row r="363" ht="14.25" customHeight="1" s="175"/>
    <row r="364" ht="14.25" customHeight="1" s="175"/>
    <row r="365" ht="14.25" customHeight="1" s="175"/>
    <row r="366" ht="14.25" customHeight="1" s="175"/>
    <row r="367" ht="14.25" customHeight="1" s="175"/>
    <row r="368" ht="14.25" customHeight="1" s="175"/>
    <row r="369" ht="14.25" customHeight="1" s="175"/>
    <row r="370" ht="14.25" customHeight="1" s="175"/>
    <row r="371" ht="14.25" customHeight="1" s="175"/>
    <row r="372" ht="14.25" customHeight="1" s="175"/>
    <row r="373" ht="14.25" customHeight="1" s="175"/>
    <row r="374" ht="14.25" customHeight="1" s="175"/>
    <row r="375" ht="14.25" customHeight="1" s="175"/>
    <row r="376" ht="14.25" customHeight="1" s="175"/>
    <row r="377" ht="14.25" customHeight="1" s="175"/>
    <row r="378" ht="14.25" customHeight="1" s="175"/>
    <row r="379" ht="14.25" customHeight="1" s="175"/>
    <row r="380" ht="14.25" customHeight="1" s="175"/>
    <row r="381" ht="14.25" customHeight="1" s="175"/>
    <row r="382" ht="14.25" customHeight="1" s="175"/>
    <row r="383" ht="14.25" customHeight="1" s="175"/>
    <row r="384" ht="14.25" customHeight="1" s="175"/>
    <row r="385" ht="14.25" customHeight="1" s="175"/>
    <row r="386" ht="14.25" customHeight="1" s="175"/>
    <row r="387" ht="14.25" customHeight="1" s="175"/>
    <row r="388" ht="14.25" customHeight="1" s="175"/>
    <row r="389" ht="14.25" customHeight="1" s="175"/>
    <row r="390" ht="14.25" customHeight="1" s="175"/>
    <row r="391" ht="14.25" customHeight="1" s="175"/>
    <row r="392" ht="14.25" customHeight="1" s="175"/>
    <row r="393" ht="14.25" customHeight="1" s="175"/>
    <row r="394" ht="14.25" customHeight="1" s="175"/>
    <row r="395" ht="14.25" customHeight="1" s="175"/>
    <row r="396" ht="14.25" customHeight="1" s="175"/>
    <row r="397" ht="14.25" customHeight="1" s="175"/>
    <row r="398" ht="14.25" customHeight="1" s="175">
      <c r="D398" s="250" t="n"/>
    </row>
    <row r="399" ht="14.25" customHeight="1" s="175"/>
    <row r="400" ht="14.25" customHeight="1" s="175"/>
    <row r="401" ht="14.25" customHeight="1" s="175"/>
    <row r="402" ht="14.25" customHeight="1" s="175"/>
    <row r="403" ht="14.25" customHeight="1" s="175"/>
    <row r="404" ht="14.25" customHeight="1" s="175"/>
    <row r="405" ht="14.25" customHeight="1" s="175"/>
    <row r="406" ht="14.25" customHeight="1" s="175"/>
    <row r="407" ht="14.25" customHeight="1" s="175"/>
    <row r="408" ht="14.25" customHeight="1" s="175"/>
    <row r="409" ht="14.25" customHeight="1" s="175"/>
    <row r="410" ht="14.25" customHeight="1" s="175"/>
    <row r="411" ht="14.25" customHeight="1" s="175"/>
    <row r="412" ht="14.25" customHeight="1" s="175"/>
    <row r="413" ht="14.25" customHeight="1" s="175"/>
    <row r="414" ht="14.25" customHeight="1" s="175"/>
    <row r="415" ht="14.25" customHeight="1" s="175"/>
    <row r="416" ht="14.25" customHeight="1" s="175"/>
    <row r="417" ht="14.25" customHeight="1" s="175"/>
    <row r="418" ht="14.25" customHeight="1" s="175"/>
    <row r="419" ht="14.25" customHeight="1" s="175"/>
    <row r="420" ht="14.25" customHeight="1" s="175"/>
    <row r="421" ht="14.25" customHeight="1" s="175"/>
    <row r="422" ht="14.25" customHeight="1" s="175"/>
    <row r="423" ht="14.25" customHeight="1" s="175"/>
    <row r="424" ht="14.25" customHeight="1" s="175"/>
    <row r="425" ht="14.25" customHeight="1" s="175"/>
    <row r="426" ht="14.25" customHeight="1" s="175"/>
    <row r="427" ht="14.25" customHeight="1" s="175"/>
    <row r="428" ht="14.25" customHeight="1" s="175"/>
    <row r="429" ht="14.25" customHeight="1" s="175"/>
    <row r="430" ht="14.25" customHeight="1" s="175"/>
    <row r="431" ht="14.25" customHeight="1" s="175"/>
    <row r="432" ht="14.25" customHeight="1" s="175"/>
    <row r="433" ht="14.25" customHeight="1" s="175"/>
    <row r="434" ht="14.25" customHeight="1" s="175"/>
    <row r="435" ht="14.25" customHeight="1" s="175"/>
    <row r="436" ht="14.25" customHeight="1" s="175"/>
    <row r="437" ht="14.25" customHeight="1" s="175"/>
    <row r="438" ht="14.25" customHeight="1" s="175"/>
    <row r="439" ht="14.25" customHeight="1" s="175"/>
    <row r="440" ht="14.25" customHeight="1" s="175"/>
    <row r="441" ht="14.25" customHeight="1" s="175"/>
    <row r="442" ht="14.25" customHeight="1" s="175"/>
    <row r="443" ht="14.25" customHeight="1" s="175"/>
    <row r="444" ht="14.25" customHeight="1" s="175"/>
    <row r="445" ht="14.25" customHeight="1" s="175"/>
    <row r="446" ht="14.25" customHeight="1" s="175"/>
    <row r="447" ht="14.25" customHeight="1" s="175"/>
    <row r="448" ht="14.25" customHeight="1" s="175"/>
    <row r="449" ht="14.25" customHeight="1" s="175"/>
    <row r="450" ht="14.25" customHeight="1" s="175"/>
    <row r="451" ht="14.25" customHeight="1" s="175"/>
    <row r="452" ht="14.25" customHeight="1" s="175"/>
    <row r="453" ht="14.25" customHeight="1" s="175"/>
    <row r="454" ht="14.25" customHeight="1" s="175"/>
    <row r="455" ht="14.25" customHeight="1" s="175"/>
    <row r="456" ht="14.25" customHeight="1" s="175"/>
    <row r="457" ht="14.25" customHeight="1" s="175"/>
    <row r="458" ht="14.25" customHeight="1" s="175"/>
    <row r="459" ht="14.25" customHeight="1" s="175"/>
    <row r="460" ht="14.25" customHeight="1" s="175"/>
    <row r="461" ht="14.25" customHeight="1" s="175"/>
    <row r="462" ht="14.25" customHeight="1" s="175"/>
    <row r="463" ht="14.25" customHeight="1" s="175"/>
    <row r="464" ht="14.25" customHeight="1" s="175"/>
    <row r="465" ht="14.25" customHeight="1" s="175"/>
    <row r="466" ht="14.25" customHeight="1" s="175"/>
    <row r="467" ht="14.25" customHeight="1" s="175"/>
    <row r="468" ht="14.25" customHeight="1" s="175"/>
    <row r="469" ht="14.25" customHeight="1" s="175"/>
    <row r="470" ht="14.25" customHeight="1" s="175"/>
    <row r="471" ht="14.25" customHeight="1" s="175"/>
    <row r="472" ht="14.25" customHeight="1" s="175"/>
    <row r="473" ht="14.25" customHeight="1" s="175"/>
    <row r="474" ht="14.25" customHeight="1" s="175"/>
    <row r="475" ht="14.25" customHeight="1" s="175"/>
    <row r="476" ht="14.25" customHeight="1" s="175"/>
    <row r="477" ht="14.25" customHeight="1" s="175"/>
    <row r="478" ht="14.25" customHeight="1" s="175"/>
    <row r="479" ht="14.25" customHeight="1" s="175"/>
    <row r="480" ht="14.25" customHeight="1" s="175"/>
    <row r="481" ht="14.25" customHeight="1" s="175"/>
    <row r="482" ht="14.25" customHeight="1" s="175"/>
    <row r="483" ht="14.25" customHeight="1" s="175">
      <c r="D483" s="250" t="n"/>
    </row>
    <row r="484" ht="14.25" customHeight="1" s="175">
      <c r="D484" s="250" t="n"/>
    </row>
    <row r="485" ht="14.25" customHeight="1" s="175">
      <c r="D485" s="250" t="n"/>
    </row>
    <row r="486" ht="14.25" customHeight="1" s="175">
      <c r="D486" s="193" t="n"/>
    </row>
    <row r="487" ht="14.25" customHeight="1" s="175"/>
    <row r="488" ht="14.25" customHeight="1" s="175"/>
    <row r="489" ht="14.25" customHeight="1" s="175"/>
    <row r="490" ht="14.25" customHeight="1" s="175"/>
    <row r="491" ht="14.25" customHeight="1" s="175"/>
    <row r="492" ht="14.25" customHeight="1" s="175"/>
    <row r="493" ht="14.25" customHeight="1" s="175"/>
    <row r="494" ht="14.25" customHeight="1" s="175"/>
    <row r="495" ht="14.25" customHeight="1" s="175"/>
    <row r="496" ht="14.25" customHeight="1" s="175"/>
    <row r="497" ht="14.25" customHeight="1" s="175"/>
    <row r="498" ht="14.25" customHeight="1" s="175"/>
    <row r="499" ht="14.25" customHeight="1" s="175"/>
    <row r="500" ht="14.25" customHeight="1" s="175"/>
    <row r="501" ht="14.25" customHeight="1" s="175"/>
    <row r="502" ht="14.25" customHeight="1" s="175"/>
    <row r="503" ht="14.25" customHeight="1" s="175"/>
    <row r="504" ht="14.25" customHeight="1" s="175">
      <c r="D504" s="250" t="n"/>
    </row>
    <row r="505" ht="14.25" customHeight="1" s="175"/>
    <row r="506" ht="14.25" customHeight="1" s="175"/>
    <row r="507" ht="14.25" customHeight="1" s="175"/>
    <row r="508" ht="14.25" customHeight="1" s="175"/>
    <row r="509" ht="14.25" customHeight="1" s="175"/>
    <row r="510" ht="14.25" customHeight="1" s="175"/>
    <row r="511" ht="14.25" customHeight="1" s="175"/>
    <row r="512" ht="14.25" customHeight="1" s="175"/>
    <row r="513" ht="14.25" customHeight="1" s="175"/>
    <row r="514" ht="14.25" customHeight="1" s="175"/>
    <row r="515" ht="14.25" customHeight="1" s="175"/>
    <row r="516" ht="14.25" customHeight="1" s="175"/>
    <row r="517" ht="14.25" customHeight="1" s="175"/>
    <row r="518" ht="14.25" customHeight="1" s="175"/>
    <row r="519" ht="14.25" customHeight="1" s="175"/>
    <row r="520" ht="14.25" customHeight="1" s="175"/>
    <row r="521" ht="14.25" customHeight="1" s="175"/>
    <row r="522" ht="14.25" customHeight="1" s="175"/>
    <row r="523" ht="14.25" customHeight="1" s="175"/>
    <row r="524" ht="14.25" customHeight="1" s="175"/>
    <row r="525" ht="14.25" customHeight="1" s="175"/>
    <row r="526" ht="14.25" customHeight="1" s="175"/>
    <row r="527" ht="14.25" customHeight="1" s="175"/>
    <row r="528" ht="14.25" customHeight="1" s="175"/>
    <row r="529" ht="14.25" customHeight="1" s="175"/>
    <row r="530" ht="14.25" customHeight="1" s="175"/>
    <row r="531" ht="14.25" customHeight="1" s="175"/>
    <row r="532" ht="14.25" customHeight="1" s="175"/>
    <row r="533" ht="14.25" customHeight="1" s="175"/>
    <row r="534" ht="14.25" customHeight="1" s="175"/>
    <row r="535" ht="14.25" customHeight="1" s="175"/>
    <row r="536" ht="14.25" customHeight="1" s="175"/>
    <row r="537" ht="14.25" customHeight="1" s="175"/>
    <row r="538" ht="14.25" customHeight="1" s="175"/>
    <row r="539" ht="14.25" customHeight="1" s="175"/>
    <row r="540" ht="14.25" customHeight="1" s="175"/>
    <row r="541" ht="14.25" customHeight="1" s="175"/>
    <row r="542" ht="14.25" customHeight="1" s="175"/>
    <row r="543" ht="14.25" customHeight="1" s="175"/>
    <row r="544" ht="14.25" customHeight="1" s="175"/>
    <row r="545" ht="14.25" customHeight="1" s="175"/>
    <row r="546" ht="14.25" customHeight="1" s="175"/>
    <row r="547" ht="14.25" customHeight="1" s="175"/>
    <row r="548" ht="14.25" customHeight="1" s="175"/>
    <row r="549" ht="14.25" customHeight="1" s="175"/>
    <row r="550" ht="14.25" customHeight="1" s="175"/>
    <row r="551" ht="14.25" customHeight="1" s="175"/>
    <row r="552" ht="14.25" customHeight="1" s="175"/>
    <row r="553" ht="14.25" customHeight="1" s="175"/>
    <row r="554" ht="14.25" customHeight="1" s="175"/>
    <row r="555" ht="14.25" customHeight="1" s="175"/>
    <row r="556" ht="14.25" customHeight="1" s="175"/>
    <row r="557" ht="14.25" customHeight="1" s="175"/>
    <row r="558" ht="14.25" customHeight="1" s="175"/>
    <row r="559" ht="14.25" customHeight="1" s="175"/>
    <row r="560" ht="14.25" customHeight="1" s="175"/>
    <row r="561" ht="14.25" customHeight="1" s="175"/>
    <row r="562" ht="14.25" customHeight="1" s="175"/>
    <row r="563" ht="14.25" customHeight="1" s="175"/>
    <row r="564" ht="14.25" customHeight="1" s="175"/>
    <row r="565" ht="14.25" customHeight="1" s="175"/>
    <row r="566" ht="14.25" customHeight="1" s="175"/>
    <row r="567" ht="14.25" customHeight="1" s="175"/>
    <row r="568" ht="14.25" customHeight="1" s="175"/>
    <row r="569" ht="14.25" customHeight="1" s="175"/>
    <row r="570" ht="14.25" customHeight="1" s="175"/>
    <row r="571" ht="14.25" customHeight="1" s="175"/>
    <row r="572" ht="14.25" customHeight="1" s="175"/>
    <row r="573" ht="14.25" customHeight="1" s="175"/>
    <row r="574" ht="14.25" customHeight="1" s="175"/>
    <row r="575" ht="14.25" customHeight="1" s="175"/>
    <row r="576" ht="14.25" customHeight="1" s="175"/>
    <row r="577" ht="14.25" customHeight="1" s="175"/>
    <row r="578" ht="14.25" customHeight="1" s="175"/>
    <row r="579" ht="14.25" customHeight="1" s="175"/>
    <row r="580" ht="14.25" customHeight="1" s="175"/>
    <row r="581" ht="14.25" customHeight="1" s="175"/>
    <row r="582" ht="14.25" customHeight="1" s="175"/>
    <row r="583" ht="14.25" customHeight="1" s="175"/>
    <row r="584" ht="14.25" customHeight="1" s="175"/>
    <row r="585" ht="14.25" customHeight="1" s="175"/>
    <row r="586" ht="14.25" customHeight="1" s="175"/>
    <row r="587" ht="14.25" customHeight="1" s="175"/>
    <row r="588" ht="14.25" customHeight="1" s="175"/>
    <row r="589" ht="14.25" customHeight="1" s="175"/>
    <row r="590" ht="14.25" customHeight="1" s="175"/>
    <row r="591" ht="14.25" customHeight="1" s="175"/>
    <row r="592" ht="14.25" customHeight="1" s="175"/>
    <row r="593" ht="14.25" customHeight="1" s="175"/>
    <row r="594" ht="14.25" customHeight="1" s="175"/>
    <row r="595" ht="14.25" customHeight="1" s="175"/>
    <row r="596" ht="14.25" customHeight="1" s="175"/>
    <row r="597" ht="14.25" customHeight="1" s="175"/>
    <row r="598" ht="14.25" customHeight="1" s="175"/>
    <row r="599" ht="14.25" customHeight="1" s="175"/>
    <row r="600" ht="14.25" customHeight="1" s="175"/>
    <row r="601" ht="14.25" customHeight="1" s="175"/>
    <row r="602" ht="14.25" customHeight="1" s="175"/>
    <row r="603" ht="14.25" customHeight="1" s="175"/>
    <row r="604" ht="14.25" customHeight="1" s="175"/>
    <row r="605" ht="14.25" customHeight="1" s="175"/>
    <row r="606" ht="14.25" customHeight="1" s="175"/>
    <row r="607" ht="14.25" customHeight="1" s="175"/>
    <row r="608" ht="14.25" customHeight="1" s="175"/>
    <row r="609" ht="14.25" customHeight="1" s="175"/>
    <row r="610" ht="14.25" customHeight="1" s="175"/>
    <row r="611" ht="14.25" customHeight="1" s="175"/>
    <row r="612" ht="14.25" customHeight="1" s="175"/>
    <row r="613" ht="14.25" customHeight="1" s="175"/>
    <row r="614" ht="14.25" customHeight="1" s="175"/>
    <row r="615" ht="14.25" customHeight="1" s="175"/>
    <row r="616" ht="14.25" customHeight="1" s="175"/>
    <row r="617" ht="14.25" customHeight="1" s="175"/>
    <row r="618" ht="14.25" customHeight="1" s="175"/>
    <row r="619" ht="14.25" customHeight="1" s="175"/>
    <row r="620" ht="14.25" customHeight="1" s="175"/>
    <row r="621" ht="14.25" customHeight="1" s="175"/>
    <row r="622" ht="14.25" customHeight="1" s="175"/>
    <row r="623" ht="14.25" customHeight="1" s="175"/>
    <row r="624" ht="14.25" customHeight="1" s="175"/>
    <row r="625" ht="14.25" customHeight="1" s="175"/>
    <row r="626" ht="14.25" customHeight="1" s="175"/>
    <row r="627" ht="14.25" customHeight="1" s="175"/>
    <row r="628" ht="14.25" customHeight="1" s="175"/>
    <row r="629" ht="14.25" customHeight="1" s="175"/>
    <row r="630" ht="14.25" customHeight="1" s="175"/>
    <row r="631" ht="14.25" customHeight="1" s="175"/>
    <row r="632" ht="14.25" customHeight="1" s="175"/>
    <row r="633" ht="14.25" customHeight="1" s="175"/>
    <row r="634" ht="14.25" customHeight="1" s="175"/>
    <row r="635" ht="14.25" customHeight="1" s="175"/>
    <row r="636" ht="14.25" customHeight="1" s="175"/>
    <row r="637" ht="14.25" customHeight="1" s="175"/>
    <row r="638" ht="14.25" customHeight="1" s="175"/>
    <row r="639" ht="14.25" customHeight="1" s="175"/>
    <row r="640" ht="14.25" customHeight="1" s="175"/>
    <row r="641" ht="14.25" customHeight="1" s="175"/>
    <row r="642" ht="14.25" customHeight="1" s="175"/>
    <row r="643" ht="14.25" customHeight="1" s="175"/>
    <row r="644" ht="14.25" customHeight="1" s="175"/>
    <row r="645" ht="14.25" customHeight="1" s="175"/>
    <row r="646" ht="14.25" customHeight="1" s="175"/>
    <row r="647" ht="14.25" customHeight="1" s="175"/>
    <row r="648" ht="14.25" customHeight="1" s="175"/>
    <row r="649" ht="14.25" customHeight="1" s="175"/>
    <row r="650" ht="14.25" customHeight="1" s="175"/>
    <row r="651" ht="14.25" customHeight="1" s="175"/>
    <row r="652" ht="14.25" customHeight="1" s="175"/>
    <row r="653" ht="14.25" customHeight="1" s="175"/>
    <row r="654" ht="14.25" customHeight="1" s="175"/>
    <row r="655" ht="14.25" customHeight="1" s="175"/>
    <row r="656" ht="14.25" customHeight="1" s="175"/>
    <row r="657" ht="14.25" customHeight="1" s="175"/>
    <row r="658" ht="14.25" customHeight="1" s="175"/>
    <row r="659" ht="14.25" customHeight="1" s="175"/>
    <row r="660" ht="14.25" customHeight="1" s="175"/>
    <row r="661" ht="14.25" customHeight="1" s="175"/>
    <row r="662" ht="14.25" customHeight="1" s="175"/>
    <row r="663" ht="14.25" customHeight="1" s="175"/>
    <row r="664" ht="14.25" customHeight="1" s="175"/>
    <row r="665" ht="14.25" customHeight="1" s="175"/>
    <row r="666" ht="14.25" customHeight="1" s="175"/>
    <row r="667" ht="14.25" customHeight="1" s="175"/>
    <row r="668" ht="14.25" customHeight="1" s="175"/>
    <row r="669" ht="14.25" customHeight="1" s="175"/>
    <row r="670" ht="14.25" customHeight="1" s="175"/>
    <row r="671" ht="14.25" customHeight="1" s="175"/>
    <row r="672" ht="14.25" customHeight="1" s="175"/>
    <row r="673" ht="14.25" customHeight="1" s="175"/>
    <row r="674" ht="14.25" customHeight="1" s="175"/>
    <row r="675" ht="14.25" customHeight="1" s="175"/>
    <row r="676" ht="14.25" customHeight="1" s="175"/>
    <row r="677" ht="14.25" customHeight="1" s="175"/>
    <row r="678" ht="14.25" customHeight="1" s="175"/>
    <row r="679" ht="14.25" customHeight="1" s="175"/>
    <row r="680" ht="14.25" customHeight="1" s="175"/>
    <row r="681" ht="14.25" customHeight="1" s="175"/>
    <row r="682" ht="14.25" customHeight="1" s="175"/>
    <row r="683" ht="14.25" customHeight="1" s="175"/>
    <row r="684" ht="14.25" customHeight="1" s="175"/>
    <row r="685" ht="14.25" customHeight="1" s="175"/>
    <row r="686" ht="14.25" customHeight="1" s="175"/>
    <row r="687" ht="14.25" customHeight="1" s="175"/>
    <row r="688" ht="14.25" customHeight="1" s="175"/>
    <row r="689" ht="14.25" customHeight="1" s="175"/>
    <row r="690" ht="14.25" customHeight="1" s="175"/>
    <row r="691" ht="14.25" customHeight="1" s="175"/>
    <row r="692" ht="14.25" customHeight="1" s="175"/>
    <row r="693" ht="14.25" customHeight="1" s="175"/>
    <row r="694" ht="14.25" customHeight="1" s="175"/>
    <row r="695" ht="14.25" customHeight="1" s="175"/>
    <row r="696" ht="14.25" customHeight="1" s="175"/>
    <row r="697" ht="14.25" customHeight="1" s="175"/>
    <row r="698" ht="14.25" customHeight="1" s="175"/>
    <row r="699" ht="14.25" customHeight="1" s="175"/>
    <row r="700" ht="14.25" customHeight="1" s="175"/>
    <row r="701" ht="14.25" customHeight="1" s="175"/>
    <row r="702" ht="14.25" customHeight="1" s="175"/>
    <row r="703" ht="14.25" customHeight="1" s="175"/>
    <row r="704" ht="14.25" customHeight="1" s="175"/>
    <row r="705" ht="14.25" customHeight="1" s="175"/>
    <row r="706" ht="14.25" customHeight="1" s="175"/>
    <row r="707" ht="14.25" customHeight="1" s="175"/>
    <row r="708" ht="14.25" customHeight="1" s="175"/>
    <row r="709" ht="14.25" customHeight="1" s="175"/>
    <row r="710" ht="14.25" customHeight="1" s="175"/>
    <row r="711" ht="14.25" customHeight="1" s="175"/>
    <row r="712" ht="14.25" customHeight="1" s="175"/>
    <row r="713" ht="14.25" customHeight="1" s="175"/>
    <row r="714" ht="14.25" customHeight="1" s="175"/>
    <row r="715" ht="14.25" customHeight="1" s="175"/>
    <row r="716" ht="14.25" customHeight="1" s="175"/>
    <row r="717" ht="14.25" customHeight="1" s="175"/>
    <row r="718" ht="14.25" customHeight="1" s="175"/>
    <row r="719" ht="14.25" customHeight="1" s="175"/>
    <row r="720" ht="14.25" customHeight="1" s="175"/>
    <row r="721" ht="14.25" customHeight="1" s="175"/>
    <row r="722" ht="14.25" customHeight="1" s="175"/>
    <row r="723" ht="14.25" customHeight="1" s="175"/>
    <row r="724" ht="14.25" customHeight="1" s="175"/>
    <row r="725" ht="14.25" customHeight="1" s="175"/>
    <row r="726" ht="14.25" customHeight="1" s="175"/>
    <row r="727" ht="14.25" customHeight="1" s="175"/>
    <row r="728" ht="14.25" customHeight="1" s="175"/>
    <row r="729" ht="14.25" customHeight="1" s="175"/>
    <row r="730" ht="14.25" customHeight="1" s="175"/>
    <row r="731" ht="14.25" customHeight="1" s="175"/>
    <row r="732" ht="14.25" customHeight="1" s="175"/>
    <row r="733" ht="14.25" customHeight="1" s="175"/>
    <row r="734" ht="14.25" customHeight="1" s="175"/>
    <row r="735" ht="14.25" customHeight="1" s="175"/>
    <row r="736" ht="14.25" customHeight="1" s="175"/>
    <row r="737" ht="14.25" customHeight="1" s="175"/>
    <row r="738" ht="14.25" customHeight="1" s="175"/>
    <row r="739" ht="14.25" customHeight="1" s="175"/>
    <row r="740" ht="14.25" customHeight="1" s="175"/>
    <row r="741" ht="14.25" customHeight="1" s="175"/>
    <row r="742" ht="14.25" customHeight="1" s="175"/>
    <row r="743" ht="14.25" customHeight="1" s="175"/>
    <row r="744" ht="14.25" customHeight="1" s="175"/>
    <row r="745" ht="14.25" customHeight="1" s="175"/>
    <row r="746" ht="14.25" customHeight="1" s="175"/>
    <row r="747" ht="14.25" customHeight="1" s="175"/>
    <row r="748" ht="14.25" customHeight="1" s="175"/>
    <row r="749" ht="14.25" customHeight="1" s="175"/>
    <row r="750" ht="14.25" customHeight="1" s="175"/>
    <row r="751" ht="14.25" customHeight="1" s="175"/>
    <row r="752" ht="14.25" customHeight="1" s="175"/>
    <row r="753" ht="14.25" customHeight="1" s="175"/>
    <row r="754" ht="14.25" customHeight="1" s="175"/>
    <row r="755" ht="14.25" customHeight="1" s="175"/>
    <row r="756" ht="14.25" customHeight="1" s="175"/>
    <row r="757" ht="14.25" customHeight="1" s="175"/>
    <row r="758" ht="14.25" customHeight="1" s="175"/>
    <row r="759" ht="14.25" customHeight="1" s="175"/>
    <row r="760" ht="14.25" customHeight="1" s="175"/>
    <row r="761" ht="14.25" customHeight="1" s="175"/>
    <row r="762" ht="14.25" customHeight="1" s="175"/>
    <row r="763" ht="14.25" customHeight="1" s="175"/>
    <row r="764" ht="14.25" customHeight="1" s="175"/>
    <row r="765" ht="14.25" customHeight="1" s="175"/>
    <row r="766" ht="14.25" customHeight="1" s="175"/>
    <row r="767" ht="14.25" customHeight="1" s="175"/>
    <row r="768" ht="14.25" customHeight="1" s="175"/>
    <row r="769" ht="14.25" customHeight="1" s="175"/>
    <row r="770" ht="14.25" customHeight="1" s="175"/>
    <row r="771" ht="14.25" customHeight="1" s="175"/>
    <row r="772" ht="14.25" customHeight="1" s="175"/>
    <row r="773" ht="14.25" customHeight="1" s="175"/>
    <row r="774" ht="14.25" customHeight="1" s="175"/>
    <row r="775" ht="14.25" customHeight="1" s="175"/>
    <row r="776" ht="14.25" customHeight="1" s="175"/>
    <row r="777" ht="14.25" customHeight="1" s="175"/>
    <row r="778" ht="14.25" customHeight="1" s="175"/>
    <row r="779" ht="14.25" customHeight="1" s="175"/>
    <row r="780" ht="14.25" customHeight="1" s="175"/>
    <row r="781" ht="14.25" customHeight="1" s="175"/>
    <row r="782" ht="14.25" customHeight="1" s="175"/>
    <row r="783" ht="14.25" customHeight="1" s="175"/>
    <row r="784" ht="14.25" customHeight="1" s="175"/>
    <row r="785" ht="14.25" customHeight="1" s="175"/>
    <row r="786" ht="14.25" customHeight="1" s="175"/>
    <row r="787" ht="14.25" customHeight="1" s="175"/>
    <row r="788" ht="14.25" customHeight="1" s="175"/>
    <row r="789" ht="14.25" customHeight="1" s="175"/>
    <row r="790" ht="14.25" customHeight="1" s="175"/>
    <row r="791" ht="14.25" customHeight="1" s="175"/>
    <row r="792" ht="14.25" customHeight="1" s="175"/>
    <row r="793" ht="14.25" customHeight="1" s="175"/>
    <row r="794" ht="14.25" customHeight="1" s="175"/>
    <row r="795" ht="14.25" customHeight="1" s="175"/>
    <row r="796" ht="14.25" customHeight="1" s="175"/>
    <row r="797" ht="14.25" customHeight="1" s="175"/>
    <row r="798" ht="14.25" customHeight="1" s="175"/>
    <row r="799" ht="14.25" customHeight="1" s="175"/>
    <row r="800" ht="14.25" customHeight="1" s="175"/>
    <row r="801" ht="14.25" customHeight="1" s="175"/>
    <row r="802" ht="14.25" customHeight="1" s="175"/>
    <row r="803" ht="14.25" customHeight="1" s="175"/>
    <row r="804" ht="14.25" customHeight="1" s="175"/>
    <row r="805" ht="14.25" customHeight="1" s="175"/>
    <row r="806" ht="14.25" customHeight="1" s="175"/>
    <row r="807" ht="14.25" customHeight="1" s="175"/>
    <row r="808" ht="14.25" customHeight="1" s="175"/>
    <row r="809" ht="14.25" customHeight="1" s="175"/>
    <row r="810" ht="14.25" customHeight="1" s="175"/>
    <row r="811" ht="14.25" customHeight="1" s="175"/>
    <row r="812" ht="14.25" customHeight="1" s="175"/>
    <row r="813" ht="14.25" customHeight="1" s="175"/>
    <row r="814" ht="14.25" customHeight="1" s="175"/>
    <row r="815" ht="14.25" customHeight="1" s="175"/>
    <row r="816" ht="14.25" customHeight="1" s="175"/>
    <row r="817" ht="14.25" customHeight="1" s="175"/>
    <row r="818" ht="14.25" customHeight="1" s="175"/>
    <row r="819" ht="14.25" customHeight="1" s="175"/>
    <row r="820" ht="14.25" customHeight="1" s="175"/>
    <row r="821" ht="14.25" customHeight="1" s="175"/>
    <row r="822" ht="14.25" customHeight="1" s="175"/>
    <row r="823" ht="14.25" customHeight="1" s="175"/>
    <row r="824" ht="14.25" customHeight="1" s="175"/>
    <row r="825" ht="14.25" customHeight="1" s="175"/>
    <row r="826" ht="14.25" customHeight="1" s="175"/>
    <row r="827" ht="14.25" customHeight="1" s="175"/>
    <row r="828" ht="14.25" customHeight="1" s="175"/>
    <row r="829" ht="14.25" customHeight="1" s="175"/>
    <row r="830" ht="14.25" customHeight="1" s="175"/>
    <row r="831" ht="14.25" customHeight="1" s="175"/>
    <row r="832" ht="14.25" customHeight="1" s="175"/>
    <row r="833" ht="14.25" customHeight="1" s="175"/>
    <row r="834" ht="14.25" customHeight="1" s="175"/>
    <row r="835" ht="14.25" customHeight="1" s="175"/>
    <row r="836" ht="14.25" customHeight="1" s="175"/>
    <row r="837" ht="14.25" customHeight="1" s="175"/>
    <row r="838" ht="14.25" customHeight="1" s="175"/>
    <row r="839" ht="14.25" customHeight="1" s="175"/>
    <row r="840" ht="14.25" customHeight="1" s="175"/>
    <row r="841" ht="14.25" customHeight="1" s="175"/>
    <row r="842" ht="14.25" customHeight="1" s="175"/>
    <row r="843" ht="14.25" customHeight="1" s="175"/>
    <row r="844" ht="14.25" customHeight="1" s="175"/>
    <row r="845" ht="14.25" customHeight="1" s="175"/>
    <row r="846" ht="14.25" customHeight="1" s="175"/>
    <row r="847" ht="14.25" customHeight="1" s="175"/>
    <row r="848" ht="14.25" customHeight="1" s="175"/>
    <row r="849" ht="14.25" customHeight="1" s="175"/>
    <row r="850" ht="14.25" customHeight="1" s="175"/>
    <row r="851" ht="14.25" customHeight="1" s="175"/>
    <row r="852" ht="14.25" customHeight="1" s="175"/>
    <row r="853" ht="14.25" customHeight="1" s="175"/>
    <row r="854" ht="14.25" customHeight="1" s="175"/>
    <row r="855" ht="14.25" customHeight="1" s="175"/>
    <row r="856" ht="14.25" customHeight="1" s="175"/>
    <row r="857" ht="14.25" customHeight="1" s="175"/>
    <row r="858" ht="14.25" customHeight="1" s="175"/>
    <row r="859" ht="14.25" customHeight="1" s="175"/>
    <row r="860" ht="14.25" customHeight="1" s="175"/>
    <row r="861" ht="14.25" customHeight="1" s="175"/>
    <row r="862" ht="14.25" customHeight="1" s="175"/>
    <row r="863" ht="14.25" customHeight="1" s="175"/>
    <row r="864" ht="14.25" customHeight="1" s="175"/>
    <row r="865" ht="14.25" customHeight="1" s="175"/>
    <row r="866" ht="14.25" customHeight="1" s="175"/>
    <row r="867" ht="14.25" customHeight="1" s="175"/>
    <row r="868" ht="14.25" customHeight="1" s="175"/>
    <row r="869" ht="14.25" customHeight="1" s="175"/>
    <row r="870" ht="14.25" customHeight="1" s="175"/>
    <row r="871" ht="14.25" customHeight="1" s="175"/>
    <row r="872" ht="14.25" customHeight="1" s="175"/>
    <row r="873" ht="14.25" customHeight="1" s="175"/>
    <row r="874" ht="14.25" customHeight="1" s="175"/>
    <row r="875" ht="14.25" customHeight="1" s="175"/>
    <row r="876" ht="14.25" customHeight="1" s="175"/>
    <row r="877" ht="14.25" customHeight="1" s="175"/>
    <row r="878" ht="14.25" customHeight="1" s="175"/>
    <row r="879" ht="14.25" customHeight="1" s="175"/>
    <row r="880" ht="14.25" customHeight="1" s="175"/>
    <row r="881" ht="14.25" customHeight="1" s="175"/>
    <row r="882" ht="14.25" customHeight="1" s="175"/>
    <row r="883" ht="14.25" customHeight="1" s="175"/>
    <row r="884" ht="14.25" customHeight="1" s="175"/>
    <row r="885" ht="14.25" customHeight="1" s="175"/>
    <row r="886" ht="14.25" customHeight="1" s="175"/>
    <row r="887" ht="14.25" customHeight="1" s="175"/>
    <row r="888" ht="14.25" customHeight="1" s="175"/>
    <row r="889" ht="14.25" customHeight="1" s="175"/>
    <row r="890" ht="14.25" customHeight="1" s="175"/>
    <row r="891" ht="14.25" customHeight="1" s="175"/>
    <row r="892" ht="14.25" customHeight="1" s="175"/>
    <row r="893" ht="14.25" customHeight="1" s="175"/>
    <row r="894" ht="14.25" customHeight="1" s="175"/>
    <row r="895" ht="14.25" customHeight="1" s="175"/>
    <row r="896" ht="14.25" customHeight="1" s="175"/>
    <row r="897" ht="14.25" customHeight="1" s="175"/>
    <row r="898" ht="14.25" customHeight="1" s="175"/>
    <row r="899" ht="14.25" customHeight="1" s="175"/>
    <row r="900" ht="14.25" customHeight="1" s="175"/>
    <row r="901" ht="14.25" customHeight="1" s="175"/>
    <row r="902" ht="14.25" customHeight="1" s="175"/>
    <row r="903" ht="14.25" customHeight="1" s="175"/>
    <row r="904" ht="14.25" customHeight="1" s="175"/>
    <row r="905" ht="14.25" customHeight="1" s="175"/>
    <row r="906" ht="14.25" customHeight="1" s="175"/>
    <row r="907" ht="14.25" customHeight="1" s="175"/>
    <row r="908" ht="14.25" customHeight="1" s="175"/>
    <row r="909" ht="14.25" customHeight="1" s="175"/>
    <row r="910" ht="14.25" customHeight="1" s="175"/>
    <row r="911" ht="14.25" customHeight="1" s="175"/>
    <row r="912" ht="14.25" customHeight="1" s="175"/>
    <row r="913" ht="14.25" customHeight="1" s="175"/>
    <row r="914" ht="14.25" customHeight="1" s="175"/>
    <row r="915" ht="14.25" customHeight="1" s="175"/>
    <row r="916" ht="14.25" customHeight="1" s="175"/>
    <row r="917" ht="14.25" customHeight="1" s="175"/>
    <row r="918" ht="14.25" customHeight="1" s="175"/>
    <row r="919" ht="14.25" customHeight="1" s="175"/>
    <row r="920" ht="14.25" customHeight="1" s="175"/>
    <row r="921" ht="14.25" customHeight="1" s="175"/>
    <row r="922" ht="14.25" customHeight="1" s="175"/>
    <row r="923" ht="14.25" customHeight="1" s="175"/>
    <row r="924" ht="14.25" customHeight="1" s="175"/>
    <row r="925" ht="14.25" customHeight="1" s="175"/>
    <row r="926" ht="14.25" customHeight="1" s="175"/>
    <row r="927" ht="14.25" customHeight="1" s="175"/>
    <row r="928" ht="14.25" customHeight="1" s="175"/>
    <row r="929" ht="14.25" customHeight="1" s="175"/>
    <row r="930" ht="14.25" customHeight="1" s="175"/>
    <row r="931" ht="14.25" customHeight="1" s="175"/>
    <row r="932" ht="14.25" customHeight="1" s="175"/>
    <row r="933" ht="14.25" customHeight="1" s="175"/>
    <row r="934" ht="14.25" customHeight="1" s="175"/>
    <row r="935" ht="14.25" customHeight="1" s="175"/>
    <row r="936" ht="14.25" customHeight="1" s="175"/>
    <row r="937" ht="14.25" customHeight="1" s="175"/>
    <row r="938" ht="14.25" customHeight="1" s="175"/>
    <row r="939" ht="14.25" customHeight="1" s="175"/>
    <row r="940" ht="14.25" customHeight="1" s="175"/>
    <row r="941" ht="14.25" customHeight="1" s="175"/>
    <row r="942" ht="14.25" customHeight="1" s="175"/>
    <row r="943" ht="14.25" customHeight="1" s="175"/>
    <row r="944" ht="14.25" customHeight="1" s="175"/>
    <row r="945" ht="14.25" customHeight="1" s="175"/>
    <row r="946" ht="14.25" customHeight="1" s="175"/>
    <row r="947" ht="14.25" customHeight="1" s="175"/>
    <row r="948" ht="14.25" customHeight="1" s="175"/>
    <row r="949" ht="14.25" customHeight="1" s="175"/>
    <row r="950" ht="14.25" customHeight="1" s="175"/>
    <row r="951" ht="14.25" customHeight="1" s="175"/>
    <row r="952" ht="14.25" customHeight="1" s="175"/>
    <row r="953" ht="14.25" customHeight="1" s="175"/>
    <row r="954" ht="14.25" customHeight="1" s="175"/>
    <row r="955" ht="14.25" customHeight="1" s="175"/>
    <row r="956" ht="14.25" customHeight="1" s="175"/>
    <row r="957" ht="14.25" customHeight="1" s="175"/>
    <row r="958" ht="14.25" customHeight="1" s="175"/>
    <row r="959" ht="14.25" customHeight="1" s="175"/>
    <row r="960" ht="14.25" customHeight="1" s="175"/>
    <row r="961" ht="14.25" customHeight="1" s="175"/>
    <row r="962" ht="14.25" customHeight="1" s="175"/>
    <row r="963" ht="14.25" customHeight="1" s="175"/>
    <row r="964" ht="14.25" customHeight="1" s="175"/>
    <row r="965" ht="14.25" customHeight="1" s="175"/>
    <row r="966" ht="14.25" customHeight="1" s="175"/>
    <row r="967" ht="14.25" customHeight="1" s="175"/>
    <row r="968" ht="14.25" customHeight="1" s="175"/>
    <row r="969" ht="14.25" customHeight="1" s="175"/>
    <row r="970" ht="14.25" customHeight="1" s="175"/>
    <row r="971" ht="14.25" customHeight="1" s="175"/>
    <row r="972" ht="14.25" customHeight="1" s="175"/>
    <row r="973" ht="14.25" customHeight="1" s="175"/>
    <row r="974" ht="14.25" customHeight="1" s="175"/>
    <row r="975" ht="14.25" customHeight="1" s="175"/>
    <row r="976" ht="14.25" customHeight="1" s="175"/>
    <row r="977" ht="14.25" customHeight="1" s="175"/>
    <row r="978" ht="14.25" customHeight="1" s="175"/>
    <row r="979" ht="14.25" customHeight="1" s="175"/>
    <row r="980" ht="14.25" customHeight="1" s="175"/>
    <row r="981" ht="14.25" customHeight="1" s="175"/>
    <row r="982" ht="14.25" customHeight="1" s="175"/>
    <row r="983" ht="14.25" customHeight="1" s="175"/>
    <row r="984" ht="14.25" customHeight="1" s="175"/>
    <row r="985" ht="14.25" customHeight="1" s="175"/>
    <row r="986" ht="14.25" customHeight="1" s="175"/>
    <row r="987" ht="14.25" customHeight="1" s="175"/>
    <row r="988" ht="14.25" customHeight="1" s="175"/>
    <row r="989" ht="14.25" customHeight="1" s="175"/>
    <row r="990" ht="14.25" customHeight="1" s="175"/>
    <row r="991" ht="14.25" customHeight="1" s="175"/>
    <row r="992" ht="14.25" customHeight="1" s="175"/>
    <row r="993" ht="14.25" customHeight="1" s="175"/>
    <row r="994" ht="14.25" customHeight="1" s="175"/>
    <row r="995" ht="14.25" customHeight="1" s="175"/>
    <row r="996" ht="14.25" customHeight="1" s="175"/>
    <row r="997" ht="14.25" customHeight="1" s="175"/>
    <row r="998" ht="14.25" customHeight="1" s="175"/>
    <row r="999" ht="14.25" customHeight="1" s="175"/>
    <row r="1000" ht="14.25" customHeight="1" s="175"/>
  </sheetData>
  <mergeCells count="5">
    <mergeCell ref="I20:Q20"/>
    <mergeCell ref="I1:R1"/>
    <mergeCell ref="AP13:AY13"/>
    <mergeCell ref="AP56:AX56"/>
    <mergeCell ref="T1:AM1"/>
  </mergeCells>
  <conditionalFormatting sqref="AQ66:AQ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Y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K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2:L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N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2:P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2:Q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35:AQ51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59:AX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59:AY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66:AR7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K26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22:N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4:AR11 AX4:AX11">
    <cfRule type="cellIs" rank="0" priority="17" equalAverage="0" operator="greaterThan" aboveAverage="0" dxfId="0" text="" percent="0" bottom="0">
      <formula>1</formula>
    </cfRule>
  </conditionalFormatting>
  <conditionalFormatting sqref="J83:J86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83:T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94:J97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94:T97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105:J108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105:T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Z16:AZ31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36:AR51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4:AM18"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J65:J80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65:T80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7:J62"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7:T62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9:J44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29:T44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8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8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8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8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3:P18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3:Q18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:R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50">
      <colorScale>
        <cfvo type="min" val="0"/>
        <cfvo type="max" val="0"/>
        <color rgb="FFF8696B"/>
        <color rgb="FFFCFCFF"/>
      </colorScale>
    </cfRule>
  </conditionalFormatting>
  <conditionalFormatting sqref="AS16:AS31">
    <cfRule type="colorScale" priority="51">
      <colorScale>
        <cfvo type="min" val="0"/>
        <cfvo type="max" val="0"/>
        <color rgb="FFFCFCFF"/>
        <color rgb="FF63BE7B"/>
      </colorScale>
    </cfRule>
  </conditionalFormatting>
  <hyperlinks>
    <hyperlink xmlns:r="http://schemas.openxmlformats.org/officeDocument/2006/relationships" ref="E2" display="https://cdn.discordapp.com/ephemeral-attachments/1450933256630440049/1463953458653827136/RDT_20260115_0729213001306827711469532.jpg?ex=6973b467&amp;is=697262e7&amp;hm=abddde1990f77dd09947cbd6cafc421033b30a956f63f0ac302b85f328ba9efb&amp;" r:id="rId1"/>
    <hyperlink xmlns:r="http://schemas.openxmlformats.org/officeDocument/2006/relationships" ref="E17" display="https://cdn.discordapp.com/ephemeral-attachments/1450933256630440049/1465775644741730526/20260127_132802.jpg?ex=697a5572&amp;is=697903f2&amp;hm=9c27e546ab9c73cc77f8c0375cc0951fe876586726fc87be5b26c45984ed2b11&amp;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Z504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selection pane="topLeft" activeCell="A1" activeCellId="0" sqref="A1"/>
    </sheetView>
  </sheetViews>
  <sheetFormatPr baseColWidth="8" defaultColWidth="12.54296875" defaultRowHeight="15" customHeight="1" zeroHeight="0" outlineLevelRow="0" outlineLevelCol="0"/>
  <cols>
    <col width="7.45" customWidth="1" style="172" min="1" max="1"/>
    <col width="6.54" customWidth="1" style="173" min="2" max="2"/>
    <col width="13.18" customWidth="1" style="174" min="3" max="3"/>
    <col width="8.539999999999999" customWidth="1" style="173" min="4" max="4"/>
    <col width="2.27" customWidth="1" style="173" min="5" max="5"/>
    <col width="8.539999999999999" customWidth="1" style="173" min="6" max="6"/>
    <col width="7.27" customWidth="1" style="173" min="10" max="11"/>
    <col width="5.45" customWidth="1" style="173" min="12" max="12"/>
    <col width="9.73" customWidth="1" style="173" min="13" max="13"/>
    <col width="12.27" customWidth="1" style="173" min="14" max="14"/>
    <col width="7.18" customWidth="1" style="173" min="15" max="15"/>
    <col width="8.449999999999999" customWidth="1" style="173" min="16" max="16"/>
    <col width="11.18" customWidth="1" style="173" min="17" max="17"/>
    <col width="13.27" customWidth="1" style="173" min="18" max="18"/>
    <col width="7.45" customWidth="1" style="173" min="19" max="19"/>
    <col width="13.54" customWidth="1" style="173" min="20" max="20"/>
    <col width="6.27" customWidth="1" style="173" min="21" max="21"/>
    <col width="4.54" customWidth="1" style="173" min="22" max="22"/>
    <col width="5.18" customWidth="1" style="173" min="23" max="23"/>
    <col width="8.449999999999999" customWidth="1" style="173" min="24" max="24"/>
    <col width="8" customWidth="1" style="173" min="25" max="25"/>
    <col width="5.27" customWidth="1" style="173" min="26" max="26"/>
    <col width="8.18" customWidth="1" style="173" min="27" max="27"/>
    <col width="4.54" customWidth="1" style="173" min="28" max="28"/>
    <col width="6.18" customWidth="1" style="173" min="29" max="29"/>
    <col width="6.73" customWidth="1" style="173" min="30" max="30"/>
    <col width="7.27" customWidth="1" style="173" min="31" max="31"/>
    <col width="7.73" customWidth="1" style="173" min="32" max="32"/>
    <col width="5.82" customWidth="1" style="173" min="33" max="33"/>
    <col width="7.45" customWidth="1" style="173" min="34" max="34"/>
    <col width="6.27" customWidth="1" style="173" min="35" max="35"/>
    <col width="5.45" customWidth="1" style="173" min="36" max="36"/>
    <col width="11.27" customWidth="1" style="173" min="37" max="38"/>
    <col width="6.54" customWidth="1" style="173" min="39" max="39"/>
    <col width="8.539999999999999" customWidth="1" style="173" min="40" max="40"/>
    <col width="21.18" customWidth="1" style="173" min="41" max="41"/>
    <col width="8.449999999999999" customWidth="1" style="173" min="43" max="44"/>
    <col width="7.18" customWidth="1" style="173" min="45" max="45"/>
    <col width="9.27" customWidth="1" style="173" min="46" max="46"/>
    <col width="13.82" customWidth="1" style="173" min="47" max="47"/>
    <col width="7.54" customWidth="1" style="173" min="48" max="48"/>
    <col width="8.18" customWidth="1" style="173" min="49" max="49"/>
    <col width="10.73" customWidth="1" style="173" min="50" max="50"/>
    <col width="12" customWidth="1" style="173" min="51" max="51"/>
    <col width="8.18" customWidth="1" style="173" min="52" max="52"/>
    <col width="8.539999999999999" customWidth="1" style="173" min="53" max="53"/>
  </cols>
  <sheetData>
    <row r="1" ht="14.25" customHeight="1" s="175">
      <c r="A1" s="176" t="inlineStr">
        <is>
          <t>Sniper</t>
        </is>
      </c>
      <c r="B1" s="177" t="inlineStr">
        <is>
          <t>Points</t>
        </is>
      </c>
      <c r="C1" s="178" t="inlineStr">
        <is>
          <t>Snipee</t>
        </is>
      </c>
      <c r="D1" s="173" t="inlineStr">
        <is>
          <t>Link:</t>
        </is>
      </c>
      <c r="I1" s="179" t="inlineStr">
        <is>
          <t>Data by Person:</t>
        </is>
      </c>
      <c r="J1" s="180" t="n"/>
      <c r="K1" s="180" t="n"/>
      <c r="L1" s="180" t="n"/>
      <c r="M1" s="180" t="n"/>
      <c r="N1" s="180" t="n"/>
      <c r="O1" s="180" t="n"/>
      <c r="P1" s="180" t="n"/>
      <c r="Q1" s="180" t="n"/>
      <c r="R1" s="181" t="n"/>
      <c r="S1" s="182" t="n"/>
      <c r="T1" s="183" t="inlineStr">
        <is>
          <t>Kill and Death Points Pivot Table (kill points at right, death points at bottom)</t>
        </is>
      </c>
      <c r="AM1" s="184" t="n"/>
      <c r="AR1" s="179" t="inlineStr">
        <is>
          <t>Ties?</t>
        </is>
      </c>
      <c r="AS1" s="185" t="inlineStr">
        <is>
          <t>Name</t>
        </is>
      </c>
      <c r="AT1" s="186" t="inlineStr">
        <is>
          <t>Value</t>
        </is>
      </c>
      <c r="AU1" s="187" t="inlineStr">
        <is>
          <t>Various Stats:</t>
        </is>
      </c>
      <c r="AV1" s="188" t="inlineStr">
        <is>
          <t>Value</t>
        </is>
      </c>
      <c r="AW1" s="185" t="inlineStr">
        <is>
          <t>Part</t>
        </is>
      </c>
      <c r="AX1" s="179" t="inlineStr">
        <is>
          <t>Ties?</t>
        </is>
      </c>
    </row>
    <row r="2" ht="14.25" customHeight="1" s="175">
      <c r="A2" s="254" t="inlineStr">
        <is>
          <t>Peter</t>
        </is>
      </c>
      <c r="B2" s="261" t="n">
        <v>5</v>
      </c>
      <c r="C2" s="255" t="inlineStr">
        <is>
          <t>Alumni</t>
        </is>
      </c>
      <c r="D2" s="192" t="inlineStr">
        <is>
          <t>2026-01-22 12:48:27</t>
        </is>
      </c>
      <c r="E2" s="193" t="inlineStr">
        <is>
          <t>https://cdn.discordapp.com/ephemeral-attachments/1450933256630440049/1463953458653827136/RDT_20260115_0729213001306827711469532.jpg?ex=6973b467&amp;is=697262e7&amp;hm=abddde1990f77dd09947cbd6cafc421033b30a956f63f0ac302b85f328ba9efb&amp;</t>
        </is>
      </c>
      <c r="F2" s="194" t="inlineStr">
        <is>
          <t>290654652838576130</t>
        </is>
      </c>
      <c r="I2" s="195" t="n"/>
      <c r="J2" s="196" t="inlineStr">
        <is>
          <t>Kills</t>
        </is>
      </c>
      <c r="K2" s="196" t="inlineStr">
        <is>
          <t>Deaths</t>
        </is>
      </c>
      <c r="L2" s="196" t="inlineStr">
        <is>
          <t>KDR</t>
        </is>
      </c>
      <c r="M2" s="196" t="inlineStr">
        <is>
          <t>Kill Points</t>
        </is>
      </c>
      <c r="N2" s="196" t="inlineStr">
        <is>
          <t>Death Points</t>
        </is>
      </c>
      <c r="O2" s="196" t="inlineStr">
        <is>
          <t>KpDpR</t>
        </is>
      </c>
      <c r="P2" s="196" t="inlineStr">
        <is>
          <t>KPts/Kill</t>
        </is>
      </c>
      <c r="Q2" s="196" t="inlineStr">
        <is>
          <t>DPts/Death</t>
        </is>
      </c>
      <c r="R2" s="197" t="inlineStr">
        <is>
          <t>Full Sweep %</t>
        </is>
      </c>
      <c r="S2" s="182" t="n"/>
      <c r="T2" s="198" t="inlineStr">
        <is>
          <t>Sum of Points</t>
        </is>
      </c>
      <c r="U2" s="199" t="inlineStr">
        <is>
          <t>Snipee</t>
        </is>
      </c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  <c r="AH2" s="200" t="n"/>
      <c r="AI2" s="200" t="n"/>
      <c r="AJ2" s="200" t="n"/>
      <c r="AK2" s="201" t="n"/>
      <c r="AM2" s="202" t="inlineStr">
        <is>
          <t>Unique</t>
        </is>
      </c>
      <c r="AR2" s="203" t="n"/>
      <c r="AS2" s="204" t="n"/>
      <c r="AT2" s="205">
        <f>COUNT(B$1:B$155)</f>
        <v/>
      </c>
      <c r="AU2" s="206" t="inlineStr">
        <is>
          <t>Total Snipes</t>
        </is>
      </c>
      <c r="AV2" s="205">
        <f>COUNT(B$1:B$155)</f>
        <v/>
      </c>
      <c r="AW2" s="203" t="n"/>
      <c r="AX2" s="203" t="n"/>
    </row>
    <row r="3" ht="14.25" customHeight="1" s="175">
      <c r="A3" s="254" t="inlineStr">
        <is>
          <t>Peter</t>
        </is>
      </c>
      <c r="B3" s="261" t="n">
        <v>1</v>
      </c>
      <c r="C3" s="255" t="inlineStr">
        <is>
          <t>Peter</t>
        </is>
      </c>
      <c r="D3" s="192" t="inlineStr">
        <is>
          <t>2026-01-22 12:50:13</t>
        </is>
      </c>
      <c r="E3" s="173" t="inlineStr">
        <is>
          <t>https://cdn.discordapp.com/ephemeral-attachments/1450933256630440049/1463953905699258553/addressMe.jpg?ex=6973b4d2&amp;is=69726352&amp;hm=d535f07ed7a4d0de92469b97b0cb528e6b860f1845d43e0c01d58b17b6082216&amp;</t>
        </is>
      </c>
      <c r="F3" s="207" t="inlineStr">
        <is>
          <t>290654652838576130</t>
        </is>
      </c>
      <c r="I3" s="208" t="inlineStr">
        <is>
          <t>Carter</t>
        </is>
      </c>
      <c r="J3" s="209">
        <f>COUNTIF($A:$A,I3)</f>
        <v/>
      </c>
      <c r="K3" s="209">
        <f>COUNTIF($C:$C,I3)</f>
        <v/>
      </c>
      <c r="L3" s="210">
        <f>IF(K3,J3/K3,J3)</f>
        <v/>
      </c>
      <c r="M3" s="209">
        <f>IFERROR(GETPIVOTDATA("Points",$T$2,"Sniper",I3),0)</f>
        <v/>
      </c>
      <c r="N3" s="209">
        <f>IFERROR(GETPIVOTDATA("Points",$T$2,"Snipee",I3),0)</f>
        <v/>
      </c>
      <c r="O3" s="210">
        <f>IF(N3,M3/N3,M3)</f>
        <v/>
      </c>
      <c r="P3" s="210">
        <f>IF(J3,M3/J3,0)</f>
        <v/>
      </c>
      <c r="Q3" s="210">
        <f>IF(K3,N3/K3,0)</f>
        <v/>
      </c>
      <c r="R3" s="211">
        <f>IFERROR(VLOOKUP(I3,T:AM,20,FALSE())/15,0)</f>
        <v/>
      </c>
      <c r="S3" s="182" t="n"/>
      <c r="T3" s="212" t="inlineStr">
        <is>
          <t>Sniper</t>
        </is>
      </c>
      <c r="U3" s="213" t="inlineStr">
        <is>
          <t>Alumni</t>
        </is>
      </c>
      <c r="V3" s="213" t="inlineStr">
        <is>
          <t>Anthony</t>
        </is>
      </c>
      <c r="W3" s="213" t="inlineStr">
        <is>
          <t>Carter</t>
        </is>
      </c>
      <c r="X3" s="213" t="inlineStr">
        <is>
          <t>Cooper</t>
        </is>
      </c>
      <c r="Y3" s="213" t="inlineStr">
        <is>
          <t>Erick</t>
        </is>
      </c>
      <c r="Z3" s="213" t="inlineStr">
        <is>
          <t>Ethan</t>
        </is>
      </c>
      <c r="AA3" s="213" t="inlineStr">
        <is>
          <t>Evan</t>
        </is>
      </c>
      <c r="AB3" s="213" t="inlineStr">
        <is>
          <t>Grady</t>
        </is>
      </c>
      <c r="AC3" s="213" t="inlineStr">
        <is>
          <t>Lucy</t>
        </is>
      </c>
      <c r="AD3" s="213" t="inlineStr">
        <is>
          <t>Maxine</t>
        </is>
      </c>
      <c r="AE3" s="213" t="inlineStr">
        <is>
          <t>Mikey</t>
        </is>
      </c>
      <c r="AF3" s="213" t="inlineStr">
        <is>
          <t>Peter</t>
        </is>
      </c>
      <c r="AG3" s="213" t="inlineStr">
        <is>
          <t>Reuben</t>
        </is>
      </c>
      <c r="AH3" s="213" t="inlineStr">
        <is>
          <t>Rob</t>
        </is>
      </c>
      <c r="AI3" s="213" t="inlineStr">
        <is>
          <t>Vignesh</t>
        </is>
      </c>
      <c r="AJ3" s="213" t="inlineStr">
        <is>
          <t>Will</t>
        </is>
      </c>
      <c r="AK3" s="214" t="inlineStr">
        <is>
          <t>Total Result</t>
        </is>
      </c>
      <c r="AM3" s="202" t="inlineStr">
        <is>
          <t>Kills</t>
        </is>
      </c>
      <c r="AR3" s="203" t="n"/>
      <c r="AS3" s="203" t="n"/>
      <c r="AT3" s="215">
        <f>IFERROR(GETPIVOTDATA("Points",T2),0)</f>
        <v/>
      </c>
      <c r="AU3" s="216" t="inlineStr">
        <is>
          <t>Total Points</t>
        </is>
      </c>
      <c r="AV3" s="215">
        <f>IFERROR(GETPIVOTDATA("Points",T2),0)</f>
        <v/>
      </c>
      <c r="AW3" s="203" t="n"/>
      <c r="AX3" s="203" t="n"/>
    </row>
    <row r="4" ht="16.15" customHeight="1" s="175">
      <c r="A4" s="254" t="inlineStr">
        <is>
          <t>Peter</t>
        </is>
      </c>
      <c r="B4" s="261" t="n">
        <v>1</v>
      </c>
      <c r="C4" s="255" t="inlineStr">
        <is>
          <t>Maxine</t>
        </is>
      </c>
      <c r="D4" s="192" t="inlineStr">
        <is>
          <t>2026-01-22 12:56:11</t>
        </is>
      </c>
      <c r="E4" s="173" t="inlineStr">
        <is>
          <t>https://cdn.discordapp.com/ephemeral-attachments/1450933256630440049/1463955403951046798/im-a-big-fan.png?ex=6973b637&amp;is=697264b7&amp;hm=7e3be5a35b9edc261db08ee0f2f289acf04d6b845f60192f95eeb8964b6122d5&amp;</t>
        </is>
      </c>
      <c r="F4" s="207" t="inlineStr">
        <is>
          <t>290654652838576130</t>
        </is>
      </c>
      <c r="G4" s="173" t="inlineStr">
        <is>
          <t>601936524044664852</t>
        </is>
      </c>
      <c r="I4" s="208" t="inlineStr">
        <is>
          <t>Grady</t>
        </is>
      </c>
      <c r="J4" s="209">
        <f>COUNTIF($A:$A,I4)</f>
        <v/>
      </c>
      <c r="K4" s="209">
        <f>COUNTIF($C:$C,I4)</f>
        <v/>
      </c>
      <c r="L4" s="210">
        <f>IF(K4,J4/K4,J4)</f>
        <v/>
      </c>
      <c r="M4" s="209">
        <f>IFERROR(GETPIVOTDATA("Points",$T$2,"Sniper",I4),0)</f>
        <v/>
      </c>
      <c r="N4" s="209">
        <f>IFERROR(GETPIVOTDATA("Points",$T$2,"Snipee",I4),0)</f>
        <v/>
      </c>
      <c r="O4" s="210">
        <f>IF(N4,M4/N4,M4)</f>
        <v/>
      </c>
      <c r="P4" s="210">
        <f>IF(J4,M4/J4,0)</f>
        <v/>
      </c>
      <c r="Q4" s="210">
        <f>IF(K4,N4/K4,0)</f>
        <v/>
      </c>
      <c r="R4" s="211">
        <f>IFERROR(VLOOKUP(I4,T:AM,20,FALSE())/15,0)</f>
        <v/>
      </c>
      <c r="S4" s="182" t="n"/>
      <c r="T4" s="217" t="inlineStr">
        <is>
          <t>Anthony</t>
        </is>
      </c>
      <c r="U4" s="218" t="n">
        <v>5</v>
      </c>
      <c r="V4" s="218" t="n"/>
      <c r="W4" s="218" t="n">
        <v>1</v>
      </c>
      <c r="X4" s="218" t="n">
        <v>6</v>
      </c>
      <c r="Y4" s="218" t="n"/>
      <c r="Z4" s="218" t="n">
        <v>2</v>
      </c>
      <c r="AA4" s="218" t="n">
        <v>12</v>
      </c>
      <c r="AB4" s="218" t="n"/>
      <c r="AC4" s="218" t="n">
        <v>3</v>
      </c>
      <c r="AD4" s="218" t="n">
        <v>1</v>
      </c>
      <c r="AE4" s="218" t="n">
        <v>4</v>
      </c>
      <c r="AF4" s="218" t="n">
        <v>4</v>
      </c>
      <c r="AG4" s="218" t="n"/>
      <c r="AH4" s="218" t="n"/>
      <c r="AI4" s="218" t="n">
        <v>2</v>
      </c>
      <c r="AJ4" s="218" t="n"/>
      <c r="AK4" s="219" t="n">
        <v>40</v>
      </c>
      <c r="AM4" s="202">
        <f>IF(COUNT(U4:AL4)&lt;&gt;0,COUNT(U4:AL4)-1,"")</f>
        <v/>
      </c>
      <c r="AR4" s="220">
        <f>COUNTIF(J3:J17,AT4)</f>
        <v/>
      </c>
      <c r="AS4" s="221">
        <f>$I$29</f>
        <v/>
      </c>
      <c r="AT4" s="215">
        <f>MAX(J3:J18)</f>
        <v/>
      </c>
      <c r="AU4" s="216" t="inlineStr">
        <is>
          <t>Most Kills</t>
        </is>
      </c>
      <c r="AV4" s="222">
        <f>MAX(J22:J25)</f>
        <v/>
      </c>
      <c r="AW4" s="223">
        <f>$I$86</f>
        <v/>
      </c>
      <c r="AX4" s="220">
        <f>COUNTIF(J22:J25,AV4)</f>
        <v/>
      </c>
    </row>
    <row r="5" ht="16.15" customHeight="1" s="175">
      <c r="A5" s="254" t="inlineStr">
        <is>
          <t>Carter</t>
        </is>
      </c>
      <c r="B5" s="261" t="n">
        <v>2</v>
      </c>
      <c r="C5" s="255" t="inlineStr">
        <is>
          <t>Rob</t>
        </is>
      </c>
      <c r="D5" s="192" t="inlineStr">
        <is>
          <t>2026-01-22 13:53:32</t>
        </is>
      </c>
      <c r="E5" s="173" t="inlineStr">
        <is>
          <t>https://cdn.discordapp.com/ephemeral-attachments/1450933256630440049/1463969837284982917/IMG_2487.jpg?ex=6973c3a8&amp;is=69727228&amp;hm=c53817c1e975bd1c38a7abb5d10629697a8abf2b7a8e581f8752acc38b38c753&amp;</t>
        </is>
      </c>
      <c r="F5" s="207" t="inlineStr">
        <is>
          <t>1031639054846021672</t>
        </is>
      </c>
      <c r="G5" s="173" t="inlineStr">
        <is>
          <t>619268961393049601</t>
        </is>
      </c>
      <c r="I5" s="208" t="inlineStr">
        <is>
          <t>Lucy</t>
        </is>
      </c>
      <c r="J5" s="209">
        <f>COUNTIF($A:$A,I5)</f>
        <v/>
      </c>
      <c r="K5" s="209">
        <f>COUNTIF($C:$C,I5)</f>
        <v/>
      </c>
      <c r="L5" s="210">
        <f>IF(K5,J5/K5,J5)</f>
        <v/>
      </c>
      <c r="M5" s="209">
        <f>IFERROR(GETPIVOTDATA("Points",$T$2,"Sniper",I5),0)</f>
        <v/>
      </c>
      <c r="N5" s="209">
        <f>IFERROR(GETPIVOTDATA("Points",$T$2,"Snipee",I5),0)</f>
        <v/>
      </c>
      <c r="O5" s="210">
        <f>IF(N5,M5/N5,M5)</f>
        <v/>
      </c>
      <c r="P5" s="210">
        <f>IF(J5,M5/J5,0)</f>
        <v/>
      </c>
      <c r="Q5" s="210">
        <f>IF(K5,N5/K5,0)</f>
        <v/>
      </c>
      <c r="R5" s="211">
        <f>IFERROR(VLOOKUP(I5,T:AM,20,FALSE())/15,0)</f>
        <v/>
      </c>
      <c r="S5" s="182" t="n"/>
      <c r="T5" s="217" t="inlineStr">
        <is>
          <t>Carter</t>
        </is>
      </c>
      <c r="U5" s="218" t="n">
        <v>5</v>
      </c>
      <c r="V5" s="218" t="n">
        <v>1</v>
      </c>
      <c r="W5" s="218" t="n"/>
      <c r="X5" s="218" t="n"/>
      <c r="Y5" s="218" t="n"/>
      <c r="Z5" s="218" t="n"/>
      <c r="AA5" s="218" t="n">
        <v>3</v>
      </c>
      <c r="AB5" s="218" t="n"/>
      <c r="AC5" s="218" t="n">
        <v>3</v>
      </c>
      <c r="AD5" s="218" t="n">
        <v>2</v>
      </c>
      <c r="AE5" s="218" t="n">
        <v>4</v>
      </c>
      <c r="AF5" s="218" t="n"/>
      <c r="AG5" s="218" t="n"/>
      <c r="AH5" s="218" t="n">
        <v>12</v>
      </c>
      <c r="AI5" s="218" t="n">
        <v>9</v>
      </c>
      <c r="AJ5" s="218" t="n">
        <v>4</v>
      </c>
      <c r="AK5" s="219" t="n">
        <v>43</v>
      </c>
      <c r="AM5" s="202">
        <f>IF(COUNT(U5:AL5)&lt;&gt;0,COUNT(U5:AL5)-1,"")</f>
        <v/>
      </c>
      <c r="AR5" s="220">
        <f>COUNTIF(K3:K17,AT5)</f>
        <v/>
      </c>
      <c r="AS5" s="221">
        <f>$I$47</f>
        <v/>
      </c>
      <c r="AT5" s="215">
        <f>MAX(J47:J62)</f>
        <v/>
      </c>
      <c r="AU5" s="216" t="inlineStr">
        <is>
          <t>Most Deaths</t>
        </is>
      </c>
      <c r="AV5" s="222">
        <f>MAX(K22:K25)</f>
        <v/>
      </c>
      <c r="AW5" s="224">
        <f>$I$97</f>
        <v/>
      </c>
      <c r="AX5" s="220">
        <f>COUNTIF(K22:K25,AV5)</f>
        <v/>
      </c>
    </row>
    <row r="6" ht="16.15" customHeight="1" s="175">
      <c r="A6" s="254" t="inlineStr">
        <is>
          <t>Ethan</t>
        </is>
      </c>
      <c r="B6" s="202" t="n">
        <v>1</v>
      </c>
      <c r="C6" s="255" t="inlineStr">
        <is>
          <t>Reuben</t>
        </is>
      </c>
      <c r="D6" s="192" t="inlineStr">
        <is>
          <t>2026-01-22 17:55:17</t>
        </is>
      </c>
      <c r="E6" s="173" t="inlineStr">
        <is>
          <t>https://cdn.discordapp.com/ephemeral-attachments/1450933256630440049/1464030673936584714/20260122_175055.jpg?ex=6973fc51&amp;is=6972aad1&amp;hm=e0cf27aa857f1bdb73acdfc9bce5d4cd87c15b97c81112278263366df7c285b6&amp;</t>
        </is>
      </c>
      <c r="F6" s="207" t="inlineStr">
        <is>
          <t>423221841872814081</t>
        </is>
      </c>
      <c r="G6" s="173" t="inlineStr">
        <is>
          <t>689822943307759670</t>
        </is>
      </c>
      <c r="I6" s="208" t="inlineStr">
        <is>
          <t>Vignesh</t>
        </is>
      </c>
      <c r="J6" s="209">
        <f>COUNTIF($A:$A,I6)</f>
        <v/>
      </c>
      <c r="K6" s="209">
        <f>COUNTIF($C:$C,I6)</f>
        <v/>
      </c>
      <c r="L6" s="210">
        <f>IF(K6,J6/K6,J6)</f>
        <v/>
      </c>
      <c r="M6" s="209">
        <f>IFERROR(GETPIVOTDATA("Points",$T$2,"Sniper",I6),0)</f>
        <v/>
      </c>
      <c r="N6" s="209">
        <f>IFERROR(GETPIVOTDATA("Points",$T$2,"Snipee",I6),0)</f>
        <v/>
      </c>
      <c r="O6" s="210">
        <f>IF(N6,M6/N6,M6)</f>
        <v/>
      </c>
      <c r="P6" s="210">
        <f>IF(J6,M6/J6,0)</f>
        <v/>
      </c>
      <c r="Q6" s="210">
        <f>IF(K6,N6/K6,0)</f>
        <v/>
      </c>
      <c r="R6" s="211">
        <f>IFERROR(VLOOKUP(I6,T:AM,20,FALSE())/15,0)</f>
        <v/>
      </c>
      <c r="S6" s="182" t="n"/>
      <c r="T6" s="217" t="inlineStr">
        <is>
          <t>Cooper</t>
        </is>
      </c>
      <c r="U6" s="218" t="n"/>
      <c r="V6" s="218" t="n"/>
      <c r="W6" s="218" t="n"/>
      <c r="X6" s="218" t="n"/>
      <c r="Y6" s="218" t="n"/>
      <c r="Z6" s="218" t="n"/>
      <c r="AA6" s="218" t="n"/>
      <c r="AB6" s="218" t="n"/>
      <c r="AC6" s="218" t="n"/>
      <c r="AD6" s="218" t="n"/>
      <c r="AE6" s="218" t="n">
        <v>2</v>
      </c>
      <c r="AF6" s="218" t="n"/>
      <c r="AG6" s="218" t="n"/>
      <c r="AH6" s="218" t="n"/>
      <c r="AI6" s="218" t="n"/>
      <c r="AJ6" s="218" t="n"/>
      <c r="AK6" s="219" t="n">
        <v>2</v>
      </c>
      <c r="AM6" s="202">
        <f>IF(COUNT(U6:AL6)&lt;&gt;0,COUNT(U6:AL6)-1,"")</f>
        <v/>
      </c>
      <c r="AR6" s="220">
        <f>COUNTIF(M3:M17,AT6)</f>
        <v/>
      </c>
      <c r="AS6" s="221">
        <f>$S$29</f>
        <v/>
      </c>
      <c r="AT6" s="215">
        <f>MAX(T29:T44)</f>
        <v/>
      </c>
      <c r="AU6" s="216" t="inlineStr">
        <is>
          <t>Most Kill Pts</t>
        </is>
      </c>
      <c r="AV6" s="222">
        <f>MAX(M22:M25)</f>
        <v/>
      </c>
      <c r="AW6" s="224">
        <f>$S$86</f>
        <v/>
      </c>
      <c r="AX6" s="220">
        <f>COUNTIF(M22:M25,AV6)</f>
        <v/>
      </c>
    </row>
    <row r="7" ht="16.15" customHeight="1" s="175">
      <c r="A7" s="254" t="inlineStr">
        <is>
          <t>Will</t>
        </is>
      </c>
      <c r="B7" s="202" t="n">
        <v>2</v>
      </c>
      <c r="C7" s="255" t="inlineStr">
        <is>
          <t>Rob</t>
        </is>
      </c>
      <c r="D7" s="192" t="inlineStr">
        <is>
          <t>2026-01-23 09:58:44</t>
        </is>
      </c>
      <c r="E7" s="173" t="inlineStr">
        <is>
          <t>https://cdn.discordapp.com/ephemeral-attachments/1450933256630440049/1464273124320350372/IMG_1859.jpg?ex=6974de1d&amp;is=69738c9d&amp;hm=86f4e9ba3edae8ffeff2af198126d56e02617416571980856a3049f3f7007d55&amp;</t>
        </is>
      </c>
      <c r="F7" s="207" t="inlineStr">
        <is>
          <t>707377558940811335</t>
        </is>
      </c>
      <c r="G7" s="173" t="inlineStr">
        <is>
          <t>619268961393049601</t>
        </is>
      </c>
      <c r="I7" s="208" t="inlineStr">
        <is>
          <t>Cooper</t>
        </is>
      </c>
      <c r="J7" s="209">
        <f>COUNTIF($A:$A,I7)</f>
        <v/>
      </c>
      <c r="K7" s="209">
        <f>COUNTIF($C:$C,I7)</f>
        <v/>
      </c>
      <c r="L7" s="210">
        <f>IF(K7,J7/K7,J7)</f>
        <v/>
      </c>
      <c r="M7" s="209">
        <f>IFERROR(GETPIVOTDATA("Points",$T$2,"Sniper",I7),0)</f>
        <v/>
      </c>
      <c r="N7" s="209">
        <f>IFERROR(GETPIVOTDATA("Points",$T$2,"Snipee",I7),0)</f>
        <v/>
      </c>
      <c r="O7" s="210">
        <f>IF(N7,M7/N7,M7)</f>
        <v/>
      </c>
      <c r="P7" s="210">
        <f>IF(J7,M7/J7,0)</f>
        <v/>
      </c>
      <c r="Q7" s="210">
        <f>IF(K7,N7/K7,0)</f>
        <v/>
      </c>
      <c r="R7" s="211">
        <f>IFERROR(VLOOKUP(I7,T:AM,20,FALSE())/15,0)</f>
        <v/>
      </c>
      <c r="S7" s="182" t="n"/>
      <c r="T7" s="217" t="inlineStr">
        <is>
          <t>Ethan</t>
        </is>
      </c>
      <c r="U7" s="218" t="n"/>
      <c r="V7" s="218" t="n">
        <v>5</v>
      </c>
      <c r="W7" s="218" t="n"/>
      <c r="X7" s="218" t="n">
        <v>2</v>
      </c>
      <c r="Y7" s="218" t="n"/>
      <c r="Z7" s="218" t="n"/>
      <c r="AA7" s="218" t="n">
        <v>2</v>
      </c>
      <c r="AB7" s="218" t="n"/>
      <c r="AC7" s="218" t="n">
        <v>8</v>
      </c>
      <c r="AD7" s="218" t="n"/>
      <c r="AE7" s="218" t="n">
        <v>9</v>
      </c>
      <c r="AF7" s="218" t="n"/>
      <c r="AG7" s="218" t="n">
        <v>7</v>
      </c>
      <c r="AH7" s="218" t="n">
        <v>6</v>
      </c>
      <c r="AI7" s="218" t="n"/>
      <c r="AJ7" s="218" t="n">
        <v>5</v>
      </c>
      <c r="AK7" s="219" t="n">
        <v>44</v>
      </c>
      <c r="AM7" s="202">
        <f>IF(COUNT(U7:AL7)&lt;&gt;0,COUNT(U7:AL7)-1,"")</f>
        <v/>
      </c>
      <c r="AR7" s="220">
        <f>COUNTIF(N3:N17,AT7)</f>
        <v/>
      </c>
      <c r="AS7" s="221">
        <f>$S$47</f>
        <v/>
      </c>
      <c r="AT7" s="215">
        <f>MAX(T47:T62)</f>
        <v/>
      </c>
      <c r="AU7" s="216" t="inlineStr">
        <is>
          <t>Most Death Pts</t>
        </is>
      </c>
      <c r="AV7" s="222">
        <f>MAX(N22:N25)</f>
        <v/>
      </c>
      <c r="AW7" s="224">
        <f>$S$97</f>
        <v/>
      </c>
      <c r="AX7" s="220">
        <f>COUNTIF(N22:N25,AV7)</f>
        <v/>
      </c>
    </row>
    <row r="8" ht="16.15" customHeight="1" s="175">
      <c r="A8" s="254" t="inlineStr">
        <is>
          <t>Will</t>
        </is>
      </c>
      <c r="B8" s="202" t="n">
        <v>2</v>
      </c>
      <c r="C8" s="255" t="inlineStr">
        <is>
          <t>Lucy</t>
        </is>
      </c>
      <c r="D8" s="192" t="inlineStr">
        <is>
          <t>2026-01-23 11:45:24</t>
        </is>
      </c>
      <c r="E8" s="173" t="inlineStr">
        <is>
          <t>https://cdn.discordapp.com/ephemeral-attachments/1450933256630440049/1464299959141798166/IMG_1862.jpg?ex=6974f71b&amp;is=6973a59b&amp;hm=2bc563a4c5b3e5fd54bd683d3ed1b9b6b0f5cf983116d5e763d9207d118e1740&amp;</t>
        </is>
      </c>
      <c r="F8" s="207" t="inlineStr">
        <is>
          <t>707377558940811335</t>
        </is>
      </c>
      <c r="G8" s="173" t="inlineStr">
        <is>
          <t>1021390383915204648</t>
        </is>
      </c>
      <c r="I8" s="208" t="inlineStr">
        <is>
          <t>Evan</t>
        </is>
      </c>
      <c r="J8" s="209">
        <f>COUNTIF($A:$A,I8)</f>
        <v/>
      </c>
      <c r="K8" s="209">
        <f>COUNTIF($C:$C,I8)</f>
        <v/>
      </c>
      <c r="L8" s="210">
        <f>IF(K8,J8/K8,J8)</f>
        <v/>
      </c>
      <c r="M8" s="209">
        <f>IFERROR(GETPIVOTDATA("Points",$T$2,"Sniper",I8),0)</f>
        <v/>
      </c>
      <c r="N8" s="209">
        <f>IFERROR(GETPIVOTDATA("Points",$T$2,"Snipee",I8),0)</f>
        <v/>
      </c>
      <c r="O8" s="210">
        <f>IF(N8,M8/N8,M8)</f>
        <v/>
      </c>
      <c r="P8" s="210">
        <f>IF(J8,M8/J8,0)</f>
        <v/>
      </c>
      <c r="Q8" s="210">
        <f>IF(K8,N8/K8,0)</f>
        <v/>
      </c>
      <c r="R8" s="211">
        <f>IFERROR(VLOOKUP(I8,T:AM,20,FALSE())/15,0)</f>
        <v/>
      </c>
      <c r="S8" s="182" t="n"/>
      <c r="T8" s="217" t="inlineStr">
        <is>
          <t>Evan</t>
        </is>
      </c>
      <c r="U8" s="218" t="n"/>
      <c r="V8" s="218" t="n">
        <v>13</v>
      </c>
      <c r="W8" s="218" t="n">
        <v>1</v>
      </c>
      <c r="X8" s="218" t="n"/>
      <c r="Y8" s="218" t="n"/>
      <c r="Z8" s="218" t="n"/>
      <c r="AA8" s="218" t="n"/>
      <c r="AB8" s="218" t="n"/>
      <c r="AC8" s="218" t="n">
        <v>2</v>
      </c>
      <c r="AD8" s="218" t="n"/>
      <c r="AE8" s="218" t="n">
        <v>6</v>
      </c>
      <c r="AF8" s="218" t="n">
        <v>3</v>
      </c>
      <c r="AG8" s="218" t="n">
        <v>7</v>
      </c>
      <c r="AH8" s="218" t="n">
        <v>1</v>
      </c>
      <c r="AI8" s="218" t="n">
        <v>2</v>
      </c>
      <c r="AJ8" s="218" t="n">
        <v>2</v>
      </c>
      <c r="AK8" s="219" t="n">
        <v>37</v>
      </c>
      <c r="AM8" s="202">
        <f>IF(COUNT(U8:AL8)&lt;&gt;0,COUNT(U8:AL8)-1,"")</f>
        <v/>
      </c>
      <c r="AR8" s="220">
        <f>COUNTIF(L3:L17,AT8)</f>
        <v/>
      </c>
      <c r="AS8" s="225">
        <f>$I$65</f>
        <v/>
      </c>
      <c r="AT8" s="222">
        <f>MAX(L3:L17)</f>
        <v/>
      </c>
      <c r="AU8" s="216" t="inlineStr">
        <is>
          <t>Best KDR</t>
        </is>
      </c>
      <c r="AV8" s="222">
        <f>MAX(L22:L25)</f>
        <v/>
      </c>
      <c r="AW8" s="224">
        <f>$I$108</f>
        <v/>
      </c>
      <c r="AX8" s="220">
        <f>COUNTIF(L22:L25,AV8)</f>
        <v/>
      </c>
    </row>
    <row r="9" ht="16.15" customHeight="1" s="175">
      <c r="A9" s="254" t="inlineStr">
        <is>
          <t>Maxine</t>
        </is>
      </c>
      <c r="B9" s="202" t="n">
        <v>5</v>
      </c>
      <c r="C9" s="255" t="inlineStr">
        <is>
          <t>Alumni</t>
        </is>
      </c>
      <c r="D9" s="192" t="inlineStr">
        <is>
          <t>2026-01-24 13:09:51</t>
        </is>
      </c>
      <c r="E9" s="173" t="inlineStr">
        <is>
          <t>https://cdn.discordapp.com/ephemeral-attachments/1450933256630440049/1464683610203357204/IMG_1906.jpg?ex=69765c69&amp;is=69750ae9&amp;hm=4b909292d0456161d7833ebe419dc22b90c1f21819a2b7818aa166313d0b4f76&amp;</t>
        </is>
      </c>
      <c r="F9" s="192" t="inlineStr">
        <is>
          <t>601936524044664852</t>
        </is>
      </c>
      <c r="G9" s="173" t="inlineStr">
        <is>
          <t>0000</t>
        </is>
      </c>
      <c r="I9" s="208" t="inlineStr">
        <is>
          <t>Maxine</t>
        </is>
      </c>
      <c r="J9" s="209">
        <f>COUNTIF($A:$A,I9)</f>
        <v/>
      </c>
      <c r="K9" s="209">
        <f>COUNTIF($C:$C,I9)</f>
        <v/>
      </c>
      <c r="L9" s="210">
        <f>IF(K9,J9/K9,J9)</f>
        <v/>
      </c>
      <c r="M9" s="209">
        <f>IFERROR(GETPIVOTDATA("Points",$T$2,"Sniper",I9),0)</f>
        <v/>
      </c>
      <c r="N9" s="209">
        <f>IFERROR(GETPIVOTDATA("Points",$T$2,"Snipee",I9),0)</f>
        <v/>
      </c>
      <c r="O9" s="210">
        <f>IF(N9,M9/N9,M9)</f>
        <v/>
      </c>
      <c r="P9" s="210">
        <f>IF(J9,M9/J9,0)</f>
        <v/>
      </c>
      <c r="Q9" s="210">
        <f>IF(K9,N9/K9,0)</f>
        <v/>
      </c>
      <c r="R9" s="211">
        <f>IFERROR(VLOOKUP(I9,T:AM,20,FALSE())/15,0)</f>
        <v/>
      </c>
      <c r="S9" s="182" t="n"/>
      <c r="T9" s="217" t="inlineStr">
        <is>
          <t>Grady</t>
        </is>
      </c>
      <c r="U9" s="218" t="n"/>
      <c r="V9" s="218" t="n"/>
      <c r="W9" s="218" t="n"/>
      <c r="X9" s="218" t="n"/>
      <c r="Y9" s="218" t="n"/>
      <c r="Z9" s="218" t="n"/>
      <c r="AA9" s="218" t="n"/>
      <c r="AB9" s="218" t="n"/>
      <c r="AC9" s="218" t="n"/>
      <c r="AD9" s="218" t="n">
        <v>1</v>
      </c>
      <c r="AE9" s="218" t="n">
        <v>2</v>
      </c>
      <c r="AF9" s="218" t="n"/>
      <c r="AG9" s="218" t="n"/>
      <c r="AH9" s="218" t="n">
        <v>2</v>
      </c>
      <c r="AI9" s="218" t="n"/>
      <c r="AJ9" s="218" t="n"/>
      <c r="AK9" s="219" t="n">
        <v>5</v>
      </c>
      <c r="AM9" s="202">
        <f>IF(COUNT(U9:AL9)&lt;&gt;0,COUNT(U9:AL9)-1,"")</f>
        <v/>
      </c>
      <c r="AR9" s="220">
        <f>COUNTIF(L3:L17,AT9)</f>
        <v/>
      </c>
      <c r="AS9" s="225">
        <f>$I$80</f>
        <v/>
      </c>
      <c r="AT9" s="222">
        <f>MIN(L3:L17)</f>
        <v/>
      </c>
      <c r="AU9" s="216" t="inlineStr">
        <is>
          <t>Worst KDR</t>
        </is>
      </c>
      <c r="AV9" s="222">
        <f>MIN(L22:L25)</f>
        <v/>
      </c>
      <c r="AW9" s="224">
        <f>$I$105</f>
        <v/>
      </c>
      <c r="AX9" s="220">
        <f>COUNTIF(L22:L25,AV9)</f>
        <v/>
      </c>
    </row>
    <row r="10" ht="16.15" customHeight="1" s="175">
      <c r="A10" s="254" t="inlineStr">
        <is>
          <t>Will</t>
        </is>
      </c>
      <c r="B10" s="202" t="n">
        <v>2</v>
      </c>
      <c r="C10" s="255" t="inlineStr">
        <is>
          <t>Ethan</t>
        </is>
      </c>
      <c r="D10" s="192" t="inlineStr">
        <is>
          <t>2026-01-27 09:31:45</t>
        </is>
      </c>
      <c r="E10" s="173" t="inlineStr">
        <is>
          <t>https://cdn.discordapp.com/ephemeral-attachments/1450933256630440049/1465715902304751750/IMG_1871.jpg?ex=697a1dce&amp;is=6978cc4e&amp;hm=cf29717cb908270f1b8bfa6af845fd65816251e7b854931403eef80838b2be3a&amp;</t>
        </is>
      </c>
      <c r="F10" s="192" t="inlineStr">
        <is>
          <t>707377558940811335</t>
        </is>
      </c>
      <c r="G10" s="173" t="inlineStr">
        <is>
          <t>423221841872814081</t>
        </is>
      </c>
      <c r="I10" s="208" t="inlineStr">
        <is>
          <t>Mikey</t>
        </is>
      </c>
      <c r="J10" s="209">
        <f>COUNTIF($A:$A,I10)</f>
        <v/>
      </c>
      <c r="K10" s="209">
        <f>COUNTIF($C:$C,I10)</f>
        <v/>
      </c>
      <c r="L10" s="210">
        <f>IF(K10,J10/K10,J10)</f>
        <v/>
      </c>
      <c r="M10" s="209">
        <f>IFERROR(GETPIVOTDATA("Points",$T$2,"Sniper",I10),0)</f>
        <v/>
      </c>
      <c r="N10" s="209">
        <f>IFERROR(GETPIVOTDATA("Points",$T$2,"Snipee",I10),0)</f>
        <v/>
      </c>
      <c r="O10" s="210">
        <f>IF(N10,M10/N10,M10)</f>
        <v/>
      </c>
      <c r="P10" s="210">
        <f>IF(J10,M10/J10,0)</f>
        <v/>
      </c>
      <c r="Q10" s="210">
        <f>IF(K10,N10/K10,0)</f>
        <v/>
      </c>
      <c r="R10" s="211">
        <f>IFERROR(VLOOKUP(I10,T:AM,20,FALSE())/15,0)</f>
        <v/>
      </c>
      <c r="S10" s="182" t="n"/>
      <c r="T10" s="217" t="inlineStr">
        <is>
          <t>Lucy</t>
        </is>
      </c>
      <c r="U10" s="218" t="n"/>
      <c r="V10" s="218" t="n">
        <v>8</v>
      </c>
      <c r="W10" s="218" t="n">
        <v>2</v>
      </c>
      <c r="X10" s="218" t="n"/>
      <c r="Y10" s="218" t="n"/>
      <c r="Z10" s="218" t="n">
        <v>5</v>
      </c>
      <c r="AA10" s="218" t="n">
        <v>7</v>
      </c>
      <c r="AB10" s="218" t="n"/>
      <c r="AC10" s="218" t="n"/>
      <c r="AD10" s="218" t="n"/>
      <c r="AE10" s="218" t="n">
        <v>10</v>
      </c>
      <c r="AF10" s="218" t="n">
        <v>1</v>
      </c>
      <c r="AG10" s="218" t="n">
        <v>1</v>
      </c>
      <c r="AH10" s="218" t="n">
        <v>6</v>
      </c>
      <c r="AI10" s="218" t="n"/>
      <c r="AJ10" s="218" t="n">
        <v>12</v>
      </c>
      <c r="AK10" s="219" t="n">
        <v>52</v>
      </c>
      <c r="AM10" s="202">
        <f>IF(COUNT(U10:AL10)&lt;&gt;0,COUNT(U10:AL10)-1,"")</f>
        <v/>
      </c>
      <c r="AR10" s="220">
        <f>COUNTIF(O3:O17,AT10)</f>
        <v/>
      </c>
      <c r="AS10" s="225">
        <f>$S$65</f>
        <v/>
      </c>
      <c r="AT10" s="222">
        <f>MAX(O3:O17)</f>
        <v/>
      </c>
      <c r="AU10" s="216" t="inlineStr">
        <is>
          <t>Best KpDpR</t>
        </is>
      </c>
      <c r="AV10" s="222">
        <f>MAX(O22:O25)</f>
        <v/>
      </c>
      <c r="AW10" s="224">
        <f>$S$108</f>
        <v/>
      </c>
      <c r="AX10" s="220">
        <f>COUNTIF(O22:O25,AV10)</f>
        <v/>
      </c>
    </row>
    <row r="11" ht="16.15" customHeight="1" s="175">
      <c r="A11" s="254" t="inlineStr">
        <is>
          <t>Anthony</t>
        </is>
      </c>
      <c r="B11" s="202" t="n">
        <v>1</v>
      </c>
      <c r="C11" s="255" t="inlineStr">
        <is>
          <t>Evan</t>
        </is>
      </c>
      <c r="D11" s="192" t="inlineStr">
        <is>
          <t>2026-01-27 10:53:31</t>
        </is>
      </c>
      <c r="E11" s="173" t="inlineStr">
        <is>
          <t>https://cdn.discordapp.com/ephemeral-attachments/1450933256630440049/1465736478859591741/IMG_6685.jpg?ex=697a30f8&amp;is=6978df78&amp;hm=fe1f12e862d2597c103a307748c06366a12780b54a1256d69a8250e21b75265d&amp;</t>
        </is>
      </c>
      <c r="F11" s="207" t="inlineStr">
        <is>
          <t>525816152161648680</t>
        </is>
      </c>
      <c r="G11" s="173" t="inlineStr">
        <is>
          <t>310453864866512907</t>
        </is>
      </c>
      <c r="I11" s="208" t="inlineStr">
        <is>
          <t>Anthony</t>
        </is>
      </c>
      <c r="J11" s="209">
        <f>COUNTIF($A:$A,I11)</f>
        <v/>
      </c>
      <c r="K11" s="209">
        <f>COUNTIF($C:$C,I11)</f>
        <v/>
      </c>
      <c r="L11" s="210">
        <f>IF(K11,J11/K11,J11)</f>
        <v/>
      </c>
      <c r="M11" s="209">
        <f>IFERROR(GETPIVOTDATA("Points",$T$2,"Sniper",I11),0)</f>
        <v/>
      </c>
      <c r="N11" s="209">
        <f>IFERROR(GETPIVOTDATA("Points",$T$2,"Snipee",I11),0)</f>
        <v/>
      </c>
      <c r="O11" s="210">
        <f>IF(N11,M11/N11,M11)</f>
        <v/>
      </c>
      <c r="P11" s="210">
        <f>IF(J11,M11/J11,0)</f>
        <v/>
      </c>
      <c r="Q11" s="210">
        <f>IF(K11,N11/K11,0)</f>
        <v/>
      </c>
      <c r="R11" s="211">
        <f>IFERROR(VLOOKUP(I11,T:AM,20,FALSE())/15,0)</f>
        <v/>
      </c>
      <c r="S11" s="182" t="n"/>
      <c r="T11" s="217" t="inlineStr">
        <is>
          <t>Maxine</t>
        </is>
      </c>
      <c r="U11" s="218" t="n">
        <v>20</v>
      </c>
      <c r="V11" s="218" t="n"/>
      <c r="W11" s="218" t="n">
        <v>1</v>
      </c>
      <c r="X11" s="218" t="n"/>
      <c r="Y11" s="218" t="n"/>
      <c r="Z11" s="218" t="n">
        <v>2</v>
      </c>
      <c r="AA11" s="218" t="n"/>
      <c r="AB11" s="218" t="n">
        <v>1</v>
      </c>
      <c r="AC11" s="218" t="n"/>
      <c r="AD11" s="218" t="n"/>
      <c r="AE11" s="218" t="n"/>
      <c r="AF11" s="218" t="n"/>
      <c r="AG11" s="218" t="n">
        <v>3</v>
      </c>
      <c r="AH11" s="218" t="n"/>
      <c r="AI11" s="218" t="n">
        <v>1</v>
      </c>
      <c r="AJ11" s="218" t="n">
        <v>2</v>
      </c>
      <c r="AK11" s="219" t="n">
        <v>30</v>
      </c>
      <c r="AM11" s="202">
        <f>IF(COUNT(U11:AL11)&lt;&gt;0,COUNT(U11:AL11)-1,"")</f>
        <v/>
      </c>
      <c r="AR11" s="220">
        <f>COUNTIF(O3:O17,AT11)</f>
        <v/>
      </c>
      <c r="AS11" s="225">
        <f>$S$80</f>
        <v/>
      </c>
      <c r="AT11" s="222">
        <f>MIN(O3:O17)</f>
        <v/>
      </c>
      <c r="AU11" s="216" t="inlineStr">
        <is>
          <t>Worst KpDpR</t>
        </is>
      </c>
      <c r="AV11" s="222">
        <f>MIN(O22:O25)</f>
        <v/>
      </c>
      <c r="AW11" s="224">
        <f>$S$105</f>
        <v/>
      </c>
      <c r="AX11" s="220">
        <f>COUNTIF(O22:O25,AV11)</f>
        <v/>
      </c>
    </row>
    <row r="12" ht="15.75" customHeight="1" s="175">
      <c r="A12" s="254" t="inlineStr">
        <is>
          <t>Evan</t>
        </is>
      </c>
      <c r="B12" s="202" t="n">
        <v>1</v>
      </c>
      <c r="C12" s="255" t="inlineStr">
        <is>
          <t>Anthony</t>
        </is>
      </c>
      <c r="D12" s="192" t="inlineStr">
        <is>
          <t>2026-01-27 10:54:57</t>
        </is>
      </c>
      <c r="E12" s="173" t="inlineStr">
        <is>
          <t>https://cdn.discordapp.com/ephemeral-attachments/1450933256630440049/1465736837287903332/20260127_104927.jpg?ex=697a314e&amp;is=6978dfce&amp;hm=bb5e1bb458ed655bd416148308a310c9bba7c633f6f5519d30fd423999ec52c4&amp;</t>
        </is>
      </c>
      <c r="F12" s="207" t="inlineStr">
        <is>
          <t>310453864866512907</t>
        </is>
      </c>
      <c r="G12" s="173" t="inlineStr">
        <is>
          <t>525816152161648680</t>
        </is>
      </c>
      <c r="I12" s="208" t="inlineStr">
        <is>
          <t>Ethan</t>
        </is>
      </c>
      <c r="J12" s="209">
        <f>COUNTIF($A:$A,I12)</f>
        <v/>
      </c>
      <c r="K12" s="209">
        <f>COUNTIF($C:$C,I12)</f>
        <v/>
      </c>
      <c r="L12" s="210">
        <f>IF(K12,J12/K12,J12)</f>
        <v/>
      </c>
      <c r="M12" s="209">
        <f>IFERROR(GETPIVOTDATA("Points",$T$2,"Sniper",I12),0)</f>
        <v/>
      </c>
      <c r="N12" s="209">
        <f>IFERROR(GETPIVOTDATA("Points",$T$2,"Snipee",I12),0)</f>
        <v/>
      </c>
      <c r="O12" s="210">
        <f>IF(N12,M12/N12,M12)</f>
        <v/>
      </c>
      <c r="P12" s="210">
        <f>IF(J12,M12/J12,0)</f>
        <v/>
      </c>
      <c r="Q12" s="210">
        <f>IF(K12,N12/K12,0)</f>
        <v/>
      </c>
      <c r="R12" s="211">
        <f>IFERROR(VLOOKUP(I12,T:AM,20,FALSE())/15,0)</f>
        <v/>
      </c>
      <c r="S12" s="182" t="n"/>
      <c r="T12" s="217" t="inlineStr">
        <is>
          <t>Mikey</t>
        </is>
      </c>
      <c r="U12" s="218" t="n"/>
      <c r="V12" s="218" t="n">
        <v>4</v>
      </c>
      <c r="W12" s="218" t="n">
        <v>2</v>
      </c>
      <c r="X12" s="218" t="n">
        <v>1</v>
      </c>
      <c r="Y12" s="218" t="n"/>
      <c r="Z12" s="218" t="n">
        <v>4</v>
      </c>
      <c r="AA12" s="218" t="n">
        <v>2</v>
      </c>
      <c r="AB12" s="218" t="n"/>
      <c r="AC12" s="218" t="n">
        <v>8</v>
      </c>
      <c r="AD12" s="218" t="n">
        <v>2</v>
      </c>
      <c r="AE12" s="218" t="n"/>
      <c r="AF12" s="218" t="n">
        <v>2</v>
      </c>
      <c r="AG12" s="218" t="n">
        <v>3</v>
      </c>
      <c r="AH12" s="218" t="n">
        <v>17</v>
      </c>
      <c r="AI12" s="218" t="n"/>
      <c r="AJ12" s="218" t="n">
        <v>5</v>
      </c>
      <c r="AK12" s="219" t="n">
        <v>50</v>
      </c>
      <c r="AM12" s="202">
        <f>IF(COUNT(U12:AL12)&lt;&gt;0,COUNT(U12:AL12)-1,"")</f>
        <v/>
      </c>
    </row>
    <row r="13" ht="15.75" customHeight="1" s="175">
      <c r="A13" s="254" t="inlineStr">
        <is>
          <t>Mikey</t>
        </is>
      </c>
      <c r="B13" s="202" t="n">
        <v>2</v>
      </c>
      <c r="C13" s="255" t="inlineStr">
        <is>
          <t>Evan</t>
        </is>
      </c>
      <c r="D13" s="192" t="inlineStr">
        <is>
          <t>2026-01-27 12:19:37</t>
        </is>
      </c>
      <c r="E13" s="173" t="inlineStr">
        <is>
          <t>https://cdn.discordapp.com/ephemeral-attachments/1450933256630440049/1465758143660425217/IMG_2202.jpg?ex=697a4525&amp;is=6978f3a5&amp;hm=f86900c8371f658d30000058e571e874e3f0131c434009c87ec5be623824f24f&amp;</t>
        </is>
      </c>
      <c r="F13" s="207" t="inlineStr">
        <is>
          <t>288299360557465600</t>
        </is>
      </c>
      <c r="G13" s="173" t="inlineStr">
        <is>
          <t>310453864866512907</t>
        </is>
      </c>
      <c r="I13" s="208" t="inlineStr">
        <is>
          <t>Rob</t>
        </is>
      </c>
      <c r="J13" s="209">
        <f>COUNTIF($A:$A,I13)</f>
        <v/>
      </c>
      <c r="K13" s="209">
        <f>COUNTIF($C:$C,I13)</f>
        <v/>
      </c>
      <c r="L13" s="210">
        <f>IF(K13,J13/K13,J13)</f>
        <v/>
      </c>
      <c r="M13" s="209">
        <f>IFERROR(GETPIVOTDATA("Points",$T$2,"Sniper",I13),0)</f>
        <v/>
      </c>
      <c r="N13" s="209">
        <f>IFERROR(GETPIVOTDATA("Points",$T$2,"Snipee",I13),0)</f>
        <v/>
      </c>
      <c r="O13" s="210">
        <f>IF(N13,M13/N13,M13)</f>
        <v/>
      </c>
      <c r="P13" s="210">
        <f>IF(J13,M13/J13,0)</f>
        <v/>
      </c>
      <c r="Q13" s="210">
        <f>IF(K13,N13/K13,0)</f>
        <v/>
      </c>
      <c r="R13" s="211">
        <f>IFERROR(VLOOKUP(I13,T:AM,20,FALSE())/15,0)</f>
        <v/>
      </c>
      <c r="S13" s="182" t="n"/>
      <c r="T13" s="217" t="inlineStr">
        <is>
          <t>Peter</t>
        </is>
      </c>
      <c r="U13" s="218" t="n">
        <v>5</v>
      </c>
      <c r="V13" s="218" t="n">
        <v>13</v>
      </c>
      <c r="W13" s="218" t="n"/>
      <c r="X13" s="218" t="n">
        <v>5</v>
      </c>
      <c r="Y13" s="218" t="n"/>
      <c r="Z13" s="218" t="n">
        <v>2</v>
      </c>
      <c r="AA13" s="218" t="n">
        <v>3</v>
      </c>
      <c r="AB13" s="218" t="n">
        <v>2</v>
      </c>
      <c r="AC13" s="218" t="n">
        <v>6</v>
      </c>
      <c r="AD13" s="218" t="n">
        <v>1</v>
      </c>
      <c r="AE13" s="218" t="n">
        <v>2</v>
      </c>
      <c r="AF13" s="218" t="n">
        <v>1</v>
      </c>
      <c r="AG13" s="218" t="n">
        <v>2</v>
      </c>
      <c r="AH13" s="218" t="n">
        <v>2</v>
      </c>
      <c r="AI13" s="218" t="n">
        <v>6</v>
      </c>
      <c r="AJ13" s="218" t="n"/>
      <c r="AK13" s="219" t="n">
        <v>50</v>
      </c>
      <c r="AM13" s="202">
        <f>IF(COUNT(U13:AL13)&lt;&gt;0,COUNT(U13:AL13)-1,"")</f>
        <v/>
      </c>
      <c r="AP13" s="179" t="inlineStr">
        <is>
          <t>Overall Winner Chart Decision Matrix</t>
        </is>
      </c>
      <c r="AQ13" s="180" t="n"/>
      <c r="AR13" s="180" t="n"/>
      <c r="AS13" s="180" t="n"/>
      <c r="AT13" s="180" t="n"/>
      <c r="AU13" s="180" t="n"/>
      <c r="AV13" s="180" t="n"/>
      <c r="AW13" s="180" t="n"/>
      <c r="AX13" s="180" t="n"/>
      <c r="AY13" s="181" t="n"/>
    </row>
    <row r="14" ht="16.15" customHeight="1" s="175">
      <c r="A14" s="254" t="inlineStr">
        <is>
          <t>Will</t>
        </is>
      </c>
      <c r="B14" s="202" t="n">
        <v>1</v>
      </c>
      <c r="C14" s="255" t="inlineStr">
        <is>
          <t>Reuben</t>
        </is>
      </c>
      <c r="D14" s="192" t="inlineStr">
        <is>
          <t>2026-01-27 12:30:04</t>
        </is>
      </c>
      <c r="E14" s="173" t="inlineStr">
        <is>
          <t>https://cdn.discordapp.com/ephemeral-attachments/1450933256630440049/1465760776831762649/IMG_1873.jpg?ex=697a4799&amp;is=6978f619&amp;hm=bdae59f474166a56ed08cd16a9871f627f40f74e64601b15b3d8f9dc3e3a18e5&amp;</t>
        </is>
      </c>
      <c r="F14" s="207" t="inlineStr">
        <is>
          <t>707377558940811335</t>
        </is>
      </c>
      <c r="G14" s="173" t="inlineStr">
        <is>
          <t>689822943307759670</t>
        </is>
      </c>
      <c r="I14" s="208" t="inlineStr">
        <is>
          <t>Will</t>
        </is>
      </c>
      <c r="J14" s="209">
        <f>COUNTIF($A:$A,I14)</f>
        <v/>
      </c>
      <c r="K14" s="209">
        <f>COUNTIF($C:$C,I14)</f>
        <v/>
      </c>
      <c r="L14" s="210">
        <f>IF(K14,J14/K14,J14)</f>
        <v/>
      </c>
      <c r="M14" s="209">
        <f>IFERROR(GETPIVOTDATA("Points",$T$2,"Sniper",I14),0)</f>
        <v/>
      </c>
      <c r="N14" s="209">
        <f>IFERROR(GETPIVOTDATA("Points",$T$2,"Snipee",I14),0)</f>
        <v/>
      </c>
      <c r="O14" s="210">
        <f>IF(N14,M14/N14,M14)</f>
        <v/>
      </c>
      <c r="P14" s="210">
        <f>IF(J14,M14/J14,0)</f>
        <v/>
      </c>
      <c r="Q14" s="210">
        <f>IF(K14,N14/K14,0)</f>
        <v/>
      </c>
      <c r="R14" s="211">
        <f>IFERROR(VLOOKUP(I14,T:AM,20,FALSE())/15,0)</f>
        <v/>
      </c>
      <c r="S14" s="182" t="n"/>
      <c r="T14" s="217" t="inlineStr">
        <is>
          <t>Rob</t>
        </is>
      </c>
      <c r="U14" s="218" t="n"/>
      <c r="V14" s="218" t="n">
        <v>3</v>
      </c>
      <c r="W14" s="218" t="n">
        <v>2</v>
      </c>
      <c r="X14" s="218" t="n"/>
      <c r="Y14" s="218" t="n"/>
      <c r="Z14" s="218" t="n">
        <v>1</v>
      </c>
      <c r="AA14" s="218" t="n">
        <v>3</v>
      </c>
      <c r="AB14" s="218" t="n">
        <v>1</v>
      </c>
      <c r="AC14" s="218" t="n">
        <v>4</v>
      </c>
      <c r="AD14" s="218" t="n"/>
      <c r="AE14" s="218" t="n">
        <v>16</v>
      </c>
      <c r="AF14" s="218" t="n"/>
      <c r="AG14" s="218" t="n">
        <v>10</v>
      </c>
      <c r="AH14" s="218" t="n"/>
      <c r="AI14" s="218" t="n">
        <v>1</v>
      </c>
      <c r="AJ14" s="218" t="n">
        <v>4</v>
      </c>
      <c r="AK14" s="219" t="n">
        <v>45</v>
      </c>
      <c r="AM14" s="202">
        <f>IF(COUNT(U14:AL14)&lt;&gt;0,COUNT(U14:AL14)-1,"")</f>
        <v/>
      </c>
      <c r="AP14" s="226" t="inlineStr">
        <is>
          <t>Person:</t>
        </is>
      </c>
      <c r="AQ14" s="206" t="inlineStr">
        <is>
          <t>Kills</t>
        </is>
      </c>
      <c r="AR14" s="206" t="inlineStr">
        <is>
          <t>Deaths</t>
        </is>
      </c>
      <c r="AS14" s="206" t="inlineStr">
        <is>
          <t>KDR</t>
        </is>
      </c>
      <c r="AT14" s="206" t="inlineStr">
        <is>
          <t>Kill Points</t>
        </is>
      </c>
      <c r="AU14" s="206" t="inlineStr">
        <is>
          <t>Death Points</t>
        </is>
      </c>
      <c r="AV14" s="206" t="inlineStr">
        <is>
          <t>KpDpR</t>
        </is>
      </c>
      <c r="AW14" s="206" t="inlineStr">
        <is>
          <t>KPts/Kill</t>
        </is>
      </c>
      <c r="AX14" s="206" t="inlineStr">
        <is>
          <t>DPts/Death</t>
        </is>
      </c>
      <c r="AY14" s="227" t="inlineStr">
        <is>
          <t>Full Sweep %</t>
        </is>
      </c>
    </row>
    <row r="15" ht="16.15" customHeight="1" s="175">
      <c r="A15" s="254" t="inlineStr">
        <is>
          <t>Lucy</t>
        </is>
      </c>
      <c r="B15" s="202" t="n">
        <v>1</v>
      </c>
      <c r="C15" s="255" t="inlineStr">
        <is>
          <t>Ethan</t>
        </is>
      </c>
      <c r="D15" s="192" t="inlineStr">
        <is>
          <t>2026-01-27 13:26:00</t>
        </is>
      </c>
      <c r="E15" s="173" t="inlineStr">
        <is>
          <t>https://cdn.discordapp.com/ephemeral-attachments/1450933256630440049/1465774845538078820/20260127_132424.jpg?ex=697a54b3&amp;is=69790333&amp;hm=fc235a270f4ca5faeeb0a5a06f0b91ee07298b2356987d8a35a44ffc3115efae&amp;</t>
        </is>
      </c>
      <c r="F15" s="207" t="inlineStr">
        <is>
          <t>1021390383915204648</t>
        </is>
      </c>
      <c r="G15" s="173" t="inlineStr">
        <is>
          <t>423221841872814081</t>
        </is>
      </c>
      <c r="I15" s="208" t="inlineStr">
        <is>
          <t>Erick</t>
        </is>
      </c>
      <c r="J15" s="209">
        <f>COUNTIF($A:$A,I15)</f>
        <v/>
      </c>
      <c r="K15" s="209">
        <f>COUNTIF($C:$C,I15)</f>
        <v/>
      </c>
      <c r="L15" s="210">
        <f>IF(K15,J15/K15,J15)</f>
        <v/>
      </c>
      <c r="M15" s="209">
        <f>IFERROR(GETPIVOTDATA("Points",$T$2,"Sniper",I15),0)</f>
        <v/>
      </c>
      <c r="N15" s="209">
        <f>IFERROR(GETPIVOTDATA("Points",$T$2,"Snipee",I15),0)</f>
        <v/>
      </c>
      <c r="O15" s="210">
        <f>IF(N15,M15/N15,M15)</f>
        <v/>
      </c>
      <c r="P15" s="210">
        <f>IF(J15,M15/J15,0)</f>
        <v/>
      </c>
      <c r="Q15" s="210">
        <f>IF(K15,N15/K15,0)</f>
        <v/>
      </c>
      <c r="R15" s="211">
        <f>IFERROR(VLOOKUP(I15,T:AM,20,FALSE())/15,0)</f>
        <v/>
      </c>
      <c r="S15" s="182" t="n"/>
      <c r="T15" s="217" t="inlineStr">
        <is>
          <t>Vignesh</t>
        </is>
      </c>
      <c r="U15" s="218" t="n"/>
      <c r="V15" s="218" t="n">
        <v>1</v>
      </c>
      <c r="W15" s="218" t="n">
        <v>10</v>
      </c>
      <c r="X15" s="218" t="n"/>
      <c r="Y15" s="218" t="n">
        <v>2</v>
      </c>
      <c r="Z15" s="218" t="n"/>
      <c r="AA15" s="218" t="n">
        <v>1</v>
      </c>
      <c r="AB15" s="218" t="n"/>
      <c r="AC15" s="218" t="n">
        <v>4</v>
      </c>
      <c r="AD15" s="218" t="n">
        <v>1</v>
      </c>
      <c r="AE15" s="218" t="n"/>
      <c r="AF15" s="218" t="n">
        <v>2</v>
      </c>
      <c r="AG15" s="218" t="n">
        <v>6</v>
      </c>
      <c r="AH15" s="218" t="n">
        <v>3</v>
      </c>
      <c r="AI15" s="218" t="n"/>
      <c r="AJ15" s="218" t="n"/>
      <c r="AK15" s="219" t="n">
        <v>30</v>
      </c>
      <c r="AM15" s="202">
        <f>IF(COUNT(U15:AL15)&lt;&gt;0,COUNT(U15:AL15)-1,"")</f>
        <v/>
      </c>
      <c r="AP15" s="228" t="inlineStr">
        <is>
          <t>Weight:</t>
        </is>
      </c>
      <c r="AQ15" s="229" t="n">
        <v>7.5</v>
      </c>
      <c r="AR15" s="230" t="n">
        <v>-6</v>
      </c>
      <c r="AS15" s="230" t="n">
        <v>25</v>
      </c>
      <c r="AT15" s="230" t="n">
        <v>8.5</v>
      </c>
      <c r="AU15" s="230" t="n">
        <v>-6.5</v>
      </c>
      <c r="AV15" s="230" t="n">
        <v>25</v>
      </c>
      <c r="AW15" s="230" t="n">
        <v>20</v>
      </c>
      <c r="AX15" s="230" t="n">
        <v>-20</v>
      </c>
      <c r="AY15" s="231" t="n">
        <v>250</v>
      </c>
      <c r="AZ15" s="216" t="inlineStr">
        <is>
          <t>Totals:</t>
        </is>
      </c>
    </row>
    <row r="16" ht="16.15" customHeight="1" s="175">
      <c r="A16" s="254" t="inlineStr">
        <is>
          <t>Ethan</t>
        </is>
      </c>
      <c r="B16" s="202" t="n">
        <v>1</v>
      </c>
      <c r="C16" s="255" t="inlineStr">
        <is>
          <t>Lucy</t>
        </is>
      </c>
      <c r="D16" s="192" t="inlineStr">
        <is>
          <t>2026-01-27 13:28:54</t>
        </is>
      </c>
      <c r="E16" s="173" t="inlineStr">
        <is>
          <t>https://cdn.discordapp.com/ephemeral-attachments/1450933256630440049/1465775571597394133/20260127_132429.jpg?ex=697a5561&amp;is=697903e1&amp;hm=8ab8529063ff73b11049b09dde9a2a6d931c91c74ec20981d336cb4c13bb656b&amp;</t>
        </is>
      </c>
      <c r="F16" s="207" t="inlineStr">
        <is>
          <t>423221841872814081</t>
        </is>
      </c>
      <c r="G16" s="173" t="inlineStr">
        <is>
          <t>1021390383915204648</t>
        </is>
      </c>
      <c r="I16" s="208" t="inlineStr">
        <is>
          <t>Joey</t>
        </is>
      </c>
      <c r="J16" s="209">
        <f>COUNTIF($A:$A,I16)</f>
        <v/>
      </c>
      <c r="K16" s="209">
        <f>COUNTIF($C:$C,I16)</f>
        <v/>
      </c>
      <c r="L16" s="210">
        <f>IF(K16,J16/K16,J16)</f>
        <v/>
      </c>
      <c r="M16" s="209">
        <f>IFERROR(GETPIVOTDATA("Points",$T$2,"Sniper",I16),0)</f>
        <v/>
      </c>
      <c r="N16" s="209">
        <f>IFERROR(GETPIVOTDATA("Points",$T$2,"Snipee",I16),0)</f>
        <v/>
      </c>
      <c r="O16" s="210">
        <f>IF(N16,M16/N16,M16)</f>
        <v/>
      </c>
      <c r="P16" s="210">
        <f>IF(J16,M16/J16,0)</f>
        <v/>
      </c>
      <c r="Q16" s="210">
        <f>IF(K16,N16/K16,0)</f>
        <v/>
      </c>
      <c r="R16" s="211">
        <f>IFERROR(VLOOKUP(I16,T:AM,20,FALSE())/15,0)</f>
        <v/>
      </c>
      <c r="S16" s="232" t="n"/>
      <c r="T16" s="217" t="inlineStr">
        <is>
          <t>Will</t>
        </is>
      </c>
      <c r="U16" s="218" t="n"/>
      <c r="V16" s="218" t="n">
        <v>1</v>
      </c>
      <c r="W16" s="218" t="n"/>
      <c r="X16" s="218" t="n">
        <v>2</v>
      </c>
      <c r="Y16" s="218" t="n"/>
      <c r="Z16" s="218" t="n">
        <v>4</v>
      </c>
      <c r="AA16" s="218" t="n">
        <v>2</v>
      </c>
      <c r="AB16" s="218" t="n">
        <v>2</v>
      </c>
      <c r="AC16" s="218" t="n">
        <v>11</v>
      </c>
      <c r="AD16" s="218" t="n"/>
      <c r="AE16" s="218" t="n">
        <v>11</v>
      </c>
      <c r="AF16" s="218" t="n"/>
      <c r="AG16" s="218" t="n">
        <v>8</v>
      </c>
      <c r="AH16" s="218" t="n">
        <v>13</v>
      </c>
      <c r="AI16" s="218" t="n"/>
      <c r="AJ16" s="218" t="n"/>
      <c r="AK16" s="219" t="n">
        <v>54</v>
      </c>
      <c r="AM16" s="202">
        <f>IF(COUNT(U16:AL16)&lt;&gt;0,COUNT(U16:AL16)-1,"")</f>
        <v/>
      </c>
      <c r="AP16" s="208" t="inlineStr">
        <is>
          <t>Carter</t>
        </is>
      </c>
      <c r="AQ16" s="209">
        <f>VLOOKUP(AP16,$I$1:$R$18,2,FALSE()) *$AQ$15</f>
        <v/>
      </c>
      <c r="AR16" s="233">
        <f>VLOOKUP(AP16,$I$1:$R$18,3,FALSE()) *$AR$15</f>
        <v/>
      </c>
      <c r="AS16" s="234">
        <f>VLOOKUP(AP16,$I$1:$R$18,4,FALSE()) * $AS$15</f>
        <v/>
      </c>
      <c r="AT16" s="209">
        <f>VLOOKUP(AP16,$I$1:$R$18,5,FALSE()) *$AT$15</f>
        <v/>
      </c>
      <c r="AU16" s="233">
        <f>VLOOKUP(AP16,$I$1:$R$18,6,FALSE()) *$AU$15</f>
        <v/>
      </c>
      <c r="AV16" s="234">
        <f>VLOOKUP(AP16,$I$1:$R$18,7,FALSE()) * $AV$15</f>
        <v/>
      </c>
      <c r="AW16" s="209">
        <f>VLOOKUP(AP16,$I$1:$R$18,8,FALSE()) *$AW$15</f>
        <v/>
      </c>
      <c r="AX16" s="235">
        <f>VLOOKUP(AP16,$I$1:$R$18,9,FALSE()) *$AX$15</f>
        <v/>
      </c>
      <c r="AY16" s="234">
        <f>VLOOKUP(AP16,$I$1:$R$18,10,FALSE()) * $AY$15</f>
        <v/>
      </c>
      <c r="AZ16" s="236">
        <f>SUM(AQ16:AY16)</f>
        <v/>
      </c>
    </row>
    <row r="17" ht="14.25" customHeight="1" s="175">
      <c r="A17" s="254" t="inlineStr">
        <is>
          <t>Ethan</t>
        </is>
      </c>
      <c r="B17" s="202" t="n">
        <v>2</v>
      </c>
      <c r="C17" s="255" t="inlineStr">
        <is>
          <t>Cooper</t>
        </is>
      </c>
      <c r="D17" s="192" t="inlineStr">
        <is>
          <t>2026-01-27 13:29:11</t>
        </is>
      </c>
      <c r="E17" s="193" t="inlineStr">
        <is>
          <t>https://cdn.discordapp.com/ephemeral-attachments/1450933256630440049/1465775644741730526/20260127_132802.jpg?ex=697a5572&amp;is=697903f2&amp;hm=9c27e546ab9c73cc77f8c0375cc0951fe876586726fc87be5b26c45984ed2b11&amp;</t>
        </is>
      </c>
      <c r="F17" s="207" t="inlineStr">
        <is>
          <t>423221841872814081</t>
        </is>
      </c>
      <c r="G17" s="173" t="inlineStr">
        <is>
          <t>688178971183153173</t>
        </is>
      </c>
      <c r="I17" s="208" t="inlineStr">
        <is>
          <t>Peter</t>
        </is>
      </c>
      <c r="J17" s="209">
        <f>COUNTIF($A:$A,I17)</f>
        <v/>
      </c>
      <c r="K17" s="209">
        <f>COUNTIF($C:$C,I17)</f>
        <v/>
      </c>
      <c r="L17" s="210">
        <f>IF(K17,J17/K17,J17)</f>
        <v/>
      </c>
      <c r="M17" s="209">
        <f>IFERROR(GETPIVOTDATA("Points",$T$2,"Sniper",I17),0)</f>
        <v/>
      </c>
      <c r="N17" s="209">
        <f>IFERROR(GETPIVOTDATA("Points",$T$2,"Snipee",I17),0)</f>
        <v/>
      </c>
      <c r="O17" s="210">
        <f>IF(N17,M17/N17,M17)</f>
        <v/>
      </c>
      <c r="P17" s="210">
        <f>IF(J17,M17/J17,0)</f>
        <v/>
      </c>
      <c r="Q17" s="210">
        <f>IF(K17,N17/K17,0)</f>
        <v/>
      </c>
      <c r="R17" s="211">
        <f>IFERROR(VLOOKUP(I17,T:AM,20,FALSE())/15,0)</f>
        <v/>
      </c>
      <c r="T17" s="237" t="inlineStr">
        <is>
          <t>Total Result</t>
        </is>
      </c>
      <c r="U17" s="238" t="n">
        <v>35</v>
      </c>
      <c r="V17" s="238" t="n">
        <v>49</v>
      </c>
      <c r="W17" s="238" t="n">
        <v>19</v>
      </c>
      <c r="X17" s="238" t="n">
        <v>16</v>
      </c>
      <c r="Y17" s="238" t="n">
        <v>2</v>
      </c>
      <c r="Z17" s="238" t="n">
        <v>20</v>
      </c>
      <c r="AA17" s="238" t="n">
        <v>35</v>
      </c>
      <c r="AB17" s="238" t="n">
        <v>6</v>
      </c>
      <c r="AC17" s="238" t="n">
        <v>49</v>
      </c>
      <c r="AD17" s="238" t="n">
        <v>8</v>
      </c>
      <c r="AE17" s="238" t="n">
        <v>66</v>
      </c>
      <c r="AF17" s="238" t="n">
        <v>13</v>
      </c>
      <c r="AG17" s="238" t="n">
        <v>47</v>
      </c>
      <c r="AH17" s="238" t="n">
        <v>62</v>
      </c>
      <c r="AI17" s="238" t="n">
        <v>21</v>
      </c>
      <c r="AJ17" s="238" t="n">
        <v>34</v>
      </c>
      <c r="AK17" s="239" t="n">
        <v>482</v>
      </c>
      <c r="AM17" s="202">
        <f>IF(COUNT(U17:AL17)&lt;&gt;0,COUNT(U17:AL17)-1,"")</f>
        <v/>
      </c>
      <c r="AP17" s="208" t="inlineStr">
        <is>
          <t>Grady</t>
        </is>
      </c>
      <c r="AQ17" s="209">
        <f>VLOOKUP(AP17,$I$1:$R$18,2,FALSE()) *$AQ$15</f>
        <v/>
      </c>
      <c r="AR17" s="233">
        <f>VLOOKUP(AP17,$I$1:$R$18,3,FALSE()) *$AR$15</f>
        <v/>
      </c>
      <c r="AS17" s="234">
        <f>VLOOKUP(AP17,$I$1:$R$18,4,FALSE()) * $AS$15</f>
        <v/>
      </c>
      <c r="AT17" s="209">
        <f>VLOOKUP(AP17,$I$1:$R$18,5,FALSE()) *$AT$15</f>
        <v/>
      </c>
      <c r="AU17" s="233">
        <f>VLOOKUP(AP17,$I$1:$R$18,6,FALSE()) *$AU$15</f>
        <v/>
      </c>
      <c r="AV17" s="234">
        <f>VLOOKUP(AP17,$I$1:$R$18,7,FALSE()) * $AV$15</f>
        <v/>
      </c>
      <c r="AW17" s="209">
        <f>VLOOKUP(AP17,$I$1:$R$18,8,FALSE()) *$AW$15</f>
        <v/>
      </c>
      <c r="AX17" s="235">
        <f>VLOOKUP(AP17,$I$1:$R$18,9,FALSE()) *$AX$15</f>
        <v/>
      </c>
      <c r="AY17" s="234">
        <f>VLOOKUP(AP17,$I$1:$R$18,10,FALSE()) * $AY$15</f>
        <v/>
      </c>
      <c r="AZ17" s="236">
        <f>SUM(AQ17:AY17)</f>
        <v/>
      </c>
    </row>
    <row r="18" ht="14.25" customHeight="1" s="175">
      <c r="A18" s="254" t="inlineStr">
        <is>
          <t>Anthony</t>
        </is>
      </c>
      <c r="B18" s="202" t="n">
        <v>2</v>
      </c>
      <c r="C18" s="255" t="inlineStr">
        <is>
          <t>Cooper</t>
        </is>
      </c>
      <c r="D18" s="192" t="inlineStr">
        <is>
          <t>2026-01-27 13:45:11</t>
        </is>
      </c>
      <c r="E18" s="173" t="inlineStr">
        <is>
          <t>https://cdn.discordapp.com/ephemeral-attachments/1450933256630440049/1465779676013269023/IMG_6686.jpg?ex=697a5933&amp;is=697907b3&amp;hm=8660feaeb254fff9ebba3cb7595a185d66f15ec5e2fa04aef6ab2fb2eed8297d&amp;</t>
        </is>
      </c>
      <c r="F18" s="207" t="inlineStr">
        <is>
          <t>525816152161648680</t>
        </is>
      </c>
      <c r="G18" s="173" t="inlineStr">
        <is>
          <t>688178971183153173</t>
        </is>
      </c>
      <c r="I18" s="208" t="inlineStr">
        <is>
          <t>Reuben</t>
        </is>
      </c>
      <c r="J18" s="209">
        <f>COUNTIF($A:$A,I18)</f>
        <v/>
      </c>
      <c r="K18" s="209">
        <f>COUNTIF($C:$C,I18)</f>
        <v/>
      </c>
      <c r="L18" s="210">
        <f>IF(K18,J18/K18,J18)</f>
        <v/>
      </c>
      <c r="M18" s="209">
        <f>IFERROR(GETPIVOTDATA("Points",$T$2,"Sniper",I18),0)</f>
        <v/>
      </c>
      <c r="N18" s="209">
        <f>IFERROR(GETPIVOTDATA("Points",$T$2,"Snipee",I18),0)</f>
        <v/>
      </c>
      <c r="O18" s="210">
        <f>IF(N18,M18/N18,M18)</f>
        <v/>
      </c>
      <c r="P18" s="210">
        <f>IF(J18,M18/J18,0)</f>
        <v/>
      </c>
      <c r="Q18" s="210">
        <f>IF(K18,N18/K18,0)</f>
        <v/>
      </c>
      <c r="R18" s="211">
        <f>IFERROR(VLOOKUP(I18,T:AM,20,FALSE())/15,0)</f>
        <v/>
      </c>
      <c r="AM18" s="202">
        <f>IF(COUNT(U18:AL18)&lt;&gt;0,COUNT(U18:AL18)-1,"")</f>
        <v/>
      </c>
      <c r="AP18" s="208" t="inlineStr">
        <is>
          <t>Lucy</t>
        </is>
      </c>
      <c r="AQ18" s="209">
        <f>VLOOKUP(AP18,$I$1:$R$18,2,FALSE()) *$AQ$15</f>
        <v/>
      </c>
      <c r="AR18" s="233">
        <f>VLOOKUP(AP18,$I$1:$R$18,3,FALSE()) *$AR$15</f>
        <v/>
      </c>
      <c r="AS18" s="234">
        <f>VLOOKUP(AP18,$I$1:$R$18,4,FALSE()) * $AS$15</f>
        <v/>
      </c>
      <c r="AT18" s="209">
        <f>VLOOKUP(AP18,$I$1:$R$18,5,FALSE()) *$AT$15</f>
        <v/>
      </c>
      <c r="AU18" s="233">
        <f>VLOOKUP(AP18,$I$1:$R$18,6,FALSE()) *$AU$15</f>
        <v/>
      </c>
      <c r="AV18" s="234">
        <f>VLOOKUP(AP18,$I$1:$R$18,7,FALSE()) * $AV$15</f>
        <v/>
      </c>
      <c r="AW18" s="209">
        <f>VLOOKUP(AP18,$I$1:$R$18,8,FALSE()) *$AW$15</f>
        <v/>
      </c>
      <c r="AX18" s="235">
        <f>VLOOKUP(AP18,$I$1:$R$18,9,FALSE()) *$AX$15</f>
        <v/>
      </c>
      <c r="AY18" s="234">
        <f>VLOOKUP(AP18,$I$1:$R$18,10,FALSE()) * $AY$15</f>
        <v/>
      </c>
      <c r="AZ18" s="236">
        <f>SUM(AQ18:AY18)</f>
        <v/>
      </c>
    </row>
    <row r="19" ht="14.25" customHeight="1" s="175">
      <c r="A19" s="254" t="inlineStr">
        <is>
          <t>Maxine</t>
        </is>
      </c>
      <c r="B19" s="202" t="n">
        <v>2</v>
      </c>
      <c r="C19" s="255" t="inlineStr">
        <is>
          <t>Reuben</t>
        </is>
      </c>
      <c r="D19" s="192" t="inlineStr">
        <is>
          <t>2026-01-27 13:54:19</t>
        </is>
      </c>
      <c r="E19" s="173" t="inlineStr">
        <is>
          <t>https://cdn.discordapp.com/ephemeral-attachments/1450933256630440049/1465781973506330841/IMG_1977.jpg?ex=697a5b57&amp;is=697909d7&amp;hm=99500f8b3ae178669e49a2e1f3e933fd5859c7248b464e85437b2a15473436ae&amp;</t>
        </is>
      </c>
      <c r="F19" s="207" t="inlineStr">
        <is>
          <t>601936524044664852</t>
        </is>
      </c>
      <c r="G19" s="173" t="inlineStr">
        <is>
          <t>689822943307759670</t>
        </is>
      </c>
      <c r="AM19" s="240" t="n"/>
      <c r="AP19" s="208" t="inlineStr">
        <is>
          <t>Vignesh</t>
        </is>
      </c>
      <c r="AQ19" s="209">
        <f>VLOOKUP(AP19,$I$1:$R$18,2,FALSE()) *$AQ$15</f>
        <v/>
      </c>
      <c r="AR19" s="233">
        <f>VLOOKUP(AP19,$I$1:$R$18,3,FALSE()) *$AR$15</f>
        <v/>
      </c>
      <c r="AS19" s="234">
        <f>VLOOKUP(AP19,$I$1:$R$18,4,FALSE()) * $AS$15</f>
        <v/>
      </c>
      <c r="AT19" s="209">
        <f>VLOOKUP(AP19,$I$1:$R$18,5,FALSE()) *$AT$15</f>
        <v/>
      </c>
      <c r="AU19" s="233">
        <f>VLOOKUP(AP19,$I$1:$R$18,6,FALSE()) *$AU$15</f>
        <v/>
      </c>
      <c r="AV19" s="234">
        <f>VLOOKUP(AP19,$I$1:$R$18,7,FALSE()) * $AV$15</f>
        <v/>
      </c>
      <c r="AW19" s="209">
        <f>VLOOKUP(AP19,$I$1:$R$18,8,FALSE()) *$AW$15</f>
        <v/>
      </c>
      <c r="AX19" s="235">
        <f>VLOOKUP(AP19,$I$1:$R$18,9,FALSE()) *$AX$15</f>
        <v/>
      </c>
      <c r="AY19" s="234">
        <f>VLOOKUP(AP19,$I$1:$R$18,10,FALSE()) * $AY$15</f>
        <v/>
      </c>
      <c r="AZ19" s="236">
        <f>SUM(AQ19:AY19)</f>
        <v/>
      </c>
    </row>
    <row r="20" ht="15.75" customHeight="1" s="175">
      <c r="A20" s="254" t="inlineStr">
        <is>
          <t>Mikey</t>
        </is>
      </c>
      <c r="B20" s="202" t="n">
        <v>2</v>
      </c>
      <c r="C20" s="255" t="inlineStr">
        <is>
          <t>Anthony</t>
        </is>
      </c>
      <c r="D20" s="192" t="inlineStr">
        <is>
          <t>2026-01-28 16:58:47</t>
        </is>
      </c>
      <c r="E20" s="173" t="inlineStr">
        <is>
          <t>https://cdn.discordapp.com/ephemeral-attachments/1450933256630440049/1466190787858530515/IMG_2209.jpg?ex=697bd814&amp;is=697a8694&amp;hm=e8b7bd9bedcf72bf221185f9144803fddbdcc9cc40a47805ba67d6c79c65b9c4&amp;</t>
        </is>
      </c>
      <c r="F20" s="207" t="inlineStr">
        <is>
          <t>288299360557465600</t>
        </is>
      </c>
      <c r="G20" s="173" t="inlineStr">
        <is>
          <t>525816152161648680</t>
        </is>
      </c>
      <c r="I20" s="179" t="inlineStr">
        <is>
          <t>Data By Voice Part (average/person):</t>
        </is>
      </c>
      <c r="J20" s="180" t="n"/>
      <c r="K20" s="180" t="n"/>
      <c r="L20" s="180" t="n"/>
      <c r="M20" s="180" t="n"/>
      <c r="N20" s="180" t="n"/>
      <c r="O20" s="180" t="n"/>
      <c r="P20" s="180" t="n"/>
      <c r="Q20" s="181" t="n"/>
      <c r="AM20" s="240">
        <f>IF(COUNT(U20:AG20)&lt;&gt;0,COUNT(U20:AG20)-1,"")</f>
        <v/>
      </c>
      <c r="AP20" s="208" t="inlineStr">
        <is>
          <t>Cooper</t>
        </is>
      </c>
      <c r="AQ20" s="209">
        <f>VLOOKUP(AP20,$I$1:$R$18,2,FALSE()) *$AQ$15</f>
        <v/>
      </c>
      <c r="AR20" s="233">
        <f>VLOOKUP(AP20,$I$1:$R$18,3,FALSE()) *$AR$15</f>
        <v/>
      </c>
      <c r="AS20" s="234">
        <f>VLOOKUP(AP20,$I$1:$R$18,4,FALSE()) * $AS$15</f>
        <v/>
      </c>
      <c r="AT20" s="209">
        <f>VLOOKUP(AP20,$I$1:$R$18,5,FALSE()) *$AT$15</f>
        <v/>
      </c>
      <c r="AU20" s="233">
        <f>VLOOKUP(AP20,$I$1:$R$18,6,FALSE()) *$AU$15</f>
        <v/>
      </c>
      <c r="AV20" s="234">
        <f>VLOOKUP(AP20,$I$1:$R$18,7,FALSE()) * $AV$15</f>
        <v/>
      </c>
      <c r="AW20" s="209">
        <f>VLOOKUP(AP20,$I$1:$R$18,8,FALSE()) *$AW$15</f>
        <v/>
      </c>
      <c r="AX20" s="235">
        <f>VLOOKUP(AP20,$I$1:$R$18,9,FALSE()) *$AX$15</f>
        <v/>
      </c>
      <c r="AY20" s="234">
        <f>VLOOKUP(AP20,$I$1:$R$18,10,FALSE()) * $AY$15</f>
        <v/>
      </c>
      <c r="AZ20" s="236">
        <f>SUM(AQ20:AY20)</f>
        <v/>
      </c>
    </row>
    <row r="21" ht="16.15" customHeight="1" s="175">
      <c r="A21" s="254" t="inlineStr">
        <is>
          <t>Anthony</t>
        </is>
      </c>
      <c r="B21" s="202" t="n">
        <v>2</v>
      </c>
      <c r="C21" s="255" t="inlineStr">
        <is>
          <t>Mikey</t>
        </is>
      </c>
      <c r="D21" s="192" t="inlineStr">
        <is>
          <t>2026-01-28 16:59:16</t>
        </is>
      </c>
      <c r="E21" s="173" t="inlineStr">
        <is>
          <t>https://cdn.discordapp.com/ephemeral-attachments/1450933256630440049/1466190904380620901/IMG_6692.jpg?ex=697bd830&amp;is=697a86b0&amp;hm=672ec29f4affdeb3c5cda078242af7cc7f309448e4a9668a135c12d0ac0d570c&amp;</t>
        </is>
      </c>
      <c r="F21" s="207" t="inlineStr">
        <is>
          <t>525816152161648680</t>
        </is>
      </c>
      <c r="G21" s="173" t="inlineStr">
        <is>
          <t>288299360557465600</t>
        </is>
      </c>
      <c r="I21" s="226" t="inlineStr">
        <is>
          <t>Part:</t>
        </is>
      </c>
      <c r="J21" s="206" t="inlineStr">
        <is>
          <t>Kills</t>
        </is>
      </c>
      <c r="K21" s="206" t="inlineStr">
        <is>
          <t>Deaths</t>
        </is>
      </c>
      <c r="L21" s="206" t="inlineStr">
        <is>
          <t>KDR</t>
        </is>
      </c>
      <c r="M21" s="206" t="inlineStr">
        <is>
          <t>Kill Points</t>
        </is>
      </c>
      <c r="N21" s="206" t="inlineStr">
        <is>
          <t>Death Points</t>
        </is>
      </c>
      <c r="O21" s="206" t="inlineStr">
        <is>
          <t>KpDpR</t>
        </is>
      </c>
      <c r="P21" s="196" t="inlineStr">
        <is>
          <t>KPts/Kill</t>
        </is>
      </c>
      <c r="Q21" s="206" t="inlineStr">
        <is>
          <t>DPts/Death</t>
        </is>
      </c>
      <c r="AM21" s="240">
        <f>IF(COUNT(U21:AG21)&lt;&gt;0,COUNT(U21:AG21)-1,"")</f>
        <v/>
      </c>
      <c r="AP21" s="208" t="inlineStr">
        <is>
          <t>Evan</t>
        </is>
      </c>
      <c r="AQ21" s="209">
        <f>VLOOKUP(AP21,$I$1:$R$18,2,FALSE()) *$AQ$15</f>
        <v/>
      </c>
      <c r="AR21" s="233">
        <f>VLOOKUP(AP21,$I$1:$R$18,3,FALSE()) *$AR$15</f>
        <v/>
      </c>
      <c r="AS21" s="234">
        <f>VLOOKUP(AP21,$I$1:$R$18,4,FALSE()) * $AS$15</f>
        <v/>
      </c>
      <c r="AT21" s="209">
        <f>VLOOKUP(AP21,$I$1:$R$18,5,FALSE()) *$AT$15</f>
        <v/>
      </c>
      <c r="AU21" s="233">
        <f>VLOOKUP(AP21,$I$1:$R$18,6,FALSE()) *$AU$15</f>
        <v/>
      </c>
      <c r="AV21" s="234">
        <f>VLOOKUP(AP21,$I$1:$R$18,7,FALSE()) * $AV$15</f>
        <v/>
      </c>
      <c r="AW21" s="209">
        <f>VLOOKUP(AP21,$I$1:$R$18,8,FALSE()) *$AW$15</f>
        <v/>
      </c>
      <c r="AX21" s="235">
        <f>VLOOKUP(AP21,$I$1:$R$18,9,FALSE()) *$AX$15</f>
        <v/>
      </c>
      <c r="AY21" s="234">
        <f>VLOOKUP(AP21,$I$1:$R$18,10,FALSE()) * $AY$15</f>
        <v/>
      </c>
      <c r="AZ21" s="236">
        <f>SUM(AQ21:AY21)</f>
        <v/>
      </c>
    </row>
    <row r="22" ht="14.25" customHeight="1" s="175">
      <c r="A22" s="254" t="inlineStr">
        <is>
          <t>Mikey</t>
        </is>
      </c>
      <c r="B22" s="202" t="n">
        <v>2</v>
      </c>
      <c r="C22" s="255" t="inlineStr">
        <is>
          <t>Rob</t>
        </is>
      </c>
      <c r="D22" s="192" t="inlineStr">
        <is>
          <t>2026-01-28 18:01:05</t>
        </is>
      </c>
      <c r="E22" s="173" t="inlineStr">
        <is>
          <t>https://cdn.discordapp.com/ephemeral-attachments/1450933256630440049/1466206465181093970/IMG_2210.jpg?ex=697be6ae&amp;is=697a952e&amp;hm=abb00051a14bb8fce1be078b8ccdfa922df701d49eb57a9e0effc156ef516af1&amp;</t>
        </is>
      </c>
      <c r="F22" s="192" t="inlineStr">
        <is>
          <t>288299360557465600</t>
        </is>
      </c>
      <c r="G22" s="173" t="inlineStr">
        <is>
          <t>619268961393049601</t>
        </is>
      </c>
      <c r="I22" s="208" t="inlineStr">
        <is>
          <t>Tenors</t>
        </is>
      </c>
      <c r="J22" s="241">
        <f>SUM(J3:J6)/COUNT(J3:J6)</f>
        <v/>
      </c>
      <c r="K22" s="241">
        <f>SUM(K3:K6)/COUNT(K3:K6)</f>
        <v/>
      </c>
      <c r="L22" s="242">
        <f>IF(K22,J22/K22,J22)</f>
        <v/>
      </c>
      <c r="M22" s="241">
        <f>SUM(M3:M6)/COUNT(M3:M6)</f>
        <v/>
      </c>
      <c r="N22" s="241">
        <f>SUM(N3:N6)/COUNT(N3:N6)</f>
        <v/>
      </c>
      <c r="O22" s="242">
        <f>IF(N22,M22/N22,M22)</f>
        <v/>
      </c>
      <c r="P22" s="243">
        <f>IF(J22,M22/J22,0)</f>
        <v/>
      </c>
      <c r="Q22" s="244">
        <f>IF(K22,N22/K22,0)</f>
        <v/>
      </c>
      <c r="S22" s="245" t="n"/>
      <c r="T22" s="246" t="n"/>
      <c r="AM22" s="240">
        <f>IF(COUNT(U22:AG22)&lt;&gt;0,COUNT(U22:AG22)-1,"")</f>
        <v/>
      </c>
      <c r="AP22" s="208" t="inlineStr">
        <is>
          <t>Maxine</t>
        </is>
      </c>
      <c r="AQ22" s="209">
        <f>VLOOKUP(AP22,$I$1:$R$18,2,FALSE()) *$AQ$15</f>
        <v/>
      </c>
      <c r="AR22" s="233">
        <f>VLOOKUP(AP22,$I$1:$R$18,3,FALSE()) *$AR$15</f>
        <v/>
      </c>
      <c r="AS22" s="234">
        <f>VLOOKUP(AP22,$I$1:$R$18,4,FALSE()) * $AS$15</f>
        <v/>
      </c>
      <c r="AT22" s="209">
        <f>VLOOKUP(AP22,$I$1:$R$18,5,FALSE()) *$AT$15</f>
        <v/>
      </c>
      <c r="AU22" s="233">
        <f>VLOOKUP(AP22,$I$1:$R$18,6,FALSE()) *$AU$15</f>
        <v/>
      </c>
      <c r="AV22" s="234">
        <f>VLOOKUP(AP22,$I$1:$R$18,7,FALSE()) * $AV$15</f>
        <v/>
      </c>
      <c r="AW22" s="209">
        <f>VLOOKUP(AP22,$I$1:$R$18,8,FALSE()) *$AW$15</f>
        <v/>
      </c>
      <c r="AX22" s="235">
        <f>VLOOKUP(AP22,$I$1:$R$18,9,FALSE()) *$AX$15</f>
        <v/>
      </c>
      <c r="AY22" s="234">
        <f>VLOOKUP(AP22,$I$1:$R$18,10,FALSE()) * $AY$15</f>
        <v/>
      </c>
      <c r="AZ22" s="236">
        <f>SUM(AQ22:AY22)</f>
        <v/>
      </c>
    </row>
    <row r="23" ht="14.25" customHeight="1" s="175">
      <c r="A23" s="254" t="inlineStr">
        <is>
          <t>Lucy</t>
        </is>
      </c>
      <c r="B23" s="202" t="n">
        <v>2</v>
      </c>
      <c r="C23" s="255" t="inlineStr">
        <is>
          <t>Anthony</t>
        </is>
      </c>
      <c r="D23" s="192" t="inlineStr">
        <is>
          <t>2026-01-29 10:52:51</t>
        </is>
      </c>
      <c r="E23" s="173" t="inlineStr">
        <is>
          <t>https://cdn.discordapp.com/ephemeral-attachments/1450933256630440049/1466461074281992488/20260129_105147.jpg?ex=697cd3cd&amp;is=697b824d&amp;hm=ceeae3d78c62ff407e32cac00d137a25b210f1ab3d81da47f4cb48734aae9de3&amp;</t>
        </is>
      </c>
      <c r="F23" s="207" t="inlineStr">
        <is>
          <t>1021390383915204648</t>
        </is>
      </c>
      <c r="G23" s="173" t="inlineStr">
        <is>
          <t>525816152161648680</t>
        </is>
      </c>
      <c r="I23" s="208" t="inlineStr">
        <is>
          <t>Leads</t>
        </is>
      </c>
      <c r="J23" s="241">
        <f>SUM(J7:J10)/COUNT(J7:J10)</f>
        <v/>
      </c>
      <c r="K23" s="241">
        <f>SUM(K7:K10)/COUNT(K7:K10)</f>
        <v/>
      </c>
      <c r="L23" s="242">
        <f>IF(K23,J23/K23,J23)</f>
        <v/>
      </c>
      <c r="M23" s="241">
        <f>SUM(M7:M10)/COUNT(M7:M10)</f>
        <v/>
      </c>
      <c r="N23" s="241">
        <f>SUM(N7:N10)/COUNT(N7:N10)</f>
        <v/>
      </c>
      <c r="O23" s="242">
        <f>IF(N23,M23/N23,M23)</f>
        <v/>
      </c>
      <c r="P23" s="243">
        <f>IF(J23,M23/J23,0)</f>
        <v/>
      </c>
      <c r="Q23" s="244">
        <f>IF(K23,N23/K23,0)</f>
        <v/>
      </c>
      <c r="S23" s="245" t="n"/>
      <c r="T23" s="246" t="n"/>
      <c r="AP23" s="208" t="inlineStr">
        <is>
          <t>Mikey</t>
        </is>
      </c>
      <c r="AQ23" s="209">
        <f>VLOOKUP(AP23,$I$1:$R$18,2,FALSE()) *$AQ$15</f>
        <v/>
      </c>
      <c r="AR23" s="233">
        <f>VLOOKUP(AP23,$I$1:$R$18,3,FALSE()) *$AR$15</f>
        <v/>
      </c>
      <c r="AS23" s="234">
        <f>VLOOKUP(AP23,$I$1:$R$18,4,FALSE()) * $AS$15</f>
        <v/>
      </c>
      <c r="AT23" s="209">
        <f>VLOOKUP(AP23,$I$1:$R$18,5,FALSE()) *$AT$15</f>
        <v/>
      </c>
      <c r="AU23" s="233">
        <f>VLOOKUP(AP23,$I$1:$R$18,6,FALSE()) *$AU$15</f>
        <v/>
      </c>
      <c r="AV23" s="234">
        <f>VLOOKUP(AP23,$I$1:$R$18,7,FALSE()) * $AV$15</f>
        <v/>
      </c>
      <c r="AW23" s="209">
        <f>VLOOKUP(AP23,$I$1:$R$18,8,FALSE()) *$AW$15</f>
        <v/>
      </c>
      <c r="AX23" s="235">
        <f>VLOOKUP(AP23,$I$1:$R$18,9,FALSE()) *$AX$15</f>
        <v/>
      </c>
      <c r="AY23" s="234">
        <f>VLOOKUP(AP23,$I$1:$R$18,10,FALSE()) * $AY$15</f>
        <v/>
      </c>
      <c r="AZ23" s="236">
        <f>SUM(AQ23:AY23)</f>
        <v/>
      </c>
    </row>
    <row r="24" ht="14.25" customHeight="1" s="175">
      <c r="A24" s="254" t="inlineStr">
        <is>
          <t>Rob</t>
        </is>
      </c>
      <c r="B24" s="202" t="n">
        <v>1</v>
      </c>
      <c r="C24" s="255" t="inlineStr">
        <is>
          <t>Reuben</t>
        </is>
      </c>
      <c r="D24" s="192" t="inlineStr">
        <is>
          <t>2026-01-29 12:20:20</t>
        </is>
      </c>
      <c r="E24" s="173" t="inlineStr">
        <is>
          <t>https://cdn.discordapp.com/ephemeral-attachments/1450933256630440049/1466483084395548742/B0594F0C-A8EF-4D4B-9FB1-B967F698C654.jpg?ex=697ce84d&amp;is=697b96cd&amp;hm=0b4edc04f72784b2f19893c2498d1db5ba1a9272360cb21683354e4ef170bba7&amp;</t>
        </is>
      </c>
      <c r="F24" s="192" t="inlineStr">
        <is>
          <t>619268961393049601</t>
        </is>
      </c>
      <c r="G24" s="173" t="inlineStr">
        <is>
          <t>689822943307759670</t>
        </is>
      </c>
      <c r="I24" s="208" t="inlineStr">
        <is>
          <t>Baris</t>
        </is>
      </c>
      <c r="J24" s="241">
        <f>SUM(J11:J14)/COUNT(J11:J14)</f>
        <v/>
      </c>
      <c r="K24" s="241">
        <f>SUM(K11:K14)/COUNT(K11:K14)</f>
        <v/>
      </c>
      <c r="L24" s="242">
        <f>IF(K24,J24/K24,J24)</f>
        <v/>
      </c>
      <c r="M24" s="241">
        <f>SUM(M11:M14)/COUNT(M11:M14)</f>
        <v/>
      </c>
      <c r="N24" s="241">
        <f>SUM(N11:N14)/COUNT(N11:N14)</f>
        <v/>
      </c>
      <c r="O24" s="242">
        <f>IF(N24,M24/N24,M24)</f>
        <v/>
      </c>
      <c r="P24" s="243">
        <f>IF(J24,M24/J24,0)</f>
        <v/>
      </c>
      <c r="Q24" s="244">
        <f>IF(K24,N24/K24,0)</f>
        <v/>
      </c>
      <c r="S24" s="182" t="n"/>
      <c r="AF24" s="246" t="n"/>
      <c r="AP24" s="208" t="inlineStr">
        <is>
          <t>Anthony</t>
        </is>
      </c>
      <c r="AQ24" s="209">
        <f>VLOOKUP(AP24,$I$1:$R$18,2,FALSE()) *$AQ$15</f>
        <v/>
      </c>
      <c r="AR24" s="233">
        <f>VLOOKUP(AP24,$I$1:$R$18,3,FALSE()) *$AR$15</f>
        <v/>
      </c>
      <c r="AS24" s="234">
        <f>VLOOKUP(AP24,$I$1:$R$18,4,FALSE()) * $AS$15</f>
        <v/>
      </c>
      <c r="AT24" s="209">
        <f>VLOOKUP(AP24,$I$1:$R$18,5,FALSE()) *$AT$15</f>
        <v/>
      </c>
      <c r="AU24" s="233">
        <f>VLOOKUP(AP24,$I$1:$R$18,6,FALSE()) *$AU$15</f>
        <v/>
      </c>
      <c r="AV24" s="234">
        <f>VLOOKUP(AP24,$I$1:$R$18,7,FALSE()) * $AV$15</f>
        <v/>
      </c>
      <c r="AW24" s="209">
        <f>VLOOKUP(AP24,$I$1:$R$18,8,FALSE()) *$AW$15</f>
        <v/>
      </c>
      <c r="AX24" s="235">
        <f>VLOOKUP(AP24,$I$1:$R$18,9,FALSE()) *$AX$15</f>
        <v/>
      </c>
      <c r="AY24" s="234">
        <f>VLOOKUP(AP24,$I$1:$R$18,10,FALSE()) * $AY$15</f>
        <v/>
      </c>
      <c r="AZ24" s="236">
        <f>SUM(AQ24:AY24)</f>
        <v/>
      </c>
    </row>
    <row r="25" ht="14.25" customHeight="1" s="175">
      <c r="A25" s="254" t="inlineStr">
        <is>
          <t>Will</t>
        </is>
      </c>
      <c r="B25" s="202" t="n">
        <v>2</v>
      </c>
      <c r="C25" s="255" t="inlineStr">
        <is>
          <t>Reuben</t>
        </is>
      </c>
      <c r="D25" s="192" t="inlineStr">
        <is>
          <t>2026-01-29 12:27:04</t>
        </is>
      </c>
      <c r="E25" s="173" t="inlineStr">
        <is>
          <t>https://cdn.discordapp.com/ephemeral-attachments/1450933256630440049/1466484781415141556/IMG_1878.jpg?ex=697ce9e1&amp;is=697b9861&amp;hm=988a726a62bb0f204a4e0be273539f2ddcc1184f97b1065918f140ba27fba8aa&amp;</t>
        </is>
      </c>
      <c r="F25" s="207" t="inlineStr">
        <is>
          <t>707377558940811335</t>
        </is>
      </c>
      <c r="G25" s="173" t="inlineStr">
        <is>
          <t>689822943307759670</t>
        </is>
      </c>
      <c r="I25" s="208" t="inlineStr">
        <is>
          <t>Basses</t>
        </is>
      </c>
      <c r="J25" s="241">
        <f>SUM(J15:J18)/3</f>
        <v/>
      </c>
      <c r="K25" s="241">
        <f>SUM(K17:K18)/3</f>
        <v/>
      </c>
      <c r="L25" s="242">
        <f>IF(K25,J25/K25,J25)</f>
        <v/>
      </c>
      <c r="M25" s="241">
        <f>SUM(M17:M18)/3</f>
        <v/>
      </c>
      <c r="N25" s="241">
        <f>SUM(N17:N18)/3</f>
        <v/>
      </c>
      <c r="O25" s="242">
        <f>IF(N25,M25/N25,M25)</f>
        <v/>
      </c>
      <c r="P25" s="243">
        <f>IF(J25,M25/J25,0)</f>
        <v/>
      </c>
      <c r="Q25" s="244">
        <f>IF(K25,N25/K25,0)</f>
        <v/>
      </c>
      <c r="AP25" s="208" t="inlineStr">
        <is>
          <t>Ethan</t>
        </is>
      </c>
      <c r="AQ25" s="209">
        <f>VLOOKUP(AP25,$I$1:$R$18,2,FALSE()) *$AQ$15</f>
        <v/>
      </c>
      <c r="AR25" s="233">
        <f>VLOOKUP(AP25,$I$1:$R$18,3,FALSE()) *$AR$15</f>
        <v/>
      </c>
      <c r="AS25" s="234">
        <f>VLOOKUP(AP25,$I$1:$R$18,4,FALSE()) * $AS$15</f>
        <v/>
      </c>
      <c r="AT25" s="209">
        <f>VLOOKUP(AP25,$I$1:$R$18,5,FALSE()) *$AT$15</f>
        <v/>
      </c>
      <c r="AU25" s="233">
        <f>VLOOKUP(AP25,$I$1:$R$18,6,FALSE()) *$AU$15</f>
        <v/>
      </c>
      <c r="AV25" s="234">
        <f>VLOOKUP(AP25,$I$1:$R$18,7,FALSE()) * $AV$15</f>
        <v/>
      </c>
      <c r="AW25" s="209">
        <f>VLOOKUP(AP25,$I$1:$R$18,8,FALSE()) *$AW$15</f>
        <v/>
      </c>
      <c r="AX25" s="235">
        <f>VLOOKUP(AP25,$I$1:$R$18,9,FALSE()) *$AX$15</f>
        <v/>
      </c>
      <c r="AY25" s="234">
        <f>VLOOKUP(AP25,$I$1:$R$18,10,FALSE()) * $AY$15</f>
        <v/>
      </c>
      <c r="AZ25" s="236">
        <f>SUM(AQ25:AY25)</f>
        <v/>
      </c>
    </row>
    <row r="26" ht="14.25" customHeight="1" s="175">
      <c r="A26" s="254" t="inlineStr">
        <is>
          <t>Anthony</t>
        </is>
      </c>
      <c r="B26" s="202" t="n">
        <v>2</v>
      </c>
      <c r="C26" s="255" t="inlineStr">
        <is>
          <t>Cooper</t>
        </is>
      </c>
      <c r="D26" s="192" t="inlineStr">
        <is>
          <t>2026-01-29 13:35:19</t>
        </is>
      </c>
      <c r="E26" s="173" t="inlineStr">
        <is>
          <t>https://cdn.discordapp.com/ephemeral-attachments/1450933256630440049/1466501956507009054/IMG_6695.jpg?ex=697cf9e0&amp;is=697ba860&amp;hm=de9936e25169084ae817716d611ba93c9383c9d89395201a5725191895920e4b&amp;</t>
        </is>
      </c>
      <c r="F26" s="207" t="inlineStr">
        <is>
          <t>525816152161648680</t>
        </is>
      </c>
      <c r="G26" s="173" t="inlineStr">
        <is>
          <t>688178971183153173</t>
        </is>
      </c>
      <c r="I26" s="247" t="inlineStr">
        <is>
          <t>Basses (No Reuben)</t>
        </is>
      </c>
      <c r="J26" s="241">
        <f>SUM(J17)/2</f>
        <v/>
      </c>
      <c r="K26" s="241">
        <f>SUM(K17)/2</f>
        <v/>
      </c>
      <c r="L26" s="242">
        <f>IF(K26,J26/K26,J26)</f>
        <v/>
      </c>
      <c r="M26" s="241">
        <f>SUM(M17)/2</f>
        <v/>
      </c>
      <c r="N26" s="241">
        <f>SUM(N17)/2</f>
        <v/>
      </c>
      <c r="O26" s="242">
        <f>IF(N26,M26/N26,M26)</f>
        <v/>
      </c>
      <c r="P26" s="243">
        <f>IF(J26,M26/J26,0)</f>
        <v/>
      </c>
      <c r="Q26" s="244">
        <f>IF(K26,N26/K26,0)</f>
        <v/>
      </c>
      <c r="AP26" s="208" t="inlineStr">
        <is>
          <t>Rob</t>
        </is>
      </c>
      <c r="AQ26" s="209">
        <f>VLOOKUP(AP26,$I$1:$R$18,2,FALSE()) *$AQ$15</f>
        <v/>
      </c>
      <c r="AR26" s="233">
        <f>VLOOKUP(AP26,$I$1:$R$18,3,FALSE()) *$AR$15</f>
        <v/>
      </c>
      <c r="AS26" s="234">
        <f>VLOOKUP(AP26,$I$1:$R$18,4,FALSE()) * $AS$15</f>
        <v/>
      </c>
      <c r="AT26" s="209">
        <f>VLOOKUP(AP26,$I$1:$R$18,5,FALSE()) *$AT$15</f>
        <v/>
      </c>
      <c r="AU26" s="233">
        <f>VLOOKUP(AP26,$I$1:$R$18,6,FALSE()) *$AU$15</f>
        <v/>
      </c>
      <c r="AV26" s="234">
        <f>VLOOKUP(AP26,$I$1:$R$18,7,FALSE()) * $AV$15</f>
        <v/>
      </c>
      <c r="AW26" s="209">
        <f>VLOOKUP(AP26,$I$1:$R$18,8,FALSE()) *$AW$15</f>
        <v/>
      </c>
      <c r="AX26" s="235">
        <f>VLOOKUP(AP26,$I$1:$R$18,9,FALSE()) *$AX$15</f>
        <v/>
      </c>
      <c r="AY26" s="234">
        <f>VLOOKUP(AP26,$I$1:$R$18,10,FALSE()) * $AY$15</f>
        <v/>
      </c>
      <c r="AZ26" s="236">
        <f>SUM(AQ26:AY26)</f>
        <v/>
      </c>
    </row>
    <row r="27" ht="14.25" customHeight="1" s="175">
      <c r="A27" s="254" t="inlineStr">
        <is>
          <t>Mikey</t>
        </is>
      </c>
      <c r="B27" s="202" t="n">
        <v>1</v>
      </c>
      <c r="C27" s="255" t="inlineStr">
        <is>
          <t>Rob</t>
        </is>
      </c>
      <c r="D27" s="192" t="inlineStr">
        <is>
          <t>2026-01-29 13:48:05</t>
        </is>
      </c>
      <c r="E27" s="173" t="inlineStr">
        <is>
          <t>https://cdn.discordapp.com/ephemeral-attachments/1450933256630440049/1466505167519355043/IMG_2220.jpg?ex=697cfcde&amp;is=697bab5e&amp;hm=f105d68f7fe594d9835bf202d25f037f0d28b44bcd1bc2849afa135b90c539a6&amp;</t>
        </is>
      </c>
      <c r="F27" s="192" t="inlineStr">
        <is>
          <t>288299360557465600</t>
        </is>
      </c>
      <c r="G27" s="173" t="inlineStr">
        <is>
          <t>619268961393049601</t>
        </is>
      </c>
      <c r="AP27" s="208" t="inlineStr">
        <is>
          <t>Will</t>
        </is>
      </c>
      <c r="AQ27" s="209">
        <f>VLOOKUP(AP27,$I$1:$R$18,2,FALSE()) *$AQ$15</f>
        <v/>
      </c>
      <c r="AR27" s="233">
        <f>VLOOKUP(AP27,$I$1:$R$18,3,FALSE()) *$AR$15</f>
        <v/>
      </c>
      <c r="AS27" s="234">
        <f>VLOOKUP(AP27,$I$1:$R$18,4,FALSE()) * $AS$15</f>
        <v/>
      </c>
      <c r="AT27" s="209">
        <f>VLOOKUP(AP27,$I$1:$R$18,5,FALSE()) *$AT$15</f>
        <v/>
      </c>
      <c r="AU27" s="233">
        <f>VLOOKUP(AP27,$I$1:$R$18,6,FALSE()) *$AU$15</f>
        <v/>
      </c>
      <c r="AV27" s="234">
        <f>VLOOKUP(AP27,$I$1:$R$18,7,FALSE()) * $AV$15</f>
        <v/>
      </c>
      <c r="AW27" s="209">
        <f>VLOOKUP(AP27,$I$1:$R$18,8,FALSE()) *$AW$15</f>
        <v/>
      </c>
      <c r="AX27" s="235">
        <f>VLOOKUP(AP27,$I$1:$R$18,9,FALSE()) *$AX$15</f>
        <v/>
      </c>
      <c r="AY27" s="234">
        <f>VLOOKUP(AP27,$I$1:$R$18,10,FALSE()) * $AY$15</f>
        <v/>
      </c>
      <c r="AZ27" s="236">
        <f>SUM(AQ27:AY27)</f>
        <v/>
      </c>
    </row>
    <row r="28" ht="14.25" customHeight="1" s="175">
      <c r="A28" s="254" t="inlineStr">
        <is>
          <t>Rob</t>
        </is>
      </c>
      <c r="B28" s="202" t="n">
        <v>1</v>
      </c>
      <c r="C28" s="255" t="inlineStr">
        <is>
          <t>Mikey</t>
        </is>
      </c>
      <c r="D28" s="192" t="inlineStr">
        <is>
          <t>2026-01-29 13:48:38</t>
        </is>
      </c>
      <c r="E28" s="173" t="inlineStr">
        <is>
          <t>https://cdn.discordapp.com/ephemeral-attachments/1450933256630440049/1466505300096979149/9D82CD61-99D0-4297-8E6B-7D7E21D07F48.jpg?ex=697cfcfd&amp;is=697bab7d&amp;hm=7b1bb71d9b3bd500e1d747d2e0efccbc6c1a0bffddb24cfaf1bb6aa76bfc0cc0&amp;</t>
        </is>
      </c>
      <c r="F28" s="207" t="inlineStr">
        <is>
          <t>619268961393049601</t>
        </is>
      </c>
      <c r="G28" s="173" t="inlineStr">
        <is>
          <t>288299360557465600</t>
        </is>
      </c>
      <c r="I28" s="208" t="inlineStr">
        <is>
          <t>Person:</t>
        </is>
      </c>
      <c r="J28" s="216" t="inlineStr">
        <is>
          <t>Kills</t>
        </is>
      </c>
      <c r="S28" s="208" t="inlineStr">
        <is>
          <t>Person:</t>
        </is>
      </c>
      <c r="T28" s="216" t="inlineStr">
        <is>
          <t>Kill Points</t>
        </is>
      </c>
      <c r="AP28" s="208" t="inlineStr">
        <is>
          <t>Erick</t>
        </is>
      </c>
      <c r="AQ28" s="209">
        <f>VLOOKUP(AP28,$I$1:$R$18,2,FALSE()) *$AQ$15</f>
        <v/>
      </c>
      <c r="AR28" s="233">
        <f>VLOOKUP(AP28,$I$1:$R$18,3,FALSE()) *$AR$15</f>
        <v/>
      </c>
      <c r="AS28" s="234">
        <f>VLOOKUP(AP28,$I$1:$R$18,4,FALSE()) * $AS$15</f>
        <v/>
      </c>
      <c r="AT28" s="209">
        <f>VLOOKUP(AP28,$I$1:$R$18,5,FALSE()) *$AT$15</f>
        <v/>
      </c>
      <c r="AU28" s="233">
        <f>VLOOKUP(AP28,$I$1:$R$18,6,FALSE()) *$AU$15</f>
        <v/>
      </c>
      <c r="AV28" s="234">
        <f>VLOOKUP(AP28,$I$1:$R$18,7,FALSE()) * $AV$15</f>
        <v/>
      </c>
      <c r="AW28" s="209">
        <f>VLOOKUP(AP28,$I$1:$R$18,8,FALSE()) *$AW$15</f>
        <v/>
      </c>
      <c r="AX28" s="235">
        <f>VLOOKUP(AP28,$I$1:$R$18,9,FALSE()) *$AX$15</f>
        <v/>
      </c>
      <c r="AY28" s="234">
        <f>VLOOKUP(AP28,$I$1:$R$18,10,FALSE()) * $AY$15</f>
        <v/>
      </c>
      <c r="AZ28" s="236">
        <f>SUM(AQ28:AY28)</f>
        <v/>
      </c>
    </row>
    <row r="29" ht="14.25" customHeight="1" s="175">
      <c r="A29" s="254" t="inlineStr">
        <is>
          <t>Anthony</t>
        </is>
      </c>
      <c r="B29" s="202" t="n">
        <v>2</v>
      </c>
      <c r="C29" s="255" t="inlineStr">
        <is>
          <t>Cooper</t>
        </is>
      </c>
      <c r="D29" s="192" t="inlineStr">
        <is>
          <t>2026-01-29 15:20:05</t>
        </is>
      </c>
      <c r="E29" s="173" t="inlineStr">
        <is>
          <t>https://cdn.discordapp.com/ephemeral-attachments/1450933256630440049/1466528318617551094/IMG_6696.png?ex=697d126d&amp;is=697bc0ed&amp;hm=7f525ee4234f887397e5bb5a625986b7b9b97e50513cb9ccd952912e543e1ffa&amp;</t>
        </is>
      </c>
      <c r="F29" s="192" t="inlineStr">
        <is>
          <t>525816152161648680</t>
        </is>
      </c>
      <c r="G29" s="173" t="inlineStr">
        <is>
          <t>688178971183153173</t>
        </is>
      </c>
      <c r="I29" s="208" t="inlineStr">
        <is>
          <t>Mikey</t>
        </is>
      </c>
      <c r="J29" s="209">
        <f>VLOOKUP(I29,$I$1:$R$18,2,FALSE())</f>
        <v/>
      </c>
      <c r="S29" s="208" t="inlineStr">
        <is>
          <t>Will</t>
        </is>
      </c>
      <c r="T29" s="209">
        <f>VLOOKUP(S29,$I$1:$R$18,5,FALSE())</f>
        <v/>
      </c>
      <c r="AP29" s="208" t="inlineStr">
        <is>
          <t>Joey</t>
        </is>
      </c>
      <c r="AQ29" s="209">
        <f>VLOOKUP(AP29,$I$1:$R$18,2,FALSE()) *$AQ$15</f>
        <v/>
      </c>
      <c r="AR29" s="233">
        <f>VLOOKUP(AP29,$I$1:$R$18,3,FALSE()) *$AR$15</f>
        <v/>
      </c>
      <c r="AS29" s="234">
        <f>VLOOKUP(AP29,$I$1:$R$18,4,FALSE()) * $AS$15</f>
        <v/>
      </c>
      <c r="AT29" s="209">
        <f>VLOOKUP(AP29,$I$1:$R$18,5,FALSE()) *$AT$15</f>
        <v/>
      </c>
      <c r="AU29" s="233">
        <f>VLOOKUP(AP29,$I$1:$R$18,6,FALSE()) *$AU$15</f>
        <v/>
      </c>
      <c r="AV29" s="234">
        <f>VLOOKUP(AP29,$I$1:$R$18,7,FALSE()) * $AV$15</f>
        <v/>
      </c>
      <c r="AW29" s="209">
        <f>VLOOKUP(AP29,$I$1:$R$18,8,FALSE()) *$AW$15</f>
        <v/>
      </c>
      <c r="AX29" s="235">
        <f>VLOOKUP(AP29,$I$1:$R$18,9,FALSE()) *$AX$15</f>
        <v/>
      </c>
      <c r="AY29" s="234">
        <f>VLOOKUP(AP29,$I$1:$R$18,10,FALSE()) * $AY$15</f>
        <v/>
      </c>
      <c r="AZ29" s="236">
        <f>SUM(AQ29:AY29)</f>
        <v/>
      </c>
    </row>
    <row r="30" ht="14.25" customHeight="1" s="175">
      <c r="A30" s="254" t="inlineStr">
        <is>
          <t>Will</t>
        </is>
      </c>
      <c r="B30" s="202" t="n">
        <v>2</v>
      </c>
      <c r="C30" s="255" t="inlineStr">
        <is>
          <t>Grady</t>
        </is>
      </c>
      <c r="D30" s="192" t="inlineStr">
        <is>
          <t>2026-01-30 09:56:34</t>
        </is>
      </c>
      <c r="E30" s="173" t="inlineStr">
        <is>
          <t>https://cdn.discordapp.com/ephemeral-attachments/1450933256630440049/1466809307021705463/IMG_1885.jpg?ex=697e181e&amp;is=697cc69e&amp;hm=7cc9c28c4f72eb5b602486120e78cef1c0f6d4764275f06ad42b4079fa73204b&amp;</t>
        </is>
      </c>
      <c r="F30" s="207" t="inlineStr">
        <is>
          <t>707377558940811335</t>
        </is>
      </c>
      <c r="G30" s="173" t="inlineStr">
        <is>
          <t>678304540856025153</t>
        </is>
      </c>
      <c r="I30" s="208" t="inlineStr">
        <is>
          <t>Rob</t>
        </is>
      </c>
      <c r="J30" s="209">
        <f>VLOOKUP(I30,$I$1:$R$18,2,FALSE())</f>
        <v/>
      </c>
      <c r="S30" s="208" t="inlineStr">
        <is>
          <t>Peter</t>
        </is>
      </c>
      <c r="T30" s="209">
        <f>VLOOKUP(S30,$I$1:$R$18,5,FALSE())</f>
        <v/>
      </c>
      <c r="AP30" s="208" t="inlineStr">
        <is>
          <t>Peter</t>
        </is>
      </c>
      <c r="AQ30" s="209">
        <f>VLOOKUP(AP30,$I$1:$R$18,2,FALSE()) *$AQ$15</f>
        <v/>
      </c>
      <c r="AR30" s="233">
        <f>VLOOKUP(AP30,$I$1:$R$18,3,FALSE()) *$AR$15</f>
        <v/>
      </c>
      <c r="AS30" s="234">
        <f>VLOOKUP(AP30,$I$1:$R$18,4,FALSE()) * $AS$15</f>
        <v/>
      </c>
      <c r="AT30" s="209">
        <f>VLOOKUP(AP30,$I$1:$R$18,5,FALSE()) *$AT$15</f>
        <v/>
      </c>
      <c r="AU30" s="233">
        <f>VLOOKUP(AP30,$I$1:$R$18,6,FALSE()) *$AU$15</f>
        <v/>
      </c>
      <c r="AV30" s="234">
        <f>VLOOKUP(AP30,$I$1:$R$18,7,FALSE()) * $AV$15</f>
        <v/>
      </c>
      <c r="AW30" s="209">
        <f>VLOOKUP(AP30,$I$1:$R$18,8,FALSE()) *$AW$15</f>
        <v/>
      </c>
      <c r="AX30" s="235">
        <f>VLOOKUP(AP30,$I$1:$R$18,9,FALSE()) *$AX$15</f>
        <v/>
      </c>
      <c r="AY30" s="234">
        <f>VLOOKUP(AP30,$I$1:$R$18,10,FALSE()) * $AY$15</f>
        <v/>
      </c>
      <c r="AZ30" s="236">
        <f>SUM(AQ30:AY30)</f>
        <v/>
      </c>
    </row>
    <row r="31" ht="14.25" customHeight="1" s="175">
      <c r="A31" s="254" t="inlineStr">
        <is>
          <t>Will</t>
        </is>
      </c>
      <c r="B31" s="202" t="n">
        <v>1</v>
      </c>
      <c r="C31" s="255" t="inlineStr">
        <is>
          <t>Lucy</t>
        </is>
      </c>
      <c r="D31" s="192" t="inlineStr">
        <is>
          <t>2026-01-30 19:35:21</t>
        </is>
      </c>
      <c r="E31" s="173" t="inlineStr">
        <is>
          <t>https://cdn.discordapp.com/ephemeral-attachments/1450933256630440049/1466954958590050507/IMG_1888.jpg?ex=697e9fc4&amp;is=697d4e44&amp;hm=22ed064a4da54bb126516fe908746923c4250f1b703f4167c5a8dacfb7410caa&amp;</t>
        </is>
      </c>
      <c r="F31" s="207" t="inlineStr">
        <is>
          <t>707377558940811335</t>
        </is>
      </c>
      <c r="G31" s="173" t="inlineStr">
        <is>
          <t>1021390383915204648</t>
        </is>
      </c>
      <c r="I31" s="208" t="inlineStr">
        <is>
          <t>Lucy</t>
        </is>
      </c>
      <c r="J31" s="209">
        <f>VLOOKUP(I31,$I$1:$R$18,2,FALSE())</f>
        <v/>
      </c>
      <c r="S31" s="208" t="inlineStr">
        <is>
          <t>Mikey</t>
        </is>
      </c>
      <c r="T31" s="209">
        <f>VLOOKUP(S31,$I$1:$R$18,5,FALSE())</f>
        <v/>
      </c>
      <c r="AP31" s="208" t="inlineStr">
        <is>
          <t>Reuben</t>
        </is>
      </c>
      <c r="AQ31" s="209">
        <f>VLOOKUP(AP31,$I$1:$R$18,2,FALSE()) *$AQ$15</f>
        <v/>
      </c>
      <c r="AR31" s="233">
        <f>VLOOKUP(AP31,$I$1:$R$18,3,FALSE()) *$AR$15</f>
        <v/>
      </c>
      <c r="AS31" s="234">
        <f>VLOOKUP(AP31,$I$1:$R$18,4,FALSE()) * $AS$15</f>
        <v/>
      </c>
      <c r="AT31" s="209">
        <f>VLOOKUP(AP31,$I$1:$R$18,5,FALSE()) *$AT$15</f>
        <v/>
      </c>
      <c r="AU31" s="233">
        <f>VLOOKUP(AP31,$I$1:$R$18,6,FALSE()) *$AU$15</f>
        <v/>
      </c>
      <c r="AV31" s="234">
        <f>VLOOKUP(AP31,$I$1:$R$18,7,FALSE()) * $AV$15</f>
        <v/>
      </c>
      <c r="AW31" s="209">
        <f>VLOOKUP(AP31,$I$1:$R$18,8,FALSE()) *$AW$15</f>
        <v/>
      </c>
      <c r="AX31" s="235">
        <f>VLOOKUP(AP31,$I$1:$R$18,9,FALSE()) *$AX$15</f>
        <v/>
      </c>
      <c r="AY31" s="234">
        <f>VLOOKUP(AP31,$I$1:$R$18,10,FALSE()) * $AY$15</f>
        <v/>
      </c>
      <c r="AZ31" s="236">
        <f>SUM(AQ31:AY31)</f>
        <v/>
      </c>
    </row>
    <row r="32" ht="14.25" customHeight="1" s="175">
      <c r="A32" s="254" t="inlineStr">
        <is>
          <t>Lucy</t>
        </is>
      </c>
      <c r="B32" s="202" t="n">
        <v>1</v>
      </c>
      <c r="C32" s="255" t="inlineStr">
        <is>
          <t>Will</t>
        </is>
      </c>
      <c r="D32" s="192" t="inlineStr">
        <is>
          <t>2026-01-30 19:36:21</t>
        </is>
      </c>
      <c r="E32" s="173" t="inlineStr">
        <is>
          <t>https://cdn.discordapp.com/ephemeral-attachments/1450933256630440049/1466955212412555264/20260130_193449.jpg?ex=697ea001&amp;is=697d4e81&amp;hm=fd79e0b5351c691b5f0722bd5f52fa6e637d4ba03d0cce4280a1eb160f96e1c5&amp;</t>
        </is>
      </c>
      <c r="F32" s="207" t="inlineStr">
        <is>
          <t>1021390383915204648</t>
        </is>
      </c>
      <c r="G32" s="173" t="inlineStr">
        <is>
          <t>707377558940811335</t>
        </is>
      </c>
      <c r="I32" s="208" t="inlineStr">
        <is>
          <t>Will</t>
        </is>
      </c>
      <c r="J32" s="209">
        <f>VLOOKUP(I32,$I$1:$R$18,2,FALSE())</f>
        <v/>
      </c>
      <c r="S32" s="208" t="inlineStr">
        <is>
          <t>Lucy</t>
        </is>
      </c>
      <c r="T32" s="209">
        <f>VLOOKUP(S32,$I$1:$R$18,5,FALSE())</f>
        <v/>
      </c>
    </row>
    <row r="33" ht="14.25" customHeight="1" s="175">
      <c r="A33" s="254" t="inlineStr">
        <is>
          <t>Lucy</t>
        </is>
      </c>
      <c r="B33" s="202" t="n">
        <v>1</v>
      </c>
      <c r="C33" s="255" t="inlineStr">
        <is>
          <t>Rob</t>
        </is>
      </c>
      <c r="D33" s="192" t="inlineStr">
        <is>
          <t>2026-01-30 20:17:51</t>
        </is>
      </c>
      <c r="E33" s="173" t="inlineStr">
        <is>
          <t>https://cdn.discordapp.com/ephemeral-attachments/1450933256630440049/1466965655726063812/20260130_201704.jpg?ex=697ea9bb&amp;is=697d583b&amp;hm=67c45ff04de6c23b572ecc9217c90289dc7a567e75fc9ca3df6f5668ce7ad524&amp;</t>
        </is>
      </c>
      <c r="F33" s="207" t="inlineStr">
        <is>
          <t>1021390383915204648</t>
        </is>
      </c>
      <c r="G33" s="173" t="inlineStr">
        <is>
          <t>619268961393049601</t>
        </is>
      </c>
      <c r="I33" s="208" t="inlineStr">
        <is>
          <t>Peter</t>
        </is>
      </c>
      <c r="J33" s="209">
        <f>VLOOKUP(I33,$I$1:$R$18,2,FALSE())</f>
        <v/>
      </c>
      <c r="S33" s="208" t="inlineStr">
        <is>
          <t>Rob</t>
        </is>
      </c>
      <c r="T33" s="209">
        <f>VLOOKUP(S33,$I$1:$R$18,5,FALSE())</f>
        <v/>
      </c>
      <c r="AJ33" s="246" t="n"/>
    </row>
    <row r="34" ht="14.25" customHeight="1" s="175">
      <c r="A34" s="254" t="inlineStr">
        <is>
          <t>Rob</t>
        </is>
      </c>
      <c r="B34" s="202" t="n">
        <v>1</v>
      </c>
      <c r="C34" s="255" t="inlineStr">
        <is>
          <t>Lucy</t>
        </is>
      </c>
      <c r="D34" s="192" t="inlineStr">
        <is>
          <t>2026-01-30 20:18:46</t>
        </is>
      </c>
      <c r="E34" s="173" t="inlineStr">
        <is>
          <t>https://cdn.discordapp.com/ephemeral-attachments/1450933256630440049/1466965884680536065/BC64918C-BCF2-4575-9DFA-52ECCA5E5301.jpg?ex=697ea9f1&amp;is=697d5871&amp;hm=93fab4fcaa7626ab468fe9ed02ef7cb48e276bd09a0b9b4033663fadc0f9a558&amp;</t>
        </is>
      </c>
      <c r="F34" s="207" t="inlineStr">
        <is>
          <t>619268961393049601</t>
        </is>
      </c>
      <c r="G34" s="173" t="inlineStr">
        <is>
          <t>1021390383915204648</t>
        </is>
      </c>
      <c r="I34" s="208" t="inlineStr">
        <is>
          <t>Evan</t>
        </is>
      </c>
      <c r="J34" s="209">
        <f>VLOOKUP(I34,$I$1:$R$18,2,FALSE())</f>
        <v/>
      </c>
      <c r="S34" s="208" t="inlineStr">
        <is>
          <t>Evan</t>
        </is>
      </c>
      <c r="T34" s="209">
        <f>VLOOKUP(S34,$I$1:$R$18,5,FALSE())</f>
        <v/>
      </c>
      <c r="AJ34" s="246" t="n"/>
    </row>
    <row r="35" ht="14.25" customHeight="1" s="175">
      <c r="A35" s="254" t="inlineStr">
        <is>
          <t>Will</t>
        </is>
      </c>
      <c r="B35" s="202" t="n">
        <v>2</v>
      </c>
      <c r="C35" s="255" t="inlineStr">
        <is>
          <t>Rob</t>
        </is>
      </c>
      <c r="D35" s="192" t="inlineStr">
        <is>
          <t>2026-01-30 20:25:01</t>
        </is>
      </c>
      <c r="E35" s="173" t="inlineStr">
        <is>
          <t>https://cdn.discordapp.com/ephemeral-attachments/1450933256630440049/1466967456986693815/IMG_1889.jpg?ex=697eab68&amp;is=697d59e8&amp;hm=14e096ccbee184010e9a079487d7b3e26536d77b988a090d4936fe7afb15f34c&amp;</t>
        </is>
      </c>
      <c r="F35" s="192" t="inlineStr">
        <is>
          <t>707377558940811335</t>
        </is>
      </c>
      <c r="G35" s="173" t="inlineStr">
        <is>
          <t>619268961393049601</t>
        </is>
      </c>
      <c r="I35" s="208" t="inlineStr">
        <is>
          <t>Anthony</t>
        </is>
      </c>
      <c r="J35" s="209">
        <f>VLOOKUP(I35,$I$1:$R$18,2,FALSE())</f>
        <v/>
      </c>
      <c r="S35" s="208" t="inlineStr">
        <is>
          <t>Anthony</t>
        </is>
      </c>
      <c r="T35" s="209">
        <f>VLOOKUP(S35,$I$1:$R$18,5,FALSE())</f>
        <v/>
      </c>
      <c r="AJ35" s="246" t="n"/>
      <c r="AP35" s="248" t="inlineStr">
        <is>
          <t>Person:</t>
        </is>
      </c>
      <c r="AQ35" s="249" t="inlineStr">
        <is>
          <t>Score</t>
        </is>
      </c>
      <c r="AR35" s="249" t="inlineStr">
        <is>
          <t>Adjusted</t>
        </is>
      </c>
      <c r="AS35" s="246" t="n"/>
    </row>
    <row r="36" ht="14.25" customHeight="1" s="175">
      <c r="A36" s="254" t="inlineStr">
        <is>
          <t>Will</t>
        </is>
      </c>
      <c r="B36" s="202" t="n">
        <v>2</v>
      </c>
      <c r="C36" s="255" t="inlineStr">
        <is>
          <t>Mikey</t>
        </is>
      </c>
      <c r="D36" s="192" t="inlineStr">
        <is>
          <t>2026-02-02 14:03:09</t>
        </is>
      </c>
      <c r="E36" s="173" t="inlineStr">
        <is>
          <t>https://cdn.discordapp.com/ephemeral-attachments/1450933256630440049/1467958503074172958/IMG_1909.jpg?ex=69824664&amp;is=6980f4e4&amp;hm=f8b71e54aa0c2dea916ba8d3b14ab17e809415b76e0d03a6397b2dc58b95db07&amp;</t>
        </is>
      </c>
      <c r="F36" s="207" t="inlineStr">
        <is>
          <t>707377558940811335</t>
        </is>
      </c>
      <c r="G36" s="173" t="inlineStr">
        <is>
          <t>288299360557465600</t>
        </is>
      </c>
      <c r="I36" s="208" t="inlineStr">
        <is>
          <t>Carter</t>
        </is>
      </c>
      <c r="J36" s="209">
        <f>VLOOKUP(I36,$I$1:$R$18,2,FALSE())</f>
        <v/>
      </c>
      <c r="S36" s="208" t="inlineStr">
        <is>
          <t>Carter</t>
        </is>
      </c>
      <c r="T36" s="209">
        <f>VLOOKUP(S36,$I$1:$R$18,5,FALSE())</f>
        <v/>
      </c>
      <c r="AJ36" s="246" t="n"/>
      <c r="AO36" s="250" t="inlineStr">
        <is>
          <t>Hmm maybe it's rigged</t>
        </is>
      </c>
      <c r="AP36" s="208" t="inlineStr">
        <is>
          <t>Peter</t>
        </is>
      </c>
      <c r="AQ36" s="236">
        <f>VLOOKUP(AP36,$AP$13:$AZ$31,11,FALSE())</f>
        <v/>
      </c>
      <c r="AR36" s="251">
        <f>AQ36-$AQ$51</f>
        <v/>
      </c>
      <c r="AS36" s="173" t="n">
        <v>1</v>
      </c>
    </row>
    <row r="37" ht="14.25" customHeight="1" s="175">
      <c r="A37" s="254" t="inlineStr">
        <is>
          <t>Peter</t>
        </is>
      </c>
      <c r="B37" s="202" t="n">
        <v>2</v>
      </c>
      <c r="C37" s="255" t="inlineStr">
        <is>
          <t>Cooper</t>
        </is>
      </c>
      <c r="D37" s="192" t="inlineStr">
        <is>
          <t>2026-02-02 14:45:39</t>
        </is>
      </c>
      <c r="E37" s="173" t="inlineStr">
        <is>
          <t>https://cdn.discordapp.com/ephemeral-attachments/1450933256630440049/1467969197710512303/PXL_20260202_194449365.jpg?ex=6982505a&amp;is=6980feda&amp;hm=0af2d792e9dcbd293cd892f60fbbc4c9b453b9dd013e919e5dfc35e28c985550&amp;</t>
        </is>
      </c>
      <c r="F37" s="192" t="inlineStr">
        <is>
          <t>290654652838576130</t>
        </is>
      </c>
      <c r="G37" s="173" t="inlineStr">
        <is>
          <t>688178971183153173</t>
        </is>
      </c>
      <c r="I37" s="208" t="inlineStr">
        <is>
          <t>Vignesh</t>
        </is>
      </c>
      <c r="J37" s="209">
        <f>VLOOKUP(I37,$I$1:$R$18,2,FALSE())</f>
        <v/>
      </c>
      <c r="S37" s="208" t="inlineStr">
        <is>
          <t>Vignesh</t>
        </is>
      </c>
      <c r="T37" s="209">
        <f>VLOOKUP(S37,$I$1:$R$18,5,FALSE())</f>
        <v/>
      </c>
      <c r="AJ37" s="246" t="n"/>
      <c r="AP37" s="208" t="inlineStr">
        <is>
          <t>Will</t>
        </is>
      </c>
      <c r="AQ37" s="236">
        <f>VLOOKUP(AP37,$AP$13:$AZ$31,11,FALSE())</f>
        <v/>
      </c>
      <c r="AR37" s="251">
        <f>AQ37-$AQ$51</f>
        <v/>
      </c>
      <c r="AS37" s="173" t="n">
        <v>2</v>
      </c>
    </row>
    <row r="38" ht="14.25" customHeight="1" s="175">
      <c r="A38" s="254" t="inlineStr">
        <is>
          <t>Anthony</t>
        </is>
      </c>
      <c r="B38" s="202" t="n">
        <v>1</v>
      </c>
      <c r="C38" s="255" t="inlineStr">
        <is>
          <t>Peter</t>
        </is>
      </c>
      <c r="D38" s="192" t="inlineStr">
        <is>
          <t>2026-02-02 14:45:47</t>
        </is>
      </c>
      <c r="E38" s="173" t="inlineStr">
        <is>
          <t>https://cdn.discordapp.com/ephemeral-attachments/1450933256630440049/1467969228752556155/IMG_6714.jpg?ex=69825061&amp;is=6980fee1&amp;hm=0d47feb0d4d00f15acfc502cdf3cb5f367b2b70b5f4c40becaa4b629d86cd7c1&amp;</t>
        </is>
      </c>
      <c r="F38" s="207" t="inlineStr">
        <is>
          <t>525816152161648680</t>
        </is>
      </c>
      <c r="G38" s="173" t="inlineStr">
        <is>
          <t>290654652838576130</t>
        </is>
      </c>
      <c r="I38" s="208" t="inlineStr">
        <is>
          <t>Ethan</t>
        </is>
      </c>
      <c r="J38" s="209">
        <f>VLOOKUP(I38,$I$1:$R$18,2,FALSE())</f>
        <v/>
      </c>
      <c r="S38" s="208" t="inlineStr">
        <is>
          <t>Ethan</t>
        </is>
      </c>
      <c r="T38" s="209">
        <f>VLOOKUP(S38,$I$1:$R$18,5,FALSE())</f>
        <v/>
      </c>
      <c r="AJ38" s="246" t="n"/>
      <c r="AP38" s="208" t="inlineStr">
        <is>
          <t>Carter</t>
        </is>
      </c>
      <c r="AQ38" s="236">
        <f>VLOOKUP(AP38,$AP$13:$AZ$31,11,FALSE())</f>
        <v/>
      </c>
      <c r="AR38" s="251">
        <f>AQ38-$AQ$51</f>
        <v/>
      </c>
      <c r="AS38" s="173" t="n">
        <v>3</v>
      </c>
    </row>
    <row r="39" ht="14.25" customHeight="1" s="175">
      <c r="A39" s="254" t="inlineStr">
        <is>
          <t>Peter</t>
        </is>
      </c>
      <c r="B39" s="202" t="n">
        <v>1</v>
      </c>
      <c r="C39" s="255" t="inlineStr">
        <is>
          <t>Anthony</t>
        </is>
      </c>
      <c r="D39" s="192" t="inlineStr">
        <is>
          <t>2026-02-02 14:45:52</t>
        </is>
      </c>
      <c r="E39" s="173" t="inlineStr">
        <is>
          <t>https://cdn.discordapp.com/ephemeral-attachments/1450933256630440049/1467969250227523645/PXL_20260202_194502543.jpg?ex=69825066&amp;is=6980fee6&amp;hm=7658d52728ecaba56757d8913c388dcf012e201808cbe8165dce0bd9d872e45b&amp;</t>
        </is>
      </c>
      <c r="F39" s="207" t="inlineStr">
        <is>
          <t>290654652838576130</t>
        </is>
      </c>
      <c r="G39" s="173" t="inlineStr">
        <is>
          <t>525816152161648680</t>
        </is>
      </c>
      <c r="I39" s="208" t="inlineStr">
        <is>
          <t>Maxine</t>
        </is>
      </c>
      <c r="J39" s="209">
        <f>VLOOKUP(I39,$I$1:$R$18,2,FALSE())</f>
        <v/>
      </c>
      <c r="S39" s="208" t="inlineStr">
        <is>
          <t>Maxine</t>
        </is>
      </c>
      <c r="T39" s="209">
        <f>VLOOKUP(S39,$I$1:$R$18,5,FALSE())</f>
        <v/>
      </c>
      <c r="AJ39" s="246" t="n"/>
      <c r="AP39" s="208" t="inlineStr">
        <is>
          <t>Evan</t>
        </is>
      </c>
      <c r="AQ39" s="236">
        <f>VLOOKUP(AP39,$AP$13:$AZ$31,11,FALSE())</f>
        <v/>
      </c>
      <c r="AR39" s="251">
        <f>AQ39-$AQ$51</f>
        <v/>
      </c>
      <c r="AS39" s="173" t="n">
        <v>4</v>
      </c>
    </row>
    <row r="40" ht="14.25" customHeight="1" s="175">
      <c r="A40" s="254" t="inlineStr">
        <is>
          <t>Rob</t>
        </is>
      </c>
      <c r="B40" s="202" t="n">
        <v>2</v>
      </c>
      <c r="C40" s="255" t="inlineStr">
        <is>
          <t>Reuben</t>
        </is>
      </c>
      <c r="D40" s="192" t="inlineStr">
        <is>
          <t>2026-02-02 17:05:49</t>
        </is>
      </c>
      <c r="E40" s="173" t="inlineStr">
        <is>
          <t>https://cdn.discordapp.com/ephemeral-attachments/1450933256630440049/1468004469202489526/E5BB0A1C-6047-4100-9411-CEDD0B8DED5D.jpg?ex=69827133&amp;is=69811fb3&amp;hm=8bdc04c9ed1cb562a9bd322f3b9290e2f67f65f1ffb6d3c0888fa6f4be875f5d&amp;</t>
        </is>
      </c>
      <c r="F40" s="207" t="inlineStr">
        <is>
          <t>619268961393049601</t>
        </is>
      </c>
      <c r="G40" s="173" t="inlineStr">
        <is>
          <t>689822943307759670</t>
        </is>
      </c>
      <c r="I40" s="208" t="inlineStr">
        <is>
          <t>Grady</t>
        </is>
      </c>
      <c r="J40" s="209">
        <f>VLOOKUP(I40,$I$1:$R$18,2,FALSE())</f>
        <v/>
      </c>
      <c r="S40" s="208" t="inlineStr">
        <is>
          <t>Grady</t>
        </is>
      </c>
      <c r="T40" s="209">
        <f>VLOOKUP(S40,$I$1:$R$18,5,FALSE())</f>
        <v/>
      </c>
      <c r="AJ40" s="246" t="n"/>
      <c r="AP40" s="208" t="inlineStr">
        <is>
          <t>Vignesh</t>
        </is>
      </c>
      <c r="AQ40" s="236">
        <f>VLOOKUP(AP40,$AP$13:$AZ$31,11,FALSE())</f>
        <v/>
      </c>
      <c r="AR40" s="251">
        <f>AQ40-$AQ$51</f>
        <v/>
      </c>
      <c r="AS40" s="173" t="n">
        <v>5</v>
      </c>
    </row>
    <row r="41" ht="14.25" customHeight="1" s="175">
      <c r="A41" s="254" t="inlineStr">
        <is>
          <t>Mikey</t>
        </is>
      </c>
      <c r="B41" s="202" t="n">
        <v>2</v>
      </c>
      <c r="C41" s="255" t="inlineStr">
        <is>
          <t>Rob</t>
        </is>
      </c>
      <c r="D41" s="192" t="inlineStr">
        <is>
          <t>2026-02-02 17:16:46</t>
        </is>
      </c>
      <c r="E41" s="173" t="inlineStr">
        <is>
          <t>https://cdn.discordapp.com/ephemeral-attachments/1450933256630440049/1468007226076692540/IMG_2298.jpg?ex=698273c4&amp;is=69812244&amp;hm=b198fa47e6cf0b52fcf6135f72d6274b5424233bc5a626056c76efeab7a00c8c&amp;</t>
        </is>
      </c>
      <c r="F41" s="192" t="inlineStr">
        <is>
          <t>288299360557465600</t>
        </is>
      </c>
      <c r="G41" s="173" t="inlineStr">
        <is>
          <t>619268961393049601</t>
        </is>
      </c>
      <c r="I41" s="208" t="inlineStr">
        <is>
          <t>Cooper</t>
        </is>
      </c>
      <c r="J41" s="209">
        <f>VLOOKUP(I41,$I$1:$R$18,2,FALSE())</f>
        <v/>
      </c>
      <c r="S41" s="208" t="inlineStr">
        <is>
          <t>Cooper</t>
        </is>
      </c>
      <c r="T41" s="209">
        <f>VLOOKUP(S41,$I$1:$R$18,5,FALSE())</f>
        <v/>
      </c>
      <c r="AJ41" s="246" t="n"/>
      <c r="AP41" s="208" t="inlineStr">
        <is>
          <t>Ethan</t>
        </is>
      </c>
      <c r="AQ41" s="236">
        <f>VLOOKUP(AP41,$AP$13:$AZ$31,11,FALSE())</f>
        <v/>
      </c>
      <c r="AR41" s="251">
        <f>AQ41-$AQ$51</f>
        <v/>
      </c>
      <c r="AS41" s="173" t="n">
        <v>6</v>
      </c>
    </row>
    <row r="42" ht="14.25" customHeight="1" s="175">
      <c r="A42" s="254" t="inlineStr">
        <is>
          <t>Rob</t>
        </is>
      </c>
      <c r="B42" s="202" t="n">
        <v>1</v>
      </c>
      <c r="C42" s="255" t="inlineStr">
        <is>
          <t>Mikey</t>
        </is>
      </c>
      <c r="D42" s="192" t="inlineStr">
        <is>
          <t>2026-02-02 17:17:15</t>
        </is>
      </c>
      <c r="E42" s="173" t="inlineStr">
        <is>
          <t>https://cdn.discordapp.com/ephemeral-attachments/1450933256630440049/1468007345949900912/115BA10D-B850-4F9B-AA3E-E47916468D55.jpg?ex=698273e1&amp;is=69812261&amp;hm=fcf371122c981ee21f1d690ca9dfc94491b2c66bc75b50c85df0e01bc27b4b2e&amp;</t>
        </is>
      </c>
      <c r="F42" s="207" t="inlineStr">
        <is>
          <t>619268961393049601</t>
        </is>
      </c>
      <c r="G42" s="173" t="inlineStr">
        <is>
          <t>288299360557465600</t>
        </is>
      </c>
      <c r="I42" s="208" t="inlineStr">
        <is>
          <t>Joey</t>
        </is>
      </c>
      <c r="J42" s="209">
        <f>VLOOKUP(I42,$I$1:$R$18,2,FALSE())</f>
        <v/>
      </c>
      <c r="S42" s="208" t="inlineStr">
        <is>
          <t>Joey</t>
        </is>
      </c>
      <c r="T42" s="209">
        <f>VLOOKUP(S42,$I$1:$R$18,5,FALSE())</f>
        <v/>
      </c>
      <c r="AJ42" s="246" t="n"/>
      <c r="AP42" s="208" t="inlineStr">
        <is>
          <t>Maxine</t>
        </is>
      </c>
      <c r="AQ42" s="236">
        <f>VLOOKUP(AP42,$AP$13:$AZ$31,11,FALSE())</f>
        <v/>
      </c>
      <c r="AR42" s="251">
        <f>AQ42-$AQ$51</f>
        <v/>
      </c>
      <c r="AS42" s="173" t="n">
        <v>7</v>
      </c>
    </row>
    <row r="43" ht="14.25" customHeight="1" s="175">
      <c r="A43" s="254" t="inlineStr">
        <is>
          <t>Mikey</t>
        </is>
      </c>
      <c r="B43" s="202" t="n">
        <v>1</v>
      </c>
      <c r="C43" s="255" t="inlineStr">
        <is>
          <t>Ethan</t>
        </is>
      </c>
      <c r="D43" s="192" t="inlineStr">
        <is>
          <t>2026-02-02 17:18:02</t>
        </is>
      </c>
      <c r="E43" s="173" t="inlineStr">
        <is>
          <t>https://cdn.discordapp.com/ephemeral-attachments/1450933256630440049/1468007544772497428/IMG_2299.jpg?ex=69827410&amp;is=69812290&amp;hm=729feba9dfb43c2f182f2f6b88385f3c0cd9cb7aebeb6d44f227c4c84c71af87&amp;</t>
        </is>
      </c>
      <c r="F43" s="207" t="inlineStr">
        <is>
          <t>288299360557465600</t>
        </is>
      </c>
      <c r="G43" s="173" t="inlineStr">
        <is>
          <t>423221841872814081</t>
        </is>
      </c>
      <c r="I43" s="208" t="inlineStr">
        <is>
          <t>Erick</t>
        </is>
      </c>
      <c r="J43" s="209">
        <f>VLOOKUP(I43,$I$1:$R$18,2,FALSE())</f>
        <v/>
      </c>
      <c r="S43" s="208" t="inlineStr">
        <is>
          <t>Erick</t>
        </is>
      </c>
      <c r="T43" s="209">
        <f>VLOOKUP(S43,$I$1:$R$18,5,FALSE())</f>
        <v/>
      </c>
      <c r="AJ43" s="246" t="n"/>
      <c r="AP43" s="208" t="inlineStr">
        <is>
          <t>Lucy</t>
        </is>
      </c>
      <c r="AQ43" s="236">
        <f>VLOOKUP(AP43,$AP$13:$AZ$31,11,FALSE())</f>
        <v/>
      </c>
      <c r="AR43" s="251">
        <f>AQ43-$AQ$51</f>
        <v/>
      </c>
      <c r="AS43" s="173" t="n">
        <v>8</v>
      </c>
    </row>
    <row r="44" ht="14.25" customHeight="1" s="175">
      <c r="A44" s="254" t="inlineStr">
        <is>
          <t>Rob</t>
        </is>
      </c>
      <c r="B44" s="202" t="n">
        <v>1</v>
      </c>
      <c r="C44" s="255" t="inlineStr">
        <is>
          <t>Ethan</t>
        </is>
      </c>
      <c r="D44" s="192" t="inlineStr">
        <is>
          <t>2026-02-02 17:18:17</t>
        </is>
      </c>
      <c r="E44" s="173" t="inlineStr">
        <is>
          <t>https://cdn.discordapp.com/ephemeral-attachments/1450933256630440049/1468007608190242977/IMG_3698.jpg?ex=69827420&amp;is=698122a0&amp;hm=c8160d7a5669a9dfa7393a19704ff0acbd7b66ce33ca1325d596a40a7f13c065&amp;</t>
        </is>
      </c>
      <c r="F44" s="207" t="inlineStr">
        <is>
          <t>619268961393049601</t>
        </is>
      </c>
      <c r="G44" s="173" t="inlineStr">
        <is>
          <t>423221841872814081</t>
        </is>
      </c>
      <c r="I44" s="208" t="inlineStr">
        <is>
          <t>Reuben</t>
        </is>
      </c>
      <c r="J44" s="209">
        <f>VLOOKUP(I44,$I$1:$R$18,2,FALSE())</f>
        <v/>
      </c>
      <c r="S44" s="208" t="inlineStr">
        <is>
          <t>Reuben</t>
        </is>
      </c>
      <c r="T44" s="209">
        <f>VLOOKUP(S44,$I$1:$R$18,5,FALSE())</f>
        <v/>
      </c>
      <c r="AJ44" s="246" t="n"/>
      <c r="AP44" s="208" t="inlineStr">
        <is>
          <t>Mikey</t>
        </is>
      </c>
      <c r="AQ44" s="236">
        <f>VLOOKUP(AP44,$AP$13:$AZ$31,11,FALSE())</f>
        <v/>
      </c>
      <c r="AR44" s="251">
        <f>AQ44-$AQ$51</f>
        <v/>
      </c>
      <c r="AS44" s="173" t="n">
        <v>9</v>
      </c>
    </row>
    <row r="45" ht="14.25" customHeight="1" s="175">
      <c r="A45" s="254" t="inlineStr">
        <is>
          <t>Ethan</t>
        </is>
      </c>
      <c r="B45" s="202" t="n">
        <v>2</v>
      </c>
      <c r="C45" s="255" t="inlineStr">
        <is>
          <t>Mikey</t>
        </is>
      </c>
      <c r="D45" s="192" t="inlineStr">
        <is>
          <t>2026-02-02 17:18:43</t>
        </is>
      </c>
      <c r="E45" s="173" t="inlineStr">
        <is>
          <t>https://cdn.discordapp.com/ephemeral-attachments/1450933256630440049/1468007714268643501/20260202_171722.jpg?ex=69827439&amp;is=698122b9&amp;hm=148fd8e8395361425897936aac9b599c4272de2bca688597a281d6bbf33b127d&amp;</t>
        </is>
      </c>
      <c r="F45" s="192" t="inlineStr">
        <is>
          <t>423221841872814081</t>
        </is>
      </c>
      <c r="G45" s="173" t="inlineStr">
        <is>
          <t>288299360557465600</t>
        </is>
      </c>
      <c r="AJ45" s="246" t="n"/>
      <c r="AP45" s="208" t="inlineStr">
        <is>
          <t>Rob</t>
        </is>
      </c>
      <c r="AQ45" s="236">
        <f>VLOOKUP(AP45,$AP$13:$AZ$31,11,FALSE())</f>
        <v/>
      </c>
      <c r="AR45" s="251">
        <f>AQ45-$AQ$51</f>
        <v/>
      </c>
      <c r="AS45" s="173" t="n">
        <v>10</v>
      </c>
    </row>
    <row r="46" ht="14.25" customHeight="1" s="175">
      <c r="A46" s="254" t="inlineStr">
        <is>
          <t>Ethan</t>
        </is>
      </c>
      <c r="B46" s="202" t="n">
        <v>2</v>
      </c>
      <c r="C46" s="255" t="inlineStr">
        <is>
          <t>Rob</t>
        </is>
      </c>
      <c r="D46" s="192" t="inlineStr">
        <is>
          <t>2026-02-02 17:19:43</t>
        </is>
      </c>
      <c r="E46" s="173" t="inlineStr">
        <is>
          <t>https://cdn.discordapp.com/ephemeral-attachments/1450933256630440049/1468007966287335606/20260202_171722.jpg?ex=69827475&amp;is=698122f5&amp;hm=906e89582ef5b8241ed030c186c0bf4b5e7e9dcd24b1be47cf5d7c0d5c8e66e6&amp;</t>
        </is>
      </c>
      <c r="F46" s="207" t="inlineStr">
        <is>
          <t>423221841872814081</t>
        </is>
      </c>
      <c r="G46" s="173" t="inlineStr">
        <is>
          <t>619268961393049601</t>
        </is>
      </c>
      <c r="I46" s="208" t="inlineStr">
        <is>
          <t>Person:</t>
        </is>
      </c>
      <c r="J46" s="216" t="inlineStr">
        <is>
          <t>Deaths</t>
        </is>
      </c>
      <c r="S46" s="208" t="inlineStr">
        <is>
          <t>Person:</t>
        </is>
      </c>
      <c r="T46" s="216" t="inlineStr">
        <is>
          <t>Death Points</t>
        </is>
      </c>
      <c r="AP46" s="208" t="inlineStr">
        <is>
          <t>Anthony</t>
        </is>
      </c>
      <c r="AQ46" s="236">
        <f>VLOOKUP(AP46,$AP$13:$AZ$31,11,FALSE())</f>
        <v/>
      </c>
      <c r="AR46" s="251">
        <f>AQ46-$AQ$51</f>
        <v/>
      </c>
      <c r="AS46" s="173" t="n">
        <v>11</v>
      </c>
    </row>
    <row r="47" ht="14.25" customHeight="1" s="175">
      <c r="A47" s="254" t="inlineStr">
        <is>
          <t>Rob</t>
        </is>
      </c>
      <c r="B47" s="202" t="n">
        <v>1</v>
      </c>
      <c r="C47" s="255" t="inlineStr">
        <is>
          <t>Anthony</t>
        </is>
      </c>
      <c r="D47" s="192" t="inlineStr">
        <is>
          <t>2026-02-02 17:31:38</t>
        </is>
      </c>
      <c r="E47" s="173" t="inlineStr">
        <is>
          <t>https://cdn.discordapp.com/ephemeral-attachments/1450933256630440049/1468010966573777099/IMG_3699.jpg?ex=69827740&amp;is=698125c0&amp;hm=ece5ea47ff777526424e0e5506187200dd59e70e57edf1c43972c6ec82bf2027&amp;</t>
        </is>
      </c>
      <c r="F47" s="207" t="inlineStr">
        <is>
          <t>619268961393049601</t>
        </is>
      </c>
      <c r="G47" s="173" t="inlineStr">
        <is>
          <t>525816152161648680</t>
        </is>
      </c>
      <c r="I47" s="208" t="inlineStr">
        <is>
          <t>Mikey</t>
        </is>
      </c>
      <c r="J47" s="209">
        <f>VLOOKUP(I47,$I$1:$R$18,3,FALSE())</f>
        <v/>
      </c>
      <c r="S47" s="208" t="inlineStr">
        <is>
          <t>Mikey</t>
        </is>
      </c>
      <c r="T47" s="209">
        <f>VLOOKUP(S47,$I$1:$R$18,6,FALSE())</f>
        <v/>
      </c>
      <c r="AP47" s="208" t="inlineStr">
        <is>
          <t>Grady</t>
        </is>
      </c>
      <c r="AQ47" s="236">
        <f>VLOOKUP(AP47,$AP$13:$AZ$31,11,FALSE())</f>
        <v/>
      </c>
      <c r="AR47" s="251">
        <f>AQ47-$AQ$51</f>
        <v/>
      </c>
      <c r="AS47" s="173" t="n">
        <v>12</v>
      </c>
    </row>
    <row r="48" ht="14.25" customHeight="1" s="175">
      <c r="A48" s="254" t="inlineStr">
        <is>
          <t>Ethan</t>
        </is>
      </c>
      <c r="B48" s="202" t="n">
        <v>1</v>
      </c>
      <c r="C48" s="255" t="inlineStr">
        <is>
          <t>Anthony</t>
        </is>
      </c>
      <c r="D48" s="192" t="inlineStr">
        <is>
          <t>2026-02-02 17:32:00</t>
        </is>
      </c>
      <c r="E48" s="173" t="inlineStr">
        <is>
          <t>https://cdn.discordapp.com/ephemeral-attachments/1450933256630440049/1468011055732232316/20260202_173103.jpg?ex=69827756&amp;is=698125d6&amp;hm=a4fe194afe9cf1ae503a7708c16af9facb0851130ccf07a5472e4b4d8b463b3d&amp;</t>
        </is>
      </c>
      <c r="F48" s="207" t="inlineStr">
        <is>
          <t>423221841872814081</t>
        </is>
      </c>
      <c r="G48" s="173" t="inlineStr">
        <is>
          <t>525816152161648680</t>
        </is>
      </c>
      <c r="I48" s="208" t="inlineStr">
        <is>
          <t>Rob</t>
        </is>
      </c>
      <c r="J48" s="209">
        <f>VLOOKUP(I48,$I$1:$R$18,3,FALSE())</f>
        <v/>
      </c>
      <c r="S48" s="208" t="inlineStr">
        <is>
          <t>Rob</t>
        </is>
      </c>
      <c r="T48" s="209">
        <f>VLOOKUP(S48,$I$1:$R$18,6,FALSE())</f>
        <v/>
      </c>
      <c r="AP48" s="208" t="inlineStr">
        <is>
          <t>Joey</t>
        </is>
      </c>
      <c r="AQ48" s="236">
        <f>VLOOKUP(AP48,$AP$13:$AZ$31,11,FALSE())</f>
        <v/>
      </c>
      <c r="AR48" s="251">
        <f>AQ48-$AQ$51</f>
        <v/>
      </c>
      <c r="AS48" s="173" t="n">
        <v>13</v>
      </c>
    </row>
    <row r="49" ht="14.25" customHeight="1" s="175">
      <c r="A49" s="254" t="inlineStr">
        <is>
          <t>Mikey</t>
        </is>
      </c>
      <c r="B49" s="202" t="n">
        <v>1</v>
      </c>
      <c r="C49" s="255" t="inlineStr">
        <is>
          <t>Anthony</t>
        </is>
      </c>
      <c r="D49" s="192" t="inlineStr">
        <is>
          <t>2026-02-02 17:32:03</t>
        </is>
      </c>
      <c r="E49" s="173" t="inlineStr">
        <is>
          <t>https://cdn.discordapp.com/ephemeral-attachments/1450933256630440049/1468011062929654013/IMG_2300.jpg?ex=69827757&amp;is=698125d7&amp;hm=3d5e61c5d40c6191b92158799e735be855faf36ad0b8d417427f0fcc20d5aa19&amp;</t>
        </is>
      </c>
      <c r="F49" s="207" t="inlineStr">
        <is>
          <t>288299360557465600</t>
        </is>
      </c>
      <c r="G49" s="173" t="inlineStr">
        <is>
          <t>525816152161648680</t>
        </is>
      </c>
      <c r="I49" s="208" t="inlineStr">
        <is>
          <t>Lucy</t>
        </is>
      </c>
      <c r="J49" s="209">
        <f>VLOOKUP(I49,$I$1:$R$18,3,FALSE())</f>
        <v/>
      </c>
      <c r="S49" s="208" t="inlineStr">
        <is>
          <t>Lucy</t>
        </is>
      </c>
      <c r="T49" s="209">
        <f>VLOOKUP(S49,$I$1:$R$18,6,FALSE())</f>
        <v/>
      </c>
      <c r="AP49" s="208" t="inlineStr">
        <is>
          <t>Erick</t>
        </is>
      </c>
      <c r="AQ49" s="236">
        <f>VLOOKUP(AP49,$AP$13:$AZ$31,11,FALSE())</f>
        <v/>
      </c>
      <c r="AR49" s="251">
        <f>AQ49-$AQ$51</f>
        <v/>
      </c>
      <c r="AS49" s="173" t="n">
        <v>14</v>
      </c>
    </row>
    <row r="50" ht="14.25" customHeight="1" s="175">
      <c r="A50" s="254" t="inlineStr">
        <is>
          <t>Evan</t>
        </is>
      </c>
      <c r="B50" s="202" t="n">
        <v>1</v>
      </c>
      <c r="C50" s="255" t="inlineStr">
        <is>
          <t>Anthony</t>
        </is>
      </c>
      <c r="D50" s="192" t="inlineStr">
        <is>
          <t>2026-02-03 10:43:37</t>
        </is>
      </c>
      <c r="E50" s="173" t="inlineStr">
        <is>
          <t>https://cdn.discordapp.com/ephemeral-attachments/1450933256630440049/1468270662958321735/20260203_104252.jpg?ex=6983691d&amp;is=6982179d&amp;hm=fb5ce47fe3e6a68d17b751925db8733c09f35503b0892c51665d8d738d2959bd&amp;</t>
        </is>
      </c>
      <c r="F50" s="207" t="inlineStr">
        <is>
          <t>310453864866512907</t>
        </is>
      </c>
      <c r="G50" s="173" t="inlineStr">
        <is>
          <t>525816152161648680</t>
        </is>
      </c>
      <c r="I50" s="208" t="inlineStr">
        <is>
          <t>Anthony</t>
        </is>
      </c>
      <c r="J50" s="209">
        <f>VLOOKUP(I50,$I$1:$R$18,3,FALSE())</f>
        <v/>
      </c>
      <c r="S50" s="208" t="inlineStr">
        <is>
          <t>Anthony</t>
        </is>
      </c>
      <c r="T50" s="209">
        <f>VLOOKUP(S50,$I$1:$R$18,6,FALSE())</f>
        <v/>
      </c>
      <c r="AO50" s="250" t="inlineStr">
        <is>
          <t>Best fodder</t>
        </is>
      </c>
      <c r="AP50" s="208" t="inlineStr">
        <is>
          <t>Cooper</t>
        </is>
      </c>
      <c r="AQ50" s="236">
        <f>VLOOKUP(AP50,$AP$13:$AZ$31,11,FALSE())</f>
        <v/>
      </c>
      <c r="AR50" s="251">
        <f>AQ50-$AQ$51</f>
        <v/>
      </c>
      <c r="AS50" s="173" t="n">
        <v>15</v>
      </c>
    </row>
    <row r="51" ht="14.25" customHeight="1" s="175">
      <c r="A51" s="254" t="inlineStr">
        <is>
          <t>Anthony</t>
        </is>
      </c>
      <c r="B51" s="202" t="n">
        <v>1</v>
      </c>
      <c r="C51" s="255" t="inlineStr">
        <is>
          <t>Evan</t>
        </is>
      </c>
      <c r="D51" s="192" t="inlineStr">
        <is>
          <t>2026-02-03 10:44:43</t>
        </is>
      </c>
      <c r="E51" s="173" t="inlineStr">
        <is>
          <t>https://cdn.discordapp.com/ephemeral-attachments/1450933256630440049/1468270939845427353/IMG_6735.jpg?ex=6983695f&amp;is=698217df&amp;hm=417dfedb11c65b9225eb0ce38f49a45ec2a751c57729a8dbd86cbf080923ae79&amp;</t>
        </is>
      </c>
      <c r="F51" s="207" t="inlineStr">
        <is>
          <t>525816152161648680</t>
        </is>
      </c>
      <c r="G51" s="173" t="inlineStr">
        <is>
          <t>310453864866512907</t>
        </is>
      </c>
      <c r="I51" s="208" t="inlineStr">
        <is>
          <t>Reuben</t>
        </is>
      </c>
      <c r="J51" s="209">
        <f>VLOOKUP(I51,$I$1:$R$18,3,FALSE())</f>
        <v/>
      </c>
      <c r="S51" s="208" t="inlineStr">
        <is>
          <t>Reuben</t>
        </is>
      </c>
      <c r="T51" s="209">
        <f>VLOOKUP(S51,$I$1:$R$18,6,FALSE())</f>
        <v/>
      </c>
      <c r="AO51" s="250" t="inlineStr">
        <is>
          <t>Same as it ever was</t>
        </is>
      </c>
      <c r="AP51" s="208" t="inlineStr">
        <is>
          <t>Reuben</t>
        </is>
      </c>
      <c r="AQ51" s="236">
        <f>VLOOKUP(AP51,$AP$13:$AZ$31,11,FALSE())</f>
        <v/>
      </c>
      <c r="AR51" s="251">
        <f>AQ51-$AQ$51</f>
        <v/>
      </c>
      <c r="AS51" s="173" t="n">
        <v>16</v>
      </c>
    </row>
    <row r="52" ht="14.25" customHeight="1" s="175">
      <c r="A52" s="254" t="inlineStr">
        <is>
          <t>Ethan</t>
        </is>
      </c>
      <c r="B52" s="202" t="n">
        <v>2</v>
      </c>
      <c r="C52" s="255" t="inlineStr">
        <is>
          <t>Will</t>
        </is>
      </c>
      <c r="D52" s="192" t="inlineStr">
        <is>
          <t>2026-02-04 09:56:24</t>
        </is>
      </c>
      <c r="E52" s="173" t="inlineStr">
        <is>
          <t>https://cdn.discordapp.com/ephemeral-attachments/1450933256630440049/1468621152057295003/20260204_095453.jpg?ex=6984af88&amp;is=69835e08&amp;hm=f5e67bf856db730c995110685842d1ae3c73b32e9ca1056d6ecde16d3fa229c2&amp;</t>
        </is>
      </c>
      <c r="F52" s="207" t="inlineStr">
        <is>
          <t>423221841872814081</t>
        </is>
      </c>
      <c r="G52" s="173" t="inlineStr">
        <is>
          <t>707377558940811335</t>
        </is>
      </c>
      <c r="I52" s="208" t="inlineStr">
        <is>
          <t>Evan</t>
        </is>
      </c>
      <c r="J52" s="209">
        <f>VLOOKUP(I52,$I$1:$R$18,3,FALSE())</f>
        <v/>
      </c>
      <c r="S52" s="208" t="inlineStr">
        <is>
          <t>Evan</t>
        </is>
      </c>
      <c r="T52" s="209">
        <f>VLOOKUP(S52,$I$1:$R$18,6,FALSE())</f>
        <v/>
      </c>
    </row>
    <row r="53" ht="14.25" customHeight="1" s="175">
      <c r="A53" s="254" t="inlineStr">
        <is>
          <t>Vignesh</t>
        </is>
      </c>
      <c r="B53" s="202" t="n">
        <v>2</v>
      </c>
      <c r="C53" s="255" t="inlineStr">
        <is>
          <t>Lucy</t>
        </is>
      </c>
      <c r="D53" s="192" t="inlineStr">
        <is>
          <t>2026-02-04 14:04:15</t>
        </is>
      </c>
      <c r="E53" s="173" t="inlineStr">
        <is>
          <t>https://cdn.discordapp.com/ephemeral-attachments/1450933256630440049/1468683524008841338/IMG20260204140307.jpg?ex=6984e99e&amp;is=6983981e&amp;hm=99c010cc9410587d569bfc375ea6be5ba87184e0b22617c49dca40b4c9284177&amp;</t>
        </is>
      </c>
      <c r="F53" s="207" t="inlineStr">
        <is>
          <t>483162151046086657</t>
        </is>
      </c>
      <c r="G53" s="173" t="inlineStr">
        <is>
          <t>1021390383915204648</t>
        </is>
      </c>
      <c r="I53" s="208" t="inlineStr">
        <is>
          <t>Will</t>
        </is>
      </c>
      <c r="J53" s="209">
        <f>VLOOKUP(I53,$I$1:$R$18,3,FALSE())</f>
        <v/>
      </c>
      <c r="S53" s="208" t="inlineStr">
        <is>
          <t>Will</t>
        </is>
      </c>
      <c r="T53" s="209">
        <f>VLOOKUP(S53,$I$1:$R$18,6,FALSE())</f>
        <v/>
      </c>
    </row>
    <row r="54" ht="14.25" customHeight="1" s="175">
      <c r="A54" s="254" t="inlineStr">
        <is>
          <t>Peter</t>
        </is>
      </c>
      <c r="B54" s="202" t="n">
        <v>2</v>
      </c>
      <c r="C54" s="255" t="inlineStr">
        <is>
          <t>Lucy</t>
        </is>
      </c>
      <c r="D54" s="192" t="inlineStr">
        <is>
          <t>2026-02-04 14:50:56</t>
        </is>
      </c>
      <c r="E54" s="173" t="inlineStr">
        <is>
          <t>https://cdn.discordapp.com/ephemeral-attachments/1450933256630440049/1468695266986295347/PXL_20260204_194954045.jpg?ex=6984f48e&amp;is=6983a30e&amp;hm=d9d92ebd01a0f68cb17a9eb744ca5a3f8f6fa6461f8d461d3a4145384f96af0d&amp;</t>
        </is>
      </c>
      <c r="F54" s="207" t="inlineStr">
        <is>
          <t>290654652838576130</t>
        </is>
      </c>
      <c r="G54" s="173" t="inlineStr">
        <is>
          <t>1021390383915204648</t>
        </is>
      </c>
      <c r="I54" s="208" t="inlineStr">
        <is>
          <t>Vignesh</t>
        </is>
      </c>
      <c r="J54" s="209">
        <f>VLOOKUP(I54,$I$1:$R$18,3,FALSE())</f>
        <v/>
      </c>
      <c r="S54" s="208" t="inlineStr">
        <is>
          <t>Ethan</t>
        </is>
      </c>
      <c r="T54" s="209">
        <f>VLOOKUP(S54,$I$1:$R$18,6,FALSE())</f>
        <v/>
      </c>
    </row>
    <row r="55" ht="14.25" customHeight="1" s="175">
      <c r="A55" s="254" t="inlineStr">
        <is>
          <t>Lucy</t>
        </is>
      </c>
      <c r="B55" s="202" t="n">
        <v>2</v>
      </c>
      <c r="C55" s="255" t="inlineStr">
        <is>
          <t>Anthony</t>
        </is>
      </c>
      <c r="D55" s="192" t="inlineStr">
        <is>
          <t>2026-02-04 16:12:44</t>
        </is>
      </c>
      <c r="E55" s="173" t="inlineStr">
        <is>
          <t>https://cdn.discordapp.com/ephemeral-attachments/1450933256630440049/1468715854597460021/20260204_161156.jpg?ex=698507bb&amp;is=6983b63b&amp;hm=32013d5dc72a30d958138f617d39eb88cda5ea09d2d5ae8faa2b6d41e7c506bf&amp;</t>
        </is>
      </c>
      <c r="F55" s="207" t="inlineStr">
        <is>
          <t>1021390383915204648</t>
        </is>
      </c>
      <c r="G55" s="173" t="inlineStr">
        <is>
          <t>525816152161648680</t>
        </is>
      </c>
      <c r="I55" s="208" t="inlineStr">
        <is>
          <t>Ethan</t>
        </is>
      </c>
      <c r="J55" s="209">
        <f>VLOOKUP(I55,$I$1:$R$18,3,FALSE())</f>
        <v/>
      </c>
      <c r="S55" s="208" t="inlineStr">
        <is>
          <t>Vignesh</t>
        </is>
      </c>
      <c r="T55" s="209">
        <f>VLOOKUP(S55,$I$1:$R$18,6,FALSE())</f>
        <v/>
      </c>
      <c r="AP55" s="246" t="n"/>
      <c r="AQ55" s="246" t="n"/>
      <c r="AR55" s="246" t="n"/>
    </row>
    <row r="56" ht="14.25" customHeight="1" s="175">
      <c r="A56" s="254" t="inlineStr">
        <is>
          <t>Vignesh</t>
        </is>
      </c>
      <c r="B56" s="202" t="n">
        <v>2</v>
      </c>
      <c r="C56" s="255" t="inlineStr">
        <is>
          <t>Reuben</t>
        </is>
      </c>
      <c r="D56" s="192" t="inlineStr">
        <is>
          <t>2026-02-05 10:21:34</t>
        </is>
      </c>
      <c r="E56" s="173" t="inlineStr">
        <is>
          <t>https://cdn.discordapp.com/ephemeral-attachments/1450933256630440049/1468989929676865577/IMG20260205101725.jpg?ex=698606fb&amp;is=6984b57b&amp;hm=6e074e92a0ea2f20b148e90f18c6d1f5b08abbcf1906a5f53726defc6bf69b22&amp;</t>
        </is>
      </c>
      <c r="F56" s="207" t="inlineStr">
        <is>
          <t>483162151046086657</t>
        </is>
      </c>
      <c r="G56" s="173" t="inlineStr">
        <is>
          <t>689822943307759670</t>
        </is>
      </c>
      <c r="I56" s="208" t="inlineStr">
        <is>
          <t>Carter</t>
        </is>
      </c>
      <c r="J56" s="209">
        <f>VLOOKUP(I56,$I$1:$R$18,3,FALSE())</f>
        <v/>
      </c>
      <c r="S56" s="208" t="inlineStr">
        <is>
          <t>Carter</t>
        </is>
      </c>
      <c r="T56" s="209">
        <f>VLOOKUP(S56,$I$1:$R$18,6,FALSE())</f>
        <v/>
      </c>
      <c r="AP56" s="179" t="inlineStr">
        <is>
          <t>Overall Part Winner Chart Decision Matrix</t>
        </is>
      </c>
      <c r="AQ56" s="180" t="n"/>
      <c r="AR56" s="180" t="n"/>
      <c r="AS56" s="180" t="n"/>
      <c r="AT56" s="180" t="n"/>
      <c r="AU56" s="180" t="n"/>
      <c r="AV56" s="180" t="n"/>
      <c r="AW56" s="180" t="n"/>
      <c r="AX56" s="181" t="n"/>
    </row>
    <row r="57" ht="14.25" customHeight="1" s="175">
      <c r="A57" s="254" t="inlineStr">
        <is>
          <t>Mikey</t>
        </is>
      </c>
      <c r="B57" s="202" t="n">
        <v>1</v>
      </c>
      <c r="C57" s="255" t="inlineStr">
        <is>
          <t>Rob</t>
        </is>
      </c>
      <c r="D57" s="173" t="inlineStr">
        <is>
          <t>2026-02-07 23:10:16</t>
        </is>
      </c>
      <c r="E57" s="173" t="inlineStr">
        <is>
          <t>https://cdn.discordapp.com/ephemeral-attachments/1450933256630440049/1469908130992357477/IMG_2334.jpg?ex=69895e20&amp;is=69880ca0&amp;hm=2240f18a968b3750d286092b91c6d087002edb5d794318919972888d7a8c2177&amp;</t>
        </is>
      </c>
      <c r="F57" s="173" t="inlineStr">
        <is>
          <t>288299360557465600</t>
        </is>
      </c>
      <c r="G57" s="173" t="inlineStr">
        <is>
          <t>619268961393049601</t>
        </is>
      </c>
      <c r="I57" s="208" t="inlineStr">
        <is>
          <t>Peter</t>
        </is>
      </c>
      <c r="J57" s="209">
        <f>VLOOKUP(I57,$I$1:$R$18,3,FALSE())</f>
        <v/>
      </c>
      <c r="S57" s="208" t="inlineStr">
        <is>
          <t>Cooper</t>
        </is>
      </c>
      <c r="T57" s="209">
        <f>VLOOKUP(S57,$I$1:$R$18,6,FALSE())</f>
        <v/>
      </c>
      <c r="AP57" s="252" t="inlineStr">
        <is>
          <t>MATRIX</t>
        </is>
      </c>
      <c r="AQ57" s="253" t="inlineStr">
        <is>
          <t>Kills</t>
        </is>
      </c>
      <c r="AR57" s="253" t="inlineStr">
        <is>
          <t>Deaths</t>
        </is>
      </c>
      <c r="AS57" s="253" t="inlineStr">
        <is>
          <t>KDR</t>
        </is>
      </c>
      <c r="AT57" s="253" t="inlineStr">
        <is>
          <t>Kill Points</t>
        </is>
      </c>
      <c r="AU57" s="253" t="inlineStr">
        <is>
          <t>Death Points</t>
        </is>
      </c>
      <c r="AV57" s="253" t="inlineStr">
        <is>
          <t>KpDpR</t>
        </is>
      </c>
      <c r="AW57" s="253" t="inlineStr">
        <is>
          <t>KPts/Kill</t>
        </is>
      </c>
      <c r="AX57" s="253" t="inlineStr">
        <is>
          <t>DPts/Death</t>
        </is>
      </c>
    </row>
    <row r="58" ht="14.25" customHeight="1" s="175">
      <c r="A58" s="254" t="inlineStr">
        <is>
          <t>Rob</t>
        </is>
      </c>
      <c r="B58" s="202" t="n">
        <v>1</v>
      </c>
      <c r="C58" s="255" t="inlineStr">
        <is>
          <t>Mikey</t>
        </is>
      </c>
      <c r="D58" s="173" t="inlineStr">
        <is>
          <t>2026-02-07 23:11:17</t>
        </is>
      </c>
      <c r="E58" s="173" t="inlineStr">
        <is>
          <t>https://cdn.discordapp.com/ephemeral-attachments/1450933256630440049/1469908387776041056/IMG_3725.jpg?ex=69895e5d&amp;is=69880cdd&amp;hm=42fa55393d21fe8b8872520fac750fb134815c06434b5b4e19009f5018c44ff6&amp;</t>
        </is>
      </c>
      <c r="F58" s="173" t="inlineStr">
        <is>
          <t>619268961393049601</t>
        </is>
      </c>
      <c r="G58" s="173" t="inlineStr">
        <is>
          <t>288299360557465600</t>
        </is>
      </c>
      <c r="I58" s="208" t="inlineStr">
        <is>
          <t>Cooper</t>
        </is>
      </c>
      <c r="J58" s="209">
        <f>VLOOKUP(I58,$I$1:$R$18,3,FALSE())</f>
        <v/>
      </c>
      <c r="S58" s="208" t="inlineStr">
        <is>
          <t>Peter</t>
        </is>
      </c>
      <c r="T58" s="209">
        <f>VLOOKUP(S58,$I$1:$R$18,6,FALSE())</f>
        <v/>
      </c>
      <c r="AP58" s="208" t="inlineStr">
        <is>
          <t>Weight:</t>
        </is>
      </c>
      <c r="AQ58" s="229" t="n">
        <v>7.5</v>
      </c>
      <c r="AR58" s="230" t="n">
        <v>-6</v>
      </c>
      <c r="AS58" s="230" t="n">
        <v>25</v>
      </c>
      <c r="AT58" s="230" t="n">
        <v>8.5</v>
      </c>
      <c r="AU58" s="230" t="n">
        <v>-6.5</v>
      </c>
      <c r="AV58" s="230" t="n">
        <v>25</v>
      </c>
      <c r="AW58" s="230" t="n">
        <v>20</v>
      </c>
      <c r="AX58" s="230" t="n">
        <v>-20</v>
      </c>
      <c r="AY58" s="216" t="inlineStr">
        <is>
          <t>Totals:</t>
        </is>
      </c>
    </row>
    <row r="59" ht="14.25" customHeight="1" s="175">
      <c r="A59" s="254" t="inlineStr">
        <is>
          <t>Peter</t>
        </is>
      </c>
      <c r="B59" s="202" t="n">
        <v>2</v>
      </c>
      <c r="C59" s="255" t="inlineStr">
        <is>
          <t>Grady</t>
        </is>
      </c>
      <c r="D59" s="173" t="inlineStr">
        <is>
          <t>2026-02-09 09:56:07</t>
        </is>
      </c>
      <c r="E59" s="173" t="inlineStr">
        <is>
          <t>https://cdn.discordapp.com/ephemeral-attachments/1450933256630440049/1470433072251011112/PXL_20260209_145519035.jpg?ex=698b4703&amp;is=6989f583&amp;hm=f605092ae86f1b02288806188da34499d3cced1f575f92ecfa2c90c621d9ba2d&amp;</t>
        </is>
      </c>
      <c r="F59" s="173" t="inlineStr">
        <is>
          <t>290654652838576130</t>
        </is>
      </c>
      <c r="G59" s="173" t="inlineStr">
        <is>
          <t>678304540856025153</t>
        </is>
      </c>
      <c r="I59" s="208" t="inlineStr">
        <is>
          <t>Maxine</t>
        </is>
      </c>
      <c r="J59" s="209">
        <f>VLOOKUP(I59,$I$1:$R$18,3,FALSE())</f>
        <v/>
      </c>
      <c r="S59" s="208" t="inlineStr">
        <is>
          <t>Grady</t>
        </is>
      </c>
      <c r="T59" s="209">
        <f>VLOOKUP(S59,$I$1:$R$18,6,FALSE())</f>
        <v/>
      </c>
      <c r="AP59" s="226" t="inlineStr">
        <is>
          <t>Tenors</t>
        </is>
      </c>
      <c r="AQ59" s="210">
        <f>J22*$AQ$58</f>
        <v/>
      </c>
      <c r="AR59" s="210">
        <f>K22*$AR$58</f>
        <v/>
      </c>
      <c r="AS59" s="210">
        <f>L22*$AS$58</f>
        <v/>
      </c>
      <c r="AT59" s="210">
        <f>M22*$AT$58</f>
        <v/>
      </c>
      <c r="AU59" s="210">
        <f>N22*$AU$58</f>
        <v/>
      </c>
      <c r="AV59" s="210">
        <f>O22*$AV$58</f>
        <v/>
      </c>
      <c r="AW59" s="210">
        <f>P22*$AW$58</f>
        <v/>
      </c>
      <c r="AX59" s="210">
        <f>Q22*$AX$58</f>
        <v/>
      </c>
      <c r="AY59" s="210">
        <f>SUM(AQ59:AX59)</f>
        <v/>
      </c>
    </row>
    <row r="60" ht="14.25" customHeight="1" s="175">
      <c r="A60" s="254" t="inlineStr">
        <is>
          <t>Anthony</t>
        </is>
      </c>
      <c r="B60" s="202" t="n">
        <v>2</v>
      </c>
      <c r="C60" s="255" t="inlineStr">
        <is>
          <t>Evan</t>
        </is>
      </c>
      <c r="D60" s="173" t="inlineStr">
        <is>
          <t>2026-02-09 11:45:01</t>
        </is>
      </c>
      <c r="E60" s="173" t="inlineStr">
        <is>
          <t>https://cdn.discordapp.com/ephemeral-attachments/1450933256630440049/1470460478110306407/IMG_6754.jpg?ex=698b6089&amp;is=698a0f09&amp;hm=bfafbfe724e099daa29de117003c79d19256421771381b190b823a05bd01a810&amp;</t>
        </is>
      </c>
      <c r="F60" s="173" t="inlineStr">
        <is>
          <t>525816152161648680</t>
        </is>
      </c>
      <c r="G60" s="173" t="inlineStr">
        <is>
          <t>310453864866512907</t>
        </is>
      </c>
      <c r="I60" s="208" t="inlineStr">
        <is>
          <t>Grady</t>
        </is>
      </c>
      <c r="J60" s="209">
        <f>VLOOKUP(I60,$I$1:$R$18,3,FALSE())</f>
        <v/>
      </c>
      <c r="S60" s="208" t="inlineStr">
        <is>
          <t>Maxine</t>
        </is>
      </c>
      <c r="T60" s="209">
        <f>VLOOKUP(S60,$I$1:$R$18,6,FALSE())</f>
        <v/>
      </c>
      <c r="AP60" s="208" t="inlineStr">
        <is>
          <t>Leads</t>
        </is>
      </c>
      <c r="AQ60" s="210">
        <f>J23*$AQ$58</f>
        <v/>
      </c>
      <c r="AR60" s="210">
        <f>K23*$AR$58</f>
        <v/>
      </c>
      <c r="AS60" s="210">
        <f>L23*$AS$58</f>
        <v/>
      </c>
      <c r="AT60" s="210">
        <f>M23*$AT$58</f>
        <v/>
      </c>
      <c r="AU60" s="210">
        <f>N23*$AU$58</f>
        <v/>
      </c>
      <c r="AV60" s="210">
        <f>O23*$AV$58</f>
        <v/>
      </c>
      <c r="AW60" s="210">
        <f>P23*$AW$58</f>
        <v/>
      </c>
      <c r="AX60" s="210">
        <f>Q23*$AX$58</f>
        <v/>
      </c>
      <c r="AY60" s="210">
        <f>SUM(AQ60:AX60)</f>
        <v/>
      </c>
    </row>
    <row r="61" ht="14.25" customHeight="1" s="175">
      <c r="A61" s="254" t="inlineStr">
        <is>
          <t>Lucy</t>
        </is>
      </c>
      <c r="B61" s="202" t="n">
        <v>1</v>
      </c>
      <c r="C61" s="255" t="inlineStr">
        <is>
          <t>Will</t>
        </is>
      </c>
      <c r="D61" s="173" t="inlineStr">
        <is>
          <t>2026-02-09 11:51:29</t>
        </is>
      </c>
      <c r="E61" s="173" t="inlineStr">
        <is>
          <t>https://cdn.discordapp.com/ephemeral-attachments/1450933256630440049/1470462107651801341/20260209_115058.jpg?ex=698b620e&amp;is=698a108e&amp;hm=13598c6f9c4cafce4ed564e3fec66ff44a141d9084fd5a0ab9eb794aea55b4e2&amp;</t>
        </is>
      </c>
      <c r="F61" s="173" t="inlineStr">
        <is>
          <t>1021390383915204648</t>
        </is>
      </c>
      <c r="G61" s="173" t="inlineStr">
        <is>
          <t>707377558940811335</t>
        </is>
      </c>
      <c r="I61" s="208" t="inlineStr">
        <is>
          <t>Erick</t>
        </is>
      </c>
      <c r="J61" s="209">
        <f>VLOOKUP(I61,$I$1:$R$18,3,FALSE())</f>
        <v/>
      </c>
      <c r="S61" s="208" t="inlineStr">
        <is>
          <t>Erick</t>
        </is>
      </c>
      <c r="T61" s="209">
        <f>VLOOKUP(S61,$I$1:$R$18,6,FALSE())</f>
        <v/>
      </c>
      <c r="AP61" s="208" t="inlineStr">
        <is>
          <t>Baris</t>
        </is>
      </c>
      <c r="AQ61" s="210">
        <f>J24*$AQ$58</f>
        <v/>
      </c>
      <c r="AR61" s="210">
        <f>K24*$AR$58</f>
        <v/>
      </c>
      <c r="AS61" s="210">
        <f>L24*$AS$58</f>
        <v/>
      </c>
      <c r="AT61" s="210">
        <f>M24*$AT$58</f>
        <v/>
      </c>
      <c r="AU61" s="210">
        <f>N24*$AU$58</f>
        <v/>
      </c>
      <c r="AV61" s="210">
        <f>O24*$AV$58</f>
        <v/>
      </c>
      <c r="AW61" s="210">
        <f>P24*$AW$58</f>
        <v/>
      </c>
      <c r="AX61" s="210">
        <f>Q24*$AX$58</f>
        <v/>
      </c>
      <c r="AY61" s="210">
        <f>SUM(AQ61:AX61)</f>
        <v/>
      </c>
    </row>
    <row r="62" ht="14.25" customHeight="1" s="175">
      <c r="A62" s="254" t="inlineStr">
        <is>
          <t>Will</t>
        </is>
      </c>
      <c r="B62" s="202" t="n">
        <v>1</v>
      </c>
      <c r="C62" s="255" t="inlineStr">
        <is>
          <t>Lucy</t>
        </is>
      </c>
      <c r="D62" s="173" t="inlineStr">
        <is>
          <t>2026-02-09 11:51:52</t>
        </is>
      </c>
      <c r="E62" s="173" t="inlineStr">
        <is>
          <t>https://cdn.discordapp.com/ephemeral-attachments/1450933256630440049/1470462203432800421/IMG_1935.jpg?ex=698b6225&amp;is=698a10a5&amp;hm=2adcd4c01411150ecd8dd59e84d82507c9fe22ebcda21ee8216c1bc79368a4fc&amp;</t>
        </is>
      </c>
      <c r="F62" s="173" t="inlineStr">
        <is>
          <t>707377558940811335</t>
        </is>
      </c>
      <c r="G62" s="173" t="inlineStr">
        <is>
          <t>1021390383915204648</t>
        </is>
      </c>
      <c r="I62" s="208" t="inlineStr">
        <is>
          <t>Joey</t>
        </is>
      </c>
      <c r="J62" s="209">
        <f>VLOOKUP(I62,$I$1:$R$18,3,FALSE())</f>
        <v/>
      </c>
      <c r="S62" s="208" t="inlineStr">
        <is>
          <t>Joey</t>
        </is>
      </c>
      <c r="T62" s="209">
        <f>VLOOKUP(S62,$I$1:$R$18,6,FALSE())</f>
        <v/>
      </c>
      <c r="AP62" s="208" t="inlineStr">
        <is>
          <t>Basses</t>
        </is>
      </c>
      <c r="AQ62" s="210">
        <f>J25*$AQ$58</f>
        <v/>
      </c>
      <c r="AR62" s="210">
        <f>K25*$AR$58</f>
        <v/>
      </c>
      <c r="AS62" s="210">
        <f>L25*$AS$58</f>
        <v/>
      </c>
      <c r="AT62" s="210">
        <f>M25*$AT$58</f>
        <v/>
      </c>
      <c r="AU62" s="210">
        <f>N25*$AU$58</f>
        <v/>
      </c>
      <c r="AV62" s="210">
        <f>O25*$AV$58</f>
        <v/>
      </c>
      <c r="AW62" s="210">
        <f>P25*$AW$58</f>
        <v/>
      </c>
      <c r="AX62" s="210">
        <f>Q25*$AX$58</f>
        <v/>
      </c>
      <c r="AY62" s="210">
        <f>SUM(AQ62:AX62)</f>
        <v/>
      </c>
    </row>
    <row r="63" ht="14.25" customHeight="1" s="175">
      <c r="A63" s="254" t="inlineStr">
        <is>
          <t>Evan</t>
        </is>
      </c>
      <c r="B63" s="202" t="n">
        <v>2</v>
      </c>
      <c r="C63" s="255" t="inlineStr">
        <is>
          <t>Anthony</t>
        </is>
      </c>
      <c r="D63" s="173" t="inlineStr">
        <is>
          <t>2026-02-09 11:57:37</t>
        </is>
      </c>
      <c r="E63" s="173" t="inlineStr">
        <is>
          <t>https://cdn.discordapp.com/ephemeral-attachments/1450933256630440049/1470463650887372954/20260209_115655.jpg?ex=698b637e&amp;is=698a11fe&amp;hm=71713036fc4ee5e4e5ae529c232dc17f48ef1893ad5146ce1c87a8d7984ac096&amp;</t>
        </is>
      </c>
      <c r="F63" s="173" t="inlineStr">
        <is>
          <t>310453864866512907</t>
        </is>
      </c>
      <c r="G63" s="173" t="inlineStr">
        <is>
          <t>525816152161648680</t>
        </is>
      </c>
      <c r="AP63" s="247" t="inlineStr">
        <is>
          <t>Basses (No Reuben)</t>
        </is>
      </c>
      <c r="AQ63" s="210">
        <f>J26*$AQ$58</f>
        <v/>
      </c>
      <c r="AR63" s="210">
        <f>K26*$AR$58</f>
        <v/>
      </c>
      <c r="AS63" s="210">
        <f>L26*$AS$58</f>
        <v/>
      </c>
      <c r="AT63" s="210">
        <f>M26*$AT$58</f>
        <v/>
      </c>
      <c r="AU63" s="210">
        <f>N26*$AU$58</f>
        <v/>
      </c>
      <c r="AV63" s="210">
        <f>O26*$AV$58</f>
        <v/>
      </c>
      <c r="AW63" s="210">
        <f>P26*$AW$58</f>
        <v/>
      </c>
      <c r="AX63" s="210">
        <f>Q26*$AX$58</f>
        <v/>
      </c>
      <c r="AY63" s="210">
        <f>SUM(AQ63:AX63)</f>
        <v/>
      </c>
    </row>
    <row r="64" ht="14.25" customHeight="1" s="175">
      <c r="A64" s="254" t="inlineStr">
        <is>
          <t>Evan</t>
        </is>
      </c>
      <c r="B64" s="202" t="n">
        <v>2</v>
      </c>
      <c r="C64" s="255" t="inlineStr">
        <is>
          <t>Reuben</t>
        </is>
      </c>
      <c r="D64" s="173" t="inlineStr">
        <is>
          <t>2026-02-09 11:58:48</t>
        </is>
      </c>
      <c r="E64" s="173" t="inlineStr">
        <is>
          <t>https://cdn.discordapp.com/ephemeral-attachments/1450933256630440049/1470463947785240771/20260209_115750.jpg?ex=698b63c5&amp;is=698a1245&amp;hm=8c1b553c2255a21ea1c916f97d18311c7c6e8c97e56f3947926f27d4f0ddd621&amp;</t>
        </is>
      </c>
      <c r="F64" s="173" t="inlineStr">
        <is>
          <t>310453864866512907</t>
        </is>
      </c>
      <c r="G64" s="173" t="inlineStr">
        <is>
          <t>689822943307759670</t>
        </is>
      </c>
      <c r="I64" s="208" t="inlineStr">
        <is>
          <t>Person:</t>
        </is>
      </c>
      <c r="J64" s="216" t="inlineStr">
        <is>
          <t>KDR</t>
        </is>
      </c>
      <c r="S64" s="208" t="inlineStr">
        <is>
          <t>Person:</t>
        </is>
      </c>
      <c r="T64" s="216" t="inlineStr">
        <is>
          <t>KpDpR</t>
        </is>
      </c>
    </row>
    <row r="65" ht="14.25" customHeight="1" s="175">
      <c r="A65" s="254" t="inlineStr">
        <is>
          <t>Will</t>
        </is>
      </c>
      <c r="B65" s="202" t="n">
        <v>2</v>
      </c>
      <c r="C65" s="255" t="inlineStr">
        <is>
          <t>Rob</t>
        </is>
      </c>
      <c r="D65" s="173" t="inlineStr">
        <is>
          <t>2026-02-09 12:58:04</t>
        </is>
      </c>
      <c r="E65" s="173" t="inlineStr">
        <is>
          <t>https://cdn.discordapp.com/ephemeral-attachments/1450933256630440049/1470478863141175356/IMG_1936.jpg?ex=698b71a9&amp;is=698a2029&amp;hm=0f43be9885c97a7528fc68c79b7fecc75c5cd1866be425075dd8b0b18f5d857e&amp;</t>
        </is>
      </c>
      <c r="F65" s="173" t="inlineStr">
        <is>
          <t>707377558940811335</t>
        </is>
      </c>
      <c r="G65" s="173" t="inlineStr">
        <is>
          <t>619268961393049601</t>
        </is>
      </c>
      <c r="I65" s="208" t="inlineStr">
        <is>
          <t>Peter</t>
        </is>
      </c>
      <c r="J65" s="210">
        <f>VLOOKUP(I65,$I$1:$R$18,4,FALSE())</f>
        <v/>
      </c>
      <c r="S65" s="208" t="inlineStr">
        <is>
          <t>Peter</t>
        </is>
      </c>
      <c r="T65" s="210">
        <f>VLOOKUP(S65,$I$1:$R$18,7,FALSE())</f>
        <v/>
      </c>
      <c r="AP65" s="248" t="inlineStr">
        <is>
          <t>Part</t>
        </is>
      </c>
      <c r="AQ65" s="249" t="inlineStr">
        <is>
          <t>Score</t>
        </is>
      </c>
      <c r="AR65" s="249" t="inlineStr">
        <is>
          <t>Adjusted</t>
        </is>
      </c>
    </row>
    <row r="66" ht="14.25" customHeight="1" s="175">
      <c r="A66" s="254" t="inlineStr">
        <is>
          <t>Peter</t>
        </is>
      </c>
      <c r="B66" s="202" t="n">
        <v>2</v>
      </c>
      <c r="C66" s="255" t="inlineStr">
        <is>
          <t>Ethan</t>
        </is>
      </c>
      <c r="D66" s="173" t="inlineStr">
        <is>
          <t>2026-02-09 13:44:34</t>
        </is>
      </c>
      <c r="E66" s="173" t="inlineStr">
        <is>
          <t>https://cdn.discordapp.com/ephemeral-attachments/1450933256630440049/1470490565694062743/PXL_20260209_184407473.jpg?ex=698b7c8f&amp;is=698a2b0f&amp;hm=c7b89f7919109eda4cb2dea3884c17c325960cf7af66820e7ae9c4dd84a4fabf&amp;</t>
        </is>
      </c>
      <c r="F66" s="173" t="inlineStr">
        <is>
          <t>290654652838576130</t>
        </is>
      </c>
      <c r="G66" s="173" t="inlineStr">
        <is>
          <t>423221841872814081</t>
        </is>
      </c>
      <c r="I66" s="208" t="inlineStr">
        <is>
          <t>Will</t>
        </is>
      </c>
      <c r="J66" s="210">
        <f>VLOOKUP(I66,$I$1:$R$18,4,FALSE())</f>
        <v/>
      </c>
      <c r="S66" s="208" t="inlineStr">
        <is>
          <t>Maxine</t>
        </is>
      </c>
      <c r="T66" s="210">
        <f>VLOOKUP(S66,$I$1:$R$18,7,FALSE())</f>
        <v/>
      </c>
      <c r="AP66" s="256" t="inlineStr">
        <is>
          <t>Basses (No Reuben)</t>
        </is>
      </c>
      <c r="AQ66" s="251">
        <f>$AY$63</f>
        <v/>
      </c>
      <c r="AR66" s="251">
        <f>AQ66-($AQ$70)</f>
        <v/>
      </c>
    </row>
    <row r="67" ht="14.25" customHeight="1" s="175">
      <c r="A67" s="254" t="inlineStr">
        <is>
          <t>Peter</t>
        </is>
      </c>
      <c r="B67" s="202" t="n">
        <v>2</v>
      </c>
      <c r="C67" s="255" t="inlineStr">
        <is>
          <t>Rob</t>
        </is>
      </c>
      <c r="D67" s="173" t="inlineStr">
        <is>
          <t>2026-02-09 13:46:25</t>
        </is>
      </c>
      <c r="E67" s="173" t="inlineStr">
        <is>
          <t>https://cdn.discordapp.com/ephemeral-attachments/1450933256630440049/1470491031530246210/PXL_20260209_184552970.jpg?ex=698b7cfe&amp;is=698a2b7e&amp;hm=c02d95038330402b5403ce5fb95ddc959799808b7aa1e251d92406f307751a2c&amp;</t>
        </is>
      </c>
      <c r="F67" s="173" t="inlineStr">
        <is>
          <t>290654652838576130</t>
        </is>
      </c>
      <c r="G67" s="173" t="inlineStr">
        <is>
          <t>619268961393049601</t>
        </is>
      </c>
      <c r="I67" s="208" t="inlineStr">
        <is>
          <t>Carter</t>
        </is>
      </c>
      <c r="J67" s="210">
        <f>VLOOKUP(I67,$I$1:$R$18,4,FALSE())</f>
        <v/>
      </c>
      <c r="S67" s="208" t="inlineStr">
        <is>
          <t>Will</t>
        </is>
      </c>
      <c r="T67" s="210">
        <f>VLOOKUP(S67,$I$1:$R$18,7,FALSE())</f>
        <v/>
      </c>
      <c r="AP67" s="208" t="inlineStr">
        <is>
          <t>Tenors</t>
        </is>
      </c>
      <c r="AQ67" s="251">
        <f>$AY$59</f>
        <v/>
      </c>
      <c r="AR67" s="251">
        <f>AQ67-($AQ$70)</f>
        <v/>
      </c>
    </row>
    <row r="68" ht="14.25" customHeight="1" s="175">
      <c r="A68" s="254" t="inlineStr">
        <is>
          <t>Peter</t>
        </is>
      </c>
      <c r="B68" s="202" t="n">
        <v>1</v>
      </c>
      <c r="C68" s="255" t="inlineStr">
        <is>
          <t>Anthony</t>
        </is>
      </c>
      <c r="D68" s="173" t="inlineStr">
        <is>
          <t>2026-02-09 13:47:52</t>
        </is>
      </c>
      <c r="E68" s="173" t="inlineStr">
        <is>
          <t>https://cdn.discordapp.com/ephemeral-attachments/1450933256630440049/1470491389321281670/PXL_20260209_184722167.jpg?ex=698b7d53&amp;is=698a2bd3&amp;hm=f0f7d4478a46b94bccc8696ed20ce91f9e5bdabe941625d307f7ea843879ce3f&amp;</t>
        </is>
      </c>
      <c r="F68" s="173" t="inlineStr">
        <is>
          <t>290654652838576130</t>
        </is>
      </c>
      <c r="G68" s="173" t="inlineStr">
        <is>
          <t>525816152161648680</t>
        </is>
      </c>
      <c r="I68" s="208" t="inlineStr">
        <is>
          <t>Vignesh</t>
        </is>
      </c>
      <c r="J68" s="210">
        <f>VLOOKUP(I68,$I$1:$R$18,4,FALSE())</f>
        <v/>
      </c>
      <c r="S68" s="208" t="inlineStr">
        <is>
          <t>Carter</t>
        </is>
      </c>
      <c r="T68" s="210">
        <f>VLOOKUP(S68,$I$1:$R$18,7,FALSE())</f>
        <v/>
      </c>
      <c r="AP68" s="208" t="inlineStr">
        <is>
          <t>Baris</t>
        </is>
      </c>
      <c r="AQ68" s="251">
        <f>$AY$61</f>
        <v/>
      </c>
      <c r="AR68" s="251">
        <f>AQ68-($AQ$70)</f>
        <v/>
      </c>
    </row>
    <row r="69" ht="14.25" customHeight="1" s="175">
      <c r="A69" s="254" t="inlineStr">
        <is>
          <t>Anthony</t>
        </is>
      </c>
      <c r="B69" s="202" t="n">
        <v>2</v>
      </c>
      <c r="C69" s="255" t="inlineStr">
        <is>
          <t>Peter</t>
        </is>
      </c>
      <c r="D69" s="173" t="inlineStr">
        <is>
          <t>2026-02-09 13:48:56</t>
        </is>
      </c>
      <c r="E69" s="173" t="inlineStr">
        <is>
          <t>https://cdn.discordapp.com/ephemeral-attachments/1450933256630440049/1470491660092707072/IMG_6756.jpg?ex=698b7d94&amp;is=698a2c14&amp;hm=9a1248e929ac06b59d585aef998a71c24f2fe9c048a079078f9ac27af97fb0d2&amp;</t>
        </is>
      </c>
      <c r="F69" s="173" t="inlineStr">
        <is>
          <t>525816152161648680</t>
        </is>
      </c>
      <c r="G69" s="173" t="inlineStr">
        <is>
          <t>290654652838576130</t>
        </is>
      </c>
      <c r="I69" s="208" t="inlineStr">
        <is>
          <t>Ethan</t>
        </is>
      </c>
      <c r="J69" s="210">
        <f>VLOOKUP(I69,$I$1:$R$18,4,FALSE())</f>
        <v/>
      </c>
      <c r="S69" s="208" t="inlineStr">
        <is>
          <t>Vignesh</t>
        </is>
      </c>
      <c r="T69" s="210">
        <f>VLOOKUP(S69,$I$1:$R$18,7,FALSE())</f>
        <v/>
      </c>
      <c r="AP69" s="208" t="inlineStr">
        <is>
          <t>Leads</t>
        </is>
      </c>
      <c r="AQ69" s="257">
        <f>$AY$60</f>
        <v/>
      </c>
      <c r="AR69" s="251">
        <f>AQ69-($AQ$70)</f>
        <v/>
      </c>
    </row>
    <row r="70" ht="14.25" customHeight="1" s="175">
      <c r="A70" s="254" t="inlineStr">
        <is>
          <t>Evan</t>
        </is>
      </c>
      <c r="B70" s="202" t="n">
        <v>1</v>
      </c>
      <c r="C70" s="255" t="inlineStr">
        <is>
          <t>Lucy</t>
        </is>
      </c>
      <c r="D70" s="173" t="inlineStr">
        <is>
          <t>2026-02-10 10:49:26</t>
        </is>
      </c>
      <c r="E70" s="173" t="inlineStr">
        <is>
          <t>https://cdn.discordapp.com/ephemeral-attachments/1450933256630440049/1470808885827731688/20260210_104854.jpg?ex=698ca504&amp;is=698b5384&amp;hm=bd1e5f76befd0aa809c8216cbba0096d020b83ac841f462daccd75a7b6540cb4&amp;</t>
        </is>
      </c>
      <c r="F70" s="173" t="inlineStr">
        <is>
          <t>310453864866512907</t>
        </is>
      </c>
      <c r="G70" s="173" t="inlineStr">
        <is>
          <t>1021390383915204648</t>
        </is>
      </c>
      <c r="I70" s="208" t="inlineStr">
        <is>
          <t>Evan</t>
        </is>
      </c>
      <c r="J70" s="210">
        <f>VLOOKUP(I70,$I$1:$R$18,4,FALSE())</f>
        <v/>
      </c>
      <c r="S70" s="208" t="inlineStr">
        <is>
          <t>Ethan</t>
        </is>
      </c>
      <c r="T70" s="210">
        <f>VLOOKUP(S70,$I$1:$R$18,7,FALSE())</f>
        <v/>
      </c>
      <c r="AP70" s="258" t="inlineStr">
        <is>
          <t>Basses</t>
        </is>
      </c>
      <c r="AQ70" s="251">
        <f>$AY$62</f>
        <v/>
      </c>
      <c r="AR70" s="259">
        <f>AQ70-($AQ$70)</f>
        <v/>
      </c>
    </row>
    <row r="71" ht="14.25" customHeight="1" s="175">
      <c r="A71" s="254" t="inlineStr">
        <is>
          <t>Anthony</t>
        </is>
      </c>
      <c r="B71" s="202" t="n">
        <v>1</v>
      </c>
      <c r="C71" s="255" t="inlineStr">
        <is>
          <t>Evan</t>
        </is>
      </c>
      <c r="D71" s="173" t="inlineStr">
        <is>
          <t>2026-02-10 10:49:28</t>
        </is>
      </c>
      <c r="E71" s="173" t="inlineStr">
        <is>
          <t>https://cdn.discordapp.com/ephemeral-attachments/1450933256630440049/1470808887132164188/IMG_6759.jpg?ex=698ca505&amp;is=698b5385&amp;hm=cff408e4a0ddd55513d49ac1452a85397bb2b0a72117db9d41046ef7d2a1ece0&amp;</t>
        </is>
      </c>
      <c r="F71" s="173" t="inlineStr">
        <is>
          <t>525816152161648680</t>
        </is>
      </c>
      <c r="G71" s="173" t="inlineStr">
        <is>
          <t>310453864866512907</t>
        </is>
      </c>
      <c r="I71" s="208" t="inlineStr">
        <is>
          <t>Maxine</t>
        </is>
      </c>
      <c r="J71" s="210">
        <f>VLOOKUP(I71,$I$1:$R$18,4,FALSE())</f>
        <v/>
      </c>
      <c r="S71" s="208" t="inlineStr">
        <is>
          <t>Evan</t>
        </is>
      </c>
      <c r="T71" s="210">
        <f>VLOOKUP(S71,$I$1:$R$18,7,FALSE())</f>
        <v/>
      </c>
    </row>
    <row r="72" ht="14.25" customHeight="1" s="175">
      <c r="A72" s="254" t="inlineStr">
        <is>
          <t>Evan</t>
        </is>
      </c>
      <c r="B72" s="202" t="n">
        <v>2</v>
      </c>
      <c r="C72" s="255" t="inlineStr">
        <is>
          <t>Anthony</t>
        </is>
      </c>
      <c r="D72" s="173" t="inlineStr">
        <is>
          <t>2026-02-10 10:49:56</t>
        </is>
      </c>
      <c r="E72" s="173" t="inlineStr">
        <is>
          <t>https://cdn.discordapp.com/ephemeral-attachments/1450933256630440049/1470809009912025158/20260210_104837.jpg?ex=698ca522&amp;is=698b53a2&amp;hm=8949591e1b38ee5c21e9ebd6fae0ec8b6d98feedc94a8fef9b9f5976e6bf1f11&amp;</t>
        </is>
      </c>
      <c r="F72" s="173" t="inlineStr">
        <is>
          <t>310453864866512907</t>
        </is>
      </c>
      <c r="G72" s="173" t="inlineStr">
        <is>
          <t>525816152161648680</t>
        </is>
      </c>
      <c r="I72" s="208" t="inlineStr">
        <is>
          <t>Lucy</t>
        </is>
      </c>
      <c r="J72" s="210">
        <f>VLOOKUP(I72,$I$1:$R$18,4,FALSE())</f>
        <v/>
      </c>
      <c r="S72" s="208" t="inlineStr">
        <is>
          <t>Lucy</t>
        </is>
      </c>
      <c r="T72" s="210">
        <f>VLOOKUP(S72,$I$1:$R$18,7,FALSE())</f>
        <v/>
      </c>
    </row>
    <row r="73" ht="14.25" customHeight="1" s="175">
      <c r="A73" s="254" t="inlineStr">
        <is>
          <t>Anthony</t>
        </is>
      </c>
      <c r="B73" s="202" t="n">
        <v>1</v>
      </c>
      <c r="C73" s="255" t="inlineStr">
        <is>
          <t>Lucy</t>
        </is>
      </c>
      <c r="D73" s="173" t="inlineStr">
        <is>
          <t>2026-02-10 10:50:23</t>
        </is>
      </c>
      <c r="E73" s="173" t="inlineStr">
        <is>
          <t>https://cdn.discordapp.com/ephemeral-attachments/1450933256630440049/1470809121778434180/IMG_6760.jpg?ex=698ca53c&amp;is=698b53bc&amp;hm=db794f16bbc7fe430a1dc2b3eca771ecc292c8de995a472bcf09d56cae4ed067&amp;</t>
        </is>
      </c>
      <c r="F73" s="173" t="inlineStr">
        <is>
          <t>525816152161648680</t>
        </is>
      </c>
      <c r="G73" s="173" t="inlineStr">
        <is>
          <t>1021390383915204648</t>
        </is>
      </c>
      <c r="I73" s="208" t="inlineStr">
        <is>
          <t>Mikey</t>
        </is>
      </c>
      <c r="J73" s="210">
        <f>VLOOKUP(I73,$I$1:$R$18,4,FALSE())</f>
        <v/>
      </c>
      <c r="S73" s="208" t="inlineStr">
        <is>
          <t>Grady</t>
        </is>
      </c>
      <c r="T73" s="210">
        <f>VLOOKUP(S73,$I$1:$R$18,7,FALSE())</f>
        <v/>
      </c>
    </row>
    <row r="74" ht="14.25" customHeight="1" s="175">
      <c r="A74" s="254" t="inlineStr">
        <is>
          <t>Lucy</t>
        </is>
      </c>
      <c r="B74" s="202" t="n">
        <v>1</v>
      </c>
      <c r="C74" s="255" t="inlineStr">
        <is>
          <t>Anthony</t>
        </is>
      </c>
      <c r="D74" s="173" t="inlineStr">
        <is>
          <t>2026-02-10 10:53:15</t>
        </is>
      </c>
      <c r="E74" s="173" t="inlineStr">
        <is>
          <t>https://cdn.discordapp.com/ephemeral-attachments/1450933256630440049/1470809842426974420/20260210_104847.jpg?ex=698ca5e8&amp;is=698b5468&amp;hm=13e60a80f78931c6c3e1c7d41d5adbe6998a7e2e9134f64bdc098a89032cbebb&amp;</t>
        </is>
      </c>
      <c r="F74" s="173" t="inlineStr">
        <is>
          <t>1021390383915204648</t>
        </is>
      </c>
      <c r="G74" s="173" t="inlineStr">
        <is>
          <t>525816152161648680</t>
        </is>
      </c>
      <c r="I74" s="208" t="inlineStr">
        <is>
          <t>Rob</t>
        </is>
      </c>
      <c r="J74" s="210">
        <f>VLOOKUP(I74,$I$1:$R$18,4,FALSE())</f>
        <v/>
      </c>
      <c r="S74" s="208" t="inlineStr">
        <is>
          <t>Mikey</t>
        </is>
      </c>
      <c r="T74" s="210">
        <f>VLOOKUP(S74,$I$1:$R$18,7,FALSE())</f>
        <v/>
      </c>
      <c r="AJ74" s="246" t="n"/>
      <c r="AM74" s="246" t="n"/>
      <c r="AP74" s="246" t="n"/>
      <c r="AQ74" s="246" t="n"/>
      <c r="AR74" s="246" t="n"/>
    </row>
    <row r="75" ht="14.25" customHeight="1" s="175">
      <c r="A75" s="254" t="inlineStr">
        <is>
          <t>Lucy</t>
        </is>
      </c>
      <c r="B75" s="202" t="n">
        <v>2</v>
      </c>
      <c r="C75" s="255" t="inlineStr">
        <is>
          <t>Evan</t>
        </is>
      </c>
      <c r="D75" s="173" t="inlineStr">
        <is>
          <t>2026-02-10 10:53:47</t>
        </is>
      </c>
      <c r="E75" s="173" t="inlineStr">
        <is>
          <t>https://cdn.discordapp.com/ephemeral-attachments/1450933256630440049/1470809979043975475/20260210_104847.jpg?ex=698ca609&amp;is=698b5489&amp;hm=712db9d66af311a517e8b322ecb34b895f99aa470d7d0e3fd7ea9bcbd296561e&amp;</t>
        </is>
      </c>
      <c r="F75" s="173" t="inlineStr">
        <is>
          <t>1021390383915204648</t>
        </is>
      </c>
      <c r="G75" s="173" t="inlineStr">
        <is>
          <t>310453864866512907</t>
        </is>
      </c>
      <c r="I75" s="208" t="inlineStr">
        <is>
          <t>Grady</t>
        </is>
      </c>
      <c r="J75" s="210">
        <f>VLOOKUP(I75,$I$1:$R$18,4,FALSE())</f>
        <v/>
      </c>
      <c r="S75" s="208" t="inlineStr">
        <is>
          <t>Anthony</t>
        </is>
      </c>
      <c r="T75" s="210">
        <f>VLOOKUP(S75,$I$1:$R$18,7,FALSE())</f>
        <v/>
      </c>
      <c r="AG75" s="246" t="n"/>
      <c r="AH75" s="246" t="n"/>
      <c r="AM75" s="246" t="n"/>
      <c r="AP75" s="246" t="n"/>
      <c r="AQ75" s="246" t="n"/>
      <c r="AR75" s="246" t="n"/>
    </row>
    <row r="76" ht="14.25" customHeight="1" s="175">
      <c r="A76" s="254" t="inlineStr">
        <is>
          <t>Rob</t>
        </is>
      </c>
      <c r="B76" s="202" t="n">
        <v>2</v>
      </c>
      <c r="C76" s="255" t="inlineStr">
        <is>
          <t>Mikey</t>
        </is>
      </c>
      <c r="D76" s="173" t="inlineStr">
        <is>
          <t>2026-02-10 13:50:49</t>
        </is>
      </c>
      <c r="E76" s="173" t="inlineStr">
        <is>
          <t>https://cdn.discordapp.com/ephemeral-attachments/1450933256630440049/1470854529770852506/705FFCAE-550A-454D-959F-35C87497828B.jpg?ex=698ccf87&amp;is=698b7e07&amp;hm=30e7d347a25749b2454bf1dc727b05c40ae0956ac2cf0bcab520dd4235a686e6&amp;</t>
        </is>
      </c>
      <c r="F76" s="173" t="inlineStr">
        <is>
          <t>619268961393049601</t>
        </is>
      </c>
      <c r="G76" s="173" t="inlineStr">
        <is>
          <t>288299360557465600</t>
        </is>
      </c>
      <c r="I76" s="208" t="inlineStr">
        <is>
          <t>Anthony</t>
        </is>
      </c>
      <c r="J76" s="210">
        <f>VLOOKUP(I76,$I$1:$R$18,4,FALSE())</f>
        <v/>
      </c>
      <c r="S76" s="208" t="inlineStr">
        <is>
          <t>Rob</t>
        </is>
      </c>
      <c r="T76" s="210">
        <f>VLOOKUP(S76,$I$1:$R$18,7,FALSE())</f>
        <v/>
      </c>
      <c r="AP76" s="246" t="n"/>
      <c r="AQ76" s="246" t="n"/>
      <c r="AR76" s="246" t="n"/>
    </row>
    <row r="77" ht="14.25" customHeight="1" s="175">
      <c r="A77" s="254" t="inlineStr">
        <is>
          <t>Cooper</t>
        </is>
      </c>
      <c r="B77" s="202" t="n">
        <v>2</v>
      </c>
      <c r="C77" s="255" t="inlineStr">
        <is>
          <t>Mikey</t>
        </is>
      </c>
      <c r="D77" s="173" t="inlineStr">
        <is>
          <t>2026-02-10 16:50:58</t>
        </is>
      </c>
      <c r="E77" s="173" t="inlineStr">
        <is>
          <t>https://cdn.discordapp.com/ephemeral-attachments/1450933256630440049/1470899864551424111/20260210_164939.jpg?ex=698cf9bf&amp;is=698ba83f&amp;hm=1ccab3f13a0a3310dae2d4014d211cfd2eec2de44e2a009b99c8422a12f53732&amp;</t>
        </is>
      </c>
      <c r="F77" s="173" t="inlineStr">
        <is>
          <t>688178971183153173</t>
        </is>
      </c>
      <c r="G77" s="173" t="inlineStr">
        <is>
          <t>288299360557465600</t>
        </is>
      </c>
      <c r="I77" s="208" t="inlineStr">
        <is>
          <t>Cooper</t>
        </is>
      </c>
      <c r="J77" s="210">
        <f>VLOOKUP(I77,$I$1:$R$18,4,FALSE())</f>
        <v/>
      </c>
      <c r="S77" s="208" t="inlineStr">
        <is>
          <t>Cooper</t>
        </is>
      </c>
      <c r="T77" s="210">
        <f>VLOOKUP(S77,$I$1:$R$18,7,FALSE())</f>
        <v/>
      </c>
      <c r="AP77" s="246" t="n"/>
      <c r="AQ77" s="246" t="n"/>
      <c r="AR77" s="246" t="n"/>
    </row>
    <row r="78" ht="14.25" customHeight="1" s="175">
      <c r="A78" s="254" t="inlineStr">
        <is>
          <t>Mikey</t>
        </is>
      </c>
      <c r="B78" s="202" t="n">
        <v>1</v>
      </c>
      <c r="C78" s="255" t="inlineStr">
        <is>
          <t>Cooper</t>
        </is>
      </c>
      <c r="D78" s="173" t="inlineStr">
        <is>
          <t>2026-02-10 16:51:08</t>
        </is>
      </c>
      <c r="E78" s="173" t="inlineStr">
        <is>
          <t>https://cdn.discordapp.com/ephemeral-attachments/1450933256630440049/1470899907417215039/IMG_2346.jpg?ex=698cf9c9&amp;is=698ba849&amp;hm=07b8fe84dd4c647ebcdd1fad1c5466746b4aac4b2349fed16a816c45f3a6b5db&amp;</t>
        </is>
      </c>
      <c r="F78" s="173" t="inlineStr">
        <is>
          <t>288299360557465600</t>
        </is>
      </c>
      <c r="G78" s="173" t="inlineStr">
        <is>
          <t>688178971183153173</t>
        </is>
      </c>
      <c r="I78" s="208" t="inlineStr">
        <is>
          <t>Joey</t>
        </is>
      </c>
      <c r="J78" s="210">
        <f>VLOOKUP(I78,$I$1:$R$18,4,FALSE())</f>
        <v/>
      </c>
      <c r="S78" s="208" t="inlineStr">
        <is>
          <t>Joey</t>
        </is>
      </c>
      <c r="T78" s="210">
        <f>VLOOKUP(S78,$I$1:$R$18,7,FALSE())</f>
        <v/>
      </c>
      <c r="AQ78" s="246" t="n"/>
      <c r="AR78" s="246" t="n"/>
    </row>
    <row r="79" ht="14.25" customHeight="1" s="175">
      <c r="A79" s="254" t="inlineStr">
        <is>
          <t>Vignesh</t>
        </is>
      </c>
      <c r="B79" s="202" t="n">
        <v>1</v>
      </c>
      <c r="C79" s="255" t="inlineStr">
        <is>
          <t>Carter</t>
        </is>
      </c>
      <c r="D79" s="173" t="inlineStr">
        <is>
          <t>2026-02-10 20:12:43</t>
        </is>
      </c>
      <c r="E79" s="173" t="inlineStr">
        <is>
          <t>https://cdn.discordapp.com/ephemeral-attachments/1450933256630440049/1470950634688741529/IMG20260210201156.jpg?ex=698d2908&amp;is=698bd788&amp;hm=49c92bc3e54d986538a69fb1a674f449504e33e4aaec6d7257b31ab693732588&amp;</t>
        </is>
      </c>
      <c r="F79" s="173" t="inlineStr">
        <is>
          <t>483162151046086657</t>
        </is>
      </c>
      <c r="G79" s="173" t="inlineStr">
        <is>
          <t>1031639054846021672</t>
        </is>
      </c>
      <c r="I79" s="208" t="inlineStr">
        <is>
          <t>Erick</t>
        </is>
      </c>
      <c r="J79" s="210">
        <f>VLOOKUP(I79,$I$1:$R$18,4,FALSE())</f>
        <v/>
      </c>
      <c r="S79" s="208" t="inlineStr">
        <is>
          <t>Erick</t>
        </is>
      </c>
      <c r="T79" s="210">
        <f>VLOOKUP(S79,$I$1:$R$18,7,FALSE())</f>
        <v/>
      </c>
      <c r="AP79" s="246" t="n"/>
      <c r="AQ79" s="246" t="n"/>
      <c r="AR79" s="246" t="n"/>
    </row>
    <row r="80" ht="14.25" customHeight="1" s="175">
      <c r="A80" s="254" t="inlineStr">
        <is>
          <t>Carter</t>
        </is>
      </c>
      <c r="B80" s="202" t="n">
        <v>1</v>
      </c>
      <c r="C80" s="255" t="inlineStr">
        <is>
          <t>Vignesh</t>
        </is>
      </c>
      <c r="D80" s="173" t="inlineStr">
        <is>
          <t>2026-02-10 20:13:06</t>
        </is>
      </c>
      <c r="E80" s="173" t="inlineStr">
        <is>
          <t>https://cdn.discordapp.com/ephemeral-attachments/1450933256630440049/1470950727978455196/IMG_2604.jpg?ex=698d291e&amp;is=698bd79e&amp;hm=34c5767e67a26a6489fab74cb3c8cb06e072642935b471b86f0109ed7b4f5c13&amp;</t>
        </is>
      </c>
      <c r="F80" s="173" t="inlineStr">
        <is>
          <t>1031639054846021672</t>
        </is>
      </c>
      <c r="G80" s="173" t="inlineStr">
        <is>
          <t>483162151046086657</t>
        </is>
      </c>
      <c r="I80" s="208" t="inlineStr">
        <is>
          <t>Reuben</t>
        </is>
      </c>
      <c r="J80" s="210">
        <f>VLOOKUP(I80,$I$1:$R$18,4,FALSE())</f>
        <v/>
      </c>
      <c r="S80" s="208" t="inlineStr">
        <is>
          <t>Reuben</t>
        </is>
      </c>
      <c r="T80" s="210">
        <f>VLOOKUP(S80,$I$1:$R$18,7,FALSE())</f>
        <v/>
      </c>
    </row>
    <row r="81" ht="14.25" customHeight="1" s="175">
      <c r="A81" s="254" t="inlineStr">
        <is>
          <t>Maxine</t>
        </is>
      </c>
      <c r="B81" s="202" t="n">
        <v>1</v>
      </c>
      <c r="C81" s="255" t="inlineStr">
        <is>
          <t>Reuben</t>
        </is>
      </c>
      <c r="D81" s="173" t="inlineStr">
        <is>
          <t>2026-02-11 09:53:35</t>
        </is>
      </c>
      <c r="E81" s="173" t="inlineStr">
        <is>
          <t>https://cdn.discordapp.com/ephemeral-attachments/1450933256630440049/1471157346121027724/IMG_2236.jpg?ex=698de98c&amp;is=698c980c&amp;hm=73933bd956eeb0bdb8127c26dca9fbc8dff5ec711780966f6e9b219392e040a6&amp;</t>
        </is>
      </c>
      <c r="F81" s="173" t="inlineStr">
        <is>
          <t>601936524044664852</t>
        </is>
      </c>
      <c r="G81" s="173" t="inlineStr">
        <is>
          <t>689822943307759670</t>
        </is>
      </c>
    </row>
    <row r="82" ht="14.25" customHeight="1" s="175">
      <c r="A82" s="254" t="inlineStr">
        <is>
          <t>Peter</t>
        </is>
      </c>
      <c r="B82" s="202" t="n">
        <v>1</v>
      </c>
      <c r="C82" s="255" t="inlineStr">
        <is>
          <t>Mikey</t>
        </is>
      </c>
      <c r="D82" s="173" t="inlineStr">
        <is>
          <t>2026-02-11 10:54:56</t>
        </is>
      </c>
      <c r="E82" s="173" t="inlineStr">
        <is>
          <t>https://cdn.discordapp.com/ephemeral-attachments/1450933256630440049/1471172795013660808/PXL_20260211_155431150.jpg?ex=698df7ef&amp;is=698ca66f&amp;hm=504fc33fa1382af15356750a8b7fd5722ef06dfaa713f0b0d71558ebd77915c7&amp;</t>
        </is>
      </c>
      <c r="F82" s="173" t="inlineStr">
        <is>
          <t>290654652838576130</t>
        </is>
      </c>
      <c r="G82" s="173" t="inlineStr">
        <is>
          <t>288299360557465600</t>
        </is>
      </c>
      <c r="I82" s="208" t="inlineStr">
        <is>
          <t>Part:</t>
        </is>
      </c>
      <c r="J82" s="216" t="inlineStr">
        <is>
          <t>Kills</t>
        </is>
      </c>
      <c r="S82" s="208" t="inlineStr">
        <is>
          <t>Part:</t>
        </is>
      </c>
      <c r="T82" s="216" t="inlineStr">
        <is>
          <t>Kill Points</t>
        </is>
      </c>
    </row>
    <row r="83" ht="14.25" customHeight="1" s="175">
      <c r="A83" s="254" t="inlineStr">
        <is>
          <t>Mikey</t>
        </is>
      </c>
      <c r="B83" s="202" t="n">
        <v>1</v>
      </c>
      <c r="C83" s="255" t="inlineStr">
        <is>
          <t>Peter</t>
        </is>
      </c>
      <c r="D83" s="173" t="inlineStr">
        <is>
          <t>2026-02-11 10:55:34</t>
        </is>
      </c>
      <c r="E83" s="173" t="inlineStr">
        <is>
          <t>https://cdn.discordapp.com/ephemeral-attachments/1450933256630440049/1471172958251782317/IMG_2350.jpg?ex=698df816&amp;is=698ca696&amp;hm=7fc812b6ff66139303226cfbea5b4358f791917d3f8dd5c4349ed644962eccfa&amp;</t>
        </is>
      </c>
      <c r="F83" s="173" t="inlineStr">
        <is>
          <t>288299360557465600</t>
        </is>
      </c>
      <c r="G83" s="173" t="inlineStr">
        <is>
          <t>290654652838576130</t>
        </is>
      </c>
      <c r="I83" s="226" t="inlineStr">
        <is>
          <t>Baris</t>
        </is>
      </c>
      <c r="J83" s="241">
        <f>VLOOKUP(I83,$I$22:$Q$26,2,FALSE())</f>
        <v/>
      </c>
      <c r="S83" s="226" t="inlineStr">
        <is>
          <t>Baris</t>
        </is>
      </c>
      <c r="T83" s="241">
        <f>VLOOKUP(S83,$I$22:$Q$26,5,FALSE())</f>
        <v/>
      </c>
    </row>
    <row r="84" ht="14.25" customHeight="1" s="175">
      <c r="A84" s="254" t="inlineStr">
        <is>
          <t>Vignesh</t>
        </is>
      </c>
      <c r="B84" s="202" t="n">
        <v>1</v>
      </c>
      <c r="C84" s="255" t="inlineStr">
        <is>
          <t>Carter</t>
        </is>
      </c>
      <c r="D84" s="173" t="inlineStr">
        <is>
          <t>2026-02-11 10:58:21</t>
        </is>
      </c>
      <c r="E84" s="173" t="inlineStr">
        <is>
          <t>https://cdn.discordapp.com/ephemeral-attachments/1450933256630440049/1471173661061812367/IMG20260211105821.jpg?ex=698df8bd&amp;is=698ca73d&amp;hm=99c840568907763d8dbe081f974ce9e4ae9a153282afdee4d538721bcfbb3f15&amp;</t>
        </is>
      </c>
      <c r="F84" s="173" t="inlineStr">
        <is>
          <t>483162151046086657</t>
        </is>
      </c>
      <c r="G84" s="173" t="inlineStr">
        <is>
          <t>1031639054846021672</t>
        </is>
      </c>
      <c r="I84" s="208" t="inlineStr">
        <is>
          <t>Tenors</t>
        </is>
      </c>
      <c r="J84" s="241">
        <f>VLOOKUP(I84,$I$22:$Q$26,2,FALSE())</f>
        <v/>
      </c>
      <c r="S84" s="208" t="inlineStr">
        <is>
          <t>Tenors</t>
        </is>
      </c>
      <c r="T84" s="241">
        <f>VLOOKUP(S84,$I$22:$Q$26,5,FALSE())</f>
        <v/>
      </c>
    </row>
    <row r="85" ht="14.25" customHeight="1" s="175">
      <c r="A85" s="254" t="inlineStr">
        <is>
          <t>Carter</t>
        </is>
      </c>
      <c r="B85" s="202" t="n">
        <v>1</v>
      </c>
      <c r="C85" s="255" t="inlineStr">
        <is>
          <t>Vignesh</t>
        </is>
      </c>
      <c r="D85" s="173" t="inlineStr">
        <is>
          <t>2026-02-11 10:58:23</t>
        </is>
      </c>
      <c r="E85" s="173" t="inlineStr">
        <is>
          <t>https://cdn.discordapp.com/ephemeral-attachments/1450933256630440049/1471173667357724826/IMG_2607.jpg?ex=698df8bf&amp;is=698ca73f&amp;hm=3a1b936dfdd5f9e5f27a4232e8004bc071b1b3e861c9b701d07500fc1f10ec70&amp;</t>
        </is>
      </c>
      <c r="F85" s="173" t="inlineStr">
        <is>
          <t>1031639054846021672</t>
        </is>
      </c>
      <c r="G85" s="173" t="inlineStr">
        <is>
          <t>483162151046086657</t>
        </is>
      </c>
      <c r="I85" s="208" t="inlineStr">
        <is>
          <t>Leads</t>
        </is>
      </c>
      <c r="J85" s="241">
        <f>VLOOKUP(I85,$I$22:$Q$26,2,FALSE())</f>
        <v/>
      </c>
      <c r="S85" s="208" t="inlineStr">
        <is>
          <t>Leads</t>
        </is>
      </c>
      <c r="T85" s="241">
        <f>VLOOKUP(S85,$I$22:$Q$26,5,FALSE())</f>
        <v/>
      </c>
    </row>
    <row r="86" ht="14.25" customHeight="1" s="175">
      <c r="A86" s="254" t="inlineStr">
        <is>
          <t>Evan</t>
        </is>
      </c>
      <c r="B86" s="202" t="n">
        <v>1</v>
      </c>
      <c r="C86" s="255" t="inlineStr">
        <is>
          <t>Carter</t>
        </is>
      </c>
      <c r="D86" s="173" t="inlineStr">
        <is>
          <t>2026-02-11 11:30:55</t>
        </is>
      </c>
      <c r="E86" s="173" t="inlineStr">
        <is>
          <t>https://cdn.discordapp.com/ephemeral-attachments/1450933256630440049/1471181859349200996/20260211_113050.jpg?ex=698e0060&amp;is=698caee0&amp;hm=fdc91074c0922ba0dbe7639bea53ab5765328b38420291bed8dd847822a61d48&amp;</t>
        </is>
      </c>
      <c r="F86" s="173" t="inlineStr">
        <is>
          <t>310453864866512907</t>
        </is>
      </c>
      <c r="G86" s="173" t="inlineStr">
        <is>
          <t>1031639054846021672</t>
        </is>
      </c>
      <c r="I86" s="208" t="inlineStr">
        <is>
          <t>Basses</t>
        </is>
      </c>
      <c r="J86" s="241">
        <f>VLOOKUP(I86,$I$22:$Q$26,2,FALSE())</f>
        <v/>
      </c>
      <c r="S86" s="208" t="inlineStr">
        <is>
          <t>Basses</t>
        </is>
      </c>
      <c r="T86" s="241">
        <f>VLOOKUP(S86,$I$22:$Q$26,5,FALSE())</f>
        <v/>
      </c>
    </row>
    <row r="87" ht="14.25" customHeight="1" s="175">
      <c r="A87" s="254" t="inlineStr">
        <is>
          <t>Carter</t>
        </is>
      </c>
      <c r="B87" s="202" t="n">
        <v>1</v>
      </c>
      <c r="C87" s="255" t="inlineStr">
        <is>
          <t>Evan</t>
        </is>
      </c>
      <c r="D87" s="173" t="inlineStr">
        <is>
          <t>2026-02-11 11:31:12</t>
        </is>
      </c>
      <c r="E87" s="173" t="inlineStr">
        <is>
          <t>https://cdn.discordapp.com/ephemeral-attachments/1450933256630440049/1471181933537923203/IMG_2609.jpg?ex=698e0072&amp;is=698caef2&amp;hm=b7abf49be9e5c0611767cf1c5d69358dc463380ff3e17cab2427c9d272dcbc54&amp;</t>
        </is>
      </c>
      <c r="F87" s="173" t="inlineStr">
        <is>
          <t>1031639054846021672</t>
        </is>
      </c>
      <c r="G87" s="173" t="inlineStr">
        <is>
          <t>310453864866512907</t>
        </is>
      </c>
    </row>
    <row r="88" ht="14.25" customHeight="1" s="175">
      <c r="A88" s="254" t="inlineStr">
        <is>
          <t>Anthony</t>
        </is>
      </c>
      <c r="B88" s="202" t="n">
        <v>2</v>
      </c>
      <c r="C88" s="255" t="inlineStr">
        <is>
          <t>Mikey</t>
        </is>
      </c>
      <c r="D88" s="173" t="inlineStr">
        <is>
          <t>2026-02-11 11:59:54</t>
        </is>
      </c>
      <c r="E88" s="173" t="inlineStr">
        <is>
          <t>https://cdn.discordapp.com/ephemeral-attachments/1450933256630440049/1471189157408932053/IMG_6768.jpg?ex=698e072c&amp;is=698cb5ac&amp;hm=f69a1809b0d7990d2f59344e769444ea4ccc351965d37eaf045ff71ce94c9a70&amp;</t>
        </is>
      </c>
      <c r="F88" s="173" t="inlineStr">
        <is>
          <t>525816152161648680</t>
        </is>
      </c>
      <c r="G88" s="173" t="inlineStr">
        <is>
          <t>288299360557465600</t>
        </is>
      </c>
    </row>
    <row r="89" ht="14.25" customHeight="1" s="175">
      <c r="A89" s="254" t="inlineStr">
        <is>
          <t>Peter</t>
        </is>
      </c>
      <c r="B89" s="202" t="n">
        <v>2</v>
      </c>
      <c r="C89" s="255" t="inlineStr">
        <is>
          <t>Vignesh</t>
        </is>
      </c>
      <c r="D89" s="173" t="inlineStr">
        <is>
          <t>2026-02-11 12:02:03</t>
        </is>
      </c>
      <c r="E89" s="173" t="inlineStr">
        <is>
          <t>https://cdn.discordapp.com/ephemeral-attachments/1450933256630440049/1471189701946773554/PXL_20260211_170147558.MP.jpg?ex=698e07ae&amp;is=698cb62e&amp;hm=99fb1c3537b8fc2878ae9eaaf2101d0e842dc712afc726a797e60dd5e78e414f&amp;</t>
        </is>
      </c>
      <c r="F89" s="173" t="inlineStr">
        <is>
          <t>290654652838576130</t>
        </is>
      </c>
      <c r="G89" s="173" t="inlineStr">
        <is>
          <t>483162151046086657</t>
        </is>
      </c>
      <c r="AQ89" s="246" t="n"/>
      <c r="AR89" s="260" t="n"/>
    </row>
    <row r="90" ht="14.25" customHeight="1" s="175">
      <c r="A90" s="254" t="inlineStr">
        <is>
          <t>Anthony</t>
        </is>
      </c>
      <c r="B90" s="202" t="n">
        <v>2</v>
      </c>
      <c r="C90" s="255" t="inlineStr">
        <is>
          <t>Evan</t>
        </is>
      </c>
      <c r="D90" s="173" t="inlineStr">
        <is>
          <t>2026-02-11 12:08:59</t>
        </is>
      </c>
      <c r="E90" s="173" t="inlineStr">
        <is>
          <t>https://cdn.discordapp.com/ephemeral-attachments/1450933256630440049/1471191447985455318/IMG_6769.jpg?ex=698e094e&amp;is=698cb7ce&amp;hm=87366e615c60a4afa3f95d3394ba34e52f2f2e27f83873bd69e136d963d557ac&amp;</t>
        </is>
      </c>
      <c r="F90" s="173" t="inlineStr">
        <is>
          <t>525816152161648680</t>
        </is>
      </c>
      <c r="G90" s="173" t="inlineStr">
        <is>
          <t>310453864866512907</t>
        </is>
      </c>
      <c r="AQ90" s="246" t="n"/>
      <c r="AR90" s="260" t="n"/>
    </row>
    <row r="91" ht="14.25" customHeight="1" s="175">
      <c r="A91" s="254" t="inlineStr">
        <is>
          <t>Evan</t>
        </is>
      </c>
      <c r="B91" s="202" t="n">
        <v>1</v>
      </c>
      <c r="C91" s="255" t="inlineStr">
        <is>
          <t>Anthony</t>
        </is>
      </c>
      <c r="D91" s="173" t="inlineStr">
        <is>
          <t>2026-02-11 12:09:04</t>
        </is>
      </c>
      <c r="E91" s="173" t="inlineStr">
        <is>
          <t>https://cdn.discordapp.com/ephemeral-attachments/1450933256630440049/1471191472304033927/20260211_120840.jpg?ex=698e0954&amp;is=698cb7d4&amp;hm=9d2d365dcf2ebe3adf51523af2842a92cdb02a911882d97e7e06dc7e17e42c82&amp;</t>
        </is>
      </c>
      <c r="F91" s="173" t="inlineStr">
        <is>
          <t>310453864866512907</t>
        </is>
      </c>
      <c r="G91" s="173" t="inlineStr">
        <is>
          <t>525816152161648680</t>
        </is>
      </c>
      <c r="AQ91" s="246" t="n"/>
      <c r="AR91" s="260" t="n"/>
    </row>
    <row r="92" ht="14.25" customHeight="1" s="175">
      <c r="A92" s="254" t="inlineStr">
        <is>
          <t>Rob</t>
        </is>
      </c>
      <c r="B92" s="202" t="n">
        <v>1</v>
      </c>
      <c r="C92" s="255" t="inlineStr">
        <is>
          <t>Reuben</t>
        </is>
      </c>
      <c r="D92" s="173" t="inlineStr">
        <is>
          <t>2026-02-11 13:21:54</t>
        </is>
      </c>
      <c r="E92" s="173" t="inlineStr">
        <is>
          <t>https://cdn.discordapp.com/ephemeral-attachments/1450933256630440049/1471209813093515275/C2EC0D91-76C7-483F-B0F5-F8D6C8CC105C.jpg?ex=698e1a69&amp;is=698cc8e9&amp;hm=ad6c2592dc6990c7e0fe511352876c0e2eca273e6b00d338907cb2ae10327bf6&amp;</t>
        </is>
      </c>
      <c r="F92" s="173" t="inlineStr">
        <is>
          <t>619268961393049601</t>
        </is>
      </c>
      <c r="G92" s="173" t="inlineStr">
        <is>
          <t>689822943307759670</t>
        </is>
      </c>
      <c r="AQ92" s="246" t="n"/>
      <c r="AR92" s="260" t="n"/>
    </row>
    <row r="93" ht="14.25" customHeight="1" s="175">
      <c r="A93" s="254" t="inlineStr">
        <is>
          <t>Will</t>
        </is>
      </c>
      <c r="B93" s="202" t="n">
        <v>1</v>
      </c>
      <c r="C93" s="255" t="inlineStr">
        <is>
          <t>Mikey</t>
        </is>
      </c>
      <c r="D93" s="173" t="inlineStr">
        <is>
          <t>2026-02-11 14:00:51</t>
        </is>
      </c>
      <c r="E93" s="173" t="inlineStr">
        <is>
          <t>https://cdn.discordapp.com/ephemeral-attachments/1450933256630440049/1471219622157221889/IMG_1943.jpg?ex=698e238b&amp;is=698cd20b&amp;hm=e73d8ea223581a56464ffae4f1d7674624261a41c6ce98dfc6a235f2ffac988a&amp;</t>
        </is>
      </c>
      <c r="F93" s="173" t="inlineStr">
        <is>
          <t>707377558940811335</t>
        </is>
      </c>
      <c r="G93" s="173" t="inlineStr">
        <is>
          <t>288299360557465600</t>
        </is>
      </c>
      <c r="I93" s="208" t="inlineStr">
        <is>
          <t>Part:</t>
        </is>
      </c>
      <c r="J93" s="216" t="inlineStr">
        <is>
          <t>Deaths</t>
        </is>
      </c>
      <c r="S93" s="208" t="inlineStr">
        <is>
          <t>Part:</t>
        </is>
      </c>
      <c r="T93" s="216" t="inlineStr">
        <is>
          <t>Death Points</t>
        </is>
      </c>
      <c r="AQ93" s="246" t="n"/>
      <c r="AR93" s="260" t="n"/>
    </row>
    <row r="94" ht="14.25" customHeight="1" s="175">
      <c r="A94" s="254" t="inlineStr">
        <is>
          <t>Mikey</t>
        </is>
      </c>
      <c r="B94" s="202" t="n">
        <v>1</v>
      </c>
      <c r="C94" s="255" t="inlineStr">
        <is>
          <t>Will</t>
        </is>
      </c>
      <c r="D94" s="173" t="inlineStr">
        <is>
          <t>2026-02-11 14:01:11</t>
        </is>
      </c>
      <c r="E94" s="173" t="inlineStr">
        <is>
          <t>https://cdn.discordapp.com/ephemeral-attachments/1450933256630440049/1471219704533221421/IMG_2351.jpg?ex=698e239f&amp;is=698cd21f&amp;hm=8297e8d530a26e88b300892b0c71998f087a8ad1f878fd2d645083a130688b5d&amp;</t>
        </is>
      </c>
      <c r="F94" s="173" t="inlineStr">
        <is>
          <t>288299360557465600</t>
        </is>
      </c>
      <c r="G94" s="173" t="inlineStr">
        <is>
          <t>707377558940811335</t>
        </is>
      </c>
      <c r="I94" s="208" t="inlineStr">
        <is>
          <t>Baris</t>
        </is>
      </c>
      <c r="J94" s="243">
        <f>VLOOKUP(I94,$I$22:$Q$26,3,FALSE())</f>
        <v/>
      </c>
      <c r="S94" s="208" t="inlineStr">
        <is>
          <t>Baris</t>
        </is>
      </c>
      <c r="T94" s="243">
        <f>VLOOKUP(S94,$I$22:$Q$26,6,FALSE())</f>
        <v/>
      </c>
      <c r="AM94" s="246" t="n"/>
      <c r="AQ94" s="246" t="n"/>
      <c r="AR94" s="260" t="n"/>
    </row>
    <row r="95" ht="14.25" customHeight="1" s="175">
      <c r="A95" s="254" t="inlineStr">
        <is>
          <t>Carter</t>
        </is>
      </c>
      <c r="B95" s="202" t="n">
        <v>2</v>
      </c>
      <c r="C95" s="255" t="inlineStr">
        <is>
          <t>Mikey</t>
        </is>
      </c>
      <c r="D95" s="173" t="inlineStr">
        <is>
          <t>2026-02-11 14:20:56</t>
        </is>
      </c>
      <c r="E95" s="173" t="inlineStr">
        <is>
          <t>https://cdn.discordapp.com/ephemeral-attachments/1450933256630440049/1471224687005667432/IMG_2611.jpg?ex=698e2843&amp;is=698cd6c3&amp;hm=2fd82e34be3164093a5b5ae74df90059735060c5c03e40e4542ec9987cccf384&amp;</t>
        </is>
      </c>
      <c r="F95" s="173" t="inlineStr">
        <is>
          <t>1031639054846021672</t>
        </is>
      </c>
      <c r="G95" s="173" t="inlineStr">
        <is>
          <t>288299360557465600</t>
        </is>
      </c>
      <c r="I95" s="208" t="inlineStr">
        <is>
          <t>Leads</t>
        </is>
      </c>
      <c r="J95" s="243">
        <f>VLOOKUP(I95,$I$22:$Q$26,3,FALSE())</f>
        <v/>
      </c>
      <c r="S95" s="208" t="inlineStr">
        <is>
          <t>Leads</t>
        </is>
      </c>
      <c r="T95" s="243">
        <f>VLOOKUP(S95,$I$22:$Q$26,6,FALSE())</f>
        <v/>
      </c>
      <c r="AM95" s="246" t="n"/>
      <c r="AQ95" s="246" t="n"/>
      <c r="AR95" s="260" t="n"/>
    </row>
    <row r="96" ht="14.25" customHeight="1" s="175">
      <c r="A96" s="254" t="inlineStr">
        <is>
          <t>Peter</t>
        </is>
      </c>
      <c r="B96" s="202" t="n">
        <v>1</v>
      </c>
      <c r="C96" s="255" t="inlineStr">
        <is>
          <t>Anthony</t>
        </is>
      </c>
      <c r="D96" s="173" t="inlineStr">
        <is>
          <t>2026-02-11 14:40:24</t>
        </is>
      </c>
      <c r="E96" s="173" t="inlineStr">
        <is>
          <t>https://cdn.discordapp.com/ephemeral-attachments/1450933256630440049/1471229586028232796/PXL_20260211_194039011.jpg?ex=698e2cd3&amp;is=698cdb53&amp;hm=d669f25f7664d06c955f4091a8a9448f308c72b054e68c8dbfc6d0f23c76ffaa&amp;</t>
        </is>
      </c>
      <c r="F96" s="173" t="inlineStr">
        <is>
          <t>290654652838576130</t>
        </is>
      </c>
      <c r="G96" s="173" t="inlineStr">
        <is>
          <t>525816152161648680</t>
        </is>
      </c>
      <c r="I96" s="208" t="inlineStr">
        <is>
          <t>Basses</t>
        </is>
      </c>
      <c r="J96" s="243">
        <f>VLOOKUP(I96,$I$22:$Q$26,3,FALSE())</f>
        <v/>
      </c>
      <c r="S96" s="208" t="inlineStr">
        <is>
          <t>Basses</t>
        </is>
      </c>
      <c r="T96" s="243">
        <f>VLOOKUP(S96,$I$22:$Q$26,6,FALSE())</f>
        <v/>
      </c>
      <c r="AM96" s="246" t="n"/>
      <c r="AQ96" s="246" t="n"/>
      <c r="AR96" s="260" t="n"/>
    </row>
    <row r="97" ht="14.25" customHeight="1" s="175">
      <c r="A97" s="254" t="inlineStr">
        <is>
          <t>Anthony</t>
        </is>
      </c>
      <c r="B97" s="202" t="n">
        <v>1</v>
      </c>
      <c r="C97" s="255" t="inlineStr">
        <is>
          <t>Peter</t>
        </is>
      </c>
      <c r="D97" s="173" t="inlineStr">
        <is>
          <t>2026-02-11 14:40:54</t>
        </is>
      </c>
      <c r="E97" s="173" t="inlineStr">
        <is>
          <t>https://cdn.discordapp.com/ephemeral-attachments/1450933256630440049/1471229711899295885/IMG_6770.jpg?ex=698e2cf1&amp;is=698cdb71&amp;hm=eac93bdb4988b15d50a190f0d40b412f2c92c67e70f5b95d67fb0a3e3be97a1f&amp;</t>
        </is>
      </c>
      <c r="F97" s="173" t="inlineStr">
        <is>
          <t>525816152161648680</t>
        </is>
      </c>
      <c r="G97" s="173" t="inlineStr">
        <is>
          <t>290654652838576130</t>
        </is>
      </c>
      <c r="I97" s="208" t="inlineStr">
        <is>
          <t>Tenors</t>
        </is>
      </c>
      <c r="J97" s="243">
        <f>VLOOKUP(I97,$I$22:$Q$26,3,FALSE())</f>
        <v/>
      </c>
      <c r="S97" s="208" t="inlineStr">
        <is>
          <t>Tenors</t>
        </is>
      </c>
      <c r="T97" s="243">
        <f>VLOOKUP(S97,$I$22:$Q$26,6,FALSE())</f>
        <v/>
      </c>
      <c r="AM97" s="246" t="n"/>
      <c r="AQ97" s="246" t="n"/>
      <c r="AR97" s="260" t="n"/>
    </row>
    <row r="98" ht="14.25" customHeight="1" s="175">
      <c r="A98" s="254" t="inlineStr">
        <is>
          <t>Mikey</t>
        </is>
      </c>
      <c r="B98" s="202" t="n">
        <v>1</v>
      </c>
      <c r="C98" s="255" t="inlineStr">
        <is>
          <t>Reuben</t>
        </is>
      </c>
      <c r="D98" s="173" t="inlineStr">
        <is>
          <t>2026-02-11 18:31:54</t>
        </is>
      </c>
      <c r="E98" s="173" t="inlineStr">
        <is>
          <t>https://cdn.discordapp.com/ephemeral-attachments/1450933256630440049/1471287901894611174/IMG_2353.jpg?ex=698e6323&amp;is=698d11a3&amp;hm=67eca6e05af3ce7129bbe44da11044182d952051a0c6392e071aded797ea5299&amp;</t>
        </is>
      </c>
      <c r="F98" s="173" t="inlineStr">
        <is>
          <t>288299360557465600</t>
        </is>
      </c>
      <c r="G98" s="173" t="inlineStr">
        <is>
          <t>689822943307759670</t>
        </is>
      </c>
      <c r="AM98" s="246" t="n"/>
      <c r="AQ98" s="246" t="n"/>
      <c r="AR98" s="260" t="n"/>
    </row>
    <row r="99" ht="14.25" customHeight="1" s="175">
      <c r="A99" s="254" t="inlineStr">
        <is>
          <t>Vignesh</t>
        </is>
      </c>
      <c r="B99" s="202" t="n">
        <v>2</v>
      </c>
      <c r="C99" s="255" t="inlineStr">
        <is>
          <t>Rob</t>
        </is>
      </c>
      <c r="D99" s="173" t="inlineStr">
        <is>
          <t>2026-02-12 12:08:40</t>
        </is>
      </c>
      <c r="E99" s="173" t="inlineStr">
        <is>
          <t>https://cdn.discordapp.com/ephemeral-attachments/1450933256630440049/1471553597102620726/IMG20260212120754.jpg?ex=698f5a95&amp;is=698e0915&amp;hm=549abf7ce6393fd77dae6f6355cbb369bf970de0044c32c8682506c070218ae0&amp;</t>
        </is>
      </c>
      <c r="F99" s="173" t="inlineStr">
        <is>
          <t>483162151046086657</t>
        </is>
      </c>
      <c r="G99" s="173" t="inlineStr">
        <is>
          <t>619268961393049601</t>
        </is>
      </c>
      <c r="AM99" s="246" t="n"/>
      <c r="AQ99" s="246" t="n"/>
      <c r="AR99" s="260" t="n"/>
    </row>
    <row r="100" ht="14.25" customHeight="1" s="175">
      <c r="A100" s="254" t="inlineStr">
        <is>
          <t>Carter</t>
        </is>
      </c>
      <c r="B100" s="202" t="n">
        <v>2</v>
      </c>
      <c r="C100" s="255" t="inlineStr">
        <is>
          <t>Lucy</t>
        </is>
      </c>
      <c r="D100" s="173" t="inlineStr">
        <is>
          <t>2026-02-12 12:18:43</t>
        </is>
      </c>
      <c r="E100" s="173" t="inlineStr">
        <is>
          <t>https://cdn.discordapp.com/ephemeral-attachments/1450933256630440049/1471556120081600735/IMG_2617.jpg?ex=698f5cef&amp;is=698e0b6f&amp;hm=f2eafd5ad0bc5bde6e19036ed825d70145a166f24cec64f7c405e643d65541a0&amp;</t>
        </is>
      </c>
      <c r="F100" s="173" t="inlineStr">
        <is>
          <t>1031639054846021672</t>
        </is>
      </c>
      <c r="G100" s="173" t="inlineStr">
        <is>
          <t>1021390383915204648</t>
        </is>
      </c>
      <c r="AM100" s="246" t="n"/>
      <c r="AQ100" s="246" t="n"/>
      <c r="AR100" s="260" t="n"/>
    </row>
    <row r="101" ht="14.25" customHeight="1" s="175">
      <c r="A101" s="254" t="inlineStr">
        <is>
          <t>Carter</t>
        </is>
      </c>
      <c r="B101" s="202" t="n">
        <v>2</v>
      </c>
      <c r="C101" s="255" t="inlineStr">
        <is>
          <t>Rob</t>
        </is>
      </c>
      <c r="D101" s="173" t="inlineStr">
        <is>
          <t>2026-02-12 13:30:00</t>
        </is>
      </c>
      <c r="E101" s="173" t="inlineStr">
        <is>
          <t>https://cdn.discordapp.com/ephemeral-attachments/1450933256630440049/1471574058272297141/IMG_2618.jpg?ex=698f6da4&amp;is=698e1c24&amp;hm=345b3cee7478dc50d29fa11ccdfab487450e807bfe954df4a4160a964b9e244a&amp;</t>
        </is>
      </c>
      <c r="F101" s="173" t="inlineStr">
        <is>
          <t>1031639054846021672</t>
        </is>
      </c>
      <c r="G101" s="173" t="inlineStr">
        <is>
          <t>619268961393049601</t>
        </is>
      </c>
      <c r="AM101" s="246" t="n"/>
      <c r="AQ101" s="246" t="n"/>
      <c r="AR101" s="260" t="n"/>
    </row>
    <row r="102" ht="14.25" customHeight="1" s="175">
      <c r="A102" s="254" t="inlineStr">
        <is>
          <t>Mikey</t>
        </is>
      </c>
      <c r="B102" s="202" t="n">
        <v>2</v>
      </c>
      <c r="C102" s="255" t="inlineStr">
        <is>
          <t>Lucy</t>
        </is>
      </c>
      <c r="D102" s="173" t="inlineStr">
        <is>
          <t>2026-02-12 13:50:17</t>
        </is>
      </c>
      <c r="E102" s="173" t="inlineStr">
        <is>
          <t>https://cdn.discordapp.com/ephemeral-attachments/1450933256630440049/1471579165244395580/IMG_2356.jpg?ex=698f7265&amp;is=698e20e5&amp;hm=70a6088520a1029d7543dbf929e0108883c6c0192eed5970f6f37d84e88ab09a&amp;</t>
        </is>
      </c>
      <c r="F102" s="173" t="inlineStr">
        <is>
          <t>288299360557465600</t>
        </is>
      </c>
      <c r="G102" s="173" t="inlineStr">
        <is>
          <t>1021390383915204648</t>
        </is>
      </c>
      <c r="AM102" s="246" t="n"/>
      <c r="AQ102" s="246" t="n"/>
      <c r="AR102" s="260" t="n"/>
    </row>
    <row r="103" ht="14.25" customHeight="1" s="175">
      <c r="A103" s="254" t="inlineStr">
        <is>
          <t>Lucy</t>
        </is>
      </c>
      <c r="B103" s="202" t="n">
        <v>1</v>
      </c>
      <c r="C103" s="255" t="inlineStr">
        <is>
          <t>Mikey</t>
        </is>
      </c>
      <c r="D103" s="173" t="inlineStr">
        <is>
          <t>2026-02-12 13:51:17</t>
        </is>
      </c>
      <c r="E103" s="173" t="inlineStr">
        <is>
          <t>https://cdn.discordapp.com/ephemeral-attachments/1450933256630440049/1471579416613224542/20260212_134958.jpg?ex=698f72a1&amp;is=698e2121&amp;hm=278d47ee8e3f2eb2e88fc6d906fd5c8e634bb457e83c29d1963abdf33e771f77&amp;</t>
        </is>
      </c>
      <c r="F103" s="173" t="inlineStr">
        <is>
          <t>1021390383915204648</t>
        </is>
      </c>
      <c r="G103" s="173" t="inlineStr">
        <is>
          <t>288299360557465600</t>
        </is>
      </c>
      <c r="L103" s="246" t="n"/>
      <c r="M103" s="246" t="n"/>
      <c r="N103" s="246" t="n"/>
      <c r="O103" s="260" t="n"/>
      <c r="P103" s="260" t="n"/>
      <c r="Q103" s="260" t="n"/>
      <c r="R103" s="260" t="n"/>
      <c r="S103" s="182" t="n"/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E103" s="246" t="n"/>
      <c r="AF103" s="246" t="n"/>
      <c r="AM103" s="246" t="n"/>
      <c r="AQ103" s="246" t="n"/>
      <c r="AR103" s="260" t="n"/>
    </row>
    <row r="104" ht="14.25" customHeight="1" s="175">
      <c r="A104" s="254" t="inlineStr">
        <is>
          <t>Lucy</t>
        </is>
      </c>
      <c r="B104" s="202" t="n">
        <v>1</v>
      </c>
      <c r="C104" s="255" t="inlineStr">
        <is>
          <t>Rob</t>
        </is>
      </c>
      <c r="D104" s="173" t="inlineStr">
        <is>
          <t>2026-02-12 18:39:23</t>
        </is>
      </c>
      <c r="E104" s="173" t="inlineStr">
        <is>
          <t>https://cdn.discordapp.com/ephemeral-attachments/1450933256630440049/1471651911890637000/20260212_183832.jpg?ex=698fb625&amp;is=698e64a5&amp;hm=78bf1518582e5c9c3ed3fb685eb232be4a9212b6da71ec0d34c8bc6f7cbf259b&amp;</t>
        </is>
      </c>
      <c r="F104" s="173" t="inlineStr">
        <is>
          <t>1021390383915204648</t>
        </is>
      </c>
      <c r="G104" s="173" t="inlineStr">
        <is>
          <t>619268961393049601</t>
        </is>
      </c>
      <c r="I104" s="208" t="inlineStr">
        <is>
          <t>Part:</t>
        </is>
      </c>
      <c r="J104" s="216" t="inlineStr">
        <is>
          <t>KDR</t>
        </is>
      </c>
      <c r="L104" s="246" t="n"/>
      <c r="M104" s="246" t="n"/>
      <c r="N104" s="246" t="n"/>
      <c r="O104" s="260" t="n"/>
      <c r="P104" s="260" t="n"/>
      <c r="Q104" s="260" t="n"/>
      <c r="R104" s="260" t="n"/>
      <c r="S104" s="208" t="inlineStr">
        <is>
          <t>Part:</t>
        </is>
      </c>
      <c r="T104" s="216" t="inlineStr">
        <is>
          <t>KpDpR</t>
        </is>
      </c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E104" s="246" t="n"/>
      <c r="AF104" s="246" t="n"/>
      <c r="AM104" s="246" t="n"/>
      <c r="AQ104" s="246" t="n"/>
      <c r="AR104" s="260" t="n"/>
    </row>
    <row r="105" ht="14.25" customHeight="1" s="175">
      <c r="A105" s="254" t="inlineStr">
        <is>
          <t>Peter</t>
        </is>
      </c>
      <c r="B105" s="202" t="n">
        <v>2</v>
      </c>
      <c r="C105" s="255" t="inlineStr">
        <is>
          <t>Reuben</t>
        </is>
      </c>
      <c r="D105" s="173" t="inlineStr">
        <is>
          <t>2026-02-13 08:47:59</t>
        </is>
      </c>
      <c r="E105" s="173" t="inlineStr">
        <is>
          <t>https://cdn.discordapp.com/ephemeral-attachments/1450933256630440049/1471865481978712256/PXL_20260213_134725029.jpg?ex=69907d0c&amp;is=698f2b8c&amp;hm=01adde4fd5811904199b5aab077cbbface42aa343555d097eedb9d7ea079e29f&amp;</t>
        </is>
      </c>
      <c r="F105" s="173" t="inlineStr">
        <is>
          <t>290654652838576130</t>
        </is>
      </c>
      <c r="G105" s="173" t="inlineStr">
        <is>
          <t>689822943307759670</t>
        </is>
      </c>
      <c r="I105" s="226" t="inlineStr">
        <is>
          <t>Tenors</t>
        </is>
      </c>
      <c r="J105" s="242">
        <f>VLOOKUP(I105,$I$22:$Q$26,4,FALSE())</f>
        <v/>
      </c>
      <c r="L105" s="246" t="n"/>
      <c r="M105" s="246" t="n"/>
      <c r="N105" s="246" t="n"/>
      <c r="O105" s="260" t="n"/>
      <c r="P105" s="260" t="n"/>
      <c r="Q105" s="260" t="n"/>
      <c r="R105" s="260" t="n"/>
      <c r="S105" s="226" t="inlineStr">
        <is>
          <t>Tenors</t>
        </is>
      </c>
      <c r="T105" s="242">
        <f>VLOOKUP(S105,$I$22:$Q$26,7,FALSE())</f>
        <v/>
      </c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E105" s="246" t="n"/>
      <c r="AF105" s="246" t="n"/>
      <c r="AM105" s="246" t="n"/>
      <c r="AQ105" s="246" t="n"/>
      <c r="AR105" s="260" t="n"/>
    </row>
    <row r="106" ht="14.25" customHeight="1" s="175">
      <c r="A106" s="254" t="inlineStr">
        <is>
          <t>Evan</t>
        </is>
      </c>
      <c r="B106" s="202" t="n">
        <v>1</v>
      </c>
      <c r="C106" s="255" t="inlineStr">
        <is>
          <t>Reuben</t>
        </is>
      </c>
      <c r="D106" s="173" t="inlineStr">
        <is>
          <t>2026-02-13 11:53:14</t>
        </is>
      </c>
      <c r="E106" s="173" t="inlineStr">
        <is>
          <t>https://cdn.discordapp.com/ephemeral-attachments/1450933256630440049/1471912095334268978/20260213_115222.jpg?ex=6990a876&amp;is=698f56f6&amp;hm=9e7021c686a3b4a6a8eebb7483845c4b2ad5b37a2ea033ab2885b17d33296d12&amp;</t>
        </is>
      </c>
      <c r="F106" s="173" t="inlineStr">
        <is>
          <t>310453864866512907</t>
        </is>
      </c>
      <c r="G106" s="173" t="inlineStr">
        <is>
          <t>689822943307759670</t>
        </is>
      </c>
      <c r="I106" s="208" t="inlineStr">
        <is>
          <t>Baris</t>
        </is>
      </c>
      <c r="J106" s="242">
        <f>VLOOKUP(I106,$I$22:$Q$26,4,FALSE())</f>
        <v/>
      </c>
      <c r="L106" s="246" t="n"/>
      <c r="M106" s="246" t="n"/>
      <c r="N106" s="246" t="n"/>
      <c r="O106" s="260" t="n"/>
      <c r="P106" s="260" t="n"/>
      <c r="Q106" s="260" t="n"/>
      <c r="R106" s="260" t="n"/>
      <c r="S106" s="208" t="inlineStr">
        <is>
          <t>Baris</t>
        </is>
      </c>
      <c r="T106" s="242">
        <f>VLOOKUP(S106,$I$22:$Q$26,7,FALSE())</f>
        <v/>
      </c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E106" s="246" t="n"/>
      <c r="AF106" s="246" t="n"/>
      <c r="AM106" s="246" t="n"/>
      <c r="AQ106" s="246" t="n"/>
      <c r="AR106" s="260" t="n"/>
    </row>
    <row r="107" ht="14.25" customHeight="1" s="175">
      <c r="A107" s="254" t="inlineStr">
        <is>
          <t>Rob</t>
        </is>
      </c>
      <c r="B107" s="202" t="n">
        <v>2</v>
      </c>
      <c r="C107" s="255" t="inlineStr">
        <is>
          <t>Reuben</t>
        </is>
      </c>
      <c r="D107" s="173" t="inlineStr">
        <is>
          <t>2026-02-13 13:11:02</t>
        </is>
      </c>
      <c r="E107" s="173" t="inlineStr">
        <is>
          <t>https://cdn.discordapp.com/ephemeral-attachments/1450933256630440049/1471931666497798234/C9E7C323-516D-49CE-9837-28D57A4F5C27.jpg?ex=6990bab0&amp;is=698f6930&amp;hm=2ce7242fb319303e2ba1f3c99db7d8892d9dc58ec5762f8da7fcc36710cd4f04&amp;</t>
        </is>
      </c>
      <c r="F107" s="173" t="inlineStr">
        <is>
          <t>619268961393049601</t>
        </is>
      </c>
      <c r="G107" s="173" t="inlineStr">
        <is>
          <t>689822943307759670</t>
        </is>
      </c>
      <c r="I107" s="208" t="inlineStr">
        <is>
          <t>Leads</t>
        </is>
      </c>
      <c r="J107" s="242">
        <f>VLOOKUP(I107,$I$22:$Q$26,4,FALSE())</f>
        <v/>
      </c>
      <c r="L107" s="246" t="n"/>
      <c r="M107" s="246" t="n"/>
      <c r="N107" s="246" t="n"/>
      <c r="O107" s="260" t="n"/>
      <c r="P107" s="260" t="n"/>
      <c r="Q107" s="260" t="n"/>
      <c r="R107" s="260" t="n"/>
      <c r="S107" s="208" t="inlineStr">
        <is>
          <t>Leads</t>
        </is>
      </c>
      <c r="T107" s="242">
        <f>VLOOKUP(S107,$I$22:$Q$26,7,FALSE())</f>
        <v/>
      </c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E107" s="246" t="n"/>
      <c r="AF107" s="246" t="n"/>
      <c r="AM107" s="246" t="n"/>
      <c r="AQ107" s="246" t="n"/>
      <c r="AR107" s="260" t="n"/>
    </row>
    <row r="108" ht="14.25" customHeight="1" s="175">
      <c r="A108" s="254" t="inlineStr">
        <is>
          <t>Will</t>
        </is>
      </c>
      <c r="B108" s="202" t="n">
        <v>2</v>
      </c>
      <c r="C108" s="255" t="inlineStr">
        <is>
          <t>Reuben</t>
        </is>
      </c>
      <c r="D108" s="173" t="inlineStr">
        <is>
          <t>2026-02-14 17:50:04</t>
        </is>
      </c>
      <c r="E108" s="173" t="inlineStr">
        <is>
          <t>https://cdn.discordapp.com/ephemeral-attachments/1450933256630440049/1472364282292207800/IMG_1951.jpg?ex=69924d98&amp;is=6990fc18&amp;hm=264b0e70c6454348eac3dd73e72012c5bd2cf48e3c8dcc09339c39fb05bcdfb0&amp;</t>
        </is>
      </c>
      <c r="F108" s="173" t="inlineStr">
        <is>
          <t>707377558940811335</t>
        </is>
      </c>
      <c r="G108" s="173" t="inlineStr">
        <is>
          <t>689822943307759670</t>
        </is>
      </c>
      <c r="I108" s="208" t="inlineStr">
        <is>
          <t>Basses</t>
        </is>
      </c>
      <c r="J108" s="242">
        <f>VLOOKUP(I108,$I$22:$Q$26,4,FALSE())</f>
        <v/>
      </c>
      <c r="L108" s="246" t="n"/>
      <c r="M108" s="246" t="n"/>
      <c r="N108" s="246" t="n"/>
      <c r="O108" s="260" t="n"/>
      <c r="P108" s="260" t="n"/>
      <c r="Q108" s="260" t="n"/>
      <c r="R108" s="260" t="n"/>
      <c r="S108" s="208" t="inlineStr">
        <is>
          <t>Basses</t>
        </is>
      </c>
      <c r="T108" s="242">
        <f>VLOOKUP(S108,$I$22:$Q$26,7,FALSE())</f>
        <v/>
      </c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E108" s="246" t="n"/>
      <c r="AF108" s="246" t="n"/>
      <c r="AM108" s="246" t="n"/>
      <c r="AQ108" s="246" t="n"/>
      <c r="AR108" s="260" t="n"/>
    </row>
    <row r="109" ht="14.25" customHeight="1" s="175">
      <c r="A109" s="254" t="inlineStr">
        <is>
          <t>Vignesh</t>
        </is>
      </c>
      <c r="B109" s="202" t="n">
        <v>2</v>
      </c>
      <c r="C109" s="255" t="inlineStr">
        <is>
          <t>Carter</t>
        </is>
      </c>
      <c r="D109" s="173" t="inlineStr">
        <is>
          <t>2026-02-16 10:36:04</t>
        </is>
      </c>
      <c r="E109" s="173" t="inlineStr">
        <is>
          <t>https://cdn.discordapp.com/ephemeral-attachments/1450933256630440049/1472979838510825502/IMG20260216103536.jpg?ex=69948ae0&amp;is=69933960&amp;hm=860eda6a46f1ef0911989d525ff7bd1f328851a32b2d186eeb1d97a657f14ba9&amp;</t>
        </is>
      </c>
      <c r="F109" s="173" t="inlineStr">
        <is>
          <t>483162151046086657</t>
        </is>
      </c>
      <c r="G109" s="173" t="inlineStr">
        <is>
          <t>1031639054846021672</t>
        </is>
      </c>
      <c r="L109" s="246" t="n"/>
      <c r="M109" s="246" t="n"/>
      <c r="N109" s="246" t="n"/>
      <c r="O109" s="260" t="n"/>
      <c r="P109" s="260" t="n"/>
      <c r="Q109" s="260" t="n"/>
      <c r="R109" s="260" t="n"/>
      <c r="S109" s="182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G109" s="246" t="n"/>
      <c r="AH109" s="246" t="n"/>
      <c r="AM109" s="246" t="n"/>
      <c r="AQ109" s="246" t="n"/>
      <c r="AR109" s="260" t="n"/>
    </row>
    <row r="110" ht="14.25" customHeight="1" s="175">
      <c r="A110" s="254" t="inlineStr">
        <is>
          <t>Peter</t>
        </is>
      </c>
      <c r="B110" s="202" t="n">
        <v>1</v>
      </c>
      <c r="C110" s="255" t="inlineStr">
        <is>
          <t>Vignesh</t>
        </is>
      </c>
      <c r="D110" s="173" t="inlineStr">
        <is>
          <t>2026-02-16 12:04:51</t>
        </is>
      </c>
      <c r="E110" s="173" t="inlineStr">
        <is>
          <t>https://cdn.discordapp.com/ephemeral-attachments/1450933256630440049/1473002185800286424/PXL_20260216_170406158.jpg?ex=69949fb0&amp;is=69934e30&amp;hm=bdb37ca17a87df51807c8620df5c49a38987613f20f5558f0ab46354c77fc3ba&amp;</t>
        </is>
      </c>
      <c r="F110" s="173" t="inlineStr">
        <is>
          <t>290654652838576130</t>
        </is>
      </c>
      <c r="G110" s="173" t="inlineStr">
        <is>
          <t>483162151046086657</t>
        </is>
      </c>
      <c r="L110" s="246" t="n"/>
      <c r="M110" s="246" t="n"/>
      <c r="N110" s="246" t="n"/>
      <c r="O110" s="260" t="n"/>
      <c r="P110" s="260" t="n"/>
      <c r="Q110" s="260" t="n"/>
      <c r="R110" s="260" t="n"/>
      <c r="S110" s="182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G110" s="246" t="n"/>
      <c r="AH110" s="246" t="n"/>
      <c r="AM110" s="246" t="n"/>
      <c r="AQ110" s="246" t="n"/>
      <c r="AR110" s="260" t="n"/>
    </row>
    <row r="111" ht="14.25" customHeight="1" s="175">
      <c r="A111" s="254" t="inlineStr">
        <is>
          <t>Vignesh</t>
        </is>
      </c>
      <c r="B111" s="202" t="n">
        <v>1</v>
      </c>
      <c r="C111" s="255" t="inlineStr">
        <is>
          <t>Peter</t>
        </is>
      </c>
      <c r="D111" s="173" t="inlineStr">
        <is>
          <t>2026-02-16 12:05:00</t>
        </is>
      </c>
      <c r="E111" s="173" t="inlineStr">
        <is>
          <t>https://cdn.discordapp.com/ephemeral-attachments/1450933256630440049/1473002223847080101/IMG20260216120418.jpg?ex=69949fb9&amp;is=69934e39&amp;hm=522af52c850b27f370be256996c781bd2897550b47ef7ba69b7b3b4b4fef654d&amp;</t>
        </is>
      </c>
      <c r="F111" s="173" t="inlineStr">
        <is>
          <t>483162151046086657</t>
        </is>
      </c>
      <c r="G111" s="173" t="inlineStr">
        <is>
          <t>290654652838576130</t>
        </is>
      </c>
      <c r="L111" s="246" t="n"/>
      <c r="M111" s="246" t="n"/>
      <c r="N111" s="246" t="n"/>
      <c r="O111" s="260" t="n"/>
      <c r="P111" s="260" t="n"/>
      <c r="Q111" s="260" t="n"/>
      <c r="R111" s="260" t="n"/>
      <c r="S111" s="182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G111" s="246" t="n"/>
      <c r="AH111" s="246" t="n"/>
      <c r="AM111" s="246" t="n"/>
      <c r="AQ111" s="246" t="n"/>
      <c r="AR111" s="260" t="n"/>
    </row>
    <row r="112" ht="14.25" customHeight="1" s="175">
      <c r="A112" s="254" t="inlineStr">
        <is>
          <t>Mikey</t>
        </is>
      </c>
      <c r="B112" s="202" t="n">
        <v>1</v>
      </c>
      <c r="C112" s="255" t="inlineStr">
        <is>
          <t>Ethan</t>
        </is>
      </c>
      <c r="D112" s="173" t="inlineStr">
        <is>
          <t>2026-02-16 13:11:21</t>
        </is>
      </c>
      <c r="E112" s="173" t="inlineStr">
        <is>
          <t>https://cdn.discordapp.com/ephemeral-attachments/1450933256630440049/1473018921144815761/IMG_2409.jpg?ex=6994af46&amp;is=69935dc6&amp;hm=dbe4e2c1fbe53202b092098639aa66e15631759110f56544225a5870d36f3994&amp;</t>
        </is>
      </c>
      <c r="F112" s="173" t="inlineStr">
        <is>
          <t>288299360557465600</t>
        </is>
      </c>
      <c r="G112" s="173" t="inlineStr">
        <is>
          <t>423221841872814081</t>
        </is>
      </c>
      <c r="L112" s="246" t="n"/>
      <c r="M112" s="246" t="n"/>
      <c r="N112" s="246" t="n"/>
      <c r="O112" s="260" t="n"/>
      <c r="P112" s="260" t="n"/>
      <c r="Q112" s="260" t="n"/>
      <c r="R112" s="260" t="n"/>
      <c r="S112" s="182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G112" s="246" t="n"/>
      <c r="AH112" s="246" t="n"/>
      <c r="AM112" s="246" t="n"/>
      <c r="AQ112" s="246" t="n"/>
      <c r="AR112" s="260" t="n"/>
    </row>
    <row r="113" ht="14.25" customHeight="1" s="175">
      <c r="A113" s="254" t="inlineStr">
        <is>
          <t>Ethan</t>
        </is>
      </c>
      <c r="B113" s="202" t="n">
        <v>1</v>
      </c>
      <c r="C113" s="255" t="inlineStr">
        <is>
          <t>Mikey</t>
        </is>
      </c>
      <c r="D113" s="173" t="inlineStr">
        <is>
          <t>2026-02-16 13:11:38</t>
        </is>
      </c>
      <c r="E113" s="173" t="inlineStr">
        <is>
          <t>https://cdn.discordapp.com/ephemeral-attachments/1450933256630440049/1473018989020975319/20260216_131057.jpg?ex=6994af56&amp;is=69935dd6&amp;hm=c02b0dd95cc82aade98927a56a26cf32bbc9f618806048b16947d5fa3972d45c&amp;</t>
        </is>
      </c>
      <c r="F113" s="173" t="inlineStr">
        <is>
          <t>423221841872814081</t>
        </is>
      </c>
      <c r="G113" s="173" t="inlineStr">
        <is>
          <t>288299360557465600</t>
        </is>
      </c>
      <c r="L113" s="246" t="n"/>
      <c r="M113" s="246" t="n"/>
      <c r="N113" s="246" t="n"/>
      <c r="O113" s="260" t="n"/>
      <c r="P113" s="260" t="n"/>
      <c r="Q113" s="260" t="n"/>
      <c r="R113" s="260" t="n"/>
      <c r="S113" s="182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G113" s="246" t="n"/>
      <c r="AH113" s="246" t="n"/>
      <c r="AM113" s="246" t="n"/>
      <c r="AQ113" s="246" t="n"/>
      <c r="AR113" s="260" t="n"/>
    </row>
    <row r="114" ht="14.25" customHeight="1" s="175">
      <c r="A114" s="254" t="inlineStr">
        <is>
          <t>Anthony</t>
        </is>
      </c>
      <c r="B114" s="202" t="n">
        <v>2</v>
      </c>
      <c r="C114" s="255" t="inlineStr">
        <is>
          <t>Vignesh</t>
        </is>
      </c>
      <c r="D114" s="173" t="inlineStr">
        <is>
          <t>2026-02-16 13:52:55</t>
        </is>
      </c>
      <c r="E114" s="173" t="inlineStr">
        <is>
          <t>https://cdn.discordapp.com/ephemeral-attachments/1450933256630440049/1473029378060451960/IMG_6791.jpg?ex=6994b903&amp;is=69936783&amp;hm=ead6e97e706adb6b6365a35436bb64a12061a0655cc4665962b5ba6a47fcee44&amp;</t>
        </is>
      </c>
      <c r="F114" s="173" t="inlineStr">
        <is>
          <t>525816152161648680</t>
        </is>
      </c>
      <c r="G114" s="173" t="inlineStr">
        <is>
          <t>483162151046086657</t>
        </is>
      </c>
      <c r="L114" s="246" t="n"/>
      <c r="M114" s="246" t="n"/>
      <c r="N114" s="246" t="n"/>
      <c r="O114" s="260" t="n"/>
      <c r="P114" s="260" t="n"/>
      <c r="Q114" s="260" t="n"/>
      <c r="R114" s="260" t="n"/>
      <c r="S114" s="182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G114" s="246" t="n"/>
      <c r="AH114" s="246" t="n"/>
      <c r="AM114" s="246" t="n"/>
      <c r="AQ114" s="246" t="n"/>
      <c r="AR114" s="260" t="n"/>
    </row>
    <row r="115" ht="14.25" customHeight="1" s="175">
      <c r="A115" s="254" t="inlineStr">
        <is>
          <t>Vignesh</t>
        </is>
      </c>
      <c r="B115" s="202" t="n">
        <v>1</v>
      </c>
      <c r="C115" s="255" t="inlineStr">
        <is>
          <t>Evan</t>
        </is>
      </c>
      <c r="D115" s="173" t="inlineStr">
        <is>
          <t>2026-02-16 13:54:34</t>
        </is>
      </c>
      <c r="E115" s="173" t="inlineStr">
        <is>
          <t>https://cdn.discordapp.com/ephemeral-attachments/1450933256630440049/1473029795712598169/IMG20260216135327.jpg?ex=6994b966&amp;is=699367e6&amp;hm=c523c6c58496c92890cc38d92e5686bdb3634d389ad1343ce2c6a411ae22384e&amp;</t>
        </is>
      </c>
      <c r="F115" s="173" t="inlineStr">
        <is>
          <t>483162151046086657</t>
        </is>
      </c>
      <c r="G115" s="173" t="inlineStr">
        <is>
          <t>310453864866512907</t>
        </is>
      </c>
      <c r="L115" s="246" t="n"/>
      <c r="M115" s="246" t="n"/>
      <c r="N115" s="246" t="n"/>
      <c r="O115" s="260" t="n"/>
      <c r="P115" s="260" t="n"/>
      <c r="Q115" s="260" t="n"/>
      <c r="R115" s="260" t="n"/>
      <c r="S115" s="182" t="n"/>
      <c r="V115" s="246" t="n"/>
      <c r="W115" s="246" t="n"/>
      <c r="X115" s="246" t="n"/>
      <c r="Y115" s="246" t="n"/>
      <c r="Z115" s="246" t="n"/>
      <c r="AA115" s="246" t="n"/>
      <c r="AB115" s="246" t="n"/>
      <c r="AC115" s="246" t="n"/>
      <c r="AD115" s="246" t="n"/>
      <c r="AE115" s="246" t="n"/>
      <c r="AF115" s="246" t="n"/>
      <c r="AG115" s="246" t="n"/>
      <c r="AH115" s="246" t="n"/>
      <c r="AM115" s="246" t="n"/>
      <c r="AQ115" s="246" t="n"/>
      <c r="AR115" s="260" t="n"/>
    </row>
    <row r="116" ht="14.25" customHeight="1" s="175">
      <c r="A116" s="254" t="inlineStr">
        <is>
          <t>Evan</t>
        </is>
      </c>
      <c r="B116" s="202" t="n">
        <v>2</v>
      </c>
      <c r="C116" s="255" t="inlineStr">
        <is>
          <t>Vignesh</t>
        </is>
      </c>
      <c r="D116" s="173" t="inlineStr">
        <is>
          <t>2026-02-16 13:54:36</t>
        </is>
      </c>
      <c r="E116" s="173" t="inlineStr">
        <is>
          <t>https://cdn.discordapp.com/ephemeral-attachments/1450933256630440049/1473029803211886733/20260216_135256.jpg?ex=6994b968&amp;is=699367e8&amp;hm=880b22854f5f1bd7894be91c6571363a3c0e887470416fa1c0748ec7c80fdc1c&amp;</t>
        </is>
      </c>
      <c r="F116" s="173" t="inlineStr">
        <is>
          <t>310453864866512907</t>
        </is>
      </c>
      <c r="G116" s="173" t="inlineStr">
        <is>
          <t>483162151046086657</t>
        </is>
      </c>
      <c r="AG116" s="246" t="n"/>
      <c r="AH116" s="246" t="n"/>
      <c r="AM116" s="246" t="n"/>
      <c r="AQ116" s="246" t="n"/>
      <c r="AR116" s="260" t="n"/>
    </row>
    <row r="117" ht="14.25" customHeight="1" s="175">
      <c r="A117" s="254" t="inlineStr">
        <is>
          <t>Vignesh</t>
        </is>
      </c>
      <c r="B117" s="202" t="n">
        <v>2</v>
      </c>
      <c r="C117" s="255" t="inlineStr">
        <is>
          <t>Lucy</t>
        </is>
      </c>
      <c r="D117" s="173" t="inlineStr">
        <is>
          <t>2026-02-16 13:58:38</t>
        </is>
      </c>
      <c r="E117" s="173" t="inlineStr">
        <is>
          <t>https://cdn.discordapp.com/ephemeral-attachments/1450933256630440049/1473030818866921634/IMG20260216135800.jpg?ex=6994ba5a&amp;is=699368da&amp;hm=0801c6f5f02753332bdf6bb47ab98ae80806f0057144595352b15c5d332260a6&amp;</t>
        </is>
      </c>
      <c r="F117" s="173" t="inlineStr">
        <is>
          <t>483162151046086657</t>
        </is>
      </c>
      <c r="G117" s="173" t="inlineStr">
        <is>
          <t>1021390383915204648</t>
        </is>
      </c>
      <c r="AG117" s="246" t="n"/>
      <c r="AH117" s="246" t="n"/>
      <c r="AM117" s="246" t="n"/>
      <c r="AQ117" s="246" t="n"/>
      <c r="AR117" s="260" t="n"/>
    </row>
    <row r="118" ht="14.25" customHeight="1" s="175">
      <c r="A118" s="254" t="inlineStr">
        <is>
          <t>Peter</t>
        </is>
      </c>
      <c r="B118" s="202" t="n">
        <v>1</v>
      </c>
      <c r="C118" s="255" t="inlineStr">
        <is>
          <t>Vignesh</t>
        </is>
      </c>
      <c r="D118" s="173" t="inlineStr">
        <is>
          <t>2026-02-16 15:46:04</t>
        </is>
      </c>
      <c r="E118" s="173" t="inlineStr">
        <is>
          <t>https://cdn.discordapp.com/ephemeral-attachments/1450933256630440049/1473057856612991139/PXL_20260216_204455735.jpg?ex=6994d389&amp;is=69938209&amp;hm=c1ba7cdbebfc366616fce026b20f616fad48a1535f5f3e519c2c320f97e7f852&amp;</t>
        </is>
      </c>
      <c r="F118" s="173" t="inlineStr">
        <is>
          <t>290654652838576130</t>
        </is>
      </c>
      <c r="G118" s="173" t="inlineStr">
        <is>
          <t>483162151046086657</t>
        </is>
      </c>
      <c r="AG118" s="246" t="n"/>
      <c r="AH118" s="246" t="n"/>
      <c r="AM118" s="246" t="n"/>
      <c r="AQ118" s="246" t="n"/>
      <c r="AR118" s="260" t="n"/>
    </row>
    <row r="119" ht="14.25" customHeight="1" s="175">
      <c r="A119" s="254" t="inlineStr">
        <is>
          <t>Vignesh</t>
        </is>
      </c>
      <c r="B119" s="202" t="n">
        <v>1</v>
      </c>
      <c r="C119" s="255" t="inlineStr">
        <is>
          <t>Peter</t>
        </is>
      </c>
      <c r="D119" s="173" t="inlineStr">
        <is>
          <t>2026-02-16 15:46:07</t>
        </is>
      </c>
      <c r="E119" s="173" t="inlineStr">
        <is>
          <t>https://cdn.discordapp.com/ephemeral-attachments/1450933256630440049/1473057863004852471/IMG20260216154455.jpg?ex=6994d38a&amp;is=6993820a&amp;hm=bebabcba4cf50ee48d7ec6e06176f031537ceb8e542127f495dd78aeec6da960&amp;</t>
        </is>
      </c>
      <c r="F119" s="173" t="inlineStr">
        <is>
          <t>483162151046086657</t>
        </is>
      </c>
      <c r="G119" s="173" t="inlineStr">
        <is>
          <t>290654652838576130</t>
        </is>
      </c>
      <c r="AG119" s="246" t="n"/>
      <c r="AH119" s="246" t="n"/>
      <c r="AM119" s="246" t="n"/>
      <c r="AQ119" s="246" t="n"/>
      <c r="AR119" s="260" t="n"/>
    </row>
    <row r="120" ht="14.25" customHeight="1" s="175">
      <c r="A120" s="254" t="inlineStr">
        <is>
          <t>Evan</t>
        </is>
      </c>
      <c r="B120" s="202" t="n">
        <v>1</v>
      </c>
      <c r="C120" s="255" t="inlineStr">
        <is>
          <t>Rob</t>
        </is>
      </c>
      <c r="D120" s="173" t="inlineStr">
        <is>
          <t>2026-02-17 10:51:28</t>
        </is>
      </c>
      <c r="E120" s="173" t="inlineStr">
        <is>
          <t>https://cdn.discordapp.com/ephemeral-attachments/1450933256630440049/1473346100307038473/20260217_105029.jpg?ex=6995dffb&amp;is=69948e7b&amp;hm=a6d780e83cc1067011f3ae49ee11a91b69590b704ee885ff53b9b02b323b76b7&amp;</t>
        </is>
      </c>
      <c r="F120" s="173" t="inlineStr">
        <is>
          <t>310453864866512907</t>
        </is>
      </c>
      <c r="G120" s="173" t="inlineStr">
        <is>
          <t>619268961393049601</t>
        </is>
      </c>
      <c r="AG120" s="246" t="n"/>
      <c r="AH120" s="246" t="n"/>
      <c r="AM120" s="246" t="n"/>
      <c r="AQ120" s="246" t="n"/>
      <c r="AR120" s="260" t="n"/>
    </row>
    <row r="121" ht="14.25" customHeight="1" s="175">
      <c r="A121" s="254" t="inlineStr">
        <is>
          <t>Rob</t>
        </is>
      </c>
      <c r="B121" s="202" t="n">
        <v>1</v>
      </c>
      <c r="C121" s="255" t="inlineStr">
        <is>
          <t>Evan</t>
        </is>
      </c>
      <c r="D121" s="173" t="inlineStr">
        <is>
          <t>2026-02-17 10:51:33</t>
        </is>
      </c>
      <c r="E121" s="173" t="inlineStr">
        <is>
          <t>https://cdn.discordapp.com/ephemeral-attachments/1450933256630440049/1473346127456637082/88CFA6F4-F25D-4058-B4CF-AC4E92B4979F.jpg?ex=6995e002&amp;is=69948e82&amp;hm=a40e66c9fccd34f0796724ad75886f97a29c992d3124010de1142f19cd66dfed&amp;</t>
        </is>
      </c>
      <c r="F121" s="173" t="inlineStr">
        <is>
          <t>619268961393049601</t>
        </is>
      </c>
      <c r="G121" s="173" t="inlineStr">
        <is>
          <t>310453864866512907</t>
        </is>
      </c>
      <c r="AG121" s="246" t="n"/>
      <c r="AH121" s="246" t="n"/>
      <c r="AM121" s="246" t="n"/>
      <c r="AQ121" s="246" t="n"/>
      <c r="AR121" s="260" t="n"/>
    </row>
    <row r="122" ht="14.25" customHeight="1" s="175">
      <c r="A122" s="254" t="inlineStr">
        <is>
          <t>Anthony</t>
        </is>
      </c>
      <c r="B122" s="202" t="n">
        <v>2</v>
      </c>
      <c r="C122" s="255" t="inlineStr">
        <is>
          <t>Lucy</t>
        </is>
      </c>
      <c r="D122" s="173" t="inlineStr">
        <is>
          <t>2026-02-17 13:13:49</t>
        </is>
      </c>
      <c r="E122" s="173" t="inlineStr">
        <is>
          <t>https://cdn.discordapp.com/ephemeral-attachments/1450933256630440049/1473381922116735169/IMG_6802.jpg?ex=69960158&amp;is=6994afd8&amp;hm=eb26ddd3fb7bd240510ccffbb5c5db622d21ef94740e8e8a1353297b2ddceb4d&amp;</t>
        </is>
      </c>
      <c r="F122" s="173" t="inlineStr">
        <is>
          <t>525816152161648680</t>
        </is>
      </c>
      <c r="G122" s="173" t="inlineStr">
        <is>
          <t>1021390383915204648</t>
        </is>
      </c>
      <c r="AG122" s="246" t="n"/>
      <c r="AH122" s="246" t="n"/>
      <c r="AM122" s="246" t="n"/>
      <c r="AQ122" s="246" t="n"/>
      <c r="AR122" s="260" t="n"/>
    </row>
    <row r="123" ht="14.25" customHeight="1" s="175">
      <c r="A123" s="254" t="inlineStr">
        <is>
          <t>Lucy</t>
        </is>
      </c>
      <c r="B123" s="202" t="n">
        <v>1</v>
      </c>
      <c r="C123" s="255" t="inlineStr">
        <is>
          <t>Anthony</t>
        </is>
      </c>
      <c r="D123" s="173" t="inlineStr">
        <is>
          <t>2026-02-17 13:14:40</t>
        </is>
      </c>
      <c r="E123" s="173" t="inlineStr">
        <is>
          <t>https://cdn.discordapp.com/ephemeral-attachments/1450933256630440049/1473382145329201385/20260217_131416.jpg?ex=6996018d&amp;is=6994b00d&amp;hm=de68b2757f30f5827735517bb697ef475b0607f9c52c3c6b7ee74c3f35f1d28c&amp;</t>
        </is>
      </c>
      <c r="F123" s="173" t="inlineStr">
        <is>
          <t>1021390383915204648</t>
        </is>
      </c>
      <c r="G123" s="173" t="inlineStr">
        <is>
          <t>525816152161648680</t>
        </is>
      </c>
      <c r="AG123" s="246" t="n"/>
      <c r="AH123" s="246" t="n"/>
      <c r="AM123" s="246" t="n"/>
      <c r="AQ123" s="246" t="n"/>
      <c r="AR123" s="260" t="n"/>
    </row>
    <row r="124" ht="14.25" customHeight="1" s="175">
      <c r="A124" s="254" t="inlineStr">
        <is>
          <t>Anthony</t>
        </is>
      </c>
      <c r="B124" s="202" t="n">
        <v>2</v>
      </c>
      <c r="C124" s="255" t="inlineStr">
        <is>
          <t>Ethan</t>
        </is>
      </c>
      <c r="D124" s="173" t="inlineStr">
        <is>
          <t>2026-02-17 13:16:02</t>
        </is>
      </c>
      <c r="E124" s="173" t="inlineStr">
        <is>
          <t>https://cdn.discordapp.com/ephemeral-attachments/1450933256630440049/1473382489270648874/IMG_6803.jpg?ex=699601df&amp;is=6994b05f&amp;hm=e7c9569857959b41be3a649b07ce7ebe6d1a0334498f4969b80950d4eccb209e&amp;</t>
        </is>
      </c>
      <c r="F124" s="173" t="inlineStr">
        <is>
          <t>525816152161648680</t>
        </is>
      </c>
      <c r="G124" s="173" t="inlineStr">
        <is>
          <t>423221841872814081</t>
        </is>
      </c>
      <c r="AG124" s="246" t="n"/>
      <c r="AH124" s="246" t="n"/>
      <c r="AM124" s="246" t="n"/>
      <c r="AQ124" s="246" t="n"/>
      <c r="AR124" s="260" t="n"/>
    </row>
    <row r="125" ht="14.25" customHeight="1" s="175">
      <c r="A125" s="254" t="inlineStr">
        <is>
          <t>Lucy</t>
        </is>
      </c>
      <c r="B125" s="202" t="n">
        <v>2</v>
      </c>
      <c r="C125" s="255" t="inlineStr">
        <is>
          <t>Ethan</t>
        </is>
      </c>
      <c r="D125" s="173" t="inlineStr">
        <is>
          <t>2026-02-17 13:17:55</t>
        </is>
      </c>
      <c r="E125" s="173" t="inlineStr">
        <is>
          <t>https://cdn.discordapp.com/ephemeral-attachments/1450933256630440049/1473382964292223148/20260217_131636.jpg?ex=69960250&amp;is=6994b0d0&amp;hm=5f3b214a931e3cf86c30fc5ba99d967a0784fbbd57507392caa9d1695451ad90&amp;</t>
        </is>
      </c>
      <c r="F125" s="173" t="inlineStr">
        <is>
          <t>1021390383915204648</t>
        </is>
      </c>
      <c r="G125" s="173" t="inlineStr">
        <is>
          <t>423221841872814081</t>
        </is>
      </c>
      <c r="L125" s="246" t="n"/>
      <c r="M125" s="246" t="n"/>
      <c r="N125" s="246" t="n"/>
      <c r="O125" s="260" t="n"/>
      <c r="P125" s="260" t="n"/>
      <c r="Q125" s="260" t="n"/>
      <c r="R125" s="260" t="n"/>
      <c r="S125" s="182" t="n"/>
      <c r="V125" s="246" t="n"/>
      <c r="W125" s="246" t="n"/>
      <c r="X125" s="246" t="n"/>
      <c r="Y125" s="246" t="n"/>
      <c r="Z125" s="246" t="n"/>
      <c r="AA125" s="246" t="n"/>
      <c r="AB125" s="246" t="n"/>
      <c r="AC125" s="246" t="n"/>
      <c r="AD125" s="246" t="n"/>
      <c r="AE125" s="246" t="n"/>
      <c r="AF125" s="246" t="n"/>
      <c r="AG125" s="246" t="n"/>
      <c r="AH125" s="246" t="n"/>
      <c r="AM125" s="246" t="n"/>
      <c r="AQ125" s="246" t="n"/>
      <c r="AR125" s="260" t="n"/>
    </row>
    <row r="126" ht="14.25" customHeight="1" s="175">
      <c r="A126" s="254" t="inlineStr">
        <is>
          <t>Ethan</t>
        </is>
      </c>
      <c r="B126" s="202" t="n">
        <v>1</v>
      </c>
      <c r="C126" s="255" t="inlineStr">
        <is>
          <t>Lucy</t>
        </is>
      </c>
      <c r="D126" s="173" t="inlineStr">
        <is>
          <t>2026-02-17 13:37:57</t>
        </is>
      </c>
      <c r="E126" s="173" t="inlineStr">
        <is>
          <t>https://cdn.discordapp.com/ephemeral-attachments/1450933256630440049/1473388003199291503/20260217_133605.jpg?ex=69960702&amp;is=6994b582&amp;hm=ed34b12dc8d04a97e0a28bed19948eeaf4352de4d4ebeb5806a22256143f8e69&amp;</t>
        </is>
      </c>
      <c r="F126" s="173" t="inlineStr">
        <is>
          <t>423221841872814081</t>
        </is>
      </c>
      <c r="G126" s="173" t="inlineStr">
        <is>
          <t>1021390383915204648</t>
        </is>
      </c>
    </row>
    <row r="127" ht="14.25" customHeight="1" s="175">
      <c r="A127" s="254" t="inlineStr">
        <is>
          <t>Rob</t>
        </is>
      </c>
      <c r="B127" s="202" t="n">
        <v>2</v>
      </c>
      <c r="C127" s="255" t="inlineStr">
        <is>
          <t>Carter</t>
        </is>
      </c>
      <c r="D127" s="173" t="inlineStr">
        <is>
          <t>2026-02-17 13:46:50</t>
        </is>
      </c>
      <c r="E127" s="173" t="inlineStr">
        <is>
          <t>https://cdn.discordapp.com/ephemeral-attachments/1450933256630440049/1473390231032955007/1BB9CF37-76D1-467E-BC82-304B4D756B36.jpg?ex=69960915&amp;is=6994b795&amp;hm=e2d7afd240537afd45b7ceeb95c5f4002b7c7d89524b5c52636ffb9a7a252b2f&amp;</t>
        </is>
      </c>
      <c r="F127" s="173" t="inlineStr">
        <is>
          <t>619268961393049601</t>
        </is>
      </c>
      <c r="G127" s="173" t="inlineStr">
        <is>
          <t>1031639054846021672</t>
        </is>
      </c>
    </row>
    <row r="128" ht="14.25" customHeight="1" s="175">
      <c r="A128" s="254" t="inlineStr">
        <is>
          <t>Mikey</t>
        </is>
      </c>
      <c r="B128" s="202" t="n">
        <v>1</v>
      </c>
      <c r="C128" s="255" t="inlineStr">
        <is>
          <t>Rob</t>
        </is>
      </c>
      <c r="D128" s="173" t="inlineStr">
        <is>
          <t>2026-02-17 21:56:28</t>
        </is>
      </c>
      <c r="E128" s="173" t="inlineStr">
        <is>
          <t>https://cdn.discordapp.com/ephemeral-attachments/1450933256630440049/1473513453183438941/IMG_2413.jpg?ex=69967bd7&amp;is=69952a57&amp;hm=f921bdd014657aa460a44fb0b9c45fe1b844c5cb7633c23e723cd8f23f2e9700&amp;</t>
        </is>
      </c>
      <c r="F128" s="173" t="inlineStr">
        <is>
          <t>288299360557465600</t>
        </is>
      </c>
      <c r="G128" s="173" t="inlineStr">
        <is>
          <t>619268961393049601</t>
        </is>
      </c>
    </row>
    <row r="129" ht="14.25" customHeight="1" s="175">
      <c r="A129" s="254" t="inlineStr">
        <is>
          <t>Peter</t>
        </is>
      </c>
      <c r="B129" s="202" t="n">
        <v>1</v>
      </c>
      <c r="C129" s="255" t="inlineStr">
        <is>
          <t>Cooper</t>
        </is>
      </c>
      <c r="D129" s="173" t="inlineStr">
        <is>
          <t>2026-02-18 12:05:45</t>
        </is>
      </c>
      <c r="E129" s="173" t="inlineStr">
        <is>
          <t>https://cdn.discordapp.com/ephemeral-attachments/1450933256630440049/1473727189508690051/PXL_20260218_170508033.jpg?ex=699742e6&amp;is=6995f166&amp;hm=2e747c847989e6bded299148785132d9b837ed1bee834626ef1dad3398108ab3&amp;</t>
        </is>
      </c>
      <c r="F129" s="173" t="inlineStr">
        <is>
          <t>290654652838576130</t>
        </is>
      </c>
      <c r="G129" s="173" t="inlineStr">
        <is>
          <t>688178971183153173</t>
        </is>
      </c>
    </row>
    <row r="130" ht="14.25" customHeight="1" s="175">
      <c r="A130" s="254" t="inlineStr">
        <is>
          <t>Peter</t>
        </is>
      </c>
      <c r="B130" s="202" t="n">
        <v>2</v>
      </c>
      <c r="C130" s="255" t="inlineStr">
        <is>
          <t>Anthony</t>
        </is>
      </c>
      <c r="D130" s="173" t="inlineStr">
        <is>
          <t>2026-02-18 12:07:14</t>
        </is>
      </c>
      <c r="E130" s="173" t="inlineStr">
        <is>
          <t>https://cdn.discordapp.com/ephemeral-attachments/1450933256630440049/1473727552987070474/PXL_20260218_170614198.jpg?ex=6997433d&amp;is=6995f1bd&amp;hm=815ac9adeaa8dc9150fd5c345a0543532fdbd45cbf0a672136044656467ea8b4&amp;</t>
        </is>
      </c>
      <c r="F130" s="173" t="inlineStr">
        <is>
          <t>290654652838576130</t>
        </is>
      </c>
      <c r="G130" s="173" t="inlineStr">
        <is>
          <t>525816152161648680</t>
        </is>
      </c>
    </row>
    <row r="131" ht="14.25" customHeight="1" s="175">
      <c r="A131" s="254" t="inlineStr">
        <is>
          <t>Evan</t>
        </is>
      </c>
      <c r="B131" s="202" t="n">
        <v>1</v>
      </c>
      <c r="C131" s="255" t="inlineStr">
        <is>
          <t>Anthony</t>
        </is>
      </c>
      <c r="D131" s="173" t="inlineStr">
        <is>
          <t>2026-02-18 12:55:18</t>
        </is>
      </c>
      <c r="E131" s="173" t="inlineStr">
        <is>
          <t>https://cdn.discordapp.com/ephemeral-attachments/1450933256630440049/1473739653726081202/20260218_125434.jpg?ex=69974e82&amp;is=6995fd02&amp;hm=30723ed91c7b9c841a83761d97ccaf3c5baa7ab65b0d2937a7c2f87f61eceef4&amp;</t>
        </is>
      </c>
      <c r="F131" s="173" t="inlineStr">
        <is>
          <t>310453864866512907</t>
        </is>
      </c>
      <c r="G131" s="173" t="inlineStr">
        <is>
          <t>525816152161648680</t>
        </is>
      </c>
    </row>
    <row r="132" ht="14.25" customHeight="1" s="175">
      <c r="A132" s="254" t="inlineStr">
        <is>
          <t>Anthony</t>
        </is>
      </c>
      <c r="B132" s="202" t="n">
        <v>2</v>
      </c>
      <c r="C132" s="255" t="inlineStr">
        <is>
          <t>Evan</t>
        </is>
      </c>
      <c r="D132" s="173" t="inlineStr">
        <is>
          <t>2026-02-18 12:55:23</t>
        </is>
      </c>
      <c r="E132" s="173" t="inlineStr">
        <is>
          <t>https://cdn.discordapp.com/ephemeral-attachments/1450933256630440049/1473739675960348825/IMG_6810.jpg?ex=69974e87&amp;is=6995fd07&amp;hm=42cc1c1d8d1f8c82aea66d730b3ab9e48b6be05d486e3ea2e389970d2564e2c0&amp;</t>
        </is>
      </c>
      <c r="F132" s="173" t="inlineStr">
        <is>
          <t>525816152161648680</t>
        </is>
      </c>
      <c r="G132" s="173" t="inlineStr">
        <is>
          <t>310453864866512907</t>
        </is>
      </c>
    </row>
    <row r="133" ht="14.25" customHeight="1" s="175">
      <c r="A133" s="254" t="inlineStr">
        <is>
          <t>Evan</t>
        </is>
      </c>
      <c r="B133" s="202" t="n">
        <v>1</v>
      </c>
      <c r="C133" s="255" t="inlineStr">
        <is>
          <t>Reuben</t>
        </is>
      </c>
      <c r="D133" s="173" t="inlineStr">
        <is>
          <t>2026-02-18 12:55:46</t>
        </is>
      </c>
      <c r="E133" s="173" t="inlineStr">
        <is>
          <t>https://cdn.discordapp.com/ephemeral-attachments/1450933256630440049/1473739776103419926/20260218_125434.jpg?ex=69974e9f&amp;is=6995fd1f&amp;hm=df167034c53f89239d2be843e53abf7aa4ccd9282f22e5c2c26702fea45dbaa2&amp;</t>
        </is>
      </c>
      <c r="F133" s="173" t="inlineStr">
        <is>
          <t>310453864866512907</t>
        </is>
      </c>
      <c r="G133" s="173" t="inlineStr">
        <is>
          <t>689822943307759670</t>
        </is>
      </c>
    </row>
    <row r="134" ht="14.25" customHeight="1" s="175">
      <c r="A134" s="254" t="inlineStr">
        <is>
          <t>Peter</t>
        </is>
      </c>
      <c r="B134" s="202" t="n">
        <v>1</v>
      </c>
      <c r="C134" s="255" t="inlineStr">
        <is>
          <t>Anthony</t>
        </is>
      </c>
      <c r="D134" s="173" t="inlineStr">
        <is>
          <t>2026-02-18 14:41:21</t>
        </is>
      </c>
      <c r="E134" s="173" t="inlineStr">
        <is>
          <t>https://cdn.discordapp.com/ephemeral-attachments/1450933256630440049/1473766344351809758/PXL_20260218_194017576.jpg?ex=6997675d&amp;is=699615dd&amp;hm=ffca965e50607d2e0d285ff7e939d9a067cd72387ceb37a9b5c6152b83cca71a&amp;</t>
        </is>
      </c>
      <c r="F134" s="173" t="inlineStr">
        <is>
          <t>290654652838576130</t>
        </is>
      </c>
      <c r="G134" s="173" t="inlineStr">
        <is>
          <t>525816152161648680</t>
        </is>
      </c>
    </row>
    <row r="135" ht="14.25" customHeight="1" s="175">
      <c r="A135" s="254" t="inlineStr">
        <is>
          <t>Peter</t>
        </is>
      </c>
      <c r="B135" s="202" t="n">
        <v>2</v>
      </c>
      <c r="C135" s="255" t="inlineStr">
        <is>
          <t>Lucy</t>
        </is>
      </c>
      <c r="D135" s="173" t="inlineStr">
        <is>
          <t>2026-02-18 14:42:11</t>
        </is>
      </c>
      <c r="E135" s="173" t="inlineStr">
        <is>
          <t>https://cdn.discordapp.com/ephemeral-attachments/1450933256630440049/1473766555409055825/PXL_20260218_194126654.jpg?ex=69976790&amp;is=69961610&amp;hm=7e332a5ccdef62eff55b8e3a29b4a0789284fb7e1a4ea42462067dc639434dea&amp;</t>
        </is>
      </c>
      <c r="F135" s="173" t="inlineStr">
        <is>
          <t>290654652838576130</t>
        </is>
      </c>
      <c r="G135" s="173" t="inlineStr">
        <is>
          <t>1021390383915204648</t>
        </is>
      </c>
    </row>
    <row r="136" ht="14.25" customHeight="1" s="175">
      <c r="A136" s="254" t="inlineStr">
        <is>
          <t>Lucy</t>
        </is>
      </c>
      <c r="B136" s="202" t="n">
        <v>2</v>
      </c>
      <c r="C136" s="255" t="inlineStr">
        <is>
          <t>Mikey</t>
        </is>
      </c>
      <c r="D136" s="173" t="inlineStr">
        <is>
          <t>2026-02-18 18:22:29</t>
        </is>
      </c>
      <c r="E136" s="173" t="inlineStr">
        <is>
          <t>https://cdn.discordapp.com/ephemeral-attachments/1450933256630440049/1473821987343433790/20260218_182139.jpg?ex=69979b30&amp;is=699649b0&amp;hm=adbbedecfed02c590d42b86dba89f1b17622aeea0ef28d9ffe87a09b98060ea3&amp;</t>
        </is>
      </c>
      <c r="F136" s="173" t="inlineStr">
        <is>
          <t>1021390383915204648</t>
        </is>
      </c>
      <c r="G136" s="173" t="inlineStr">
        <is>
          <t>288299360557465600</t>
        </is>
      </c>
    </row>
    <row r="137" ht="14.25" customHeight="1" s="175">
      <c r="A137" s="254" t="inlineStr">
        <is>
          <t>Rob</t>
        </is>
      </c>
      <c r="B137" s="202" t="n">
        <v>2</v>
      </c>
      <c r="C137" s="255" t="inlineStr">
        <is>
          <t>Mikey</t>
        </is>
      </c>
      <c r="D137" s="173" t="inlineStr">
        <is>
          <t>2026-02-18 20:28:11</t>
        </is>
      </c>
      <c r="E137" s="173" t="inlineStr">
        <is>
          <t>https://cdn.discordapp.com/ephemeral-attachments/1450933256630440049/1473853621769605120/4B86D950-4801-4074-8B6E-5BFE1F83C8F7.jpg?ex=6997b8a6&amp;is=69966726&amp;hm=09ec608b22a1548b72d152d5b8eb17303e3abce629edd6009b8e4b50f8a256e5&amp;</t>
        </is>
      </c>
      <c r="F137" s="173" t="inlineStr">
        <is>
          <t>619268961393049601</t>
        </is>
      </c>
      <c r="G137" s="173" t="inlineStr">
        <is>
          <t>288299360557465600</t>
        </is>
      </c>
    </row>
    <row r="138" ht="14.25" customHeight="1" s="175">
      <c r="A138" s="254" t="inlineStr">
        <is>
          <t>Mikey</t>
        </is>
      </c>
      <c r="B138" s="202" t="n">
        <v>1</v>
      </c>
      <c r="C138" s="255" t="inlineStr">
        <is>
          <t>Rob</t>
        </is>
      </c>
      <c r="D138" s="173" t="inlineStr">
        <is>
          <t>2026-02-18 20:28:15</t>
        </is>
      </c>
      <c r="E138" s="173" t="inlineStr">
        <is>
          <t>https://cdn.discordapp.com/ephemeral-attachments/1450933256630440049/1473853641323708558/IMG_2415.jpg?ex=6997b8aa&amp;is=6996672a&amp;hm=44b62cb8f495c3537c8550ef342ff295d986872f9eb25e731318bc737e8d07aa&amp;</t>
        </is>
      </c>
      <c r="F138" s="173" t="inlineStr">
        <is>
          <t>288299360557465600</t>
        </is>
      </c>
      <c r="G138" s="173" t="inlineStr">
        <is>
          <t>619268961393049601</t>
        </is>
      </c>
    </row>
    <row r="139" ht="14.25" customHeight="1" s="175">
      <c r="A139" s="254" t="inlineStr">
        <is>
          <t>Will</t>
        </is>
      </c>
      <c r="B139" s="202" t="n">
        <v>2</v>
      </c>
      <c r="C139" s="255" t="inlineStr">
        <is>
          <t>Rob</t>
        </is>
      </c>
      <c r="D139" s="173" t="inlineStr">
        <is>
          <t>2026-02-19 09:35:02</t>
        </is>
      </c>
      <c r="E139" s="173" t="inlineStr">
        <is>
          <t>https://cdn.discordapp.com/ephemeral-attachments/1450933256630440049/1474051649931575398/IMG_1964.jpg?ex=69987113&amp;is=69971f93&amp;hm=81b1d3c918688af7f52956943fb57a30cd0babba4089d0e1de924cb2566b0bb8&amp;</t>
        </is>
      </c>
      <c r="F139" s="173" t="inlineStr">
        <is>
          <t>707377558940811335</t>
        </is>
      </c>
      <c r="G139" s="173" t="inlineStr">
        <is>
          <t>619268961393049601</t>
        </is>
      </c>
    </row>
    <row r="140" ht="14.25" customHeight="1" s="175">
      <c r="A140" s="254" t="inlineStr">
        <is>
          <t>Rob</t>
        </is>
      </c>
      <c r="B140" s="202" t="n">
        <v>2</v>
      </c>
      <c r="C140" s="255" t="inlineStr">
        <is>
          <t>Will</t>
        </is>
      </c>
      <c r="D140" s="173" t="inlineStr">
        <is>
          <t>2026-02-19 09:35:13</t>
        </is>
      </c>
      <c r="E140" s="173" t="inlineStr">
        <is>
          <t>https://cdn.discordapp.com/ephemeral-attachments/1450933256630440049/1474051691748786258/4105728E-C933-4BAF-BC23-3A5DED53A69D.jpg?ex=6998711d&amp;is=69971f9d&amp;hm=df5482d1d58f2598101bbcb9c6c73c9e6d57dd14e555c65d581bbc942e8f732d&amp;</t>
        </is>
      </c>
      <c r="F140" s="173" t="inlineStr">
        <is>
          <t>619268961393049601</t>
        </is>
      </c>
      <c r="G140" s="173" t="inlineStr">
        <is>
          <t>707377558940811335</t>
        </is>
      </c>
    </row>
    <row r="141" ht="14.25" customHeight="1" s="175">
      <c r="A141" s="254" t="inlineStr">
        <is>
          <t>Evan</t>
        </is>
      </c>
      <c r="B141" s="202" t="n">
        <v>2</v>
      </c>
      <c r="C141" s="255" t="inlineStr">
        <is>
          <t>Mikey</t>
        </is>
      </c>
      <c r="D141" s="173" t="inlineStr">
        <is>
          <t>2026-02-19 12:22:56</t>
        </is>
      </c>
      <c r="E141" s="173" t="inlineStr">
        <is>
          <t>https://cdn.discordapp.com/ephemeral-attachments/1450933256630440049/1474093900133044264/20260219_122138.jpg?ex=6998986d&amp;is=699746ed&amp;hm=fc9aac0dc1c4c9060f0e2a829631d9c221a64b0af328d540d51da3751477446f&amp;</t>
        </is>
      </c>
      <c r="F141" s="173" t="inlineStr">
        <is>
          <t>310453864866512907</t>
        </is>
      </c>
      <c r="G141" s="173" t="inlineStr">
        <is>
          <t>288299360557465600</t>
        </is>
      </c>
    </row>
    <row r="142" ht="14.25" customHeight="1" s="175">
      <c r="A142" s="254" t="inlineStr">
        <is>
          <t>Mikey</t>
        </is>
      </c>
      <c r="B142" s="202" t="n">
        <v>1</v>
      </c>
      <c r="C142" s="255" t="inlineStr">
        <is>
          <t>Lucy</t>
        </is>
      </c>
      <c r="D142" s="173" t="inlineStr">
        <is>
          <t>2026-02-19 13:42:04</t>
        </is>
      </c>
      <c r="E142" s="173" t="inlineStr">
        <is>
          <t>https://cdn.discordapp.com/ephemeral-attachments/1450933256630440049/1474113812843200688/IMG_2420.jpg?ex=6998aaf8&amp;is=69975978&amp;hm=0ada038c51a92d1499f57af61a27b0a72b10c9c50737db29868b8ba272ca3f77&amp;</t>
        </is>
      </c>
      <c r="F142" s="173" t="inlineStr">
        <is>
          <t>288299360557465600</t>
        </is>
      </c>
      <c r="G142" s="173" t="inlineStr">
        <is>
          <t>1021390383915204648</t>
        </is>
      </c>
    </row>
    <row r="143" ht="14.25" customHeight="1" s="175">
      <c r="A143" s="254" t="inlineStr">
        <is>
          <t>Lucy</t>
        </is>
      </c>
      <c r="B143" s="202" t="n">
        <v>2</v>
      </c>
      <c r="C143" s="255" t="inlineStr">
        <is>
          <t>Mikey</t>
        </is>
      </c>
      <c r="D143" s="173" t="inlineStr">
        <is>
          <t>2026-02-19 13:42:55</t>
        </is>
      </c>
      <c r="E143" s="173" t="inlineStr">
        <is>
          <t>https://cdn.discordapp.com/ephemeral-attachments/1450933256630440049/1474114028614717490/20260219_134130.jpg?ex=6998ab2c&amp;is=699759ac&amp;hm=895923932afe0bea652c7940c2d748e5d29ca526c7a4d1a61ebf5771a5094413&amp;</t>
        </is>
      </c>
      <c r="F143" s="173" t="inlineStr">
        <is>
          <t>1021390383915204648</t>
        </is>
      </c>
      <c r="G143" s="173" t="inlineStr">
        <is>
          <t>288299360557465600</t>
        </is>
      </c>
    </row>
    <row r="144" ht="14.25" customHeight="1" s="175">
      <c r="A144" s="254" t="inlineStr">
        <is>
          <t>Grady</t>
        </is>
      </c>
      <c r="B144" s="202" t="n">
        <v>2</v>
      </c>
      <c r="C144" s="255" t="inlineStr">
        <is>
          <t>Rob</t>
        </is>
      </c>
      <c r="D144" s="173" t="inlineStr">
        <is>
          <t>2026-02-19 13:52:14</t>
        </is>
      </c>
      <c r="E144" s="173" t="inlineStr">
        <is>
          <t>https://cdn.discordapp.com/ephemeral-attachments/1450933256630440049/1474116367367143516/IMG_4343.jpg?ex=6998ad59&amp;is=69975bd9&amp;hm=fd895d2ca65d1836ef42c78abf2f846f095d55012219a76b68349765817b8b9d&amp;</t>
        </is>
      </c>
      <c r="F144" s="173" t="inlineStr">
        <is>
          <t>678304540856025153</t>
        </is>
      </c>
      <c r="G144" s="173" t="inlineStr">
        <is>
          <t>619268961393049601</t>
        </is>
      </c>
    </row>
    <row r="145" ht="14.25" customHeight="1" s="175">
      <c r="A145" s="254" t="inlineStr">
        <is>
          <t>Mikey</t>
        </is>
      </c>
      <c r="B145" s="202" t="n">
        <v>2</v>
      </c>
      <c r="C145" s="255" t="inlineStr">
        <is>
          <t>Rob</t>
        </is>
      </c>
      <c r="D145" s="173" t="inlineStr">
        <is>
          <t>2026-02-19 15:59:53</t>
        </is>
      </c>
      <c r="E145" s="173" t="inlineStr">
        <is>
          <t>https://cdn.discordapp.com/ephemeral-attachments/1450933256630440049/1474148493596692652/IMG_2423.jpg?ex=6998cb45&amp;is=699779c5&amp;hm=feb55fa41bd528b469446314627f8e2fc2812684477cc9844dd96b7c5682c6ec&amp;</t>
        </is>
      </c>
      <c r="F145" s="173" t="inlineStr">
        <is>
          <t>288299360557465600</t>
        </is>
      </c>
      <c r="G145" s="173" t="inlineStr">
        <is>
          <t>619268961393049601</t>
        </is>
      </c>
    </row>
    <row r="146" ht="14.25" customHeight="1" s="175">
      <c r="A146" s="254" t="inlineStr">
        <is>
          <t>Rob</t>
        </is>
      </c>
      <c r="B146" s="202" t="n">
        <v>1</v>
      </c>
      <c r="C146" s="255" t="inlineStr">
        <is>
          <t>Mikey</t>
        </is>
      </c>
      <c r="D146" s="173" t="inlineStr">
        <is>
          <t>2026-02-19 16:00:33</t>
        </is>
      </c>
      <c r="E146" s="173" t="inlineStr">
        <is>
          <t>https://cdn.discordapp.com/ephemeral-attachments/1450933256630440049/1474148657975660659/IMG_3765.jpg?ex=6998cb6c&amp;is=699779ec&amp;hm=e037070aebe34cf6b68d1d757e1bac77c6d67c216227fd8a56387ed3290fa642&amp;</t>
        </is>
      </c>
      <c r="F146" s="173" t="inlineStr">
        <is>
          <t>619268961393049601</t>
        </is>
      </c>
      <c r="G146" s="173" t="inlineStr">
        <is>
          <t>288299360557465600</t>
        </is>
      </c>
    </row>
    <row r="147" ht="14.25" customHeight="1" s="175">
      <c r="A147" s="254" t="inlineStr">
        <is>
          <t>Mikey</t>
        </is>
      </c>
      <c r="B147" s="202" t="n">
        <v>2</v>
      </c>
      <c r="C147" s="255" t="inlineStr">
        <is>
          <t>Rob</t>
        </is>
      </c>
      <c r="D147" s="173" t="inlineStr">
        <is>
          <t>2026-02-19 17:06:34</t>
        </is>
      </c>
      <c r="E147" s="173" t="inlineStr">
        <is>
          <t>https://cdn.discordapp.com/ephemeral-attachments/1450933256630440049/1474165269944336515/IMG_2424.jpg?ex=6998dae5&amp;is=69978965&amp;hm=cb18a08bc5c2779ce61d06bd91ce5f52bf7feceb4d186f6709381984f4674878&amp;</t>
        </is>
      </c>
      <c r="F147" s="173" t="inlineStr">
        <is>
          <t>288299360557465600</t>
        </is>
      </c>
      <c r="G147" s="173" t="inlineStr">
        <is>
          <t>619268961393049601</t>
        </is>
      </c>
    </row>
    <row r="148" ht="14.25" customHeight="1" s="175">
      <c r="A148" s="254" t="inlineStr">
        <is>
          <t>Rob</t>
        </is>
      </c>
      <c r="B148" s="202" t="n">
        <v>1</v>
      </c>
      <c r="C148" s="255" t="inlineStr">
        <is>
          <t>Mikey</t>
        </is>
      </c>
      <c r="D148" s="173" t="inlineStr">
        <is>
          <t>2026-02-19 17:06:49</t>
        </is>
      </c>
      <c r="E148" s="173" t="inlineStr">
        <is>
          <t>https://cdn.discordapp.com/ephemeral-attachments/1450933256630440049/1474165340404580383/IMG_3766.jpg?ex=6998daf5&amp;is=69978975&amp;hm=20fa37312eda9a48a1a614f7228948f892ee8ba52893e6491f709265b39294d9&amp;</t>
        </is>
      </c>
      <c r="F148" s="173" t="inlineStr">
        <is>
          <t>619268961393049601</t>
        </is>
      </c>
      <c r="G148" s="173" t="inlineStr">
        <is>
          <t>288299360557465600</t>
        </is>
      </c>
    </row>
    <row r="149" ht="14.25" customHeight="1" s="175">
      <c r="A149" s="254" t="inlineStr">
        <is>
          <t>Mikey</t>
        </is>
      </c>
      <c r="B149" s="202" t="n">
        <v>1</v>
      </c>
      <c r="C149" s="255" t="inlineStr">
        <is>
          <t>Rob</t>
        </is>
      </c>
      <c r="D149" s="173" t="inlineStr">
        <is>
          <t>2026-02-20 15:19:02</t>
        </is>
      </c>
      <c r="E149" s="173" t="inlineStr">
        <is>
          <t>https://cdn.discordapp.com/ephemeral-attachments/1450933256630440049/1474500600942039111/IMG_2426.jpg?ex=699a1332&amp;is=6998c1b2&amp;hm=310159303b265f1561b9526e92717cabae6367fdd1b4753df0126399a4d4d954&amp;</t>
        </is>
      </c>
      <c r="F149" s="173" t="inlineStr">
        <is>
          <t>288299360557465600</t>
        </is>
      </c>
      <c r="G149" s="173" t="inlineStr">
        <is>
          <t>619268961393049601</t>
        </is>
      </c>
    </row>
    <row r="150" ht="14.25" customHeight="1" s="175">
      <c r="A150" s="254" t="inlineStr">
        <is>
          <t>Rob</t>
        </is>
      </c>
      <c r="B150" s="202" t="n">
        <v>1</v>
      </c>
      <c r="C150" s="255" t="inlineStr">
        <is>
          <t>Mikey</t>
        </is>
      </c>
      <c r="D150" s="173" t="inlineStr">
        <is>
          <t>2026-02-20 15:19:26</t>
        </is>
      </c>
      <c r="E150" s="173" t="inlineStr">
        <is>
          <t>https://cdn.discordapp.com/ephemeral-attachments/1450933256630440049/1474500701362192427/7E40F19A-643F-4391-A356-4EFCFECB0BD8.jpg?ex=699a134a&amp;is=6998c1ca&amp;hm=a9eb7fc7f7807cce30f8ea7c4c5b44fbac78a487bcb72cca6342d24a7f3b72fa&amp;</t>
        </is>
      </c>
      <c r="F150" s="173" t="inlineStr">
        <is>
          <t>619268961393049601</t>
        </is>
      </c>
      <c r="G150" s="173" t="inlineStr">
        <is>
          <t>288299360557465600</t>
        </is>
      </c>
    </row>
    <row r="151" ht="14.25" customHeight="1" s="175">
      <c r="A151" s="254" t="inlineStr">
        <is>
          <t>Rob</t>
        </is>
      </c>
      <c r="B151" s="202" t="n">
        <v>1</v>
      </c>
      <c r="C151" s="255" t="inlineStr">
        <is>
          <t>Lucy</t>
        </is>
      </c>
      <c r="D151" s="173" t="inlineStr">
        <is>
          <t>2026-02-21 21:34:26</t>
        </is>
      </c>
      <c r="E151" s="173" t="inlineStr">
        <is>
          <t>https://cdn.discordapp.com/ephemeral-attachments/1450933256630440049/1474957459687866480/IMG_3776.jpg?ex=699bbcad&amp;is=699a6b2d&amp;hm=492ca5907abfbad5933a414ccfc0c583e2c27273707321636eefd4ad972e6de5&amp;</t>
        </is>
      </c>
      <c r="F151" s="173" t="inlineStr">
        <is>
          <t>619268961393049601</t>
        </is>
      </c>
      <c r="G151" s="173" t="inlineStr">
        <is>
          <t>1021390383915204648</t>
        </is>
      </c>
    </row>
    <row r="152" ht="14.25" customHeight="1" s="175">
      <c r="A152" s="254" t="inlineStr">
        <is>
          <t>Lucy</t>
        </is>
      </c>
      <c r="B152" s="202" t="n">
        <v>1</v>
      </c>
      <c r="C152" s="255" t="inlineStr">
        <is>
          <t>Rob</t>
        </is>
      </c>
      <c r="D152" s="173" t="inlineStr">
        <is>
          <t>2026-02-21 21:34:35</t>
        </is>
      </c>
      <c r="E152" s="173" t="inlineStr">
        <is>
          <t>https://cdn.discordapp.com/ephemeral-attachments/1450933256630440049/1474957500834123836/20260221_213339.jpg?ex=699bbcb7&amp;is=699a6b37&amp;hm=ab0c539d33d46254145ebc4e839b73af9168d1cc2919ef1e084569a036215ea8&amp;</t>
        </is>
      </c>
      <c r="F152" s="173" t="inlineStr">
        <is>
          <t>1021390383915204648</t>
        </is>
      </c>
      <c r="G152" s="173" t="inlineStr">
        <is>
          <t>619268961393049601</t>
        </is>
      </c>
    </row>
    <row r="153" ht="14.25" customHeight="1" s="175">
      <c r="A153" s="254" t="inlineStr">
        <is>
          <t>Evan</t>
        </is>
      </c>
      <c r="B153" s="202" t="n">
        <v>2</v>
      </c>
      <c r="C153" s="255" t="inlineStr">
        <is>
          <t>Mikey</t>
        </is>
      </c>
      <c r="D153" s="173" t="inlineStr">
        <is>
          <t>2026-02-22 10:58:26</t>
        </is>
      </c>
      <c r="E153" s="173" t="inlineStr">
        <is>
          <t>https://cdn.discordapp.com/ephemeral-attachments/1450933256630440049/1475159794221318307/20260212_160911.jpg?ex=699c791e&amp;is=699b279e&amp;hm=28b798410caa632f941a80c1264f58748bd68d45895218abcc827030d5b22a42&amp;</t>
        </is>
      </c>
      <c r="F153" s="173" t="inlineStr">
        <is>
          <t>310453864866512907</t>
        </is>
      </c>
      <c r="G153" s="173" t="inlineStr">
        <is>
          <t>288299360557465600</t>
        </is>
      </c>
    </row>
    <row r="154" ht="14.25" customHeight="1" s="175">
      <c r="A154" s="254" t="inlineStr">
        <is>
          <t>Mikey</t>
        </is>
      </c>
      <c r="B154" s="202" t="n">
        <v>2</v>
      </c>
      <c r="C154" s="255" t="inlineStr">
        <is>
          <t>Maxine</t>
        </is>
      </c>
      <c r="D154" s="173" t="inlineStr">
        <is>
          <t>2026-02-22 17:05:06</t>
        </is>
      </c>
      <c r="E154" s="173" t="inlineStr">
        <is>
          <t>https://cdn.discordapp.com/ephemeral-attachments/1450933256630440049/1475252071216185415/IMG_2436.jpg?ex=699ccf0e&amp;is=699b7d8e&amp;hm=b7cce5ca8397e40caba7bcda443e20be88853f8e3ff00e26eb6a47c709b0eb76&amp;</t>
        </is>
      </c>
      <c r="F154" s="173" t="inlineStr">
        <is>
          <t>288299360557465600</t>
        </is>
      </c>
      <c r="G154" s="173" t="inlineStr">
        <is>
          <t>601936524044664852</t>
        </is>
      </c>
    </row>
    <row r="155" ht="14.25" customHeight="1" s="175">
      <c r="A155" s="254" t="inlineStr">
        <is>
          <t>Evan</t>
        </is>
      </c>
      <c r="B155" s="202" t="n">
        <v>2</v>
      </c>
      <c r="C155" s="255" t="inlineStr">
        <is>
          <t>Peter</t>
        </is>
      </c>
      <c r="D155" s="173" t="inlineStr">
        <is>
          <t>2026-02-23 12:48:02</t>
        </is>
      </c>
      <c r="E155" s="173" t="inlineStr">
        <is>
          <t>https://cdn.discordapp.com/ephemeral-attachments/1450933256630440049/1475549768380977404/20260223_124725.jpg?ex=699de44f&amp;is=699c92cf&amp;hm=e8b7233d8eb67af643e5c666aaf73de3823ef9c6ef3966444a59376d2e693a88&amp;</t>
        </is>
      </c>
      <c r="F155" s="173" t="inlineStr">
        <is>
          <t>310453864866512907</t>
        </is>
      </c>
      <c r="G155" s="173" t="inlineStr">
        <is>
          <t>290654652838576130</t>
        </is>
      </c>
    </row>
    <row r="156" ht="14.25" customHeight="1" s="175">
      <c r="A156" s="254" t="inlineStr">
        <is>
          <t>Peter</t>
        </is>
      </c>
      <c r="B156" s="202" t="n">
        <v>2</v>
      </c>
      <c r="C156" s="255" t="inlineStr">
        <is>
          <t>Evan</t>
        </is>
      </c>
      <c r="D156" s="173" t="inlineStr">
        <is>
          <t>2026-02-23 12:48:08</t>
        </is>
      </c>
      <c r="E156" s="173" t="inlineStr">
        <is>
          <t>https://cdn.discordapp.com/ephemeral-attachments/1450933256630440049/1475549791508496658/PXL_20260223_174716276.jpg?ex=699de454&amp;is=699c92d4&amp;hm=ee2790cf85a42005fd3c0883de09389fda70908f2817711e4728b1d5f579cd1a&amp;</t>
        </is>
      </c>
      <c r="F156" s="173" t="inlineStr">
        <is>
          <t>290654652838576130</t>
        </is>
      </c>
      <c r="G156" s="173" t="inlineStr">
        <is>
          <t>310453864866512907</t>
        </is>
      </c>
    </row>
    <row r="157" ht="14.25" customHeight="1" s="175">
      <c r="A157" s="254" t="inlineStr">
        <is>
          <t>Rob</t>
        </is>
      </c>
      <c r="B157" s="202" t="n">
        <v>2</v>
      </c>
      <c r="C157" s="255" t="inlineStr">
        <is>
          <t>Reuben</t>
        </is>
      </c>
      <c r="D157" s="173" t="inlineStr">
        <is>
          <t>2026-02-23 12:52:24</t>
        </is>
      </c>
      <c r="E157" s="173" t="inlineStr">
        <is>
          <t>https://cdn.discordapp.com/ephemeral-attachments/1450933256630440049/1475550865615097897/IMG_3777.jpg?ex=699de554&amp;is=699c93d4&amp;hm=7318a952c4542aeb4932ae66763492be9a3a168191bd3ae9176f2a141ce89b49&amp;</t>
        </is>
      </c>
      <c r="F157" s="173" t="inlineStr">
        <is>
          <t>619268961393049601</t>
        </is>
      </c>
      <c r="G157" s="173" t="inlineStr">
        <is>
          <t>689822943307759670</t>
        </is>
      </c>
    </row>
    <row r="158" ht="14.25" customHeight="1" s="175">
      <c r="A158" s="254" t="inlineStr">
        <is>
          <t>Peter</t>
        </is>
      </c>
      <c r="B158" s="202" t="n">
        <v>2</v>
      </c>
      <c r="C158" s="255" t="inlineStr">
        <is>
          <t>Lucy</t>
        </is>
      </c>
      <c r="D158" s="173" t="inlineStr">
        <is>
          <t>2026-02-23 14:36:59</t>
        </is>
      </c>
      <c r="E158" s="173" t="inlineStr">
        <is>
          <t>https://cdn.discordapp.com/ephemeral-attachments/1450933256630440049/1475577186193768700/PXL_20260223_193626408.jpg?ex=699dfdd8&amp;is=699cac58&amp;hm=27ec68ac1fad40ccf5a0f9658ba3cf1ff37273c3a66f4797e06dc280320f9cfe&amp;</t>
        </is>
      </c>
      <c r="F158" s="173" t="inlineStr">
        <is>
          <t>290654652838576130</t>
        </is>
      </c>
      <c r="G158" s="173" t="inlineStr">
        <is>
          <t>1021390383915204648</t>
        </is>
      </c>
    </row>
    <row r="159" ht="14.25" customHeight="1" s="175">
      <c r="A159" s="254" t="inlineStr">
        <is>
          <t>Peter</t>
        </is>
      </c>
      <c r="B159" s="202" t="n">
        <v>2</v>
      </c>
      <c r="C159" s="255" t="inlineStr">
        <is>
          <t>Anthony</t>
        </is>
      </c>
      <c r="D159" s="173" t="inlineStr">
        <is>
          <t>2026-02-23 14:38:24</t>
        </is>
      </c>
      <c r="E159" s="173" t="inlineStr">
        <is>
          <t>https://cdn.discordapp.com/ephemeral-attachments/1450933256630440049/1475577544865746964/PXL_20260223_193742104.jpg?ex=699dfe2d&amp;is=699cacad&amp;hm=d5d9f44c16a5b32f68e19b468315972d2840fb5e798ea5a5039c741ff6d21a47&amp;</t>
        </is>
      </c>
      <c r="F159" s="173" t="inlineStr">
        <is>
          <t>290654652838576130</t>
        </is>
      </c>
      <c r="G159" s="173" t="inlineStr">
        <is>
          <t>525816152161648680</t>
        </is>
      </c>
    </row>
    <row r="160" ht="14.25" customHeight="1" s="175">
      <c r="A160" s="254" t="inlineStr">
        <is>
          <t>Lucy</t>
        </is>
      </c>
      <c r="B160" s="202" t="n">
        <v>1</v>
      </c>
      <c r="C160" s="255" t="inlineStr">
        <is>
          <t>Peter</t>
        </is>
      </c>
      <c r="D160" s="173" t="inlineStr">
        <is>
          <t>2026-02-23 14:48:15</t>
        </is>
      </c>
      <c r="E160" s="173" t="inlineStr">
        <is>
          <t>https://cdn.discordapp.com/ephemeral-attachments/1450933256630440049/1475580020742160535/20260223_144621.jpg?ex=699e007b&amp;is=699caefb&amp;hm=493500f2ed6de97df37856be91851891d9df21b51bdec3da49d45d67c6d48830&amp;</t>
        </is>
      </c>
      <c r="F160" s="173" t="inlineStr">
        <is>
          <t>1021390383915204648</t>
        </is>
      </c>
      <c r="G160" s="173" t="inlineStr">
        <is>
          <t>290654652838576130</t>
        </is>
      </c>
    </row>
    <row r="161" ht="14.25" customHeight="1" s="175">
      <c r="A161" s="254" t="inlineStr">
        <is>
          <t>Rob</t>
        </is>
      </c>
      <c r="B161" s="202" t="n">
        <v>1</v>
      </c>
      <c r="C161" s="255" t="inlineStr">
        <is>
          <t>Will</t>
        </is>
      </c>
      <c r="D161" s="173" t="inlineStr">
        <is>
          <t>2026-02-23 16:56:04</t>
        </is>
      </c>
      <c r="E161" s="173" t="inlineStr">
        <is>
          <t>https://cdn.discordapp.com/ephemeral-attachments/1450933256630440049/1475612185706107033/7C58C947-4463-4D0C-844E-179DF7F9B77D.jpg?ex=699e1e70&amp;is=699cccf0&amp;hm=f1dbb5132cb4db810f26cc9a1bb0e34e9b44f7733b4eb9691cbe3bb9ae84a11b&amp;</t>
        </is>
      </c>
      <c r="F161" s="173" t="inlineStr">
        <is>
          <t>619268961393049601</t>
        </is>
      </c>
      <c r="G161" s="173" t="inlineStr">
        <is>
          <t>707377558940811335</t>
        </is>
      </c>
    </row>
    <row r="162" ht="14.25" customHeight="1" s="175">
      <c r="A162" s="254" t="inlineStr">
        <is>
          <t>Will</t>
        </is>
      </c>
      <c r="B162" s="202" t="n">
        <v>1</v>
      </c>
      <c r="C162" s="255" t="inlineStr">
        <is>
          <t>Rob</t>
        </is>
      </c>
      <c r="D162" s="173" t="inlineStr">
        <is>
          <t>2026-02-23 16:56:07</t>
        </is>
      </c>
      <c r="E162" s="173" t="inlineStr">
        <is>
          <t>https://cdn.discordapp.com/ephemeral-attachments/1450933256630440049/1475612199509692677/IMG_1979.jpg?ex=699e1e73&amp;is=699cccf3&amp;hm=cb08868f62db2a91ef5407a426b18aeb867dfc5c56c465a83dce8384fb4dfb6f&amp;</t>
        </is>
      </c>
      <c r="F162" s="173" t="inlineStr">
        <is>
          <t>707377558940811335</t>
        </is>
      </c>
      <c r="G162" s="173" t="inlineStr">
        <is>
          <t>619268961393049601</t>
        </is>
      </c>
    </row>
    <row r="163" ht="14.25" customHeight="1" s="175">
      <c r="A163" s="254" t="inlineStr">
        <is>
          <t>Ethan</t>
        </is>
      </c>
      <c r="B163" s="202" t="n">
        <v>2</v>
      </c>
      <c r="C163" s="255" t="inlineStr">
        <is>
          <t>Anthony</t>
        </is>
      </c>
      <c r="D163" s="173" t="inlineStr">
        <is>
          <t>2026-02-23 17:46:42</t>
        </is>
      </c>
      <c r="E163" s="173" t="inlineStr">
        <is>
          <t>https://cdn.discordapp.com/ephemeral-attachments/1450933256630440049/1475624927611846796/20260223_174513.jpg?ex=699e2a4e&amp;is=699cd8ce&amp;hm=33e12fd2263466ad3eda87a32b1d13b9e3f61074f19a5871baf034956bb87045&amp;</t>
        </is>
      </c>
      <c r="F163" s="173" t="inlineStr">
        <is>
          <t>423221841872814081</t>
        </is>
      </c>
      <c r="G163" s="173" t="inlineStr">
        <is>
          <t>525816152161648680</t>
        </is>
      </c>
    </row>
    <row r="164" ht="14.25" customHeight="1" s="175">
      <c r="A164" s="254" t="inlineStr">
        <is>
          <t>Ethan</t>
        </is>
      </c>
      <c r="B164" s="202" t="n">
        <v>2</v>
      </c>
      <c r="C164" s="255" t="inlineStr">
        <is>
          <t>Rob</t>
        </is>
      </c>
      <c r="D164" s="173" t="inlineStr">
        <is>
          <t>2026-02-23 17:47:31</t>
        </is>
      </c>
      <c r="E164" s="173" t="inlineStr">
        <is>
          <t>https://cdn.discordapp.com/ephemeral-attachments/1450933256630440049/1475625133962952736/20260223_174513.jpg?ex=699e2a7f&amp;is=699cd8ff&amp;hm=8f20248757cff74d1c9e2fdfb1c7ed145740f6eb425bf9aa01b097e517e7f228&amp;</t>
        </is>
      </c>
      <c r="F164" s="173" t="inlineStr">
        <is>
          <t>423221841872814081</t>
        </is>
      </c>
      <c r="G164" s="173" t="inlineStr">
        <is>
          <t>619268961393049601</t>
        </is>
      </c>
    </row>
    <row r="165" ht="14.25" customHeight="1" s="175">
      <c r="A165" s="254" t="inlineStr">
        <is>
          <t>Ethan</t>
        </is>
      </c>
      <c r="B165" s="202" t="n">
        <v>2</v>
      </c>
      <c r="C165" s="255" t="inlineStr">
        <is>
          <t>Mikey</t>
        </is>
      </c>
      <c r="D165" s="173" t="inlineStr">
        <is>
          <t>2026-02-23 17:49:27</t>
        </is>
      </c>
      <c r="E165" s="173" t="inlineStr">
        <is>
          <t>https://cdn.discordapp.com/ephemeral-attachments/1450933256630440049/1475625619327811664/20260223_174513.jpg?ex=699e2af3&amp;is=699cd973&amp;hm=c75e2f7329962984122721ad0ae9974774228e9dd2de93b203eb1d741729bb2b&amp;</t>
        </is>
      </c>
      <c r="F165" s="173" t="inlineStr">
        <is>
          <t>423221841872814081</t>
        </is>
      </c>
      <c r="G165" s="173" t="inlineStr">
        <is>
          <t>288299360557465600</t>
        </is>
      </c>
    </row>
    <row r="166" ht="14.25" customHeight="1" s="175">
      <c r="A166" s="254" t="inlineStr">
        <is>
          <t>Evan</t>
        </is>
      </c>
      <c r="B166" s="202" t="n">
        <v>1</v>
      </c>
      <c r="C166" s="255" t="inlineStr">
        <is>
          <t>Lucy</t>
        </is>
      </c>
      <c r="D166" s="173" t="inlineStr">
        <is>
          <t>2026-02-24 10:48:51</t>
        </is>
      </c>
      <c r="E166" s="173" t="inlineStr">
        <is>
          <t>https://cdn.discordapp.com/ephemeral-attachments/1450933256630440049/1475882163768660149/20260224_104753.jpg?ex=699f19e0&amp;is=699dc860&amp;hm=085f1b9a3fe5e42f9f82825a600a2094a9948efd21d1b8ff62e021f82dc8662f&amp;</t>
        </is>
      </c>
      <c r="F166" s="173" t="inlineStr">
        <is>
          <t>310453864866512907</t>
        </is>
      </c>
      <c r="G166" s="173" t="inlineStr">
        <is>
          <t>1021390383915204648</t>
        </is>
      </c>
    </row>
    <row r="167" ht="14.25" customHeight="1" s="175">
      <c r="A167" s="254" t="inlineStr">
        <is>
          <t>Lucy</t>
        </is>
      </c>
      <c r="B167" s="202" t="n">
        <v>1</v>
      </c>
      <c r="C167" s="255" t="inlineStr">
        <is>
          <t>Evan</t>
        </is>
      </c>
      <c r="D167" s="173" t="inlineStr">
        <is>
          <t>2026-02-24 10:49:05</t>
        </is>
      </c>
      <c r="E167" s="173" t="inlineStr">
        <is>
          <t>https://cdn.discordapp.com/ephemeral-attachments/1450933256630440049/1475882221347930162/20260224_104752.jpg?ex=699f19ee&amp;is=699dc86e&amp;hm=fe1e9c2c693f84bc97b26046d07451570ef1553947735d1c71bced1126f4723a&amp;</t>
        </is>
      </c>
      <c r="F167" s="173" t="inlineStr">
        <is>
          <t>1021390383915204648</t>
        </is>
      </c>
      <c r="G167" s="173" t="inlineStr">
        <is>
          <t>310453864866512907</t>
        </is>
      </c>
    </row>
    <row r="168" ht="14.25" customHeight="1" s="175">
      <c r="A168" s="254" t="inlineStr">
        <is>
          <t>Evan</t>
        </is>
      </c>
      <c r="B168" s="202" t="n">
        <v>1</v>
      </c>
      <c r="C168" s="255" t="inlineStr">
        <is>
          <t>Anthony</t>
        </is>
      </c>
      <c r="D168" s="173" t="inlineStr">
        <is>
          <t>2026-02-24 10:49:33</t>
        </is>
      </c>
      <c r="E168" s="173" t="inlineStr">
        <is>
          <t>https://cdn.discordapp.com/ephemeral-attachments/1450933256630440049/1475882341657219092/20260224_104903.jpg?ex=699f1a0a&amp;is=699dc88a&amp;hm=84a78618b92312dc67c6df129aaf5f51f09c84ea18162725d8467379527e1adb&amp;</t>
        </is>
      </c>
      <c r="F168" s="173" t="inlineStr">
        <is>
          <t>310453864866512907</t>
        </is>
      </c>
      <c r="G168" s="173" t="inlineStr">
        <is>
          <t>525816152161648680</t>
        </is>
      </c>
      <c r="I168" s="240" t="n"/>
      <c r="J168" s="240" t="n"/>
    </row>
    <row r="169" ht="14.25" customHeight="1" s="175">
      <c r="A169" s="254" t="inlineStr">
        <is>
          <t>Lucy</t>
        </is>
      </c>
      <c r="B169" s="202" t="n">
        <v>2</v>
      </c>
      <c r="C169" s="255" t="inlineStr">
        <is>
          <t>Ethan</t>
        </is>
      </c>
      <c r="D169" s="173" t="inlineStr">
        <is>
          <t>2026-02-24 11:52:25</t>
        </is>
      </c>
      <c r="E169" s="173" t="inlineStr">
        <is>
          <t>https://cdn.discordapp.com/ephemeral-attachments/1450933256630440049/1475898158046249023/20260224_115132.jpg?ex=699f28c5&amp;is=699dd745&amp;hm=9519c4ce0472332b3b678e9bf7a245f9fdae9990d33178dbb5984c12f8de8478&amp;</t>
        </is>
      </c>
      <c r="F169" s="173" t="inlineStr">
        <is>
          <t>1021390383915204648</t>
        </is>
      </c>
      <c r="G169" s="173" t="inlineStr">
        <is>
          <t>423221841872814081</t>
        </is>
      </c>
      <c r="I169" s="240" t="n"/>
      <c r="J169" s="240" t="n"/>
    </row>
    <row r="170" ht="14.25" customHeight="1" s="175">
      <c r="A170" s="254" t="inlineStr">
        <is>
          <t>Lucy</t>
        </is>
      </c>
      <c r="B170" s="202" t="n">
        <v>2</v>
      </c>
      <c r="C170" s="255" t="inlineStr">
        <is>
          <t>Evan</t>
        </is>
      </c>
      <c r="D170" s="173" t="inlineStr">
        <is>
          <t>2026-02-24 12:18:48</t>
        </is>
      </c>
      <c r="E170" s="173" t="inlineStr">
        <is>
          <t>https://cdn.discordapp.com/ephemeral-attachments/1450933256630440049/1475904797080031242/20260224_121731.jpg?ex=699f2ef4&amp;is=699ddd74&amp;hm=f58d8f6d0f25c4318bcf1c286e2e5e871ace5d1cdb784ace45c3d62edb16b754&amp;</t>
        </is>
      </c>
      <c r="F170" s="173" t="inlineStr">
        <is>
          <t>1021390383915204648</t>
        </is>
      </c>
      <c r="G170" s="173" t="inlineStr">
        <is>
          <t>310453864866512907</t>
        </is>
      </c>
      <c r="I170" s="240" t="n"/>
      <c r="J170" s="240" t="n"/>
    </row>
    <row r="171" ht="14.25" customHeight="1" s="175">
      <c r="A171" s="254" t="inlineStr">
        <is>
          <t>Carter</t>
        </is>
      </c>
      <c r="B171" s="202" t="n">
        <v>2</v>
      </c>
      <c r="C171" s="255" t="inlineStr">
        <is>
          <t>Vignesh</t>
        </is>
      </c>
      <c r="D171" s="173" t="inlineStr">
        <is>
          <t>2026-02-24 13:45:06</t>
        </is>
      </c>
      <c r="E171" s="173" t="inlineStr">
        <is>
          <t>https://cdn.discordapp.com/ephemeral-attachments/1450933256630440049/1475926515672682516/IMG_2666.jpg?ex=699f432e&amp;is=699df1ae&amp;hm=64d2cb5c099dcf15ddf51eca97e54dd469beaf2845d248f409fa8f7b1db06f03&amp;</t>
        </is>
      </c>
      <c r="F171" s="173" t="inlineStr">
        <is>
          <t>1031639054846021672</t>
        </is>
      </c>
      <c r="G171" s="173" t="inlineStr">
        <is>
          <t>483162151046086657</t>
        </is>
      </c>
      <c r="I171" s="240" t="n"/>
      <c r="J171" s="240" t="n"/>
    </row>
    <row r="172" ht="14.25" customHeight="1" s="175">
      <c r="A172" s="254" t="inlineStr">
        <is>
          <t>Vignesh</t>
        </is>
      </c>
      <c r="B172" s="202" t="n">
        <v>2</v>
      </c>
      <c r="C172" s="255" t="inlineStr">
        <is>
          <t>Reuben</t>
        </is>
      </c>
      <c r="D172" s="173" t="inlineStr">
        <is>
          <t>2026-02-24 13:51:07</t>
        </is>
      </c>
      <c r="E172" s="173" t="inlineStr">
        <is>
          <t>https://cdn.discordapp.com/ephemeral-attachments/1450933256630440049/1475928028814115007/IMG20260224135013.jpg?ex=699f4497&amp;is=699df317&amp;hm=eb97e5eb998735dd9a500de759047a0d7d1a5353c68b62d1f8c49a4a8fdab2a3&amp;</t>
        </is>
      </c>
      <c r="F172" s="173" t="inlineStr">
        <is>
          <t>483162151046086657</t>
        </is>
      </c>
      <c r="G172" s="173" t="inlineStr">
        <is>
          <t>689822943307759670</t>
        </is>
      </c>
      <c r="I172" s="240" t="n"/>
      <c r="J172" s="240" t="n"/>
    </row>
    <row r="173" ht="14.25" customHeight="1" s="175">
      <c r="A173" s="254" t="inlineStr">
        <is>
          <t>Vignesh</t>
        </is>
      </c>
      <c r="B173" s="202" t="n">
        <v>1</v>
      </c>
      <c r="C173" s="255" t="inlineStr">
        <is>
          <t>Rob</t>
        </is>
      </c>
      <c r="D173" s="173" t="inlineStr">
        <is>
          <t>2026-02-24 15:24:35</t>
        </is>
      </c>
      <c r="E173" s="173" t="inlineStr">
        <is>
          <t>https://cdn.discordapp.com/ephemeral-attachments/1450933256630440049/1475951548495302791/IMG20260224152353.jpg?ex=699f5a7f&amp;is=699e08ff&amp;hm=a42b40492776a2f2a156bac941ca459506773973b39cec7b72f4f412d7c96e89&amp;</t>
        </is>
      </c>
      <c r="F173" s="173" t="inlineStr">
        <is>
          <t>483162151046086657</t>
        </is>
      </c>
      <c r="G173" s="173" t="inlineStr">
        <is>
          <t>619268961393049601</t>
        </is>
      </c>
      <c r="I173" s="240" t="n"/>
      <c r="J173" s="240" t="n"/>
    </row>
    <row r="174" ht="14.25" customHeight="1" s="175">
      <c r="A174" s="254" t="inlineStr">
        <is>
          <t>Rob</t>
        </is>
      </c>
      <c r="B174" s="202" t="n">
        <v>1</v>
      </c>
      <c r="C174" s="255" t="inlineStr">
        <is>
          <t>Vignesh</t>
        </is>
      </c>
      <c r="D174" s="173" t="inlineStr">
        <is>
          <t>2026-02-24 15:24:57</t>
        </is>
      </c>
      <c r="E174" s="173" t="inlineStr">
        <is>
          <t>https://cdn.discordapp.com/ephemeral-attachments/1450933256630440049/1475951644800712756/88D8045D-B69D-47E5-A977-E53F7D8D150C.jpg?ex=699f5a95&amp;is=699e0915&amp;hm=6b3ddc497a4dff020ae285ae4fe6d6cc23c438adfdf284156aa3295cb06d91a9&amp;</t>
        </is>
      </c>
      <c r="F174" s="173" t="inlineStr">
        <is>
          <t>619268961393049601</t>
        </is>
      </c>
      <c r="G174" s="173" t="inlineStr">
        <is>
          <t>483162151046086657</t>
        </is>
      </c>
      <c r="I174" s="240" t="n"/>
      <c r="J174" s="240" t="n"/>
    </row>
    <row r="175" ht="14.25" customHeight="1" s="175">
      <c r="A175" s="254" t="inlineStr">
        <is>
          <t>Will</t>
        </is>
      </c>
      <c r="B175" s="202" t="n">
        <v>1</v>
      </c>
      <c r="C175" s="255" t="inlineStr">
        <is>
          <t>Lucy</t>
        </is>
      </c>
      <c r="D175" s="173" t="inlineStr">
        <is>
          <t>2026-02-24 19:53:54</t>
        </is>
      </c>
      <c r="E175" s="173" t="inlineStr">
        <is>
          <t>https://cdn.discordapp.com/ephemeral-attachments/1450933256630440049/1476019324908212467/IMG_1981.jpg?ex=699f999e&amp;is=699e481e&amp;hm=80ec027d933a692c8d82ecdb95a790c0ebdaa7c7a1fb24c4f81c7ff7770ba0d4&amp;</t>
        </is>
      </c>
      <c r="F175" s="173" t="inlineStr">
        <is>
          <t>707377558940811335</t>
        </is>
      </c>
      <c r="G175" s="173" t="inlineStr">
        <is>
          <t>1021390383915204648</t>
        </is>
      </c>
      <c r="I175" s="240" t="n"/>
      <c r="J175" s="240" t="n"/>
    </row>
    <row r="176" ht="14.25" customHeight="1" s="175">
      <c r="A176" s="254" t="inlineStr">
        <is>
          <t>Lucy</t>
        </is>
      </c>
      <c r="B176" s="202" t="n">
        <v>1</v>
      </c>
      <c r="C176" s="255" t="inlineStr">
        <is>
          <t>Will</t>
        </is>
      </c>
      <c r="D176" s="173" t="inlineStr">
        <is>
          <t>2026-02-24 19:54:20</t>
        </is>
      </c>
      <c r="E176" s="173" t="inlineStr">
        <is>
          <t>https://cdn.discordapp.com/ephemeral-attachments/1450933256630440049/1476019434224226374/20260224_195247.jpg?ex=699f99b8&amp;is=699e4838&amp;hm=c8abee8e70508dfc689a3cde72d9ae47a62a1a203ba6fe3c324ad2876116ad10&amp;</t>
        </is>
      </c>
      <c r="F176" s="173" t="inlineStr">
        <is>
          <t>1021390383915204648</t>
        </is>
      </c>
      <c r="G176" s="173" t="inlineStr">
        <is>
          <t>707377558940811335</t>
        </is>
      </c>
      <c r="I176" s="240" t="n"/>
      <c r="J176" s="240" t="n"/>
    </row>
    <row r="177" ht="14.25" customHeight="1" s="175">
      <c r="A177" s="254" t="inlineStr">
        <is>
          <t>Will</t>
        </is>
      </c>
      <c r="B177" s="202" t="n">
        <v>1</v>
      </c>
      <c r="C177" s="255" t="inlineStr">
        <is>
          <t>Ethan</t>
        </is>
      </c>
      <c r="D177" s="173" t="inlineStr">
        <is>
          <t>2026-02-25 13:03:53</t>
        </is>
      </c>
      <c r="E177" s="173" t="inlineStr">
        <is>
          <t>https://cdn.discordapp.com/ephemeral-attachments/1450933256630440049/1476278533985927168/IMG_1987.jpg?ex=69a08b06&amp;is=699f3986&amp;hm=4221415269f9bd1479fc3286a222fa3f0c66fc9fb12e51f03c252744b2345356&amp;</t>
        </is>
      </c>
      <c r="F177" s="173" t="inlineStr">
        <is>
          <t>707377558940811335</t>
        </is>
      </c>
      <c r="G177" s="173" t="inlineStr">
        <is>
          <t>423221841872814081</t>
        </is>
      </c>
    </row>
    <row r="178" ht="14.25" customHeight="1" s="175">
      <c r="A178" s="254" t="inlineStr">
        <is>
          <t>Ethan</t>
        </is>
      </c>
      <c r="B178" s="202" t="n">
        <v>1</v>
      </c>
      <c r="C178" s="255" t="inlineStr">
        <is>
          <t>Will</t>
        </is>
      </c>
      <c r="D178" s="173" t="inlineStr">
        <is>
          <t>2026-02-25 13:04:31</t>
        </is>
      </c>
      <c r="E178" s="173" t="inlineStr">
        <is>
          <t>https://cdn.discordapp.com/ephemeral-attachments/1450933256630440049/1476278695500189829/20260225_130316.jpg?ex=69a08b2c&amp;is=699f39ac&amp;hm=006b873ae49c9f69e92a553eaefbfe41deea15a732dd77fa9b2db34787af51d6&amp;</t>
        </is>
      </c>
      <c r="F178" s="173" t="inlineStr">
        <is>
          <t>423221841872814081</t>
        </is>
      </c>
      <c r="G178" s="173" t="inlineStr">
        <is>
          <t>707377558940811335</t>
        </is>
      </c>
    </row>
    <row r="179" ht="14.25" customHeight="1" s="175">
      <c r="A179" s="254" t="inlineStr">
        <is>
          <t>Peter</t>
        </is>
      </c>
      <c r="B179" s="202" t="n">
        <v>2</v>
      </c>
      <c r="C179" s="255" t="inlineStr">
        <is>
          <t>Anthony</t>
        </is>
      </c>
      <c r="D179" s="173" t="inlineStr">
        <is>
          <t>2026-02-25 14:48:24</t>
        </is>
      </c>
      <c r="E179" s="173" t="inlineStr">
        <is>
          <t>https://cdn.discordapp.com/ephemeral-attachments/1450933256630440049/1476304825154142218/PXL_20260225_194747053.MP.jpg?ex=69a0a382&amp;is=699f5202&amp;hm=4b1b733bd6b515c8d6a784808638a69a567a83712f4dcf845446406e5d39eb93&amp;</t>
        </is>
      </c>
      <c r="F179" s="173" t="inlineStr">
        <is>
          <t>290654652838576130</t>
        </is>
      </c>
      <c r="G179" s="173" t="inlineStr">
        <is>
          <t>525816152161648680</t>
        </is>
      </c>
    </row>
    <row r="180" ht="14.25" customHeight="1" s="175">
      <c r="A180" s="254" t="inlineStr">
        <is>
          <t>Maxine</t>
        </is>
      </c>
      <c r="B180" s="202" t="n">
        <v>5</v>
      </c>
      <c r="C180" s="255" t="inlineStr">
        <is>
          <t>Alumni</t>
        </is>
      </c>
      <c r="D180" s="173" t="inlineStr">
        <is>
          <t>2026-02-25 15:18:39</t>
        </is>
      </c>
      <c r="E180" s="173" t="inlineStr">
        <is>
          <t>https://cdn.discordapp.com/ephemeral-attachments/1450933256630440049/1476312433407557823/IMG_2493.jpg?ex=69a0aa98&amp;is=699f5918&amp;hm=c32edc06e28c6d11c1865d10e136c16f71a28dcf930bf3a387688b270f1f9af4&amp;</t>
        </is>
      </c>
      <c r="F180" s="173" t="inlineStr">
        <is>
          <t>601936524044664852</t>
        </is>
      </c>
      <c r="G180" s="173" t="inlineStr">
        <is>
          <t>0000</t>
        </is>
      </c>
    </row>
    <row r="181" ht="14.25" customHeight="1" s="175">
      <c r="A181" s="254" t="inlineStr">
        <is>
          <t>Ethan</t>
        </is>
      </c>
      <c r="B181" s="202" t="n">
        <v>2</v>
      </c>
      <c r="C181" s="255" t="inlineStr">
        <is>
          <t>Anthony</t>
        </is>
      </c>
      <c r="D181" s="173" t="inlineStr">
        <is>
          <t>2026-02-25 17:39:39</t>
        </is>
      </c>
      <c r="E181" s="173" t="inlineStr">
        <is>
          <t>https://cdn.discordapp.com/ephemeral-attachments/1450933256630440049/1476347924060311715/20260225_173836.jpg?ex=69a0cba6&amp;is=699f7a26&amp;hm=4b7aed3ea6785412127da088bff69f77a5212a7bb4f032250634aeff7dacb1ed&amp;</t>
        </is>
      </c>
      <c r="F181" s="173" t="inlineStr">
        <is>
          <t>423221841872814081</t>
        </is>
      </c>
      <c r="G181" s="173" t="inlineStr">
        <is>
          <t>525816152161648680</t>
        </is>
      </c>
    </row>
    <row r="182" ht="14.25" customHeight="1" s="175">
      <c r="A182" s="254" t="inlineStr">
        <is>
          <t>Vignesh</t>
        </is>
      </c>
      <c r="B182" s="202" t="n">
        <v>1</v>
      </c>
      <c r="C182" s="255" t="inlineStr">
        <is>
          <t>Maxine</t>
        </is>
      </c>
      <c r="D182" s="173" t="inlineStr">
        <is>
          <t>2026-02-26 12:05:46</t>
        </is>
      </c>
      <c r="E182" s="173" t="inlineStr">
        <is>
          <t>https://cdn.discordapp.com/ephemeral-attachments/1450933256630440049/1476626297248547127/IMG20260226120441.jpg?ex=69a1cee7&amp;is=69a07d67&amp;hm=c93201a1f43979334af835dcac4afa7fd8e2d776d0e048914aa7b9dc408ca6aa&amp;</t>
        </is>
      </c>
      <c r="F182" s="173" t="inlineStr">
        <is>
          <t>483162151046086657</t>
        </is>
      </c>
      <c r="G182" s="173" t="inlineStr">
        <is>
          <t>601936524044664852</t>
        </is>
      </c>
    </row>
    <row r="183" ht="14.25" customHeight="1" s="175">
      <c r="A183" s="254" t="inlineStr">
        <is>
          <t>Maxine</t>
        </is>
      </c>
      <c r="B183" s="202" t="n">
        <v>1</v>
      </c>
      <c r="C183" s="255" t="inlineStr">
        <is>
          <t>Vignesh</t>
        </is>
      </c>
      <c r="D183" s="173" t="inlineStr">
        <is>
          <t>2026-02-26 12:06:30</t>
        </is>
      </c>
      <c r="E183" s="173" t="inlineStr">
        <is>
          <t>https://cdn.discordapp.com/ephemeral-attachments/1450933256630440049/1476626481651122226/IMG_2505.jpg?ex=69a1cf13&amp;is=69a07d93&amp;hm=b69a589d194576919ffb0f09bf5706ab2e3856006813bf880d7263a251d69c51&amp;</t>
        </is>
      </c>
      <c r="F183" s="173" t="inlineStr">
        <is>
          <t>601936524044664852</t>
        </is>
      </c>
      <c r="G183" s="173" t="inlineStr">
        <is>
          <t>483162151046086657</t>
        </is>
      </c>
    </row>
    <row r="184" ht="14.25" customHeight="1" s="175">
      <c r="A184" s="254" t="inlineStr">
        <is>
          <t>Grady</t>
        </is>
      </c>
      <c r="B184" s="202" t="n">
        <v>2</v>
      </c>
      <c r="C184" s="255" t="inlineStr">
        <is>
          <t>Mikey</t>
        </is>
      </c>
      <c r="D184" s="173" t="inlineStr">
        <is>
          <t>2026-02-26 13:46:10</t>
        </is>
      </c>
      <c r="E184" s="173" t="inlineStr">
        <is>
          <t>https://cdn.discordapp.com/ephemeral-attachments/1450933256630440049/1476651559315181650/IMG_4363.jpg?ex=69a1e66e&amp;is=69a094ee&amp;hm=19eb855da132835d546c16c8d2d8076e80ad75bc5c5bda01a06d3f80a0de36b4&amp;</t>
        </is>
      </c>
      <c r="F184" s="173" t="inlineStr">
        <is>
          <t>678304540856025153</t>
        </is>
      </c>
      <c r="G184" s="173" t="inlineStr">
        <is>
          <t>288299360557465600</t>
        </is>
      </c>
    </row>
    <row r="185" ht="14.25" customHeight="1" s="175">
      <c r="A185" s="254" t="inlineStr">
        <is>
          <t>Mikey</t>
        </is>
      </c>
      <c r="B185" s="202" t="n">
        <v>2</v>
      </c>
      <c r="C185" s="255" t="inlineStr">
        <is>
          <t>Carter</t>
        </is>
      </c>
      <c r="D185" s="173" t="inlineStr">
        <is>
          <t>2026-02-26 14:03:08</t>
        </is>
      </c>
      <c r="E185" s="173" t="inlineStr">
        <is>
          <t>https://cdn.discordapp.com/ephemeral-attachments/1450933256630440049/1476655828483182766/IMG_2466.jpg?ex=69a1ea68&amp;is=69a098e8&amp;hm=267d8f1fe3ecf1a3918f1fb70efa2c75c1d3ed02541c0c298d394061009439c8&amp;</t>
        </is>
      </c>
      <c r="F185" s="173" t="inlineStr">
        <is>
          <t>288299360557465600</t>
        </is>
      </c>
      <c r="G185" s="173" t="inlineStr">
        <is>
          <t>1031639054846021672</t>
        </is>
      </c>
    </row>
    <row r="186" ht="14.25" customHeight="1" s="175">
      <c r="A186" s="254" t="inlineStr">
        <is>
          <t>Ethan</t>
        </is>
      </c>
      <c r="B186" s="202" t="n">
        <v>2</v>
      </c>
      <c r="C186" s="255" t="inlineStr">
        <is>
          <t>Lucy</t>
        </is>
      </c>
      <c r="D186" s="173" t="inlineStr">
        <is>
          <t>2026-02-26 16:55:21</t>
        </is>
      </c>
      <c r="E186" s="173" t="inlineStr">
        <is>
          <t>https://cdn.discordapp.com/ephemeral-attachments/1450933256630440049/1476699166939021322/20260226_165442.jpg?ex=69a212c5&amp;is=69a0c145&amp;hm=e47241b434f79907e7c4167e50bae8b8fc3dea5aab28a29402721d77f4fb287c&amp;</t>
        </is>
      </c>
      <c r="F186" s="173" t="inlineStr">
        <is>
          <t>423221841872814081</t>
        </is>
      </c>
      <c r="G186" s="173" t="inlineStr">
        <is>
          <t>1021390383915204648</t>
        </is>
      </c>
    </row>
    <row r="187" ht="14.25" customHeight="1" s="175">
      <c r="A187" s="254" t="inlineStr">
        <is>
          <t>Will</t>
        </is>
      </c>
      <c r="B187" s="202" t="n">
        <v>2</v>
      </c>
      <c r="C187" s="255" t="inlineStr">
        <is>
          <t>Mikey</t>
        </is>
      </c>
      <c r="D187" s="173" t="inlineStr">
        <is>
          <t>2026-02-26 22:11:26</t>
        </is>
      </c>
      <c r="E187" s="173" t="inlineStr">
        <is>
          <t>https://cdn.discordapp.com/ephemeral-attachments/1450933256630440049/1476778709078773911/IMG_1990.jpg?ex=69a25cd9&amp;is=69a10b59&amp;hm=51504a3d72d51c77ce442f6b7c440cf66fed7810c981d4367d62df43eee5602c&amp;</t>
        </is>
      </c>
      <c r="F187" s="173" t="inlineStr">
        <is>
          <t>707377558940811335</t>
        </is>
      </c>
      <c r="G187" s="173" t="inlineStr">
        <is>
          <t>288299360557465600</t>
        </is>
      </c>
    </row>
    <row r="188" ht="14.25" customHeight="1" s="175">
      <c r="A188" s="254" t="inlineStr">
        <is>
          <t>Will</t>
        </is>
      </c>
      <c r="B188" s="202" t="n">
        <v>1</v>
      </c>
      <c r="C188" s="255" t="inlineStr">
        <is>
          <t>Lucy</t>
        </is>
      </c>
      <c r="D188" s="173" t="inlineStr">
        <is>
          <t>2026-02-26 22:14:30</t>
        </is>
      </c>
      <c r="E188" s="173" t="inlineStr">
        <is>
          <t>https://cdn.discordapp.com/ephemeral-attachments/1450933256630440049/1476779481170706493/IMG_1991.jpg?ex=69a25d91&amp;is=69a10c11&amp;hm=c58f8a596fd81837f609ba8e04a740743a6d0025eb300012a25bcd08a2fc8adb&amp;</t>
        </is>
      </c>
      <c r="F188" s="173" t="inlineStr">
        <is>
          <t>707377558940811335</t>
        </is>
      </c>
      <c r="G188" s="173" t="inlineStr">
        <is>
          <t>1021390383915204648</t>
        </is>
      </c>
    </row>
    <row r="189" ht="14.25" customHeight="1" s="175">
      <c r="A189" s="254" t="inlineStr">
        <is>
          <t>Lucy</t>
        </is>
      </c>
      <c r="B189" s="202" t="n">
        <v>1</v>
      </c>
      <c r="C189" s="255" t="inlineStr">
        <is>
          <t>Will</t>
        </is>
      </c>
      <c r="D189" s="173" t="inlineStr">
        <is>
          <t>2026-02-26 22:15:02</t>
        </is>
      </c>
      <c r="E189" s="173" t="inlineStr">
        <is>
          <t>https://cdn.discordapp.com/ephemeral-attachments/1450933256630440049/1476779616499667025/20260226_221359.jpg?ex=69a25db1&amp;is=69a10c31&amp;hm=dbd8742239afc12ea931254388329454d4142ddb333199dd3174098c6b6011e7&amp;</t>
        </is>
      </c>
      <c r="F189" s="173" t="inlineStr">
        <is>
          <t>1021390383915204648</t>
        </is>
      </c>
      <c r="G189" s="173" t="inlineStr">
        <is>
          <t>707377558940811335</t>
        </is>
      </c>
    </row>
    <row r="190" ht="14.25" customHeight="1" s="175">
      <c r="A190" s="254" t="inlineStr">
        <is>
          <t>Will</t>
        </is>
      </c>
      <c r="B190" s="202" t="n">
        <v>2</v>
      </c>
      <c r="C190" s="255" t="inlineStr">
        <is>
          <t>Lucy</t>
        </is>
      </c>
      <c r="D190" s="173" t="inlineStr">
        <is>
          <t>2026-02-27 11:40:56</t>
        </is>
      </c>
      <c r="E190" s="173" t="inlineStr">
        <is>
          <t>https://cdn.discordapp.com/ephemeral-attachments/1450933256630440049/1476982430522146816/IMG_2005.jpg?ex=69a31a94&amp;is=69a1c914&amp;hm=eebd86c2c4441ce02537211e03e730ec3429702e199e8493bf94bbf77042283b&amp;</t>
        </is>
      </c>
      <c r="F190" s="173" t="inlineStr">
        <is>
          <t>707377558940811335</t>
        </is>
      </c>
      <c r="G190" s="173" t="inlineStr">
        <is>
          <t>1021390383915204648</t>
        </is>
      </c>
    </row>
    <row r="191" ht="14.25" customHeight="1" s="175">
      <c r="A191" s="254" t="inlineStr">
        <is>
          <t>Carter</t>
        </is>
      </c>
      <c r="B191" s="202" t="n">
        <v>2</v>
      </c>
      <c r="C191" s="255" t="inlineStr">
        <is>
          <t>Mikey</t>
        </is>
      </c>
      <c r="D191" s="173" t="inlineStr">
        <is>
          <t>2026-02-27 14:43:59</t>
        </is>
      </c>
      <c r="E191" s="173" t="inlineStr">
        <is>
          <t>https://cdn.discordapp.com/ephemeral-attachments/1450933256630440049/1477028497649041699/IMG_2680.jpg?ex=69a3457b&amp;is=69a1f3fb&amp;hm=59262da0b8e52ecb98e6fc2e10b8bc5a3b48e336e0985134d74508b266682d29&amp;</t>
        </is>
      </c>
      <c r="F191" s="173" t="inlineStr">
        <is>
          <t>1031639054846021672</t>
        </is>
      </c>
      <c r="G191" s="173" t="inlineStr">
        <is>
          <t>288299360557465600</t>
        </is>
      </c>
    </row>
    <row r="192" ht="14.25" customHeight="1" s="175">
      <c r="A192" s="254" t="inlineStr">
        <is>
          <t>Rob</t>
        </is>
      </c>
      <c r="B192" s="202" t="n">
        <v>1</v>
      </c>
      <c r="C192" s="255" t="inlineStr">
        <is>
          <t>Lucy</t>
        </is>
      </c>
      <c r="D192" s="173" t="inlineStr">
        <is>
          <t>2026-02-27 23:31:10</t>
        </is>
      </c>
      <c r="E192" s="173" t="inlineStr">
        <is>
          <t>https://cdn.discordapp.com/ephemeral-attachments/1450933256630440049/1477161156584935600/IMG_3794.jpg?ex=69a3c108&amp;is=69a26f88&amp;hm=c338b32d44f6d825e7ea598058b8e8f3561a4abb9a62e607fe1b79bc9a516069&amp;</t>
        </is>
      </c>
      <c r="F192" s="173" t="inlineStr">
        <is>
          <t>619268961393049601</t>
        </is>
      </c>
      <c r="G192" s="173" t="inlineStr">
        <is>
          <t>1021390383915204648</t>
        </is>
      </c>
    </row>
    <row r="193" ht="14.25" customHeight="1" s="175">
      <c r="A193" s="254" t="inlineStr">
        <is>
          <t>Lucy</t>
        </is>
      </c>
      <c r="B193" s="202" t="n">
        <v>2</v>
      </c>
      <c r="C193" s="255" t="inlineStr">
        <is>
          <t>Rob</t>
        </is>
      </c>
      <c r="D193" s="173" t="inlineStr">
        <is>
          <t>2026-02-27 23:31:19</t>
        </is>
      </c>
      <c r="E193" s="173" t="inlineStr">
        <is>
          <t>https://cdn.discordapp.com/ephemeral-attachments/1450933256630440049/1477161200004628562/20260227_232959.jpg?ex=69a3c112&amp;is=69a26f92&amp;hm=6216c9a5d3b6845ee49a63cb4923942d62523384ebcee148c4563cde315fb888&amp;</t>
        </is>
      </c>
      <c r="F193" s="173" t="inlineStr">
        <is>
          <t>1021390383915204648</t>
        </is>
      </c>
      <c r="G193" s="173" t="inlineStr">
        <is>
          <t>619268961393049601</t>
        </is>
      </c>
    </row>
    <row r="194" ht="14.25" customHeight="1" s="175">
      <c r="A194" s="254" t="inlineStr">
        <is>
          <t>Will</t>
        </is>
      </c>
      <c r="B194" s="202" t="n">
        <v>1</v>
      </c>
      <c r="C194" s="255" t="inlineStr">
        <is>
          <t>Lucy</t>
        </is>
      </c>
      <c r="D194" s="173" t="inlineStr">
        <is>
          <t>2026-02-28 19:59:36</t>
        </is>
      </c>
      <c r="E194" s="173" t="inlineStr">
        <is>
          <t>https://cdn.discordapp.com/ephemeral-attachments/1450933256630440049/1477470309669146784/IMG_2009.jpg?ex=69a4e0f3&amp;is=69a38f73&amp;hm=d1a78ebff851b13cbe25b05528a777e6e3d11b8c31f032a69e5c3bbc090ae77c&amp;</t>
        </is>
      </c>
      <c r="F194" s="173" t="inlineStr">
        <is>
          <t>707377558940811335</t>
        </is>
      </c>
      <c r="G194" s="173" t="inlineStr">
        <is>
          <t>1021390383915204648</t>
        </is>
      </c>
    </row>
    <row r="195" ht="14.25" customHeight="1" s="175">
      <c r="A195" s="254" t="inlineStr">
        <is>
          <t>Lucy</t>
        </is>
      </c>
      <c r="B195" s="202" t="n">
        <v>1</v>
      </c>
      <c r="C195" s="255" t="inlineStr">
        <is>
          <t>Will</t>
        </is>
      </c>
      <c r="D195" s="173" t="inlineStr">
        <is>
          <t>2026-02-28 19:59:53</t>
        </is>
      </c>
      <c r="E195" s="173" t="inlineStr">
        <is>
          <t>https://cdn.discordapp.com/ephemeral-attachments/1450933256630440049/1477470383002222683/20260228_195852.jpg?ex=69a4e105&amp;is=69a38f85&amp;hm=fc6c4d6dd80e69b69c16039bb006b7cd988a9b779e865d033ec0eb4e3a0eea82&amp;</t>
        </is>
      </c>
      <c r="F195" s="173" t="inlineStr">
        <is>
          <t>1021390383915204648</t>
        </is>
      </c>
      <c r="G195" s="173" t="inlineStr">
        <is>
          <t>707377558940811335</t>
        </is>
      </c>
    </row>
    <row r="196" ht="14.25" customHeight="1" s="175">
      <c r="A196" s="254" t="inlineStr">
        <is>
          <t>Evan</t>
        </is>
      </c>
      <c r="B196" s="202" t="n">
        <v>2</v>
      </c>
      <c r="C196" s="255" t="inlineStr">
        <is>
          <t>Mikey</t>
        </is>
      </c>
      <c r="D196" s="173" t="inlineStr">
        <is>
          <t>2026-02-28 22:01:06</t>
        </is>
      </c>
      <c r="E196" s="173" t="inlineStr">
        <is>
          <t>https://cdn.discordapp.com/ephemeral-attachments/1450933256630440049/1477500888565153855/20260228_220000.jpg?ex=69a4fd6e&amp;is=69a3abee&amp;hm=0158e8cde3758c4adbc85a6cc7b520d49fcc15fc7dad76a65b12ae36ed0472a1&amp;</t>
        </is>
      </c>
      <c r="F196" s="173" t="inlineStr">
        <is>
          <t>310453864866512907</t>
        </is>
      </c>
      <c r="G196" s="173" t="inlineStr">
        <is>
          <t>288299360557465600</t>
        </is>
      </c>
    </row>
    <row r="197" ht="14.25" customHeight="1" s="175">
      <c r="A197" s="254" t="inlineStr">
        <is>
          <t>Carter</t>
        </is>
      </c>
      <c r="B197" s="202" t="n">
        <v>1</v>
      </c>
      <c r="C197" s="255" t="inlineStr">
        <is>
          <t>Vignesh</t>
        </is>
      </c>
      <c r="D197" s="173" t="inlineStr">
        <is>
          <t>2026-03-02 10:56:42</t>
        </is>
      </c>
      <c r="E197" s="173" t="inlineStr">
        <is>
          <t>https://cdn.discordapp.com/ephemeral-attachments/1450933256630440049/1478058468001714217/IMG_2693.jpg?ex=69a704b7&amp;is=69a5b337&amp;hm=635b7a31df43d0f7f682ad78176c5b0b6dd7ecaaa793691b5d5e27d3aacac815&amp;</t>
        </is>
      </c>
      <c r="F197" s="173" t="inlineStr">
        <is>
          <t>1031639054846021672</t>
        </is>
      </c>
      <c r="G197" s="173" t="inlineStr">
        <is>
          <t>483162151046086657</t>
        </is>
      </c>
    </row>
    <row r="198" ht="14.25" customHeight="1" s="175">
      <c r="A198" s="254" t="inlineStr">
        <is>
          <t>Vignesh</t>
        </is>
      </c>
      <c r="B198" s="202" t="n">
        <v>1</v>
      </c>
      <c r="C198" s="255" t="inlineStr">
        <is>
          <t>Carter</t>
        </is>
      </c>
      <c r="D198" s="173" t="inlineStr">
        <is>
          <t>2026-03-02 10:56:54</t>
        </is>
      </c>
      <c r="E198" s="173" t="inlineStr">
        <is>
          <t>https://cdn.discordapp.com/ephemeral-attachments/1450933256630440049/1478058517897412750/IMG20260302105601.jpg?ex=69a704c3&amp;is=69a5b343&amp;hm=3fc5f3f0475f1922e1c1140214306be830d6a3e72c07303a14cf5bc6b65f72ff&amp;</t>
        </is>
      </c>
      <c r="F198" s="173" t="inlineStr">
        <is>
          <t>483162151046086657</t>
        </is>
      </c>
      <c r="G198" s="173" t="inlineStr">
        <is>
          <t>1031639054846021672</t>
        </is>
      </c>
    </row>
    <row r="199" ht="14.25" customHeight="1" s="175">
      <c r="A199" s="254" t="inlineStr">
        <is>
          <t>Carter</t>
        </is>
      </c>
      <c r="B199" s="202" t="n">
        <v>2</v>
      </c>
      <c r="C199" s="255" t="inlineStr">
        <is>
          <t>Evan</t>
        </is>
      </c>
      <c r="D199" s="173" t="inlineStr">
        <is>
          <t>2026-03-02 11:46:32</t>
        </is>
      </c>
      <c r="E199" s="173" t="inlineStr">
        <is>
          <t>https://cdn.discordapp.com/ephemeral-attachments/1450933256630440049/1478071006269669606/IMG_2694.jpg?ex=69a71065&amp;is=69a5bee5&amp;hm=988c705401d50e51e749c015955f5cc11b55669bd69fc81147f4bbf803d367fa&amp;</t>
        </is>
      </c>
      <c r="F199" s="173" t="inlineStr">
        <is>
          <t>1031639054846021672</t>
        </is>
      </c>
      <c r="G199" s="173" t="inlineStr">
        <is>
          <t>310453864866512907</t>
        </is>
      </c>
    </row>
    <row r="200" ht="14.25" customHeight="1" s="175">
      <c r="A200" s="254" t="inlineStr">
        <is>
          <t>Carter</t>
        </is>
      </c>
      <c r="B200" s="202" t="n">
        <v>1</v>
      </c>
      <c r="C200" s="255" t="inlineStr">
        <is>
          <t>Lucy</t>
        </is>
      </c>
      <c r="D200" s="173" t="inlineStr">
        <is>
          <t>2026-03-02 13:58:07</t>
        </is>
      </c>
      <c r="E200" s="173" t="inlineStr">
        <is>
          <t>https://cdn.discordapp.com/ephemeral-attachments/1450933256630440049/1478104117422456954/IMG_2695.jpg?ex=69a72f3b&amp;is=69a5ddbb&amp;hm=a3e8bdaa5404a15c049223751121bea67118273ede7ed1244080e2286a4d8d59&amp;</t>
        </is>
      </c>
      <c r="F200" s="173" t="inlineStr">
        <is>
          <t>1031639054846021672</t>
        </is>
      </c>
      <c r="G200" s="173" t="inlineStr">
        <is>
          <t>1021390383915204648</t>
        </is>
      </c>
    </row>
    <row r="201" ht="14.25" customHeight="1" s="175">
      <c r="A201" s="254" t="inlineStr">
        <is>
          <t>Lucy</t>
        </is>
      </c>
      <c r="B201" s="202" t="n">
        <v>2</v>
      </c>
      <c r="C201" s="255" t="inlineStr">
        <is>
          <t>Carter</t>
        </is>
      </c>
      <c r="D201" s="173" t="inlineStr">
        <is>
          <t>2026-03-02 13:58:27</t>
        </is>
      </c>
      <c r="E201" s="173" t="inlineStr">
        <is>
          <t>https://cdn.discordapp.com/ephemeral-attachments/1450933256630440049/1478104203103571968/20260302_135654.jpg?ex=69a72f4f&amp;is=69a5ddcf&amp;hm=01c9355b8c5ef4170018f2bdc76f7abbbfe360a7775acaa9085060c6e8617379&amp;</t>
        </is>
      </c>
      <c r="F201" s="173" t="inlineStr">
        <is>
          <t>1021390383915204648</t>
        </is>
      </c>
      <c r="G201" s="173" t="inlineStr">
        <is>
          <t>1031639054846021672</t>
        </is>
      </c>
    </row>
    <row r="202" ht="14.25" customHeight="1" s="175">
      <c r="A202" s="254" t="inlineStr">
        <is>
          <t>Rob</t>
        </is>
      </c>
      <c r="B202" s="202" t="n">
        <v>2</v>
      </c>
      <c r="C202" s="255" t="inlineStr">
        <is>
          <t>Anthony</t>
        </is>
      </c>
      <c r="D202" s="173" t="inlineStr">
        <is>
          <t>2026-03-02 17:39:46</t>
        </is>
      </c>
      <c r="E202" s="173" t="inlineStr">
        <is>
          <t>https://cdn.discordapp.com/ephemeral-attachments/1450933256630440049/1478159890047570023/IMG_3804.jpg?ex=69a7632c&amp;is=69a611ac&amp;hm=90f772c467ff68d834827a1f40c921f6245f42cd616d8dfc0a89a339b9687d3c&amp;</t>
        </is>
      </c>
      <c r="F202" s="173" t="inlineStr">
        <is>
          <t>619268961393049601</t>
        </is>
      </c>
      <c r="G202" s="173" t="inlineStr">
        <is>
          <t>525816152161648680</t>
        </is>
      </c>
    </row>
    <row r="203" ht="14.25" customHeight="1" s="175">
      <c r="A203" s="254" t="inlineStr">
        <is>
          <t>Vignesh</t>
        </is>
      </c>
      <c r="B203" s="202" t="n">
        <v>2</v>
      </c>
      <c r="C203" s="255" t="inlineStr">
        <is>
          <t>Reuben</t>
        </is>
      </c>
      <c r="D203" s="173" t="inlineStr">
        <is>
          <t>2026-03-03 12:05:39</t>
        </is>
      </c>
      <c r="E203" s="173" t="inlineStr">
        <is>
          <t>https://cdn.discordapp.com/ephemeral-attachments/1450933256630440049/1478438204443983983/IMG20260303120426.jpg?ex=69a8665f&amp;is=69a714df&amp;hm=3246369a61075173588544f766e0e7ee93bcbeea7d407730aa22fe984321fe13&amp;</t>
        </is>
      </c>
      <c r="F203" s="173" t="inlineStr">
        <is>
          <t>483162151046086657</t>
        </is>
      </c>
      <c r="G203" s="173" t="inlineStr">
        <is>
          <t>689822943307759670</t>
        </is>
      </c>
    </row>
    <row r="204" ht="14.25" customHeight="1" s="175">
      <c r="A204" s="254" t="inlineStr">
        <is>
          <t>Will</t>
        </is>
      </c>
      <c r="B204" s="202" t="n">
        <v>2</v>
      </c>
      <c r="C204" s="255" t="inlineStr">
        <is>
          <t>Cooper</t>
        </is>
      </c>
      <c r="D204" s="173" t="inlineStr">
        <is>
          <t>2026-03-03 12:22:38</t>
        </is>
      </c>
      <c r="E204" s="173" t="inlineStr">
        <is>
          <t>https://cdn.discordapp.com/ephemeral-attachments/1450933256630440049/1478442479027093634/IMG_2015.jpg?ex=69a86a5b&amp;is=69a718db&amp;hm=c9bef7c09b0749014d09c024d4f794abd8295b605a545153ec09a121d5fe9895&amp;</t>
        </is>
      </c>
      <c r="F204" s="173" t="inlineStr">
        <is>
          <t>707377558940811335</t>
        </is>
      </c>
      <c r="G204" s="173" t="inlineStr">
        <is>
          <t>688178971183153173</t>
        </is>
      </c>
    </row>
    <row r="205" ht="14.25" customHeight="1" s="175">
      <c r="A205" s="254" t="inlineStr">
        <is>
          <t>Evan</t>
        </is>
      </c>
      <c r="B205" s="202" t="n">
        <v>1</v>
      </c>
      <c r="C205" s="255" t="inlineStr">
        <is>
          <t>Anthony</t>
        </is>
      </c>
      <c r="D205" s="173" t="inlineStr">
        <is>
          <t>2026-03-03 12:25:15</t>
        </is>
      </c>
      <c r="E205" s="173" t="inlineStr">
        <is>
          <t>https://cdn.discordapp.com/ephemeral-attachments/1450933256630440049/1478443135934664714/20260303_122429.jpg?ex=69a86af7&amp;is=69a71977&amp;hm=41f5e7ddd355cb77bae27562e6d4fd74f3d98cc746499e28a312a858d865bb69&amp;</t>
        </is>
      </c>
      <c r="F205" s="173" t="inlineStr">
        <is>
          <t>310453864866512907</t>
        </is>
      </c>
      <c r="G205" s="173" t="inlineStr">
        <is>
          <t>525816152161648680</t>
        </is>
      </c>
    </row>
    <row r="206" ht="14.25" customHeight="1" s="175">
      <c r="A206" s="254" t="inlineStr">
        <is>
          <t>Anthony</t>
        </is>
      </c>
      <c r="B206" s="202" t="n">
        <v>1</v>
      </c>
      <c r="C206" s="255" t="inlineStr">
        <is>
          <t>Evan</t>
        </is>
      </c>
      <c r="D206" s="173" t="inlineStr">
        <is>
          <t>2026-03-03 12:25:45</t>
        </is>
      </c>
      <c r="E206" s="173" t="inlineStr">
        <is>
          <t>https://cdn.discordapp.com/ephemeral-attachments/1450933256630440049/1478443265672876186/IMG_6880.jpg?ex=69a86b16&amp;is=69a71996&amp;hm=44b0d10d04cafd1ced10f8cb50b80860df8220b93504df8545047780e47ca0f9&amp;</t>
        </is>
      </c>
      <c r="F206" s="173" t="inlineStr">
        <is>
          <t>525816152161648680</t>
        </is>
      </c>
      <c r="G206" s="173" t="inlineStr">
        <is>
          <t>310453864866512907</t>
        </is>
      </c>
    </row>
    <row r="207" ht="14.25" customHeight="1" s="175">
      <c r="A207" s="254" t="inlineStr">
        <is>
          <t>Will</t>
        </is>
      </c>
      <c r="B207" s="202" t="n">
        <v>2</v>
      </c>
      <c r="C207" s="255" t="inlineStr">
        <is>
          <t>Reuben</t>
        </is>
      </c>
      <c r="D207" s="173" t="inlineStr">
        <is>
          <t>2026-03-03 18:05:15</t>
        </is>
      </c>
      <c r="E207" s="173" t="inlineStr">
        <is>
          <t>https://cdn.discordapp.com/ephemeral-attachments/1450933256630440049/1478528698364989511/IMG_2016.jpg?ex=69a8baa7&amp;is=69a76927&amp;hm=e7502ad4d38a524ba322007104175e8bf9fc961a365f546788d1750cd3645bb0&amp;</t>
        </is>
      </c>
      <c r="F207" s="173" t="inlineStr">
        <is>
          <t>707377558940811335</t>
        </is>
      </c>
      <c r="G207" s="173" t="inlineStr">
        <is>
          <t>689822943307759670</t>
        </is>
      </c>
    </row>
    <row r="208" ht="14.25" customHeight="1" s="175">
      <c r="A208" s="254" t="inlineStr">
        <is>
          <t>Mikey</t>
        </is>
      </c>
      <c r="B208" s="202" t="n">
        <v>1</v>
      </c>
      <c r="C208" s="255" t="inlineStr">
        <is>
          <t>Lucy</t>
        </is>
      </c>
      <c r="D208" s="173" t="inlineStr">
        <is>
          <t>2026-03-05 10:50:16</t>
        </is>
      </c>
      <c r="E208" s="173" t="inlineStr">
        <is>
          <t>https://cdn.discordapp.com/ephemeral-attachments/1450933256630440049/1479143989557985360/IMG_2510.jpg?ex=69aaf7b0&amp;is=69a9a630&amp;hm=279cd162da5772ecb8b0daee7c6c31ee840719f5ed561976ca9839fcbe6c1b9a&amp;</t>
        </is>
      </c>
      <c r="F208" s="173" t="inlineStr">
        <is>
          <t>288299360557465600</t>
        </is>
      </c>
      <c r="G208" s="173" t="inlineStr">
        <is>
          <t>1021390383915204648</t>
        </is>
      </c>
    </row>
    <row r="209" ht="14.25" customHeight="1" s="175">
      <c r="A209" s="254" t="inlineStr">
        <is>
          <t>Evan</t>
        </is>
      </c>
      <c r="B209" s="202" t="n">
        <v>2</v>
      </c>
      <c r="C209" s="255" t="inlineStr">
        <is>
          <t>Will</t>
        </is>
      </c>
      <c r="D209" s="173" t="inlineStr">
        <is>
          <t>2026-03-05 12:20:14</t>
        </is>
      </c>
      <c r="E209" s="173" t="inlineStr">
        <is>
          <t>https://cdn.discordapp.com/ephemeral-attachments/1450933256630440049/1479166633766289588/20260305_121912.jpg?ex=69ab0cc7&amp;is=69a9bb47&amp;hm=1f0b4b956cacb3e8bba7576147773291b89c2ec545aa8d70b9d4a83749a6fb9a&amp;</t>
        </is>
      </c>
      <c r="F209" s="173" t="inlineStr">
        <is>
          <t>310453864866512907</t>
        </is>
      </c>
      <c r="G209" s="173" t="inlineStr">
        <is>
          <t>707377558940811335</t>
        </is>
      </c>
    </row>
    <row r="210" ht="14.25" customHeight="1" s="175">
      <c r="A210" s="254" t="inlineStr">
        <is>
          <t>Will</t>
        </is>
      </c>
      <c r="B210" s="202" t="n">
        <v>2</v>
      </c>
      <c r="C210" s="255" t="inlineStr">
        <is>
          <t>Mikey</t>
        </is>
      </c>
      <c r="D210" s="173" t="inlineStr">
        <is>
          <t>2026-03-05 19:06:26</t>
        </is>
      </c>
      <c r="E210" s="173" t="inlineStr">
        <is>
          <t>https://cdn.discordapp.com/ephemeral-attachments/1450933256630440049/1479268846811484160/IMG_2027.jpg?ex=69ab6bf8&amp;is=69aa1a78&amp;hm=ded225562b94d607c8a0260ec898f203829967f83c15eb7ed59585b5381b93de&amp;</t>
        </is>
      </c>
      <c r="F210" s="173" t="inlineStr">
        <is>
          <t>707377558940811335</t>
        </is>
      </c>
      <c r="G210" s="173" t="inlineStr">
        <is>
          <t>288299360557465600</t>
        </is>
      </c>
    </row>
    <row r="211" ht="14.25" customHeight="1" s="175">
      <c r="A211" s="254" t="inlineStr">
        <is>
          <t>Mikey</t>
        </is>
      </c>
      <c r="B211" s="202" t="n">
        <v>1</v>
      </c>
      <c r="C211" s="255" t="inlineStr">
        <is>
          <t>Lucy</t>
        </is>
      </c>
      <c r="D211" s="173" t="inlineStr">
        <is>
          <t>2026-03-05 23:05:03</t>
        </is>
      </c>
      <c r="E211" s="173" t="inlineStr">
        <is>
          <t>https://cdn.discordapp.com/ephemeral-attachments/1450933256630440049/1479328898033647852/IMG_2513.jpg?ex=69aba3e5&amp;is=69aa5265&amp;hm=52f0222753af43bfee74f197738f9bd29f2a65f6ca322107988ff5291a78bd8d&amp;</t>
        </is>
      </c>
      <c r="F211" s="173" t="inlineStr">
        <is>
          <t>288299360557465600</t>
        </is>
      </c>
      <c r="G211" s="173" t="inlineStr">
        <is>
          <t>1021390383915204648</t>
        </is>
      </c>
    </row>
    <row r="212" ht="14.25" customHeight="1" s="175">
      <c r="A212" s="254" t="inlineStr">
        <is>
          <t>Lucy</t>
        </is>
      </c>
      <c r="B212" s="202" t="n">
        <v>1</v>
      </c>
      <c r="C212" s="255" t="inlineStr">
        <is>
          <t>Mikey</t>
        </is>
      </c>
      <c r="D212" s="173" t="inlineStr">
        <is>
          <t>2026-03-05 23:05:04</t>
        </is>
      </c>
      <c r="E212" s="173" t="inlineStr">
        <is>
          <t>https://cdn.discordapp.com/ephemeral-attachments/1450933256630440049/1479328901237837864/20260305_230403.jpg?ex=69aba3e6&amp;is=69aa5266&amp;hm=46b9e57899d90316a6abd37d5abbc59634ac14bd72248b88373d7f45e6112522&amp;</t>
        </is>
      </c>
      <c r="F212" s="173" t="inlineStr">
        <is>
          <t>1021390383915204648</t>
        </is>
      </c>
      <c r="G212" s="173" t="inlineStr">
        <is>
          <t>288299360557465600</t>
        </is>
      </c>
    </row>
    <row r="213" ht="14.25" customHeight="1" s="175">
      <c r="A213" s="254" t="inlineStr">
        <is>
          <t>Ethan</t>
        </is>
      </c>
      <c r="B213" s="202" t="n">
        <v>2</v>
      </c>
      <c r="C213" s="255" t="inlineStr">
        <is>
          <t>Lucy</t>
        </is>
      </c>
      <c r="D213" s="173" t="inlineStr">
        <is>
          <t>2026-03-06 11:38:50</t>
        </is>
      </c>
      <c r="E213" s="173" t="inlineStr">
        <is>
          <t>https://cdn.discordapp.com/ephemeral-attachments/1450933256630440049/1479518626406076446/20260306_113759.jpg?ex=69ac5498&amp;is=69ab0318&amp;hm=afd0d02afe13b6da0eb5dc15cc652fde63f6fa529c906c1c3147367e5ede9616&amp;</t>
        </is>
      </c>
      <c r="F213" s="173" t="inlineStr">
        <is>
          <t>423221841872814081</t>
        </is>
      </c>
      <c r="G213" s="173" t="inlineStr">
        <is>
          <t>1021390383915204648</t>
        </is>
      </c>
    </row>
    <row r="214" ht="14.25" customHeight="1" s="175">
      <c r="A214" s="254" t="inlineStr">
        <is>
          <t>Rob</t>
        </is>
      </c>
      <c r="B214" s="202" t="n">
        <v>2</v>
      </c>
      <c r="C214" s="255" t="inlineStr">
        <is>
          <t>Reuben</t>
        </is>
      </c>
      <c r="D214" s="173" t="inlineStr">
        <is>
          <t>2026-03-06 14:55:02</t>
        </is>
      </c>
      <c r="E214" s="173" t="inlineStr">
        <is>
          <t>https://cdn.discordapp.com/ephemeral-attachments/1450933256630440049/1479567995197198366/IMG_3827.jpg?ex=69ac8293&amp;is=69ab3113&amp;hm=b19c58adf7a4a15eee682326ad0f45f849ae44e69e7315ab73fc0d340dfeef04&amp;</t>
        </is>
      </c>
      <c r="F214" s="173" t="inlineStr">
        <is>
          <t>619268961393049601</t>
        </is>
      </c>
      <c r="G214" s="173" t="inlineStr">
        <is>
          <t>689822943307759670</t>
        </is>
      </c>
    </row>
    <row r="215" ht="14.25" customHeight="1" s="175">
      <c r="A215" s="254" t="inlineStr">
        <is>
          <t>Mikey</t>
        </is>
      </c>
      <c r="B215" s="202" t="n">
        <v>1</v>
      </c>
      <c r="C215" s="255" t="inlineStr">
        <is>
          <t>Will</t>
        </is>
      </c>
      <c r="D215" s="173" t="inlineStr">
        <is>
          <t>2026-03-06 19:34:25</t>
        </is>
      </c>
      <c r="E215" s="173" t="inlineStr">
        <is>
          <t>https://cdn.discordapp.com/ephemeral-attachments/1450933256630440049/1479638302222057513/IMG_2517.jpg?ex=69acc40d&amp;is=69ab728d&amp;hm=22777d91a204b46dab659df4549471efde8513a1e4de55af64f3689f7d8e8c02&amp;</t>
        </is>
      </c>
      <c r="F215" s="173" t="inlineStr">
        <is>
          <t>288299360557465600</t>
        </is>
      </c>
      <c r="G215" s="173" t="inlineStr">
        <is>
          <t>707377558940811335</t>
        </is>
      </c>
    </row>
    <row r="216" ht="14.25" customHeight="1" s="175">
      <c r="A216" s="254" t="inlineStr">
        <is>
          <t>Will</t>
        </is>
      </c>
      <c r="B216" s="202" t="n">
        <v>1</v>
      </c>
      <c r="C216" s="255" t="inlineStr">
        <is>
          <t>Mikey</t>
        </is>
      </c>
      <c r="D216" s="173" t="inlineStr">
        <is>
          <t>2026-03-06 19:35:35</t>
        </is>
      </c>
      <c r="E216" s="173" t="inlineStr">
        <is>
          <t>https://cdn.discordapp.com/ephemeral-attachments/1450933256630440049/1479638593969328179/IMG_2029.jpg?ex=69acc453&amp;is=69ab72d3&amp;hm=bcfdcfdd2ac823890f263059b7155f17c7818cb1567b63f92a3174acbc92380e&amp;</t>
        </is>
      </c>
      <c r="F216" s="173" t="inlineStr">
        <is>
          <t>707377558940811335</t>
        </is>
      </c>
      <c r="G216" s="173" t="inlineStr">
        <is>
          <t>288299360557465600</t>
        </is>
      </c>
    </row>
    <row r="217" ht="14.25" customHeight="1" s="175">
      <c r="A217" s="254" t="inlineStr">
        <is>
          <t>Mikey</t>
        </is>
      </c>
      <c r="B217" s="202" t="n">
        <v>2</v>
      </c>
      <c r="C217" s="255" t="inlineStr">
        <is>
          <t>Ethan</t>
        </is>
      </c>
      <c r="D217" s="173" t="inlineStr">
        <is>
          <t>2026-03-16 18:24:06</t>
        </is>
      </c>
      <c r="E217" s="173" t="inlineStr">
        <is>
          <t>https://cdn.discordapp.com/ephemeral-attachments/1450933256630440049/1483229289460662302/IMG_2885.jpg?ex=69b9d46b&amp;is=69b882eb&amp;hm=5f17e802d9853700faaa00d79348e928c342f1f6ba6e8bca7f097bef1d1a376b&amp;</t>
        </is>
      </c>
      <c r="F217" s="173" t="inlineStr">
        <is>
          <t>288299360557465600</t>
        </is>
      </c>
      <c r="G217" s="173" t="inlineStr">
        <is>
          <t>423221841872814081</t>
        </is>
      </c>
    </row>
    <row r="218" ht="14.25" customHeight="1" s="175">
      <c r="A218" s="254" t="inlineStr">
        <is>
          <t>Mikey</t>
        </is>
      </c>
      <c r="B218" s="202" t="n">
        <v>1</v>
      </c>
      <c r="C218" s="255" t="inlineStr">
        <is>
          <t>Rob</t>
        </is>
      </c>
      <c r="D218" s="173" t="inlineStr">
        <is>
          <t>2026-03-16 18:24:13</t>
        </is>
      </c>
      <c r="E218" s="173" t="inlineStr">
        <is>
          <t>https://cdn.discordapp.com/ephemeral-attachments/1450933256630440049/1483229325099532359/IMG_2886.jpg?ex=69b9d474&amp;is=69b882f4&amp;hm=40a7081dc8f74003371708a097df33370826e565006939d06162f040d22bdd6f&amp;</t>
        </is>
      </c>
      <c r="F218" s="173" t="inlineStr">
        <is>
          <t>288299360557465600</t>
        </is>
      </c>
      <c r="G218" s="173" t="inlineStr">
        <is>
          <t>619268961393049601</t>
        </is>
      </c>
    </row>
    <row r="219" ht="14.25" customHeight="1" s="175">
      <c r="A219" s="254" t="inlineStr">
        <is>
          <t>Vignesh</t>
        </is>
      </c>
      <c r="B219" s="202" t="n">
        <v>1</v>
      </c>
      <c r="C219" s="255" t="inlineStr">
        <is>
          <t>Anthony</t>
        </is>
      </c>
      <c r="D219" s="173" t="inlineStr">
        <is>
          <t>2026-03-17 13:47:23</t>
        </is>
      </c>
      <c r="E219" s="173" t="inlineStr">
        <is>
          <t>https://cdn.discordapp.com/ephemeral-attachments/1450933256630440049/1483522134897856635/IMG20260317134610.jpg?ex=69bae527&amp;is=69b993a7&amp;hm=fcc873486f75699500d07cc40f6c462ed59d9050e8032c178f2f3202331c58db&amp;</t>
        </is>
      </c>
      <c r="F219" s="173" t="inlineStr">
        <is>
          <t>483162151046086657</t>
        </is>
      </c>
      <c r="G219" s="173" t="inlineStr">
        <is>
          <t>525816152161648680</t>
        </is>
      </c>
    </row>
    <row r="220" ht="14.25" customHeight="1" s="175">
      <c r="A220" s="254" t="inlineStr">
        <is>
          <t>Rob</t>
        </is>
      </c>
      <c r="B220" s="202" t="n">
        <v>1</v>
      </c>
      <c r="C220" s="255" t="inlineStr">
        <is>
          <t>Mikey</t>
        </is>
      </c>
      <c r="D220" s="173" t="inlineStr">
        <is>
          <t>2026-03-17 13:54:32</t>
        </is>
      </c>
      <c r="E220" s="173" t="inlineStr">
        <is>
          <t>https://cdn.discordapp.com/ephemeral-attachments/1450933256630440049/1483523934577234012/7F5D9542-582C-4311-AF49-FA0752169A3F.jpg?ex=69bae6d4&amp;is=69b99554&amp;hm=5c4d433a64b39baaa135639cd557ed6fb94191fc65726fc82240408a4493ed20&amp;</t>
        </is>
      </c>
      <c r="F220" s="173" t="inlineStr">
        <is>
          <t>619268961393049601</t>
        </is>
      </c>
      <c r="G220" s="173" t="inlineStr">
        <is>
          <t>288299360557465600</t>
        </is>
      </c>
    </row>
    <row r="221" ht="14.25" customHeight="1" s="175">
      <c r="A221" s="254" t="inlineStr">
        <is>
          <t>Mikey</t>
        </is>
      </c>
      <c r="B221" s="202" t="n">
        <v>1</v>
      </c>
      <c r="C221" s="255" t="inlineStr">
        <is>
          <t>Rob</t>
        </is>
      </c>
      <c r="D221" s="173" t="inlineStr">
        <is>
          <t>2026-03-17 13:56:59</t>
        </is>
      </c>
      <c r="E221" s="173" t="inlineStr">
        <is>
          <t>https://cdn.discordapp.com/ephemeral-attachments/1450933256630440049/1483524553887056153/IMG_2890.jpg?ex=69bae768&amp;is=69b995e8&amp;hm=db39a57b1f3b797cb3e377774acaa30aa010f665ab39b18696bf5d3613a0cbf8&amp;</t>
        </is>
      </c>
      <c r="F221" s="173" t="inlineStr">
        <is>
          <t>288299360557465600</t>
        </is>
      </c>
      <c r="G221" s="173" t="inlineStr">
        <is>
          <t>619268961393049601</t>
        </is>
      </c>
    </row>
    <row r="222" ht="14.25" customHeight="1" s="175">
      <c r="A222" s="254" t="inlineStr">
        <is>
          <t>Carter</t>
        </is>
      </c>
      <c r="B222" s="202" t="n">
        <v>1</v>
      </c>
      <c r="C222" s="255" t="inlineStr">
        <is>
          <t>Vignesh</t>
        </is>
      </c>
      <c r="D222" s="173" t="inlineStr">
        <is>
          <t>2026-03-18 08:52:32</t>
        </is>
      </c>
      <c r="E222" s="173" t="inlineStr">
        <is>
          <t>https://cdn.discordapp.com/ephemeral-attachments/1450933256630440049/1483810327211806801/IMG_2823.jpg?ex=69bbf18d&amp;is=69baa00d&amp;hm=79f4d5bf1c5eb2bbb446fb7c74ea18461aadc52c2423ac37a50ed94f7c912091&amp;</t>
        </is>
      </c>
      <c r="F222" s="173" t="inlineStr">
        <is>
          <t>1031639054846021672</t>
        </is>
      </c>
      <c r="G222" s="173" t="inlineStr">
        <is>
          <t>483162151046086657</t>
        </is>
      </c>
    </row>
    <row r="223" ht="14.25" customHeight="1" s="175">
      <c r="A223" s="254" t="inlineStr">
        <is>
          <t>Vignesh</t>
        </is>
      </c>
      <c r="B223" s="202" t="n">
        <v>1</v>
      </c>
      <c r="C223" s="255" t="inlineStr">
        <is>
          <t>Carter</t>
        </is>
      </c>
      <c r="D223" s="173" t="inlineStr">
        <is>
          <t>2026-03-18 08:52:48</t>
        </is>
      </c>
      <c r="E223" s="173" t="inlineStr">
        <is>
          <t>https://cdn.discordapp.com/ephemeral-attachments/1450933256630440049/1483810396040331414/IMG20260318085157.jpg?ex=69bbf19e&amp;is=69baa01e&amp;hm=37ac85e27755a9e764bf5b131cead4dde9abb83b7f88295c4010362478311736&amp;</t>
        </is>
      </c>
      <c r="F223" s="173" t="inlineStr">
        <is>
          <t>483162151046086657</t>
        </is>
      </c>
      <c r="G223" s="173" t="inlineStr">
        <is>
          <t>1031639054846021672</t>
        </is>
      </c>
    </row>
    <row r="224" ht="14.25" customHeight="1" s="175">
      <c r="A224" s="254" t="inlineStr">
        <is>
          <t>Peter</t>
        </is>
      </c>
      <c r="B224" s="202" t="n">
        <v>1</v>
      </c>
      <c r="C224" s="255" t="inlineStr">
        <is>
          <t>Anthony</t>
        </is>
      </c>
      <c r="D224" s="173" t="inlineStr">
        <is>
          <t>2026-03-18 08:54:59</t>
        </is>
      </c>
      <c r="E224" s="173" t="inlineStr">
        <is>
          <t>https://cdn.discordapp.com/ephemeral-attachments/1450933256630440049/1483810944072024274/PXL_20260318_125306016.jpg?ex=69bbf220&amp;is=69baa0a0&amp;hm=f73559d1fb3da23ff75e327af4a5f821928097a66660f1d4eacec4dbdcf64d9a&amp;</t>
        </is>
      </c>
      <c r="F224" s="173" t="inlineStr">
        <is>
          <t>290654652838576130</t>
        </is>
      </c>
      <c r="G224" s="173" t="inlineStr">
        <is>
          <t>525816152161648680</t>
        </is>
      </c>
    </row>
    <row r="225" ht="14.25" customHeight="1" s="175">
      <c r="A225" s="254" t="inlineStr">
        <is>
          <t>Vignesh</t>
        </is>
      </c>
      <c r="B225" s="202" t="n">
        <v>2</v>
      </c>
      <c r="C225" s="255" t="inlineStr">
        <is>
          <t>Carter</t>
        </is>
      </c>
      <c r="D225" s="173" t="inlineStr">
        <is>
          <t>2026-03-18 10:53:17</t>
        </is>
      </c>
      <c r="E225" s="173" t="inlineStr">
        <is>
          <t>https://cdn.discordapp.com/ephemeral-attachments/1450933256630440049/1483840714004500580/IMG20260318105249.jpg?ex=69bc0dda&amp;is=69babc5a&amp;hm=bee9b151791ecb8cfaa5e89d225f529d5723bd191c247a4fca9dedf724897e6d&amp;</t>
        </is>
      </c>
      <c r="F225" s="173" t="inlineStr">
        <is>
          <t>483162151046086657</t>
        </is>
      </c>
      <c r="G225" s="173" t="inlineStr">
        <is>
          <t>1031639054846021672</t>
        </is>
      </c>
    </row>
    <row r="226" ht="14.25" customHeight="1" s="175">
      <c r="A226" s="254" t="inlineStr">
        <is>
          <t>Carter</t>
        </is>
      </c>
      <c r="B226" s="202" t="n">
        <v>1</v>
      </c>
      <c r="C226" s="255" t="inlineStr">
        <is>
          <t>Vignesh</t>
        </is>
      </c>
      <c r="D226" s="173" t="inlineStr">
        <is>
          <t>2026-03-18 10:56:54</t>
        </is>
      </c>
      <c r="E226" s="173" t="inlineStr">
        <is>
          <t>https://cdn.discordapp.com/ephemeral-attachments/1450933256630440049/1483841622046408806/IMG_2824.jpg?ex=69bc0eb3&amp;is=69babd33&amp;hm=b89f48c98fec08ee7aea958ed7f6f2ea953d95f50dd63557af6e9af090b130fe&amp;</t>
        </is>
      </c>
      <c r="F226" s="173" t="inlineStr">
        <is>
          <t>1031639054846021672</t>
        </is>
      </c>
      <c r="G226" s="173" t="inlineStr">
        <is>
          <t>483162151046086657</t>
        </is>
      </c>
    </row>
    <row r="227" ht="14.25" customHeight="1" s="175">
      <c r="A227" s="254" t="inlineStr">
        <is>
          <t>Will</t>
        </is>
      </c>
      <c r="B227" s="202" t="n">
        <v>2</v>
      </c>
      <c r="C227" s="255" t="inlineStr">
        <is>
          <t>Rob</t>
        </is>
      </c>
      <c r="D227" s="173" t="inlineStr">
        <is>
          <t>2026-03-18 11:48:37</t>
        </is>
      </c>
      <c r="E227" s="173" t="inlineStr">
        <is>
          <t>https://cdn.discordapp.com/ephemeral-attachments/1450933256630440049/1483854638733197382/IMG_2055.jpg?ex=69bc1ad2&amp;is=69bac952&amp;hm=8df76c419e1fd704c0c6fbab035a882c0e2bcd5929e40dc84692554196c88209&amp;</t>
        </is>
      </c>
      <c r="F227" s="173" t="inlineStr">
        <is>
          <t>707377558940811335</t>
        </is>
      </c>
      <c r="G227" s="173" t="inlineStr">
        <is>
          <t>619268961393049601</t>
        </is>
      </c>
    </row>
    <row r="228" ht="14.25" customHeight="1" s="175">
      <c r="A228" s="254" t="inlineStr">
        <is>
          <t>Carter</t>
        </is>
      </c>
      <c r="B228" s="202" t="n">
        <v>2</v>
      </c>
      <c r="C228" s="255" t="inlineStr">
        <is>
          <t>Will</t>
        </is>
      </c>
      <c r="D228" s="173" t="inlineStr">
        <is>
          <t>2026-03-18 12:10:58</t>
        </is>
      </c>
      <c r="E228" s="173" t="inlineStr">
        <is>
          <t>https://cdn.discordapp.com/ephemeral-attachments/1450933256630440049/1483860262925897818/IMG_2825.jpg?ex=69bc200f&amp;is=69bace8f&amp;hm=bcba0ab90b4bb1a79a307cf10c828bc8ad70fa4013812aef896439fdf88c81ca&amp;</t>
        </is>
      </c>
      <c r="F228" s="173" t="inlineStr">
        <is>
          <t>1031639054846021672</t>
        </is>
      </c>
      <c r="G228" s="173" t="inlineStr">
        <is>
          <t>707377558940811335</t>
        </is>
      </c>
    </row>
    <row r="229" ht="14.25" customHeight="1" s="175">
      <c r="A229" s="254" t="inlineStr">
        <is>
          <t>Carter</t>
        </is>
      </c>
      <c r="B229" s="202" t="n">
        <v>2</v>
      </c>
      <c r="C229" s="255" t="inlineStr">
        <is>
          <t>Rob</t>
        </is>
      </c>
      <c r="D229" s="173" t="inlineStr">
        <is>
          <t>2026-03-18 12:11:07</t>
        </is>
      </c>
      <c r="E229" s="173" t="inlineStr">
        <is>
          <t>https://cdn.discordapp.com/ephemeral-attachments/1450933256630440049/1483860302746488964/IMG_2825.jpg?ex=69bc2018&amp;is=69bace98&amp;hm=3f7fd61fb3d9f721de59875456854194a3f3c4d5b5bc87db63b1fce66e5238a2&amp;</t>
        </is>
      </c>
      <c r="F229" s="173" t="inlineStr">
        <is>
          <t>1031639054846021672</t>
        </is>
      </c>
      <c r="G229" s="173" t="inlineStr">
        <is>
          <t>619268961393049601</t>
        </is>
      </c>
    </row>
    <row r="230" ht="14.25" customHeight="1" s="175">
      <c r="A230" s="254" t="inlineStr">
        <is>
          <t>Lucy</t>
        </is>
      </c>
      <c r="B230" s="202" t="n">
        <v>2</v>
      </c>
      <c r="C230" s="255" t="inlineStr">
        <is>
          <t>Mikey</t>
        </is>
      </c>
      <c r="D230" s="173" t="inlineStr">
        <is>
          <t>2026-03-18 18:41:55</t>
        </is>
      </c>
      <c r="E230" s="173" t="inlineStr">
        <is>
          <t>https://cdn.discordapp.com/ephemeral-attachments/1450933256630440049/1483958641575858266/20260318_184110.jpg?ex=69bc7bae&amp;is=69bb2a2e&amp;hm=af68314656dc900a796f03608a95c0142a1058401425e9b40e9fdc4661b4a2cc&amp;</t>
        </is>
      </c>
      <c r="F230" s="173" t="inlineStr">
        <is>
          <t>1021390383915204648</t>
        </is>
      </c>
      <c r="G230" s="173" t="inlineStr">
        <is>
          <t>288299360557465600</t>
        </is>
      </c>
    </row>
    <row r="231" ht="14.25" customHeight="1" s="175">
      <c r="A231" s="254" t="inlineStr">
        <is>
          <t>Carter</t>
        </is>
      </c>
      <c r="B231" s="202" t="n">
        <v>2</v>
      </c>
      <c r="C231" s="255" t="inlineStr">
        <is>
          <t>Rob</t>
        </is>
      </c>
      <c r="D231" s="173" t="inlineStr">
        <is>
          <t>2026-03-18 18:47:34</t>
        </is>
      </c>
      <c r="E231" s="173" t="inlineStr">
        <is>
          <t>https://cdn.discordapp.com/ephemeral-attachments/1450933256630440049/1483960067081502940/IMG_2827.jpg?ex=69bc7d02&amp;is=69bb2b82&amp;hm=8cd40e7deeeb51401f2cdeaed3c5542a304a78545713155adbdacefd19c93c09&amp;</t>
        </is>
      </c>
      <c r="F231" s="173" t="inlineStr">
        <is>
          <t>1031639054846021672</t>
        </is>
      </c>
      <c r="G231" s="173" t="inlineStr">
        <is>
          <t>619268961393049601</t>
        </is>
      </c>
    </row>
    <row r="232" ht="14.25" customHeight="1" s="175">
      <c r="A232" s="254" t="inlineStr">
        <is>
          <t>Rob</t>
        </is>
      </c>
      <c r="B232" s="202" t="n">
        <v>2</v>
      </c>
      <c r="C232" s="255" t="inlineStr">
        <is>
          <t>Mikey</t>
        </is>
      </c>
      <c r="D232" s="173" t="inlineStr">
        <is>
          <t>2026-03-18 19:48:43</t>
        </is>
      </c>
      <c r="E232" s="173" t="inlineStr">
        <is>
          <t>https://cdn.discordapp.com/ephemeral-attachments/1450933256630440049/1483975456049860670/7BAEE726-FB8F-46B1-BF43-61676E8D0262.jpg?ex=69bc8b57&amp;is=69bb39d7&amp;hm=ad4989e7417f01ac7bc261d10b7b8900b8783e45f20a2edd046be8cc61c70b4c&amp;</t>
        </is>
      </c>
      <c r="F232" s="173" t="inlineStr">
        <is>
          <t>619268961393049601</t>
        </is>
      </c>
      <c r="G232" s="173" t="inlineStr">
        <is>
          <t>288299360557465600</t>
        </is>
      </c>
    </row>
    <row r="233" ht="14.25" customHeight="1" s="175">
      <c r="A233" s="254" t="inlineStr">
        <is>
          <t>Vignesh</t>
        </is>
      </c>
      <c r="B233" s="202" t="n">
        <v>2</v>
      </c>
      <c r="C233" s="255" t="inlineStr">
        <is>
          <t>Erick</t>
        </is>
      </c>
      <c r="D233" s="173" t="inlineStr">
        <is>
          <t>2026-03-19 10:48:24</t>
        </is>
      </c>
      <c r="E233" s="173" t="inlineStr">
        <is>
          <t>https://cdn.discordapp.com/ephemeral-attachments/1450933256630440049/1484201874944163930/IMG20260319104746.jpg?ex=69bd5e36&amp;is=69bc0cb6&amp;hm=409adae0ffd183869abb52978b26ff7a0b4b13066f95ab8bde9dde61f8d8c63d&amp;</t>
        </is>
      </c>
      <c r="F233" s="173" t="inlineStr">
        <is>
          <t>483162151046086657</t>
        </is>
      </c>
      <c r="G233" s="173" t="inlineStr">
        <is>
          <t>436349094915604491</t>
        </is>
      </c>
    </row>
    <row r="234" ht="14.25" customHeight="1" s="175">
      <c r="A234" s="254" t="inlineStr">
        <is>
          <t>Lucy</t>
        </is>
      </c>
      <c r="B234" s="202" t="n">
        <v>1</v>
      </c>
      <c r="C234" s="255" t="inlineStr">
        <is>
          <t>Anthony</t>
        </is>
      </c>
      <c r="D234" s="173" t="inlineStr">
        <is>
          <t>2026-03-19 10:49:22</t>
        </is>
      </c>
      <c r="E234" s="173" t="inlineStr">
        <is>
          <t>https://cdn.discordapp.com/ephemeral-attachments/1450933256630440049/1484202114023424071/20260319_104758.jpg?ex=69bd5e6f&amp;is=69bc0cef&amp;hm=f8a7150fa3f4199a7c1191d2cba9ccf084053bdbbf7da5c4163dad13e97d60c4&amp;</t>
        </is>
      </c>
      <c r="F234" s="173" t="inlineStr">
        <is>
          <t>1021390383915204648</t>
        </is>
      </c>
      <c r="G234" s="173" t="inlineStr">
        <is>
          <t>525816152161648680</t>
        </is>
      </c>
    </row>
    <row r="235" ht="14.25" customHeight="1" s="175">
      <c r="A235" s="254" t="inlineStr">
        <is>
          <t>Evan</t>
        </is>
      </c>
      <c r="B235" s="202" t="n">
        <v>2</v>
      </c>
      <c r="C235" s="255" t="inlineStr">
        <is>
          <t>Anthony</t>
        </is>
      </c>
      <c r="D235" s="173" t="inlineStr">
        <is>
          <t>2026-03-19 10:50:00</t>
        </is>
      </c>
      <c r="E235" s="173" t="inlineStr">
        <is>
          <t>https://cdn.discordapp.com/ephemeral-attachments/1450933256630440049/1484202277991485601/20260319_104902.jpg?ex=69bd5e96&amp;is=69bc0d16&amp;hm=bc5b65bdbca742b5741358fc456cfe618007abbc82e9ba9d6471254d25fd92db&amp;</t>
        </is>
      </c>
      <c r="F235" s="173" t="inlineStr">
        <is>
          <t>310453864866512907</t>
        </is>
      </c>
      <c r="G235" s="173" t="inlineStr">
        <is>
          <t>525816152161648680</t>
        </is>
      </c>
    </row>
    <row r="236" ht="14.25" customHeight="1" s="175">
      <c r="A236" s="254" t="inlineStr">
        <is>
          <t>Carter</t>
        </is>
      </c>
      <c r="B236" s="202" t="n">
        <v>2</v>
      </c>
      <c r="C236" s="255" t="inlineStr">
        <is>
          <t>Rob</t>
        </is>
      </c>
      <c r="D236" s="173" t="inlineStr">
        <is>
          <t>2026-03-19 12:00:49</t>
        </is>
      </c>
      <c r="E236" s="173" t="inlineStr">
        <is>
          <t>https://cdn.discordapp.com/ephemeral-attachments/1450933256630440049/1484220097294766321/IMG_2829.jpg?ex=69bd6f2e&amp;is=69bc1dae&amp;hm=0691dbd24a88d9c7a799cc2c5700277747128dc49281f8900743c1ee159d4957&amp;</t>
        </is>
      </c>
      <c r="F236" s="173" t="inlineStr">
        <is>
          <t>1031639054846021672</t>
        </is>
      </c>
      <c r="G236" s="173" t="inlineStr">
        <is>
          <t>619268961393049601</t>
        </is>
      </c>
    </row>
    <row r="237" ht="14.25" customHeight="1" s="175">
      <c r="A237" s="254" t="inlineStr">
        <is>
          <t>Carter</t>
        </is>
      </c>
      <c r="B237" s="202" t="n">
        <v>1</v>
      </c>
      <c r="C237" s="255" t="inlineStr">
        <is>
          <t>Maxine</t>
        </is>
      </c>
      <c r="D237" s="173" t="inlineStr">
        <is>
          <t>2026-03-19 12:11:28</t>
        </is>
      </c>
      <c r="E237" s="173" t="inlineStr">
        <is>
          <t>https://cdn.discordapp.com/ephemeral-attachments/1450933256630440049/1484222778247745576/IMG_2830.jpg?ex=69bd71ad&amp;is=69bc202d&amp;hm=2653f0d35e869078aea67a35508f590016ad8b463ea5b6b2200d9086693853e5&amp;</t>
        </is>
      </c>
      <c r="F237" s="173" t="inlineStr">
        <is>
          <t>1031639054846021672</t>
        </is>
      </c>
      <c r="G237" s="173" t="inlineStr">
        <is>
          <t>601936524044664852</t>
        </is>
      </c>
    </row>
    <row r="238" ht="14.25" customHeight="1" s="175">
      <c r="A238" s="254" t="inlineStr">
        <is>
          <t>Rob</t>
        </is>
      </c>
      <c r="B238" s="202" t="n">
        <v>1</v>
      </c>
      <c r="C238" s="255" t="inlineStr">
        <is>
          <t>Grady</t>
        </is>
      </c>
      <c r="D238" s="173" t="inlineStr">
        <is>
          <t>2026-03-19 13:46:23</t>
        </is>
      </c>
      <c r="E238" s="173" t="inlineStr">
        <is>
          <t>https://cdn.discordapp.com/ephemeral-attachments/1450933256630440049/1484246664221819012/2D09A140-79CD-4E2D-8271-F7BEFB188F4F.jpg?ex=69bd87ec&amp;is=69bc366c&amp;hm=0db3d45d2f284340fa89200efd2e130b797cff7b2ee530221b45d8317d97d8df&amp;</t>
        </is>
      </c>
      <c r="F238" s="173" t="inlineStr">
        <is>
          <t>619268961393049601</t>
        </is>
      </c>
      <c r="G238" s="173" t="inlineStr">
        <is>
          <t>678304540856025153</t>
        </is>
      </c>
    </row>
    <row r="239" ht="14.25" customHeight="1" s="175">
      <c r="A239" s="254" t="inlineStr">
        <is>
          <t>Rob</t>
        </is>
      </c>
      <c r="B239" s="202" t="n">
        <v>1</v>
      </c>
      <c r="C239" s="255" t="inlineStr">
        <is>
          <t>Mikey</t>
        </is>
      </c>
      <c r="D239" s="173" t="inlineStr">
        <is>
          <t>2026-03-19 15:14:01</t>
        </is>
      </c>
      <c r="E239" s="173" t="inlineStr">
        <is>
          <t>https://cdn.discordapp.com/ephemeral-attachments/1450933256630440049/1484268713032290404/373E3C3D-446E-4928-A8C3-0EE6C7AE0EB6.jpg?ex=69bd9c75&amp;is=69bc4af5&amp;hm=6dca413a0baf6a8ff6686b0e4791f04561b9d9d63417697052635408b332ddf8&amp;</t>
        </is>
      </c>
      <c r="F239" s="173" t="inlineStr">
        <is>
          <t>619268961393049601</t>
        </is>
      </c>
      <c r="G239" s="173" t="inlineStr">
        <is>
          <t>288299360557465600</t>
        </is>
      </c>
    </row>
    <row r="240" ht="14.25" customHeight="1" s="175">
      <c r="A240" s="254" t="inlineStr">
        <is>
          <t>Mikey</t>
        </is>
      </c>
      <c r="B240" s="202" t="n">
        <v>1</v>
      </c>
      <c r="C240" s="255" t="inlineStr">
        <is>
          <t>Rob</t>
        </is>
      </c>
      <c r="D240" s="173" t="inlineStr">
        <is>
          <t>2026-03-19 15:15:58</t>
        </is>
      </c>
      <c r="E240" s="173" t="inlineStr">
        <is>
          <t>https://cdn.discordapp.com/ephemeral-attachments/1450933256630440049/1484269201286893609/IMG_2927.jpg?ex=69bd9ce9&amp;is=69bc4b69&amp;hm=7b354d1ca6a2fb11ba4cb7051aabe0d22a5a404dd40862786956405b58762277&amp;</t>
        </is>
      </c>
      <c r="F240" s="173" t="inlineStr">
        <is>
          <t>288299360557465600</t>
        </is>
      </c>
      <c r="G240" s="173" t="inlineStr">
        <is>
          <t>619268961393049601</t>
        </is>
      </c>
    </row>
    <row r="241" ht="14.25" customHeight="1" s="175">
      <c r="A241" s="254" t="inlineStr">
        <is>
          <t>Evan</t>
        </is>
      </c>
      <c r="B241" s="202" t="n">
        <v>2</v>
      </c>
      <c r="C241" s="255" t="inlineStr">
        <is>
          <t>Reuben</t>
        </is>
      </c>
      <c r="D241" s="173" t="inlineStr">
        <is>
          <t>2026-03-19 15:41:06</t>
        </is>
      </c>
      <c r="E241" s="173" t="inlineStr">
        <is>
          <t>https://cdn.discordapp.com/ephemeral-attachments/1450933256630440049/1484275531099668602/20260319_154018.jpg?ex=69bda2cf&amp;is=69bc514f&amp;hm=e82b9068f320cc6fc339a67c1477f5ba8494f57e55491a9c966722883af1eb9e&amp;</t>
        </is>
      </c>
      <c r="F241" s="173" t="inlineStr">
        <is>
          <t>310453864866512907</t>
        </is>
      </c>
      <c r="G241" s="173" t="inlineStr">
        <is>
          <t>689822943307759670</t>
        </is>
      </c>
    </row>
    <row r="242" ht="14.25" customHeight="1" s="175">
      <c r="A242" s="254" t="inlineStr">
        <is>
          <t>Maxine</t>
        </is>
      </c>
      <c r="B242" s="202" t="n">
        <v>1</v>
      </c>
      <c r="C242" s="255" t="inlineStr">
        <is>
          <t>Grady</t>
        </is>
      </c>
      <c r="D242" s="173" t="inlineStr">
        <is>
          <t>2026-03-20 08:52:45</t>
        </is>
      </c>
      <c r="E242" s="173" t="inlineStr">
        <is>
          <t>https://cdn.discordapp.com/ephemeral-attachments/1450933256630440049/1484535159494807613/IMG_3154.jpg?ex=69be949b&amp;is=69bd431b&amp;hm=a230e063fef3da590d18e09748138727d3d03673ded1516243e4004458213a0e&amp;</t>
        </is>
      </c>
      <c r="F242" s="173" t="inlineStr">
        <is>
          <t>601936524044664852</t>
        </is>
      </c>
      <c r="G242" s="173" t="inlineStr">
        <is>
          <t>678304540856025153</t>
        </is>
      </c>
    </row>
    <row r="243" ht="14.25" customHeight="1" s="175">
      <c r="A243" s="254" t="inlineStr">
        <is>
          <t>Grady</t>
        </is>
      </c>
      <c r="B243" s="202" t="n">
        <v>1</v>
      </c>
      <c r="C243" s="255" t="inlineStr">
        <is>
          <t>Maxine</t>
        </is>
      </c>
      <c r="D243" s="173" t="inlineStr">
        <is>
          <t>2026-03-20 08:53:01</t>
        </is>
      </c>
      <c r="E243" s="173" t="inlineStr">
        <is>
          <t>https://cdn.discordapp.com/ephemeral-attachments/1450933256630440049/1484535225907155144/IMG_4469.jpg?ex=69be94ab&amp;is=69bd432b&amp;hm=54bdb31431d6744217147aeb9c06f764260d1ea9d4bcc5b96cbbac998dedaaae&amp;</t>
        </is>
      </c>
      <c r="F243" s="173" t="inlineStr">
        <is>
          <t>678304540856025153</t>
        </is>
      </c>
      <c r="G243" s="173" t="inlineStr">
        <is>
          <t>601936524044664852</t>
        </is>
      </c>
    </row>
    <row r="244" ht="14.25" customHeight="1" s="175">
      <c r="A244" s="254" t="inlineStr">
        <is>
          <t>Mikey</t>
        </is>
      </c>
      <c r="B244" s="202" t="n">
        <v>2</v>
      </c>
      <c r="C244" s="255" t="inlineStr">
        <is>
          <t>Lucy</t>
        </is>
      </c>
      <c r="D244" s="173" t="inlineStr">
        <is>
          <t>2026-03-21 21:02:40</t>
        </is>
      </c>
      <c r="E244" s="173" t="inlineStr">
        <is>
          <t>https://cdn.discordapp.com/ephemeral-attachments/1450933256630440049/1485081226976170115/IMG_2934.jpg?ex=69c0912b&amp;is=69bf3fab&amp;hm=da7994b4ee335b95b7221b301aa83a61298329736d338a12471cdac34972b482&amp;</t>
        </is>
      </c>
      <c r="F244" s="173" t="inlineStr">
        <is>
          <t>288299360557465600</t>
        </is>
      </c>
      <c r="G244" s="173" t="inlineStr">
        <is>
          <t>1021390383915204648</t>
        </is>
      </c>
    </row>
    <row r="245" ht="14.25" customHeight="1" s="175">
      <c r="A245" s="254" t="inlineStr">
        <is>
          <t>Lucy</t>
        </is>
      </c>
      <c r="B245" s="202" t="n">
        <v>1</v>
      </c>
      <c r="C245" s="255" t="inlineStr">
        <is>
          <t>Mikey</t>
        </is>
      </c>
      <c r="D245" s="173" t="inlineStr">
        <is>
          <t>2026-03-21 21:03:18</t>
        </is>
      </c>
      <c r="E245" s="173" t="inlineStr">
        <is>
          <t>https://cdn.discordapp.com/ephemeral-attachments/1450933256630440049/1485081386342809621/20260321_210219.jpg?ex=69c09151&amp;is=69bf3fd1&amp;hm=4615897323488cbd0181426df706b5a479788d8cdd45d9db0f78dd7022d8af5f&amp;</t>
        </is>
      </c>
      <c r="F245" s="173" t="inlineStr">
        <is>
          <t>1021390383915204648</t>
        </is>
      </c>
      <c r="G245" s="173" t="inlineStr">
        <is>
          <t>288299360557465600</t>
        </is>
      </c>
    </row>
    <row r="246" ht="14.25" customHeight="1" s="175">
      <c r="A246" s="173" t="n"/>
      <c r="B246" s="173" t="n"/>
      <c r="C246" s="173" t="n"/>
      <c r="D246" s="173" t="n"/>
    </row>
    <row r="247" ht="14.25" customHeight="1" s="175">
      <c r="A247" s="173" t="n"/>
      <c r="B247" s="173" t="n"/>
      <c r="C247" s="173" t="n"/>
    </row>
    <row r="248" ht="14.25" customHeight="1" s="175">
      <c r="A248" s="173" t="n"/>
      <c r="B248" s="173" t="n"/>
      <c r="C248" s="173" t="n"/>
      <c r="D248" s="192" t="n"/>
    </row>
    <row r="249" ht="14.25" customHeight="1" s="175">
      <c r="A249" s="173" t="n"/>
      <c r="B249" s="173" t="n"/>
      <c r="C249" s="173" t="n"/>
      <c r="D249" s="250" t="n"/>
    </row>
    <row r="250" ht="14.25" customHeight="1" s="175">
      <c r="A250" s="173" t="n"/>
      <c r="B250" s="173" t="n"/>
      <c r="C250" s="173" t="n"/>
    </row>
    <row r="251" ht="14.25" customHeight="1" s="175">
      <c r="A251" s="173" t="n"/>
      <c r="B251" s="173" t="n"/>
      <c r="C251" s="173" t="n"/>
      <c r="D251" s="250" t="n"/>
    </row>
    <row r="252" ht="14.25" customHeight="1" s="175">
      <c r="A252" s="173" t="n"/>
      <c r="B252" s="173" t="n"/>
      <c r="C252" s="173" t="n"/>
    </row>
    <row r="253" ht="14.25" customHeight="1" s="175">
      <c r="A253" s="173" t="n"/>
      <c r="B253" s="173" t="n"/>
      <c r="C253" s="173" t="n"/>
    </row>
    <row r="254" ht="14.25" customHeight="1" s="175">
      <c r="A254" s="173" t="n"/>
      <c r="B254" s="173" t="n"/>
      <c r="C254" s="173" t="n"/>
    </row>
    <row r="255" ht="14.25" customHeight="1" s="175">
      <c r="A255" s="173" t="n"/>
      <c r="B255" s="173" t="n"/>
      <c r="C255" s="173" t="n"/>
    </row>
    <row r="256" ht="14.25" customHeight="1" s="175">
      <c r="A256" s="173" t="n"/>
      <c r="B256" s="173" t="n"/>
      <c r="C256" s="173" t="n"/>
    </row>
    <row r="257" ht="14.25" customHeight="1" s="175">
      <c r="A257" s="173" t="n"/>
      <c r="B257" s="173" t="n"/>
      <c r="C257" s="173" t="n"/>
    </row>
    <row r="258" ht="14.25" customHeight="1" s="175">
      <c r="A258" s="173" t="n"/>
      <c r="B258" s="173" t="n"/>
      <c r="C258" s="173" t="n"/>
    </row>
    <row r="259" ht="14.25" customHeight="1" s="175">
      <c r="A259" s="173" t="n"/>
      <c r="B259" s="173" t="n"/>
      <c r="C259" s="173" t="n"/>
    </row>
    <row r="260" ht="14.25" customHeight="1" s="175">
      <c r="A260" s="173" t="n"/>
      <c r="B260" s="173" t="n"/>
      <c r="C260" s="173" t="n"/>
    </row>
    <row r="261" ht="14.25" customHeight="1" s="175">
      <c r="A261" s="173" t="n"/>
      <c r="B261" s="173" t="n"/>
      <c r="C261" s="173" t="n"/>
    </row>
    <row r="262" ht="14.25" customHeight="1" s="175">
      <c r="A262" s="173" t="n"/>
      <c r="B262" s="173" t="n"/>
      <c r="C262" s="173" t="n"/>
    </row>
    <row r="263" ht="14.25" customHeight="1" s="175">
      <c r="A263" s="173" t="n"/>
      <c r="B263" s="173" t="n"/>
      <c r="C263" s="173" t="n"/>
    </row>
    <row r="264" ht="14.25" customHeight="1" s="175">
      <c r="A264" s="173" t="n"/>
      <c r="B264" s="173" t="n"/>
      <c r="C264" s="173" t="n"/>
    </row>
    <row r="265" ht="14.25" customHeight="1" s="175">
      <c r="A265" s="173" t="n"/>
      <c r="B265" s="173" t="n"/>
      <c r="C265" s="173" t="n"/>
    </row>
    <row r="266" ht="14.25" customHeight="1" s="175">
      <c r="A266" s="173" t="n"/>
      <c r="B266" s="173" t="n"/>
      <c r="C266" s="173" t="n"/>
    </row>
    <row r="267" ht="14.25" customHeight="1" s="175">
      <c r="A267" s="173" t="n"/>
      <c r="B267" s="173" t="n"/>
      <c r="C267" s="173" t="n"/>
    </row>
    <row r="268" ht="14.25" customHeight="1" s="175">
      <c r="A268" s="173" t="n"/>
      <c r="B268" s="173" t="n"/>
      <c r="C268" s="173" t="n"/>
    </row>
    <row r="269" ht="14.25" customHeight="1" s="175">
      <c r="A269" s="173" t="n"/>
      <c r="B269" s="173" t="n"/>
      <c r="C269" s="173" t="n"/>
    </row>
    <row r="270" ht="14.25" customHeight="1" s="175">
      <c r="A270" s="173" t="n"/>
      <c r="B270" s="173" t="n"/>
      <c r="C270" s="173" t="n"/>
    </row>
    <row r="271" ht="14.25" customHeight="1" s="175">
      <c r="A271" s="173" t="n"/>
      <c r="B271" s="173" t="n"/>
      <c r="C271" s="173" t="n"/>
    </row>
    <row r="272" ht="14.25" customHeight="1" s="175">
      <c r="A272" s="173" t="n"/>
      <c r="B272" s="173" t="n"/>
      <c r="C272" s="173" t="n"/>
    </row>
    <row r="273" ht="14.25" customHeight="1" s="175">
      <c r="A273" s="173" t="n"/>
      <c r="B273" s="173" t="n"/>
      <c r="C273" s="173" t="n"/>
    </row>
    <row r="274" ht="14.25" customHeight="1" s="175">
      <c r="A274" s="173" t="n"/>
      <c r="B274" s="173" t="n"/>
      <c r="C274" s="173" t="n"/>
    </row>
    <row r="275" ht="14.25" customHeight="1" s="175">
      <c r="A275" s="173" t="n"/>
      <c r="B275" s="173" t="n"/>
      <c r="C275" s="173" t="n"/>
    </row>
    <row r="276" ht="14.25" customHeight="1" s="175">
      <c r="A276" s="173" t="n"/>
      <c r="B276" s="173" t="n"/>
      <c r="C276" s="173" t="n"/>
    </row>
    <row r="277" ht="14.25" customHeight="1" s="175">
      <c r="A277" s="173" t="n"/>
      <c r="B277" s="173" t="n"/>
      <c r="C277" s="173" t="n"/>
    </row>
    <row r="278" ht="14.25" customHeight="1" s="175">
      <c r="A278" s="173" t="n"/>
      <c r="B278" s="173" t="n"/>
      <c r="C278" s="173" t="n"/>
    </row>
    <row r="279" ht="14.25" customHeight="1" s="175">
      <c r="A279" s="173" t="n"/>
      <c r="B279" s="173" t="n"/>
      <c r="C279" s="173" t="n"/>
    </row>
    <row r="280" ht="14.25" customHeight="1" s="175">
      <c r="A280" s="173" t="n"/>
      <c r="B280" s="173" t="n"/>
      <c r="C280" s="173" t="n"/>
    </row>
    <row r="281" ht="14.25" customHeight="1" s="175">
      <c r="A281" s="173" t="n"/>
      <c r="B281" s="173" t="n"/>
      <c r="C281" s="173" t="n"/>
    </row>
    <row r="282" ht="14.25" customHeight="1" s="175">
      <c r="A282" s="173" t="n"/>
      <c r="B282" s="173" t="n"/>
      <c r="C282" s="173" t="n"/>
    </row>
    <row r="283" ht="14.25" customHeight="1" s="175">
      <c r="A283" s="173" t="n"/>
      <c r="B283" s="173" t="n"/>
      <c r="C283" s="173" t="n"/>
    </row>
    <row r="284" ht="14.25" customHeight="1" s="175">
      <c r="A284" s="173" t="n"/>
      <c r="B284" s="173" t="n"/>
      <c r="C284" s="173" t="n"/>
    </row>
    <row r="285" ht="14.25" customHeight="1" s="175">
      <c r="A285" s="173" t="n"/>
      <c r="B285" s="173" t="n"/>
      <c r="C285" s="173" t="n"/>
    </row>
    <row r="286" ht="14.25" customHeight="1" s="175">
      <c r="A286" s="173" t="n"/>
      <c r="B286" s="173" t="n"/>
      <c r="C286" s="173" t="n"/>
      <c r="D286" s="193" t="n"/>
    </row>
    <row r="287" ht="14.25" customHeight="1" s="175">
      <c r="A287" s="173" t="n"/>
      <c r="B287" s="173" t="n"/>
      <c r="C287" s="173" t="n"/>
    </row>
    <row r="288" ht="14.25" customHeight="1" s="175">
      <c r="A288" s="173" t="n"/>
      <c r="B288" s="173" t="n"/>
      <c r="C288" s="173" t="n"/>
    </row>
    <row r="289" ht="14.25" customHeight="1" s="175">
      <c r="A289" s="173" t="n"/>
      <c r="B289" s="173" t="n"/>
      <c r="C289" s="173" t="n"/>
    </row>
    <row r="290" ht="14.25" customHeight="1" s="175">
      <c r="A290" s="173" t="n"/>
      <c r="B290" s="173" t="n"/>
      <c r="C290" s="173" t="n"/>
    </row>
    <row r="291" ht="14.25" customHeight="1" s="175">
      <c r="A291" s="173" t="n"/>
      <c r="B291" s="173" t="n"/>
      <c r="C291" s="173" t="n"/>
    </row>
    <row r="292" ht="14.25" customHeight="1" s="175">
      <c r="A292" s="173" t="n"/>
      <c r="B292" s="173" t="n"/>
      <c r="C292" s="173" t="n"/>
    </row>
    <row r="293" ht="14.25" customHeight="1" s="175">
      <c r="A293" s="173" t="n"/>
      <c r="B293" s="173" t="n"/>
      <c r="C293" s="173" t="n"/>
    </row>
    <row r="294" ht="14.25" customHeight="1" s="175">
      <c r="A294" s="173" t="n"/>
      <c r="B294" s="173" t="n"/>
      <c r="C294" s="173" t="n"/>
    </row>
    <row r="295" ht="14.25" customHeight="1" s="175">
      <c r="A295" s="173" t="n"/>
      <c r="B295" s="173" t="n"/>
      <c r="C295" s="173" t="n"/>
    </row>
    <row r="296" ht="14.25" customHeight="1" s="175">
      <c r="A296" s="173" t="n"/>
      <c r="B296" s="173" t="n"/>
      <c r="C296" s="173" t="n"/>
    </row>
    <row r="297" ht="14.25" customHeight="1" s="175">
      <c r="A297" s="173" t="n"/>
      <c r="B297" s="173" t="n"/>
      <c r="C297" s="173" t="n"/>
    </row>
    <row r="298" ht="14.25" customHeight="1" s="175">
      <c r="A298" s="173" t="n"/>
      <c r="B298" s="173" t="n"/>
      <c r="C298" s="173" t="n"/>
    </row>
    <row r="299" ht="14.25" customHeight="1" s="175">
      <c r="A299" s="173" t="n"/>
      <c r="B299" s="173" t="n"/>
      <c r="C299" s="173" t="n"/>
    </row>
    <row r="300" ht="14.25" customHeight="1" s="175">
      <c r="A300" s="173" t="n"/>
      <c r="B300" s="173" t="n"/>
      <c r="C300" s="173" t="n"/>
    </row>
    <row r="301" ht="14.25" customHeight="1" s="175">
      <c r="A301" s="173" t="n"/>
      <c r="B301" s="173" t="n"/>
      <c r="C301" s="173" t="n"/>
      <c r="D301" s="193" t="n"/>
    </row>
    <row r="302" ht="14.25" customHeight="1" s="175">
      <c r="A302" s="173" t="n"/>
      <c r="B302" s="173" t="n"/>
      <c r="C302" s="173" t="n"/>
      <c r="D302" s="193" t="n"/>
    </row>
    <row r="303" ht="14.25" customHeight="1" s="175">
      <c r="A303" s="173" t="n"/>
      <c r="B303" s="173" t="n"/>
      <c r="C303" s="173" t="n"/>
    </row>
    <row r="304" ht="14.25" customHeight="1" s="175">
      <c r="A304" s="173" t="n"/>
      <c r="B304" s="173" t="n"/>
      <c r="C304" s="173" t="n"/>
    </row>
    <row r="305" ht="14.25" customHeight="1" s="175">
      <c r="A305" s="173" t="n"/>
      <c r="B305" s="173" t="n"/>
      <c r="C305" s="173" t="n"/>
    </row>
    <row r="306" ht="14.25" customHeight="1" s="175">
      <c r="A306" s="173" t="n"/>
      <c r="B306" s="173" t="n"/>
      <c r="C306" s="173" t="n"/>
    </row>
    <row r="307" ht="14.25" customHeight="1" s="175">
      <c r="A307" s="173" t="n"/>
      <c r="B307" s="173" t="n"/>
      <c r="C307" s="173" t="n"/>
    </row>
    <row r="308" ht="14.25" customHeight="1" s="175">
      <c r="A308" s="173" t="n"/>
      <c r="B308" s="173" t="n"/>
      <c r="C308" s="173" t="n"/>
      <c r="D308" s="192" t="n"/>
    </row>
    <row r="309" ht="14.25" customHeight="1" s="175">
      <c r="A309" s="173" t="n"/>
      <c r="B309" s="173" t="n"/>
      <c r="C309" s="173" t="n"/>
    </row>
    <row r="310" ht="14.25" customHeight="1" s="175"/>
    <row r="311" ht="14.25" customHeight="1" s="175"/>
    <row r="312" ht="14.25" customHeight="1" s="175"/>
    <row r="313" ht="14.25" customHeight="1" s="175"/>
    <row r="314" ht="14.25" customHeight="1" s="175"/>
    <row r="315" ht="14.25" customHeight="1" s="175"/>
    <row r="316" ht="14.25" customHeight="1" s="175"/>
    <row r="317" ht="14.25" customHeight="1" s="175"/>
    <row r="318" ht="14.25" customHeight="1" s="175"/>
    <row r="319" ht="14.25" customHeight="1" s="175"/>
    <row r="320" ht="14.25" customHeight="1" s="175"/>
    <row r="321" ht="14.25" customHeight="1" s="175"/>
    <row r="322" ht="14.25" customHeight="1" s="175"/>
    <row r="323" ht="14.25" customHeight="1" s="175"/>
    <row r="324" ht="14.25" customHeight="1" s="175"/>
    <row r="325" ht="14.25" customHeight="1" s="175"/>
    <row r="326" ht="14.25" customHeight="1" s="175"/>
    <row r="327" ht="14.25" customHeight="1" s="175"/>
    <row r="328" ht="14.25" customHeight="1" s="175"/>
    <row r="329" ht="14.25" customHeight="1" s="175"/>
    <row r="330" ht="14.25" customHeight="1" s="175"/>
    <row r="331" ht="14.25" customHeight="1" s="175"/>
    <row r="332" ht="14.25" customHeight="1" s="175"/>
    <row r="333" ht="14.25" customHeight="1" s="175"/>
    <row r="334" ht="14.25" customHeight="1" s="175"/>
    <row r="335" ht="14.25" customHeight="1" s="175"/>
    <row r="336" ht="14.25" customHeight="1" s="175"/>
    <row r="337" ht="14.25" customHeight="1" s="175"/>
    <row r="338" ht="14.25" customHeight="1" s="175"/>
    <row r="339" ht="14.25" customHeight="1" s="175"/>
    <row r="340" ht="14.25" customHeight="1" s="175"/>
    <row r="341" ht="14.25" customHeight="1" s="175"/>
    <row r="342" ht="14.25" customHeight="1" s="175"/>
    <row r="343" ht="14.25" customHeight="1" s="175"/>
    <row r="344" ht="14.25" customHeight="1" s="175"/>
    <row r="345" ht="14.25" customHeight="1" s="175"/>
    <row r="346" ht="14.25" customHeight="1" s="175"/>
    <row r="347" ht="14.25" customHeight="1" s="175"/>
    <row r="348" ht="14.25" customHeight="1" s="175"/>
    <row r="349" ht="14.25" customHeight="1" s="175"/>
    <row r="350" ht="14.25" customHeight="1" s="175"/>
    <row r="351" ht="14.25" customHeight="1" s="175"/>
    <row r="352" ht="14.25" customHeight="1" s="175"/>
    <row r="353" ht="14.25" customHeight="1" s="175"/>
    <row r="354" ht="14.25" customHeight="1" s="175">
      <c r="D354" s="193" t="n"/>
    </row>
    <row r="355" ht="14.25" customHeight="1" s="175"/>
    <row r="356" ht="14.25" customHeight="1" s="175"/>
    <row r="357" ht="14.25" customHeight="1" s="175"/>
    <row r="358" ht="14.25" customHeight="1" s="175"/>
    <row r="359" ht="14.25" customHeight="1" s="175">
      <c r="D359" s="193" t="n"/>
    </row>
    <row r="360" ht="14.25" customHeight="1" s="175"/>
    <row r="361" ht="14.25" customHeight="1" s="175"/>
    <row r="362" ht="14.25" customHeight="1" s="175"/>
    <row r="363" ht="14.25" customHeight="1" s="175"/>
    <row r="364" ht="14.25" customHeight="1" s="175"/>
    <row r="365" ht="14.25" customHeight="1" s="175"/>
    <row r="366" ht="14.25" customHeight="1" s="175"/>
    <row r="367" ht="14.25" customHeight="1" s="175"/>
    <row r="368" ht="14.25" customHeight="1" s="175"/>
    <row r="369" ht="14.25" customHeight="1" s="175"/>
    <row r="370" ht="14.25" customHeight="1" s="175"/>
    <row r="371" ht="14.25" customHeight="1" s="175"/>
    <row r="372" ht="14.25" customHeight="1" s="175"/>
    <row r="373" ht="14.25" customHeight="1" s="175"/>
    <row r="374" ht="14.25" customHeight="1" s="175"/>
    <row r="375" ht="14.25" customHeight="1" s="175"/>
    <row r="376" ht="14.25" customHeight="1" s="175"/>
    <row r="377" ht="14.25" customHeight="1" s="175"/>
    <row r="378" ht="14.25" customHeight="1" s="175"/>
    <row r="379" ht="14.25" customHeight="1" s="175"/>
    <row r="380" ht="14.25" customHeight="1" s="175"/>
    <row r="381" ht="14.25" customHeight="1" s="175"/>
    <row r="382" ht="14.25" customHeight="1" s="175"/>
    <row r="383" ht="14.25" customHeight="1" s="175"/>
    <row r="384" ht="14.25" customHeight="1" s="175"/>
    <row r="385" ht="14.25" customHeight="1" s="175"/>
    <row r="386" ht="14.25" customHeight="1" s="175"/>
    <row r="387" ht="14.25" customHeight="1" s="175"/>
    <row r="388" ht="14.25" customHeight="1" s="175"/>
    <row r="389" ht="14.25" customHeight="1" s="175"/>
    <row r="390" ht="14.25" customHeight="1" s="175"/>
    <row r="391" ht="14.25" customHeight="1" s="175"/>
    <row r="392" ht="14.25" customHeight="1" s="175"/>
    <row r="393" ht="14.25" customHeight="1" s="175"/>
    <row r="394" ht="14.25" customHeight="1" s="175"/>
    <row r="395" ht="14.25" customHeight="1" s="175"/>
    <row r="396" ht="14.25" customHeight="1" s="175"/>
    <row r="397" ht="14.25" customHeight="1" s="175"/>
    <row r="398" ht="14.25" customHeight="1" s="175">
      <c r="D398" s="250" t="n"/>
    </row>
    <row r="399" ht="14.25" customHeight="1" s="175"/>
    <row r="400" ht="14.25" customHeight="1" s="175"/>
    <row r="401" ht="14.25" customHeight="1" s="175"/>
    <row r="402" ht="14.25" customHeight="1" s="175"/>
    <row r="403" ht="14.25" customHeight="1" s="175"/>
    <row r="404" ht="14.25" customHeight="1" s="175"/>
    <row r="405" ht="14.25" customHeight="1" s="175"/>
    <row r="406" ht="14.25" customHeight="1" s="175"/>
    <row r="407" ht="14.25" customHeight="1" s="175"/>
    <row r="408" ht="14.25" customHeight="1" s="175"/>
    <row r="409" ht="14.25" customHeight="1" s="175"/>
    <row r="410" ht="14.25" customHeight="1" s="175"/>
    <row r="411" ht="14.25" customHeight="1" s="175"/>
    <row r="412" ht="14.25" customHeight="1" s="175"/>
    <row r="413" ht="14.25" customHeight="1" s="175"/>
    <row r="414" ht="14.25" customHeight="1" s="175"/>
    <row r="415" ht="14.25" customHeight="1" s="175"/>
    <row r="416" ht="14.25" customHeight="1" s="175"/>
    <row r="417" ht="14.25" customHeight="1" s="175"/>
    <row r="418" ht="14.25" customHeight="1" s="175"/>
    <row r="419" ht="14.25" customHeight="1" s="175"/>
    <row r="420" ht="14.25" customHeight="1" s="175"/>
    <row r="421" ht="14.25" customHeight="1" s="175"/>
    <row r="422" ht="14.25" customHeight="1" s="175"/>
    <row r="423" ht="14.25" customHeight="1" s="175"/>
    <row r="424" ht="14.25" customHeight="1" s="175"/>
    <row r="425" ht="14.25" customHeight="1" s="175"/>
    <row r="426" ht="14.25" customHeight="1" s="175"/>
    <row r="427" ht="14.25" customHeight="1" s="175"/>
    <row r="428" ht="14.25" customHeight="1" s="175"/>
    <row r="429" ht="14.25" customHeight="1" s="175"/>
    <row r="430" ht="14.25" customHeight="1" s="175"/>
    <row r="431" ht="14.25" customHeight="1" s="175"/>
    <row r="432" ht="14.25" customHeight="1" s="175"/>
    <row r="433" ht="14.25" customHeight="1" s="175"/>
    <row r="434" ht="14.25" customHeight="1" s="175"/>
    <row r="435" ht="14.25" customHeight="1" s="175"/>
    <row r="436" ht="14.25" customHeight="1" s="175"/>
    <row r="437" ht="14.25" customHeight="1" s="175"/>
    <row r="438" ht="14.25" customHeight="1" s="175"/>
    <row r="439" ht="14.25" customHeight="1" s="175"/>
    <row r="440" ht="14.25" customHeight="1" s="175"/>
    <row r="441" ht="14.25" customHeight="1" s="175"/>
    <row r="442" ht="14.25" customHeight="1" s="175"/>
    <row r="443" ht="14.25" customHeight="1" s="175"/>
    <row r="444" ht="14.25" customHeight="1" s="175"/>
    <row r="445" ht="14.25" customHeight="1" s="175"/>
    <row r="446" ht="14.25" customHeight="1" s="175"/>
    <row r="447" ht="14.25" customHeight="1" s="175"/>
    <row r="448" ht="14.25" customHeight="1" s="175"/>
    <row r="449" ht="14.25" customHeight="1" s="175"/>
    <row r="450" ht="14.25" customHeight="1" s="175"/>
    <row r="451" ht="14.25" customHeight="1" s="175"/>
    <row r="452" ht="14.25" customHeight="1" s="175"/>
    <row r="453" ht="14.25" customHeight="1" s="175"/>
    <row r="454" ht="14.25" customHeight="1" s="175"/>
    <row r="455" ht="14.25" customHeight="1" s="175"/>
    <row r="456" ht="14.25" customHeight="1" s="175"/>
    <row r="457" ht="14.25" customHeight="1" s="175"/>
    <row r="458" ht="14.25" customHeight="1" s="175"/>
    <row r="459" ht="14.25" customHeight="1" s="175"/>
    <row r="460" ht="14.25" customHeight="1" s="175"/>
    <row r="461" ht="14.25" customHeight="1" s="175"/>
    <row r="462" ht="14.25" customHeight="1" s="175"/>
    <row r="463" ht="14.25" customHeight="1" s="175"/>
    <row r="464" ht="14.25" customHeight="1" s="175"/>
    <row r="465" ht="14.25" customHeight="1" s="175"/>
    <row r="466" ht="14.25" customHeight="1" s="175"/>
    <row r="467" ht="14.25" customHeight="1" s="175"/>
    <row r="468" ht="14.25" customHeight="1" s="175"/>
    <row r="469" ht="14.25" customHeight="1" s="175"/>
    <row r="470" ht="14.25" customHeight="1" s="175"/>
    <row r="471" ht="14.25" customHeight="1" s="175"/>
    <row r="472" ht="14.25" customHeight="1" s="175"/>
    <row r="473" ht="14.25" customHeight="1" s="175"/>
    <row r="474" ht="14.25" customHeight="1" s="175"/>
    <row r="475" ht="14.25" customHeight="1" s="175"/>
    <row r="476" ht="14.25" customHeight="1" s="175"/>
    <row r="477" ht="14.25" customHeight="1" s="175"/>
    <row r="478" ht="14.25" customHeight="1" s="175"/>
    <row r="479" ht="14.25" customHeight="1" s="175"/>
    <row r="480" ht="14.25" customHeight="1" s="175"/>
    <row r="481" ht="14.25" customHeight="1" s="175"/>
    <row r="482" ht="14.25" customHeight="1" s="175"/>
    <row r="483" ht="14.25" customHeight="1" s="175">
      <c r="D483" s="250" t="n"/>
    </row>
    <row r="484" ht="14.25" customHeight="1" s="175">
      <c r="D484" s="250" t="n"/>
    </row>
    <row r="485" ht="14.25" customHeight="1" s="175">
      <c r="D485" s="250" t="n"/>
    </row>
    <row r="486" ht="14.25" customHeight="1" s="175">
      <c r="D486" s="193" t="n"/>
    </row>
    <row r="487" ht="14.25" customHeight="1" s="175"/>
    <row r="488" ht="14.25" customHeight="1" s="175"/>
    <row r="489" ht="14.25" customHeight="1" s="175"/>
    <row r="490" ht="14.25" customHeight="1" s="175"/>
    <row r="491" ht="14.25" customHeight="1" s="175"/>
    <row r="492" ht="14.25" customHeight="1" s="175"/>
    <row r="493" ht="14.25" customHeight="1" s="175"/>
    <row r="494" ht="14.25" customHeight="1" s="175"/>
    <row r="495" ht="14.25" customHeight="1" s="175"/>
    <row r="496" ht="14.25" customHeight="1" s="175"/>
    <row r="497" ht="14.25" customHeight="1" s="175"/>
    <row r="498" ht="14.25" customHeight="1" s="175"/>
    <row r="499" ht="14.25" customHeight="1" s="175"/>
    <row r="500" ht="14.25" customHeight="1" s="175"/>
    <row r="501" ht="14.25" customHeight="1" s="175"/>
    <row r="502" ht="14.25" customHeight="1" s="175"/>
    <row r="503" ht="14.25" customHeight="1" s="175"/>
    <row r="504" ht="14.25" customHeight="1" s="175">
      <c r="D504" s="250" t="n"/>
    </row>
    <row r="505" ht="14.25" customHeight="1" s="175"/>
    <row r="506" ht="14.25" customHeight="1" s="175"/>
    <row r="507" ht="14.25" customHeight="1" s="175"/>
    <row r="508" ht="14.25" customHeight="1" s="175"/>
    <row r="509" ht="14.25" customHeight="1" s="175"/>
    <row r="510" ht="14.25" customHeight="1" s="175"/>
    <row r="511" ht="14.25" customHeight="1" s="175"/>
    <row r="512" ht="14.25" customHeight="1" s="175"/>
    <row r="513" ht="14.25" customHeight="1" s="175"/>
    <row r="514" ht="14.25" customHeight="1" s="175"/>
    <row r="515" ht="14.25" customHeight="1" s="175"/>
    <row r="516" ht="14.25" customHeight="1" s="175"/>
    <row r="517" ht="14.25" customHeight="1" s="175"/>
    <row r="518" ht="14.25" customHeight="1" s="175"/>
    <row r="519" ht="14.25" customHeight="1" s="175"/>
    <row r="520" ht="14.25" customHeight="1" s="175"/>
    <row r="521" ht="14.25" customHeight="1" s="175"/>
    <row r="522" ht="14.25" customHeight="1" s="175"/>
    <row r="523" ht="14.25" customHeight="1" s="175"/>
    <row r="524" ht="14.25" customHeight="1" s="175"/>
    <row r="525" ht="14.25" customHeight="1" s="175"/>
    <row r="526" ht="14.25" customHeight="1" s="175"/>
    <row r="527" ht="14.25" customHeight="1" s="175"/>
    <row r="528" ht="14.25" customHeight="1" s="175"/>
    <row r="529" ht="14.25" customHeight="1" s="175"/>
    <row r="530" ht="14.25" customHeight="1" s="175"/>
    <row r="531" ht="14.25" customHeight="1" s="175"/>
    <row r="532" ht="14.25" customHeight="1" s="175"/>
    <row r="533" ht="14.25" customHeight="1" s="175"/>
    <row r="534" ht="14.25" customHeight="1" s="175"/>
    <row r="535" ht="14.25" customHeight="1" s="175"/>
    <row r="536" ht="14.25" customHeight="1" s="175"/>
    <row r="537" ht="14.25" customHeight="1" s="175"/>
    <row r="538" ht="14.25" customHeight="1" s="175"/>
    <row r="539" ht="14.25" customHeight="1" s="175"/>
    <row r="540" ht="14.25" customHeight="1" s="175"/>
    <row r="541" ht="14.25" customHeight="1" s="175"/>
    <row r="542" ht="14.25" customHeight="1" s="175"/>
    <row r="543" ht="14.25" customHeight="1" s="175"/>
    <row r="544" ht="14.25" customHeight="1" s="175"/>
    <row r="545" ht="14.25" customHeight="1" s="175"/>
    <row r="546" ht="14.25" customHeight="1" s="175"/>
    <row r="547" ht="14.25" customHeight="1" s="175"/>
    <row r="548" ht="14.25" customHeight="1" s="175"/>
    <row r="549" ht="14.25" customHeight="1" s="175"/>
    <row r="550" ht="14.25" customHeight="1" s="175"/>
    <row r="551" ht="14.25" customHeight="1" s="175"/>
    <row r="552" ht="14.25" customHeight="1" s="175"/>
    <row r="553" ht="14.25" customHeight="1" s="175"/>
    <row r="554" ht="14.25" customHeight="1" s="175"/>
    <row r="555" ht="14.25" customHeight="1" s="175"/>
    <row r="556" ht="14.25" customHeight="1" s="175"/>
    <row r="557" ht="14.25" customHeight="1" s="175"/>
    <row r="558" ht="14.25" customHeight="1" s="175"/>
    <row r="559" ht="14.25" customHeight="1" s="175"/>
    <row r="560" ht="14.25" customHeight="1" s="175"/>
    <row r="561" ht="14.25" customHeight="1" s="175"/>
    <row r="562" ht="14.25" customHeight="1" s="175"/>
    <row r="563" ht="14.25" customHeight="1" s="175"/>
    <row r="564" ht="14.25" customHeight="1" s="175"/>
    <row r="565" ht="14.25" customHeight="1" s="175"/>
    <row r="566" ht="14.25" customHeight="1" s="175"/>
    <row r="567" ht="14.25" customHeight="1" s="175"/>
    <row r="568" ht="14.25" customHeight="1" s="175"/>
    <row r="569" ht="14.25" customHeight="1" s="175"/>
    <row r="570" ht="14.25" customHeight="1" s="175"/>
    <row r="571" ht="14.25" customHeight="1" s="175"/>
    <row r="572" ht="14.25" customHeight="1" s="175"/>
    <row r="573" ht="14.25" customHeight="1" s="175"/>
    <row r="574" ht="14.25" customHeight="1" s="175"/>
    <row r="575" ht="14.25" customHeight="1" s="175"/>
    <row r="576" ht="14.25" customHeight="1" s="175"/>
    <row r="577" ht="14.25" customHeight="1" s="175"/>
    <row r="578" ht="14.25" customHeight="1" s="175"/>
    <row r="579" ht="14.25" customHeight="1" s="175"/>
    <row r="580" ht="14.25" customHeight="1" s="175"/>
    <row r="581" ht="14.25" customHeight="1" s="175"/>
    <row r="582" ht="14.25" customHeight="1" s="175"/>
    <row r="583" ht="14.25" customHeight="1" s="175"/>
    <row r="584" ht="14.25" customHeight="1" s="175"/>
    <row r="585" ht="14.25" customHeight="1" s="175"/>
    <row r="586" ht="14.25" customHeight="1" s="175"/>
    <row r="587" ht="14.25" customHeight="1" s="175"/>
    <row r="588" ht="14.25" customHeight="1" s="175"/>
    <row r="589" ht="14.25" customHeight="1" s="175"/>
    <row r="590" ht="14.25" customHeight="1" s="175"/>
    <row r="591" ht="14.25" customHeight="1" s="175"/>
    <row r="592" ht="14.25" customHeight="1" s="175"/>
    <row r="593" ht="14.25" customHeight="1" s="175"/>
    <row r="594" ht="14.25" customHeight="1" s="175"/>
    <row r="595" ht="14.25" customHeight="1" s="175"/>
    <row r="596" ht="14.25" customHeight="1" s="175"/>
    <row r="597" ht="14.25" customHeight="1" s="175"/>
    <row r="598" ht="14.25" customHeight="1" s="175"/>
    <row r="599" ht="14.25" customHeight="1" s="175"/>
    <row r="600" ht="14.25" customHeight="1" s="175"/>
    <row r="601" ht="14.25" customHeight="1" s="175"/>
    <row r="602" ht="14.25" customHeight="1" s="175"/>
    <row r="603" ht="14.25" customHeight="1" s="175"/>
    <row r="604" ht="14.25" customHeight="1" s="175"/>
    <row r="605" ht="14.25" customHeight="1" s="175"/>
    <row r="606" ht="14.25" customHeight="1" s="175"/>
    <row r="607" ht="14.25" customHeight="1" s="175"/>
    <row r="608" ht="14.25" customHeight="1" s="175"/>
    <row r="609" ht="14.25" customHeight="1" s="175"/>
    <row r="610" ht="14.25" customHeight="1" s="175"/>
    <row r="611" ht="14.25" customHeight="1" s="175"/>
    <row r="612" ht="14.25" customHeight="1" s="175"/>
    <row r="613" ht="14.25" customHeight="1" s="175"/>
    <row r="614" ht="14.25" customHeight="1" s="175"/>
    <row r="615" ht="14.25" customHeight="1" s="175"/>
    <row r="616" ht="14.25" customHeight="1" s="175"/>
    <row r="617" ht="14.25" customHeight="1" s="175"/>
    <row r="618" ht="14.25" customHeight="1" s="175"/>
    <row r="619" ht="14.25" customHeight="1" s="175"/>
    <row r="620" ht="14.25" customHeight="1" s="175"/>
    <row r="621" ht="14.25" customHeight="1" s="175"/>
    <row r="622" ht="14.25" customHeight="1" s="175"/>
    <row r="623" ht="14.25" customHeight="1" s="175"/>
    <row r="624" ht="14.25" customHeight="1" s="175"/>
    <row r="625" ht="14.25" customHeight="1" s="175"/>
    <row r="626" ht="14.25" customHeight="1" s="175"/>
    <row r="627" ht="14.25" customHeight="1" s="175"/>
    <row r="628" ht="14.25" customHeight="1" s="175"/>
    <row r="629" ht="14.25" customHeight="1" s="175"/>
    <row r="630" ht="14.25" customHeight="1" s="175"/>
    <row r="631" ht="14.25" customHeight="1" s="175"/>
    <row r="632" ht="14.25" customHeight="1" s="175"/>
    <row r="633" ht="14.25" customHeight="1" s="175"/>
    <row r="634" ht="14.25" customHeight="1" s="175"/>
    <row r="635" ht="14.25" customHeight="1" s="175"/>
    <row r="636" ht="14.25" customHeight="1" s="175"/>
    <row r="637" ht="14.25" customHeight="1" s="175"/>
    <row r="638" ht="14.25" customHeight="1" s="175"/>
    <row r="639" ht="14.25" customHeight="1" s="175"/>
    <row r="640" ht="14.25" customHeight="1" s="175"/>
    <row r="641" ht="14.25" customHeight="1" s="175"/>
    <row r="642" ht="14.25" customHeight="1" s="175"/>
    <row r="643" ht="14.25" customHeight="1" s="175"/>
    <row r="644" ht="14.25" customHeight="1" s="175"/>
    <row r="645" ht="14.25" customHeight="1" s="175"/>
    <row r="646" ht="14.25" customHeight="1" s="175"/>
    <row r="647" ht="14.25" customHeight="1" s="175"/>
    <row r="648" ht="14.25" customHeight="1" s="175"/>
    <row r="649" ht="14.25" customHeight="1" s="175"/>
    <row r="650" ht="14.25" customHeight="1" s="175"/>
    <row r="651" ht="14.25" customHeight="1" s="175"/>
    <row r="652" ht="14.25" customHeight="1" s="175"/>
    <row r="653" ht="14.25" customHeight="1" s="175"/>
    <row r="654" ht="14.25" customHeight="1" s="175"/>
    <row r="655" ht="14.25" customHeight="1" s="175"/>
    <row r="656" ht="14.25" customHeight="1" s="175"/>
    <row r="657" ht="14.25" customHeight="1" s="175"/>
    <row r="658" ht="14.25" customHeight="1" s="175"/>
    <row r="659" ht="14.25" customHeight="1" s="175"/>
    <row r="660" ht="14.25" customHeight="1" s="175"/>
    <row r="661" ht="14.25" customHeight="1" s="175"/>
    <row r="662" ht="14.25" customHeight="1" s="175"/>
    <row r="663" ht="14.25" customHeight="1" s="175"/>
    <row r="664" ht="14.25" customHeight="1" s="175"/>
    <row r="665" ht="14.25" customHeight="1" s="175"/>
    <row r="666" ht="14.25" customHeight="1" s="175"/>
    <row r="667" ht="14.25" customHeight="1" s="175"/>
    <row r="668" ht="14.25" customHeight="1" s="175"/>
    <row r="669" ht="14.25" customHeight="1" s="175"/>
    <row r="670" ht="14.25" customHeight="1" s="175"/>
    <row r="671" ht="14.25" customHeight="1" s="175"/>
    <row r="672" ht="14.25" customHeight="1" s="175"/>
    <row r="673" ht="14.25" customHeight="1" s="175"/>
    <row r="674" ht="14.25" customHeight="1" s="175"/>
    <row r="675" ht="14.25" customHeight="1" s="175"/>
    <row r="676" ht="14.25" customHeight="1" s="175"/>
    <row r="677" ht="14.25" customHeight="1" s="175"/>
    <row r="678" ht="14.25" customHeight="1" s="175"/>
    <row r="679" ht="14.25" customHeight="1" s="175"/>
    <row r="680" ht="14.25" customHeight="1" s="175"/>
    <row r="681" ht="14.25" customHeight="1" s="175"/>
    <row r="682" ht="14.25" customHeight="1" s="175"/>
    <row r="683" ht="14.25" customHeight="1" s="175"/>
    <row r="684" ht="14.25" customHeight="1" s="175"/>
    <row r="685" ht="14.25" customHeight="1" s="175"/>
    <row r="686" ht="14.25" customHeight="1" s="175"/>
    <row r="687" ht="14.25" customHeight="1" s="175"/>
    <row r="688" ht="14.25" customHeight="1" s="175"/>
    <row r="689" ht="14.25" customHeight="1" s="175"/>
    <row r="690" ht="14.25" customHeight="1" s="175"/>
    <row r="691" ht="14.25" customHeight="1" s="175"/>
    <row r="692" ht="14.25" customHeight="1" s="175"/>
    <row r="693" ht="14.25" customHeight="1" s="175"/>
    <row r="694" ht="14.25" customHeight="1" s="175"/>
    <row r="695" ht="14.25" customHeight="1" s="175"/>
    <row r="696" ht="14.25" customHeight="1" s="175"/>
    <row r="697" ht="14.25" customHeight="1" s="175"/>
    <row r="698" ht="14.25" customHeight="1" s="175"/>
    <row r="699" ht="14.25" customHeight="1" s="175"/>
    <row r="700" ht="14.25" customHeight="1" s="175"/>
    <row r="701" ht="14.25" customHeight="1" s="175"/>
    <row r="702" ht="14.25" customHeight="1" s="175"/>
    <row r="703" ht="14.25" customHeight="1" s="175"/>
    <row r="704" ht="14.25" customHeight="1" s="175"/>
    <row r="705" ht="14.25" customHeight="1" s="175"/>
    <row r="706" ht="14.25" customHeight="1" s="175"/>
    <row r="707" ht="14.25" customHeight="1" s="175"/>
    <row r="708" ht="14.25" customHeight="1" s="175"/>
    <row r="709" ht="14.25" customHeight="1" s="175"/>
    <row r="710" ht="14.25" customHeight="1" s="175"/>
    <row r="711" ht="14.25" customHeight="1" s="175"/>
    <row r="712" ht="14.25" customHeight="1" s="175"/>
    <row r="713" ht="14.25" customHeight="1" s="175"/>
    <row r="714" ht="14.25" customHeight="1" s="175"/>
    <row r="715" ht="14.25" customHeight="1" s="175"/>
    <row r="716" ht="14.25" customHeight="1" s="175"/>
    <row r="717" ht="14.25" customHeight="1" s="175"/>
    <row r="718" ht="14.25" customHeight="1" s="175"/>
    <row r="719" ht="14.25" customHeight="1" s="175"/>
    <row r="720" ht="14.25" customHeight="1" s="175"/>
    <row r="721" ht="14.25" customHeight="1" s="175"/>
    <row r="722" ht="14.25" customHeight="1" s="175"/>
    <row r="723" ht="14.25" customHeight="1" s="175"/>
    <row r="724" ht="14.25" customHeight="1" s="175"/>
    <row r="725" ht="14.25" customHeight="1" s="175"/>
    <row r="726" ht="14.25" customHeight="1" s="175"/>
    <row r="727" ht="14.25" customHeight="1" s="175"/>
    <row r="728" ht="14.25" customHeight="1" s="175"/>
    <row r="729" ht="14.25" customHeight="1" s="175"/>
    <row r="730" ht="14.25" customHeight="1" s="175"/>
    <row r="731" ht="14.25" customHeight="1" s="175"/>
    <row r="732" ht="14.25" customHeight="1" s="175"/>
    <row r="733" ht="14.25" customHeight="1" s="175"/>
    <row r="734" ht="14.25" customHeight="1" s="175"/>
    <row r="735" ht="14.25" customHeight="1" s="175"/>
    <row r="736" ht="14.25" customHeight="1" s="175"/>
    <row r="737" ht="14.25" customHeight="1" s="175"/>
    <row r="738" ht="14.25" customHeight="1" s="175"/>
    <row r="739" ht="14.25" customHeight="1" s="175"/>
    <row r="740" ht="14.25" customHeight="1" s="175"/>
    <row r="741" ht="14.25" customHeight="1" s="175"/>
    <row r="742" ht="14.25" customHeight="1" s="175"/>
    <row r="743" ht="14.25" customHeight="1" s="175"/>
    <row r="744" ht="14.25" customHeight="1" s="175"/>
    <row r="745" ht="14.25" customHeight="1" s="175"/>
    <row r="746" ht="14.25" customHeight="1" s="175"/>
    <row r="747" ht="14.25" customHeight="1" s="175"/>
    <row r="748" ht="14.25" customHeight="1" s="175"/>
    <row r="749" ht="14.25" customHeight="1" s="175"/>
    <row r="750" ht="14.25" customHeight="1" s="175"/>
    <row r="751" ht="14.25" customHeight="1" s="175"/>
    <row r="752" ht="14.25" customHeight="1" s="175"/>
    <row r="753" ht="14.25" customHeight="1" s="175"/>
    <row r="754" ht="14.25" customHeight="1" s="175"/>
    <row r="755" ht="14.25" customHeight="1" s="175"/>
    <row r="756" ht="14.25" customHeight="1" s="175"/>
    <row r="757" ht="14.25" customHeight="1" s="175"/>
    <row r="758" ht="14.25" customHeight="1" s="175"/>
    <row r="759" ht="14.25" customHeight="1" s="175"/>
    <row r="760" ht="14.25" customHeight="1" s="175"/>
    <row r="761" ht="14.25" customHeight="1" s="175"/>
    <row r="762" ht="14.25" customHeight="1" s="175"/>
    <row r="763" ht="14.25" customHeight="1" s="175"/>
    <row r="764" ht="14.25" customHeight="1" s="175"/>
    <row r="765" ht="14.25" customHeight="1" s="175"/>
    <row r="766" ht="14.25" customHeight="1" s="175"/>
    <row r="767" ht="14.25" customHeight="1" s="175"/>
    <row r="768" ht="14.25" customHeight="1" s="175"/>
    <row r="769" ht="14.25" customHeight="1" s="175"/>
    <row r="770" ht="14.25" customHeight="1" s="175"/>
    <row r="771" ht="14.25" customHeight="1" s="175"/>
    <row r="772" ht="14.25" customHeight="1" s="175"/>
    <row r="773" ht="14.25" customHeight="1" s="175"/>
    <row r="774" ht="14.25" customHeight="1" s="175"/>
    <row r="775" ht="14.25" customHeight="1" s="175"/>
    <row r="776" ht="14.25" customHeight="1" s="175"/>
    <row r="777" ht="14.25" customHeight="1" s="175"/>
    <row r="778" ht="14.25" customHeight="1" s="175"/>
    <row r="779" ht="14.25" customHeight="1" s="175"/>
    <row r="780" ht="14.25" customHeight="1" s="175"/>
    <row r="781" ht="14.25" customHeight="1" s="175"/>
    <row r="782" ht="14.25" customHeight="1" s="175"/>
    <row r="783" ht="14.25" customHeight="1" s="175"/>
    <row r="784" ht="14.25" customHeight="1" s="175"/>
    <row r="785" ht="14.25" customHeight="1" s="175"/>
    <row r="786" ht="14.25" customHeight="1" s="175"/>
    <row r="787" ht="14.25" customHeight="1" s="175"/>
    <row r="788" ht="14.25" customHeight="1" s="175"/>
    <row r="789" ht="14.25" customHeight="1" s="175"/>
    <row r="790" ht="14.25" customHeight="1" s="175"/>
    <row r="791" ht="14.25" customHeight="1" s="175"/>
    <row r="792" ht="14.25" customHeight="1" s="175"/>
    <row r="793" ht="14.25" customHeight="1" s="175"/>
    <row r="794" ht="14.25" customHeight="1" s="175"/>
    <row r="795" ht="14.25" customHeight="1" s="175"/>
    <row r="796" ht="14.25" customHeight="1" s="175"/>
    <row r="797" ht="14.25" customHeight="1" s="175"/>
    <row r="798" ht="14.25" customHeight="1" s="175"/>
    <row r="799" ht="14.25" customHeight="1" s="175"/>
    <row r="800" ht="14.25" customHeight="1" s="175"/>
    <row r="801" ht="14.25" customHeight="1" s="175"/>
    <row r="802" ht="14.25" customHeight="1" s="175"/>
    <row r="803" ht="14.25" customHeight="1" s="175"/>
    <row r="804" ht="14.25" customHeight="1" s="175"/>
    <row r="805" ht="14.25" customHeight="1" s="175"/>
    <row r="806" ht="14.25" customHeight="1" s="175"/>
    <row r="807" ht="14.25" customHeight="1" s="175"/>
    <row r="808" ht="14.25" customHeight="1" s="175"/>
    <row r="809" ht="14.25" customHeight="1" s="175"/>
    <row r="810" ht="14.25" customHeight="1" s="175"/>
    <row r="811" ht="14.25" customHeight="1" s="175"/>
    <row r="812" ht="14.25" customHeight="1" s="175"/>
    <row r="813" ht="14.25" customHeight="1" s="175"/>
    <row r="814" ht="14.25" customHeight="1" s="175"/>
    <row r="815" ht="14.25" customHeight="1" s="175"/>
    <row r="816" ht="14.25" customHeight="1" s="175"/>
    <row r="817" ht="14.25" customHeight="1" s="175"/>
    <row r="818" ht="14.25" customHeight="1" s="175"/>
    <row r="819" ht="14.25" customHeight="1" s="175"/>
    <row r="820" ht="14.25" customHeight="1" s="175"/>
    <row r="821" ht="14.25" customHeight="1" s="175"/>
    <row r="822" ht="14.25" customHeight="1" s="175"/>
    <row r="823" ht="14.25" customHeight="1" s="175"/>
    <row r="824" ht="14.25" customHeight="1" s="175"/>
    <row r="825" ht="14.25" customHeight="1" s="175"/>
    <row r="826" ht="14.25" customHeight="1" s="175"/>
    <row r="827" ht="14.25" customHeight="1" s="175"/>
    <row r="828" ht="14.25" customHeight="1" s="175"/>
    <row r="829" ht="14.25" customHeight="1" s="175"/>
    <row r="830" ht="14.25" customHeight="1" s="175"/>
    <row r="831" ht="14.25" customHeight="1" s="175"/>
    <row r="832" ht="14.25" customHeight="1" s="175"/>
    <row r="833" ht="14.25" customHeight="1" s="175"/>
    <row r="834" ht="14.25" customHeight="1" s="175"/>
    <row r="835" ht="14.25" customHeight="1" s="175"/>
    <row r="836" ht="14.25" customHeight="1" s="175"/>
    <row r="837" ht="14.25" customHeight="1" s="175"/>
    <row r="838" ht="14.25" customHeight="1" s="175"/>
    <row r="839" ht="14.25" customHeight="1" s="175"/>
    <row r="840" ht="14.25" customHeight="1" s="175"/>
    <row r="841" ht="14.25" customHeight="1" s="175"/>
    <row r="842" ht="14.25" customHeight="1" s="175"/>
    <row r="843" ht="14.25" customHeight="1" s="175"/>
    <row r="844" ht="14.25" customHeight="1" s="175"/>
    <row r="845" ht="14.25" customHeight="1" s="175"/>
    <row r="846" ht="14.25" customHeight="1" s="175"/>
    <row r="847" ht="14.25" customHeight="1" s="175"/>
    <row r="848" ht="14.25" customHeight="1" s="175"/>
    <row r="849" ht="14.25" customHeight="1" s="175"/>
    <row r="850" ht="14.25" customHeight="1" s="175"/>
    <row r="851" ht="14.25" customHeight="1" s="175"/>
    <row r="852" ht="14.25" customHeight="1" s="175"/>
    <row r="853" ht="14.25" customHeight="1" s="175"/>
    <row r="854" ht="14.25" customHeight="1" s="175"/>
    <row r="855" ht="14.25" customHeight="1" s="175"/>
    <row r="856" ht="14.25" customHeight="1" s="175"/>
    <row r="857" ht="14.25" customHeight="1" s="175"/>
    <row r="858" ht="14.25" customHeight="1" s="175"/>
    <row r="859" ht="14.25" customHeight="1" s="175"/>
    <row r="860" ht="14.25" customHeight="1" s="175"/>
    <row r="861" ht="14.25" customHeight="1" s="175"/>
    <row r="862" ht="14.25" customHeight="1" s="175"/>
    <row r="863" ht="14.25" customHeight="1" s="175"/>
    <row r="864" ht="14.25" customHeight="1" s="175"/>
    <row r="865" ht="14.25" customHeight="1" s="175"/>
    <row r="866" ht="14.25" customHeight="1" s="175"/>
    <row r="867" ht="14.25" customHeight="1" s="175"/>
    <row r="868" ht="14.25" customHeight="1" s="175"/>
    <row r="869" ht="14.25" customHeight="1" s="175"/>
    <row r="870" ht="14.25" customHeight="1" s="175"/>
    <row r="871" ht="14.25" customHeight="1" s="175"/>
    <row r="872" ht="14.25" customHeight="1" s="175"/>
    <row r="873" ht="14.25" customHeight="1" s="175"/>
    <row r="874" ht="14.25" customHeight="1" s="175"/>
    <row r="875" ht="14.25" customHeight="1" s="175"/>
    <row r="876" ht="14.25" customHeight="1" s="175"/>
    <row r="877" ht="14.25" customHeight="1" s="175"/>
    <row r="878" ht="14.25" customHeight="1" s="175"/>
    <row r="879" ht="14.25" customHeight="1" s="175"/>
    <row r="880" ht="14.25" customHeight="1" s="175"/>
    <row r="881" ht="14.25" customHeight="1" s="175"/>
    <row r="882" ht="14.25" customHeight="1" s="175"/>
    <row r="883" ht="14.25" customHeight="1" s="175"/>
    <row r="884" ht="14.25" customHeight="1" s="175"/>
    <row r="885" ht="14.25" customHeight="1" s="175"/>
    <row r="886" ht="14.25" customHeight="1" s="175"/>
    <row r="887" ht="14.25" customHeight="1" s="175"/>
    <row r="888" ht="14.25" customHeight="1" s="175"/>
    <row r="889" ht="14.25" customHeight="1" s="175"/>
    <row r="890" ht="14.25" customHeight="1" s="175"/>
    <row r="891" ht="14.25" customHeight="1" s="175"/>
    <row r="892" ht="14.25" customHeight="1" s="175"/>
    <row r="893" ht="14.25" customHeight="1" s="175"/>
    <row r="894" ht="14.25" customHeight="1" s="175"/>
    <row r="895" ht="14.25" customHeight="1" s="175"/>
    <row r="896" ht="14.25" customHeight="1" s="175"/>
    <row r="897" ht="14.25" customHeight="1" s="175"/>
    <row r="898" ht="14.25" customHeight="1" s="175"/>
    <row r="899" ht="14.25" customHeight="1" s="175"/>
    <row r="900" ht="14.25" customHeight="1" s="175"/>
    <row r="901" ht="14.25" customHeight="1" s="175"/>
    <row r="902" ht="14.25" customHeight="1" s="175"/>
    <row r="903" ht="14.25" customHeight="1" s="175"/>
    <row r="904" ht="14.25" customHeight="1" s="175"/>
    <row r="905" ht="14.25" customHeight="1" s="175"/>
    <row r="906" ht="14.25" customHeight="1" s="175"/>
    <row r="907" ht="14.25" customHeight="1" s="175"/>
    <row r="908" ht="14.25" customHeight="1" s="175"/>
    <row r="909" ht="14.25" customHeight="1" s="175"/>
    <row r="910" ht="14.25" customHeight="1" s="175"/>
    <row r="911" ht="14.25" customHeight="1" s="175"/>
    <row r="912" ht="14.25" customHeight="1" s="175"/>
    <row r="913" ht="14.25" customHeight="1" s="175"/>
    <row r="914" ht="14.25" customHeight="1" s="175"/>
    <row r="915" ht="14.25" customHeight="1" s="175"/>
    <row r="916" ht="14.25" customHeight="1" s="175"/>
    <row r="917" ht="14.25" customHeight="1" s="175"/>
    <row r="918" ht="14.25" customHeight="1" s="175"/>
    <row r="919" ht="14.25" customHeight="1" s="175"/>
    <row r="920" ht="14.25" customHeight="1" s="175"/>
    <row r="921" ht="14.25" customHeight="1" s="175"/>
    <row r="922" ht="14.25" customHeight="1" s="175"/>
    <row r="923" ht="14.25" customHeight="1" s="175"/>
    <row r="924" ht="14.25" customHeight="1" s="175"/>
    <row r="925" ht="14.25" customHeight="1" s="175"/>
    <row r="926" ht="14.25" customHeight="1" s="175"/>
    <row r="927" ht="14.25" customHeight="1" s="175"/>
    <row r="928" ht="14.25" customHeight="1" s="175"/>
    <row r="929" ht="14.25" customHeight="1" s="175"/>
    <row r="930" ht="14.25" customHeight="1" s="175"/>
    <row r="931" ht="14.25" customHeight="1" s="175"/>
    <row r="932" ht="14.25" customHeight="1" s="175"/>
    <row r="933" ht="14.25" customHeight="1" s="175"/>
    <row r="934" ht="14.25" customHeight="1" s="175"/>
    <row r="935" ht="14.25" customHeight="1" s="175"/>
    <row r="936" ht="14.25" customHeight="1" s="175"/>
    <row r="937" ht="14.25" customHeight="1" s="175"/>
    <row r="938" ht="14.25" customHeight="1" s="175"/>
    <row r="939" ht="14.25" customHeight="1" s="175"/>
    <row r="940" ht="14.25" customHeight="1" s="175"/>
    <row r="941" ht="14.25" customHeight="1" s="175"/>
    <row r="942" ht="14.25" customHeight="1" s="175"/>
    <row r="943" ht="14.25" customHeight="1" s="175"/>
    <row r="944" ht="14.25" customHeight="1" s="175"/>
    <row r="945" ht="14.25" customHeight="1" s="175"/>
    <row r="946" ht="14.25" customHeight="1" s="175"/>
    <row r="947" ht="14.25" customHeight="1" s="175"/>
    <row r="948" ht="14.25" customHeight="1" s="175"/>
    <row r="949" ht="14.25" customHeight="1" s="175"/>
    <row r="950" ht="14.25" customHeight="1" s="175"/>
    <row r="951" ht="14.25" customHeight="1" s="175"/>
    <row r="952" ht="14.25" customHeight="1" s="175"/>
    <row r="953" ht="14.25" customHeight="1" s="175"/>
    <row r="954" ht="14.25" customHeight="1" s="175"/>
    <row r="955" ht="14.25" customHeight="1" s="175"/>
    <row r="956" ht="14.25" customHeight="1" s="175"/>
    <row r="957" ht="14.25" customHeight="1" s="175"/>
    <row r="958" ht="14.25" customHeight="1" s="175"/>
    <row r="959" ht="14.25" customHeight="1" s="175"/>
    <row r="960" ht="14.25" customHeight="1" s="175"/>
    <row r="961" ht="14.25" customHeight="1" s="175"/>
    <row r="962" ht="14.25" customHeight="1" s="175"/>
    <row r="963" ht="14.25" customHeight="1" s="175"/>
    <row r="964" ht="14.25" customHeight="1" s="175"/>
    <row r="965" ht="14.25" customHeight="1" s="175"/>
    <row r="966" ht="14.25" customHeight="1" s="175"/>
    <row r="967" ht="14.25" customHeight="1" s="175"/>
    <row r="968" ht="14.25" customHeight="1" s="175"/>
    <row r="969" ht="14.25" customHeight="1" s="175"/>
    <row r="970" ht="14.25" customHeight="1" s="175"/>
    <row r="971" ht="14.25" customHeight="1" s="175"/>
    <row r="972" ht="14.25" customHeight="1" s="175"/>
    <row r="973" ht="14.25" customHeight="1" s="175"/>
    <row r="974" ht="14.25" customHeight="1" s="175"/>
    <row r="975" ht="14.25" customHeight="1" s="175"/>
    <row r="976" ht="14.25" customHeight="1" s="175"/>
    <row r="977" ht="14.25" customHeight="1" s="175"/>
    <row r="978" ht="14.25" customHeight="1" s="175"/>
    <row r="979" ht="14.25" customHeight="1" s="175"/>
    <row r="980" ht="14.25" customHeight="1" s="175"/>
    <row r="981" ht="14.25" customHeight="1" s="175"/>
    <row r="982" ht="14.25" customHeight="1" s="175"/>
    <row r="983" ht="14.25" customHeight="1" s="175"/>
    <row r="984" ht="14.25" customHeight="1" s="175"/>
    <row r="985" ht="14.25" customHeight="1" s="175"/>
    <row r="986" ht="14.25" customHeight="1" s="175"/>
    <row r="987" ht="14.25" customHeight="1" s="175"/>
    <row r="988" ht="14.25" customHeight="1" s="175"/>
    <row r="989" ht="14.25" customHeight="1" s="175"/>
    <row r="990" ht="14.25" customHeight="1" s="175"/>
    <row r="991" ht="14.25" customHeight="1" s="175"/>
    <row r="992" ht="14.25" customHeight="1" s="175"/>
    <row r="993" ht="14.25" customHeight="1" s="175"/>
    <row r="994" ht="14.25" customHeight="1" s="175"/>
    <row r="995" ht="14.25" customHeight="1" s="175"/>
    <row r="996" ht="14.25" customHeight="1" s="175"/>
    <row r="997" ht="14.25" customHeight="1" s="175"/>
    <row r="998" ht="14.25" customHeight="1" s="175"/>
    <row r="999" ht="14.25" customHeight="1" s="175"/>
    <row r="1000" ht="14.25" customHeight="1" s="175"/>
  </sheetData>
  <mergeCells count="5">
    <mergeCell ref="I20:Q20"/>
    <mergeCell ref="I1:R1"/>
    <mergeCell ref="AP13:AY13"/>
    <mergeCell ref="AP56:AX56"/>
    <mergeCell ref="T1:AM1"/>
  </mergeCells>
  <conditionalFormatting sqref="AQ66:AQ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Y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K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2:L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N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2:P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2:Q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3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59:AX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59:AY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66:AQ6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66:AR70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K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22:N26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4:AR11 AX4:AX11">
    <cfRule type="cellIs" rank="0" priority="18" equalAverage="0" operator="greaterThan" aboveAverage="0" dxfId="0" text="" percent="0" bottom="0">
      <formula>1</formula>
    </cfRule>
  </conditionalFormatting>
  <conditionalFormatting sqref="J83:J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83:T86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94:J97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94:T97"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105:J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105:T10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 AT16:AT31 AW16:AW31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 AU16:AU31 AX16:AX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31 AV16:AV31 AY16:AY31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V16:AV31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16:AW31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X16:AX31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16:AY31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Z16:AZ31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36:AR51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4:AM18"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J65:J80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65:T80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7:J62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7:T62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9:J44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29:T44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8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8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3:P18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3:Q18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:R18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36:AQ51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59">
      <colorScale>
        <cfvo type="min" val="0"/>
        <cfvo type="max" val="0"/>
        <color rgb="FFF8696B"/>
        <color rgb="FFFCFCFF"/>
      </colorScale>
    </cfRule>
  </conditionalFormatting>
  <conditionalFormatting sqref="AS16:AS31">
    <cfRule type="colorScale" priority="60">
      <colorScale>
        <cfvo type="min" val="0"/>
        <cfvo type="max" val="0"/>
        <color rgb="FFFCFCFF"/>
        <color rgb="FF63BE7B"/>
      </colorScale>
    </cfRule>
  </conditionalFormatting>
  <hyperlinks>
    <hyperlink xmlns:r="http://schemas.openxmlformats.org/officeDocument/2006/relationships" ref="E2" display="https://cdn.discordapp.com/ephemeral-attachments/1450933256630440049/1463953458653827136/RDT_20260115_0729213001306827711469532.jpg?ex=6973b467&amp;is=697262e7&amp;hm=abddde1990f77dd09947cbd6cafc421033b30a956f63f0ac302b85f328ba9efb&amp;" r:id="rId1"/>
    <hyperlink xmlns:r="http://schemas.openxmlformats.org/officeDocument/2006/relationships" ref="E17" display="https://cdn.discordapp.com/ephemeral-attachments/1450933256630440049/1465775644741730526/20260127_132802.jpg?ex=697a5572&amp;is=697903f2&amp;hm=9c27e546ab9c73cc77f8c0375cc0951fe876586726fc87be5b26c45984ed2b11&amp;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3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X532"/>
  <sheetViews>
    <sheetView showFormulas="0" showGridLines="1" showRowColHeaders="1" showZeros="1" rightToLeft="0" tabSelected="0" showOutlineSymbols="1" defaultGridColor="1" view="normal" topLeftCell="A486" colorId="64" zoomScale="77" zoomScaleNormal="77" zoomScalePageLayoutView="100" workbookViewId="0">
      <selection pane="topLeft" activeCell="A533" activeCellId="0" sqref="A533"/>
    </sheetView>
  </sheetViews>
  <sheetFormatPr baseColWidth="8" defaultColWidth="12.54296875" defaultRowHeight="15" customHeight="1" zeroHeight="0" outlineLevelRow="0" outlineLevelCol="0"/>
  <cols>
    <col width="7.45" customWidth="1" style="173" min="1" max="1"/>
    <col width="6.54" customWidth="1" style="173" min="2" max="2"/>
    <col width="7.45" customWidth="1" style="173" min="3" max="3"/>
    <col width="8.539999999999999" customWidth="1" style="173" min="4" max="4"/>
    <col width="2.27" customWidth="1" style="173" min="5" max="5"/>
    <col width="8.539999999999999" customWidth="1" style="173" min="6" max="6"/>
    <col width="7.27" customWidth="1" style="173" min="8" max="9"/>
    <col width="5.45" customWidth="1" style="173" min="10" max="10"/>
    <col width="9.73" customWidth="1" style="173" min="11" max="11"/>
    <col width="12.27" customWidth="1" style="173" min="12" max="12"/>
    <col width="7.18" customWidth="1" style="173" min="13" max="13"/>
    <col width="8.449999999999999" customWidth="1" style="173" min="14" max="14"/>
    <col width="11.18" customWidth="1" style="173" min="15" max="15"/>
    <col width="13.27" customWidth="1" style="173" min="16" max="16"/>
    <col width="7.45" customWidth="1" style="173" min="17" max="17"/>
    <col width="12.82" customWidth="1" style="173" min="18" max="18"/>
    <col width="8.539999999999999" customWidth="1" style="173" min="19" max="19"/>
    <col width="3.82" customWidth="1" style="173" min="20" max="21"/>
    <col width="6.82" customWidth="1" style="173" min="22" max="22"/>
    <col width="4.73" customWidth="1" style="173" min="23" max="23"/>
    <col width="5.54" customWidth="1" style="173" min="24" max="24"/>
    <col width="5.45" customWidth="1" style="173" min="25" max="25"/>
    <col width="7.27" customWidth="1" style="173" min="26" max="26"/>
    <col width="6.45" customWidth="1" style="173" min="27" max="27"/>
    <col width="7.45" customWidth="1" style="173" min="28" max="28"/>
    <col width="5.82" customWidth="1" style="173" min="29" max="29"/>
    <col width="6.82" customWidth="1" style="173" min="30" max="30"/>
    <col width="6.73" customWidth="1" style="173" min="31" max="31"/>
    <col width="4.73" customWidth="1" style="173" min="32" max="32"/>
    <col width="6.54" customWidth="1" style="173" min="33" max="33"/>
    <col width="4.27" customWidth="1" style="173" min="34" max="34"/>
    <col width="5.18" customWidth="1" style="173" min="35" max="35"/>
    <col width="10.18" customWidth="1" style="173" min="36" max="36"/>
    <col width="6.54" customWidth="1" style="173" min="37" max="37"/>
    <col width="8.539999999999999" customWidth="1" style="173" min="38" max="39"/>
    <col width="8.449999999999999" customWidth="1" style="173" min="41" max="42"/>
    <col width="7.18" customWidth="1" style="173" min="43" max="43"/>
    <col width="9.27" customWidth="1" style="173" min="44" max="44"/>
    <col width="13.82" customWidth="1" style="173" min="45" max="45"/>
    <col width="7.54" customWidth="1" style="173" min="46" max="46"/>
    <col width="8.18" customWidth="1" style="173" min="47" max="47"/>
    <col width="10.73" customWidth="1" style="173" min="48" max="48"/>
    <col width="12" customWidth="1" style="173" min="49" max="49"/>
    <col width="8.18" customWidth="1" style="173" min="50" max="50"/>
    <col width="8.539999999999999" customWidth="1" style="173" min="51" max="51"/>
  </cols>
  <sheetData>
    <row r="1" ht="14.25" customHeight="1" s="175">
      <c r="A1" s="262" t="inlineStr">
        <is>
          <t>Sniper</t>
        </is>
      </c>
      <c r="B1" s="263" t="inlineStr">
        <is>
          <t>Points</t>
        </is>
      </c>
      <c r="C1" s="264" t="inlineStr">
        <is>
          <t>Snipee</t>
        </is>
      </c>
      <c r="D1" s="173" t="inlineStr">
        <is>
          <t>Link:</t>
        </is>
      </c>
      <c r="G1" s="179" t="inlineStr">
        <is>
          <t>Data by Person:</t>
        </is>
      </c>
      <c r="H1" s="180" t="n"/>
      <c r="I1" s="180" t="n"/>
      <c r="J1" s="180" t="n"/>
      <c r="K1" s="180" t="n"/>
      <c r="L1" s="180" t="n"/>
      <c r="M1" s="180" t="n"/>
      <c r="N1" s="180" t="n"/>
      <c r="O1" s="180" t="n"/>
      <c r="P1" s="181" t="n"/>
      <c r="Q1" s="182" t="n"/>
      <c r="R1" s="265" t="inlineStr">
        <is>
          <t>Kill and Death Points Pivot Table (kill points at right, death points at bottom)</t>
        </is>
      </c>
      <c r="AK1" s="266" t="n"/>
      <c r="AP1" s="179" t="inlineStr">
        <is>
          <t>Ties?</t>
        </is>
      </c>
      <c r="AQ1" s="185" t="inlineStr">
        <is>
          <t>Name</t>
        </is>
      </c>
      <c r="AR1" s="186" t="inlineStr">
        <is>
          <t>Value</t>
        </is>
      </c>
      <c r="AS1" s="187" t="inlineStr">
        <is>
          <t>Various Stats:</t>
        </is>
      </c>
      <c r="AT1" s="188" t="inlineStr">
        <is>
          <t>Value</t>
        </is>
      </c>
      <c r="AU1" s="185" t="inlineStr">
        <is>
          <t>Part</t>
        </is>
      </c>
      <c r="AV1" s="179" t="inlineStr">
        <is>
          <t>Ties?</t>
        </is>
      </c>
    </row>
    <row r="2" ht="14.25" customHeight="1" s="175">
      <c r="A2" s="267" t="inlineStr">
        <is>
          <t>Will</t>
        </is>
      </c>
      <c r="B2" s="268" t="n">
        <v>2</v>
      </c>
      <c r="C2" s="269" t="inlineStr">
        <is>
          <t>Ethan</t>
        </is>
      </c>
      <c r="D2" s="192" t="inlineStr">
        <is>
          <t>https://discord.com/channels/191975109500731392/1212839710439776287/1419363284024557692</t>
        </is>
      </c>
      <c r="E2" s="173" t="n"/>
      <c r="F2" s="194" t="n"/>
      <c r="G2" s="195" t="inlineStr">
        <is>
          <t>Person:</t>
        </is>
      </c>
      <c r="H2" s="196" t="inlineStr">
        <is>
          <t>Kills</t>
        </is>
      </c>
      <c r="I2" s="196" t="inlineStr">
        <is>
          <t>Deaths</t>
        </is>
      </c>
      <c r="J2" s="196" t="inlineStr">
        <is>
          <t>KDR</t>
        </is>
      </c>
      <c r="K2" s="196" t="inlineStr">
        <is>
          <t>Kill Points</t>
        </is>
      </c>
      <c r="L2" s="196" t="inlineStr">
        <is>
          <t>Death Points</t>
        </is>
      </c>
      <c r="M2" s="196" t="inlineStr">
        <is>
          <t>KpDpR</t>
        </is>
      </c>
      <c r="N2" s="196" t="inlineStr">
        <is>
          <t>KPts/Kill</t>
        </is>
      </c>
      <c r="O2" s="196" t="inlineStr">
        <is>
          <t>DPts/Death</t>
        </is>
      </c>
      <c r="P2" s="197" t="inlineStr">
        <is>
          <t>Full Sweep %</t>
        </is>
      </c>
      <c r="Q2" s="182" t="n"/>
      <c r="R2" s="198" t="inlineStr">
        <is>
          <t>Sum of Points</t>
        </is>
      </c>
      <c r="S2" s="199" t="inlineStr">
        <is>
          <t>Snipee</t>
        </is>
      </c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  <c r="AH2" s="200" t="n"/>
      <c r="AI2" s="200" t="n"/>
      <c r="AJ2" s="201" t="n"/>
      <c r="AK2" s="202" t="inlineStr">
        <is>
          <t>Unique</t>
        </is>
      </c>
      <c r="AP2" s="203" t="n"/>
      <c r="AQ2" s="204" t="n"/>
      <c r="AR2" s="205">
        <f>COUNT(B$1:B$155)</f>
        <v/>
      </c>
      <c r="AS2" s="206" t="inlineStr">
        <is>
          <t>Total Snipes</t>
        </is>
      </c>
      <c r="AT2" s="205">
        <f>COUNT(B$1:B$155)</f>
        <v/>
      </c>
      <c r="AU2" s="203" t="n"/>
      <c r="AV2" s="203" t="n"/>
    </row>
    <row r="3" ht="14.25" customHeight="1" s="175">
      <c r="A3" s="267" t="inlineStr">
        <is>
          <t>Ethan</t>
        </is>
      </c>
      <c r="B3" s="268" t="n">
        <v>1</v>
      </c>
      <c r="C3" s="269" t="inlineStr">
        <is>
          <t>Will</t>
        </is>
      </c>
      <c r="D3" s="192" t="inlineStr">
        <is>
          <t>https://discord.com/channels/191975109500731392/1212839710439776287/1419363764053999811</t>
        </is>
      </c>
      <c r="E3" s="173" t="n"/>
      <c r="F3" s="207" t="n"/>
      <c r="G3" s="208" t="inlineStr">
        <is>
          <t>Carter</t>
        </is>
      </c>
      <c r="H3" s="209">
        <f>COUNTIF($A:$A,G3)</f>
        <v/>
      </c>
      <c r="I3" s="209">
        <f>COUNTIF($C:$C,G3)</f>
        <v/>
      </c>
      <c r="J3" s="210">
        <f>IF(I3,H3/I3,H3)</f>
        <v/>
      </c>
      <c r="K3" s="209">
        <f>IFERROR(GETPIVOTDATA("Points",$R$2,"Sniper",G3),0)</f>
        <v/>
      </c>
      <c r="L3" s="209">
        <f>IFERROR(GETPIVOTDATA("Points",$R$2,"Snipee",G3),0)</f>
        <v/>
      </c>
      <c r="M3" s="210">
        <f>IF(L3,K3/L3,K3)</f>
        <v/>
      </c>
      <c r="N3" s="210">
        <f>IF(H3,K3/H3,0)</f>
        <v/>
      </c>
      <c r="O3" s="210">
        <f>IF(I3,L3/I3,0)</f>
        <v/>
      </c>
      <c r="P3" s="211">
        <f>IFERROR(VLOOKUP(G3,R:AK,20,FALSE())/15,0)</f>
        <v/>
      </c>
      <c r="Q3" s="182" t="n"/>
      <c r="R3" s="212" t="inlineStr">
        <is>
          <t>Sniper</t>
        </is>
      </c>
      <c r="S3" s="270" t="inlineStr">
        <is>
          <t>Alumni</t>
        </is>
      </c>
      <c r="T3" s="271" t="inlineStr">
        <is>
          <t>Anthony</t>
        </is>
      </c>
      <c r="U3" s="271" t="inlineStr">
        <is>
          <t>Carter</t>
        </is>
      </c>
      <c r="V3" s="271" t="inlineStr">
        <is>
          <t>Cooper</t>
        </is>
      </c>
      <c r="W3" s="271" t="inlineStr">
        <is>
          <t>Erick</t>
        </is>
      </c>
      <c r="X3" s="271" t="inlineStr">
        <is>
          <t>Ethan</t>
        </is>
      </c>
      <c r="Y3" s="271" t="inlineStr">
        <is>
          <t>Evan</t>
        </is>
      </c>
      <c r="Z3" s="271" t="inlineStr">
        <is>
          <t>Grady</t>
        </is>
      </c>
      <c r="AA3" s="271" t="inlineStr">
        <is>
          <t>Joey</t>
        </is>
      </c>
      <c r="AB3" s="271" t="inlineStr">
        <is>
          <t>Lucy</t>
        </is>
      </c>
      <c r="AC3" s="271" t="inlineStr">
        <is>
          <t>Maxine</t>
        </is>
      </c>
      <c r="AD3" s="271" t="inlineStr">
        <is>
          <t>Mikey</t>
        </is>
      </c>
      <c r="AE3" s="271" t="inlineStr">
        <is>
          <t>Peter</t>
        </is>
      </c>
      <c r="AF3" s="271" t="inlineStr">
        <is>
          <t>Reuben</t>
        </is>
      </c>
      <c r="AG3" s="271" t="inlineStr">
        <is>
          <t>Rob</t>
        </is>
      </c>
      <c r="AH3" s="271" t="inlineStr">
        <is>
          <t>Vignesh</t>
        </is>
      </c>
      <c r="AI3" s="271" t="inlineStr">
        <is>
          <t>Will</t>
        </is>
      </c>
      <c r="AJ3" s="214" t="inlineStr">
        <is>
          <t>Total Result</t>
        </is>
      </c>
      <c r="AK3" s="202" t="inlineStr">
        <is>
          <t>Kills</t>
        </is>
      </c>
      <c r="AP3" s="203" t="n"/>
      <c r="AQ3" s="203" t="n"/>
      <c r="AR3" s="215">
        <f>IFERROR(GETPIVOTDATA("Points",R2),0)</f>
        <v/>
      </c>
      <c r="AS3" s="216" t="inlineStr">
        <is>
          <t>Total Points</t>
        </is>
      </c>
      <c r="AT3" s="215">
        <f>IFERROR(GETPIVOTDATA("Points",R2),0)</f>
        <v/>
      </c>
      <c r="AU3" s="203" t="n"/>
      <c r="AV3" s="203" t="n"/>
    </row>
    <row r="4" ht="14.25" customHeight="1" s="175">
      <c r="A4" s="267" t="inlineStr">
        <is>
          <t>Ethan</t>
        </is>
      </c>
      <c r="B4" s="268" t="n">
        <v>2</v>
      </c>
      <c r="C4" s="269" t="inlineStr">
        <is>
          <t>Reuben</t>
        </is>
      </c>
      <c r="D4" s="192" t="inlineStr">
        <is>
          <t>https://discord.com/channels/191975109500731392/1212839710439776287/1419366484614053991</t>
        </is>
      </c>
      <c r="E4" s="173" t="n"/>
      <c r="F4" s="207" t="n"/>
      <c r="G4" s="208" t="inlineStr">
        <is>
          <t>Grady</t>
        </is>
      </c>
      <c r="H4" s="209">
        <f>COUNTIF($A:$A,G4)</f>
        <v/>
      </c>
      <c r="I4" s="209">
        <f>COUNTIF($C:$C,G4)</f>
        <v/>
      </c>
      <c r="J4" s="210">
        <f>IF(I4,H4/I4,H4)</f>
        <v/>
      </c>
      <c r="K4" s="209">
        <f>IFERROR(GETPIVOTDATA("Points",$R$2,"Sniper",G4),0)</f>
        <v/>
      </c>
      <c r="L4" s="209">
        <f>IFERROR(GETPIVOTDATA("Points",$R$2,"Snipee",G4),0)</f>
        <v/>
      </c>
      <c r="M4" s="210">
        <f>IF(L4,K4/L4,K4)</f>
        <v/>
      </c>
      <c r="N4" s="210">
        <f>IF(H4,K4/H4,0)</f>
        <v/>
      </c>
      <c r="O4" s="210">
        <f>IF(I4,L4/I4,0)</f>
        <v/>
      </c>
      <c r="P4" s="211">
        <f>IFERROR(VLOOKUP(G4,R:AK,20,FALSE())/15,0)</f>
        <v/>
      </c>
      <c r="Q4" s="182" t="n"/>
      <c r="R4" s="272" t="inlineStr">
        <is>
          <t>Anthony</t>
        </is>
      </c>
      <c r="S4" s="273" t="n"/>
      <c r="T4" s="274" t="n"/>
      <c r="U4" s="274" t="n">
        <v>2</v>
      </c>
      <c r="V4" s="274" t="n">
        <v>2</v>
      </c>
      <c r="W4" s="274" t="n"/>
      <c r="X4" s="274" t="n">
        <v>3</v>
      </c>
      <c r="Y4" s="274" t="n">
        <v>2</v>
      </c>
      <c r="Z4" s="274" t="n">
        <v>3</v>
      </c>
      <c r="AA4" s="274" t="n"/>
      <c r="AB4" s="274" t="n">
        <v>7</v>
      </c>
      <c r="AC4" s="274" t="n">
        <v>1</v>
      </c>
      <c r="AD4" s="274" t="n">
        <v>9</v>
      </c>
      <c r="AE4" s="274" t="n"/>
      <c r="AF4" s="274" t="n"/>
      <c r="AG4" s="274" t="n">
        <v>3</v>
      </c>
      <c r="AH4" s="274" t="n">
        <v>4</v>
      </c>
      <c r="AI4" s="275" t="n">
        <v>6</v>
      </c>
      <c r="AJ4" s="276" t="n">
        <v>42</v>
      </c>
      <c r="AK4" s="202">
        <f>IF(COUNT(S4:AJ4)&lt;&gt;0,COUNT(S4:AJ4)-1,"")</f>
        <v/>
      </c>
      <c r="AP4" s="220">
        <f>COUNTIF(H3:H17,AR4)</f>
        <v/>
      </c>
      <c r="AQ4" s="221">
        <f>$G$29</f>
        <v/>
      </c>
      <c r="AR4" s="215">
        <f>MAX(H3:H18)</f>
        <v/>
      </c>
      <c r="AS4" s="216" t="inlineStr">
        <is>
          <t>Most Kills</t>
        </is>
      </c>
      <c r="AT4" s="222">
        <f>MAX(H22:H25)</f>
        <v/>
      </c>
      <c r="AU4" s="223">
        <f>$G$86</f>
        <v/>
      </c>
      <c r="AV4" s="220">
        <f>COUNTIF(H22:H25,AT4)</f>
        <v/>
      </c>
    </row>
    <row r="5" ht="14.25" customHeight="1" s="175">
      <c r="A5" s="267" t="inlineStr">
        <is>
          <t>Mikey</t>
        </is>
      </c>
      <c r="B5" s="268" t="n">
        <v>1</v>
      </c>
      <c r="C5" s="269" t="inlineStr">
        <is>
          <t>Rob</t>
        </is>
      </c>
      <c r="D5" s="192" t="inlineStr">
        <is>
          <t>https://discord.com/channels/191975109500731392/1212839710439776287/1419378672720281750</t>
        </is>
      </c>
      <c r="F5" s="207" t="n"/>
      <c r="G5" s="208" t="inlineStr">
        <is>
          <t>Lucy</t>
        </is>
      </c>
      <c r="H5" s="209">
        <f>COUNTIF($A:$A,G5)</f>
        <v/>
      </c>
      <c r="I5" s="209">
        <f>COUNTIF($C:$C,G5)</f>
        <v/>
      </c>
      <c r="J5" s="210">
        <f>IF(I5,H5/I5,H5)</f>
        <v/>
      </c>
      <c r="K5" s="209">
        <f>IFERROR(GETPIVOTDATA("Points",$R$2,"Sniper",G5),0)</f>
        <v/>
      </c>
      <c r="L5" s="209">
        <f>IFERROR(GETPIVOTDATA("Points",$R$2,"Snipee",G5),0)</f>
        <v/>
      </c>
      <c r="M5" s="210">
        <f>IF(L5,K5/L5,K5)</f>
        <v/>
      </c>
      <c r="N5" s="210">
        <f>IF(H5,K5/H5,0)</f>
        <v/>
      </c>
      <c r="O5" s="210">
        <f>IF(I5,L5/I5,0)</f>
        <v/>
      </c>
      <c r="P5" s="211">
        <f>IFERROR(VLOOKUP(G5,R:AK,20,FALSE())/15,0)</f>
        <v/>
      </c>
      <c r="Q5" s="182" t="n"/>
      <c r="R5" s="277" t="inlineStr">
        <is>
          <t>Carter</t>
        </is>
      </c>
      <c r="S5" s="278" t="n">
        <v>5</v>
      </c>
      <c r="T5" s="279" t="n">
        <v>2</v>
      </c>
      <c r="U5" s="279" t="n"/>
      <c r="V5" s="279" t="n">
        <v>2</v>
      </c>
      <c r="W5" s="279" t="n">
        <v>3</v>
      </c>
      <c r="X5" s="279" t="n">
        <v>3</v>
      </c>
      <c r="Y5" s="279" t="n">
        <v>1</v>
      </c>
      <c r="Z5" s="279" t="n"/>
      <c r="AA5" s="279" t="n">
        <v>1</v>
      </c>
      <c r="AB5" s="279" t="n">
        <v>4</v>
      </c>
      <c r="AC5" s="279" t="n">
        <v>2</v>
      </c>
      <c r="AD5" s="279" t="n">
        <v>4</v>
      </c>
      <c r="AE5" s="279" t="n"/>
      <c r="AF5" s="279" t="n">
        <v>2</v>
      </c>
      <c r="AG5" s="279" t="n">
        <v>1</v>
      </c>
      <c r="AH5" s="279" t="n">
        <v>4</v>
      </c>
      <c r="AI5" s="280" t="n">
        <v>5</v>
      </c>
      <c r="AJ5" s="281" t="n">
        <v>39</v>
      </c>
      <c r="AK5" s="202">
        <f>IF(COUNT(S5:AJ5)&lt;&gt;0,COUNT(S5:AJ5)-1,"")</f>
        <v/>
      </c>
      <c r="AP5" s="220">
        <f>COUNTIF(I3:I17,AR5)</f>
        <v/>
      </c>
      <c r="AQ5" s="221">
        <f>$G$47</f>
        <v/>
      </c>
      <c r="AR5" s="215">
        <f>MAX(H47:H62)</f>
        <v/>
      </c>
      <c r="AS5" s="216" t="inlineStr">
        <is>
          <t>Most Deaths</t>
        </is>
      </c>
      <c r="AT5" s="222">
        <f>MAX(I22:I25)</f>
        <v/>
      </c>
      <c r="AU5" s="224">
        <f>$G$97</f>
        <v/>
      </c>
      <c r="AV5" s="220">
        <f>COUNTIF(I22:I25,AT5)</f>
        <v/>
      </c>
    </row>
    <row r="6" ht="14.25" customHeight="1" s="175">
      <c r="A6" s="267" t="inlineStr">
        <is>
          <t>Rob</t>
        </is>
      </c>
      <c r="B6" s="268" t="n">
        <v>1</v>
      </c>
      <c r="C6" s="269" t="inlineStr">
        <is>
          <t>Mikey</t>
        </is>
      </c>
      <c r="D6" s="192" t="inlineStr">
        <is>
          <t>https://discord.com/channels/191975109500731392/1212839710439776287/1419378808863068313</t>
        </is>
      </c>
      <c r="F6" s="207" t="n"/>
      <c r="G6" s="208" t="inlineStr">
        <is>
          <t>Vignesh</t>
        </is>
      </c>
      <c r="H6" s="209">
        <f>COUNTIF($A:$A,G6)</f>
        <v/>
      </c>
      <c r="I6" s="209">
        <f>COUNTIF($C:$C,G6)</f>
        <v/>
      </c>
      <c r="J6" s="210">
        <f>IF(I6,H6/I6,H6)</f>
        <v/>
      </c>
      <c r="K6" s="209">
        <f>IFERROR(GETPIVOTDATA("Points",$R$2,"Sniper",G6),0)</f>
        <v/>
      </c>
      <c r="L6" s="209">
        <f>IFERROR(GETPIVOTDATA("Points",$R$2,"Snipee",G6),0)</f>
        <v/>
      </c>
      <c r="M6" s="210">
        <f>IF(L6,K6/L6,K6)</f>
        <v/>
      </c>
      <c r="N6" s="210">
        <f>IF(H6,K6/H6,0)</f>
        <v/>
      </c>
      <c r="O6" s="210">
        <f>IF(I6,L6/I6,0)</f>
        <v/>
      </c>
      <c r="P6" s="211">
        <f>IFERROR(VLOOKUP(G6,R:AK,20,FALSE())/15,0)</f>
        <v/>
      </c>
      <c r="Q6" s="182" t="n"/>
      <c r="R6" s="277" t="inlineStr">
        <is>
          <t>Cooper</t>
        </is>
      </c>
      <c r="S6" s="278" t="n">
        <v>5</v>
      </c>
      <c r="T6" s="279" t="n">
        <v>2</v>
      </c>
      <c r="U6" s="279" t="n">
        <v>1</v>
      </c>
      <c r="V6" s="279" t="n"/>
      <c r="W6" s="279" t="n"/>
      <c r="X6" s="279" t="n"/>
      <c r="Y6" s="279" t="n"/>
      <c r="Z6" s="279" t="n">
        <v>2</v>
      </c>
      <c r="AA6" s="279" t="n"/>
      <c r="AB6" s="279" t="n"/>
      <c r="AC6" s="279" t="n">
        <v>3</v>
      </c>
      <c r="AD6" s="279" t="n"/>
      <c r="AE6" s="279" t="n"/>
      <c r="AF6" s="279" t="n"/>
      <c r="AG6" s="279" t="n"/>
      <c r="AH6" s="279" t="n"/>
      <c r="AI6" s="280" t="n"/>
      <c r="AJ6" s="281" t="n">
        <v>13</v>
      </c>
      <c r="AK6" s="202">
        <f>IF(COUNT(S6:AJ6)&lt;&gt;0,COUNT(S6:AJ6)-1,"")</f>
        <v/>
      </c>
      <c r="AP6" s="220">
        <f>COUNTIF(K3:K17,AR6)</f>
        <v/>
      </c>
      <c r="AQ6" s="221">
        <f>$Q$29</f>
        <v/>
      </c>
      <c r="AR6" s="215">
        <f>MAX(R29:R44)</f>
        <v/>
      </c>
      <c r="AS6" s="216" t="inlineStr">
        <is>
          <t>Most Kill Pts</t>
        </is>
      </c>
      <c r="AT6" s="222">
        <f>MAX(K22:K25)</f>
        <v/>
      </c>
      <c r="AU6" s="224">
        <f>$Q$86</f>
        <v/>
      </c>
      <c r="AV6" s="220">
        <f>COUNTIF(K22:K25,AT6)</f>
        <v/>
      </c>
    </row>
    <row r="7" ht="14.25" customHeight="1" s="175">
      <c r="A7" s="267" t="inlineStr">
        <is>
          <t>Mikey</t>
        </is>
      </c>
      <c r="B7" s="268" t="n">
        <v>2</v>
      </c>
      <c r="C7" s="269" t="inlineStr">
        <is>
          <t>Will</t>
        </is>
      </c>
      <c r="D7" s="192" t="inlineStr">
        <is>
          <t>https://discord.com/channels/191975109500731392/1212839710439776287/1419405161918631997</t>
        </is>
      </c>
      <c r="F7" s="207" t="n"/>
      <c r="G7" s="208" t="inlineStr">
        <is>
          <t>Cooper</t>
        </is>
      </c>
      <c r="H7" s="209">
        <f>COUNTIF($A:$A,G7)</f>
        <v/>
      </c>
      <c r="I7" s="209">
        <f>COUNTIF($C:$C,G7)</f>
        <v/>
      </c>
      <c r="J7" s="210">
        <f>IF(I7,H7/I7,H7)</f>
        <v/>
      </c>
      <c r="K7" s="209">
        <f>IFERROR(GETPIVOTDATA("Points",$R$2,"Sniper",G7),0)</f>
        <v/>
      </c>
      <c r="L7" s="209">
        <f>IFERROR(GETPIVOTDATA("Points",$R$2,"Snipee",G7),0)</f>
        <v/>
      </c>
      <c r="M7" s="210">
        <f>IF(L7,K7/L7,K7)</f>
        <v/>
      </c>
      <c r="N7" s="210">
        <f>IF(H7,K7/H7,0)</f>
        <v/>
      </c>
      <c r="O7" s="210">
        <f>IF(I7,L7/I7,0)</f>
        <v/>
      </c>
      <c r="P7" s="211">
        <f>IFERROR(VLOOKUP(G7,R:AK,20,FALSE())/15,0)</f>
        <v/>
      </c>
      <c r="Q7" s="182" t="n"/>
      <c r="R7" s="277" t="inlineStr">
        <is>
          <t>Erick</t>
        </is>
      </c>
      <c r="S7" s="278" t="n"/>
      <c r="T7" s="279" t="n"/>
      <c r="U7" s="279" t="n">
        <v>1</v>
      </c>
      <c r="V7" s="279" t="n"/>
      <c r="W7" s="279" t="n"/>
      <c r="X7" s="279" t="n">
        <v>1</v>
      </c>
      <c r="Y7" s="279" t="n">
        <v>4</v>
      </c>
      <c r="Z7" s="279" t="n">
        <v>2</v>
      </c>
      <c r="AA7" s="279" t="n"/>
      <c r="AB7" s="279" t="n"/>
      <c r="AC7" s="279" t="n"/>
      <c r="AD7" s="279" t="n"/>
      <c r="AE7" s="279" t="n"/>
      <c r="AF7" s="279" t="n"/>
      <c r="AG7" s="279" t="n"/>
      <c r="AH7" s="279" t="n">
        <v>1</v>
      </c>
      <c r="AI7" s="280" t="n">
        <v>1</v>
      </c>
      <c r="AJ7" s="281" t="n">
        <v>10</v>
      </c>
      <c r="AK7" s="202">
        <f>IF(COUNT(S7:AJ7)&lt;&gt;0,COUNT(S7:AJ7)-1,"")</f>
        <v/>
      </c>
      <c r="AP7" s="220">
        <f>COUNTIF(L3:L17,AR7)</f>
        <v/>
      </c>
      <c r="AQ7" s="221">
        <f>$Q$47</f>
        <v/>
      </c>
      <c r="AR7" s="215">
        <f>MAX(R47:R62)</f>
        <v/>
      </c>
      <c r="AS7" s="216" t="inlineStr">
        <is>
          <t>Most Death Pts</t>
        </is>
      </c>
      <c r="AT7" s="222">
        <f>MAX(L22:L25)</f>
        <v/>
      </c>
      <c r="AU7" s="224">
        <f>$Q$97</f>
        <v/>
      </c>
      <c r="AV7" s="220">
        <f>COUNTIF(L22:L25,AT7)</f>
        <v/>
      </c>
    </row>
    <row r="8" ht="14.25" customHeight="1" s="175">
      <c r="A8" s="267" t="inlineStr">
        <is>
          <t>Ethan</t>
        </is>
      </c>
      <c r="B8" s="268" t="n">
        <v>1</v>
      </c>
      <c r="C8" s="269" t="inlineStr">
        <is>
          <t>Erick</t>
        </is>
      </c>
      <c r="D8" s="192" t="inlineStr">
        <is>
          <t>https://discord.com/channels/191975109500731392/1212839710439776287/1419465621518680136</t>
        </is>
      </c>
      <c r="F8" s="207" t="n"/>
      <c r="G8" s="208" t="inlineStr">
        <is>
          <t>Evan</t>
        </is>
      </c>
      <c r="H8" s="209">
        <f>COUNTIF($A:$A,G8)</f>
        <v/>
      </c>
      <c r="I8" s="209">
        <f>COUNTIF($C:$C,G8)</f>
        <v/>
      </c>
      <c r="J8" s="210">
        <f>IF(I8,H8/I8,H8)</f>
        <v/>
      </c>
      <c r="K8" s="209">
        <f>IFERROR(GETPIVOTDATA("Points",$R$2,"Sniper",G8),0)</f>
        <v/>
      </c>
      <c r="L8" s="209">
        <f>IFERROR(GETPIVOTDATA("Points",$R$2,"Snipee",G8),0)</f>
        <v/>
      </c>
      <c r="M8" s="210">
        <f>IF(L8,K8/L8,K8)</f>
        <v/>
      </c>
      <c r="N8" s="210">
        <f>IF(H8,K8/H8,0)</f>
        <v/>
      </c>
      <c r="O8" s="210">
        <f>IF(I8,L8/I8,0)</f>
        <v/>
      </c>
      <c r="P8" s="211">
        <f>IFERROR(VLOOKUP(G8,R:AK,20,FALSE())/15,0)</f>
        <v/>
      </c>
      <c r="Q8" s="182" t="n"/>
      <c r="R8" s="277" t="inlineStr">
        <is>
          <t>Ethan</t>
        </is>
      </c>
      <c r="S8" s="278" t="n"/>
      <c r="T8" s="279" t="n">
        <v>6</v>
      </c>
      <c r="U8" s="279" t="n">
        <v>11</v>
      </c>
      <c r="V8" s="279" t="n"/>
      <c r="W8" s="279" t="n">
        <v>6</v>
      </c>
      <c r="X8" s="279" t="n"/>
      <c r="Y8" s="279" t="n">
        <v>9</v>
      </c>
      <c r="Z8" s="279" t="n">
        <v>7</v>
      </c>
      <c r="AA8" s="279" t="n">
        <v>3</v>
      </c>
      <c r="AB8" s="279" t="n">
        <v>11</v>
      </c>
      <c r="AC8" s="279" t="n">
        <v>3</v>
      </c>
      <c r="AD8" s="279" t="n">
        <v>13</v>
      </c>
      <c r="AE8" s="279" t="n">
        <v>1</v>
      </c>
      <c r="AF8" s="279" t="n">
        <v>12</v>
      </c>
      <c r="AG8" s="279" t="n">
        <v>6</v>
      </c>
      <c r="AH8" s="279" t="n">
        <v>3</v>
      </c>
      <c r="AI8" s="280" t="n">
        <v>8</v>
      </c>
      <c r="AJ8" s="281" t="n">
        <v>99</v>
      </c>
      <c r="AK8" s="202">
        <f>IF(COUNT(S8:AJ8)&lt;&gt;0,COUNT(S8:AJ8)-1,"")</f>
        <v/>
      </c>
      <c r="AP8" s="220">
        <f>COUNTIF(J3:J17,AR8)</f>
        <v/>
      </c>
      <c r="AQ8" s="225">
        <f>$G$65</f>
        <v/>
      </c>
      <c r="AR8" s="222">
        <f>MAX(J3:J17)</f>
        <v/>
      </c>
      <c r="AS8" s="216" t="inlineStr">
        <is>
          <t>Best KDR</t>
        </is>
      </c>
      <c r="AT8" s="222">
        <f>MAX(J22:J25)</f>
        <v/>
      </c>
      <c r="AU8" s="224">
        <f>$G$108</f>
        <v/>
      </c>
      <c r="AV8" s="220">
        <f>COUNTIF(J22:J25,AT8)</f>
        <v/>
      </c>
    </row>
    <row r="9" ht="14.25" customHeight="1" s="175">
      <c r="A9" s="267" t="inlineStr">
        <is>
          <t>Erick</t>
        </is>
      </c>
      <c r="B9" s="268" t="n">
        <v>1</v>
      </c>
      <c r="C9" s="269" t="inlineStr">
        <is>
          <t>Ethan</t>
        </is>
      </c>
      <c r="D9" s="192" t="inlineStr">
        <is>
          <t>https://discord.com/channels/191975109500731392/1212839710439776287/1419465870274465792</t>
        </is>
      </c>
      <c r="F9" s="192" t="n"/>
      <c r="G9" s="208" t="inlineStr">
        <is>
          <t>Maxine</t>
        </is>
      </c>
      <c r="H9" s="209">
        <f>COUNTIF($A:$A,G9)</f>
        <v/>
      </c>
      <c r="I9" s="209">
        <f>COUNTIF($C:$C,G9)</f>
        <v/>
      </c>
      <c r="J9" s="210">
        <f>IF(I9,H9/I9,H9)</f>
        <v/>
      </c>
      <c r="K9" s="209">
        <f>IFERROR(GETPIVOTDATA("Points",$R$2,"Sniper",G9),0)</f>
        <v/>
      </c>
      <c r="L9" s="209">
        <f>IFERROR(GETPIVOTDATA("Points",$R$2,"Snipee",G9),0)</f>
        <v/>
      </c>
      <c r="M9" s="210">
        <f>IF(L9,K9/L9,K9)</f>
        <v/>
      </c>
      <c r="N9" s="210">
        <f>IF(H9,K9/H9,0)</f>
        <v/>
      </c>
      <c r="O9" s="210">
        <f>IF(I9,L9/I9,0)</f>
        <v/>
      </c>
      <c r="P9" s="211">
        <f>IFERROR(VLOOKUP(G9,R:AK,20,FALSE())/15,0)</f>
        <v/>
      </c>
      <c r="Q9" s="182" t="n"/>
      <c r="R9" s="277" t="inlineStr">
        <is>
          <t>Evan</t>
        </is>
      </c>
      <c r="S9" s="278" t="n"/>
      <c r="T9" s="279" t="n">
        <v>3</v>
      </c>
      <c r="U9" s="279" t="n">
        <v>1</v>
      </c>
      <c r="V9" s="279" t="n"/>
      <c r="W9" s="279" t="n"/>
      <c r="X9" s="279" t="n">
        <v>6</v>
      </c>
      <c r="Y9" s="279" t="n"/>
      <c r="Z9" s="279" t="n">
        <v>8</v>
      </c>
      <c r="AA9" s="279" t="n"/>
      <c r="AB9" s="279" t="n">
        <v>4</v>
      </c>
      <c r="AC9" s="279" t="n"/>
      <c r="AD9" s="279" t="n">
        <v>6</v>
      </c>
      <c r="AE9" s="279" t="n">
        <v>4</v>
      </c>
      <c r="AF9" s="279" t="n"/>
      <c r="AG9" s="279" t="n">
        <v>4</v>
      </c>
      <c r="AH9" s="279" t="n">
        <v>5</v>
      </c>
      <c r="AI9" s="280" t="n">
        <v>10</v>
      </c>
      <c r="AJ9" s="281" t="n">
        <v>51</v>
      </c>
      <c r="AK9" s="202">
        <f>IF(COUNT(S9:AJ9)&lt;&gt;0,COUNT(S9:AJ9)-1,"")</f>
        <v/>
      </c>
      <c r="AP9" s="220">
        <f>COUNTIF(J3:J17,AR9)</f>
        <v/>
      </c>
      <c r="AQ9" s="225">
        <f>$G$80</f>
        <v/>
      </c>
      <c r="AR9" s="222">
        <f>MIN(J3:J17)</f>
        <v/>
      </c>
      <c r="AS9" s="216" t="inlineStr">
        <is>
          <t>Worst KDR</t>
        </is>
      </c>
      <c r="AT9" s="222">
        <f>MIN(J22:J25)</f>
        <v/>
      </c>
      <c r="AU9" s="224">
        <f>$G$105</f>
        <v/>
      </c>
      <c r="AV9" s="220">
        <f>COUNTIF(J22:J25,AT9)</f>
        <v/>
      </c>
    </row>
    <row r="10" ht="14.25" customHeight="1" s="175">
      <c r="A10" s="267" t="inlineStr">
        <is>
          <t>Mikey</t>
        </is>
      </c>
      <c r="B10" s="268" t="n">
        <v>2</v>
      </c>
      <c r="C10" s="269" t="inlineStr">
        <is>
          <t>Rob</t>
        </is>
      </c>
      <c r="D10" s="192" t="inlineStr">
        <is>
          <t>https://discord.com/channels/191975109500731392/1212839710439776287/1419480877158760448</t>
        </is>
      </c>
      <c r="F10" s="192" t="n"/>
      <c r="G10" s="208" t="inlineStr">
        <is>
          <t>Mikey</t>
        </is>
      </c>
      <c r="H10" s="209">
        <f>COUNTIF($A:$A,G10)</f>
        <v/>
      </c>
      <c r="I10" s="209">
        <f>COUNTIF($C:$C,G10)</f>
        <v/>
      </c>
      <c r="J10" s="210">
        <f>IF(I10,H10/I10,H10)</f>
        <v/>
      </c>
      <c r="K10" s="209">
        <f>IFERROR(GETPIVOTDATA("Points",$R$2,"Sniper",G10),0)</f>
        <v/>
      </c>
      <c r="L10" s="209">
        <f>IFERROR(GETPIVOTDATA("Points",$R$2,"Snipee",G10),0)</f>
        <v/>
      </c>
      <c r="M10" s="210">
        <f>IF(L10,K10/L10,K10)</f>
        <v/>
      </c>
      <c r="N10" s="210">
        <f>IF(H10,K10/H10,0)</f>
        <v/>
      </c>
      <c r="O10" s="210">
        <f>IF(I10,L10/I10,0)</f>
        <v/>
      </c>
      <c r="P10" s="211">
        <f>IFERROR(VLOOKUP(G10,R:AK,20,FALSE())/15,0)</f>
        <v/>
      </c>
      <c r="Q10" s="182" t="n"/>
      <c r="R10" s="277" t="inlineStr">
        <is>
          <t>Grady</t>
        </is>
      </c>
      <c r="S10" s="278" t="n"/>
      <c r="T10" s="279" t="n">
        <v>2</v>
      </c>
      <c r="U10" s="279" t="n">
        <v>2</v>
      </c>
      <c r="V10" s="279" t="n">
        <v>3</v>
      </c>
      <c r="W10" s="279" t="n"/>
      <c r="X10" s="279" t="n">
        <v>3</v>
      </c>
      <c r="Y10" s="279" t="n">
        <v>2</v>
      </c>
      <c r="Z10" s="279" t="n"/>
      <c r="AA10" s="279" t="n">
        <v>4</v>
      </c>
      <c r="AB10" s="279" t="n"/>
      <c r="AC10" s="279" t="n">
        <v>1</v>
      </c>
      <c r="AD10" s="279" t="n">
        <v>5</v>
      </c>
      <c r="AE10" s="279" t="n"/>
      <c r="AF10" s="279" t="n"/>
      <c r="AG10" s="279" t="n">
        <v>2</v>
      </c>
      <c r="AH10" s="279" t="n">
        <v>4</v>
      </c>
      <c r="AI10" s="280" t="n">
        <v>8</v>
      </c>
      <c r="AJ10" s="281" t="n">
        <v>36</v>
      </c>
      <c r="AK10" s="202">
        <f>IF(COUNT(S10:AJ10)&lt;&gt;0,COUNT(S10:AJ10)-1,"")</f>
        <v/>
      </c>
      <c r="AP10" s="220">
        <f>COUNTIF(M3:M17,AR10)</f>
        <v/>
      </c>
      <c r="AQ10" s="225">
        <f>$Q$65</f>
        <v/>
      </c>
      <c r="AR10" s="222">
        <f>MAX(M3:M17)</f>
        <v/>
      </c>
      <c r="AS10" s="216" t="inlineStr">
        <is>
          <t>Best KpDpR</t>
        </is>
      </c>
      <c r="AT10" s="222">
        <f>MAX(M22:M25)</f>
        <v/>
      </c>
      <c r="AU10" s="224">
        <f>$Q$108</f>
        <v/>
      </c>
      <c r="AV10" s="220">
        <f>COUNTIF(M22:M25,AT10)</f>
        <v/>
      </c>
    </row>
    <row r="11" ht="14.25" customHeight="1" s="175">
      <c r="A11" s="267" t="inlineStr">
        <is>
          <t>Carter</t>
        </is>
      </c>
      <c r="B11" s="268" t="n">
        <v>2</v>
      </c>
      <c r="C11" s="269" t="inlineStr">
        <is>
          <t>Reuben</t>
        </is>
      </c>
      <c r="D11" s="192" t="inlineStr">
        <is>
          <t>https://discord.com/channels/191975109500731392/1212839710439776287/1419732269135958197</t>
        </is>
      </c>
      <c r="E11" s="173" t="n"/>
      <c r="F11" s="207" t="n"/>
      <c r="G11" s="208" t="inlineStr">
        <is>
          <t>Anthony</t>
        </is>
      </c>
      <c r="H11" s="209">
        <f>COUNTIF($A:$A,G11)</f>
        <v/>
      </c>
      <c r="I11" s="209">
        <f>COUNTIF($C:$C,G11)</f>
        <v/>
      </c>
      <c r="J11" s="210">
        <f>IF(I11,H11/I11,H11)</f>
        <v/>
      </c>
      <c r="K11" s="209">
        <f>IFERROR(GETPIVOTDATA("Points",$R$2,"Sniper",G11),0)</f>
        <v/>
      </c>
      <c r="L11" s="209">
        <f>IFERROR(GETPIVOTDATA("Points",$R$2,"Snipee",G11),0)</f>
        <v/>
      </c>
      <c r="M11" s="210">
        <f>IF(L11,K11/L11,K11)</f>
        <v/>
      </c>
      <c r="N11" s="210">
        <f>IF(H11,K11/H11,0)</f>
        <v/>
      </c>
      <c r="O11" s="210">
        <f>IF(I11,L11/I11,0)</f>
        <v/>
      </c>
      <c r="P11" s="211">
        <f>IFERROR(VLOOKUP(G11,R:AK,20,FALSE())/15,0)</f>
        <v/>
      </c>
      <c r="Q11" s="182" t="n"/>
      <c r="R11" s="277" t="inlineStr">
        <is>
          <t>Joey</t>
        </is>
      </c>
      <c r="S11" s="278" t="n">
        <v>5</v>
      </c>
      <c r="T11" s="279" t="n"/>
      <c r="U11" s="279" t="n">
        <v>1</v>
      </c>
      <c r="V11" s="279" t="n"/>
      <c r="W11" s="279" t="n"/>
      <c r="X11" s="279" t="n"/>
      <c r="Y11" s="279" t="n"/>
      <c r="Z11" s="279" t="n">
        <v>4</v>
      </c>
      <c r="AA11" s="279" t="n"/>
      <c r="AB11" s="279" t="n"/>
      <c r="AC11" s="279" t="n">
        <v>2</v>
      </c>
      <c r="AD11" s="279" t="n"/>
      <c r="AE11" s="279" t="n"/>
      <c r="AF11" s="279" t="n"/>
      <c r="AG11" s="279" t="n"/>
      <c r="AH11" s="279" t="n">
        <v>1</v>
      </c>
      <c r="AI11" s="280" t="n"/>
      <c r="AJ11" s="281" t="n">
        <v>13</v>
      </c>
      <c r="AK11" s="202">
        <f>IF(COUNT(S11:AJ11)&lt;&gt;0,COUNT(S11:AJ11)-1,"")</f>
        <v/>
      </c>
      <c r="AP11" s="220">
        <f>COUNTIF(M3:M17,AR11)</f>
        <v/>
      </c>
      <c r="AQ11" s="225">
        <f>$Q$80</f>
        <v/>
      </c>
      <c r="AR11" s="222">
        <f>MIN(M3:M17)</f>
        <v/>
      </c>
      <c r="AS11" s="216" t="inlineStr">
        <is>
          <t>Worst KpDpR</t>
        </is>
      </c>
      <c r="AT11" s="222">
        <f>MIN(M22:M25)</f>
        <v/>
      </c>
      <c r="AU11" s="224">
        <f>$Q$105</f>
        <v/>
      </c>
      <c r="AV11" s="220">
        <f>COUNTIF(M22:M25,AT11)</f>
        <v/>
      </c>
    </row>
    <row r="12" ht="14.25" customHeight="1" s="175">
      <c r="A12" s="267" t="inlineStr">
        <is>
          <t>Ethan</t>
        </is>
      </c>
      <c r="B12" s="268" t="n">
        <v>1</v>
      </c>
      <c r="C12" s="269" t="inlineStr">
        <is>
          <t>Mikey</t>
        </is>
      </c>
      <c r="D12" s="192" t="inlineStr">
        <is>
          <t>https://discord.com/channels/191975109500731392/1212839710439776287/1419783656406257714</t>
        </is>
      </c>
      <c r="F12" s="207" t="n"/>
      <c r="G12" s="208" t="inlineStr">
        <is>
          <t>Ethan</t>
        </is>
      </c>
      <c r="H12" s="209">
        <f>COUNTIF($A:$A,G12)</f>
        <v/>
      </c>
      <c r="I12" s="209">
        <f>COUNTIF($C:$C,G12)</f>
        <v/>
      </c>
      <c r="J12" s="210">
        <f>IF(I12,H12/I12,H12)</f>
        <v/>
      </c>
      <c r="K12" s="209">
        <f>IFERROR(GETPIVOTDATA("Points",$R$2,"Sniper",G12),0)</f>
        <v/>
      </c>
      <c r="L12" s="209">
        <f>IFERROR(GETPIVOTDATA("Points",$R$2,"Snipee",G12),0)</f>
        <v/>
      </c>
      <c r="M12" s="210">
        <f>IF(L12,K12/L12,K12)</f>
        <v/>
      </c>
      <c r="N12" s="210">
        <f>IF(H12,K12/H12,0)</f>
        <v/>
      </c>
      <c r="O12" s="210">
        <f>IF(I12,L12/I12,0)</f>
        <v/>
      </c>
      <c r="P12" s="211">
        <f>IFERROR(VLOOKUP(G12,R:AK,20,FALSE())/15,0)</f>
        <v/>
      </c>
      <c r="Q12" s="182" t="n"/>
      <c r="R12" s="277" t="inlineStr">
        <is>
          <t>Lucy</t>
        </is>
      </c>
      <c r="S12" s="278" t="n"/>
      <c r="T12" s="279" t="n">
        <v>7</v>
      </c>
      <c r="U12" s="279" t="n">
        <v>3</v>
      </c>
      <c r="V12" s="279" t="n"/>
      <c r="W12" s="279" t="n"/>
      <c r="X12" s="279" t="n">
        <v>8</v>
      </c>
      <c r="Y12" s="279" t="n">
        <v>9</v>
      </c>
      <c r="Z12" s="279" t="n"/>
      <c r="AA12" s="279" t="n"/>
      <c r="AB12" s="279" t="n"/>
      <c r="AC12" s="279" t="n"/>
      <c r="AD12" s="279" t="n">
        <v>25</v>
      </c>
      <c r="AE12" s="279" t="n">
        <v>1</v>
      </c>
      <c r="AF12" s="279" t="n">
        <v>1</v>
      </c>
      <c r="AG12" s="279" t="n">
        <v>4</v>
      </c>
      <c r="AH12" s="279" t="n">
        <v>2</v>
      </c>
      <c r="AI12" s="280" t="n">
        <v>25</v>
      </c>
      <c r="AJ12" s="281" t="n">
        <v>85</v>
      </c>
      <c r="AK12" s="202">
        <f>IF(COUNT(S12:AJ12)&lt;&gt;0,COUNT(S12:AJ12)-1,"")</f>
        <v/>
      </c>
    </row>
    <row r="13" ht="14.25" customHeight="1" s="175">
      <c r="A13" s="267" t="inlineStr">
        <is>
          <t>Mikey</t>
        </is>
      </c>
      <c r="B13" s="268" t="n">
        <v>1</v>
      </c>
      <c r="C13" s="269" t="inlineStr">
        <is>
          <t>Ethan</t>
        </is>
      </c>
      <c r="D13" s="192" t="inlineStr">
        <is>
          <t>https://discord.com/channels/191975109500731392/1212839710439776287/1419783660680511589</t>
        </is>
      </c>
      <c r="F13" s="207" t="n"/>
      <c r="G13" s="208" t="inlineStr">
        <is>
          <t>Rob</t>
        </is>
      </c>
      <c r="H13" s="209">
        <f>COUNTIF($A:$A,G13)</f>
        <v/>
      </c>
      <c r="I13" s="209">
        <f>COUNTIF($C:$C,G13)</f>
        <v/>
      </c>
      <c r="J13" s="210">
        <f>IF(I13,H13/I13,H13)</f>
        <v/>
      </c>
      <c r="K13" s="209">
        <f>IFERROR(GETPIVOTDATA("Points",$R$2,"Sniper",G13),0)</f>
        <v/>
      </c>
      <c r="L13" s="209">
        <f>IFERROR(GETPIVOTDATA("Points",$R$2,"Snipee",G13),0)</f>
        <v/>
      </c>
      <c r="M13" s="210">
        <f>IF(L13,K13/L13,K13)</f>
        <v/>
      </c>
      <c r="N13" s="210">
        <f>IF(H13,K13/H13,0)</f>
        <v/>
      </c>
      <c r="O13" s="210">
        <f>IF(I13,L13/I13,0)</f>
        <v/>
      </c>
      <c r="P13" s="211">
        <f>IFERROR(VLOOKUP(G13,R:AK,20,FALSE())/15,0)</f>
        <v/>
      </c>
      <c r="Q13" s="182" t="n"/>
      <c r="R13" s="277" t="inlineStr">
        <is>
          <t>Maxine</t>
        </is>
      </c>
      <c r="S13" s="278" t="n">
        <v>35</v>
      </c>
      <c r="T13" s="279" t="n">
        <v>1</v>
      </c>
      <c r="U13" s="279" t="n">
        <v>4</v>
      </c>
      <c r="V13" s="279" t="n">
        <v>5</v>
      </c>
      <c r="W13" s="279" t="n">
        <v>2</v>
      </c>
      <c r="X13" s="279" t="n">
        <v>3</v>
      </c>
      <c r="Y13" s="279" t="n"/>
      <c r="Z13" s="279" t="n">
        <v>4</v>
      </c>
      <c r="AA13" s="279" t="n">
        <v>1</v>
      </c>
      <c r="AB13" s="279" t="n"/>
      <c r="AC13" s="279" t="n"/>
      <c r="AD13" s="279" t="n"/>
      <c r="AE13" s="279" t="n"/>
      <c r="AF13" s="279" t="n"/>
      <c r="AG13" s="279" t="n">
        <v>2</v>
      </c>
      <c r="AH13" s="279" t="n"/>
      <c r="AI13" s="280" t="n"/>
      <c r="AJ13" s="281" t="n">
        <v>57</v>
      </c>
      <c r="AK13" s="202">
        <f>IF(COUNT(S13:AJ13)&lt;&gt;0,COUNT(S13:AJ13)-1,"")</f>
        <v/>
      </c>
      <c r="AN13" s="179" t="inlineStr">
        <is>
          <t>Overall Winner Chart Decision Matrix</t>
        </is>
      </c>
      <c r="AO13" s="180" t="n"/>
      <c r="AP13" s="180" t="n"/>
      <c r="AQ13" s="180" t="n"/>
      <c r="AR13" s="180" t="n"/>
      <c r="AS13" s="180" t="n"/>
      <c r="AT13" s="180" t="n"/>
      <c r="AU13" s="180" t="n"/>
      <c r="AV13" s="180" t="n"/>
      <c r="AW13" s="181" t="n"/>
    </row>
    <row r="14" ht="14.25" customHeight="1" s="175">
      <c r="A14" s="267" t="inlineStr">
        <is>
          <t>Will</t>
        </is>
      </c>
      <c r="B14" s="268" t="n">
        <v>1</v>
      </c>
      <c r="C14" s="269" t="inlineStr">
        <is>
          <t>Lucy</t>
        </is>
      </c>
      <c r="D14" s="192" t="inlineStr">
        <is>
          <t>https://discord.com/channels/191975109500731392/1212839710439776287/1419822491425312829</t>
        </is>
      </c>
      <c r="F14" s="207" t="n"/>
      <c r="G14" s="208" t="inlineStr">
        <is>
          <t>Will</t>
        </is>
      </c>
      <c r="H14" s="209">
        <f>COUNTIF($A:$A,G14)</f>
        <v/>
      </c>
      <c r="I14" s="209">
        <f>COUNTIF($C:$C,G14)</f>
        <v/>
      </c>
      <c r="J14" s="210">
        <f>IF(I14,H14/I14,H14)</f>
        <v/>
      </c>
      <c r="K14" s="209">
        <f>IFERROR(GETPIVOTDATA("Points",$R$2,"Sniper",G14),0)</f>
        <v/>
      </c>
      <c r="L14" s="209">
        <f>IFERROR(GETPIVOTDATA("Points",$R$2,"Snipee",G14),0)</f>
        <v/>
      </c>
      <c r="M14" s="210">
        <f>IF(L14,K14/L14,K14)</f>
        <v/>
      </c>
      <c r="N14" s="210">
        <f>IF(H14,K14/H14,0)</f>
        <v/>
      </c>
      <c r="O14" s="210">
        <f>IF(I14,L14/I14,0)</f>
        <v/>
      </c>
      <c r="P14" s="211">
        <f>IFERROR(VLOOKUP(G14,R:AK,20,FALSE())/15,0)</f>
        <v/>
      </c>
      <c r="Q14" s="182" t="n"/>
      <c r="R14" s="277" t="inlineStr">
        <is>
          <t>Mikey</t>
        </is>
      </c>
      <c r="S14" s="278" t="n"/>
      <c r="T14" s="279" t="n">
        <v>5</v>
      </c>
      <c r="U14" s="279" t="n">
        <v>1</v>
      </c>
      <c r="V14" s="279" t="n"/>
      <c r="W14" s="279" t="n"/>
      <c r="X14" s="279" t="n">
        <v>8</v>
      </c>
      <c r="Y14" s="279" t="n">
        <v>7</v>
      </c>
      <c r="Z14" s="279" t="n">
        <v>3</v>
      </c>
      <c r="AA14" s="279" t="n"/>
      <c r="AB14" s="279" t="n">
        <v>16</v>
      </c>
      <c r="AC14" s="279" t="n"/>
      <c r="AD14" s="279" t="n"/>
      <c r="AE14" s="279" t="n">
        <v>2</v>
      </c>
      <c r="AF14" s="279" t="n">
        <v>9</v>
      </c>
      <c r="AG14" s="279" t="n">
        <v>34</v>
      </c>
      <c r="AH14" s="279" t="n">
        <v>4</v>
      </c>
      <c r="AI14" s="280" t="n">
        <v>29</v>
      </c>
      <c r="AJ14" s="281" t="n">
        <v>118</v>
      </c>
      <c r="AK14" s="202">
        <f>IF(COUNT(S14:AJ14)&lt;&gt;0,COUNT(S14:AJ14)-1,"")</f>
        <v/>
      </c>
      <c r="AN14" s="226" t="inlineStr">
        <is>
          <t>Person:</t>
        </is>
      </c>
      <c r="AO14" s="206" t="inlineStr">
        <is>
          <t>Kills</t>
        </is>
      </c>
      <c r="AP14" s="206" t="inlineStr">
        <is>
          <t>Deaths</t>
        </is>
      </c>
      <c r="AQ14" s="206" t="inlineStr">
        <is>
          <t>KDR</t>
        </is>
      </c>
      <c r="AR14" s="206" t="inlineStr">
        <is>
          <t>Kill Points</t>
        </is>
      </c>
      <c r="AS14" s="206" t="inlineStr">
        <is>
          <t>Death Points</t>
        </is>
      </c>
      <c r="AT14" s="206" t="inlineStr">
        <is>
          <t>KpDpR</t>
        </is>
      </c>
      <c r="AU14" s="206" t="inlineStr">
        <is>
          <t>KPts/Kill</t>
        </is>
      </c>
      <c r="AV14" s="206" t="inlineStr">
        <is>
          <t>DPts/Death</t>
        </is>
      </c>
      <c r="AW14" s="227" t="inlineStr">
        <is>
          <t>Full Sweep %</t>
        </is>
      </c>
    </row>
    <row r="15" ht="14.25" customHeight="1" s="175">
      <c r="A15" s="267" t="inlineStr">
        <is>
          <t>Lucy</t>
        </is>
      </c>
      <c r="B15" s="268" t="n">
        <v>1</v>
      </c>
      <c r="C15" s="269" t="inlineStr">
        <is>
          <t>Will</t>
        </is>
      </c>
      <c r="D15" s="192" t="inlineStr">
        <is>
          <t>https://discord.com/channels/191975109500731392/1212839710439776287/1419822494646272070</t>
        </is>
      </c>
      <c r="F15" s="207" t="n"/>
      <c r="G15" s="208" t="inlineStr">
        <is>
          <t>Erick</t>
        </is>
      </c>
      <c r="H15" s="209">
        <f>COUNTIF($A:$A,G15)</f>
        <v/>
      </c>
      <c r="I15" s="209">
        <f>COUNTIF($C:$C,G15)</f>
        <v/>
      </c>
      <c r="J15" s="210">
        <f>IF(I15,H15/I15,H15)</f>
        <v/>
      </c>
      <c r="K15" s="209">
        <f>IFERROR(GETPIVOTDATA("Points",$R$2,"Sniper",G15),0)</f>
        <v/>
      </c>
      <c r="L15" s="209">
        <f>IFERROR(GETPIVOTDATA("Points",$R$2,"Snipee",G15),0)</f>
        <v/>
      </c>
      <c r="M15" s="210">
        <f>IF(L15,K15/L15,K15)</f>
        <v/>
      </c>
      <c r="N15" s="210">
        <f>IF(H15,K15/H15,0)</f>
        <v/>
      </c>
      <c r="O15" s="210">
        <f>IF(I15,L15/I15,0)</f>
        <v/>
      </c>
      <c r="P15" s="211">
        <f>IFERROR(VLOOKUP(G15,R:AK,20,FALSE())/15,0)</f>
        <v/>
      </c>
      <c r="Q15" s="182" t="n"/>
      <c r="R15" s="277" t="inlineStr">
        <is>
          <t>Peter</t>
        </is>
      </c>
      <c r="S15" s="278" t="n"/>
      <c r="T15" s="279" t="n">
        <v>2</v>
      </c>
      <c r="U15" s="279" t="n"/>
      <c r="V15" s="279" t="n"/>
      <c r="W15" s="279" t="n"/>
      <c r="X15" s="279" t="n">
        <v>5</v>
      </c>
      <c r="Y15" s="279" t="n">
        <v>5</v>
      </c>
      <c r="Z15" s="279" t="n"/>
      <c r="AA15" s="279" t="n"/>
      <c r="AB15" s="279" t="n">
        <v>1</v>
      </c>
      <c r="AC15" s="279" t="n"/>
      <c r="AD15" s="279" t="n">
        <v>8</v>
      </c>
      <c r="AE15" s="279" t="n"/>
      <c r="AF15" s="279" t="n"/>
      <c r="AG15" s="279" t="n"/>
      <c r="AH15" s="279" t="n">
        <v>2</v>
      </c>
      <c r="AI15" s="280" t="n"/>
      <c r="AJ15" s="281" t="n">
        <v>23</v>
      </c>
      <c r="AK15" s="202">
        <f>IF(COUNT(S15:AJ15)&lt;&gt;0,COUNT(S15:AJ15)-1,"")</f>
        <v/>
      </c>
      <c r="AN15" s="228" t="inlineStr">
        <is>
          <t>Weight:</t>
        </is>
      </c>
      <c r="AO15" s="229" t="n">
        <v>7.5</v>
      </c>
      <c r="AP15" s="230" t="n">
        <v>-6</v>
      </c>
      <c r="AQ15" s="230" t="n">
        <v>25</v>
      </c>
      <c r="AR15" s="230" t="n">
        <v>8.5</v>
      </c>
      <c r="AS15" s="230" t="n">
        <v>-6.5</v>
      </c>
      <c r="AT15" s="230" t="n">
        <v>25</v>
      </c>
      <c r="AU15" s="230" t="n">
        <v>20</v>
      </c>
      <c r="AV15" s="230" t="n">
        <v>-20</v>
      </c>
      <c r="AW15" s="231" t="n">
        <v>250</v>
      </c>
      <c r="AX15" s="216" t="inlineStr">
        <is>
          <t>Totals:</t>
        </is>
      </c>
    </row>
    <row r="16" ht="14.25" customHeight="1" s="175">
      <c r="A16" s="267" t="inlineStr">
        <is>
          <t>Anthony</t>
        </is>
      </c>
      <c r="B16" s="268" t="n">
        <v>1</v>
      </c>
      <c r="C16" s="269" t="inlineStr">
        <is>
          <t>Rob</t>
        </is>
      </c>
      <c r="D16" s="192" t="inlineStr">
        <is>
          <t>https://discord.com/channels/191975109500731392/1212839710439776287/1420063890565501049</t>
        </is>
      </c>
      <c r="F16" s="207" t="n"/>
      <c r="G16" s="208" t="inlineStr">
        <is>
          <t>Joey</t>
        </is>
      </c>
      <c r="H16" s="209">
        <f>COUNTIF($A:$A,G16)</f>
        <v/>
      </c>
      <c r="I16" s="209">
        <f>COUNTIF($C:$C,G16)</f>
        <v/>
      </c>
      <c r="J16" s="210">
        <f>IF(I16,H16/I16,H16)</f>
        <v/>
      </c>
      <c r="K16" s="209">
        <f>IFERROR(GETPIVOTDATA("Points",$R$2,"Sniper",G16),0)</f>
        <v/>
      </c>
      <c r="L16" s="209">
        <f>IFERROR(GETPIVOTDATA("Points",$R$2,"Snipee",G16),0)</f>
        <v/>
      </c>
      <c r="M16" s="210">
        <f>IF(L16,K16/L16,K16)</f>
        <v/>
      </c>
      <c r="N16" s="210">
        <f>IF(H16,K16/H16,0)</f>
        <v/>
      </c>
      <c r="O16" s="210">
        <f>IF(I16,L16/I16,0)</f>
        <v/>
      </c>
      <c r="P16" s="211">
        <f>IFERROR(VLOOKUP(G16,R:AK,20,FALSE())/15,0)</f>
        <v/>
      </c>
      <c r="Q16" s="232" t="n"/>
      <c r="R16" s="277" t="inlineStr">
        <is>
          <t>Rob</t>
        </is>
      </c>
      <c r="S16" s="278" t="n"/>
      <c r="T16" s="279" t="n">
        <v>3</v>
      </c>
      <c r="U16" s="279" t="n">
        <v>1</v>
      </c>
      <c r="V16" s="279" t="n"/>
      <c r="W16" s="279" t="n"/>
      <c r="X16" s="279" t="n">
        <v>2</v>
      </c>
      <c r="Y16" s="279" t="n">
        <v>2</v>
      </c>
      <c r="Z16" s="279" t="n">
        <v>2</v>
      </c>
      <c r="AA16" s="279" t="n"/>
      <c r="AB16" s="279" t="n">
        <v>1</v>
      </c>
      <c r="AC16" s="279" t="n">
        <v>2</v>
      </c>
      <c r="AD16" s="279" t="n">
        <v>12</v>
      </c>
      <c r="AE16" s="279" t="n"/>
      <c r="AF16" s="279" t="n"/>
      <c r="AG16" s="279" t="n"/>
      <c r="AH16" s="279" t="n">
        <v>4</v>
      </c>
      <c r="AI16" s="280" t="n">
        <v>4</v>
      </c>
      <c r="AJ16" s="281" t="n">
        <v>33</v>
      </c>
      <c r="AK16" s="202">
        <f>IF(COUNT(S16:AJ16)&lt;&gt;0,COUNT(S16:AJ16)-1,"")</f>
        <v/>
      </c>
      <c r="AN16" s="208" t="inlineStr">
        <is>
          <t>Carter</t>
        </is>
      </c>
      <c r="AO16" s="209">
        <f>VLOOKUP(AN16,$G$1:$P$18,2,FALSE()) *$AO$15</f>
        <v/>
      </c>
      <c r="AP16" s="233">
        <f>VLOOKUP(AN16,$G$1:$P$18,3,FALSE()) *$AP$15</f>
        <v/>
      </c>
      <c r="AQ16" s="234">
        <f>VLOOKUP(AN16,$G$1:$P$18,4,FALSE()) * $AQ$15</f>
        <v/>
      </c>
      <c r="AR16" s="209">
        <f>VLOOKUP(AN16,$G$1:$P$18,5,FALSE()) *$AR$15</f>
        <v/>
      </c>
      <c r="AS16" s="233">
        <f>VLOOKUP(AN16,$G$1:$P$18,6,FALSE()) *$AS$15</f>
        <v/>
      </c>
      <c r="AT16" s="234">
        <f>VLOOKUP(AN16,$G$1:$P$18,7,FALSE()) * $AT$15</f>
        <v/>
      </c>
      <c r="AU16" s="209">
        <f>VLOOKUP(AN16,$G$1:$P$18,8,FALSE()) *$AU$15</f>
        <v/>
      </c>
      <c r="AV16" s="235">
        <f>VLOOKUP(AN16,$G$1:$P$18,9,FALSE()) *$AV$15</f>
        <v/>
      </c>
      <c r="AW16" s="234">
        <f>VLOOKUP(AN16,$G$1:$P$18,10,FALSE()) * $AW$15</f>
        <v/>
      </c>
      <c r="AX16" s="236">
        <f>SUM(AO16:AW16)</f>
        <v/>
      </c>
    </row>
    <row r="17" ht="14.25" customHeight="1" s="175">
      <c r="A17" s="267" t="inlineStr">
        <is>
          <t>Rob</t>
        </is>
      </c>
      <c r="B17" s="268" t="n">
        <v>1</v>
      </c>
      <c r="C17" s="269" t="inlineStr">
        <is>
          <t>Anthony</t>
        </is>
      </c>
      <c r="D17" s="192" t="inlineStr">
        <is>
          <t>https://discord.com/channels/191975109500731392/1212839710439776287/1420064085852033054</t>
        </is>
      </c>
      <c r="F17" s="207" t="n"/>
      <c r="G17" s="208" t="inlineStr">
        <is>
          <t>Peter</t>
        </is>
      </c>
      <c r="H17" s="209">
        <f>COUNTIF($A:$A,G17)</f>
        <v/>
      </c>
      <c r="I17" s="209">
        <f>COUNTIF($C:$C,G17)</f>
        <v/>
      </c>
      <c r="J17" s="210">
        <f>IF(I17,H17/I17,H17)</f>
        <v/>
      </c>
      <c r="K17" s="209">
        <f>IFERROR(GETPIVOTDATA("Points",$R$2,"Sniper",G17),0)</f>
        <v/>
      </c>
      <c r="L17" s="209">
        <f>IFERROR(GETPIVOTDATA("Points",$R$2,"Snipee",G17),0)</f>
        <v/>
      </c>
      <c r="M17" s="210">
        <f>IF(L17,K17/L17,K17)</f>
        <v/>
      </c>
      <c r="N17" s="210">
        <f>IF(H17,K17/H17,0)</f>
        <v/>
      </c>
      <c r="O17" s="210">
        <f>IF(I17,L17/I17,0)</f>
        <v/>
      </c>
      <c r="P17" s="211">
        <f>IFERROR(VLOOKUP(G17,R:AK,20,FALSE())/15,0)</f>
        <v/>
      </c>
      <c r="R17" s="277" t="inlineStr">
        <is>
          <t>Vignesh</t>
        </is>
      </c>
      <c r="S17" s="278" t="n"/>
      <c r="T17" s="279" t="n">
        <v>1</v>
      </c>
      <c r="U17" s="279" t="n"/>
      <c r="V17" s="279" t="n"/>
      <c r="W17" s="279" t="n"/>
      <c r="X17" s="279" t="n">
        <v>1</v>
      </c>
      <c r="Y17" s="279" t="n">
        <v>7</v>
      </c>
      <c r="Z17" s="279" t="n">
        <v>5</v>
      </c>
      <c r="AA17" s="279" t="n">
        <v>1</v>
      </c>
      <c r="AB17" s="279" t="n">
        <v>4</v>
      </c>
      <c r="AC17" s="279" t="n"/>
      <c r="AD17" s="279" t="n">
        <v>3</v>
      </c>
      <c r="AE17" s="279" t="n"/>
      <c r="AF17" s="279" t="n">
        <v>1</v>
      </c>
      <c r="AG17" s="279" t="n">
        <v>8</v>
      </c>
      <c r="AH17" s="279" t="n"/>
      <c r="AI17" s="280" t="n">
        <v>6</v>
      </c>
      <c r="AJ17" s="281" t="n">
        <v>37</v>
      </c>
      <c r="AK17" s="202">
        <f>IF(COUNT(S17:AJ17)&lt;&gt;0,COUNT(S17:AJ17)-1,"")</f>
        <v/>
      </c>
      <c r="AN17" s="208" t="inlineStr">
        <is>
          <t>Grady</t>
        </is>
      </c>
      <c r="AO17" s="209">
        <f>VLOOKUP(AN17,$G$1:$P$18,2,FALSE()) *$AO$15</f>
        <v/>
      </c>
      <c r="AP17" s="233">
        <f>VLOOKUP(AN17,$G$1:$P$18,3,FALSE()) *$AP$15</f>
        <v/>
      </c>
      <c r="AQ17" s="234">
        <f>VLOOKUP(AN17,$G$1:$P$18,4,FALSE()) * $AQ$15</f>
        <v/>
      </c>
      <c r="AR17" s="209">
        <f>VLOOKUP(AN17,$G$1:$P$18,5,FALSE()) *$AR$15</f>
        <v/>
      </c>
      <c r="AS17" s="233">
        <f>VLOOKUP(AN17,$G$1:$P$18,6,FALSE()) *$AS$15</f>
        <v/>
      </c>
      <c r="AT17" s="234">
        <f>VLOOKUP(AN17,$G$1:$P$18,7,FALSE()) * $AT$15</f>
        <v/>
      </c>
      <c r="AU17" s="209">
        <f>VLOOKUP(AN17,$G$1:$P$18,8,FALSE()) *$AU$15</f>
        <v/>
      </c>
      <c r="AV17" s="235">
        <f>VLOOKUP(AN17,$G$1:$P$18,9,FALSE()) *$AV$15</f>
        <v/>
      </c>
      <c r="AW17" s="234">
        <f>VLOOKUP(AN17,$G$1:$P$18,10,FALSE()) * $AW$15</f>
        <v/>
      </c>
      <c r="AX17" s="236">
        <f>SUM(AO17:AW17)</f>
        <v/>
      </c>
    </row>
    <row r="18" ht="14.25" customHeight="1" s="175">
      <c r="A18" s="267" t="inlineStr">
        <is>
          <t>Anthony</t>
        </is>
      </c>
      <c r="B18" s="268" t="n">
        <v>2</v>
      </c>
      <c r="C18" s="269" t="inlineStr">
        <is>
          <t>Mikey</t>
        </is>
      </c>
      <c r="D18" s="192" t="inlineStr">
        <is>
          <t>https://discord.com/channels/191975109500731392/1212839710439776287/1420101635236958320</t>
        </is>
      </c>
      <c r="F18" s="207" t="n"/>
      <c r="G18" s="208" t="inlineStr">
        <is>
          <t>Reuben</t>
        </is>
      </c>
      <c r="H18" s="209">
        <f>COUNTIF($A:$A,G18)</f>
        <v/>
      </c>
      <c r="I18" s="209">
        <f>COUNTIF($C:$C,G18)</f>
        <v/>
      </c>
      <c r="J18" s="210">
        <f>IF(I18,H18/I18,H18)</f>
        <v/>
      </c>
      <c r="K18" s="209">
        <f>IFERROR(GETPIVOTDATA("Points",$R$2,"Sniper",G18),0)</f>
        <v/>
      </c>
      <c r="L18" s="209">
        <f>IFERROR(GETPIVOTDATA("Points",$R$2,"Snipee",G18),0)</f>
        <v/>
      </c>
      <c r="M18" s="210">
        <f>IF(L18,K18/L18,K18)</f>
        <v/>
      </c>
      <c r="N18" s="210">
        <f>IF(H18,K18/H18,0)</f>
        <v/>
      </c>
      <c r="O18" s="210">
        <f>IF(I18,L18/I18,0)</f>
        <v/>
      </c>
      <c r="P18" s="211">
        <f>IFERROR(VLOOKUP(G18,R:AK,20,FALSE())/15,0)</f>
        <v/>
      </c>
      <c r="R18" s="277" t="inlineStr">
        <is>
          <t>Will</t>
        </is>
      </c>
      <c r="S18" s="282" t="n"/>
      <c r="T18" s="283" t="n">
        <v>5</v>
      </c>
      <c r="U18" s="283" t="n">
        <v>1</v>
      </c>
      <c r="V18" s="283" t="n">
        <v>3</v>
      </c>
      <c r="W18" s="283" t="n">
        <v>1</v>
      </c>
      <c r="X18" s="283" t="n">
        <v>8</v>
      </c>
      <c r="Y18" s="283" t="n">
        <v>17</v>
      </c>
      <c r="Z18" s="283" t="n">
        <v>17</v>
      </c>
      <c r="AA18" s="283" t="n"/>
      <c r="AB18" s="283" t="n">
        <v>18</v>
      </c>
      <c r="AC18" s="283" t="n"/>
      <c r="AD18" s="283" t="n">
        <v>21</v>
      </c>
      <c r="AE18" s="283" t="n"/>
      <c r="AF18" s="283" t="n">
        <v>2</v>
      </c>
      <c r="AG18" s="283" t="n">
        <v>22</v>
      </c>
      <c r="AH18" s="283" t="n">
        <v>7</v>
      </c>
      <c r="AI18" s="284" t="n"/>
      <c r="AJ18" s="285" t="n">
        <v>122</v>
      </c>
      <c r="AK18" s="202">
        <f>IF(COUNT(S18:AJ18)&lt;&gt;0,COUNT(S18:AJ18)-1,"")</f>
        <v/>
      </c>
      <c r="AN18" s="208" t="inlineStr">
        <is>
          <t>Lucy</t>
        </is>
      </c>
      <c r="AO18" s="209">
        <f>VLOOKUP(AN18,$G$1:$P$18,2,FALSE()) *$AO$15</f>
        <v/>
      </c>
      <c r="AP18" s="233">
        <f>VLOOKUP(AN18,$G$1:$P$18,3,FALSE()) *$AP$15</f>
        <v/>
      </c>
      <c r="AQ18" s="234">
        <f>VLOOKUP(AN18,$G$1:$P$18,4,FALSE()) * $AQ$15</f>
        <v/>
      </c>
      <c r="AR18" s="209">
        <f>VLOOKUP(AN18,$G$1:$P$18,5,FALSE()) *$AR$15</f>
        <v/>
      </c>
      <c r="AS18" s="233">
        <f>VLOOKUP(AN18,$G$1:$P$18,6,FALSE()) *$AS$15</f>
        <v/>
      </c>
      <c r="AT18" s="234">
        <f>VLOOKUP(AN18,$G$1:$P$18,7,FALSE()) * $AT$15</f>
        <v/>
      </c>
      <c r="AU18" s="209">
        <f>VLOOKUP(AN18,$G$1:$P$18,8,FALSE()) *$AU$15</f>
        <v/>
      </c>
      <c r="AV18" s="235">
        <f>VLOOKUP(AN18,$G$1:$P$18,9,FALSE()) *$AV$15</f>
        <v/>
      </c>
      <c r="AW18" s="234">
        <f>VLOOKUP(AN18,$G$1:$P$18,10,FALSE()) * $AW$15</f>
        <v/>
      </c>
      <c r="AX18" s="236">
        <f>SUM(AO18:AW18)</f>
        <v/>
      </c>
    </row>
    <row r="19" ht="14.25" customHeight="1" s="175">
      <c r="A19" s="267" t="inlineStr">
        <is>
          <t>Carter</t>
        </is>
      </c>
      <c r="B19" s="268" t="n">
        <v>1</v>
      </c>
      <c r="C19" s="269" t="inlineStr">
        <is>
          <t>Ethan</t>
        </is>
      </c>
      <c r="D19" s="192" t="inlineStr">
        <is>
          <t>https://discord.com/channels/191975109500731392/1212839710439776287/1420101685250101381</t>
        </is>
      </c>
      <c r="F19" s="207" t="n"/>
      <c r="R19" s="237" t="inlineStr">
        <is>
          <t>Total Result</t>
        </is>
      </c>
      <c r="S19" s="286" t="n">
        <v>50</v>
      </c>
      <c r="T19" s="287" t="n">
        <v>39</v>
      </c>
      <c r="U19" s="287" t="n">
        <v>29</v>
      </c>
      <c r="V19" s="287" t="n">
        <v>15</v>
      </c>
      <c r="W19" s="287" t="n">
        <v>12</v>
      </c>
      <c r="X19" s="287" t="n">
        <v>51</v>
      </c>
      <c r="Y19" s="287" t="n">
        <v>65</v>
      </c>
      <c r="Z19" s="287" t="n">
        <v>57</v>
      </c>
      <c r="AA19" s="287" t="n">
        <v>10</v>
      </c>
      <c r="AB19" s="287" t="n">
        <v>66</v>
      </c>
      <c r="AC19" s="287" t="n">
        <v>14</v>
      </c>
      <c r="AD19" s="287" t="n">
        <v>106</v>
      </c>
      <c r="AE19" s="287" t="n">
        <v>8</v>
      </c>
      <c r="AF19" s="287" t="n">
        <v>27</v>
      </c>
      <c r="AG19" s="287" t="n">
        <v>86</v>
      </c>
      <c r="AH19" s="287" t="n">
        <v>41</v>
      </c>
      <c r="AI19" s="288" t="n">
        <v>102</v>
      </c>
      <c r="AJ19" s="239" t="n">
        <v>778</v>
      </c>
      <c r="AK19" s="240" t="n"/>
      <c r="AN19" s="208" t="inlineStr">
        <is>
          <t>Vignesh</t>
        </is>
      </c>
      <c r="AO19" s="209">
        <f>VLOOKUP(AN19,$G$1:$P$18,2,FALSE()) *$AO$15</f>
        <v/>
      </c>
      <c r="AP19" s="233">
        <f>VLOOKUP(AN19,$G$1:$P$18,3,FALSE()) *$AP$15</f>
        <v/>
      </c>
      <c r="AQ19" s="234">
        <f>VLOOKUP(AN19,$G$1:$P$18,4,FALSE()) * $AQ$15</f>
        <v/>
      </c>
      <c r="AR19" s="209">
        <f>VLOOKUP(AN19,$G$1:$P$18,5,FALSE()) *$AR$15</f>
        <v/>
      </c>
      <c r="AS19" s="233">
        <f>VLOOKUP(AN19,$G$1:$P$18,6,FALSE()) *$AS$15</f>
        <v/>
      </c>
      <c r="AT19" s="234">
        <f>VLOOKUP(AN19,$G$1:$P$18,7,FALSE()) * $AT$15</f>
        <v/>
      </c>
      <c r="AU19" s="209">
        <f>VLOOKUP(AN19,$G$1:$P$18,8,FALSE()) *$AU$15</f>
        <v/>
      </c>
      <c r="AV19" s="235">
        <f>VLOOKUP(AN19,$G$1:$P$18,9,FALSE()) *$AV$15</f>
        <v/>
      </c>
      <c r="AW19" s="234">
        <f>VLOOKUP(AN19,$G$1:$P$18,10,FALSE()) * $AW$15</f>
        <v/>
      </c>
      <c r="AX19" s="236">
        <f>SUM(AO19:AW19)</f>
        <v/>
      </c>
    </row>
    <row r="20" ht="14.25" customHeight="1" s="175">
      <c r="A20" s="267" t="inlineStr">
        <is>
          <t>Ethan</t>
        </is>
      </c>
      <c r="B20" s="268" t="n">
        <v>1</v>
      </c>
      <c r="C20" s="269" t="inlineStr">
        <is>
          <t>Carter</t>
        </is>
      </c>
      <c r="D20" s="192" t="inlineStr">
        <is>
          <t>https://discord.com/channels/191975109500731392/1212839710439776287/1420102339200548905</t>
        </is>
      </c>
      <c r="E20" s="173" t="n">
        <v>1</v>
      </c>
      <c r="F20" s="207" t="n"/>
      <c r="G20" s="179" t="inlineStr">
        <is>
          <t>Data By Voice Part (average/person):</t>
        </is>
      </c>
      <c r="H20" s="180" t="n"/>
      <c r="I20" s="180" t="n"/>
      <c r="J20" s="180" t="n"/>
      <c r="K20" s="180" t="n"/>
      <c r="L20" s="180" t="n"/>
      <c r="M20" s="180" t="n"/>
      <c r="N20" s="180" t="n"/>
      <c r="O20" s="181" t="n"/>
      <c r="AK20" s="240">
        <f>IF(COUNT(S20:AE20)&lt;&gt;0,COUNT(S20:AE20)-1,"")</f>
        <v/>
      </c>
      <c r="AN20" s="208" t="inlineStr">
        <is>
          <t>Cooper</t>
        </is>
      </c>
      <c r="AO20" s="209">
        <f>VLOOKUP(AN20,$G$1:$P$18,2,FALSE()) *$AO$15</f>
        <v/>
      </c>
      <c r="AP20" s="233">
        <f>VLOOKUP(AN20,$G$1:$P$18,3,FALSE()) *$AP$15</f>
        <v/>
      </c>
      <c r="AQ20" s="234">
        <f>VLOOKUP(AN20,$G$1:$P$18,4,FALSE()) * $AQ$15</f>
        <v/>
      </c>
      <c r="AR20" s="209">
        <f>VLOOKUP(AN20,$G$1:$P$18,5,FALSE()) *$AR$15</f>
        <v/>
      </c>
      <c r="AS20" s="233">
        <f>VLOOKUP(AN20,$G$1:$P$18,6,FALSE()) *$AS$15</f>
        <v/>
      </c>
      <c r="AT20" s="234">
        <f>VLOOKUP(AN20,$G$1:$P$18,7,FALSE()) * $AT$15</f>
        <v/>
      </c>
      <c r="AU20" s="209">
        <f>VLOOKUP(AN20,$G$1:$P$18,8,FALSE()) *$AU$15</f>
        <v/>
      </c>
      <c r="AV20" s="235">
        <f>VLOOKUP(AN20,$G$1:$P$18,9,FALSE()) *$AV$15</f>
        <v/>
      </c>
      <c r="AW20" s="234">
        <f>VLOOKUP(AN20,$G$1:$P$18,10,FALSE()) * $AW$15</f>
        <v/>
      </c>
      <c r="AX20" s="236">
        <f>SUM(AO20:AW20)</f>
        <v/>
      </c>
    </row>
    <row r="21" ht="14.25" customHeight="1" s="175">
      <c r="A21" s="267" t="inlineStr">
        <is>
          <t>Ethan</t>
        </is>
      </c>
      <c r="B21" s="268" t="n">
        <v>1</v>
      </c>
      <c r="C21" s="269" t="inlineStr">
        <is>
          <t>Anthony</t>
        </is>
      </c>
      <c r="D21" s="192" t="inlineStr">
        <is>
          <t>https://discord.com/channels/191975109500731392/1212839710439776287/1420102383278624777</t>
        </is>
      </c>
      <c r="E21" s="173" t="n"/>
      <c r="F21" s="207" t="n"/>
      <c r="G21" s="226" t="inlineStr">
        <is>
          <t>Part:</t>
        </is>
      </c>
      <c r="H21" s="206" t="inlineStr">
        <is>
          <t>Kills</t>
        </is>
      </c>
      <c r="I21" s="206" t="inlineStr">
        <is>
          <t>Deaths</t>
        </is>
      </c>
      <c r="J21" s="206" t="inlineStr">
        <is>
          <t>KDR</t>
        </is>
      </c>
      <c r="K21" s="206" t="inlineStr">
        <is>
          <t>Kill Points</t>
        </is>
      </c>
      <c r="L21" s="206" t="inlineStr">
        <is>
          <t>Death Points</t>
        </is>
      </c>
      <c r="M21" s="206" t="inlineStr">
        <is>
          <t>KpDpR</t>
        </is>
      </c>
      <c r="N21" s="196" t="inlineStr">
        <is>
          <t>KPts/Kill</t>
        </is>
      </c>
      <c r="O21" s="206" t="inlineStr">
        <is>
          <t>DPts/Death</t>
        </is>
      </c>
      <c r="R21" s="246" t="n"/>
      <c r="S21" s="240" t="n"/>
      <c r="T21" s="240" t="n"/>
      <c r="U21" s="240" t="n"/>
      <c r="V21" s="240" t="n"/>
      <c r="W21" s="240" t="n"/>
      <c r="X21" s="240" t="n"/>
      <c r="Y21" s="240" t="n"/>
      <c r="Z21" s="240" t="n"/>
      <c r="AA21" s="240" t="n"/>
      <c r="AB21" s="240" t="n"/>
      <c r="AC21" s="240" t="n"/>
      <c r="AD21" s="240" t="n"/>
      <c r="AE21" s="240" t="n"/>
      <c r="AF21" s="240" t="n"/>
      <c r="AK21" s="240">
        <f>IF(COUNT(S21:AE21)&lt;&gt;0,COUNT(S21:AE21)-1,"")</f>
        <v/>
      </c>
      <c r="AN21" s="208" t="inlineStr">
        <is>
          <t>Evan</t>
        </is>
      </c>
      <c r="AO21" s="209">
        <f>VLOOKUP(AN21,$G$1:$P$18,2,FALSE()) *$AO$15</f>
        <v/>
      </c>
      <c r="AP21" s="233">
        <f>VLOOKUP(AN21,$G$1:$P$18,3,FALSE()) *$AP$15</f>
        <v/>
      </c>
      <c r="AQ21" s="234">
        <f>VLOOKUP(AN21,$G$1:$P$18,4,FALSE()) * $AQ$15</f>
        <v/>
      </c>
      <c r="AR21" s="209">
        <f>VLOOKUP(AN21,$G$1:$P$18,5,FALSE()) *$AR$15</f>
        <v/>
      </c>
      <c r="AS21" s="233">
        <f>VLOOKUP(AN21,$G$1:$P$18,6,FALSE()) *$AS$15</f>
        <v/>
      </c>
      <c r="AT21" s="234">
        <f>VLOOKUP(AN21,$G$1:$P$18,7,FALSE()) * $AT$15</f>
        <v/>
      </c>
      <c r="AU21" s="209">
        <f>VLOOKUP(AN21,$G$1:$P$18,8,FALSE()) *$AU$15</f>
        <v/>
      </c>
      <c r="AV21" s="235">
        <f>VLOOKUP(AN21,$G$1:$P$18,9,FALSE()) *$AV$15</f>
        <v/>
      </c>
      <c r="AW21" s="234">
        <f>VLOOKUP(AN21,$G$1:$P$18,10,FALSE()) * $AW$15</f>
        <v/>
      </c>
      <c r="AX21" s="236">
        <f>SUM(AO21:AW21)</f>
        <v/>
      </c>
    </row>
    <row r="22" ht="14.25" customHeight="1" s="175">
      <c r="A22" s="267" t="inlineStr">
        <is>
          <t>Anthony</t>
        </is>
      </c>
      <c r="B22" s="268" t="n">
        <v>1</v>
      </c>
      <c r="C22" s="269" t="inlineStr">
        <is>
          <t>Ethan</t>
        </is>
      </c>
      <c r="D22" s="192" t="inlineStr">
        <is>
          <t>https://discord.com/channels/191975109500731392/1212839710439776287/1420102435720003705</t>
        </is>
      </c>
      <c r="F22" s="192" t="n"/>
      <c r="G22" s="208" t="inlineStr">
        <is>
          <t>Tenors</t>
        </is>
      </c>
      <c r="H22" s="241">
        <f>SUM(H3:H6)/COUNT(H3:H6)</f>
        <v/>
      </c>
      <c r="I22" s="241">
        <f>SUM(I3:I6)/COUNT(I3:I6)</f>
        <v/>
      </c>
      <c r="J22" s="242">
        <f>IF(I22,H22/I22,H22)</f>
        <v/>
      </c>
      <c r="K22" s="241">
        <f>SUM(K3:K6)/COUNT(K3:K6)</f>
        <v/>
      </c>
      <c r="L22" s="241">
        <f>SUM(L3:L6)/COUNT(L3:L6)</f>
        <v/>
      </c>
      <c r="M22" s="242">
        <f>IF(L22,K22/L22,K22)</f>
        <v/>
      </c>
      <c r="N22" s="243">
        <f>IF(H22,K22/H22,0)</f>
        <v/>
      </c>
      <c r="O22" s="244">
        <f>IF(I22,L22/I22,0)</f>
        <v/>
      </c>
      <c r="Q22" s="245" t="n"/>
      <c r="R22" s="246" t="n"/>
      <c r="AK22" s="240">
        <f>IF(COUNT(S22:AE22)&lt;&gt;0,COUNT(S22:AE22)-1,"")</f>
        <v/>
      </c>
      <c r="AN22" s="208" t="inlineStr">
        <is>
          <t>Maxine</t>
        </is>
      </c>
      <c r="AO22" s="209">
        <f>VLOOKUP(AN22,$G$1:$P$18,2,FALSE()) *$AO$15</f>
        <v/>
      </c>
      <c r="AP22" s="233">
        <f>VLOOKUP(AN22,$G$1:$P$18,3,FALSE()) *$AP$15</f>
        <v/>
      </c>
      <c r="AQ22" s="234">
        <f>VLOOKUP(AN22,$G$1:$P$18,4,FALSE()) * $AQ$15</f>
        <v/>
      </c>
      <c r="AR22" s="209">
        <f>VLOOKUP(AN22,$G$1:$P$18,5,FALSE()) *$AR$15</f>
        <v/>
      </c>
      <c r="AS22" s="233">
        <f>VLOOKUP(AN22,$G$1:$P$18,6,FALSE()) *$AS$15</f>
        <v/>
      </c>
      <c r="AT22" s="234">
        <f>VLOOKUP(AN22,$G$1:$P$18,7,FALSE()) * $AT$15</f>
        <v/>
      </c>
      <c r="AU22" s="209">
        <f>VLOOKUP(AN22,$G$1:$P$18,8,FALSE()) *$AU$15</f>
        <v/>
      </c>
      <c r="AV22" s="235">
        <f>VLOOKUP(AN22,$G$1:$P$18,9,FALSE()) *$AV$15</f>
        <v/>
      </c>
      <c r="AW22" s="234">
        <f>VLOOKUP(AN22,$G$1:$P$18,10,FALSE()) * $AW$15</f>
        <v/>
      </c>
      <c r="AX22" s="236">
        <f>SUM(AO22:AW22)</f>
        <v/>
      </c>
    </row>
    <row r="23" ht="14.25" customHeight="1" s="175">
      <c r="A23" s="267" t="inlineStr">
        <is>
          <t>Anthony</t>
        </is>
      </c>
      <c r="B23" s="268" t="n">
        <v>1</v>
      </c>
      <c r="C23" s="269" t="inlineStr">
        <is>
          <t>Carter</t>
        </is>
      </c>
      <c r="D23" s="192" t="inlineStr">
        <is>
          <t>https://discord.com/channels/191975109500731392/1212839710439776287/1420102435720003705</t>
        </is>
      </c>
      <c r="E23" s="173" t="n">
        <v>1</v>
      </c>
      <c r="F23" s="207" t="n"/>
      <c r="G23" s="208" t="inlineStr">
        <is>
          <t>Leads</t>
        </is>
      </c>
      <c r="H23" s="241">
        <f>SUM(H7:H10)/COUNT(H7:H10)</f>
        <v/>
      </c>
      <c r="I23" s="241">
        <f>SUM(I7:I10)/COUNT(I7:I10)</f>
        <v/>
      </c>
      <c r="J23" s="242">
        <f>IF(I23,H23/I23,H23)</f>
        <v/>
      </c>
      <c r="K23" s="241">
        <f>SUM(K7:K10)/COUNT(K7:K10)</f>
        <v/>
      </c>
      <c r="L23" s="241">
        <f>SUM(L7:L10)/COUNT(L7:L10)</f>
        <v/>
      </c>
      <c r="M23" s="242">
        <f>IF(L23,K23/L23,K23)</f>
        <v/>
      </c>
      <c r="N23" s="243">
        <f>IF(H23,K23/H23,0)</f>
        <v/>
      </c>
      <c r="O23" s="244">
        <f>IF(I23,L23/I23,0)</f>
        <v/>
      </c>
      <c r="Q23" s="245" t="n"/>
      <c r="R23" s="246" t="n"/>
      <c r="AN23" s="208" t="inlineStr">
        <is>
          <t>Mikey</t>
        </is>
      </c>
      <c r="AO23" s="209">
        <f>VLOOKUP(AN23,$G$1:$P$18,2,FALSE()) *$AO$15</f>
        <v/>
      </c>
      <c r="AP23" s="233">
        <f>VLOOKUP(AN23,$G$1:$P$18,3,FALSE()) *$AP$15</f>
        <v/>
      </c>
      <c r="AQ23" s="234">
        <f>VLOOKUP(AN23,$G$1:$P$18,4,FALSE()) * $AQ$15</f>
        <v/>
      </c>
      <c r="AR23" s="209">
        <f>VLOOKUP(AN23,$G$1:$P$18,5,FALSE()) *$AR$15</f>
        <v/>
      </c>
      <c r="AS23" s="233">
        <f>VLOOKUP(AN23,$G$1:$P$18,6,FALSE()) *$AS$15</f>
        <v/>
      </c>
      <c r="AT23" s="234">
        <f>VLOOKUP(AN23,$G$1:$P$18,7,FALSE()) * $AT$15</f>
        <v/>
      </c>
      <c r="AU23" s="209">
        <f>VLOOKUP(AN23,$G$1:$P$18,8,FALSE()) *$AU$15</f>
        <v/>
      </c>
      <c r="AV23" s="235">
        <f>VLOOKUP(AN23,$G$1:$P$18,9,FALSE()) *$AV$15</f>
        <v/>
      </c>
      <c r="AW23" s="234">
        <f>VLOOKUP(AN23,$G$1:$P$18,10,FALSE()) * $AW$15</f>
        <v/>
      </c>
      <c r="AX23" s="236">
        <f>SUM(AO23:AW23)</f>
        <v/>
      </c>
    </row>
    <row r="24" ht="14.25" customHeight="1" s="175">
      <c r="A24" s="267" t="inlineStr">
        <is>
          <t>Carter</t>
        </is>
      </c>
      <c r="B24" s="268" t="n">
        <v>1</v>
      </c>
      <c r="C24" s="269" t="inlineStr">
        <is>
          <t>Maxine</t>
        </is>
      </c>
      <c r="D24" s="192" t="inlineStr">
        <is>
          <t>https://discord.com/channels/191975109500731392/1212839710439776287/1420102971760574614</t>
        </is>
      </c>
      <c r="F24" s="192" t="n"/>
      <c r="G24" s="208" t="inlineStr">
        <is>
          <t>Baris</t>
        </is>
      </c>
      <c r="H24" s="241">
        <f>SUM(H11:H14)/COUNT(H11:H14)</f>
        <v/>
      </c>
      <c r="I24" s="241">
        <f>SUM(I11:I14)/COUNT(I11:I14)</f>
        <v/>
      </c>
      <c r="J24" s="242">
        <f>IF(I24,H24/I24,H24)</f>
        <v/>
      </c>
      <c r="K24" s="241">
        <f>SUM(K11:K14)/COUNT(K11:K14)</f>
        <v/>
      </c>
      <c r="L24" s="241">
        <f>SUM(L11:L14)/COUNT(L11:L14)</f>
        <v/>
      </c>
      <c r="M24" s="242">
        <f>IF(L24,K24/L24,K24)</f>
        <v/>
      </c>
      <c r="N24" s="243">
        <f>IF(H24,K24/H24,0)</f>
        <v/>
      </c>
      <c r="O24" s="244">
        <f>IF(I24,L24/I24,0)</f>
        <v/>
      </c>
      <c r="Q24" s="182" t="n"/>
      <c r="R24" s="289" t="inlineStr">
        <is>
          <t>Carter Data :)</t>
        </is>
      </c>
      <c r="S24" s="215" t="inlineStr">
        <is>
          <t>Total</t>
        </is>
      </c>
      <c r="T24" s="290" t="inlineStr">
        <is>
          <t>Yes</t>
        </is>
      </c>
      <c r="U24" s="291" t="inlineStr">
        <is>
          <t>No</t>
        </is>
      </c>
      <c r="V24" s="292" t="inlineStr">
        <is>
          <t>Ratio</t>
        </is>
      </c>
      <c r="AD24" s="246" t="n"/>
      <c r="AN24" s="208" t="inlineStr">
        <is>
          <t>Anthony</t>
        </is>
      </c>
      <c r="AO24" s="209">
        <f>VLOOKUP(AN24,$G$1:$P$18,2,FALSE()) *$AO$15</f>
        <v/>
      </c>
      <c r="AP24" s="233">
        <f>VLOOKUP(AN24,$G$1:$P$18,3,FALSE()) *$AP$15</f>
        <v/>
      </c>
      <c r="AQ24" s="234">
        <f>VLOOKUP(AN24,$G$1:$P$18,4,FALSE()) * $AQ$15</f>
        <v/>
      </c>
      <c r="AR24" s="209">
        <f>VLOOKUP(AN24,$G$1:$P$18,5,FALSE()) *$AR$15</f>
        <v/>
      </c>
      <c r="AS24" s="233">
        <f>VLOOKUP(AN24,$G$1:$P$18,6,FALSE()) *$AS$15</f>
        <v/>
      </c>
      <c r="AT24" s="234">
        <f>VLOOKUP(AN24,$G$1:$P$18,7,FALSE()) * $AT$15</f>
        <v/>
      </c>
      <c r="AU24" s="209">
        <f>VLOOKUP(AN24,$G$1:$P$18,8,FALSE()) *$AU$15</f>
        <v/>
      </c>
      <c r="AV24" s="235">
        <f>VLOOKUP(AN24,$G$1:$P$18,9,FALSE()) *$AV$15</f>
        <v/>
      </c>
      <c r="AW24" s="234">
        <f>VLOOKUP(AN24,$G$1:$P$18,10,FALSE()) * $AW$15</f>
        <v/>
      </c>
      <c r="AX24" s="236">
        <f>SUM(AO24:AW24)</f>
        <v/>
      </c>
    </row>
    <row r="25" ht="14.25" customHeight="1" s="175">
      <c r="A25" s="267" t="inlineStr">
        <is>
          <t>Maxine</t>
        </is>
      </c>
      <c r="B25" s="268" t="n">
        <v>1</v>
      </c>
      <c r="C25" s="269" t="inlineStr">
        <is>
          <t>Carter</t>
        </is>
      </c>
      <c r="D25" s="192" t="inlineStr">
        <is>
          <t>https://discord.com/channels/191975109500731392/1212839710439776287/1420103099741372607</t>
        </is>
      </c>
      <c r="E25" s="173" t="n">
        <v>1</v>
      </c>
      <c r="F25" s="207" t="n"/>
      <c r="G25" s="208" t="inlineStr">
        <is>
          <t>Basses</t>
        </is>
      </c>
      <c r="H25" s="241">
        <f>SUM(H17:H18)/COUNT(H17:H18)</f>
        <v/>
      </c>
      <c r="I25" s="241">
        <f>SUM(I17:I18)/COUNT(I17:I18)</f>
        <v/>
      </c>
      <c r="J25" s="242">
        <f>IF(I25,H25/I25,H25)</f>
        <v/>
      </c>
      <c r="K25" s="241">
        <f>SUM(K17:K18)/COUNT(K17:K18)</f>
        <v/>
      </c>
      <c r="L25" s="241">
        <f>SUM(L17:L18)/COUNT(L17:L18)</f>
        <v/>
      </c>
      <c r="M25" s="242">
        <f>IF(L25,K25/L25,K25)</f>
        <v/>
      </c>
      <c r="N25" s="243">
        <f>IF(H25,K25/H25,0)</f>
        <v/>
      </c>
      <c r="O25" s="244">
        <f>IF(I25,L25/I25,0)</f>
        <v/>
      </c>
      <c r="R25" s="221" t="inlineStr">
        <is>
          <t>Asriel Data:</t>
        </is>
      </c>
      <c r="S25" s="215">
        <f>COUNT(E:E)</f>
        <v/>
      </c>
      <c r="T25" s="290">
        <f>COUNTIF(E:E,1)</f>
        <v/>
      </c>
      <c r="U25" s="291">
        <f>S25-T25</f>
        <v/>
      </c>
      <c r="V25" s="293">
        <f>IFERROR(T25/S25,0)</f>
        <v/>
      </c>
      <c r="AN25" s="208" t="inlineStr">
        <is>
          <t>Ethan</t>
        </is>
      </c>
      <c r="AO25" s="209">
        <f>VLOOKUP(AN25,$G$1:$P$18,2,FALSE()) *$AO$15</f>
        <v/>
      </c>
      <c r="AP25" s="233">
        <f>VLOOKUP(AN25,$G$1:$P$18,3,FALSE()) *$AP$15</f>
        <v/>
      </c>
      <c r="AQ25" s="234">
        <f>VLOOKUP(AN25,$G$1:$P$18,4,FALSE()) * $AQ$15</f>
        <v/>
      </c>
      <c r="AR25" s="209">
        <f>VLOOKUP(AN25,$G$1:$P$18,5,FALSE()) *$AR$15</f>
        <v/>
      </c>
      <c r="AS25" s="233">
        <f>VLOOKUP(AN25,$G$1:$P$18,6,FALSE()) *$AS$15</f>
        <v/>
      </c>
      <c r="AT25" s="234">
        <f>VLOOKUP(AN25,$G$1:$P$18,7,FALSE()) * $AT$15</f>
        <v/>
      </c>
      <c r="AU25" s="209">
        <f>VLOOKUP(AN25,$G$1:$P$18,8,FALSE()) *$AU$15</f>
        <v/>
      </c>
      <c r="AV25" s="235">
        <f>VLOOKUP(AN25,$G$1:$P$18,9,FALSE()) *$AV$15</f>
        <v/>
      </c>
      <c r="AW25" s="234">
        <f>VLOOKUP(AN25,$G$1:$P$18,10,FALSE()) * $AW$15</f>
        <v/>
      </c>
      <c r="AX25" s="236">
        <f>SUM(AO25:AW25)</f>
        <v/>
      </c>
    </row>
    <row r="26" ht="14.25" customHeight="1" s="175">
      <c r="A26" s="267" t="inlineStr">
        <is>
          <t>Maxine</t>
        </is>
      </c>
      <c r="B26" s="268" t="n">
        <v>1</v>
      </c>
      <c r="C26" s="269" t="inlineStr">
        <is>
          <t>Ethan</t>
        </is>
      </c>
      <c r="D26" s="192" t="inlineStr">
        <is>
          <t>https://discord.com/channels/191975109500731392/1212839710439776287/1420103099741372607</t>
        </is>
      </c>
      <c r="F26" s="207" t="n"/>
      <c r="G26" s="247" t="inlineStr">
        <is>
          <t>Basses (No Reuben)</t>
        </is>
      </c>
      <c r="H26" s="241">
        <f>SUM(H17)/COUNT(H17)</f>
        <v/>
      </c>
      <c r="I26" s="241">
        <f>SUM(I17)/COUNT(I17)</f>
        <v/>
      </c>
      <c r="J26" s="242">
        <f>IF(I26,H26/I26,H26)</f>
        <v/>
      </c>
      <c r="K26" s="241">
        <f>SUM(K17)/COUNT(K17)</f>
        <v/>
      </c>
      <c r="L26" s="241">
        <f>SUM(L17)/COUNT(L17)</f>
        <v/>
      </c>
      <c r="M26" s="242">
        <f>IF(L26,K26/L26,K26)</f>
        <v/>
      </c>
      <c r="N26" s="243">
        <f>IF(H26,K26/H26,0)</f>
        <v/>
      </c>
      <c r="O26" s="244">
        <f>IF(I26,L26/I26,0)</f>
        <v/>
      </c>
      <c r="AN26" s="208" t="inlineStr">
        <is>
          <t>Rob</t>
        </is>
      </c>
      <c r="AO26" s="209">
        <f>VLOOKUP(AN26,$G$1:$P$18,2,FALSE()) *$AO$15</f>
        <v/>
      </c>
      <c r="AP26" s="233">
        <f>VLOOKUP(AN26,$G$1:$P$18,3,FALSE()) *$AP$15</f>
        <v/>
      </c>
      <c r="AQ26" s="234">
        <f>VLOOKUP(AN26,$G$1:$P$18,4,FALSE()) * $AQ$15</f>
        <v/>
      </c>
      <c r="AR26" s="209">
        <f>VLOOKUP(AN26,$G$1:$P$18,5,FALSE()) *$AR$15</f>
        <v/>
      </c>
      <c r="AS26" s="233">
        <f>VLOOKUP(AN26,$G$1:$P$18,6,FALSE()) *$AS$15</f>
        <v/>
      </c>
      <c r="AT26" s="234">
        <f>VLOOKUP(AN26,$G$1:$P$18,7,FALSE()) * $AT$15</f>
        <v/>
      </c>
      <c r="AU26" s="209">
        <f>VLOOKUP(AN26,$G$1:$P$18,8,FALSE()) *$AU$15</f>
        <v/>
      </c>
      <c r="AV26" s="235">
        <f>VLOOKUP(AN26,$G$1:$P$18,9,FALSE()) *$AV$15</f>
        <v/>
      </c>
      <c r="AW26" s="234">
        <f>VLOOKUP(AN26,$G$1:$P$18,10,FALSE()) * $AW$15</f>
        <v/>
      </c>
      <c r="AX26" s="236">
        <f>SUM(AO26:AW26)</f>
        <v/>
      </c>
    </row>
    <row r="27" ht="14.25" customHeight="1" s="175">
      <c r="A27" s="267" t="inlineStr">
        <is>
          <t>Ethan</t>
        </is>
      </c>
      <c r="B27" s="268" t="n">
        <v>1</v>
      </c>
      <c r="C27" s="269" t="inlineStr">
        <is>
          <t>Maxine</t>
        </is>
      </c>
      <c r="D27" s="192" t="inlineStr">
        <is>
          <t>https://discord.com/channels/191975109500731392/1212839710439776287/1420103397784293377</t>
        </is>
      </c>
      <c r="F27" s="192" t="n"/>
      <c r="AN27" s="208" t="inlineStr">
        <is>
          <t>Will</t>
        </is>
      </c>
      <c r="AO27" s="209">
        <f>VLOOKUP(AN27,$G$1:$P$18,2,FALSE()) *$AO$15</f>
        <v/>
      </c>
      <c r="AP27" s="233">
        <f>VLOOKUP(AN27,$G$1:$P$18,3,FALSE()) *$AP$15</f>
        <v/>
      </c>
      <c r="AQ27" s="234">
        <f>VLOOKUP(AN27,$G$1:$P$18,4,FALSE()) * $AQ$15</f>
        <v/>
      </c>
      <c r="AR27" s="209">
        <f>VLOOKUP(AN27,$G$1:$P$18,5,FALSE()) *$AR$15</f>
        <v/>
      </c>
      <c r="AS27" s="233">
        <f>VLOOKUP(AN27,$G$1:$P$18,6,FALSE()) *$AS$15</f>
        <v/>
      </c>
      <c r="AT27" s="234">
        <f>VLOOKUP(AN27,$G$1:$P$18,7,FALSE()) * $AT$15</f>
        <v/>
      </c>
      <c r="AU27" s="209">
        <f>VLOOKUP(AN27,$G$1:$P$18,8,FALSE()) *$AU$15</f>
        <v/>
      </c>
      <c r="AV27" s="235">
        <f>VLOOKUP(AN27,$G$1:$P$18,9,FALSE()) *$AV$15</f>
        <v/>
      </c>
      <c r="AW27" s="234">
        <f>VLOOKUP(AN27,$G$1:$P$18,10,FALSE()) * $AW$15</f>
        <v/>
      </c>
      <c r="AX27" s="236">
        <f>SUM(AO27:AW27)</f>
        <v/>
      </c>
    </row>
    <row r="28" ht="14.25" customHeight="1" s="175">
      <c r="A28" s="267" t="inlineStr">
        <is>
          <t>Anthony</t>
        </is>
      </c>
      <c r="B28" s="268" t="n">
        <v>1</v>
      </c>
      <c r="C28" s="269" t="inlineStr">
        <is>
          <t>Maxine</t>
        </is>
      </c>
      <c r="D28" s="192" t="inlineStr">
        <is>
          <t>https://discord.com/channels/191975109500731392/1212839710439776287/1420103554626228224</t>
        </is>
      </c>
      <c r="F28" s="207" t="n"/>
      <c r="G28" s="208" t="inlineStr">
        <is>
          <t>Person:</t>
        </is>
      </c>
      <c r="H28" s="216" t="inlineStr">
        <is>
          <t>Kills</t>
        </is>
      </c>
      <c r="Q28" s="208" t="inlineStr">
        <is>
          <t>Person:</t>
        </is>
      </c>
      <c r="R28" s="216" t="inlineStr">
        <is>
          <t>Kill Points</t>
        </is>
      </c>
      <c r="AN28" s="208" t="inlineStr">
        <is>
          <t>Erick</t>
        </is>
      </c>
      <c r="AO28" s="209">
        <f>VLOOKUP(AN28,$G$1:$P$18,2,FALSE()) *$AO$15</f>
        <v/>
      </c>
      <c r="AP28" s="233">
        <f>VLOOKUP(AN28,$G$1:$P$18,3,FALSE()) *$AP$15</f>
        <v/>
      </c>
      <c r="AQ28" s="234">
        <f>VLOOKUP(AN28,$G$1:$P$18,4,FALSE()) * $AQ$15</f>
        <v/>
      </c>
      <c r="AR28" s="209">
        <f>VLOOKUP(AN28,$G$1:$P$18,5,FALSE()) *$AR$15</f>
        <v/>
      </c>
      <c r="AS28" s="233">
        <f>VLOOKUP(AN28,$G$1:$P$18,6,FALSE()) *$AS$15</f>
        <v/>
      </c>
      <c r="AT28" s="234">
        <f>VLOOKUP(AN28,$G$1:$P$18,7,FALSE()) * $AT$15</f>
        <v/>
      </c>
      <c r="AU28" s="209">
        <f>VLOOKUP(AN28,$G$1:$P$18,8,FALSE()) *$AU$15</f>
        <v/>
      </c>
      <c r="AV28" s="235">
        <f>VLOOKUP(AN28,$G$1:$P$18,9,FALSE()) *$AV$15</f>
        <v/>
      </c>
      <c r="AW28" s="234">
        <f>VLOOKUP(AN28,$G$1:$P$18,10,FALSE()) * $AW$15</f>
        <v/>
      </c>
      <c r="AX28" s="236">
        <f>SUM(AO28:AW28)</f>
        <v/>
      </c>
    </row>
    <row r="29" ht="14.25" customHeight="1" s="175">
      <c r="A29" s="267" t="inlineStr">
        <is>
          <t>Maxine</t>
        </is>
      </c>
      <c r="B29" s="268" t="n">
        <v>1</v>
      </c>
      <c r="C29" s="269" t="inlineStr">
        <is>
          <t>Anthony</t>
        </is>
      </c>
      <c r="D29" s="192" t="inlineStr">
        <is>
          <t>https://discord.com/channels/191975109500731392/1212839710439776287/1420103705457463347</t>
        </is>
      </c>
      <c r="F29" s="192" t="n"/>
      <c r="G29" s="208" t="inlineStr">
        <is>
          <t>Will</t>
        </is>
      </c>
      <c r="H29" s="209">
        <f>VLOOKUP(G29,$G$1:$P$18,2,FALSE())</f>
        <v/>
      </c>
      <c r="Q29" s="208" t="inlineStr">
        <is>
          <t>Will</t>
        </is>
      </c>
      <c r="R29" s="209">
        <f>VLOOKUP(Q29,$G$1:$P$18,5,FALSE())</f>
        <v/>
      </c>
      <c r="AN29" s="208" t="inlineStr">
        <is>
          <t>Joey</t>
        </is>
      </c>
      <c r="AO29" s="209">
        <f>VLOOKUP(AN29,$G$1:$P$18,2,FALSE()) *$AO$15</f>
        <v/>
      </c>
      <c r="AP29" s="233">
        <f>VLOOKUP(AN29,$G$1:$P$18,3,FALSE()) *$AP$15</f>
        <v/>
      </c>
      <c r="AQ29" s="234">
        <f>VLOOKUP(AN29,$G$1:$P$18,4,FALSE()) * $AQ$15</f>
        <v/>
      </c>
      <c r="AR29" s="209">
        <f>VLOOKUP(AN29,$G$1:$P$18,5,FALSE()) *$AR$15</f>
        <v/>
      </c>
      <c r="AS29" s="233">
        <f>VLOOKUP(AN29,$G$1:$P$18,6,FALSE()) *$AS$15</f>
        <v/>
      </c>
      <c r="AT29" s="234">
        <f>VLOOKUP(AN29,$G$1:$P$18,7,FALSE()) * $AT$15</f>
        <v/>
      </c>
      <c r="AU29" s="209">
        <f>VLOOKUP(AN29,$G$1:$P$18,8,FALSE()) *$AU$15</f>
        <v/>
      </c>
      <c r="AV29" s="235">
        <f>VLOOKUP(AN29,$G$1:$P$18,9,FALSE()) *$AV$15</f>
        <v/>
      </c>
      <c r="AW29" s="234">
        <f>VLOOKUP(AN29,$G$1:$P$18,10,FALSE()) * $AW$15</f>
        <v/>
      </c>
      <c r="AX29" s="236">
        <f>SUM(AO29:AW29)</f>
        <v/>
      </c>
    </row>
    <row r="30" ht="14.25" customHeight="1" s="175">
      <c r="A30" s="267" t="inlineStr">
        <is>
          <t>Carter</t>
        </is>
      </c>
      <c r="B30" s="268" t="n">
        <v>1</v>
      </c>
      <c r="C30" s="269" t="inlineStr">
        <is>
          <t>Anthony</t>
        </is>
      </c>
      <c r="D30" s="192" t="inlineStr">
        <is>
          <t>https://discord.com/channels/191975109500731392/1212839710439776287/1420103843362115646</t>
        </is>
      </c>
      <c r="F30" s="207" t="n"/>
      <c r="G30" s="208" t="inlineStr">
        <is>
          <t>Mikey</t>
        </is>
      </c>
      <c r="H30" s="209">
        <f>VLOOKUP(G30,$G$1:$P$18,2,FALSE())</f>
        <v/>
      </c>
      <c r="Q30" s="208" t="inlineStr">
        <is>
          <t>Mikey</t>
        </is>
      </c>
      <c r="R30" s="209">
        <f>VLOOKUP(Q30,$G$1:$P$18,5,FALSE())</f>
        <v/>
      </c>
      <c r="AN30" s="208" t="inlineStr">
        <is>
          <t>Peter</t>
        </is>
      </c>
      <c r="AO30" s="209">
        <f>VLOOKUP(AN30,$G$1:$P$18,2,FALSE()) *$AO$15</f>
        <v/>
      </c>
      <c r="AP30" s="233">
        <f>VLOOKUP(AN30,$G$1:$P$18,3,FALSE()) *$AP$15</f>
        <v/>
      </c>
      <c r="AQ30" s="234">
        <f>VLOOKUP(AN30,$G$1:$P$18,4,FALSE()) * $AQ$15</f>
        <v/>
      </c>
      <c r="AR30" s="209">
        <f>VLOOKUP(AN30,$G$1:$P$18,5,FALSE()) *$AR$15</f>
        <v/>
      </c>
      <c r="AS30" s="233">
        <f>VLOOKUP(AN30,$G$1:$P$18,6,FALSE()) *$AS$15</f>
        <v/>
      </c>
      <c r="AT30" s="234">
        <f>VLOOKUP(AN30,$G$1:$P$18,7,FALSE()) * $AT$15</f>
        <v/>
      </c>
      <c r="AU30" s="209">
        <f>VLOOKUP(AN30,$G$1:$P$18,8,FALSE()) *$AU$15</f>
        <v/>
      </c>
      <c r="AV30" s="235">
        <f>VLOOKUP(AN30,$G$1:$P$18,9,FALSE()) *$AV$15</f>
        <v/>
      </c>
      <c r="AW30" s="234">
        <f>VLOOKUP(AN30,$G$1:$P$18,10,FALSE()) * $AW$15</f>
        <v/>
      </c>
      <c r="AX30" s="236">
        <f>SUM(AO30:AW30)</f>
        <v/>
      </c>
    </row>
    <row r="31" ht="14.25" customHeight="1" s="175">
      <c r="A31" s="267" t="inlineStr">
        <is>
          <t>Joey</t>
        </is>
      </c>
      <c r="B31" s="268" t="n">
        <v>1</v>
      </c>
      <c r="C31" s="269" t="inlineStr">
        <is>
          <t>Grady</t>
        </is>
      </c>
      <c r="D31" s="192" t="inlineStr">
        <is>
          <t>https://discord.com/channels/191975109500731392/1212839710439776287/1420158522225856686</t>
        </is>
      </c>
      <c r="F31" s="207" t="n"/>
      <c r="G31" s="208" t="inlineStr">
        <is>
          <t>Ethan</t>
        </is>
      </c>
      <c r="H31" s="209">
        <f>VLOOKUP(G31,$G$1:$P$18,2,FALSE())</f>
        <v/>
      </c>
      <c r="Q31" s="208" t="inlineStr">
        <is>
          <t>Ethan</t>
        </is>
      </c>
      <c r="R31" s="209">
        <f>VLOOKUP(Q31,$G$1:$P$18,5,FALSE())</f>
        <v/>
      </c>
      <c r="AN31" s="208" t="inlineStr">
        <is>
          <t>Reuben</t>
        </is>
      </c>
      <c r="AO31" s="209">
        <f>VLOOKUP(AN31,$G$1:$P$18,2,FALSE()) *$AO$15</f>
        <v/>
      </c>
      <c r="AP31" s="233">
        <f>VLOOKUP(AN31,$G$1:$P$18,3,FALSE()) *$AP$15</f>
        <v/>
      </c>
      <c r="AQ31" s="234">
        <f>VLOOKUP(AN31,$G$1:$P$18,4,FALSE()) * $AQ$15</f>
        <v/>
      </c>
      <c r="AR31" s="209">
        <f>VLOOKUP(AN31,$G$1:$P$18,5,FALSE()) *$AR$15</f>
        <v/>
      </c>
      <c r="AS31" s="233">
        <f>VLOOKUP(AN31,$G$1:$P$18,6,FALSE()) *$AS$15</f>
        <v/>
      </c>
      <c r="AT31" s="234">
        <f>VLOOKUP(AN31,$G$1:$P$18,7,FALSE()) * $AT$15</f>
        <v/>
      </c>
      <c r="AU31" s="209">
        <f>VLOOKUP(AN31,$G$1:$P$18,8,FALSE()) *$AU$15</f>
        <v/>
      </c>
      <c r="AV31" s="235">
        <f>VLOOKUP(AN31,$G$1:$P$18,9,FALSE()) *$AV$15</f>
        <v/>
      </c>
      <c r="AW31" s="234">
        <f>VLOOKUP(AN31,$G$1:$P$18,10,FALSE()) * $AW$15</f>
        <v/>
      </c>
      <c r="AX31" s="236">
        <f>SUM(AO31:AW31)</f>
        <v/>
      </c>
    </row>
    <row r="32" ht="14.25" customHeight="1" s="175">
      <c r="A32" s="267" t="inlineStr">
        <is>
          <t>Grady</t>
        </is>
      </c>
      <c r="B32" s="268" t="n">
        <v>1</v>
      </c>
      <c r="C32" s="269" t="inlineStr">
        <is>
          <t>Joey</t>
        </is>
      </c>
      <c r="D32" s="192" t="inlineStr">
        <is>
          <t>https://discord.com/channels/191975109500731392/1212839710439776287/1420158594686521365</t>
        </is>
      </c>
      <c r="F32" s="207" t="n"/>
      <c r="G32" s="208" t="inlineStr">
        <is>
          <t>Lucy</t>
        </is>
      </c>
      <c r="H32" s="209">
        <f>VLOOKUP(G32,$G$1:$P$18,2,FALSE())</f>
        <v/>
      </c>
      <c r="Q32" s="208" t="inlineStr">
        <is>
          <t>Lucy</t>
        </is>
      </c>
      <c r="R32" s="209">
        <f>VLOOKUP(Q32,$G$1:$P$18,5,FALSE())</f>
        <v/>
      </c>
    </row>
    <row r="33" ht="14.25" customHeight="1" s="175">
      <c r="A33" s="267" t="inlineStr">
        <is>
          <t>Vignesh</t>
        </is>
      </c>
      <c r="B33" s="268" t="n">
        <v>1</v>
      </c>
      <c r="C33" s="269" t="inlineStr">
        <is>
          <t>Lucy</t>
        </is>
      </c>
      <c r="D33" s="192" t="inlineStr">
        <is>
          <t>https://discord.com/channels/191975109500731392/1212839710439776287/1420453031706624031</t>
        </is>
      </c>
      <c r="F33" s="207" t="n"/>
      <c r="G33" s="208" t="inlineStr">
        <is>
          <t>Evan</t>
        </is>
      </c>
      <c r="H33" s="209">
        <f>VLOOKUP(G33,$G$1:$P$18,2,FALSE())</f>
        <v/>
      </c>
      <c r="Q33" s="208" t="inlineStr">
        <is>
          <t>Maxine</t>
        </is>
      </c>
      <c r="R33" s="209">
        <f>VLOOKUP(Q33,$G$1:$P$18,5,FALSE())</f>
        <v/>
      </c>
      <c r="AH33" s="246" t="n"/>
    </row>
    <row r="34" ht="14.25" customHeight="1" s="175">
      <c r="A34" s="267" t="inlineStr">
        <is>
          <t>Lucy</t>
        </is>
      </c>
      <c r="B34" s="268" t="n">
        <v>1</v>
      </c>
      <c r="C34" s="269" t="inlineStr">
        <is>
          <t>Vignesh</t>
        </is>
      </c>
      <c r="D34" s="192" t="inlineStr">
        <is>
          <t>https://discord.com/channels/191975109500731392/1212839710439776287/1420453334799749190</t>
        </is>
      </c>
      <c r="F34" s="207" t="n"/>
      <c r="G34" s="208" t="inlineStr">
        <is>
          <t>Anthony</t>
        </is>
      </c>
      <c r="H34" s="209">
        <f>VLOOKUP(G34,$G$1:$P$18,2,FALSE())</f>
        <v/>
      </c>
      <c r="Q34" s="208" t="inlineStr">
        <is>
          <t>Evan</t>
        </is>
      </c>
      <c r="R34" s="209">
        <f>VLOOKUP(Q34,$G$1:$P$18,5,FALSE())</f>
        <v/>
      </c>
      <c r="AH34" s="246" t="n"/>
    </row>
    <row r="35" ht="14.25" customHeight="1" s="175">
      <c r="A35" s="267" t="inlineStr">
        <is>
          <t>Mikey</t>
        </is>
      </c>
      <c r="B35" s="268" t="n">
        <v>2</v>
      </c>
      <c r="C35" s="269" t="inlineStr">
        <is>
          <t>Evan</t>
        </is>
      </c>
      <c r="D35" s="192" t="inlineStr">
        <is>
          <t>https://discord.com/channels/191975109500731392/1212839710439776287/1420458640204234815</t>
        </is>
      </c>
      <c r="F35" s="192" t="n"/>
      <c r="G35" s="208" t="inlineStr">
        <is>
          <t>Carter</t>
        </is>
      </c>
      <c r="H35" s="209">
        <f>VLOOKUP(G35,$G$1:$P$18,2,FALSE())</f>
        <v/>
      </c>
      <c r="Q35" s="208" t="inlineStr">
        <is>
          <t>Anthony</t>
        </is>
      </c>
      <c r="R35" s="209">
        <f>VLOOKUP(Q35,$G$1:$P$18,5,FALSE())</f>
        <v/>
      </c>
      <c r="AH35" s="246" t="n"/>
      <c r="AN35" s="248" t="inlineStr">
        <is>
          <t>Person:</t>
        </is>
      </c>
      <c r="AO35" s="249" t="inlineStr">
        <is>
          <t>Score</t>
        </is>
      </c>
      <c r="AP35" s="249" t="inlineStr">
        <is>
          <t>Adjusted</t>
        </is>
      </c>
      <c r="AQ35" s="246" t="n"/>
    </row>
    <row r="36" ht="14.25" customHeight="1" s="175">
      <c r="A36" s="267" t="inlineStr">
        <is>
          <t>Evan</t>
        </is>
      </c>
      <c r="B36" s="268" t="n">
        <v>1</v>
      </c>
      <c r="C36" s="269" t="inlineStr">
        <is>
          <t>Mikey</t>
        </is>
      </c>
      <c r="D36" s="192" t="inlineStr">
        <is>
          <t>https://discord.com/channels/191975109500731392/1212839710439776287/1420458766629077002</t>
        </is>
      </c>
      <c r="F36" s="207" t="n"/>
      <c r="G36" s="208" t="inlineStr">
        <is>
          <t>Rob</t>
        </is>
      </c>
      <c r="H36" s="209">
        <f>VLOOKUP(G36,$G$1:$P$18,2,FALSE())</f>
        <v/>
      </c>
      <c r="Q36" s="208" t="inlineStr">
        <is>
          <t>Carter</t>
        </is>
      </c>
      <c r="R36" s="209">
        <f>VLOOKUP(Q36,$G$1:$P$18,5,FALSE())</f>
        <v/>
      </c>
      <c r="AH36" s="246" t="n"/>
      <c r="AN36" s="208" t="inlineStr">
        <is>
          <t>Ethan</t>
        </is>
      </c>
      <c r="AO36" s="236">
        <f>VLOOKUP(AN36,$AN$13:$AX$31,11,FALSE())</f>
        <v/>
      </c>
      <c r="AP36" s="251">
        <f>AO36-$AO$51</f>
        <v/>
      </c>
      <c r="AQ36" s="173" t="n">
        <v>1</v>
      </c>
    </row>
    <row r="37" ht="14.25" customHeight="1" s="175">
      <c r="A37" s="267" t="inlineStr">
        <is>
          <t>Peter</t>
        </is>
      </c>
      <c r="B37" s="268" t="n">
        <v>2</v>
      </c>
      <c r="C37" s="269" t="inlineStr">
        <is>
          <t>Mikey</t>
        </is>
      </c>
      <c r="D37" s="192" t="inlineStr">
        <is>
          <t>https://discord.com/channels/191975109500731392/1212839710439776287/1420464307665371259</t>
        </is>
      </c>
      <c r="F37" s="192" t="n"/>
      <c r="G37" s="208" t="inlineStr">
        <is>
          <t>Grady</t>
        </is>
      </c>
      <c r="H37" s="209">
        <f>VLOOKUP(G37,$G$1:$P$18,2,FALSE())</f>
        <v/>
      </c>
      <c r="Q37" s="208" t="inlineStr">
        <is>
          <t>Vignesh</t>
        </is>
      </c>
      <c r="R37" s="209">
        <f>VLOOKUP(Q37,$G$1:$P$18,5,FALSE())</f>
        <v/>
      </c>
      <c r="AH37" s="246" t="n"/>
      <c r="AN37" s="208" t="inlineStr">
        <is>
          <t>Will</t>
        </is>
      </c>
      <c r="AO37" s="236">
        <f>VLOOKUP(AN37,$AN$13:$AX$31,11,FALSE())</f>
        <v/>
      </c>
      <c r="AP37" s="251">
        <f>AO37-$AO$51</f>
        <v/>
      </c>
      <c r="AQ37" s="173" t="n">
        <v>2</v>
      </c>
    </row>
    <row r="38" ht="14.25" customHeight="1" s="175">
      <c r="A38" s="267" t="inlineStr">
        <is>
          <t>Will</t>
        </is>
      </c>
      <c r="B38" s="268" t="n">
        <v>2</v>
      </c>
      <c r="C38" s="269" t="inlineStr">
        <is>
          <t>Evan</t>
        </is>
      </c>
      <c r="D38" s="192" t="inlineStr">
        <is>
          <t>https://discord.com/channels/191975109500731392/1212839710439776287/1420482926235095144</t>
        </is>
      </c>
      <c r="F38" s="207" t="n"/>
      <c r="G38" s="208" t="inlineStr">
        <is>
          <t>Vignesh</t>
        </is>
      </c>
      <c r="H38" s="209">
        <f>VLOOKUP(G38,$G$1:$P$18,2,FALSE())</f>
        <v/>
      </c>
      <c r="Q38" s="208" t="inlineStr">
        <is>
          <t>Grady</t>
        </is>
      </c>
      <c r="R38" s="209">
        <f>VLOOKUP(Q38,$G$1:$P$18,5,FALSE())</f>
        <v/>
      </c>
      <c r="AH38" s="246" t="n"/>
      <c r="AN38" s="208" t="inlineStr">
        <is>
          <t>Maxine</t>
        </is>
      </c>
      <c r="AO38" s="236">
        <f>VLOOKUP(AN38,$AN$13:$AX$31,11,FALSE())</f>
        <v/>
      </c>
      <c r="AP38" s="251">
        <f>AO38-$AO$51</f>
        <v/>
      </c>
      <c r="AQ38" s="173" t="n">
        <v>3</v>
      </c>
    </row>
    <row r="39" ht="14.25" customHeight="1" s="175">
      <c r="A39" s="267" t="inlineStr">
        <is>
          <t>Ethan</t>
        </is>
      </c>
      <c r="B39" s="268" t="n">
        <v>2</v>
      </c>
      <c r="C39" s="269" t="inlineStr">
        <is>
          <t>Mikey</t>
        </is>
      </c>
      <c r="D39" s="192" t="inlineStr">
        <is>
          <t>https://discord.com/channels/191975109500731392/1212839710439776287/1420531902288498780</t>
        </is>
      </c>
      <c r="F39" s="207" t="n"/>
      <c r="G39" s="208" t="inlineStr">
        <is>
          <t>Maxine</t>
        </is>
      </c>
      <c r="H39" s="209">
        <f>VLOOKUP(G39,$G$1:$P$18,2,FALSE())</f>
        <v/>
      </c>
      <c r="Q39" s="208" t="inlineStr">
        <is>
          <t>Rob</t>
        </is>
      </c>
      <c r="R39" s="209">
        <f>VLOOKUP(Q39,$G$1:$P$18,5,FALSE())</f>
        <v/>
      </c>
      <c r="AH39" s="246" t="n"/>
      <c r="AN39" s="208" t="inlineStr">
        <is>
          <t>Mikey</t>
        </is>
      </c>
      <c r="AO39" s="236">
        <f>VLOOKUP(AN39,$AN$13:$AX$31,11,FALSE())</f>
        <v/>
      </c>
      <c r="AP39" s="251">
        <f>AO39-$AO$51</f>
        <v/>
      </c>
      <c r="AQ39" s="173" t="n">
        <v>4</v>
      </c>
    </row>
    <row r="40" ht="14.25" customHeight="1" s="175">
      <c r="A40" s="267" t="inlineStr">
        <is>
          <t>Mikey</t>
        </is>
      </c>
      <c r="B40" s="268" t="n">
        <v>1</v>
      </c>
      <c r="C40" s="269" t="inlineStr">
        <is>
          <t>Ethan</t>
        </is>
      </c>
      <c r="D40" s="192" t="inlineStr">
        <is>
          <t>https://discord.com/channels/191975109500731392/1212839710439776287/1420532055254630421</t>
        </is>
      </c>
      <c r="F40" s="207" t="n"/>
      <c r="G40" s="208" t="inlineStr">
        <is>
          <t>Peter</t>
        </is>
      </c>
      <c r="H40" s="209">
        <f>VLOOKUP(G40,$G$1:$P$18,2,FALSE())</f>
        <v/>
      </c>
      <c r="Q40" s="208" t="inlineStr">
        <is>
          <t>Peter</t>
        </is>
      </c>
      <c r="R40" s="209">
        <f>VLOOKUP(Q40,$G$1:$P$18,5,FALSE())</f>
        <v/>
      </c>
      <c r="AH40" s="246" t="n"/>
      <c r="AN40" s="208" t="inlineStr">
        <is>
          <t>Lucy</t>
        </is>
      </c>
      <c r="AO40" s="236">
        <f>VLOOKUP(AN40,$AN$13:$AX$31,11,FALSE())</f>
        <v/>
      </c>
      <c r="AP40" s="251">
        <f>AO40-$AO$51</f>
        <v/>
      </c>
      <c r="AQ40" s="173" t="n">
        <v>5</v>
      </c>
    </row>
    <row r="41" ht="14.25" customHeight="1" s="175">
      <c r="A41" s="267" t="inlineStr">
        <is>
          <t>Ethan</t>
        </is>
      </c>
      <c r="B41" s="268" t="n">
        <v>2</v>
      </c>
      <c r="C41" s="269" t="inlineStr">
        <is>
          <t>Reuben</t>
        </is>
      </c>
      <c r="D41" s="192" t="inlineStr">
        <is>
          <t>https://discord.com/channels/191975109500731392/1212839710439776287/1420532255947755560</t>
        </is>
      </c>
      <c r="F41" s="192" t="n"/>
      <c r="G41" s="208" t="inlineStr">
        <is>
          <t>Joey</t>
        </is>
      </c>
      <c r="H41" s="209">
        <f>VLOOKUP(G41,$G$1:$P$18,2,FALSE())</f>
        <v/>
      </c>
      <c r="Q41" s="208" t="inlineStr">
        <is>
          <t>Cooper</t>
        </is>
      </c>
      <c r="R41" s="209">
        <f>VLOOKUP(Q41,$G$1:$P$18,5,FALSE())</f>
        <v/>
      </c>
      <c r="AH41" s="246" t="n"/>
      <c r="AN41" s="208" t="inlineStr">
        <is>
          <t>Carter</t>
        </is>
      </c>
      <c r="AO41" s="236">
        <f>VLOOKUP(AN41,$AN$13:$AX$31,11,FALSE())</f>
        <v/>
      </c>
      <c r="AP41" s="251">
        <f>AO41-$AO$51</f>
        <v/>
      </c>
      <c r="AQ41" s="173" t="n">
        <v>6</v>
      </c>
    </row>
    <row r="42" ht="14.25" customHeight="1" s="175">
      <c r="A42" s="267" t="inlineStr">
        <is>
          <t>Mikey</t>
        </is>
      </c>
      <c r="B42" s="268" t="n">
        <v>2</v>
      </c>
      <c r="C42" s="269" t="inlineStr">
        <is>
          <t>Reuben</t>
        </is>
      </c>
      <c r="D42" s="192" t="inlineStr">
        <is>
          <t>https://discord.com/channels/191975109500731392/1212839710439776287/1420532446423814266</t>
        </is>
      </c>
      <c r="F42" s="207" t="n"/>
      <c r="G42" s="208" t="inlineStr">
        <is>
          <t>Erick</t>
        </is>
      </c>
      <c r="H42" s="209">
        <f>VLOOKUP(G42,$G$1:$P$18,2,FALSE())</f>
        <v/>
      </c>
      <c r="Q42" s="208" t="inlineStr">
        <is>
          <t>Joey</t>
        </is>
      </c>
      <c r="R42" s="209">
        <f>VLOOKUP(Q42,$G$1:$P$18,5,FALSE())</f>
        <v/>
      </c>
      <c r="AH42" s="246" t="n"/>
      <c r="AN42" s="208" t="inlineStr">
        <is>
          <t>Peter</t>
        </is>
      </c>
      <c r="AO42" s="236">
        <f>VLOOKUP(AN42,$AN$13:$AX$31,11,FALSE())</f>
        <v/>
      </c>
      <c r="AP42" s="251">
        <f>AO42-$AO$51</f>
        <v/>
      </c>
      <c r="AQ42" s="173" t="n">
        <v>7</v>
      </c>
    </row>
    <row r="43" ht="14.25" customHeight="1" s="175">
      <c r="A43" s="267" t="inlineStr">
        <is>
          <t>Ethan</t>
        </is>
      </c>
      <c r="B43" s="268" t="n">
        <v>2</v>
      </c>
      <c r="C43" s="269" t="inlineStr">
        <is>
          <t>Mikey</t>
        </is>
      </c>
      <c r="D43" s="192" t="inlineStr">
        <is>
          <t>https://discord.com/channels/191975109500731392/1212839710439776287/1420585040429056091</t>
        </is>
      </c>
      <c r="F43" s="207" t="n"/>
      <c r="G43" s="208" t="inlineStr">
        <is>
          <t>Cooper</t>
        </is>
      </c>
      <c r="H43" s="209">
        <f>VLOOKUP(G43,$G$1:$P$18,2,FALSE())</f>
        <v/>
      </c>
      <c r="Q43" s="208" t="inlineStr">
        <is>
          <t>Erick</t>
        </is>
      </c>
      <c r="R43" s="209">
        <f>VLOOKUP(Q43,$G$1:$P$18,5,FALSE())</f>
        <v/>
      </c>
      <c r="AH43" s="246" t="n"/>
      <c r="AN43" s="208" t="inlineStr">
        <is>
          <t>Anthony</t>
        </is>
      </c>
      <c r="AO43" s="236">
        <f>VLOOKUP(AN43,$AN$13:$AX$31,11,FALSE())</f>
        <v/>
      </c>
      <c r="AP43" s="251">
        <f>AO43-$AO$51</f>
        <v/>
      </c>
      <c r="AQ43" s="173" t="n">
        <v>8</v>
      </c>
    </row>
    <row r="44" ht="14.25" customHeight="1" s="175">
      <c r="A44" s="267" t="inlineStr">
        <is>
          <t>Ethan</t>
        </is>
      </c>
      <c r="B44" s="268" t="n">
        <v>2</v>
      </c>
      <c r="C44" s="269" t="inlineStr">
        <is>
          <t>Reuben</t>
        </is>
      </c>
      <c r="D44" s="192" t="inlineStr">
        <is>
          <t>https://discord.com/channels/191975109500731392/1212839710439776287/1420588014006177833</t>
        </is>
      </c>
      <c r="F44" s="207" t="n"/>
      <c r="G44" s="208" t="inlineStr">
        <is>
          <t>Reuben</t>
        </is>
      </c>
      <c r="H44" s="209">
        <f>VLOOKUP(G44,$G$1:$P$18,2,FALSE())</f>
        <v/>
      </c>
      <c r="Q44" s="208" t="inlineStr">
        <is>
          <t>Reuben</t>
        </is>
      </c>
      <c r="R44" s="209">
        <f>VLOOKUP(Q44,$G$1:$P$18,5,FALSE())</f>
        <v/>
      </c>
      <c r="AH44" s="246" t="n"/>
      <c r="AN44" s="208" t="inlineStr">
        <is>
          <t>Vignesh</t>
        </is>
      </c>
      <c r="AO44" s="236">
        <f>VLOOKUP(AN44,$AN$13:$AX$31,11,FALSE())</f>
        <v/>
      </c>
      <c r="AP44" s="251">
        <f>AO44-$AO$51</f>
        <v/>
      </c>
      <c r="AQ44" s="173" t="n">
        <v>9</v>
      </c>
    </row>
    <row r="45" ht="14.25" customHeight="1" s="175">
      <c r="A45" s="267" t="inlineStr">
        <is>
          <t>Carter</t>
        </is>
      </c>
      <c r="B45" s="268" t="n">
        <v>1</v>
      </c>
      <c r="C45" s="269" t="inlineStr">
        <is>
          <t>Erick</t>
        </is>
      </c>
      <c r="D45" s="192" t="inlineStr">
        <is>
          <t>https://discord.com/channels/191975109500731392/1212839710439776287/1420785728446795960</t>
        </is>
      </c>
      <c r="F45" s="192" t="n"/>
      <c r="AH45" s="246" t="n"/>
      <c r="AN45" s="208" t="inlineStr">
        <is>
          <t>Evan</t>
        </is>
      </c>
      <c r="AO45" s="236">
        <f>VLOOKUP(AN45,$AN$13:$AX$31,11,FALSE())</f>
        <v/>
      </c>
      <c r="AP45" s="251">
        <f>AO45-$AO$51</f>
        <v/>
      </c>
      <c r="AQ45" s="173" t="n">
        <v>10</v>
      </c>
    </row>
    <row r="46" ht="14.25" customHeight="1" s="175">
      <c r="A46" s="267" t="inlineStr">
        <is>
          <t>Erick</t>
        </is>
      </c>
      <c r="B46" s="268" t="n">
        <v>1</v>
      </c>
      <c r="C46" s="269" t="inlineStr">
        <is>
          <t>Carter</t>
        </is>
      </c>
      <c r="D46" s="192" t="inlineStr">
        <is>
          <t>https://discord.com/channels/191975109500731392/1212839710439776287/1420785838920302643</t>
        </is>
      </c>
      <c r="E46" s="173" t="n">
        <v>0</v>
      </c>
      <c r="F46" s="207" t="n"/>
      <c r="G46" s="208" t="inlineStr">
        <is>
          <t>Person:</t>
        </is>
      </c>
      <c r="H46" s="216" t="inlineStr">
        <is>
          <t>Deaths</t>
        </is>
      </c>
      <c r="Q46" s="208" t="inlineStr">
        <is>
          <t>Person:</t>
        </is>
      </c>
      <c r="R46" s="216" t="inlineStr">
        <is>
          <t>Death Points</t>
        </is>
      </c>
      <c r="AN46" s="208" t="inlineStr">
        <is>
          <t>Joey</t>
        </is>
      </c>
      <c r="AO46" s="236">
        <f>VLOOKUP(AN46,$AN$13:$AX$31,11,FALSE())</f>
        <v/>
      </c>
      <c r="AP46" s="251">
        <f>AO46-$AO$51</f>
        <v/>
      </c>
      <c r="AQ46" s="173" t="n">
        <v>11</v>
      </c>
    </row>
    <row r="47" ht="14.25" customHeight="1" s="175">
      <c r="A47" s="267" t="inlineStr">
        <is>
          <t>Anthony</t>
        </is>
      </c>
      <c r="B47" s="268" t="n">
        <v>1</v>
      </c>
      <c r="C47" s="269" t="inlineStr">
        <is>
          <t>Carter</t>
        </is>
      </c>
      <c r="D47" s="192" t="inlineStr">
        <is>
          <t>https://discord.com/channels/191975109500731392/1212839710439776287/1420806418411425834</t>
        </is>
      </c>
      <c r="E47" s="173" t="n">
        <v>1</v>
      </c>
      <c r="F47" s="207" t="n"/>
      <c r="G47" s="208" t="inlineStr">
        <is>
          <t>Mikey</t>
        </is>
      </c>
      <c r="H47" s="209">
        <f>VLOOKUP(G47,$G$1:$P$18,3,FALSE())</f>
        <v/>
      </c>
      <c r="Q47" s="208" t="inlineStr">
        <is>
          <t>Mikey</t>
        </is>
      </c>
      <c r="R47" s="209">
        <f>VLOOKUP(Q47,$G$1:$P$18,6,FALSE())</f>
        <v/>
      </c>
      <c r="AN47" s="208" t="inlineStr">
        <is>
          <t>Erick</t>
        </is>
      </c>
      <c r="AO47" s="236">
        <f>VLOOKUP(AN47,$AN$13:$AX$31,11,FALSE())</f>
        <v/>
      </c>
      <c r="AP47" s="251">
        <f>AO47-$AO$51</f>
        <v/>
      </c>
      <c r="AQ47" s="173" t="n">
        <v>12</v>
      </c>
    </row>
    <row r="48" ht="14.25" customHeight="1" s="175">
      <c r="A48" s="267" t="inlineStr">
        <is>
          <t>Carter</t>
        </is>
      </c>
      <c r="B48" s="268" t="n">
        <v>1</v>
      </c>
      <c r="C48" s="269" t="inlineStr">
        <is>
          <t>Anthony</t>
        </is>
      </c>
      <c r="D48" s="192" t="inlineStr">
        <is>
          <t>https://discord.com/channels/191975109500731392/1212839710439776287/1420806463412113468</t>
        </is>
      </c>
      <c r="F48" s="207" t="n"/>
      <c r="G48" s="208" t="inlineStr">
        <is>
          <t>Will</t>
        </is>
      </c>
      <c r="H48" s="209">
        <f>VLOOKUP(G48,$G$1:$P$18,3,FALSE())</f>
        <v/>
      </c>
      <c r="Q48" s="208" t="inlineStr">
        <is>
          <t>Will</t>
        </is>
      </c>
      <c r="R48" s="209">
        <f>VLOOKUP(Q48,$G$1:$P$18,6,FALSE())</f>
        <v/>
      </c>
      <c r="AN48" s="208" t="inlineStr">
        <is>
          <t>Cooper</t>
        </is>
      </c>
      <c r="AO48" s="236">
        <f>VLOOKUP(AN48,$AN$13:$AX$31,11,FALSE())</f>
        <v/>
      </c>
      <c r="AP48" s="251">
        <f>AO48-$AO$51</f>
        <v/>
      </c>
      <c r="AQ48" s="173" t="n">
        <v>13</v>
      </c>
    </row>
    <row r="49" ht="14.25" customHeight="1" s="175">
      <c r="A49" s="267" t="inlineStr">
        <is>
          <t>Ethan</t>
        </is>
      </c>
      <c r="B49" s="268" t="n">
        <v>1</v>
      </c>
      <c r="C49" s="269" t="inlineStr">
        <is>
          <t>Grady</t>
        </is>
      </c>
      <c r="D49" s="192" t="inlineStr">
        <is>
          <t>https://discord.com/channels/191975109500731392/1212839710439776287/1420830515983810560</t>
        </is>
      </c>
      <c r="F49" s="207" t="n"/>
      <c r="G49" s="208" t="inlineStr">
        <is>
          <t>Rob</t>
        </is>
      </c>
      <c r="H49" s="209">
        <f>VLOOKUP(G49,$G$1:$P$18,3,FALSE())</f>
        <v/>
      </c>
      <c r="Q49" s="208" t="inlineStr">
        <is>
          <t>Rob</t>
        </is>
      </c>
      <c r="R49" s="209">
        <f>VLOOKUP(Q49,$G$1:$P$18,6,FALSE())</f>
        <v/>
      </c>
      <c r="AN49" s="208" t="inlineStr">
        <is>
          <t>Grady</t>
        </is>
      </c>
      <c r="AO49" s="236">
        <f>VLOOKUP(AN49,$AN$13:$AX$31,11,FALSE())</f>
        <v/>
      </c>
      <c r="AP49" s="251">
        <f>AO49-$AO$51</f>
        <v/>
      </c>
      <c r="AQ49" s="173" t="n">
        <v>14</v>
      </c>
    </row>
    <row r="50" ht="14.25" customHeight="1" s="175">
      <c r="A50" s="267" t="inlineStr">
        <is>
          <t>Grady</t>
        </is>
      </c>
      <c r="B50" s="268" t="n">
        <v>1</v>
      </c>
      <c r="C50" s="269" t="inlineStr">
        <is>
          <t>Ethan</t>
        </is>
      </c>
      <c r="D50" s="192" t="inlineStr">
        <is>
          <t>https://discord.com/channels/191975109500731392/1212839710439776287/1420830660007952435</t>
        </is>
      </c>
      <c r="F50" s="207" t="n"/>
      <c r="G50" s="208" t="inlineStr">
        <is>
          <t>Lucy</t>
        </is>
      </c>
      <c r="H50" s="209">
        <f>VLOOKUP(G50,$G$1:$P$18,3,FALSE())</f>
        <v/>
      </c>
      <c r="Q50" s="208" t="inlineStr">
        <is>
          <t>Lucy</t>
        </is>
      </c>
      <c r="R50" s="209">
        <f>VLOOKUP(Q50,$G$1:$P$18,6,FALSE())</f>
        <v/>
      </c>
      <c r="AN50" s="208" t="inlineStr">
        <is>
          <t>Rob</t>
        </is>
      </c>
      <c r="AO50" s="236">
        <f>VLOOKUP(AN50,$AN$13:$AX$31,11,FALSE())</f>
        <v/>
      </c>
      <c r="AP50" s="251">
        <f>AO50-$AO$51</f>
        <v/>
      </c>
      <c r="AQ50" s="173" t="n">
        <v>15</v>
      </c>
    </row>
    <row r="51" ht="14.25" customHeight="1" s="175">
      <c r="A51" s="267" t="inlineStr">
        <is>
          <t>Lucy</t>
        </is>
      </c>
      <c r="B51" s="268" t="n">
        <v>2</v>
      </c>
      <c r="C51" s="269" t="inlineStr">
        <is>
          <t>Mikey</t>
        </is>
      </c>
      <c r="D51" s="192" t="inlineStr">
        <is>
          <t>https://discord.com/channels/191975109500731392/1212839710439776287/1420852388289581187</t>
        </is>
      </c>
      <c r="F51" s="207" t="n"/>
      <c r="G51" s="208" t="inlineStr">
        <is>
          <t>Evan</t>
        </is>
      </c>
      <c r="H51" s="209">
        <f>VLOOKUP(G51,$G$1:$P$18,3,FALSE())</f>
        <v/>
      </c>
      <c r="Q51" s="208" t="inlineStr">
        <is>
          <t>Evan</t>
        </is>
      </c>
      <c r="R51" s="209">
        <f>VLOOKUP(Q51,$G$1:$P$18,6,FALSE())</f>
        <v/>
      </c>
      <c r="AN51" s="208" t="inlineStr">
        <is>
          <t>Reuben</t>
        </is>
      </c>
      <c r="AO51" s="236">
        <f>VLOOKUP(AN51,$AN$13:$AX$31,11,FALSE())</f>
        <v/>
      </c>
      <c r="AP51" s="251">
        <f>AO51-$AO$51</f>
        <v/>
      </c>
      <c r="AQ51" s="173" t="n">
        <v>16</v>
      </c>
    </row>
    <row r="52" ht="14.25" customHeight="1" s="175">
      <c r="A52" s="267" t="inlineStr">
        <is>
          <t>Joey</t>
        </is>
      </c>
      <c r="B52" s="268" t="n">
        <v>1</v>
      </c>
      <c r="C52" s="269" t="inlineStr">
        <is>
          <t>Grady</t>
        </is>
      </c>
      <c r="D52" s="192" t="inlineStr">
        <is>
          <t>https://discord.com/channels/191975109500731392/1212839710439776287/1420887409108979803</t>
        </is>
      </c>
      <c r="F52" s="207" t="n"/>
      <c r="G52" s="208" t="inlineStr">
        <is>
          <t>Ethan</t>
        </is>
      </c>
      <c r="H52" s="209">
        <f>VLOOKUP(G52,$G$1:$P$18,3,FALSE())</f>
        <v/>
      </c>
      <c r="Q52" s="208" t="inlineStr">
        <is>
          <t>Grady</t>
        </is>
      </c>
      <c r="R52" s="209">
        <f>VLOOKUP(Q52,$G$1:$P$18,6,FALSE())</f>
        <v/>
      </c>
    </row>
    <row r="53" ht="14.25" customHeight="1" s="175">
      <c r="A53" s="267" t="inlineStr">
        <is>
          <t>Mikey</t>
        </is>
      </c>
      <c r="B53" s="268" t="n">
        <v>1</v>
      </c>
      <c r="C53" s="269" t="inlineStr">
        <is>
          <t>Will</t>
        </is>
      </c>
      <c r="D53" s="192" t="inlineStr">
        <is>
          <t>https://discord.com/channels/191975109500731392/1212839710439776287/1420913791779995658</t>
        </is>
      </c>
      <c r="F53" s="207" t="n"/>
      <c r="G53" s="208" t="inlineStr">
        <is>
          <t>Grady</t>
        </is>
      </c>
      <c r="H53" s="209">
        <f>VLOOKUP(G53,$G$1:$P$18,3,FALSE())</f>
        <v/>
      </c>
      <c r="Q53" s="208" t="inlineStr">
        <is>
          <t>Ethan</t>
        </is>
      </c>
      <c r="R53" s="209">
        <f>VLOOKUP(Q53,$G$1:$P$18,6,FALSE())</f>
        <v/>
      </c>
    </row>
    <row r="54" ht="14.25" customHeight="1" s="175">
      <c r="A54" s="267" t="inlineStr">
        <is>
          <t>Will</t>
        </is>
      </c>
      <c r="B54" s="268" t="n">
        <v>1</v>
      </c>
      <c r="C54" s="269" t="inlineStr">
        <is>
          <t>Mikey</t>
        </is>
      </c>
      <c r="D54" s="192" t="inlineStr">
        <is>
          <t>https://discord.com/channels/191975109500731392/1212839710439776287/1420913811631640668</t>
        </is>
      </c>
      <c r="F54" s="207" t="n"/>
      <c r="G54" s="208" t="inlineStr">
        <is>
          <t>Anthony</t>
        </is>
      </c>
      <c r="H54" s="209">
        <f>VLOOKUP(G54,$G$1:$P$18,3,FALSE())</f>
        <v/>
      </c>
      <c r="Q54" s="208" t="inlineStr">
        <is>
          <t>Vignesh</t>
        </is>
      </c>
      <c r="R54" s="209">
        <f>VLOOKUP(Q54,$G$1:$P$18,6,FALSE())</f>
        <v/>
      </c>
    </row>
    <row r="55" ht="14.25" customHeight="1" s="175">
      <c r="A55" s="267" t="inlineStr">
        <is>
          <t>Ethan</t>
        </is>
      </c>
      <c r="B55" s="268" t="n">
        <v>1</v>
      </c>
      <c r="C55" s="269" t="inlineStr">
        <is>
          <t>Vignesh</t>
        </is>
      </c>
      <c r="D55" s="192" t="inlineStr">
        <is>
          <t>https://discord.com/channels/191975109500731392/1212839710439776287/1421115623563329578</t>
        </is>
      </c>
      <c r="F55" s="207" t="n"/>
      <c r="G55" s="208" t="inlineStr">
        <is>
          <t>Vignesh</t>
        </is>
      </c>
      <c r="H55" s="209">
        <f>VLOOKUP(G55,$G$1:$P$18,3,FALSE())</f>
        <v/>
      </c>
      <c r="Q55" s="208" t="inlineStr">
        <is>
          <t>Anthony</t>
        </is>
      </c>
      <c r="R55" s="209">
        <f>VLOOKUP(Q55,$G$1:$P$18,6,FALSE())</f>
        <v/>
      </c>
      <c r="AN55" s="246" t="n"/>
      <c r="AO55" s="246" t="n"/>
      <c r="AP55" s="246" t="n"/>
    </row>
    <row r="56" ht="14.25" customHeight="1" s="175">
      <c r="A56" s="267" t="inlineStr">
        <is>
          <t>Vignesh</t>
        </is>
      </c>
      <c r="B56" s="268" t="n">
        <v>1</v>
      </c>
      <c r="C56" s="269" t="inlineStr">
        <is>
          <t>Ethan</t>
        </is>
      </c>
      <c r="D56" s="192" t="inlineStr">
        <is>
          <t>https://discord.com/channels/191975109500731392/1212839710439776287/1421115662129954927</t>
        </is>
      </c>
      <c r="F56" s="207" t="n"/>
      <c r="G56" s="208" t="inlineStr">
        <is>
          <t>Carter</t>
        </is>
      </c>
      <c r="H56" s="209">
        <f>VLOOKUP(G56,$G$1:$P$18,3,FALSE())</f>
        <v/>
      </c>
      <c r="Q56" s="208" t="inlineStr">
        <is>
          <t>Carter</t>
        </is>
      </c>
      <c r="R56" s="209">
        <f>VLOOKUP(Q56,$G$1:$P$18,6,FALSE())</f>
        <v/>
      </c>
      <c r="AN56" s="179" t="inlineStr">
        <is>
          <t>Overall Part Winner Chart Decision Matrix</t>
        </is>
      </c>
      <c r="AO56" s="180" t="n"/>
      <c r="AP56" s="180" t="n"/>
      <c r="AQ56" s="180" t="n"/>
      <c r="AR56" s="180" t="n"/>
      <c r="AS56" s="180" t="n"/>
      <c r="AT56" s="180" t="n"/>
      <c r="AU56" s="180" t="n"/>
      <c r="AV56" s="181" t="n"/>
    </row>
    <row r="57" ht="14.25" customHeight="1" s="175">
      <c r="A57" s="267" t="inlineStr">
        <is>
          <t>Mikey</t>
        </is>
      </c>
      <c r="B57" s="268" t="n">
        <v>2</v>
      </c>
      <c r="C57" s="269" t="inlineStr">
        <is>
          <t>Evan</t>
        </is>
      </c>
      <c r="D57" s="192" t="inlineStr">
        <is>
          <t>https://discord.com/channels/191975109500731392/1212839710439776287/1421179013124063322</t>
        </is>
      </c>
      <c r="F57" s="207" t="n"/>
      <c r="G57" s="208" t="inlineStr">
        <is>
          <t>Reuben</t>
        </is>
      </c>
      <c r="H57" s="209">
        <f>VLOOKUP(G57,$G$1:$P$18,3,FALSE())</f>
        <v/>
      </c>
      <c r="Q57" s="208" t="inlineStr">
        <is>
          <t>Reuben</t>
        </is>
      </c>
      <c r="R57" s="209">
        <f>VLOOKUP(Q57,$G$1:$P$18,6,FALSE())</f>
        <v/>
      </c>
      <c r="AN57" s="252" t="inlineStr">
        <is>
          <t>MATRIX</t>
        </is>
      </c>
      <c r="AO57" s="253" t="inlineStr">
        <is>
          <t>Kills</t>
        </is>
      </c>
      <c r="AP57" s="253" t="inlineStr">
        <is>
          <t>Deaths</t>
        </is>
      </c>
      <c r="AQ57" s="253" t="inlineStr">
        <is>
          <t>KDR</t>
        </is>
      </c>
      <c r="AR57" s="253" t="inlineStr">
        <is>
          <t>Kill Points</t>
        </is>
      </c>
      <c r="AS57" s="253" t="inlineStr">
        <is>
          <t>Death Points</t>
        </is>
      </c>
      <c r="AT57" s="253" t="inlineStr">
        <is>
          <t>KpDpR</t>
        </is>
      </c>
      <c r="AU57" s="253" t="inlineStr">
        <is>
          <t>KPts/Kill</t>
        </is>
      </c>
      <c r="AV57" s="253" t="inlineStr">
        <is>
          <t>DPts/Death</t>
        </is>
      </c>
    </row>
    <row r="58" ht="14.25" customHeight="1" s="175">
      <c r="A58" s="267" t="inlineStr">
        <is>
          <t>Carter</t>
        </is>
      </c>
      <c r="B58" s="268" t="n">
        <v>2</v>
      </c>
      <c r="C58" s="269" t="inlineStr">
        <is>
          <t>Vignesh</t>
        </is>
      </c>
      <c r="D58" s="192" t="inlineStr">
        <is>
          <t>https://discord.com/channels/191975109500731392/1212839710439776287/1421199939832254566</t>
        </is>
      </c>
      <c r="F58" s="207" t="n"/>
      <c r="G58" s="208" t="inlineStr">
        <is>
          <t>Cooper</t>
        </is>
      </c>
      <c r="H58" s="209">
        <f>VLOOKUP(G58,$G$1:$P$18,3,FALSE())</f>
        <v/>
      </c>
      <c r="Q58" s="208" t="inlineStr">
        <is>
          <t>Cooper</t>
        </is>
      </c>
      <c r="R58" s="209">
        <f>VLOOKUP(Q58,$G$1:$P$18,6,FALSE())</f>
        <v/>
      </c>
      <c r="AN58" s="208" t="inlineStr">
        <is>
          <t>Weight:</t>
        </is>
      </c>
      <c r="AO58" s="229" t="n">
        <v>7.5</v>
      </c>
      <c r="AP58" s="230" t="n">
        <v>-6</v>
      </c>
      <c r="AQ58" s="230" t="n">
        <v>25</v>
      </c>
      <c r="AR58" s="230" t="n">
        <v>8.5</v>
      </c>
      <c r="AS58" s="230" t="n">
        <v>-6.5</v>
      </c>
      <c r="AT58" s="230" t="n">
        <v>25</v>
      </c>
      <c r="AU58" s="230" t="n">
        <v>20</v>
      </c>
      <c r="AV58" s="230" t="n">
        <v>-20</v>
      </c>
      <c r="AW58" s="216" t="inlineStr">
        <is>
          <t>Totals:</t>
        </is>
      </c>
    </row>
    <row r="59" ht="14.25" customHeight="1" s="175">
      <c r="A59" s="267" t="inlineStr">
        <is>
          <t>Ethan</t>
        </is>
      </c>
      <c r="B59" s="268" t="n">
        <v>1</v>
      </c>
      <c r="C59" s="269" t="inlineStr">
        <is>
          <t>Will</t>
        </is>
      </c>
      <c r="D59" s="192" t="inlineStr">
        <is>
          <t>https://discord.com/channels/191975109500731392/1212839710439776287/1421239319351267438</t>
        </is>
      </c>
      <c r="F59" s="207" t="n"/>
      <c r="G59" s="208" t="inlineStr">
        <is>
          <t>Maxine</t>
        </is>
      </c>
      <c r="H59" s="209">
        <f>VLOOKUP(G59,$G$1:$P$18,3,FALSE())</f>
        <v/>
      </c>
      <c r="Q59" s="208" t="inlineStr">
        <is>
          <t>Maxine</t>
        </is>
      </c>
      <c r="R59" s="209">
        <f>VLOOKUP(Q59,$G$1:$P$18,6,FALSE())</f>
        <v/>
      </c>
      <c r="AN59" s="226" t="inlineStr">
        <is>
          <t>Tenors</t>
        </is>
      </c>
      <c r="AO59" s="210">
        <f>H22*$AO$58</f>
        <v/>
      </c>
      <c r="AP59" s="210">
        <f>I22*$AP$58</f>
        <v/>
      </c>
      <c r="AQ59" s="210">
        <f>J22*$AQ$58</f>
        <v/>
      </c>
      <c r="AR59" s="210">
        <f>K22*$AR$58</f>
        <v/>
      </c>
      <c r="AS59" s="210">
        <f>L22*$AS$58</f>
        <v/>
      </c>
      <c r="AT59" s="210">
        <f>M22*$AT$58</f>
        <v/>
      </c>
      <c r="AU59" s="210">
        <f>N22*$AU$58</f>
        <v/>
      </c>
      <c r="AV59" s="210">
        <f>O22*$AV$58</f>
        <v/>
      </c>
      <c r="AW59" s="210">
        <f>SUM(AO59:AV59)</f>
        <v/>
      </c>
    </row>
    <row r="60" ht="14.25" customHeight="1" s="175">
      <c r="A60" s="267" t="inlineStr">
        <is>
          <t>Will</t>
        </is>
      </c>
      <c r="B60" s="268" t="n">
        <v>1</v>
      </c>
      <c r="C60" s="269" t="inlineStr">
        <is>
          <t>Ethan</t>
        </is>
      </c>
      <c r="D60" s="192" t="inlineStr">
        <is>
          <t>https://discord.com/channels/191975109500731392/1212839710439776287/1421239328075546754</t>
        </is>
      </c>
      <c r="F60" s="207" t="n"/>
      <c r="G60" s="208" t="inlineStr">
        <is>
          <t>Erick</t>
        </is>
      </c>
      <c r="H60" s="209">
        <f>VLOOKUP(G60,$G$1:$P$18,3,FALSE())</f>
        <v/>
      </c>
      <c r="Q60" s="208" t="inlineStr">
        <is>
          <t>Erick</t>
        </is>
      </c>
      <c r="R60" s="209">
        <f>VLOOKUP(Q60,$G$1:$P$18,6,FALSE())</f>
        <v/>
      </c>
      <c r="AN60" s="208" t="inlineStr">
        <is>
          <t>Leads</t>
        </is>
      </c>
      <c r="AO60" s="210">
        <f>H23*$AO$58</f>
        <v/>
      </c>
      <c r="AP60" s="210">
        <f>I23*$AP$58</f>
        <v/>
      </c>
      <c r="AQ60" s="210">
        <f>J23*$AQ$58</f>
        <v/>
      </c>
      <c r="AR60" s="210">
        <f>K23*$AR$58</f>
        <v/>
      </c>
      <c r="AS60" s="210">
        <f>L23*$AS$58</f>
        <v/>
      </c>
      <c r="AT60" s="210">
        <f>M23*$AT$58</f>
        <v/>
      </c>
      <c r="AU60" s="210">
        <f>N23*$AU$58</f>
        <v/>
      </c>
      <c r="AV60" s="210">
        <f>O23*$AV$58</f>
        <v/>
      </c>
      <c r="AW60" s="210">
        <f>SUM(AO60:AV60)</f>
        <v/>
      </c>
    </row>
    <row r="61" ht="14.25" customHeight="1" s="175">
      <c r="A61" s="267" t="inlineStr">
        <is>
          <t>Will</t>
        </is>
      </c>
      <c r="B61" s="268" t="n">
        <v>2</v>
      </c>
      <c r="C61" s="269" t="inlineStr">
        <is>
          <t>Rob</t>
        </is>
      </c>
      <c r="D61" s="192" t="inlineStr">
        <is>
          <t>https://discord.com/channels/191975109500731392/1212839710439776287/1421570676350914792</t>
        </is>
      </c>
      <c r="F61" s="192" t="n"/>
      <c r="G61" s="208" t="inlineStr">
        <is>
          <t>Joey</t>
        </is>
      </c>
      <c r="H61" s="209">
        <f>VLOOKUP(G61,$G$1:$P$18,3,FALSE())</f>
        <v/>
      </c>
      <c r="Q61" s="208" t="inlineStr">
        <is>
          <t>Joey</t>
        </is>
      </c>
      <c r="R61" s="209">
        <f>VLOOKUP(Q61,$G$1:$P$18,6,FALSE())</f>
        <v/>
      </c>
      <c r="AN61" s="208" t="inlineStr">
        <is>
          <t>Baris</t>
        </is>
      </c>
      <c r="AO61" s="210">
        <f>H24*$AO$58</f>
        <v/>
      </c>
      <c r="AP61" s="210">
        <f>I24*$AP$58</f>
        <v/>
      </c>
      <c r="AQ61" s="210">
        <f>J24*$AQ$58</f>
        <v/>
      </c>
      <c r="AR61" s="210">
        <f>K24*$AR$58</f>
        <v/>
      </c>
      <c r="AS61" s="210">
        <f>L24*$AS$58</f>
        <v/>
      </c>
      <c r="AT61" s="210">
        <f>M24*$AT$58</f>
        <v/>
      </c>
      <c r="AU61" s="210">
        <f>N24*$AU$58</f>
        <v/>
      </c>
      <c r="AV61" s="210">
        <f>O24*$AV$58</f>
        <v/>
      </c>
      <c r="AW61" s="210">
        <f>SUM(AO61:AV61)</f>
        <v/>
      </c>
    </row>
    <row r="62" ht="14.25" customHeight="1" s="175">
      <c r="A62" s="267" t="inlineStr">
        <is>
          <t>Mikey</t>
        </is>
      </c>
      <c r="B62" s="268" t="n">
        <v>2</v>
      </c>
      <c r="C62" s="269" t="inlineStr">
        <is>
          <t>Rob</t>
        </is>
      </c>
      <c r="D62" s="192" t="inlineStr">
        <is>
          <t>https://discord.com/channels/191975109500731392/1212839710439776287/1421590635676303370</t>
        </is>
      </c>
      <c r="F62" s="207" t="n"/>
      <c r="G62" s="208" t="inlineStr">
        <is>
          <t>Peter</t>
        </is>
      </c>
      <c r="H62" s="209">
        <f>VLOOKUP(G62,$G$1:$P$18,3,FALSE())</f>
        <v/>
      </c>
      <c r="Q62" s="208" t="inlineStr">
        <is>
          <t>Peter</t>
        </is>
      </c>
      <c r="R62" s="209">
        <f>VLOOKUP(Q62,$G$1:$P$18,6,FALSE())</f>
        <v/>
      </c>
      <c r="AN62" s="208" t="inlineStr">
        <is>
          <t>Basses</t>
        </is>
      </c>
      <c r="AO62" s="210">
        <f>H25*$AO$58</f>
        <v/>
      </c>
      <c r="AP62" s="210">
        <f>I25*$AP$58</f>
        <v/>
      </c>
      <c r="AQ62" s="210">
        <f>J25*$AQ$58</f>
        <v/>
      </c>
      <c r="AR62" s="210">
        <f>K25*$AR$58</f>
        <v/>
      </c>
      <c r="AS62" s="210">
        <f>L25*$AS$58</f>
        <v/>
      </c>
      <c r="AT62" s="210">
        <f>M25*$AT$58</f>
        <v/>
      </c>
      <c r="AU62" s="210">
        <f>N25*$AU$58</f>
        <v/>
      </c>
      <c r="AV62" s="210">
        <f>O25*$AV$58</f>
        <v/>
      </c>
      <c r="AW62" s="210">
        <f>SUM(AO62:AV62)</f>
        <v/>
      </c>
    </row>
    <row r="63" ht="14.25" customHeight="1" s="175">
      <c r="A63" s="267" t="inlineStr">
        <is>
          <t>Ethan</t>
        </is>
      </c>
      <c r="B63" s="268" t="n">
        <v>2</v>
      </c>
      <c r="C63" s="269" t="inlineStr">
        <is>
          <t>Reuben</t>
        </is>
      </c>
      <c r="D63" s="192" t="inlineStr">
        <is>
          <t>https://discord.com/channels/191975109500731392/1212839710439776287/1421917936066498591</t>
        </is>
      </c>
      <c r="F63" s="207" t="n"/>
      <c r="AN63" s="247" t="inlineStr">
        <is>
          <t>Basses (No Reuben)</t>
        </is>
      </c>
      <c r="AO63" s="210">
        <f>H26*$AO$58</f>
        <v/>
      </c>
      <c r="AP63" s="210">
        <f>I26*$AP$58</f>
        <v/>
      </c>
      <c r="AQ63" s="210">
        <f>J26*$AQ$58</f>
        <v/>
      </c>
      <c r="AR63" s="210">
        <f>K26*$AR$58</f>
        <v/>
      </c>
      <c r="AS63" s="210">
        <f>L26*$AS$58</f>
        <v/>
      </c>
      <c r="AT63" s="210">
        <f>M26*$AT$58</f>
        <v/>
      </c>
      <c r="AU63" s="210">
        <f>N26*$AU$58</f>
        <v/>
      </c>
      <c r="AV63" s="210">
        <f>O26*$AV$58</f>
        <v/>
      </c>
      <c r="AW63" s="210">
        <f>SUM(AO63:AV63)</f>
        <v/>
      </c>
    </row>
    <row r="64" ht="14.25" customHeight="1" s="175">
      <c r="A64" s="267" t="inlineStr">
        <is>
          <t>Mikey</t>
        </is>
      </c>
      <c r="B64" s="268" t="n">
        <v>1</v>
      </c>
      <c r="C64" s="269" t="inlineStr">
        <is>
          <t>Will</t>
        </is>
      </c>
      <c r="D64" s="192" t="inlineStr">
        <is>
          <t>https://discord.com/channels/191975109500731392/1212839710439776287/1422066651402338366</t>
        </is>
      </c>
      <c r="F64" s="207" t="n"/>
      <c r="G64" s="208" t="inlineStr">
        <is>
          <t>Person:</t>
        </is>
      </c>
      <c r="H64" s="216" t="inlineStr">
        <is>
          <t>KDR</t>
        </is>
      </c>
      <c r="Q64" s="208" t="inlineStr">
        <is>
          <t>Person:</t>
        </is>
      </c>
      <c r="R64" s="216" t="inlineStr">
        <is>
          <t>KpDpR</t>
        </is>
      </c>
    </row>
    <row r="65" ht="14.25" customHeight="1" s="175">
      <c r="A65" s="267" t="inlineStr">
        <is>
          <t>Will</t>
        </is>
      </c>
      <c r="B65" s="268" t="n">
        <v>1</v>
      </c>
      <c r="C65" s="269" t="inlineStr">
        <is>
          <t>Mikey</t>
        </is>
      </c>
      <c r="D65" s="192" t="inlineStr">
        <is>
          <t>https://discord.com/channels/191975109500731392/1212839710439776287/1422066685174878271</t>
        </is>
      </c>
      <c r="F65" s="207" t="n"/>
      <c r="G65" s="208" t="inlineStr">
        <is>
          <t>Peter</t>
        </is>
      </c>
      <c r="H65" s="210">
        <f>VLOOKUP(G65,$G$1:$P$18,4,FALSE())</f>
        <v/>
      </c>
      <c r="Q65" s="208" t="inlineStr">
        <is>
          <t>Maxine</t>
        </is>
      </c>
      <c r="R65" s="210">
        <f>VLOOKUP(Q65,$G$1:$P$18,7,FALSE())</f>
        <v/>
      </c>
      <c r="AN65" s="248" t="inlineStr">
        <is>
          <t>Part</t>
        </is>
      </c>
      <c r="AO65" s="249" t="inlineStr">
        <is>
          <t>Score</t>
        </is>
      </c>
      <c r="AP65" s="249" t="inlineStr">
        <is>
          <t>Adjusted</t>
        </is>
      </c>
    </row>
    <row r="66" ht="14.25" customHeight="1" s="175">
      <c r="A66" s="267" t="inlineStr">
        <is>
          <t>Will</t>
        </is>
      </c>
      <c r="B66" s="268" t="n">
        <v>2</v>
      </c>
      <c r="C66" s="269" t="inlineStr">
        <is>
          <t>Lucy</t>
        </is>
      </c>
      <c r="D66" s="192" t="inlineStr">
        <is>
          <t>https://discord.com/channels/191975109500731392/1212839710439776287/1422279926337241099</t>
        </is>
      </c>
      <c r="F66" s="207" t="n"/>
      <c r="G66" s="208" t="inlineStr">
        <is>
          <t>Maxine</t>
        </is>
      </c>
      <c r="H66" s="210">
        <f>VLOOKUP(G66,$G$1:$P$18,4,FALSE())</f>
        <v/>
      </c>
      <c r="Q66" s="208" t="inlineStr">
        <is>
          <t>Peter</t>
        </is>
      </c>
      <c r="R66" s="210">
        <f>VLOOKUP(Q66,$G$1:$P$18,7,FALSE())</f>
        <v/>
      </c>
      <c r="AN66" s="256" t="inlineStr">
        <is>
          <t>Basses (No Reuben)</t>
        </is>
      </c>
      <c r="AO66" s="251">
        <f>$AW$63</f>
        <v/>
      </c>
      <c r="AP66" s="251">
        <f>AO66-($AO$70)</f>
        <v/>
      </c>
    </row>
    <row r="67" ht="14.25" customHeight="1" s="175">
      <c r="A67" s="267" t="inlineStr">
        <is>
          <t>Lucy</t>
        </is>
      </c>
      <c r="B67" s="268" t="n">
        <v>1</v>
      </c>
      <c r="C67" s="269" t="inlineStr">
        <is>
          <t>Will</t>
        </is>
      </c>
      <c r="D67" s="192" t="inlineStr">
        <is>
          <t>https://discord.com/channels/191975109500731392/1212839710439776287/1422280329690877974</t>
        </is>
      </c>
      <c r="F67" s="207" t="n"/>
      <c r="G67" s="208" t="inlineStr">
        <is>
          <t>Ethan</t>
        </is>
      </c>
      <c r="H67" s="210">
        <f>VLOOKUP(G67,$G$1:$P$18,4,FALSE())</f>
        <v/>
      </c>
      <c r="Q67" s="208" t="inlineStr">
        <is>
          <t>Ethan</t>
        </is>
      </c>
      <c r="R67" s="210">
        <f>VLOOKUP(Q67,$G$1:$P$18,7,FALSE())</f>
        <v/>
      </c>
      <c r="AN67" s="208" t="inlineStr">
        <is>
          <t>Baris</t>
        </is>
      </c>
      <c r="AO67" s="251">
        <f>$AW$61</f>
        <v/>
      </c>
      <c r="AP67" s="251">
        <f>AO67-($AO$70)</f>
        <v/>
      </c>
    </row>
    <row r="68" ht="14.25" customHeight="1" s="175">
      <c r="A68" s="267" t="inlineStr">
        <is>
          <t>Will</t>
        </is>
      </c>
      <c r="B68" s="268" t="n">
        <v>2</v>
      </c>
      <c r="C68" s="269" t="inlineStr">
        <is>
          <t>Ethan</t>
        </is>
      </c>
      <c r="D68" s="192" t="inlineStr">
        <is>
          <t>https://discord.com/channels/191975109500731392/1212839710439776287/1422282336204095539</t>
        </is>
      </c>
      <c r="F68" s="207" t="n"/>
      <c r="G68" s="208" t="inlineStr">
        <is>
          <t>Lucy</t>
        </is>
      </c>
      <c r="H68" s="210">
        <f>VLOOKUP(G68,$G$1:$P$18,4,FALSE())</f>
        <v/>
      </c>
      <c r="Q68" s="208" t="inlineStr">
        <is>
          <t>Carter</t>
        </is>
      </c>
      <c r="R68" s="210">
        <f>VLOOKUP(Q68,$G$1:$P$18,7,FALSE())</f>
        <v/>
      </c>
      <c r="AN68" s="208" t="inlineStr">
        <is>
          <t>Leads</t>
        </is>
      </c>
      <c r="AO68" s="251">
        <f>$AW$60</f>
        <v/>
      </c>
      <c r="AP68" s="251">
        <f>AO68-($AO$70)</f>
        <v/>
      </c>
    </row>
    <row r="69" ht="14.25" customHeight="1" s="175">
      <c r="A69" s="267" t="inlineStr">
        <is>
          <t>Ethan</t>
        </is>
      </c>
      <c r="B69" s="268" t="n">
        <v>1</v>
      </c>
      <c r="C69" s="269" t="inlineStr">
        <is>
          <t>Will</t>
        </is>
      </c>
      <c r="D69" s="192" t="inlineStr">
        <is>
          <t>https://discord.com/channels/191975109500731392/1212839710439776287/1422282460548563006</t>
        </is>
      </c>
      <c r="F69" s="207" t="n"/>
      <c r="G69" s="208" t="inlineStr">
        <is>
          <t>Carter</t>
        </is>
      </c>
      <c r="H69" s="210">
        <f>VLOOKUP(G69,$G$1:$P$18,4,FALSE())</f>
        <v/>
      </c>
      <c r="Q69" s="208" t="inlineStr">
        <is>
          <t>Joey</t>
        </is>
      </c>
      <c r="R69" s="210">
        <f>VLOOKUP(Q69,$G$1:$P$18,7,FALSE())</f>
        <v/>
      </c>
      <c r="AN69" s="208" t="inlineStr">
        <is>
          <t>Tenors</t>
        </is>
      </c>
      <c r="AO69" s="257">
        <f>$AW$59</f>
        <v/>
      </c>
      <c r="AP69" s="251">
        <f>AO69-($AO$70)</f>
        <v/>
      </c>
    </row>
    <row r="70" ht="14.25" customHeight="1" s="175">
      <c r="A70" s="267" t="inlineStr">
        <is>
          <t>Lucy</t>
        </is>
      </c>
      <c r="B70" s="268" t="n">
        <v>2</v>
      </c>
      <c r="C70" s="269" t="inlineStr">
        <is>
          <t>Ethan</t>
        </is>
      </c>
      <c r="D70" s="192" t="inlineStr">
        <is>
          <t>https://discord.com/channels/191975109500731392/1212839710439776287/1422288409614880908</t>
        </is>
      </c>
      <c r="F70" s="207" t="n"/>
      <c r="G70" s="208" t="inlineStr">
        <is>
          <t>Will</t>
        </is>
      </c>
      <c r="H70" s="210">
        <f>VLOOKUP(G70,$G$1:$P$18,4,FALSE())</f>
        <v/>
      </c>
      <c r="Q70" s="208" t="inlineStr">
        <is>
          <t>Lucy</t>
        </is>
      </c>
      <c r="R70" s="210">
        <f>VLOOKUP(Q70,$G$1:$P$18,7,FALSE())</f>
        <v/>
      </c>
      <c r="AN70" s="258" t="inlineStr">
        <is>
          <t>Basses</t>
        </is>
      </c>
      <c r="AO70" s="251">
        <f>$AW$62</f>
        <v/>
      </c>
      <c r="AP70" s="259">
        <f>AO70-($AO$70)</f>
        <v/>
      </c>
    </row>
    <row r="71" ht="14.25" customHeight="1" s="175">
      <c r="A71" s="267" t="inlineStr">
        <is>
          <t>Grady</t>
        </is>
      </c>
      <c r="B71" s="268" t="n">
        <v>2</v>
      </c>
      <c r="C71" s="269" t="inlineStr">
        <is>
          <t>Mikey</t>
        </is>
      </c>
      <c r="D71" s="192" t="inlineStr">
        <is>
          <t>https://discord.com/channels/191975109500731392/1212839710439776287/1422316967649611887</t>
        </is>
      </c>
      <c r="F71" s="192" t="n"/>
      <c r="G71" s="208" t="inlineStr">
        <is>
          <t>Mikey</t>
        </is>
      </c>
      <c r="H71" s="210">
        <f>VLOOKUP(G71,$G$1:$P$18,4,FALSE())</f>
        <v/>
      </c>
      <c r="Q71" s="208" t="inlineStr">
        <is>
          <t>Will</t>
        </is>
      </c>
      <c r="R71" s="210">
        <f>VLOOKUP(Q71,$G$1:$P$18,7,FALSE())</f>
        <v/>
      </c>
    </row>
    <row r="72" ht="14.25" customHeight="1" s="175">
      <c r="A72" s="267" t="inlineStr">
        <is>
          <t>Will</t>
        </is>
      </c>
      <c r="B72" s="268" t="n">
        <v>1</v>
      </c>
      <c r="C72" s="269" t="inlineStr">
        <is>
          <t>Mikey</t>
        </is>
      </c>
      <c r="D72" s="192" t="inlineStr">
        <is>
          <t>https://discord.com/channels/191975109500731392/1212839710439776287/1422318729622192228</t>
        </is>
      </c>
      <c r="F72" s="207" t="n"/>
      <c r="G72" s="208" t="inlineStr">
        <is>
          <t>Joey</t>
        </is>
      </c>
      <c r="H72" s="210">
        <f>VLOOKUP(G72,$G$1:$P$18,4,FALSE())</f>
        <v/>
      </c>
      <c r="Q72" s="208" t="inlineStr">
        <is>
          <t>Mikey</t>
        </is>
      </c>
      <c r="R72" s="210">
        <f>VLOOKUP(Q72,$G$1:$P$18,7,FALSE())</f>
        <v/>
      </c>
    </row>
    <row r="73" ht="14.25" customHeight="1" s="175">
      <c r="A73" s="267" t="inlineStr">
        <is>
          <t>Mikey</t>
        </is>
      </c>
      <c r="B73" s="268" t="n">
        <v>1</v>
      </c>
      <c r="C73" s="269" t="inlineStr">
        <is>
          <t>Will</t>
        </is>
      </c>
      <c r="D73" s="192" t="inlineStr">
        <is>
          <t>https://discord.com/channels/191975109500731392/1212839710439776287/1422318736995520684</t>
        </is>
      </c>
      <c r="F73" s="207" t="n"/>
      <c r="G73" s="208" t="inlineStr">
        <is>
          <t>Anthony</t>
        </is>
      </c>
      <c r="H73" s="210">
        <f>VLOOKUP(G73,$G$1:$P$18,4,FALSE())</f>
        <v/>
      </c>
      <c r="Q73" s="208" t="inlineStr">
        <is>
          <t>Anthony</t>
        </is>
      </c>
      <c r="R73" s="210">
        <f>VLOOKUP(Q73,$G$1:$P$18,7,FALSE())</f>
        <v/>
      </c>
    </row>
    <row r="74" ht="14.25" customHeight="1" s="175">
      <c r="A74" s="267" t="inlineStr">
        <is>
          <t>Anthony</t>
        </is>
      </c>
      <c r="B74" s="268" t="n">
        <v>2</v>
      </c>
      <c r="C74" s="269" t="inlineStr">
        <is>
          <t>Mikey</t>
        </is>
      </c>
      <c r="D74" s="192" t="inlineStr">
        <is>
          <t>https://discord.com/channels/191975109500731392/1212839710439776287/1422321480485699666</t>
        </is>
      </c>
      <c r="F74" s="207" t="n"/>
      <c r="G74" s="208" t="inlineStr">
        <is>
          <t>Erick</t>
        </is>
      </c>
      <c r="H74" s="210">
        <f>VLOOKUP(G74,$G$1:$P$18,4,FALSE())</f>
        <v/>
      </c>
      <c r="Q74" s="208" t="inlineStr">
        <is>
          <t>Vignesh</t>
        </is>
      </c>
      <c r="R74" s="210">
        <f>VLOOKUP(Q74,$G$1:$P$18,7,FALSE())</f>
        <v/>
      </c>
      <c r="AH74" s="246" t="n"/>
      <c r="AK74" s="246" t="n"/>
      <c r="AN74" s="246" t="n"/>
      <c r="AO74" s="246" t="n"/>
      <c r="AP74" s="246" t="n"/>
    </row>
    <row r="75" ht="14.25" customHeight="1" s="175">
      <c r="A75" s="267" t="inlineStr">
        <is>
          <t>Anthony</t>
        </is>
      </c>
      <c r="B75" s="268" t="n">
        <v>2</v>
      </c>
      <c r="C75" s="269" t="inlineStr">
        <is>
          <t>Will</t>
        </is>
      </c>
      <c r="D75" s="192" t="inlineStr">
        <is>
          <t>https://discord.com/channels/191975109500731392/1212839710439776287/1422321480485699666</t>
        </is>
      </c>
      <c r="F75" s="207" t="n"/>
      <c r="G75" s="208" t="inlineStr">
        <is>
          <t>Evan</t>
        </is>
      </c>
      <c r="H75" s="210">
        <f>VLOOKUP(G75,$G$1:$P$18,4,FALSE())</f>
        <v/>
      </c>
      <c r="Q75" s="208" t="inlineStr">
        <is>
          <t>Cooper</t>
        </is>
      </c>
      <c r="R75" s="210">
        <f>VLOOKUP(Q75,$G$1:$P$18,7,FALSE())</f>
        <v/>
      </c>
      <c r="AE75" s="246" t="n"/>
      <c r="AF75" s="246" t="n"/>
      <c r="AK75" s="246" t="n"/>
      <c r="AN75" s="246" t="n"/>
      <c r="AO75" s="246" t="n"/>
      <c r="AP75" s="246" t="n"/>
    </row>
    <row r="76" ht="14.25" customHeight="1" s="175">
      <c r="A76" s="267" t="inlineStr">
        <is>
          <t>Will</t>
        </is>
      </c>
      <c r="B76" s="268" t="n">
        <v>1</v>
      </c>
      <c r="C76" s="269" t="inlineStr">
        <is>
          <t>Anthony</t>
        </is>
      </c>
      <c r="D76" s="192" t="inlineStr">
        <is>
          <t>https://discord.com/channels/191975109500731392/1212839710439776287/1422321541991108618</t>
        </is>
      </c>
      <c r="F76" s="207" t="n"/>
      <c r="G76" s="208" t="inlineStr">
        <is>
          <t>Vignesh</t>
        </is>
      </c>
      <c r="H76" s="210">
        <f>VLOOKUP(G76,$G$1:$P$18,4,FALSE())</f>
        <v/>
      </c>
      <c r="Q76" s="208" t="inlineStr">
        <is>
          <t>Erick</t>
        </is>
      </c>
      <c r="R76" s="210">
        <f>VLOOKUP(Q76,$G$1:$P$18,7,FALSE())</f>
        <v/>
      </c>
      <c r="AN76" s="246" t="n"/>
      <c r="AO76" s="246" t="n"/>
      <c r="AP76" s="246" t="n"/>
    </row>
    <row r="77" ht="14.25" customHeight="1" s="175">
      <c r="A77" s="267" t="inlineStr">
        <is>
          <t>Mikey</t>
        </is>
      </c>
      <c r="B77" s="268" t="n">
        <v>1</v>
      </c>
      <c r="C77" s="269" t="inlineStr">
        <is>
          <t>Anthony</t>
        </is>
      </c>
      <c r="D77" s="192" t="inlineStr">
        <is>
          <t>https://discord.com/channels/191975109500731392/1212839710439776287/1422321543731740915</t>
        </is>
      </c>
      <c r="F77" s="207" t="n"/>
      <c r="G77" s="208" t="inlineStr">
        <is>
          <t>Grady</t>
        </is>
      </c>
      <c r="H77" s="210">
        <f>VLOOKUP(G77,$G$1:$P$18,4,FALSE())</f>
        <v/>
      </c>
      <c r="Q77" s="208" t="inlineStr">
        <is>
          <t>Evan</t>
        </is>
      </c>
      <c r="R77" s="210">
        <f>VLOOKUP(Q77,$G$1:$P$18,7,FALSE())</f>
        <v/>
      </c>
      <c r="AN77" s="246" t="n"/>
      <c r="AO77" s="246" t="n"/>
      <c r="AP77" s="246" t="n"/>
    </row>
    <row r="78" ht="14.25" customHeight="1" s="175">
      <c r="A78" s="267" t="inlineStr">
        <is>
          <t>Mikey</t>
        </is>
      </c>
      <c r="B78" s="268" t="n">
        <v>1</v>
      </c>
      <c r="C78" s="269" t="inlineStr">
        <is>
          <t>Lucy</t>
        </is>
      </c>
      <c r="D78" s="173" t="inlineStr">
        <is>
          <t>https://discord.com/channels/191975109500731392/1212839710439776287/1422398052718870618</t>
        </is>
      </c>
      <c r="F78" s="207" t="n"/>
      <c r="G78" s="208" t="inlineStr">
        <is>
          <t>Cooper</t>
        </is>
      </c>
      <c r="H78" s="210">
        <f>VLOOKUP(G78,$G$1:$P$18,4,FALSE())</f>
        <v/>
      </c>
      <c r="Q78" s="208" t="inlineStr">
        <is>
          <t>Grady</t>
        </is>
      </c>
      <c r="R78" s="210">
        <f>VLOOKUP(Q78,$G$1:$P$18,7,FALSE())</f>
        <v/>
      </c>
      <c r="AO78" s="246" t="n"/>
      <c r="AP78" s="246" t="n"/>
    </row>
    <row r="79" ht="14.25" customHeight="1" s="175">
      <c r="A79" s="267" t="inlineStr">
        <is>
          <t>Lucy</t>
        </is>
      </c>
      <c r="B79" s="268" t="n">
        <v>1</v>
      </c>
      <c r="C79" s="269" t="inlineStr">
        <is>
          <t>Mikey</t>
        </is>
      </c>
      <c r="D79" s="173" t="inlineStr">
        <is>
          <t>https://discord.com/channels/191975109500731392/1212839710439776287/1422398101800357888</t>
        </is>
      </c>
      <c r="F79" s="207" t="n"/>
      <c r="G79" s="208" t="inlineStr">
        <is>
          <t>Rob</t>
        </is>
      </c>
      <c r="H79" s="210">
        <f>VLOOKUP(G79,$G$1:$P$18,4,FALSE())</f>
        <v/>
      </c>
      <c r="Q79" s="208" t="inlineStr">
        <is>
          <t>Rob</t>
        </is>
      </c>
      <c r="R79" s="210">
        <f>VLOOKUP(Q79,$G$1:$P$18,7,FALSE())</f>
        <v/>
      </c>
      <c r="AN79" s="246" t="n"/>
      <c r="AO79" s="246" t="n"/>
      <c r="AP79" s="246" t="n"/>
    </row>
    <row r="80" ht="14.25" customHeight="1" s="175">
      <c r="A80" s="267" t="inlineStr">
        <is>
          <t>Ethan</t>
        </is>
      </c>
      <c r="B80" s="268" t="n">
        <v>1</v>
      </c>
      <c r="C80" s="269" t="inlineStr">
        <is>
          <t>Grady</t>
        </is>
      </c>
      <c r="D80" s="173" t="inlineStr">
        <is>
          <t>https://discord.com/channels/191975109500731392/1212839710439776287/1422597187493167124</t>
        </is>
      </c>
      <c r="F80" s="207" t="n"/>
      <c r="G80" s="208" t="inlineStr">
        <is>
          <t>Reuben</t>
        </is>
      </c>
      <c r="H80" s="210">
        <f>VLOOKUP(G80,$G$1:$P$18,4,FALSE())</f>
        <v/>
      </c>
      <c r="Q80" s="208" t="inlineStr">
        <is>
          <t>Reuben</t>
        </is>
      </c>
      <c r="R80" s="210">
        <f>VLOOKUP(Q80,$G$1:$P$18,7,FALSE())</f>
        <v/>
      </c>
    </row>
    <row r="81" ht="14.25" customHeight="1" s="175">
      <c r="A81" s="267" t="inlineStr">
        <is>
          <t>Will</t>
        </is>
      </c>
      <c r="B81" s="268" t="n">
        <v>2</v>
      </c>
      <c r="C81" s="269" t="inlineStr">
        <is>
          <t>Grady</t>
        </is>
      </c>
      <c r="D81" s="173" t="inlineStr">
        <is>
          <t>https://discord.com/channels/191975109500731392/1212839710439776287/1422597425083973682</t>
        </is>
      </c>
      <c r="F81" s="192" t="n"/>
    </row>
    <row r="82" ht="14.25" customHeight="1" s="175">
      <c r="A82" s="267" t="inlineStr">
        <is>
          <t>Grady</t>
        </is>
      </c>
      <c r="B82" s="268" t="n">
        <v>1</v>
      </c>
      <c r="C82" s="269" t="inlineStr">
        <is>
          <t>Ethan</t>
        </is>
      </c>
      <c r="D82" s="192" t="inlineStr">
        <is>
          <t>https://discord.com/channels/191975109500731392/1212839710439776287/1422597431589212330</t>
        </is>
      </c>
      <c r="F82" s="207" t="n"/>
      <c r="G82" s="208" t="inlineStr">
        <is>
          <t>Part:</t>
        </is>
      </c>
      <c r="H82" s="216" t="inlineStr">
        <is>
          <t>Kills</t>
        </is>
      </c>
      <c r="Q82" s="208" t="inlineStr">
        <is>
          <t>Part:</t>
        </is>
      </c>
      <c r="R82" s="216" t="inlineStr">
        <is>
          <t>Kill Points</t>
        </is>
      </c>
    </row>
    <row r="83" ht="14.25" customHeight="1" s="175">
      <c r="A83" s="267" t="inlineStr">
        <is>
          <t>Evan</t>
        </is>
      </c>
      <c r="B83" s="268" t="n">
        <v>1</v>
      </c>
      <c r="C83" s="269" t="inlineStr">
        <is>
          <t>Grady</t>
        </is>
      </c>
      <c r="D83" s="192" t="inlineStr">
        <is>
          <t>https://discord.com/channels/191975109500731392/1212839710439776287/1422618283399712839</t>
        </is>
      </c>
      <c r="F83" s="207" t="n"/>
      <c r="G83" s="226" t="inlineStr">
        <is>
          <t>Basses</t>
        </is>
      </c>
      <c r="H83" s="241">
        <f>VLOOKUP(G83,$G$22:$O$26,2,FALSE())</f>
        <v/>
      </c>
      <c r="Q83" s="226" t="inlineStr">
        <is>
          <t>Basses</t>
        </is>
      </c>
      <c r="R83" s="241">
        <f>VLOOKUP(Q83,$G$22:$O$26,5,FALSE())</f>
        <v/>
      </c>
    </row>
    <row r="84" ht="14.25" customHeight="1" s="175">
      <c r="A84" s="267" t="inlineStr">
        <is>
          <t>Grady</t>
        </is>
      </c>
      <c r="B84" s="268" t="n">
        <v>1</v>
      </c>
      <c r="C84" s="269" t="inlineStr">
        <is>
          <t>Evan</t>
        </is>
      </c>
      <c r="D84" s="192" t="inlineStr">
        <is>
          <t>https://discord.com/channels/191975109500731392/1212839710439776287/1422618411816452158</t>
        </is>
      </c>
      <c r="F84" s="207" t="n"/>
      <c r="G84" s="208" t="inlineStr">
        <is>
          <t>Tenors</t>
        </is>
      </c>
      <c r="H84" s="241">
        <f>VLOOKUP(G84,$G$22:$O$26,2,FALSE())</f>
        <v/>
      </c>
      <c r="Q84" s="208" t="inlineStr">
        <is>
          <t>Tenors</t>
        </is>
      </c>
      <c r="R84" s="241">
        <f>VLOOKUP(Q84,$G$22:$O$26,5,FALSE())</f>
        <v/>
      </c>
    </row>
    <row r="85" ht="14.25" customHeight="1" s="175">
      <c r="A85" s="267" t="inlineStr">
        <is>
          <t>Mikey</t>
        </is>
      </c>
      <c r="B85" s="268" t="n">
        <v>1</v>
      </c>
      <c r="C85" s="269" t="inlineStr">
        <is>
          <t>Rob</t>
        </is>
      </c>
      <c r="D85" s="192" t="inlineStr">
        <is>
          <t>https://discord.com/channels/191975109500731392/1212839710439776287/1422641097771061338</t>
        </is>
      </c>
      <c r="F85" s="207" t="n"/>
      <c r="G85" s="208" t="inlineStr">
        <is>
          <t>Leads</t>
        </is>
      </c>
      <c r="H85" s="241">
        <f>VLOOKUP(G85,$G$22:$O$26,2,FALSE())</f>
        <v/>
      </c>
      <c r="Q85" s="208" t="inlineStr">
        <is>
          <t>Leads</t>
        </is>
      </c>
      <c r="R85" s="241">
        <f>VLOOKUP(Q85,$G$22:$O$26,5,FALSE())</f>
        <v/>
      </c>
    </row>
    <row r="86" ht="14.25" customHeight="1" s="175">
      <c r="A86" s="267" t="inlineStr">
        <is>
          <t>Rob</t>
        </is>
      </c>
      <c r="B86" s="268" t="n">
        <v>1</v>
      </c>
      <c r="C86" s="269" t="inlineStr">
        <is>
          <t>Mikey</t>
        </is>
      </c>
      <c r="D86" s="192" t="inlineStr">
        <is>
          <t>https://discord.com/channels/191975109500731392/1212839710439776287/1422641428064108696</t>
        </is>
      </c>
      <c r="F86" s="207" t="n"/>
      <c r="G86" s="208" t="inlineStr">
        <is>
          <t>Baris</t>
        </is>
      </c>
      <c r="H86" s="241">
        <f>VLOOKUP(G86,$G$22:$O$26,2,FALSE())</f>
        <v/>
      </c>
      <c r="Q86" s="208" t="inlineStr">
        <is>
          <t>Baris</t>
        </is>
      </c>
      <c r="R86" s="241">
        <f>VLOOKUP(Q86,$G$22:$O$26,5,FALSE())</f>
        <v/>
      </c>
    </row>
    <row r="87" ht="14.25" customHeight="1" s="175">
      <c r="A87" s="267" t="inlineStr">
        <is>
          <t>Rob</t>
        </is>
      </c>
      <c r="B87" s="268" t="n">
        <v>2</v>
      </c>
      <c r="C87" s="269" t="inlineStr">
        <is>
          <t>Mikey</t>
        </is>
      </c>
      <c r="D87" s="192" t="inlineStr">
        <is>
          <t>https://discord.com/channels/191975109500731392/1212839710439776287/1422687767955116043</t>
        </is>
      </c>
      <c r="F87" s="207" t="n"/>
    </row>
    <row r="88" ht="14.25" customHeight="1" s="175">
      <c r="A88" s="267" t="inlineStr">
        <is>
          <t>Mikey</t>
        </is>
      </c>
      <c r="B88" s="268" t="n">
        <v>2</v>
      </c>
      <c r="C88" s="269" t="inlineStr">
        <is>
          <t>Will</t>
        </is>
      </c>
      <c r="D88" s="192" t="inlineStr">
        <is>
          <t>https://discord.com/channels/191975109500731392/1212839710439776287/1422701907612405872</t>
        </is>
      </c>
      <c r="F88" s="207" t="n"/>
    </row>
    <row r="89" ht="14.25" customHeight="1" s="175">
      <c r="A89" s="267" t="inlineStr">
        <is>
          <t>Joey</t>
        </is>
      </c>
      <c r="B89" s="268" t="n">
        <v>1</v>
      </c>
      <c r="C89" s="269" t="inlineStr">
        <is>
          <t>Carter</t>
        </is>
      </c>
      <c r="D89" s="192" t="inlineStr">
        <is>
          <t>https://discord.com/channels/191975109500731392/1212839710439776287/1422708513246941346</t>
        </is>
      </c>
      <c r="E89" s="173" t="n">
        <v>1</v>
      </c>
      <c r="F89" s="207" t="n"/>
      <c r="AO89" s="246" t="n"/>
      <c r="AP89" s="260" t="n"/>
    </row>
    <row r="90" ht="14.25" customHeight="1" s="175">
      <c r="A90" s="267" t="inlineStr">
        <is>
          <t>Carter</t>
        </is>
      </c>
      <c r="B90" s="268" t="n">
        <v>1</v>
      </c>
      <c r="C90" s="269" t="inlineStr">
        <is>
          <t>Joey</t>
        </is>
      </c>
      <c r="D90" s="192" t="inlineStr">
        <is>
          <t>https://discord.com/channels/191975109500731392/1212839710439776287/1422708646801969153</t>
        </is>
      </c>
      <c r="F90" s="207" t="n"/>
      <c r="AO90" s="246" t="n"/>
      <c r="AP90" s="260" t="n"/>
    </row>
    <row r="91" ht="14.25" customHeight="1" s="175">
      <c r="A91" s="267" t="inlineStr">
        <is>
          <t>Rob</t>
        </is>
      </c>
      <c r="B91" s="268" t="n">
        <v>1</v>
      </c>
      <c r="C91" s="269" t="inlineStr">
        <is>
          <t>Vignesh</t>
        </is>
      </c>
      <c r="D91" s="192" t="inlineStr">
        <is>
          <t>https://discord.com/channels/191975109500731392/1212839710439776287/1422716315738574958</t>
        </is>
      </c>
      <c r="F91" s="207" t="n"/>
      <c r="AO91" s="246" t="n"/>
      <c r="AP91" s="260" t="n"/>
    </row>
    <row r="92" ht="14.25" customHeight="1" s="175">
      <c r="A92" s="267" t="inlineStr">
        <is>
          <t>Vignesh</t>
        </is>
      </c>
      <c r="B92" s="268" t="n">
        <v>1</v>
      </c>
      <c r="C92" s="269" t="inlineStr">
        <is>
          <t>Rob</t>
        </is>
      </c>
      <c r="D92" s="192" t="inlineStr">
        <is>
          <t>https://discord.com/channels/191975109500731392/1212839710439776287/1422716319064789153</t>
        </is>
      </c>
      <c r="F92" s="207" t="n"/>
      <c r="AO92" s="246" t="n"/>
      <c r="AP92" s="260" t="n"/>
    </row>
    <row r="93" ht="14.25" customHeight="1" s="175">
      <c r="A93" s="267" t="inlineStr">
        <is>
          <t>Peter</t>
        </is>
      </c>
      <c r="B93" s="268" t="n">
        <v>2</v>
      </c>
      <c r="C93" s="269" t="inlineStr">
        <is>
          <t>Ethan</t>
        </is>
      </c>
      <c r="D93" s="192" t="inlineStr">
        <is>
          <t>https://discord.com/channels/191975109500731392/1212839710439776287/1422930687736156242</t>
        </is>
      </c>
      <c r="F93" s="207" t="n"/>
      <c r="G93" s="208" t="inlineStr">
        <is>
          <t>Part:</t>
        </is>
      </c>
      <c r="H93" s="216" t="inlineStr">
        <is>
          <t>Deaths</t>
        </is>
      </c>
      <c r="Q93" s="208" t="inlineStr">
        <is>
          <t>Part:</t>
        </is>
      </c>
      <c r="R93" s="216" t="inlineStr">
        <is>
          <t>Death Points</t>
        </is>
      </c>
      <c r="AO93" s="246" t="n"/>
      <c r="AP93" s="260" t="n"/>
    </row>
    <row r="94" ht="14.25" customHeight="1" s="175">
      <c r="A94" s="267" t="inlineStr">
        <is>
          <t>Carter</t>
        </is>
      </c>
      <c r="B94" s="268" t="n">
        <v>1</v>
      </c>
      <c r="C94" s="269" t="inlineStr">
        <is>
          <t>Rob</t>
        </is>
      </c>
      <c r="D94" s="192" t="inlineStr">
        <is>
          <t>https://discord.com/channels/191975109500731392/1212839710439776287/1422932091376631899</t>
        </is>
      </c>
      <c r="F94" s="207" t="n"/>
      <c r="G94" s="208" t="inlineStr">
        <is>
          <t>Basses</t>
        </is>
      </c>
      <c r="H94" s="243">
        <f>VLOOKUP(G94,$G$22:$O$26,3,FALSE())</f>
        <v/>
      </c>
      <c r="Q94" s="208" t="inlineStr">
        <is>
          <t>Basses</t>
        </is>
      </c>
      <c r="R94" s="243">
        <f>VLOOKUP(Q94,$G$22:$O$26,6,FALSE())</f>
        <v/>
      </c>
      <c r="AK94" s="246" t="n"/>
      <c r="AO94" s="246" t="n"/>
      <c r="AP94" s="260" t="n"/>
    </row>
    <row r="95" ht="14.25" customHeight="1" s="175">
      <c r="A95" s="267" t="inlineStr">
        <is>
          <t>Rob</t>
        </is>
      </c>
      <c r="B95" s="268" t="n">
        <v>1</v>
      </c>
      <c r="C95" s="269" t="inlineStr">
        <is>
          <t>Carter</t>
        </is>
      </c>
      <c r="D95" s="192" t="inlineStr">
        <is>
          <t>https://discord.com/channels/191975109500731392/1212839710439776287/1422932605564616804</t>
        </is>
      </c>
      <c r="E95" s="173" t="n">
        <v>0</v>
      </c>
      <c r="F95" s="207" t="n"/>
      <c r="G95" s="208" t="inlineStr">
        <is>
          <t>Tenors</t>
        </is>
      </c>
      <c r="H95" s="243">
        <f>VLOOKUP(G95,$G$22:$O$26,3,FALSE())</f>
        <v/>
      </c>
      <c r="Q95" s="208" t="inlineStr">
        <is>
          <t>Tenors</t>
        </is>
      </c>
      <c r="R95" s="243">
        <f>VLOOKUP(Q95,$G$22:$O$26,6,FALSE())</f>
        <v/>
      </c>
      <c r="AK95" s="246" t="n"/>
      <c r="AO95" s="246" t="n"/>
      <c r="AP95" s="260" t="n"/>
    </row>
    <row r="96" ht="14.25" customHeight="1" s="175">
      <c r="A96" s="267" t="inlineStr">
        <is>
          <t>Vignesh</t>
        </is>
      </c>
      <c r="B96" s="268" t="n">
        <v>2</v>
      </c>
      <c r="C96" s="269" t="inlineStr">
        <is>
          <t>Evan</t>
        </is>
      </c>
      <c r="D96" s="192" t="inlineStr">
        <is>
          <t>https://discord.com/channels/191975109500731392/1212839710439776287/1422944868795285534</t>
        </is>
      </c>
      <c r="F96" s="207" t="n"/>
      <c r="G96" s="208" t="inlineStr">
        <is>
          <t>Leads</t>
        </is>
      </c>
      <c r="H96" s="243">
        <f>VLOOKUP(G96,$G$22:$O$26,3,FALSE())</f>
        <v/>
      </c>
      <c r="Q96" s="208" t="inlineStr">
        <is>
          <t>Leads</t>
        </is>
      </c>
      <c r="R96" s="243">
        <f>VLOOKUP(Q96,$G$22:$O$26,6,FALSE())</f>
        <v/>
      </c>
      <c r="AK96" s="246" t="n"/>
      <c r="AO96" s="246" t="n"/>
      <c r="AP96" s="260" t="n"/>
    </row>
    <row r="97" ht="14.25" customHeight="1" s="175">
      <c r="A97" s="267" t="inlineStr">
        <is>
          <t>Evan</t>
        </is>
      </c>
      <c r="B97" s="268" t="n">
        <v>2</v>
      </c>
      <c r="C97" s="269" t="inlineStr">
        <is>
          <t>Lucy</t>
        </is>
      </c>
      <c r="D97" s="192" t="inlineStr">
        <is>
          <t>https://discord.com/channels/191975109500731392/1212839710439776287/1422974224015818863</t>
        </is>
      </c>
      <c r="F97" s="207" t="n"/>
      <c r="G97" s="208" t="inlineStr">
        <is>
          <t>Baris</t>
        </is>
      </c>
      <c r="H97" s="243">
        <f>VLOOKUP(G97,$G$22:$O$26,3,FALSE())</f>
        <v/>
      </c>
      <c r="Q97" s="208" t="inlineStr">
        <is>
          <t>Baris</t>
        </is>
      </c>
      <c r="R97" s="243">
        <f>VLOOKUP(Q97,$G$22:$O$26,6,FALSE())</f>
        <v/>
      </c>
      <c r="AK97" s="246" t="n"/>
      <c r="AO97" s="246" t="n"/>
      <c r="AP97" s="260" t="n"/>
    </row>
    <row r="98" ht="14.25" customHeight="1" s="175">
      <c r="A98" s="267" t="inlineStr">
        <is>
          <t>Evan</t>
        </is>
      </c>
      <c r="B98" s="268" t="n">
        <v>1</v>
      </c>
      <c r="C98" s="269" t="inlineStr">
        <is>
          <t>Peter</t>
        </is>
      </c>
      <c r="D98" s="192" t="inlineStr">
        <is>
          <t>https://discord.com/channels/191975109500731392/1212839710439776287/1423000140687610020</t>
        </is>
      </c>
      <c r="F98" s="207" t="n"/>
      <c r="AK98" s="246" t="n"/>
      <c r="AO98" s="246" t="n"/>
      <c r="AP98" s="260" t="n"/>
    </row>
    <row r="99" ht="14.25" customHeight="1" s="175">
      <c r="A99" s="267" t="inlineStr">
        <is>
          <t>Peter</t>
        </is>
      </c>
      <c r="B99" s="268" t="n">
        <v>1</v>
      </c>
      <c r="C99" s="269" t="inlineStr">
        <is>
          <t>Evan</t>
        </is>
      </c>
      <c r="D99" s="192" t="inlineStr">
        <is>
          <t>https://discord.com/channels/191975109500731392/1212839710439776287/1423000231645024508</t>
        </is>
      </c>
      <c r="F99" s="207" t="n"/>
      <c r="AK99" s="246" t="n"/>
      <c r="AO99" s="246" t="n"/>
      <c r="AP99" s="260" t="n"/>
    </row>
    <row r="100" ht="14.25" customHeight="1" s="175">
      <c r="A100" s="267" t="inlineStr">
        <is>
          <t>Ethan</t>
        </is>
      </c>
      <c r="B100" s="268" t="n">
        <v>2</v>
      </c>
      <c r="C100" s="269" t="inlineStr">
        <is>
          <t>Evan</t>
        </is>
      </c>
      <c r="D100" s="192" t="inlineStr">
        <is>
          <t>https://discord.com/channels/191975109500731392/1212839710439776287/1423002619533726038</t>
        </is>
      </c>
      <c r="F100" s="207" t="n"/>
      <c r="AK100" s="246" t="n"/>
      <c r="AO100" s="246" t="n"/>
      <c r="AP100" s="260" t="n"/>
    </row>
    <row r="101" ht="14.25" customHeight="1" s="175">
      <c r="A101" s="267" t="inlineStr">
        <is>
          <t>Evan</t>
        </is>
      </c>
      <c r="B101" s="268" t="n">
        <v>1</v>
      </c>
      <c r="C101" s="269" t="inlineStr">
        <is>
          <t>Ethan</t>
        </is>
      </c>
      <c r="D101" s="192" t="inlineStr">
        <is>
          <t>https://discord.com/channels/191975109500731392/1212839710439776287/1423002699275829269</t>
        </is>
      </c>
      <c r="F101" s="207" t="n"/>
      <c r="AK101" s="246" t="n"/>
      <c r="AO101" s="246" t="n"/>
      <c r="AP101" s="260" t="n"/>
    </row>
    <row r="102" ht="14.25" customHeight="1" s="175">
      <c r="A102" s="267" t="inlineStr">
        <is>
          <t>Anthony</t>
        </is>
      </c>
      <c r="B102" s="268" t="n">
        <v>2</v>
      </c>
      <c r="C102" s="269" t="inlineStr">
        <is>
          <t>Grady</t>
        </is>
      </c>
      <c r="D102" s="192" t="inlineStr">
        <is>
          <t>https://discord.com/channels/191975109500731392/1212839710439776287/1423046468742418504</t>
        </is>
      </c>
      <c r="F102" s="207" t="n"/>
      <c r="AK102" s="246" t="n"/>
      <c r="AO102" s="246" t="n"/>
      <c r="AP102" s="260" t="n"/>
    </row>
    <row r="103" ht="14.25" customHeight="1" s="175">
      <c r="A103" s="267" t="inlineStr">
        <is>
          <t>Grady</t>
        </is>
      </c>
      <c r="B103" s="268" t="n">
        <v>1</v>
      </c>
      <c r="C103" s="269" t="inlineStr">
        <is>
          <t>Anthony</t>
        </is>
      </c>
      <c r="D103" s="192" t="inlineStr">
        <is>
          <t>https://discord.com/channels/191975109500731392/1212839710439776287/1423047196173140020</t>
        </is>
      </c>
      <c r="F103" s="207" t="n"/>
      <c r="J103" s="246" t="n"/>
      <c r="K103" s="246" t="n"/>
      <c r="L103" s="246" t="n"/>
      <c r="M103" s="260" t="n"/>
      <c r="N103" s="260" t="n"/>
      <c r="O103" s="260" t="n"/>
      <c r="P103" s="260" t="n"/>
      <c r="Q103" s="182" t="n"/>
      <c r="T103" s="246" t="n"/>
      <c r="U103" s="246" t="n"/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K103" s="246" t="n"/>
      <c r="AO103" s="246" t="n"/>
      <c r="AP103" s="260" t="n"/>
    </row>
    <row r="104" ht="14.25" customHeight="1" s="175">
      <c r="A104" s="267" t="inlineStr">
        <is>
          <t>Mikey</t>
        </is>
      </c>
      <c r="B104" s="268" t="n">
        <v>1</v>
      </c>
      <c r="C104" s="269" t="inlineStr">
        <is>
          <t>Vignesh</t>
        </is>
      </c>
      <c r="D104" s="192" t="inlineStr">
        <is>
          <t>https://discord.com/channels/191975109500731392/1212839710439776287/1423049231068958781</t>
        </is>
      </c>
      <c r="F104" s="207" t="n"/>
      <c r="G104" s="208" t="inlineStr">
        <is>
          <t>Part:</t>
        </is>
      </c>
      <c r="H104" s="216" t="inlineStr">
        <is>
          <t>KDR</t>
        </is>
      </c>
      <c r="J104" s="246" t="n"/>
      <c r="K104" s="246" t="n"/>
      <c r="L104" s="246" t="n"/>
      <c r="M104" s="260" t="n"/>
      <c r="N104" s="260" t="n"/>
      <c r="O104" s="260" t="n"/>
      <c r="P104" s="260" t="n"/>
      <c r="Q104" s="208" t="inlineStr">
        <is>
          <t>Part:</t>
        </is>
      </c>
      <c r="R104" s="216" t="inlineStr">
        <is>
          <t>KpDpR</t>
        </is>
      </c>
      <c r="T104" s="246" t="n"/>
      <c r="U104" s="246" t="n"/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K104" s="246" t="n"/>
      <c r="AO104" s="246" t="n"/>
      <c r="AP104" s="260" t="n"/>
    </row>
    <row r="105" ht="14.25" customHeight="1" s="175">
      <c r="A105" s="267" t="inlineStr">
        <is>
          <t>Vignesh</t>
        </is>
      </c>
      <c r="B105" s="268" t="n">
        <v>1</v>
      </c>
      <c r="C105" s="269" t="inlineStr">
        <is>
          <t>Mikey</t>
        </is>
      </c>
      <c r="D105" s="192" t="inlineStr">
        <is>
          <t>https://discord.com/channels/191975109500731392/1212839710439776287/1423049298513498223</t>
        </is>
      </c>
      <c r="F105" s="207" t="n"/>
      <c r="G105" s="226" t="inlineStr">
        <is>
          <t>Basses</t>
        </is>
      </c>
      <c r="H105" s="242">
        <f>VLOOKUP(G105,$G$22:$O$26,4,FALSE())</f>
        <v/>
      </c>
      <c r="J105" s="246" t="n"/>
      <c r="K105" s="246" t="n"/>
      <c r="L105" s="246" t="n"/>
      <c r="M105" s="260" t="n"/>
      <c r="N105" s="260" t="n"/>
      <c r="O105" s="260" t="n"/>
      <c r="P105" s="260" t="n"/>
      <c r="Q105" s="226" t="inlineStr">
        <is>
          <t>Basses</t>
        </is>
      </c>
      <c r="R105" s="242">
        <f>VLOOKUP(Q105,$G$22:$O$26,7,FALSE())</f>
        <v/>
      </c>
      <c r="T105" s="246" t="n"/>
      <c r="U105" s="246" t="n"/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K105" s="246" t="n"/>
      <c r="AO105" s="246" t="n"/>
      <c r="AP105" s="260" t="n"/>
    </row>
    <row r="106" ht="14.25" customHeight="1" s="175">
      <c r="A106" s="267" t="inlineStr">
        <is>
          <t>Mikey</t>
        </is>
      </c>
      <c r="B106" s="268" t="n">
        <v>1</v>
      </c>
      <c r="C106" s="269" t="inlineStr">
        <is>
          <t>Will</t>
        </is>
      </c>
      <c r="D106" s="192" t="inlineStr">
        <is>
          <t>https://discord.com/channels/191975109500731392/1212839710439776287/1423121080586993705</t>
        </is>
      </c>
      <c r="F106" s="207" t="n"/>
      <c r="G106" s="208" t="inlineStr">
        <is>
          <t>Tenors</t>
        </is>
      </c>
      <c r="H106" s="242">
        <f>VLOOKUP(G106,$G$22:$O$26,4,FALSE())</f>
        <v/>
      </c>
      <c r="J106" s="246" t="n"/>
      <c r="K106" s="246" t="n"/>
      <c r="L106" s="246" t="n"/>
      <c r="M106" s="260" t="n"/>
      <c r="N106" s="260" t="n"/>
      <c r="O106" s="260" t="n"/>
      <c r="P106" s="260" t="n"/>
      <c r="Q106" s="208" t="inlineStr">
        <is>
          <t>Tenors</t>
        </is>
      </c>
      <c r="R106" s="242">
        <f>VLOOKUP(Q106,$G$22:$O$26,7,FALSE())</f>
        <v/>
      </c>
      <c r="T106" s="246" t="n"/>
      <c r="U106" s="246" t="n"/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K106" s="246" t="n"/>
      <c r="AO106" s="246" t="n"/>
      <c r="AP106" s="260" t="n"/>
    </row>
    <row r="107" ht="14.25" customHeight="1" s="175">
      <c r="A107" s="267" t="inlineStr">
        <is>
          <t>Will</t>
        </is>
      </c>
      <c r="B107" s="268" t="n">
        <v>1</v>
      </c>
      <c r="C107" s="269" t="inlineStr">
        <is>
          <t>Mikey</t>
        </is>
      </c>
      <c r="D107" s="192" t="inlineStr">
        <is>
          <t>https://discord.com/channels/191975109500731392/1212839710439776287/1423121080586993705</t>
        </is>
      </c>
      <c r="F107" s="207" t="n"/>
      <c r="G107" s="208" t="inlineStr">
        <is>
          <t>Baris</t>
        </is>
      </c>
      <c r="H107" s="242">
        <f>VLOOKUP(G107,$G$22:$O$26,4,FALSE())</f>
        <v/>
      </c>
      <c r="J107" s="246" t="n"/>
      <c r="K107" s="246" t="n"/>
      <c r="L107" s="246" t="n"/>
      <c r="M107" s="260" t="n"/>
      <c r="N107" s="260" t="n"/>
      <c r="O107" s="260" t="n"/>
      <c r="P107" s="260" t="n"/>
      <c r="Q107" s="208" t="inlineStr">
        <is>
          <t>Baris</t>
        </is>
      </c>
      <c r="R107" s="242">
        <f>VLOOKUP(Q107,$G$22:$O$26,7,FALSE())</f>
        <v/>
      </c>
      <c r="T107" s="246" t="n"/>
      <c r="U107" s="246" t="n"/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K107" s="246" t="n"/>
      <c r="AO107" s="246" t="n"/>
      <c r="AP107" s="260" t="n"/>
    </row>
    <row r="108" ht="14.25" customHeight="1" s="175">
      <c r="A108" s="267" t="inlineStr">
        <is>
          <t>Mikey</t>
        </is>
      </c>
      <c r="B108" s="268" t="n">
        <v>1</v>
      </c>
      <c r="C108" s="269" t="inlineStr">
        <is>
          <t>Grady</t>
        </is>
      </c>
      <c r="D108" s="192" t="inlineStr">
        <is>
          <t>https://discord.com/channels/191975109500731392/1212839710439776287/1423318449207120054</t>
        </is>
      </c>
      <c r="F108" s="207" t="n"/>
      <c r="G108" s="208" t="inlineStr">
        <is>
          <t>Leads</t>
        </is>
      </c>
      <c r="H108" s="242">
        <f>VLOOKUP(G108,$G$22:$O$26,4,FALSE())</f>
        <v/>
      </c>
      <c r="J108" s="246" t="n"/>
      <c r="K108" s="246" t="n"/>
      <c r="L108" s="246" t="n"/>
      <c r="M108" s="260" t="n"/>
      <c r="N108" s="260" t="n"/>
      <c r="O108" s="260" t="n"/>
      <c r="P108" s="260" t="n"/>
      <c r="Q108" s="208" t="inlineStr">
        <is>
          <t>Leads</t>
        </is>
      </c>
      <c r="R108" s="242">
        <f>VLOOKUP(Q108,$G$22:$O$26,7,FALSE())</f>
        <v/>
      </c>
      <c r="T108" s="246" t="n"/>
      <c r="U108" s="246" t="n"/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K108" s="246" t="n"/>
      <c r="AO108" s="246" t="n"/>
      <c r="AP108" s="260" t="n"/>
    </row>
    <row r="109" ht="14.25" customHeight="1" s="175">
      <c r="A109" s="267" t="inlineStr">
        <is>
          <t>Grady</t>
        </is>
      </c>
      <c r="B109" s="268" t="n">
        <v>1</v>
      </c>
      <c r="C109" s="269" t="inlineStr">
        <is>
          <t>Mikey</t>
        </is>
      </c>
      <c r="D109" s="192" t="inlineStr">
        <is>
          <t>https://discord.com/channels/191975109500731392/1212839710439776287/1423318495445389323</t>
        </is>
      </c>
      <c r="F109" s="207" t="n"/>
      <c r="J109" s="246" t="n"/>
      <c r="K109" s="246" t="n"/>
      <c r="L109" s="246" t="n"/>
      <c r="M109" s="260" t="n"/>
      <c r="N109" s="260" t="n"/>
      <c r="O109" s="260" t="n"/>
      <c r="P109" s="260" t="n"/>
      <c r="Q109" s="182" t="n"/>
      <c r="T109" s="246" t="n"/>
      <c r="U109" s="246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K109" s="246" t="n"/>
      <c r="AO109" s="246" t="n"/>
      <c r="AP109" s="260" t="n"/>
    </row>
    <row r="110" ht="14.25" customHeight="1" s="175">
      <c r="A110" s="267" t="inlineStr">
        <is>
          <t>Anthony</t>
        </is>
      </c>
      <c r="B110" s="268" t="n">
        <v>2</v>
      </c>
      <c r="C110" s="269" t="inlineStr">
        <is>
          <t>Mikey</t>
        </is>
      </c>
      <c r="D110" s="192" t="inlineStr">
        <is>
          <t>https://discord.com/channels/191975109500731392/1212839710439776287/1423335820886151168</t>
        </is>
      </c>
      <c r="F110" s="207" t="n"/>
      <c r="J110" s="246" t="n"/>
      <c r="K110" s="246" t="n"/>
      <c r="L110" s="246" t="n"/>
      <c r="M110" s="260" t="n"/>
      <c r="N110" s="260" t="n"/>
      <c r="O110" s="260" t="n"/>
      <c r="P110" s="260" t="n"/>
      <c r="Q110" s="182" t="n"/>
      <c r="T110" s="246" t="n"/>
      <c r="U110" s="246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K110" s="246" t="n"/>
      <c r="AO110" s="246" t="n"/>
      <c r="AP110" s="260" t="n"/>
    </row>
    <row r="111" ht="14.25" customHeight="1" s="175">
      <c r="A111" s="267" t="inlineStr">
        <is>
          <t>Mikey</t>
        </is>
      </c>
      <c r="B111" s="268" t="n">
        <v>2</v>
      </c>
      <c r="C111" s="269" t="inlineStr">
        <is>
          <t>Vignesh</t>
        </is>
      </c>
      <c r="D111" s="192" t="inlineStr">
        <is>
          <t>https://discord.com/channels/191975109500731392/1212839710439776287/1423368239680852141</t>
        </is>
      </c>
      <c r="F111" s="207" t="n"/>
      <c r="J111" s="246" t="n"/>
      <c r="K111" s="246" t="n"/>
      <c r="L111" s="246" t="n"/>
      <c r="M111" s="260" t="n"/>
      <c r="N111" s="260" t="n"/>
      <c r="O111" s="260" t="n"/>
      <c r="P111" s="260" t="n"/>
      <c r="Q111" s="182" t="n"/>
      <c r="T111" s="246" t="n"/>
      <c r="U111" s="246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K111" s="246" t="n"/>
      <c r="AO111" s="246" t="n"/>
      <c r="AP111" s="260" t="n"/>
    </row>
    <row r="112" ht="14.25" customHeight="1" s="175">
      <c r="A112" s="267" t="inlineStr">
        <is>
          <t>Vignesh</t>
        </is>
      </c>
      <c r="B112" s="268" t="n">
        <v>1</v>
      </c>
      <c r="C112" s="269" t="inlineStr">
        <is>
          <t>Mikey</t>
        </is>
      </c>
      <c r="D112" s="192" t="inlineStr">
        <is>
          <t>https://discord.com/channels/191975109500731392/1212839710439776287/1423369969219014747</t>
        </is>
      </c>
      <c r="F112" s="207" t="n"/>
      <c r="J112" s="246" t="n"/>
      <c r="K112" s="246" t="n"/>
      <c r="L112" s="246" t="n"/>
      <c r="M112" s="260" t="n"/>
      <c r="N112" s="260" t="n"/>
      <c r="O112" s="260" t="n"/>
      <c r="P112" s="260" t="n"/>
      <c r="Q112" s="182" t="n"/>
      <c r="T112" s="246" t="n"/>
      <c r="U112" s="246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K112" s="246" t="n"/>
      <c r="AO112" s="246" t="n"/>
      <c r="AP112" s="260" t="n"/>
    </row>
    <row r="113" ht="14.25" customHeight="1" s="175">
      <c r="A113" s="267" t="inlineStr">
        <is>
          <t>Grady</t>
        </is>
      </c>
      <c r="B113" s="268" t="n">
        <v>1</v>
      </c>
      <c r="C113" s="269" t="inlineStr">
        <is>
          <t>Evan</t>
        </is>
      </c>
      <c r="D113" s="192" t="inlineStr">
        <is>
          <t>https://discord.com/channels/191975109500731392/1212839710439776287/1423389103046529124</t>
        </is>
      </c>
      <c r="F113" s="207" t="n"/>
      <c r="J113" s="246" t="n"/>
      <c r="K113" s="246" t="n"/>
      <c r="L113" s="246" t="n"/>
      <c r="M113" s="260" t="n"/>
      <c r="N113" s="260" t="n"/>
      <c r="O113" s="260" t="n"/>
      <c r="P113" s="260" t="n"/>
      <c r="Q113" s="182" t="n"/>
      <c r="T113" s="246" t="n"/>
      <c r="U113" s="246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K113" s="246" t="n"/>
      <c r="AO113" s="246" t="n"/>
      <c r="AP113" s="260" t="n"/>
    </row>
    <row r="114" ht="14.25" customHeight="1" s="175">
      <c r="A114" s="267" t="inlineStr">
        <is>
          <t>Evan</t>
        </is>
      </c>
      <c r="B114" s="268" t="n">
        <v>1</v>
      </c>
      <c r="C114" s="269" t="inlineStr">
        <is>
          <t>Grady</t>
        </is>
      </c>
      <c r="D114" s="192" t="inlineStr">
        <is>
          <t>https://discord.com/channels/191975109500731392/1212839710439776287/1423389289626075281</t>
        </is>
      </c>
      <c r="F114" s="207" t="n"/>
      <c r="J114" s="246" t="n"/>
      <c r="K114" s="246" t="n"/>
      <c r="L114" s="246" t="n"/>
      <c r="M114" s="260" t="n"/>
      <c r="N114" s="260" t="n"/>
      <c r="O114" s="260" t="n"/>
      <c r="P114" s="260" t="n"/>
      <c r="Q114" s="182" t="n"/>
      <c r="T114" s="246" t="n"/>
      <c r="U114" s="246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K114" s="246" t="n"/>
      <c r="AO114" s="246" t="n"/>
      <c r="AP114" s="260" t="n"/>
    </row>
    <row r="115" ht="14.25" customHeight="1" s="175">
      <c r="A115" s="267" t="inlineStr">
        <is>
          <t>Ethan</t>
        </is>
      </c>
      <c r="B115" s="268" t="n">
        <v>1</v>
      </c>
      <c r="C115" s="269" t="inlineStr">
        <is>
          <t>Rob</t>
        </is>
      </c>
      <c r="D115" s="192" t="inlineStr">
        <is>
          <t>https://discord.com/channels/191975109500731392/1212839710439776287/1423390938226491462</t>
        </is>
      </c>
      <c r="F115" s="207" t="n"/>
      <c r="J115" s="246" t="n"/>
      <c r="K115" s="246" t="n"/>
      <c r="L115" s="246" t="n"/>
      <c r="M115" s="260" t="n"/>
      <c r="N115" s="260" t="n"/>
      <c r="O115" s="260" t="n"/>
      <c r="P115" s="260" t="n"/>
      <c r="Q115" s="182" t="n"/>
      <c r="T115" s="246" t="n"/>
      <c r="U115" s="246" t="n"/>
      <c r="V115" s="246" t="n"/>
      <c r="W115" s="246" t="n"/>
      <c r="X115" s="246" t="n"/>
      <c r="Y115" s="246" t="n"/>
      <c r="Z115" s="246" t="n"/>
      <c r="AA115" s="246" t="n"/>
      <c r="AB115" s="246" t="n"/>
      <c r="AC115" s="246" t="n"/>
      <c r="AD115" s="246" t="n"/>
      <c r="AE115" s="246" t="n"/>
      <c r="AF115" s="246" t="n"/>
      <c r="AK115" s="246" t="n"/>
      <c r="AO115" s="246" t="n"/>
      <c r="AP115" s="260" t="n"/>
    </row>
    <row r="116" ht="14.25" customHeight="1" s="175">
      <c r="A116" s="267" t="inlineStr">
        <is>
          <t>Rob</t>
        </is>
      </c>
      <c r="B116" s="268" t="n">
        <v>1</v>
      </c>
      <c r="C116" s="269" t="inlineStr">
        <is>
          <t>Ethan</t>
        </is>
      </c>
      <c r="D116" s="192" t="inlineStr">
        <is>
          <t>https://discord.com/channels/191975109500731392/1212839710439776287/1423391001128599757</t>
        </is>
      </c>
      <c r="F116" s="207" t="n"/>
      <c r="AE116" s="246" t="n"/>
      <c r="AF116" s="246" t="n"/>
      <c r="AK116" s="246" t="n"/>
      <c r="AO116" s="246" t="n"/>
      <c r="AP116" s="260" t="n"/>
    </row>
    <row r="117" ht="14.25" customHeight="1" s="175">
      <c r="A117" s="267" t="inlineStr">
        <is>
          <t>Lucy</t>
        </is>
      </c>
      <c r="B117" s="268" t="n">
        <v>2</v>
      </c>
      <c r="C117" s="269" t="inlineStr">
        <is>
          <t>Mikey</t>
        </is>
      </c>
      <c r="D117" s="192" t="inlineStr">
        <is>
          <t>https://discord.com/channels/191975109500731392/1212839710439776287/1423449352277459028</t>
        </is>
      </c>
      <c r="F117" s="207" t="n"/>
      <c r="AE117" s="246" t="n"/>
      <c r="AF117" s="246" t="n"/>
      <c r="AK117" s="246" t="n"/>
      <c r="AO117" s="246" t="n"/>
      <c r="AP117" s="260" t="n"/>
    </row>
    <row r="118" ht="14.25" customHeight="1" s="175">
      <c r="A118" s="267" t="inlineStr">
        <is>
          <t>Mikey</t>
        </is>
      </c>
      <c r="B118" s="268" t="n">
        <v>1</v>
      </c>
      <c r="C118" s="269" t="inlineStr">
        <is>
          <t>Lucy</t>
        </is>
      </c>
      <c r="D118" s="192" t="inlineStr">
        <is>
          <t>https://discord.com/channels/191975109500731392/1212839710439776287/1423449458762580018</t>
        </is>
      </c>
      <c r="F118" s="207" t="n"/>
      <c r="AE118" s="246" t="n"/>
      <c r="AF118" s="246" t="n"/>
      <c r="AK118" s="246" t="n"/>
      <c r="AO118" s="246" t="n"/>
      <c r="AP118" s="260" t="n"/>
    </row>
    <row r="119" ht="14.25" customHeight="1" s="175">
      <c r="A119" s="267" t="inlineStr">
        <is>
          <t>Will</t>
        </is>
      </c>
      <c r="B119" s="268" t="n">
        <v>2</v>
      </c>
      <c r="C119" s="269" t="inlineStr">
        <is>
          <t>Lucy</t>
        </is>
      </c>
      <c r="D119" s="192" t="inlineStr">
        <is>
          <t>https://discord.com/channels/191975109500731392/1212839710439776287/1423462108175143004</t>
        </is>
      </c>
      <c r="F119" s="207" t="n"/>
      <c r="AE119" s="246" t="n"/>
      <c r="AF119" s="246" t="n"/>
      <c r="AK119" s="246" t="n"/>
      <c r="AO119" s="246" t="n"/>
      <c r="AP119" s="260" t="n"/>
    </row>
    <row r="120" ht="14.25" customHeight="1" s="175">
      <c r="A120" s="267" t="inlineStr">
        <is>
          <t>Peter</t>
        </is>
      </c>
      <c r="B120" s="268" t="n">
        <v>1</v>
      </c>
      <c r="C120" s="269" t="inlineStr">
        <is>
          <t>Evan</t>
        </is>
      </c>
      <c r="D120" s="192" t="inlineStr">
        <is>
          <t>https://discord.com/channels/191975109500731392/1212839710439776287/1423653744888778805</t>
        </is>
      </c>
      <c r="F120" s="207" t="n"/>
      <c r="AE120" s="246" t="n"/>
      <c r="AF120" s="246" t="n"/>
      <c r="AK120" s="246" t="n"/>
      <c r="AO120" s="246" t="n"/>
      <c r="AP120" s="260" t="n"/>
    </row>
    <row r="121" ht="14.25" customHeight="1" s="175">
      <c r="A121" s="267" t="inlineStr">
        <is>
          <t>Evan</t>
        </is>
      </c>
      <c r="B121" s="268" t="n">
        <v>1</v>
      </c>
      <c r="C121" s="269" t="inlineStr">
        <is>
          <t>Peter</t>
        </is>
      </c>
      <c r="D121" s="192" t="inlineStr">
        <is>
          <t>https://discord.com/channels/191975109500731392/1212839710439776287/1423653774861406208</t>
        </is>
      </c>
      <c r="F121" s="207" t="n"/>
      <c r="AE121" s="246" t="n"/>
      <c r="AF121" s="246" t="n"/>
      <c r="AK121" s="246" t="n"/>
      <c r="AO121" s="246" t="n"/>
      <c r="AP121" s="260" t="n"/>
    </row>
    <row r="122" ht="14.25" customHeight="1" s="175">
      <c r="A122" s="267" t="inlineStr">
        <is>
          <t>Evan</t>
        </is>
      </c>
      <c r="B122" s="268" t="n">
        <v>1</v>
      </c>
      <c r="C122" s="294" t="inlineStr">
        <is>
          <t>Vignesh</t>
        </is>
      </c>
      <c r="D122" s="192" t="inlineStr">
        <is>
          <t>https://discord.com/channels/191975109500731392/1212839710439776287/1423653925021679618</t>
        </is>
      </c>
      <c r="F122" s="207" t="n"/>
      <c r="AE122" s="246" t="n"/>
      <c r="AF122" s="246" t="n"/>
      <c r="AK122" s="246" t="n"/>
      <c r="AO122" s="246" t="n"/>
      <c r="AP122" s="260" t="n"/>
    </row>
    <row r="123" ht="14.25" customHeight="1" s="175">
      <c r="A123" s="267" t="inlineStr">
        <is>
          <t>Vignesh</t>
        </is>
      </c>
      <c r="B123" s="268" t="n">
        <v>1</v>
      </c>
      <c r="C123" s="294" t="inlineStr">
        <is>
          <t>Evan</t>
        </is>
      </c>
      <c r="D123" s="192" t="inlineStr">
        <is>
          <t>https://discord.com/channels/191975109500731392/1212839710439776287/1423654199782015067</t>
        </is>
      </c>
      <c r="F123" s="207" t="n"/>
      <c r="AE123" s="246" t="n"/>
      <c r="AF123" s="246" t="n"/>
      <c r="AK123" s="246" t="n"/>
      <c r="AO123" s="246" t="n"/>
      <c r="AP123" s="260" t="n"/>
    </row>
    <row r="124" ht="14.25" customHeight="1" s="175">
      <c r="A124" s="267" t="inlineStr">
        <is>
          <t>Peter</t>
        </is>
      </c>
      <c r="B124" s="268" t="n">
        <v>1</v>
      </c>
      <c r="C124" s="294" t="inlineStr">
        <is>
          <t>Ethan</t>
        </is>
      </c>
      <c r="D124" s="192" t="inlineStr">
        <is>
          <t>https://discord.com/channels/191975109500731392/1212839710439776287/1423654670781517974</t>
        </is>
      </c>
      <c r="F124" s="207" t="n"/>
      <c r="AE124" s="246" t="n"/>
      <c r="AF124" s="246" t="n"/>
      <c r="AK124" s="246" t="n"/>
      <c r="AO124" s="246" t="n"/>
      <c r="AP124" s="260" t="n"/>
    </row>
    <row r="125" ht="14.25" customHeight="1" s="175">
      <c r="A125" s="267" t="inlineStr">
        <is>
          <t>Ethan</t>
        </is>
      </c>
      <c r="B125" s="268" t="n">
        <v>1</v>
      </c>
      <c r="C125" s="294" t="inlineStr">
        <is>
          <t>Peter</t>
        </is>
      </c>
      <c r="D125" s="192" t="inlineStr">
        <is>
          <t>https://discord.com/channels/191975109500731392/1212839710439776287/1423654761324089446</t>
        </is>
      </c>
      <c r="F125" s="207" t="n"/>
      <c r="J125" s="246" t="n"/>
      <c r="K125" s="246" t="n"/>
      <c r="L125" s="246" t="n"/>
      <c r="M125" s="260" t="n"/>
      <c r="N125" s="260" t="n"/>
      <c r="O125" s="260" t="n"/>
      <c r="P125" s="260" t="n"/>
      <c r="Q125" s="182" t="n"/>
      <c r="T125" s="246" t="n"/>
      <c r="U125" s="246" t="n"/>
      <c r="V125" s="246" t="n"/>
      <c r="W125" s="246" t="n"/>
      <c r="X125" s="246" t="n"/>
      <c r="Y125" s="246" t="n"/>
      <c r="Z125" s="246" t="n"/>
      <c r="AA125" s="246" t="n"/>
      <c r="AB125" s="246" t="n"/>
      <c r="AC125" s="246" t="n"/>
      <c r="AD125" s="246" t="n"/>
      <c r="AE125" s="246" t="n"/>
      <c r="AF125" s="246" t="n"/>
      <c r="AK125" s="246" t="n"/>
      <c r="AO125" s="246" t="n"/>
      <c r="AP125" s="260" t="n"/>
    </row>
    <row r="126" ht="14.25" customHeight="1" s="175">
      <c r="A126" s="267" t="inlineStr">
        <is>
          <t>Evan</t>
        </is>
      </c>
      <c r="B126" s="268" t="n">
        <v>2</v>
      </c>
      <c r="C126" s="269" t="inlineStr">
        <is>
          <t>Mikey</t>
        </is>
      </c>
      <c r="D126" s="192" t="inlineStr">
        <is>
          <t>https://discord.com/channels/191975109500731392/1212839710439776287/1423718721720946832</t>
        </is>
      </c>
      <c r="F126" s="207" t="n"/>
    </row>
    <row r="127" ht="14.25" customHeight="1" s="175">
      <c r="A127" s="267" t="inlineStr">
        <is>
          <t>Mikey</t>
        </is>
      </c>
      <c r="B127" s="268" t="n">
        <v>1</v>
      </c>
      <c r="C127" s="269" t="inlineStr">
        <is>
          <t>Evan</t>
        </is>
      </c>
      <c r="D127" s="192" t="inlineStr">
        <is>
          <t>https://discord.com/channels/191975109500731392/1212839710439776287/1423718756353573006</t>
        </is>
      </c>
      <c r="F127" s="207" t="n"/>
    </row>
    <row r="128" ht="14.25" customHeight="1" s="175">
      <c r="A128" s="267" t="inlineStr">
        <is>
          <t>Evan</t>
        </is>
      </c>
      <c r="B128" s="268" t="n">
        <v>1</v>
      </c>
      <c r="C128" s="269" t="inlineStr">
        <is>
          <t>Will</t>
        </is>
      </c>
      <c r="D128" s="192" t="inlineStr">
        <is>
          <t>https://discord.com/channels/191975109500731392/1212839710439776287/1423724820507656283</t>
        </is>
      </c>
      <c r="F128" s="207" t="n"/>
    </row>
    <row r="129" ht="14.25" customHeight="1" s="175">
      <c r="A129" s="267" t="inlineStr">
        <is>
          <t>Will</t>
        </is>
      </c>
      <c r="B129" s="268" t="n">
        <v>1</v>
      </c>
      <c r="C129" s="269" t="inlineStr">
        <is>
          <t>Evan</t>
        </is>
      </c>
      <c r="D129" s="192" t="inlineStr">
        <is>
          <t>https://discord.com/channels/191975109500731392/1212839710439776287/1423724859799638117</t>
        </is>
      </c>
      <c r="F129" s="207" t="n"/>
    </row>
    <row r="130" ht="14.25" customHeight="1" s="175">
      <c r="A130" s="267" t="inlineStr">
        <is>
          <t>Carter</t>
        </is>
      </c>
      <c r="B130" s="268" t="n">
        <v>2</v>
      </c>
      <c r="C130" s="269" t="inlineStr">
        <is>
          <t>Will</t>
        </is>
      </c>
      <c r="D130" s="192" t="inlineStr">
        <is>
          <t>https://discord.com/channels/191975109500731392/1212839710439776287/1423751386570555474</t>
        </is>
      </c>
      <c r="F130" s="207" t="n"/>
    </row>
    <row r="131" ht="14.25" customHeight="1" s="175">
      <c r="A131" s="267" t="inlineStr">
        <is>
          <t>Will</t>
        </is>
      </c>
      <c r="B131" s="268" t="n">
        <v>1</v>
      </c>
      <c r="C131" s="269" t="inlineStr">
        <is>
          <t>Vignesh</t>
        </is>
      </c>
      <c r="D131" s="192" t="inlineStr">
        <is>
          <t>https://discord.com/channels/191975109500731392/1212839710439776287/1423752629539831919</t>
        </is>
      </c>
      <c r="F131" s="207" t="n"/>
    </row>
    <row r="132" ht="14.25" customHeight="1" s="175">
      <c r="A132" s="267" t="inlineStr">
        <is>
          <t>Vignesh</t>
        </is>
      </c>
      <c r="B132" s="268" t="n">
        <v>1</v>
      </c>
      <c r="C132" s="269" t="inlineStr">
        <is>
          <t>Will</t>
        </is>
      </c>
      <c r="D132" s="192" t="inlineStr">
        <is>
          <t>https://discord.com/channels/191975109500731392/1212839710439776287/1423752705922437230</t>
        </is>
      </c>
      <c r="F132" s="207" t="n"/>
    </row>
    <row r="133" ht="14.25" customHeight="1" s="175">
      <c r="A133" s="267" t="inlineStr">
        <is>
          <t>Mikey</t>
        </is>
      </c>
      <c r="B133" s="268" t="n">
        <v>2</v>
      </c>
      <c r="C133" s="269" t="inlineStr">
        <is>
          <t>Rob</t>
        </is>
      </c>
      <c r="D133" s="192" t="inlineStr">
        <is>
          <t>https://discord.com/channels/191975109500731392/1212839710439776287/1424081739432591372</t>
        </is>
      </c>
      <c r="F133" s="207" t="n"/>
    </row>
    <row r="134" ht="14.25" customHeight="1" s="175">
      <c r="A134" s="267" t="inlineStr">
        <is>
          <t>Will</t>
        </is>
      </c>
      <c r="B134" s="268" t="n">
        <v>2</v>
      </c>
      <c r="C134" s="269" t="inlineStr">
        <is>
          <t>Rob</t>
        </is>
      </c>
      <c r="D134" s="192" t="inlineStr">
        <is>
          <t>https://discord.com/channels/191975109500731392/1212839710439776287/1424101843105222656</t>
        </is>
      </c>
      <c r="F134" s="207" t="n"/>
    </row>
    <row r="135" ht="14.25" customHeight="1" s="175">
      <c r="A135" s="267" t="inlineStr">
        <is>
          <t>Erick</t>
        </is>
      </c>
      <c r="B135" s="268" t="n">
        <v>2</v>
      </c>
      <c r="C135" s="269" t="inlineStr">
        <is>
          <t>Evan</t>
        </is>
      </c>
      <c r="D135" s="192" t="inlineStr">
        <is>
          <t>https://discord.com/channels/191975109500731392/1212839710439776287/1424142857694085232</t>
        </is>
      </c>
      <c r="F135" s="207" t="n"/>
    </row>
    <row r="136" ht="14.25" customHeight="1" s="175">
      <c r="A136" s="267" t="inlineStr">
        <is>
          <t>Mikey</t>
        </is>
      </c>
      <c r="B136" s="268" t="n">
        <v>2</v>
      </c>
      <c r="C136" s="269" t="inlineStr">
        <is>
          <t>Rob</t>
        </is>
      </c>
      <c r="D136" s="192" t="inlineStr">
        <is>
          <t>https://discord.com/channels/191975109500731392/1212839710439776287/1424502722731708416</t>
        </is>
      </c>
      <c r="F136" s="207" t="n"/>
    </row>
    <row r="137" ht="14.25" customHeight="1" s="175">
      <c r="A137" s="267" t="inlineStr">
        <is>
          <t>Ethan</t>
        </is>
      </c>
      <c r="B137" s="268" t="n">
        <v>2</v>
      </c>
      <c r="C137" s="269" t="inlineStr">
        <is>
          <t>Reuben</t>
        </is>
      </c>
      <c r="D137" s="192" t="inlineStr">
        <is>
          <t>https://discord.com/channels/191975109500731392/1212839710439776287/1424505028730945746</t>
        </is>
      </c>
      <c r="F137" s="207" t="n"/>
    </row>
    <row r="138" ht="14.25" customHeight="1" s="175">
      <c r="A138" s="267" t="inlineStr">
        <is>
          <t>Will</t>
        </is>
      </c>
      <c r="B138" s="268" t="n">
        <v>1</v>
      </c>
      <c r="C138" s="269" t="inlineStr">
        <is>
          <t>Mikey</t>
        </is>
      </c>
      <c r="D138" s="192" t="inlineStr">
        <is>
          <t>https://discord.com/channels/191975109500731392/1212839710439776287/1424563411097747536</t>
        </is>
      </c>
      <c r="F138" s="207" t="n"/>
    </row>
    <row r="139" ht="14.25" customHeight="1" s="175">
      <c r="A139" s="267" t="inlineStr">
        <is>
          <t>Mikey</t>
        </is>
      </c>
      <c r="B139" s="268" t="n">
        <v>1</v>
      </c>
      <c r="C139" s="269" t="inlineStr">
        <is>
          <t>Will</t>
        </is>
      </c>
      <c r="D139" s="192" t="inlineStr">
        <is>
          <t>https://discord.com/channels/191975109500731392/1212839710439776287/1424563495961231391</t>
        </is>
      </c>
      <c r="F139" s="207" t="n"/>
    </row>
    <row r="140" ht="14.25" customHeight="1" s="175">
      <c r="A140" s="267" t="inlineStr">
        <is>
          <t>Will</t>
        </is>
      </c>
      <c r="B140" s="268" t="n">
        <v>1</v>
      </c>
      <c r="C140" s="269" t="inlineStr">
        <is>
          <t>Rob</t>
        </is>
      </c>
      <c r="D140" s="192" t="inlineStr">
        <is>
          <t>https://discord.com/channels/191975109500731392/1212839710439776287/1424569041066000538</t>
        </is>
      </c>
      <c r="F140" s="207" t="n"/>
    </row>
    <row r="141" ht="14.25" customHeight="1" s="175">
      <c r="A141" s="267" t="inlineStr">
        <is>
          <t>Rob</t>
        </is>
      </c>
      <c r="B141" s="268" t="n">
        <v>1</v>
      </c>
      <c r="C141" s="269" t="inlineStr">
        <is>
          <t>Will</t>
        </is>
      </c>
      <c r="D141" s="192" t="inlineStr">
        <is>
          <t>https://discord.com/channels/191975109500731392/1212839710439776287/1424569145785188352</t>
        </is>
      </c>
      <c r="F141" s="207" t="n"/>
    </row>
    <row r="142" ht="14.25" customHeight="1" s="175">
      <c r="A142" s="267" t="inlineStr">
        <is>
          <t>Peter</t>
        </is>
      </c>
      <c r="B142" s="268" t="n">
        <v>2</v>
      </c>
      <c r="C142" s="269" t="inlineStr">
        <is>
          <t>Vignesh</t>
        </is>
      </c>
      <c r="D142" s="192" t="inlineStr">
        <is>
          <t>https://discord.com/channels/191975109500731392/1212839710439776287/1424739635099078706</t>
        </is>
      </c>
      <c r="F142" s="207" t="n"/>
    </row>
    <row r="143" ht="14.25" customHeight="1" s="175">
      <c r="A143" s="267" t="inlineStr">
        <is>
          <t>Peter</t>
        </is>
      </c>
      <c r="B143" s="268" t="n">
        <v>2</v>
      </c>
      <c r="C143" s="269" t="inlineStr">
        <is>
          <t>Evan</t>
        </is>
      </c>
      <c r="D143" s="192" t="inlineStr">
        <is>
          <t>https://discord.com/channels/191975109500731392/1212839710439776287/1424741401404375090</t>
        </is>
      </c>
      <c r="F143" s="207" t="n"/>
    </row>
    <row r="144" ht="14.25" customHeight="1" s="175">
      <c r="A144" s="267" t="inlineStr">
        <is>
          <t>Will</t>
        </is>
      </c>
      <c r="B144" s="268" t="n">
        <v>2</v>
      </c>
      <c r="C144" s="269" t="inlineStr">
        <is>
          <t>Lucy</t>
        </is>
      </c>
      <c r="D144" s="192" t="inlineStr">
        <is>
          <t>https://discord.com/channels/191975109500731392/1212839710439776287/1424756681077948575</t>
        </is>
      </c>
      <c r="F144" s="207" t="n"/>
    </row>
    <row r="145" ht="14.25" customHeight="1" s="175">
      <c r="A145" s="267" t="inlineStr">
        <is>
          <t>Lucy</t>
        </is>
      </c>
      <c r="B145" s="268" t="n">
        <v>1</v>
      </c>
      <c r="C145" s="269" t="inlineStr">
        <is>
          <t>Will</t>
        </is>
      </c>
      <c r="D145" s="192" t="inlineStr">
        <is>
          <t>https://discord.com/channels/191975109500731392/1212839710439776287/1424757607196921886</t>
        </is>
      </c>
      <c r="F145" s="207" t="n"/>
    </row>
    <row r="146" ht="14.25" customHeight="1" s="175">
      <c r="A146" s="267" t="inlineStr">
        <is>
          <t>Evan</t>
        </is>
      </c>
      <c r="B146" s="268" t="n">
        <v>2</v>
      </c>
      <c r="C146" s="269" t="inlineStr">
        <is>
          <t>Will</t>
        </is>
      </c>
      <c r="D146" s="192" t="inlineStr">
        <is>
          <t>https://discord.com/channels/191975109500731392/1212839710439776287/1424784822198337647</t>
        </is>
      </c>
      <c r="F146" s="207" t="n"/>
    </row>
    <row r="147" ht="14.25" customHeight="1" s="175">
      <c r="A147" s="267" t="inlineStr">
        <is>
          <t>Mikey</t>
        </is>
      </c>
      <c r="B147" s="268" t="n">
        <v>2</v>
      </c>
      <c r="C147" s="269" t="inlineStr">
        <is>
          <t>Rob</t>
        </is>
      </c>
      <c r="D147" s="192" t="inlineStr">
        <is>
          <t>https://discord.com/channels/191975109500731392/1212839710439776287/1424784867820044318</t>
        </is>
      </c>
      <c r="F147" s="207" t="n"/>
    </row>
    <row r="148" ht="14.25" customHeight="1" s="175">
      <c r="A148" s="267" t="inlineStr">
        <is>
          <t>Will</t>
        </is>
      </c>
      <c r="B148" s="268" t="n">
        <v>1</v>
      </c>
      <c r="C148" s="269" t="inlineStr">
        <is>
          <t>Evan</t>
        </is>
      </c>
      <c r="D148" s="192" t="inlineStr">
        <is>
          <t>https://discord.com/channels/191975109500731392/1212839710439776287/1424785078361391196</t>
        </is>
      </c>
      <c r="F148" s="207" t="n"/>
    </row>
    <row r="149" ht="14.25" customHeight="1" s="175">
      <c r="A149" s="267" t="inlineStr">
        <is>
          <t>Carter</t>
        </is>
      </c>
      <c r="B149" s="268" t="n">
        <v>2</v>
      </c>
      <c r="C149" s="269" t="inlineStr">
        <is>
          <t>Will</t>
        </is>
      </c>
      <c r="D149" s="192" t="inlineStr">
        <is>
          <t>https://discord.com/channels/191975109500731392/1212839710439776287/1424801219192422663</t>
        </is>
      </c>
      <c r="F149" s="207" t="n"/>
    </row>
    <row r="150" ht="14.25" customHeight="1" s="175">
      <c r="A150" s="267" t="inlineStr">
        <is>
          <t>Carter</t>
        </is>
      </c>
      <c r="B150" s="268" t="n">
        <v>2</v>
      </c>
      <c r="C150" s="269" t="inlineStr">
        <is>
          <t>Mikey</t>
        </is>
      </c>
      <c r="D150" s="192" t="inlineStr">
        <is>
          <t>https://discord.com/channels/191975109500731392/1212839710439776287/1424816079041073282</t>
        </is>
      </c>
      <c r="F150" s="207" t="n"/>
    </row>
    <row r="151" ht="14.25" customHeight="1" s="175">
      <c r="A151" s="267" t="inlineStr">
        <is>
          <t>Mikey</t>
        </is>
      </c>
      <c r="B151" s="268" t="n">
        <v>1</v>
      </c>
      <c r="C151" s="269" t="inlineStr">
        <is>
          <t>Lucy</t>
        </is>
      </c>
      <c r="D151" s="192" t="inlineStr">
        <is>
          <t>https://discord.com/channels/191975109500731392/1212839710439776287/1424816527726874886</t>
        </is>
      </c>
      <c r="F151" s="207" t="n"/>
    </row>
    <row r="152" ht="14.25" customHeight="1" s="175">
      <c r="A152" s="267" t="inlineStr">
        <is>
          <t>Lucy</t>
        </is>
      </c>
      <c r="B152" s="268" t="n">
        <v>1</v>
      </c>
      <c r="C152" s="269" t="inlineStr">
        <is>
          <t>Mikey</t>
        </is>
      </c>
      <c r="D152" s="193" t="inlineStr">
        <is>
          <t>https://discord.com/channels/191975109500731392/1212839710439776287/1424816644093513919</t>
        </is>
      </c>
      <c r="F152" s="207" t="n"/>
    </row>
    <row r="153" ht="14.25" customHeight="1" s="175">
      <c r="A153" s="267" t="inlineStr">
        <is>
          <t>Ethan</t>
        </is>
      </c>
      <c r="B153" s="268" t="n">
        <v>2</v>
      </c>
      <c r="C153" s="269" t="inlineStr">
        <is>
          <t>Lucy</t>
        </is>
      </c>
      <c r="D153" s="192" t="inlineStr">
        <is>
          <t>https://discord.com/channels/191975109500731392/1212839710439776287/1424818636589371503</t>
        </is>
      </c>
      <c r="F153" s="207" t="n"/>
    </row>
    <row r="154" ht="14.25" customHeight="1" s="175">
      <c r="A154" s="267" t="inlineStr">
        <is>
          <t>Will</t>
        </is>
      </c>
      <c r="B154" s="268" t="n">
        <v>2</v>
      </c>
      <c r="C154" s="269" t="inlineStr">
        <is>
          <t>Rob</t>
        </is>
      </c>
      <c r="D154" s="192" t="inlineStr">
        <is>
          <t>https://discord.com/channels/191975109500731392/1212839710439776287/1424820271486861322</t>
        </is>
      </c>
      <c r="F154" s="207" t="n"/>
    </row>
    <row r="155" ht="14.25" customHeight="1" s="175">
      <c r="A155" s="267" t="inlineStr">
        <is>
          <t>Lucy</t>
        </is>
      </c>
      <c r="B155" s="268" t="n">
        <v>1</v>
      </c>
      <c r="C155" s="269" t="inlineStr">
        <is>
          <t>Ethan</t>
        </is>
      </c>
      <c r="D155" s="192" t="inlineStr">
        <is>
          <t>https://discord.com/channels/191975109500731392/1212839710439776287/1424831240141537282</t>
        </is>
      </c>
      <c r="F155" s="207" t="n"/>
    </row>
    <row r="156" ht="14.25" customHeight="1" s="175">
      <c r="A156" s="267" t="inlineStr">
        <is>
          <t>Mikey</t>
        </is>
      </c>
      <c r="B156" s="268" t="n">
        <v>1</v>
      </c>
      <c r="C156" s="269" t="inlineStr">
        <is>
          <t>Vignesh</t>
        </is>
      </c>
      <c r="D156" s="192" t="inlineStr">
        <is>
          <t>https://discord.com/channels/191975109500731392/1212839710439776287/1424845349922803912</t>
        </is>
      </c>
      <c r="F156" s="207" t="n"/>
    </row>
    <row r="157" ht="14.25" customHeight="1" s="175">
      <c r="A157" s="267" t="inlineStr">
        <is>
          <t>Vignesh</t>
        </is>
      </c>
      <c r="B157" s="268" t="n">
        <v>1</v>
      </c>
      <c r="C157" s="269" t="inlineStr">
        <is>
          <t>Mikey</t>
        </is>
      </c>
      <c r="D157" s="192" t="inlineStr">
        <is>
          <t>https://discord.com/channels/191975109500731392/1212839710439776287/1424845365047463956</t>
        </is>
      </c>
      <c r="F157" s="207" t="n"/>
    </row>
    <row r="158" ht="14.25" customHeight="1" s="175">
      <c r="A158" s="267" t="inlineStr">
        <is>
          <t>Vignesh</t>
        </is>
      </c>
      <c r="B158" s="268" t="n">
        <v>1</v>
      </c>
      <c r="C158" s="269" t="inlineStr">
        <is>
          <t>Grady</t>
        </is>
      </c>
      <c r="D158" s="192" t="inlineStr">
        <is>
          <t>https://discord.com/channels/191975109500731392/1212839710439776287/1424853342718525511</t>
        </is>
      </c>
      <c r="F158" s="207" t="n"/>
    </row>
    <row r="159" ht="14.25" customHeight="1" s="175">
      <c r="A159" s="267" t="inlineStr">
        <is>
          <t>Grady</t>
        </is>
      </c>
      <c r="B159" s="268" t="n">
        <v>1</v>
      </c>
      <c r="C159" s="269" t="inlineStr">
        <is>
          <t>Vignesh</t>
        </is>
      </c>
      <c r="D159" s="192" t="inlineStr">
        <is>
          <t>https://discord.com/channels/191975109500731392/1212839710439776287/1424853403221102634</t>
        </is>
      </c>
      <c r="F159" s="207" t="n"/>
    </row>
    <row r="160" ht="14.25" customHeight="1" s="175">
      <c r="A160" s="267" t="inlineStr">
        <is>
          <t>Will</t>
        </is>
      </c>
      <c r="B160" s="268" t="n">
        <v>2</v>
      </c>
      <c r="C160" s="269" t="inlineStr">
        <is>
          <t>Vignesh</t>
        </is>
      </c>
      <c r="D160" s="192" t="inlineStr">
        <is>
          <t>https://discord.com/channels/191975109500731392/1212839710439776287/1424854280954712194</t>
        </is>
      </c>
    </row>
    <row r="161" ht="14.25" customHeight="1" s="175">
      <c r="A161" s="267" t="inlineStr">
        <is>
          <t>Grady</t>
        </is>
      </c>
      <c r="B161" s="268" t="n">
        <v>2</v>
      </c>
      <c r="C161" s="269" t="inlineStr">
        <is>
          <t>Carter</t>
        </is>
      </c>
      <c r="D161" s="192" t="inlineStr">
        <is>
          <t>https://discord.com/channels/191975109500731392/1212839710439776287/1425129589054636053</t>
        </is>
      </c>
      <c r="E161" s="173" t="n">
        <v>1</v>
      </c>
    </row>
    <row r="162" ht="14.25" customHeight="1" s="175">
      <c r="A162" s="267" t="inlineStr">
        <is>
          <t>Ethan</t>
        </is>
      </c>
      <c r="B162" s="268" t="n">
        <v>2</v>
      </c>
      <c r="C162" s="269" t="inlineStr">
        <is>
          <t>Erick</t>
        </is>
      </c>
      <c r="D162" s="192" t="inlineStr">
        <is>
          <t>https://discord.com/channels/191975109500731392/1212839710439776287/1425134584869294131</t>
        </is>
      </c>
    </row>
    <row r="163" ht="14.25" customHeight="1" s="175">
      <c r="A163" s="267" t="inlineStr">
        <is>
          <t>Evan</t>
        </is>
      </c>
      <c r="B163" s="268" t="n">
        <v>1</v>
      </c>
      <c r="C163" s="269" t="inlineStr">
        <is>
          <t>Ethan</t>
        </is>
      </c>
      <c r="D163" s="192" t="inlineStr">
        <is>
          <t>https://discord.com/channels/191975109500731392/1212839710439776287/1425155500160450712</t>
        </is>
      </c>
    </row>
    <row r="164" ht="14.25" customHeight="1" s="175">
      <c r="A164" s="267" t="inlineStr">
        <is>
          <t>Ethan</t>
        </is>
      </c>
      <c r="B164" s="268" t="n">
        <v>1</v>
      </c>
      <c r="C164" s="269" t="inlineStr">
        <is>
          <t>Evan</t>
        </is>
      </c>
      <c r="D164" s="192" t="inlineStr">
        <is>
          <t>https://discord.com/channels/191975109500731392/1212839710439776287/1425155602535026748</t>
        </is>
      </c>
    </row>
    <row r="165" ht="14.25" customHeight="1" s="175">
      <c r="A165" s="267" t="inlineStr">
        <is>
          <t>Ethan</t>
        </is>
      </c>
      <c r="B165" s="268" t="n">
        <v>2</v>
      </c>
      <c r="C165" s="269" t="inlineStr">
        <is>
          <t>Carter</t>
        </is>
      </c>
      <c r="D165" s="192" t="inlineStr">
        <is>
          <t>https://discord.com/channels/191975109500731392/1212839710439776287/1425175715388588133</t>
        </is>
      </c>
      <c r="E165" s="173" t="n">
        <v>1</v>
      </c>
    </row>
    <row r="166" ht="14.25" customHeight="1" s="175">
      <c r="A166" s="267" t="inlineStr">
        <is>
          <t>Will</t>
        </is>
      </c>
      <c r="B166" s="268" t="n">
        <v>1</v>
      </c>
      <c r="C166" s="269" t="inlineStr">
        <is>
          <t>Rob</t>
        </is>
      </c>
      <c r="D166" s="192" t="inlineStr">
        <is>
          <t>https://discord.com/channels/191975109500731392/1212839710439776287/1425254196885717132</t>
        </is>
      </c>
    </row>
    <row r="167" ht="14.25" customHeight="1" s="175">
      <c r="A167" s="267" t="inlineStr">
        <is>
          <t>Rob</t>
        </is>
      </c>
      <c r="B167" s="268" t="n">
        <v>1</v>
      </c>
      <c r="C167" s="269" t="inlineStr">
        <is>
          <t>Will</t>
        </is>
      </c>
      <c r="D167" s="192" t="inlineStr">
        <is>
          <t>https://discord.com/channels/191975109500731392/1212839710439776287/1425254663942307952</t>
        </is>
      </c>
    </row>
    <row r="168" ht="14.25" customHeight="1" s="175">
      <c r="A168" s="267" t="inlineStr">
        <is>
          <t>Lucy</t>
        </is>
      </c>
      <c r="B168" s="268" t="n">
        <v>2</v>
      </c>
      <c r="C168" s="269" t="inlineStr">
        <is>
          <t>Will</t>
        </is>
      </c>
      <c r="D168" s="192" t="inlineStr">
        <is>
          <t>https://discord.com/channels/191975109500731392/1212839710439776287/1425259210924363859</t>
        </is>
      </c>
      <c r="F168" s="240" t="n"/>
      <c r="G168" s="240" t="n"/>
      <c r="H168" s="240" t="n"/>
    </row>
    <row r="169" ht="14.25" customHeight="1" s="175">
      <c r="A169" s="267" t="inlineStr">
        <is>
          <t>Lucy</t>
        </is>
      </c>
      <c r="B169" s="268" t="n">
        <v>1</v>
      </c>
      <c r="C169" s="269" t="inlineStr">
        <is>
          <t>Rob</t>
        </is>
      </c>
      <c r="D169" s="192" t="inlineStr">
        <is>
          <t>https://discord.com/channels/191975109500731392/1212839710439776287/1425259210924363859</t>
        </is>
      </c>
      <c r="F169" s="240" t="n"/>
      <c r="G169" s="240" t="n"/>
      <c r="H169" s="240" t="n"/>
    </row>
    <row r="170" ht="14.25" customHeight="1" s="175">
      <c r="A170" s="267" t="inlineStr">
        <is>
          <t>Will</t>
        </is>
      </c>
      <c r="B170" s="268" t="n">
        <v>1</v>
      </c>
      <c r="C170" s="269" t="inlineStr">
        <is>
          <t>Lucy</t>
        </is>
      </c>
      <c r="D170" s="192" t="inlineStr">
        <is>
          <t>https://discord.com/channels/191975109500731392/1212839710439776287/1425259397122232484</t>
        </is>
      </c>
      <c r="F170" s="240" t="n"/>
      <c r="G170" s="240" t="n"/>
      <c r="H170" s="240" t="n"/>
    </row>
    <row r="171" ht="14.25" customHeight="1" s="175">
      <c r="A171" s="267" t="inlineStr">
        <is>
          <t>Mikey</t>
        </is>
      </c>
      <c r="B171" s="268" t="n">
        <v>2</v>
      </c>
      <c r="C171" s="269" t="inlineStr">
        <is>
          <t>Reuben</t>
        </is>
      </c>
      <c r="D171" s="192" t="inlineStr">
        <is>
          <t>https://discord.com/channels/191975109500731392/1212839710439776287/1425261736105213974</t>
        </is>
      </c>
      <c r="F171" s="240" t="n"/>
      <c r="G171" s="240" t="n"/>
      <c r="H171" s="240" t="n"/>
    </row>
    <row r="172" ht="14.25" customHeight="1" s="175">
      <c r="A172" s="267" t="inlineStr">
        <is>
          <t>Lucy</t>
        </is>
      </c>
      <c r="B172" s="268" t="n">
        <v>2</v>
      </c>
      <c r="C172" s="269" t="inlineStr">
        <is>
          <t>Anthony</t>
        </is>
      </c>
      <c r="D172" s="192" t="inlineStr">
        <is>
          <t>https://discord.com/channels/191975109500731392/1212839710439776287/1425479482038419657</t>
        </is>
      </c>
      <c r="F172" s="240" t="n"/>
      <c r="G172" s="240" t="n"/>
      <c r="H172" s="240" t="n"/>
    </row>
    <row r="173" ht="14.25" customHeight="1" s="175">
      <c r="A173" s="267" t="inlineStr">
        <is>
          <t>Joey</t>
        </is>
      </c>
      <c r="B173" s="268" t="n">
        <v>1</v>
      </c>
      <c r="C173" s="269" t="inlineStr">
        <is>
          <t>Grady</t>
        </is>
      </c>
      <c r="D173" s="192" t="inlineStr">
        <is>
          <t>https://discord.com/channels/191975109500731392/1212839710439776287/1425555891461292153</t>
        </is>
      </c>
      <c r="F173" s="240" t="n"/>
      <c r="G173" s="240" t="n"/>
      <c r="H173" s="240" t="n"/>
    </row>
    <row r="174" ht="14.25" customHeight="1" s="175">
      <c r="A174" s="267" t="inlineStr">
        <is>
          <t>Grady</t>
        </is>
      </c>
      <c r="B174" s="268" t="n">
        <v>1</v>
      </c>
      <c r="C174" s="269" t="inlineStr">
        <is>
          <t>Joey</t>
        </is>
      </c>
      <c r="D174" s="192" t="inlineStr">
        <is>
          <t>https://discord.com/channels/191975109500731392/1212839710439776287/1425556330562850947</t>
        </is>
      </c>
      <c r="F174" s="240" t="n"/>
      <c r="G174" s="240" t="n"/>
      <c r="H174" s="240" t="n"/>
    </row>
    <row r="175" ht="14.25" customHeight="1" s="175">
      <c r="A175" s="267" t="inlineStr">
        <is>
          <t>Maxine</t>
        </is>
      </c>
      <c r="B175" s="268" t="n">
        <v>1</v>
      </c>
      <c r="C175" s="269" t="inlineStr">
        <is>
          <t>Ethan</t>
        </is>
      </c>
      <c r="D175" s="192" t="inlineStr">
        <is>
          <t>https://discord.com/channels/191975109500731392/1212839710439776287/1425843226702778368</t>
        </is>
      </c>
      <c r="F175" s="240" t="n"/>
      <c r="G175" s="240" t="n"/>
      <c r="H175" s="240" t="n"/>
    </row>
    <row r="176" ht="14.25" customHeight="1" s="175">
      <c r="A176" s="267" t="inlineStr">
        <is>
          <t>Ethan</t>
        </is>
      </c>
      <c r="B176" s="268" t="n">
        <v>1</v>
      </c>
      <c r="C176" s="269" t="inlineStr">
        <is>
          <t>Maxine</t>
        </is>
      </c>
      <c r="D176" s="192" t="inlineStr">
        <is>
          <t>https://discord.com/channels/191975109500731392/1212839710439776287/1425843287654142113</t>
        </is>
      </c>
      <c r="F176" s="240" t="n"/>
      <c r="G176" s="240" t="n"/>
      <c r="H176" s="240" t="n"/>
    </row>
    <row r="177" ht="14.25" customHeight="1" s="175">
      <c r="A177" s="267" t="inlineStr">
        <is>
          <t>Anthony</t>
        </is>
      </c>
      <c r="B177" s="268" t="n">
        <v>2</v>
      </c>
      <c r="C177" s="269" t="inlineStr">
        <is>
          <t>Will</t>
        </is>
      </c>
      <c r="D177" s="192" t="inlineStr">
        <is>
          <t>https://discord.com/channels/191975109500731392/1212839710439776287/1425861807272235010</t>
        </is>
      </c>
    </row>
    <row r="178" ht="14.25" customHeight="1" s="175">
      <c r="A178" s="267" t="inlineStr">
        <is>
          <t>Peter</t>
        </is>
      </c>
      <c r="B178" s="268" t="n">
        <v>1</v>
      </c>
      <c r="C178" s="269" t="inlineStr">
        <is>
          <t>Lucy</t>
        </is>
      </c>
      <c r="D178" s="192" t="inlineStr">
        <is>
          <t>https://discord.com/channels/191975109500731392/1212839710439776287/1425873487880519711</t>
        </is>
      </c>
    </row>
    <row r="179" ht="14.25" customHeight="1" s="175">
      <c r="A179" s="267" t="inlineStr">
        <is>
          <t>Lucy</t>
        </is>
      </c>
      <c r="B179" s="268" t="n">
        <v>1</v>
      </c>
      <c r="C179" s="269" t="inlineStr">
        <is>
          <t>Peter</t>
        </is>
      </c>
      <c r="D179" s="192" t="inlineStr">
        <is>
          <t>https://discord.com/channels/191975109500731392/1212839710439776287/1425873746522148945</t>
        </is>
      </c>
    </row>
    <row r="180" ht="14.25" customHeight="1" s="175">
      <c r="A180" s="267" t="inlineStr">
        <is>
          <t>Ethan</t>
        </is>
      </c>
      <c r="B180" s="268" t="n">
        <v>2</v>
      </c>
      <c r="C180" s="269" t="inlineStr">
        <is>
          <t>Evan</t>
        </is>
      </c>
      <c r="D180" s="192" t="inlineStr">
        <is>
          <t>https://discord.com/channels/191975109500731392/1212839710439776287/1425880410407178352</t>
        </is>
      </c>
    </row>
    <row r="181" ht="14.25" customHeight="1" s="175">
      <c r="A181" s="267" t="inlineStr">
        <is>
          <t>Lucy</t>
        </is>
      </c>
      <c r="B181" s="268" t="n">
        <v>2</v>
      </c>
      <c r="C181" s="269" t="inlineStr">
        <is>
          <t>Will</t>
        </is>
      </c>
      <c r="D181" s="192" t="inlineStr">
        <is>
          <t>https://discord.com/channels/191975109500731392/1212839710439776287/1425881815306211421</t>
        </is>
      </c>
    </row>
    <row r="182" ht="14.25" customHeight="1" s="175">
      <c r="A182" s="267" t="inlineStr">
        <is>
          <t>Rob</t>
        </is>
      </c>
      <c r="B182" s="268" t="n">
        <v>2</v>
      </c>
      <c r="C182" s="269" t="inlineStr">
        <is>
          <t>Grady</t>
        </is>
      </c>
      <c r="D182" s="192" t="inlineStr">
        <is>
          <t>https://discord.com/channels/191975109500731392/1212839710439776287/1425905068120473610</t>
        </is>
      </c>
    </row>
    <row r="183" ht="14.25" customHeight="1" s="175">
      <c r="A183" s="267" t="inlineStr">
        <is>
          <t>Ethan</t>
        </is>
      </c>
      <c r="B183" s="268" t="n">
        <v>2</v>
      </c>
      <c r="C183" s="269" t="inlineStr">
        <is>
          <t>Mikey</t>
        </is>
      </c>
      <c r="D183" s="192" t="inlineStr">
        <is>
          <t>https://discord.com/channels/191975109500731392/1212839710439776287/1425923041048793282</t>
        </is>
      </c>
    </row>
    <row r="184" ht="14.25" customHeight="1" s="175">
      <c r="A184" s="267" t="inlineStr">
        <is>
          <t>Lucy</t>
        </is>
      </c>
      <c r="B184" s="268" t="n">
        <v>1</v>
      </c>
      <c r="C184" s="269" t="inlineStr">
        <is>
          <t>Evan</t>
        </is>
      </c>
      <c r="D184" s="192" t="inlineStr">
        <is>
          <t>https://discord.com/channels/191975109500731392/1212839710439776287/1425952376941969418</t>
        </is>
      </c>
    </row>
    <row r="185" ht="14.25" customHeight="1" s="175">
      <c r="A185" s="267" t="inlineStr">
        <is>
          <t>Evan</t>
        </is>
      </c>
      <c r="B185" s="268" t="n">
        <v>1</v>
      </c>
      <c r="C185" s="269" t="inlineStr">
        <is>
          <t>Lucy</t>
        </is>
      </c>
      <c r="D185" s="192" t="inlineStr">
        <is>
          <t>https://discord.com/channels/191975109500731392/1212839710439776287/1425952976308142151</t>
        </is>
      </c>
    </row>
    <row r="186" ht="14.25" customHeight="1" s="175">
      <c r="A186" s="267" t="inlineStr">
        <is>
          <t>Will</t>
        </is>
      </c>
      <c r="B186" s="268" t="n">
        <v>2</v>
      </c>
      <c r="C186" s="269" t="inlineStr">
        <is>
          <t>Lucy</t>
        </is>
      </c>
      <c r="D186" s="192" t="inlineStr">
        <is>
          <t>https://discord.com/channels/191975109500731392/1212839710439776287/1425997321115668550</t>
        </is>
      </c>
    </row>
    <row r="187" ht="14.25" customHeight="1" s="175">
      <c r="A187" s="267" t="inlineStr">
        <is>
          <t>Lucy</t>
        </is>
      </c>
      <c r="B187" s="268" t="n">
        <v>1</v>
      </c>
      <c r="C187" s="269" t="inlineStr">
        <is>
          <t>Will</t>
        </is>
      </c>
      <c r="D187" s="192" t="inlineStr">
        <is>
          <t>https://discord.com/channels/191975109500731392/1212839710439776287/1425997886726078494</t>
        </is>
      </c>
    </row>
    <row r="188" ht="14.25" customHeight="1" s="175">
      <c r="A188" s="267" t="inlineStr">
        <is>
          <t>Evan</t>
        </is>
      </c>
      <c r="B188" s="268" t="n">
        <v>1</v>
      </c>
      <c r="C188" s="269" t="inlineStr">
        <is>
          <t>Vignesh</t>
        </is>
      </c>
      <c r="D188" s="193" t="inlineStr">
        <is>
          <t>https://discord.com/channels/191975109500731392/1212839710439776287/1426205592493752341</t>
        </is>
      </c>
    </row>
    <row r="189" ht="14.25" customHeight="1" s="175">
      <c r="A189" s="267" t="inlineStr">
        <is>
          <t>Vignesh</t>
        </is>
      </c>
      <c r="B189" s="268" t="n">
        <v>2</v>
      </c>
      <c r="C189" s="269" t="inlineStr">
        <is>
          <t>Evan</t>
        </is>
      </c>
      <c r="D189" s="192" t="inlineStr">
        <is>
          <t>https://discord.com/channels/191975109500731392/1212839710439776287/1426205665122062546</t>
        </is>
      </c>
    </row>
    <row r="190" ht="14.25" customHeight="1" s="175">
      <c r="A190" s="267" t="inlineStr">
        <is>
          <t>Will</t>
        </is>
      </c>
      <c r="B190" s="268" t="n">
        <v>1</v>
      </c>
      <c r="C190" s="269" t="inlineStr">
        <is>
          <t>Lucy</t>
        </is>
      </c>
      <c r="D190" s="192" t="inlineStr">
        <is>
          <t>https://discord.com/channels/191975109500731392/1212839710439776287/1426251432729776219</t>
        </is>
      </c>
    </row>
    <row r="191" ht="14.25" customHeight="1" s="175">
      <c r="A191" s="267" t="inlineStr">
        <is>
          <t>Lucy</t>
        </is>
      </c>
      <c r="B191" s="268" t="n">
        <v>1</v>
      </c>
      <c r="C191" s="269" t="inlineStr">
        <is>
          <t>Will</t>
        </is>
      </c>
      <c r="D191" s="192" t="inlineStr">
        <is>
          <t>https://discord.com/channels/191975109500731392/1212839710439776287/1426251550531260579</t>
        </is>
      </c>
    </row>
    <row r="192" ht="14.25" customHeight="1" s="175">
      <c r="A192" s="267" t="inlineStr">
        <is>
          <t>Ethan</t>
        </is>
      </c>
      <c r="B192" s="268" t="n">
        <v>2</v>
      </c>
      <c r="C192" s="269" t="inlineStr">
        <is>
          <t>Rob</t>
        </is>
      </c>
      <c r="D192" s="192" t="inlineStr">
        <is>
          <t>https://discord.com/channels/191975109500731392/1212839710439776287/1426344983480373278</t>
        </is>
      </c>
    </row>
    <row r="193" ht="14.25" customHeight="1" s="175">
      <c r="A193" s="267" t="inlineStr">
        <is>
          <t>Mikey</t>
        </is>
      </c>
      <c r="B193" s="268" t="n">
        <v>2</v>
      </c>
      <c r="C193" s="269" t="inlineStr">
        <is>
          <t>Will</t>
        </is>
      </c>
      <c r="D193" s="192" t="inlineStr">
        <is>
          <t>https://discord.com/channels/191975109500731392/1212839710439776287/1427446963443466311</t>
        </is>
      </c>
    </row>
    <row r="194" ht="14.25" customHeight="1" s="175">
      <c r="A194" s="267" t="inlineStr">
        <is>
          <t>Will</t>
        </is>
      </c>
      <c r="B194" s="268" t="n">
        <v>2</v>
      </c>
      <c r="C194" s="269" t="inlineStr">
        <is>
          <t>Rob</t>
        </is>
      </c>
      <c r="D194" s="192" t="inlineStr">
        <is>
          <t>https://discord.com/channels/191975109500731392/1212839710439776287/1427806880863883419</t>
        </is>
      </c>
    </row>
    <row r="195" ht="14.25" customHeight="1" s="175">
      <c r="A195" s="267" t="inlineStr">
        <is>
          <t>Peter</t>
        </is>
      </c>
      <c r="B195" s="268" t="n">
        <v>2</v>
      </c>
      <c r="C195" s="269" t="inlineStr">
        <is>
          <t>Mikey</t>
        </is>
      </c>
      <c r="D195" s="192" t="inlineStr">
        <is>
          <t>https://discord.com/channels/191975109500731392/1212839710439776287/1428064551601180825</t>
        </is>
      </c>
    </row>
    <row r="196" ht="14.25" customHeight="1" s="175">
      <c r="A196" s="267" t="inlineStr">
        <is>
          <t>Evan</t>
        </is>
      </c>
      <c r="B196" s="268" t="n">
        <v>2</v>
      </c>
      <c r="C196" s="269" t="inlineStr">
        <is>
          <t>Mikey</t>
        </is>
      </c>
      <c r="D196" s="192" t="inlineStr">
        <is>
          <t>https://discord.com/channels/191975109500731392/1212839710439776287/1428073974025289840</t>
        </is>
      </c>
    </row>
    <row r="197" ht="14.25" customHeight="1" s="175">
      <c r="A197" s="267" t="inlineStr">
        <is>
          <t>Mikey</t>
        </is>
      </c>
      <c r="B197" s="268" t="n">
        <v>1</v>
      </c>
      <c r="C197" s="269" t="inlineStr">
        <is>
          <t>Evan</t>
        </is>
      </c>
      <c r="D197" s="192" t="inlineStr">
        <is>
          <t>https://discord.com/channels/191975109500731392/1212839710439776287/1428074042455359609</t>
        </is>
      </c>
    </row>
    <row r="198" ht="14.25" customHeight="1" s="175">
      <c r="A198" s="267" t="inlineStr">
        <is>
          <t>Anthony</t>
        </is>
      </c>
      <c r="B198" s="268" t="n">
        <v>1</v>
      </c>
      <c r="C198" s="269" t="inlineStr">
        <is>
          <t>Cooper</t>
        </is>
      </c>
      <c r="D198" s="192" t="inlineStr">
        <is>
          <t>https://discord.com/channels/191975109500731392/1212839710439776287/1428112782200406147</t>
        </is>
      </c>
    </row>
    <row r="199" ht="14.25" customHeight="1" s="175">
      <c r="A199" s="267" t="inlineStr">
        <is>
          <t>Vignesh</t>
        </is>
      </c>
      <c r="B199" s="268" t="n">
        <v>2</v>
      </c>
      <c r="C199" s="269" t="inlineStr">
        <is>
          <t>Rob</t>
        </is>
      </c>
      <c r="D199" s="192" t="inlineStr">
        <is>
          <t>https://discord.com/channels/191975109500731392/1212839710439776287/1428146711364112487</t>
        </is>
      </c>
    </row>
    <row r="200" ht="14.25" customHeight="1" s="175">
      <c r="A200" s="267" t="inlineStr">
        <is>
          <t>Maxine</t>
        </is>
      </c>
      <c r="B200" s="268" t="n">
        <v>1</v>
      </c>
      <c r="C200" s="269" t="inlineStr">
        <is>
          <t>Cooper</t>
        </is>
      </c>
      <c r="D200" s="173" t="inlineStr">
        <is>
          <t>https://discord.com/channels/191975109500731392/1212839710439776287/1428381695878627358</t>
        </is>
      </c>
    </row>
    <row r="201" ht="14.25" customHeight="1" s="175">
      <c r="A201" s="267" t="inlineStr">
        <is>
          <t>Cooper</t>
        </is>
      </c>
      <c r="B201" s="268" t="n">
        <v>1</v>
      </c>
      <c r="C201" s="269" t="inlineStr">
        <is>
          <t>Maxine</t>
        </is>
      </c>
      <c r="D201" s="173" t="inlineStr">
        <is>
          <t>https://discord.com/channels/191975109500731392/1212839710439776287/1428381767160696832</t>
        </is>
      </c>
    </row>
    <row r="202" ht="14.25" customHeight="1" s="175">
      <c r="A202" s="267" t="inlineStr">
        <is>
          <t>Will</t>
        </is>
      </c>
      <c r="B202" s="268" t="n">
        <v>2</v>
      </c>
      <c r="C202" s="269" t="inlineStr">
        <is>
          <t>Rob</t>
        </is>
      </c>
      <c r="D202" s="173" t="inlineStr">
        <is>
          <t>https://discord.com/channels/191975109500731392/1212839710439776287/1428394857852043308</t>
        </is>
      </c>
    </row>
    <row r="203" ht="14.25" customHeight="1" s="175">
      <c r="A203" s="267" t="inlineStr">
        <is>
          <t>Evan</t>
        </is>
      </c>
      <c r="B203" s="268" t="n">
        <v>2</v>
      </c>
      <c r="C203" s="269" t="inlineStr">
        <is>
          <t>Grady</t>
        </is>
      </c>
      <c r="D203" s="192" t="inlineStr">
        <is>
          <t>https://discord.com/channels/191975109500731392/1212839710439776287/1428395134692753492</t>
        </is>
      </c>
    </row>
    <row r="204" ht="14.25" customHeight="1" s="175">
      <c r="A204" s="267" t="inlineStr">
        <is>
          <t>Ethan</t>
        </is>
      </c>
      <c r="B204" s="268" t="n">
        <v>2</v>
      </c>
      <c r="C204" s="269" t="inlineStr">
        <is>
          <t>Carter</t>
        </is>
      </c>
      <c r="D204" s="173" t="inlineStr">
        <is>
          <t>https://discord.com/channels/191975109500731392/1212839710439776287/1428397119907168336</t>
        </is>
      </c>
      <c r="E204" s="173" t="n">
        <v>0</v>
      </c>
    </row>
    <row r="205" ht="14.25" customHeight="1" s="175">
      <c r="A205" s="267" t="inlineStr">
        <is>
          <t>Will</t>
        </is>
      </c>
      <c r="B205" s="268" t="n">
        <v>2</v>
      </c>
      <c r="C205" s="269" t="inlineStr">
        <is>
          <t>Grady</t>
        </is>
      </c>
      <c r="D205" s="173" t="inlineStr">
        <is>
          <t>https://discord.com/channels/191975109500731392/1212839710439776287/1428417924359651500</t>
        </is>
      </c>
    </row>
    <row r="206" ht="14.25" customHeight="1" s="175">
      <c r="A206" s="267" t="inlineStr">
        <is>
          <t>Mikey</t>
        </is>
      </c>
      <c r="B206" s="268" t="n">
        <v>1</v>
      </c>
      <c r="C206" s="269" t="inlineStr">
        <is>
          <t>Rob</t>
        </is>
      </c>
      <c r="D206" s="173" t="inlineStr">
        <is>
          <t>https://discord.com/channels/191975109500731392/1212839710439776287/1428440311226437682</t>
        </is>
      </c>
    </row>
    <row r="207" ht="14.25" customHeight="1" s="175">
      <c r="A207" s="267" t="inlineStr">
        <is>
          <t>Rob</t>
        </is>
      </c>
      <c r="B207" s="268" t="n">
        <v>1</v>
      </c>
      <c r="C207" s="269" t="inlineStr">
        <is>
          <t>Mikey</t>
        </is>
      </c>
      <c r="D207" s="173" t="inlineStr">
        <is>
          <t>https://discord.com/channels/191975109500731392/1212839710439776287/1428440501119615098</t>
        </is>
      </c>
    </row>
    <row r="208" ht="14.25" customHeight="1" s="175">
      <c r="A208" s="267" t="inlineStr">
        <is>
          <t>Vignesh</t>
        </is>
      </c>
      <c r="B208" s="268" t="n">
        <v>2</v>
      </c>
      <c r="C208" s="269" t="inlineStr">
        <is>
          <t>Grady</t>
        </is>
      </c>
      <c r="D208" s="173" t="inlineStr">
        <is>
          <t>https://discord.com/channels/191975109500731392/1212839710439776287/1428455310728630362</t>
        </is>
      </c>
    </row>
    <row r="209" ht="14.25" customHeight="1" s="175">
      <c r="A209" s="267" t="inlineStr">
        <is>
          <t>Vignesh</t>
        </is>
      </c>
      <c r="B209" s="268" t="n">
        <v>1</v>
      </c>
      <c r="C209" s="269" t="inlineStr">
        <is>
          <t>Lucy</t>
        </is>
      </c>
      <c r="D209" s="173" t="inlineStr">
        <is>
          <t>https://discord.com/channels/191975109500731392/1212839710439776287/1428480940069355561</t>
        </is>
      </c>
    </row>
    <row r="210" ht="14.25" customHeight="1" s="175">
      <c r="A210" s="267" t="inlineStr">
        <is>
          <t>Lucy</t>
        </is>
      </c>
      <c r="B210" s="268" t="n">
        <v>1</v>
      </c>
      <c r="C210" s="269" t="inlineStr">
        <is>
          <t>Vignesh</t>
        </is>
      </c>
      <c r="D210" s="173" t="inlineStr">
        <is>
          <t>https://discord.com/channels/191975109500731392/1212839710439776287/1428480980200460401</t>
        </is>
      </c>
    </row>
    <row r="211" ht="14.25" customHeight="1" s="175">
      <c r="A211" s="267" t="inlineStr">
        <is>
          <t>Mikey</t>
        </is>
      </c>
      <c r="B211" s="268" t="n">
        <v>2</v>
      </c>
      <c r="C211" s="269" t="inlineStr">
        <is>
          <t>Grady</t>
        </is>
      </c>
      <c r="D211" s="173" t="inlineStr">
        <is>
          <t>https://discord.com/channels/191975109500731392/1212839710439776287/1428486027479351431</t>
        </is>
      </c>
    </row>
    <row r="212" ht="14.25" customHeight="1" s="175">
      <c r="A212" s="267" t="inlineStr">
        <is>
          <t>Cooper</t>
        </is>
      </c>
      <c r="B212" s="268" t="n">
        <v>1</v>
      </c>
      <c r="C212" s="269" t="inlineStr">
        <is>
          <t>Grady</t>
        </is>
      </c>
      <c r="D212" s="173" t="inlineStr">
        <is>
          <t>https://discord.com/channels/191975109500731392/1212839710439776287/1428487329357631599</t>
        </is>
      </c>
    </row>
    <row r="213" ht="14.25" customHeight="1" s="175">
      <c r="A213" s="267" t="inlineStr">
        <is>
          <t>Grady</t>
        </is>
      </c>
      <c r="B213" s="268" t="n">
        <v>1</v>
      </c>
      <c r="C213" s="269" t="inlineStr">
        <is>
          <t>Cooper</t>
        </is>
      </c>
      <c r="D213" s="173" t="inlineStr">
        <is>
          <t>https://discord.com/channels/191975109500731392/1212839710439776287/1428487397674582176</t>
        </is>
      </c>
    </row>
    <row r="214" ht="14.25" customHeight="1" s="175">
      <c r="A214" s="267" t="inlineStr">
        <is>
          <t>Anthony</t>
        </is>
      </c>
      <c r="B214" s="268" t="n">
        <v>1</v>
      </c>
      <c r="C214" s="269" t="inlineStr">
        <is>
          <t>Lucy</t>
        </is>
      </c>
      <c r="D214" s="173" t="inlineStr">
        <is>
          <t>https://discord.com/channels/191975109500731392/1212839710439776287/1428492697986924544</t>
        </is>
      </c>
    </row>
    <row r="215" ht="14.25" customHeight="1" s="175">
      <c r="A215" s="267" t="inlineStr">
        <is>
          <t>Lucy</t>
        </is>
      </c>
      <c r="B215" s="268" t="n">
        <v>1</v>
      </c>
      <c r="C215" s="269" t="inlineStr">
        <is>
          <t>Anthony</t>
        </is>
      </c>
      <c r="D215" s="173" t="inlineStr">
        <is>
          <t>https://discord.com/channels/191975109500731392/1212839710439776287/1428492767079694337</t>
        </is>
      </c>
    </row>
    <row r="216" ht="14.25" customHeight="1" s="175">
      <c r="A216" s="267" t="inlineStr">
        <is>
          <t>Evan</t>
        </is>
      </c>
      <c r="B216" s="268" t="n">
        <v>2</v>
      </c>
      <c r="C216" s="269" t="inlineStr">
        <is>
          <t>Peter</t>
        </is>
      </c>
      <c r="D216" s="173" t="inlineStr">
        <is>
          <t>https://discord.com/channels/191975109500731392/1212839710439776287/1428743006466605237</t>
        </is>
      </c>
    </row>
    <row r="217" ht="14.25" customHeight="1" s="175">
      <c r="A217" s="267" t="inlineStr">
        <is>
          <t>Peter</t>
        </is>
      </c>
      <c r="B217" s="268" t="n">
        <v>1</v>
      </c>
      <c r="C217" s="269" t="inlineStr">
        <is>
          <t>Evan</t>
        </is>
      </c>
      <c r="D217" s="173" t="inlineStr">
        <is>
          <t>https://discord.com/channels/191975109500731392/1212839710439776287/1428744168129433672</t>
        </is>
      </c>
    </row>
    <row r="218" ht="14.25" customHeight="1" s="175">
      <c r="A218" s="267" t="inlineStr">
        <is>
          <t>Anthony</t>
        </is>
      </c>
      <c r="B218" s="268" t="n">
        <v>2</v>
      </c>
      <c r="C218" s="269" t="inlineStr">
        <is>
          <t>Lucy</t>
        </is>
      </c>
      <c r="D218" s="173" t="inlineStr">
        <is>
          <t>https://discord.com/channels/191975109500731392/1212839710439776287/1428765385481519134</t>
        </is>
      </c>
    </row>
    <row r="219" ht="14.25" customHeight="1" s="175">
      <c r="A219" s="267" t="inlineStr">
        <is>
          <t>Ethan</t>
        </is>
      </c>
      <c r="B219" s="268" t="n">
        <v>2</v>
      </c>
      <c r="C219" s="269" t="inlineStr">
        <is>
          <t>Lucy</t>
        </is>
      </c>
      <c r="D219" s="173" t="inlineStr">
        <is>
          <t>https://discord.com/channels/191975109500731392/1212839710439776287/1428765406675341364</t>
        </is>
      </c>
    </row>
    <row r="220" ht="14.25" customHeight="1" s="175">
      <c r="A220" s="267" t="inlineStr">
        <is>
          <t>Lucy</t>
        </is>
      </c>
      <c r="B220" s="268" t="n">
        <v>1</v>
      </c>
      <c r="C220" s="269" t="inlineStr">
        <is>
          <t>Anthony</t>
        </is>
      </c>
      <c r="D220" s="192" t="inlineStr">
        <is>
          <t>https://discord.com/channels/191975109500731392/1212839710439776287/1428765782082588823</t>
        </is>
      </c>
    </row>
    <row r="221" ht="14.25" customHeight="1" s="175">
      <c r="A221" s="267" t="inlineStr">
        <is>
          <t>Lucy</t>
        </is>
      </c>
      <c r="B221" s="268" t="n">
        <v>1</v>
      </c>
      <c r="C221" s="269" t="inlineStr">
        <is>
          <t>Ethan</t>
        </is>
      </c>
      <c r="D221" s="173" t="inlineStr">
        <is>
          <t>https://discord.com/channels/191975109500731392/1212839710439776287/1428765782082588823</t>
        </is>
      </c>
    </row>
    <row r="222" ht="14.25" customHeight="1" s="175">
      <c r="A222" s="267" t="inlineStr">
        <is>
          <t>Evan</t>
        </is>
      </c>
      <c r="B222" s="268" t="n">
        <v>1</v>
      </c>
      <c r="C222" s="269" t="inlineStr">
        <is>
          <t>Anthony</t>
        </is>
      </c>
      <c r="D222" s="173" t="inlineStr">
        <is>
          <t>https://discord.com/channels/191975109500731392/1212839710439776287/1428771201802829969</t>
        </is>
      </c>
    </row>
    <row r="223" ht="14.25" customHeight="1" s="175">
      <c r="A223" s="267" t="inlineStr">
        <is>
          <t>Evan</t>
        </is>
      </c>
      <c r="B223" s="268" t="n">
        <v>1</v>
      </c>
      <c r="C223" s="269" t="inlineStr">
        <is>
          <t>Ethan</t>
        </is>
      </c>
      <c r="D223" s="193" t="inlineStr">
        <is>
          <t>https://discord.com/channels/191975109500731392/1212839710439776287/1428771201802829969</t>
        </is>
      </c>
    </row>
    <row r="224" ht="14.25" customHeight="1" s="175">
      <c r="A224" s="267" t="inlineStr">
        <is>
          <t>Mikey</t>
        </is>
      </c>
      <c r="B224" s="268" t="n">
        <v>2</v>
      </c>
      <c r="C224" s="269" t="inlineStr">
        <is>
          <t>Rob</t>
        </is>
      </c>
      <c r="D224" s="173" t="inlineStr">
        <is>
          <t>https://discord.com/channels/191975109500731392/1212839710439776287/1428872858490245220</t>
        </is>
      </c>
    </row>
    <row r="225" ht="14.25" customHeight="1" s="175">
      <c r="A225" s="267" t="inlineStr">
        <is>
          <t>Mikey</t>
        </is>
      </c>
      <c r="B225" s="268" t="n">
        <v>1</v>
      </c>
      <c r="C225" s="269" t="inlineStr">
        <is>
          <t>Will</t>
        </is>
      </c>
      <c r="D225" s="173" t="inlineStr">
        <is>
          <t>https://discord.com/channels/191975109500731392/1212839710439776287/1428876729266737353</t>
        </is>
      </c>
    </row>
    <row r="226" ht="14.25" customHeight="1" s="175">
      <c r="A226" s="267" t="inlineStr">
        <is>
          <t>Will</t>
        </is>
      </c>
      <c r="B226" s="268" t="n">
        <v>1</v>
      </c>
      <c r="C226" s="269" t="inlineStr">
        <is>
          <t>Mikey</t>
        </is>
      </c>
      <c r="D226" s="173" t="inlineStr">
        <is>
          <t>https://discord.com/channels/191975109500731392/1212839710439776287/1428876848753938452</t>
        </is>
      </c>
    </row>
    <row r="227" ht="14.25" customHeight="1" s="175">
      <c r="A227" s="267" t="inlineStr">
        <is>
          <t>Rob</t>
        </is>
      </c>
      <c r="B227" s="268" t="n">
        <v>1</v>
      </c>
      <c r="C227" s="269" t="inlineStr">
        <is>
          <t>Mikey</t>
        </is>
      </c>
      <c r="D227" s="173" t="inlineStr">
        <is>
          <t>https://discord.com/channels/191975109500731392/1212839710439776287/1428880895703781416</t>
        </is>
      </c>
    </row>
    <row r="228" ht="14.25" customHeight="1" s="175">
      <c r="A228" s="267" t="inlineStr">
        <is>
          <t>Lucy</t>
        </is>
      </c>
      <c r="B228" s="268" t="n">
        <v>1</v>
      </c>
      <c r="C228" s="269" t="inlineStr">
        <is>
          <t>Reuben</t>
        </is>
      </c>
      <c r="D228" s="173" t="inlineStr">
        <is>
          <t>https://discord.com/channels/191975109500731392/1212839710439776287/1428909806969946227</t>
        </is>
      </c>
    </row>
    <row r="229" ht="14.25" customHeight="1" s="175">
      <c r="A229" s="267" t="inlineStr">
        <is>
          <t>Mikey</t>
        </is>
      </c>
      <c r="B229" s="268" t="n">
        <v>2</v>
      </c>
      <c r="C229" s="269" t="inlineStr">
        <is>
          <t>Rob</t>
        </is>
      </c>
      <c r="D229" s="173" t="inlineStr">
        <is>
          <t>https://discord.com/channels/191975109500731392/1212839710439776287/1429136407976349849</t>
        </is>
      </c>
    </row>
    <row r="230" ht="14.25" customHeight="1" s="175">
      <c r="A230" s="267" t="inlineStr">
        <is>
          <t>Mikey</t>
        </is>
      </c>
      <c r="B230" s="268" t="n">
        <v>1</v>
      </c>
      <c r="C230" s="269" t="inlineStr">
        <is>
          <t>Rob</t>
        </is>
      </c>
      <c r="D230" s="173" t="inlineStr">
        <is>
          <t>https://discord.com/channels/191975109500731392/1212839710439776287/1429149692629094612</t>
        </is>
      </c>
    </row>
    <row r="231" ht="14.25" customHeight="1" s="175">
      <c r="A231" s="267" t="inlineStr">
        <is>
          <t>Mikey</t>
        </is>
      </c>
      <c r="B231" s="268" t="n">
        <v>1</v>
      </c>
      <c r="C231" s="269" t="inlineStr">
        <is>
          <t>Rob</t>
        </is>
      </c>
      <c r="D231" s="173" t="inlineStr">
        <is>
          <t>https://discord.com/channels/191975109500731392/1212839710439776287/1429162751187620022</t>
        </is>
      </c>
    </row>
    <row r="232" ht="14.25" customHeight="1" s="175">
      <c r="A232" s="267" t="inlineStr">
        <is>
          <t>Rob</t>
        </is>
      </c>
      <c r="B232" s="268" t="n">
        <v>1</v>
      </c>
      <c r="C232" s="269" t="inlineStr">
        <is>
          <t>Mikey</t>
        </is>
      </c>
      <c r="D232" s="173" t="inlineStr">
        <is>
          <t>https://discord.com/channels/191975109500731392/1212839710439776287/1429162822004379699</t>
        </is>
      </c>
    </row>
    <row r="233" ht="14.25" customHeight="1" s="175">
      <c r="A233" s="267" t="inlineStr">
        <is>
          <t>Ethan</t>
        </is>
      </c>
      <c r="B233" s="268" t="n">
        <v>2</v>
      </c>
      <c r="C233" s="269" t="inlineStr">
        <is>
          <t>Carter</t>
        </is>
      </c>
      <c r="D233" s="173" t="inlineStr">
        <is>
          <t>https://discord.com/channels/191975109500731392/1212839710439776287/1429530076529033356</t>
        </is>
      </c>
      <c r="E233" s="173" t="n">
        <v>1</v>
      </c>
    </row>
    <row r="234" ht="14.25" customHeight="1" s="175">
      <c r="A234" s="267" t="inlineStr">
        <is>
          <t>Ethan</t>
        </is>
      </c>
      <c r="B234" s="268" t="n">
        <v>2</v>
      </c>
      <c r="C234" s="269" t="inlineStr">
        <is>
          <t>Erick</t>
        </is>
      </c>
      <c r="D234" s="173" t="inlineStr">
        <is>
          <t>https://discord.com/channels/191975109500731392/1212839710439776287/1429890719618961550</t>
        </is>
      </c>
    </row>
    <row r="235" ht="14.25" customHeight="1" s="175">
      <c r="A235" s="267" t="inlineStr">
        <is>
          <t>Rob</t>
        </is>
      </c>
      <c r="B235" s="268" t="n">
        <v>2</v>
      </c>
      <c r="C235" s="269" t="inlineStr">
        <is>
          <t>Evan</t>
        </is>
      </c>
      <c r="D235" s="173" t="inlineStr">
        <is>
          <t>https://discord.com/channels/191975109500731392/1212839710439776287/1430206749830549504</t>
        </is>
      </c>
    </row>
    <row r="236" ht="14.25" customHeight="1" s="175">
      <c r="A236" s="267" t="inlineStr">
        <is>
          <t>Will</t>
        </is>
      </c>
      <c r="B236" s="268" t="n">
        <v>2</v>
      </c>
      <c r="C236" s="269" t="inlineStr">
        <is>
          <t>Grady</t>
        </is>
      </c>
      <c r="D236" s="173" t="inlineStr">
        <is>
          <t>https://discord.com/channels/191975109500731392/1212839710439776287/1430229218247180409</t>
        </is>
      </c>
    </row>
    <row r="237" ht="14.25" customHeight="1" s="175">
      <c r="A237" s="267" t="inlineStr">
        <is>
          <t>Ethan</t>
        </is>
      </c>
      <c r="B237" s="268" t="n">
        <v>2</v>
      </c>
      <c r="C237" s="269" t="inlineStr">
        <is>
          <t>Grady</t>
        </is>
      </c>
      <c r="D237" s="173" t="inlineStr">
        <is>
          <t>https://discord.com/channels/191975109500731392/1212839710439776287/1430248621349142558</t>
        </is>
      </c>
    </row>
    <row r="238" ht="14.25" customHeight="1" s="175">
      <c r="A238" s="267" t="inlineStr">
        <is>
          <t>Mikey</t>
        </is>
      </c>
      <c r="B238" s="268" t="n">
        <v>1</v>
      </c>
      <c r="C238" s="269" t="inlineStr">
        <is>
          <t>Rob</t>
        </is>
      </c>
      <c r="D238" s="173" t="inlineStr">
        <is>
          <t>https://discord.com/channels/191975109500731392/1212839710439776287/1430252033570508961</t>
        </is>
      </c>
    </row>
    <row r="239" ht="14.25" customHeight="1" s="175">
      <c r="A239" s="267" t="inlineStr">
        <is>
          <t>Rob</t>
        </is>
      </c>
      <c r="B239" s="268" t="n">
        <v>1</v>
      </c>
      <c r="C239" s="269" t="inlineStr">
        <is>
          <t>Mikey</t>
        </is>
      </c>
      <c r="D239" s="173" t="inlineStr">
        <is>
          <t>https://discord.com/channels/191975109500731392/1212839710439776287/1430252086557409280</t>
        </is>
      </c>
    </row>
    <row r="240" ht="14.25" customHeight="1" s="175">
      <c r="A240" s="267" t="inlineStr">
        <is>
          <t>Maxine</t>
        </is>
      </c>
      <c r="B240" s="268" t="n">
        <v>1</v>
      </c>
      <c r="C240" s="269" t="inlineStr">
        <is>
          <t>Rob</t>
        </is>
      </c>
      <c r="D240" s="173" t="inlineStr">
        <is>
          <t>https://discord.com/channels/191975109500731392/1212839710439776287/1430273982497558621</t>
        </is>
      </c>
    </row>
    <row r="241" ht="14.25" customHeight="1" s="175">
      <c r="A241" s="267" t="inlineStr">
        <is>
          <t>Rob</t>
        </is>
      </c>
      <c r="B241" s="268" t="n">
        <v>1</v>
      </c>
      <c r="C241" s="269" t="inlineStr">
        <is>
          <t>Maxine</t>
        </is>
      </c>
      <c r="D241" s="173" t="inlineStr">
        <is>
          <t>https://discord.com/channels/191975109500731392/1212839710439776287/1430274011266285578</t>
        </is>
      </c>
    </row>
    <row r="242" ht="14.25" customHeight="1" s="175">
      <c r="A242" s="267" t="inlineStr">
        <is>
          <t>Anthony</t>
        </is>
      </c>
      <c r="B242" s="268" t="n">
        <v>1</v>
      </c>
      <c r="C242" s="269" t="inlineStr">
        <is>
          <t>Grady</t>
        </is>
      </c>
      <c r="D242" s="173" t="inlineStr">
        <is>
          <t>https://discord.com/channels/191975109500731392/1212839710439776287/1430280671053611010</t>
        </is>
      </c>
    </row>
    <row r="243" ht="14.25" customHeight="1" s="175">
      <c r="A243" s="267" t="inlineStr">
        <is>
          <t>Grady</t>
        </is>
      </c>
      <c r="B243" s="268" t="n">
        <v>1</v>
      </c>
      <c r="C243" s="269" t="inlineStr">
        <is>
          <t>Anthony</t>
        </is>
      </c>
      <c r="D243" s="173" t="inlineStr">
        <is>
          <t>https://discord.com/channels/191975109500731392/1212839710439776287/1430280885013450793</t>
        </is>
      </c>
    </row>
    <row r="244" ht="14.25" customHeight="1" s="175">
      <c r="A244" s="267" t="inlineStr">
        <is>
          <t>Grady</t>
        </is>
      </c>
      <c r="B244" s="268" t="n">
        <v>2</v>
      </c>
      <c r="C244" s="269" t="inlineStr">
        <is>
          <t>Rob</t>
        </is>
      </c>
      <c r="D244" s="173" t="inlineStr">
        <is>
          <t>https://discord.com/channels/191975109500731392/1212839710439776287/1430283351205351424</t>
        </is>
      </c>
    </row>
    <row r="245" ht="14.25" customHeight="1" s="175">
      <c r="A245" s="267" t="inlineStr">
        <is>
          <t>Evan</t>
        </is>
      </c>
      <c r="B245" s="268" t="n">
        <v>1</v>
      </c>
      <c r="C245" s="269" t="inlineStr">
        <is>
          <t>Anthony</t>
        </is>
      </c>
      <c r="D245" s="173" t="inlineStr">
        <is>
          <t>https://discord.com/channels/191975109500731392/1212839710439776287/1430298138706444308</t>
        </is>
      </c>
    </row>
    <row r="246" ht="14.25" customHeight="1" s="175">
      <c r="A246" s="267" t="inlineStr">
        <is>
          <t>Lucy</t>
        </is>
      </c>
      <c r="B246" s="268" t="n">
        <v>2</v>
      </c>
      <c r="C246" s="269" t="inlineStr">
        <is>
          <t>Mikey</t>
        </is>
      </c>
      <c r="D246" s="173" t="inlineStr">
        <is>
          <t>https://discord.com/channels/191975109500731392/1212839710439776287/1430330733091754155</t>
        </is>
      </c>
    </row>
    <row r="247" ht="14.25" customHeight="1" s="175">
      <c r="A247" s="267" t="inlineStr">
        <is>
          <t>Ethan</t>
        </is>
      </c>
      <c r="B247" s="268" t="n">
        <v>2</v>
      </c>
      <c r="C247" s="269" t="inlineStr">
        <is>
          <t>Evan</t>
        </is>
      </c>
      <c r="D247" s="173" t="inlineStr">
        <is>
          <t>https://discord.com/channels/191975109500731392/1212839710439776287/1430555928377299016</t>
        </is>
      </c>
    </row>
    <row r="248" ht="14.25" customHeight="1" s="175">
      <c r="A248" s="267" t="inlineStr">
        <is>
          <t>Evan</t>
        </is>
      </c>
      <c r="B248" s="268" t="n">
        <v>1</v>
      </c>
      <c r="C248" s="269" t="inlineStr">
        <is>
          <t>Ethan</t>
        </is>
      </c>
      <c r="D248" s="192" t="inlineStr">
        <is>
          <t>https://discord.com/channels/191975109500731392/1212839710439776287/1430569523810930859</t>
        </is>
      </c>
    </row>
    <row r="249" ht="14.25" customHeight="1" s="175">
      <c r="A249" s="267" t="inlineStr">
        <is>
          <t>Ethan</t>
        </is>
      </c>
      <c r="B249" s="268" t="n">
        <v>1</v>
      </c>
      <c r="C249" s="269" t="inlineStr">
        <is>
          <t>Evan</t>
        </is>
      </c>
      <c r="D249" s="250" t="inlineStr">
        <is>
          <t>https://discord.com/channels/191975109500731392/1212839710439776287/1430569688961908746</t>
        </is>
      </c>
    </row>
    <row r="250" ht="14.25" customHeight="1" s="175">
      <c r="A250" s="295" t="inlineStr">
        <is>
          <t>Lucy</t>
        </is>
      </c>
      <c r="B250" s="268" t="n">
        <v>2</v>
      </c>
      <c r="C250" s="296" t="inlineStr">
        <is>
          <t>Evan</t>
        </is>
      </c>
      <c r="D250" s="173" t="inlineStr">
        <is>
          <t>https://discord.com/channels/191975109500731392/1212839710439776287/1430574717428826164</t>
        </is>
      </c>
    </row>
    <row r="251" ht="14.25" customHeight="1" s="175">
      <c r="A251" s="295" t="inlineStr">
        <is>
          <t>Mikey</t>
        </is>
      </c>
      <c r="B251" s="268" t="n">
        <v>2</v>
      </c>
      <c r="C251" s="296" t="inlineStr">
        <is>
          <t>Rob</t>
        </is>
      </c>
      <c r="D251" s="250" t="inlineStr">
        <is>
          <t>https://discord.com/channels/191975109500731392/1212839710439776287/1430595630996258987</t>
        </is>
      </c>
    </row>
    <row r="252" ht="14.25" customHeight="1" s="175">
      <c r="A252" s="295" t="inlineStr">
        <is>
          <t>Mikey</t>
        </is>
      </c>
      <c r="B252" s="268" t="n">
        <v>1</v>
      </c>
      <c r="C252" s="296" t="inlineStr">
        <is>
          <t>Ethan</t>
        </is>
      </c>
      <c r="D252" s="173" t="inlineStr">
        <is>
          <t>https://discord.com/channels/191975109500731392/1212839710439776287/1430614479388934255</t>
        </is>
      </c>
    </row>
    <row r="253" ht="14.25" customHeight="1" s="175">
      <c r="A253" s="295" t="inlineStr">
        <is>
          <t>Ethan</t>
        </is>
      </c>
      <c r="B253" s="268" t="n">
        <v>1</v>
      </c>
      <c r="C253" s="296" t="inlineStr">
        <is>
          <t>Mikey</t>
        </is>
      </c>
      <c r="D253" s="173" t="inlineStr">
        <is>
          <t>https://discord.com/channels/191975109500731392/1212839710439776287/1430614744812884028</t>
        </is>
      </c>
    </row>
    <row r="254" ht="14.25" customHeight="1" s="175">
      <c r="A254" s="295" t="inlineStr">
        <is>
          <t>Anthony</t>
        </is>
      </c>
      <c r="B254" s="268" t="n">
        <v>1</v>
      </c>
      <c r="C254" s="296" t="inlineStr">
        <is>
          <t>Lucy</t>
        </is>
      </c>
      <c r="D254" s="173" t="inlineStr">
        <is>
          <t>https://discord.com/channels/191975109500731392/1212839710439776287/1430628529816735928</t>
        </is>
      </c>
    </row>
    <row r="255" ht="14.25" customHeight="1" s="175">
      <c r="A255" s="295" t="inlineStr">
        <is>
          <t>Lucy</t>
        </is>
      </c>
      <c r="B255" s="268" t="n">
        <v>1</v>
      </c>
      <c r="C255" s="296" t="inlineStr">
        <is>
          <t>Anthony</t>
        </is>
      </c>
      <c r="D255" s="173" t="inlineStr">
        <is>
          <t>https://discord.com/channels/191975109500731392/1212839710439776287/1430628625736011796</t>
        </is>
      </c>
    </row>
    <row r="256" ht="14.25" customHeight="1" s="175">
      <c r="A256" s="295" t="inlineStr">
        <is>
          <t>Ethan</t>
        </is>
      </c>
      <c r="B256" s="268" t="n">
        <v>1</v>
      </c>
      <c r="C256" s="296" t="inlineStr">
        <is>
          <t>Mikey</t>
        </is>
      </c>
      <c r="D256" s="173" t="inlineStr">
        <is>
          <t>https://discord.com/channels/191975109500731392/1212839710439776287/1430660142780649513</t>
        </is>
      </c>
    </row>
    <row r="257" ht="14.25" customHeight="1" s="175">
      <c r="A257" s="295" t="inlineStr">
        <is>
          <t>Mikey</t>
        </is>
      </c>
      <c r="B257" s="268" t="n">
        <v>1</v>
      </c>
      <c r="C257" s="296" t="inlineStr">
        <is>
          <t>Ethan</t>
        </is>
      </c>
      <c r="D257" s="173" t="inlineStr">
        <is>
          <t>https://discord.com/channels/191975109500731392/1212839710439776287/1430660207540703453</t>
        </is>
      </c>
    </row>
    <row r="258" ht="14.25" customHeight="1" s="175">
      <c r="A258" s="295" t="inlineStr">
        <is>
          <t>Joey</t>
        </is>
      </c>
      <c r="B258" s="268" t="n">
        <v>2</v>
      </c>
      <c r="C258" s="296" t="inlineStr">
        <is>
          <t>Maxine</t>
        </is>
      </c>
      <c r="D258" s="173" t="inlineStr">
        <is>
          <t>https://discord.com/channels/191975109500731392/1212839710439776287/1430668079335080026</t>
        </is>
      </c>
    </row>
    <row r="259" ht="14.25" customHeight="1" s="175">
      <c r="A259" s="295" t="inlineStr">
        <is>
          <t>Maxine</t>
        </is>
      </c>
      <c r="B259" s="268" t="n">
        <v>1</v>
      </c>
      <c r="C259" s="296" t="inlineStr">
        <is>
          <t>Joey</t>
        </is>
      </c>
      <c r="D259" s="173" t="inlineStr">
        <is>
          <t>https://discord.com/channels/191975109500731392/1212839710439776287/1430668141922615438</t>
        </is>
      </c>
    </row>
    <row r="260" ht="14.25" customHeight="1" s="175">
      <c r="A260" s="295" t="inlineStr">
        <is>
          <t>Will</t>
        </is>
      </c>
      <c r="B260" s="268" t="n">
        <v>2</v>
      </c>
      <c r="C260" s="296" t="inlineStr">
        <is>
          <t>Mikey</t>
        </is>
      </c>
      <c r="D260" s="173" t="inlineStr">
        <is>
          <t>https://discord.com/channels/191975109500731392/1212839710439776287/1430749029653942353</t>
        </is>
      </c>
    </row>
    <row r="261" ht="14.25" customHeight="1" s="175">
      <c r="A261" s="295" t="inlineStr">
        <is>
          <t>Mikey</t>
        </is>
      </c>
      <c r="B261" s="268" t="n">
        <v>1</v>
      </c>
      <c r="C261" s="296" t="inlineStr">
        <is>
          <t>Will</t>
        </is>
      </c>
      <c r="D261" s="173" t="inlineStr">
        <is>
          <t>https://discord.com/channels/191975109500731392/1212839710439776287/1430749070124646441</t>
        </is>
      </c>
    </row>
    <row r="262" ht="14.25" customHeight="1" s="175">
      <c r="A262" s="295" t="inlineStr">
        <is>
          <t>Evan</t>
        </is>
      </c>
      <c r="B262" s="268" t="n">
        <v>2</v>
      </c>
      <c r="C262" s="296" t="inlineStr">
        <is>
          <t>Rob</t>
        </is>
      </c>
      <c r="D262" s="173" t="inlineStr">
        <is>
          <t>https://discord.com/channels/191975109500731392/1212839710439776287/1430931149059915858</t>
        </is>
      </c>
    </row>
    <row r="263" ht="14.25" customHeight="1" s="175">
      <c r="A263" s="295" t="inlineStr">
        <is>
          <t>Maxine</t>
        </is>
      </c>
      <c r="B263" s="268" t="n">
        <v>1</v>
      </c>
      <c r="C263" s="296" t="inlineStr">
        <is>
          <t>Rob</t>
        </is>
      </c>
      <c r="D263" s="173" t="inlineStr">
        <is>
          <t>https://discord.com/channels/191975109500731392/1212839710439776287/1430998897362468884</t>
        </is>
      </c>
    </row>
    <row r="264" ht="14.25" customHeight="1" s="175">
      <c r="A264" s="295" t="inlineStr">
        <is>
          <t>Rob</t>
        </is>
      </c>
      <c r="B264" s="268" t="n">
        <v>1</v>
      </c>
      <c r="C264" s="296" t="inlineStr">
        <is>
          <t>Maxine</t>
        </is>
      </c>
      <c r="D264" s="173" t="inlineStr">
        <is>
          <t>https://discord.com/channels/191975109500731392/1212839710439776287/1430999227814772957</t>
        </is>
      </c>
    </row>
    <row r="265" ht="14.25" customHeight="1" s="175">
      <c r="A265" s="295" t="inlineStr">
        <is>
          <t>Grady</t>
        </is>
      </c>
      <c r="B265" s="268" t="n">
        <v>2</v>
      </c>
      <c r="C265" s="296" t="inlineStr">
        <is>
          <t>Will</t>
        </is>
      </c>
      <c r="D265" s="173" t="inlineStr">
        <is>
          <t>https://discord.com/channels/191975109500731392/1212839710439776287/1431021008243916953</t>
        </is>
      </c>
    </row>
    <row r="266" ht="14.25" customHeight="1" s="175">
      <c r="A266" s="295" t="inlineStr">
        <is>
          <t>Erick</t>
        </is>
      </c>
      <c r="B266" s="268" t="n">
        <v>2</v>
      </c>
      <c r="C266" s="296" t="inlineStr">
        <is>
          <t>Grady</t>
        </is>
      </c>
      <c r="D266" s="173" t="inlineStr">
        <is>
          <t>https://discord.com/channels/191975109500731392/1212839710439776287/1431022940916547605</t>
        </is>
      </c>
    </row>
    <row r="267" ht="14.25" customHeight="1" s="175">
      <c r="A267" s="295" t="inlineStr">
        <is>
          <t>Will</t>
        </is>
      </c>
      <c r="B267" s="268" t="n">
        <v>2</v>
      </c>
      <c r="C267" s="296" t="inlineStr">
        <is>
          <t>Vignesh</t>
        </is>
      </c>
      <c r="D267" s="173" t="inlineStr">
        <is>
          <t>https://discord.com/channels/191975109500731392/1212839710439776287/1431298130166677645</t>
        </is>
      </c>
    </row>
    <row r="268" ht="14.25" customHeight="1" s="175">
      <c r="A268" s="295" t="inlineStr">
        <is>
          <t>Ethan</t>
        </is>
      </c>
      <c r="B268" s="268" t="n">
        <v>2</v>
      </c>
      <c r="C268" s="296" t="inlineStr">
        <is>
          <t>Vignesh</t>
        </is>
      </c>
      <c r="D268" s="173" t="inlineStr">
        <is>
          <t>https://discord.com/channels/191975109500731392/1212839710439776287/1431298153033760770</t>
        </is>
      </c>
    </row>
    <row r="269" ht="14.25" customHeight="1" s="175">
      <c r="A269" s="295" t="inlineStr">
        <is>
          <t>Anthony</t>
        </is>
      </c>
      <c r="B269" s="268" t="n">
        <v>2</v>
      </c>
      <c r="C269" s="296" t="inlineStr">
        <is>
          <t>Vignesh</t>
        </is>
      </c>
      <c r="D269" s="173" t="inlineStr">
        <is>
          <t>https://discord.com/channels/191975109500731392/1212839710439776287/1431298162928128234</t>
        </is>
      </c>
    </row>
    <row r="270" ht="14.25" customHeight="1" s="175">
      <c r="A270" s="295" t="inlineStr">
        <is>
          <t>Rob</t>
        </is>
      </c>
      <c r="B270" s="268" t="n">
        <v>2</v>
      </c>
      <c r="C270" s="296" t="inlineStr">
        <is>
          <t>Vignesh</t>
        </is>
      </c>
      <c r="D270" s="173" t="inlineStr">
        <is>
          <t>https://discord.com/channels/191975109500731392/1212839710439776287/1431298167680536596</t>
        </is>
      </c>
    </row>
    <row r="271" ht="14.25" customHeight="1" s="175">
      <c r="A271" s="295" t="inlineStr">
        <is>
          <t>Mikey</t>
        </is>
      </c>
      <c r="B271" s="268" t="n">
        <v>2</v>
      </c>
      <c r="C271" s="296" t="inlineStr">
        <is>
          <t>Rob</t>
        </is>
      </c>
      <c r="D271" s="173" t="inlineStr">
        <is>
          <t>https://discord.com/channels/191975109500731392/1212839710439776287/1431303648503136400</t>
        </is>
      </c>
    </row>
    <row r="272" ht="14.25" customHeight="1" s="175">
      <c r="A272" s="295" t="inlineStr">
        <is>
          <t>Ethan</t>
        </is>
      </c>
      <c r="B272" s="268" t="n">
        <v>1</v>
      </c>
      <c r="C272" s="296" t="inlineStr">
        <is>
          <t>Reuben</t>
        </is>
      </c>
      <c r="D272" s="173" t="inlineStr">
        <is>
          <t>https://discord.com/channels/191975109500731392/1212839710439776287/1431410139776417822</t>
        </is>
      </c>
    </row>
    <row r="273" ht="14.25" customHeight="1" s="175">
      <c r="A273" s="295" t="inlineStr">
        <is>
          <t>Will</t>
        </is>
      </c>
      <c r="B273" s="268" t="n">
        <v>1</v>
      </c>
      <c r="C273" s="296" t="inlineStr">
        <is>
          <t>Erick</t>
        </is>
      </c>
      <c r="D273" s="173" t="inlineStr">
        <is>
          <t>https://discord.com/channels/191975109500731392/1212839710439776287/1432415008649777373</t>
        </is>
      </c>
    </row>
    <row r="274" ht="14.25" customHeight="1" s="175">
      <c r="A274" s="295" t="inlineStr">
        <is>
          <t>Erick</t>
        </is>
      </c>
      <c r="B274" s="268" t="n">
        <v>1</v>
      </c>
      <c r="C274" s="296" t="inlineStr">
        <is>
          <t>Will</t>
        </is>
      </c>
      <c r="D274" s="173" t="inlineStr">
        <is>
          <t>https://discord.com/channels/191975109500731392/1212839710439776287/1432415089474142300</t>
        </is>
      </c>
    </row>
    <row r="275" ht="14.25" customHeight="1" s="175">
      <c r="A275" s="295" t="inlineStr">
        <is>
          <t>Grady</t>
        </is>
      </c>
      <c r="B275" s="268" t="n">
        <v>2</v>
      </c>
      <c r="C275" s="296" t="inlineStr">
        <is>
          <t>Will</t>
        </is>
      </c>
      <c r="D275" s="173" t="inlineStr">
        <is>
          <t>https://discord.com/channels/191975109500731392/1212839710439776287/1432472823233777697</t>
        </is>
      </c>
    </row>
    <row r="276" ht="14.25" customHeight="1" s="175">
      <c r="A276" s="295" t="inlineStr">
        <is>
          <t>Vignesh</t>
        </is>
      </c>
      <c r="B276" s="268" t="n">
        <v>2</v>
      </c>
      <c r="C276" s="296" t="inlineStr">
        <is>
          <t>Grady</t>
        </is>
      </c>
      <c r="D276" s="173" t="inlineStr">
        <is>
          <t>https://discord.com/channels/191975109500731392/1212839710439776287/1432473732235923588</t>
        </is>
      </c>
    </row>
    <row r="277" ht="14.25" customHeight="1" s="175">
      <c r="A277" s="295" t="inlineStr">
        <is>
          <t>Grady</t>
        </is>
      </c>
      <c r="B277" s="268" t="n">
        <v>1</v>
      </c>
      <c r="C277" s="296" t="inlineStr">
        <is>
          <t>Vignesh</t>
        </is>
      </c>
      <c r="D277" s="173" t="inlineStr">
        <is>
          <t>https://discord.com/channels/191975109500731392/1212839710439776287/1432473827698544711</t>
        </is>
      </c>
    </row>
    <row r="278" ht="14.25" customHeight="1" s="175">
      <c r="A278" s="295" t="inlineStr">
        <is>
          <t>Ethan</t>
        </is>
      </c>
      <c r="B278" s="268" t="n">
        <v>2</v>
      </c>
      <c r="C278" s="296" t="inlineStr">
        <is>
          <t>Mikey</t>
        </is>
      </c>
      <c r="D278" s="173" t="inlineStr">
        <is>
          <t>https://discord.com/channels/191975109500731392/1212839710439776287/1432484131136339989</t>
        </is>
      </c>
    </row>
    <row r="279" ht="14.25" customHeight="1" s="175">
      <c r="A279" s="295" t="inlineStr">
        <is>
          <t>Mikey</t>
        </is>
      </c>
      <c r="B279" s="268" t="n">
        <v>1</v>
      </c>
      <c r="C279" s="296" t="inlineStr">
        <is>
          <t>Ethan</t>
        </is>
      </c>
      <c r="D279" s="173" t="inlineStr">
        <is>
          <t>https://discord.com/channels/191975109500731392/1212839710439776287/1432484189017604137</t>
        </is>
      </c>
    </row>
    <row r="280" ht="14.25" customHeight="1" s="175">
      <c r="A280" s="295" t="inlineStr">
        <is>
          <t>Maxine</t>
        </is>
      </c>
      <c r="B280" s="268" t="n">
        <v>2</v>
      </c>
      <c r="C280" s="296" t="inlineStr">
        <is>
          <t>Erick</t>
        </is>
      </c>
      <c r="D280" s="173" t="inlineStr">
        <is>
          <t>https://discord.com/channels/191975109500731392/1212839710439776287/1432743716174565497</t>
        </is>
      </c>
    </row>
    <row r="281" ht="14.25" customHeight="1" s="175">
      <c r="A281" s="295" t="inlineStr">
        <is>
          <t>Vignesh</t>
        </is>
      </c>
      <c r="B281" s="268" t="n">
        <v>2</v>
      </c>
      <c r="C281" s="296" t="inlineStr">
        <is>
          <t>Rob</t>
        </is>
      </c>
      <c r="D281" s="173" t="inlineStr">
        <is>
          <t>https://discord.com/channels/191975109500731392/1212839710439776287/1432758769623896075</t>
        </is>
      </c>
    </row>
    <row r="282" ht="14.25" customHeight="1" s="175">
      <c r="A282" s="295" t="inlineStr">
        <is>
          <t>Lucy</t>
        </is>
      </c>
      <c r="B282" s="268" t="n">
        <v>1</v>
      </c>
      <c r="C282" s="296" t="inlineStr">
        <is>
          <t>Carter</t>
        </is>
      </c>
      <c r="D282" s="173" t="inlineStr">
        <is>
          <t>https://discord.com/channels/191975109500731392/1212839710439776287/1432773418297593858</t>
        </is>
      </c>
      <c r="E282" s="173" t="n">
        <v>0</v>
      </c>
    </row>
    <row r="283" ht="14.25" customHeight="1" s="175">
      <c r="A283" s="295" t="inlineStr">
        <is>
          <t>Carter</t>
        </is>
      </c>
      <c r="B283" s="268" t="n">
        <v>1</v>
      </c>
      <c r="C283" s="296" t="inlineStr">
        <is>
          <t>Lucy</t>
        </is>
      </c>
      <c r="D283" s="173" t="inlineStr">
        <is>
          <t>https://discord.com/channels/191975109500731392/1212839710439776287/1432773468004290640</t>
        </is>
      </c>
    </row>
    <row r="284" ht="14.25" customHeight="1" s="175">
      <c r="A284" s="295" t="inlineStr">
        <is>
          <t>Lucy</t>
        </is>
      </c>
      <c r="B284" s="268" t="n">
        <v>2</v>
      </c>
      <c r="C284" s="296" t="inlineStr">
        <is>
          <t>Will</t>
        </is>
      </c>
      <c r="D284" s="173" t="inlineStr">
        <is>
          <t>https://discord.com/channels/191975109500731392/1212839710439776287/1432774005684830350</t>
        </is>
      </c>
    </row>
    <row r="285" ht="14.25" customHeight="1" s="175">
      <c r="A285" s="295" t="inlineStr">
        <is>
          <t>Ethan</t>
        </is>
      </c>
      <c r="B285" s="268" t="n">
        <v>2</v>
      </c>
      <c r="C285" s="296" t="inlineStr">
        <is>
          <t>Carter</t>
        </is>
      </c>
      <c r="D285" s="173" t="inlineStr">
        <is>
          <t>https://discord.com/channels/191975109500731392/1212839710439776287/1432781547249074227</t>
        </is>
      </c>
    </row>
    <row r="286" ht="14.25" customHeight="1" s="175">
      <c r="A286" s="295" t="inlineStr">
        <is>
          <t>Carter</t>
        </is>
      </c>
      <c r="B286" s="268" t="n">
        <v>1</v>
      </c>
      <c r="C286" s="296" t="inlineStr">
        <is>
          <t>Ethan</t>
        </is>
      </c>
      <c r="D286" s="193" t="inlineStr">
        <is>
          <t>https://discord.com/channels/191975109500731392/1212839710439776287/1432781582556725298</t>
        </is>
      </c>
    </row>
    <row r="287" ht="14.25" customHeight="1" s="175">
      <c r="A287" s="267" t="inlineStr">
        <is>
          <t>Ethan</t>
        </is>
      </c>
      <c r="B287" s="268" t="n">
        <v>1</v>
      </c>
      <c r="C287" s="269" t="inlineStr">
        <is>
          <t>Erick</t>
        </is>
      </c>
      <c r="D287" s="173" t="inlineStr">
        <is>
          <t>https://discord.com/channels/191975109500731392/1212839710439776287/1432781640580599838</t>
        </is>
      </c>
    </row>
    <row r="288" ht="14.25" customHeight="1" s="175">
      <c r="A288" s="267" t="inlineStr">
        <is>
          <t>Carter</t>
        </is>
      </c>
      <c r="B288" s="268" t="n">
        <v>2</v>
      </c>
      <c r="C288" s="269" t="inlineStr">
        <is>
          <t>Erick</t>
        </is>
      </c>
      <c r="D288" s="173" t="inlineStr">
        <is>
          <t>https://discord.com/channels/191975109500731392/1212839710439776287/1432781780183679126</t>
        </is>
      </c>
    </row>
    <row r="289" ht="14.25" customHeight="1" s="175">
      <c r="A289" s="267" t="inlineStr">
        <is>
          <t>Maxine</t>
        </is>
      </c>
      <c r="B289" s="268" t="n">
        <v>2</v>
      </c>
      <c r="C289" s="269" t="inlineStr">
        <is>
          <t>Carter</t>
        </is>
      </c>
      <c r="D289" s="173" t="inlineStr">
        <is>
          <t>https://discord.com/channels/191975109500731392/1212839710439776287/1432789305805377590</t>
        </is>
      </c>
      <c r="E289" s="173" t="n">
        <v>1</v>
      </c>
    </row>
    <row r="290" ht="14.25" customHeight="1" s="175">
      <c r="A290" s="267" t="inlineStr">
        <is>
          <t>Mikey</t>
        </is>
      </c>
      <c r="B290" s="268" t="n">
        <v>1</v>
      </c>
      <c r="C290" s="269" t="inlineStr">
        <is>
          <t>Lucy</t>
        </is>
      </c>
      <c r="D290" s="173" t="inlineStr">
        <is>
          <t>https://discord.com/channels/191975109500731392/1212839710439776287/1432849582206746758</t>
        </is>
      </c>
    </row>
    <row r="291" ht="14.25" customHeight="1" s="175">
      <c r="A291" s="267" t="inlineStr">
        <is>
          <t>Lucy</t>
        </is>
      </c>
      <c r="B291" s="268" t="n">
        <v>1</v>
      </c>
      <c r="C291" s="269" t="inlineStr">
        <is>
          <t>Mikey</t>
        </is>
      </c>
      <c r="D291" s="173" t="inlineStr">
        <is>
          <t>https://discord.com/channels/191975109500731392/1212839710439776287/1432849612787552409</t>
        </is>
      </c>
    </row>
    <row r="292" ht="14.25" customHeight="1" s="175">
      <c r="A292" s="267" t="inlineStr">
        <is>
          <t>Will</t>
        </is>
      </c>
      <c r="B292" s="268" t="n">
        <v>2</v>
      </c>
      <c r="C292" s="269" t="inlineStr">
        <is>
          <t>Rob</t>
        </is>
      </c>
      <c r="D292" s="173" t="inlineStr">
        <is>
          <t>https://discord.com/channels/191975109500731392/1212839710439776287/1432861850386567209</t>
        </is>
      </c>
    </row>
    <row r="293" ht="14.25" customHeight="1" s="175">
      <c r="A293" s="267" t="inlineStr">
        <is>
          <t>Mikey</t>
        </is>
      </c>
      <c r="B293" s="268" t="n">
        <v>1</v>
      </c>
      <c r="C293" s="269" t="inlineStr">
        <is>
          <t>Lucy</t>
        </is>
      </c>
      <c r="D293" s="173" t="inlineStr">
        <is>
          <t>https://discord.com/channels/191975109500731392/1212839710439776287/1432867609975591075</t>
        </is>
      </c>
    </row>
    <row r="294" ht="14.25" customHeight="1" s="175">
      <c r="A294" s="267" t="inlineStr">
        <is>
          <t>Lucy</t>
        </is>
      </c>
      <c r="B294" s="268" t="n">
        <v>1</v>
      </c>
      <c r="C294" s="269" t="inlineStr">
        <is>
          <t>Mikey</t>
        </is>
      </c>
      <c r="D294" s="173" t="inlineStr">
        <is>
          <t>https://discord.com/channels/191975109500731392/1212839710439776287/1432867643614040104</t>
        </is>
      </c>
    </row>
    <row r="295" ht="14.25" customHeight="1" s="175">
      <c r="A295" s="267" t="inlineStr">
        <is>
          <t>Lucy</t>
        </is>
      </c>
      <c r="B295" s="268" t="n">
        <v>1</v>
      </c>
      <c r="C295" s="269" t="inlineStr">
        <is>
          <t>Rob</t>
        </is>
      </c>
      <c r="D295" s="173" t="inlineStr">
        <is>
          <t>https://discord.com/channels/191975109500731392/1212839710439776287/1432868102764494970</t>
        </is>
      </c>
    </row>
    <row r="296" ht="14.25" customHeight="1" s="175">
      <c r="A296" s="267" t="inlineStr">
        <is>
          <t>Rob</t>
        </is>
      </c>
      <c r="B296" s="268" t="n">
        <v>1</v>
      </c>
      <c r="C296" s="269" t="inlineStr">
        <is>
          <t>Lucy</t>
        </is>
      </c>
      <c r="D296" s="173" t="inlineStr">
        <is>
          <t>https://discord.com/channels/191975109500731392/1212839710439776287/1432868162990510273</t>
        </is>
      </c>
    </row>
    <row r="297" ht="14.25" customHeight="1" s="175">
      <c r="A297" s="267" t="inlineStr">
        <is>
          <t>Lucy</t>
        </is>
      </c>
      <c r="B297" s="268" t="n">
        <v>2</v>
      </c>
      <c r="C297" s="269" t="inlineStr">
        <is>
          <t>Will</t>
        </is>
      </c>
      <c r="D297" s="173" t="inlineStr">
        <is>
          <t>https://discord.com/channels/191975109500731392/1212839710439776287/1432870238893903893</t>
        </is>
      </c>
    </row>
    <row r="298" ht="14.25" customHeight="1" s="175">
      <c r="A298" s="267" t="inlineStr">
        <is>
          <t>Will</t>
        </is>
      </c>
      <c r="B298" s="268" t="n">
        <v>1</v>
      </c>
      <c r="C298" s="269" t="inlineStr">
        <is>
          <t>Lucy</t>
        </is>
      </c>
      <c r="D298" s="173" t="inlineStr">
        <is>
          <t>https://discord.com/channels/191975109500731392/1212839710439776287/1432871338653122641</t>
        </is>
      </c>
    </row>
    <row r="299" ht="14.25" customHeight="1" s="175">
      <c r="A299" s="267" t="inlineStr">
        <is>
          <t>Mikey</t>
        </is>
      </c>
      <c r="B299" s="268" t="n">
        <v>1</v>
      </c>
      <c r="C299" s="269" t="inlineStr">
        <is>
          <t>Peter</t>
        </is>
      </c>
      <c r="D299" s="173" t="inlineStr">
        <is>
          <t>https://discord.com/channels/191975109500731392/1212839710439776287/1433091137358397512</t>
        </is>
      </c>
    </row>
    <row r="300" ht="14.25" customHeight="1" s="175">
      <c r="A300" s="267" t="inlineStr">
        <is>
          <t>Peter</t>
        </is>
      </c>
      <c r="B300" s="268" t="n">
        <v>1</v>
      </c>
      <c r="C300" s="269" t="inlineStr">
        <is>
          <t>Mikey</t>
        </is>
      </c>
      <c r="D300" s="173" t="inlineStr">
        <is>
          <t>https://discord.com/channels/191975109500731392/1212839710439776287/1433091183219048469</t>
        </is>
      </c>
    </row>
    <row r="301" ht="14.25" customHeight="1" s="175">
      <c r="A301" s="267" t="inlineStr">
        <is>
          <t>Lucy</t>
        </is>
      </c>
      <c r="B301" s="268" t="n">
        <v>1</v>
      </c>
      <c r="C301" s="269" t="inlineStr">
        <is>
          <t>Mikey</t>
        </is>
      </c>
      <c r="D301" s="193" t="inlineStr">
        <is>
          <t>https://discord.com/channels/191975109500731392/1212839710439776287/1433113874529390762</t>
        </is>
      </c>
    </row>
    <row r="302" ht="14.25" customHeight="1" s="175">
      <c r="A302" s="267" t="inlineStr">
        <is>
          <t>Mikey</t>
        </is>
      </c>
      <c r="B302" s="268" t="n">
        <v>1</v>
      </c>
      <c r="C302" s="269" t="inlineStr">
        <is>
          <t>Lucy</t>
        </is>
      </c>
      <c r="D302" s="193" t="inlineStr">
        <is>
          <t>https://discord.com/channels/191975109500731392/1212839710439776287/1433114152942964889</t>
        </is>
      </c>
    </row>
    <row r="303" ht="14.25" customHeight="1" s="175">
      <c r="A303" s="267" t="inlineStr">
        <is>
          <t>Maxine</t>
        </is>
      </c>
      <c r="B303" s="268" t="n">
        <v>5</v>
      </c>
      <c r="C303" s="269" t="inlineStr">
        <is>
          <t>Alumni</t>
        </is>
      </c>
      <c r="D303" s="173" t="inlineStr">
        <is>
          <t>https://discord.com/channels/191975109500731392/1212839710439776287/1433131175571882068</t>
        </is>
      </c>
    </row>
    <row r="304" ht="14.25" customHeight="1" s="175">
      <c r="A304" s="267" t="inlineStr">
        <is>
          <t>Maxine</t>
        </is>
      </c>
      <c r="B304" s="268" t="n">
        <v>5</v>
      </c>
      <c r="C304" s="269" t="inlineStr">
        <is>
          <t>Alumni</t>
        </is>
      </c>
      <c r="D304" s="173" t="inlineStr">
        <is>
          <t>https://discord.com/channels/191975109500731392/1212839710439776287/1433131175571882068</t>
        </is>
      </c>
    </row>
    <row r="305" ht="14.25" customHeight="1" s="175">
      <c r="A305" s="267" t="inlineStr">
        <is>
          <t>Maxine</t>
        </is>
      </c>
      <c r="B305" s="268" t="n">
        <v>5</v>
      </c>
      <c r="C305" s="269" t="inlineStr">
        <is>
          <t>Alumni</t>
        </is>
      </c>
      <c r="D305" s="173" t="inlineStr">
        <is>
          <t>https://discord.com/channels/191975109500731392/1212839710439776287/1433131175571882068</t>
        </is>
      </c>
    </row>
    <row r="306" ht="14.25" customHeight="1" s="175">
      <c r="A306" s="267" t="inlineStr">
        <is>
          <t>Maxine</t>
        </is>
      </c>
      <c r="B306" s="268" t="n">
        <v>2</v>
      </c>
      <c r="C306" s="269" t="inlineStr">
        <is>
          <t>Cooper</t>
        </is>
      </c>
      <c r="D306" s="173" t="inlineStr">
        <is>
          <t>https://discord.com/channels/191975109500731392/1212839710439776287/1433132488825503807</t>
        </is>
      </c>
    </row>
    <row r="307" ht="14.25" customHeight="1" s="175">
      <c r="A307" s="267" t="inlineStr">
        <is>
          <t>Cooper</t>
        </is>
      </c>
      <c r="B307" s="268" t="n">
        <v>2</v>
      </c>
      <c r="C307" s="269" t="inlineStr">
        <is>
          <t>Maxine</t>
        </is>
      </c>
      <c r="D307" s="173" t="inlineStr">
        <is>
          <t>https://discord.com/channels/191975109500731392/1212839710439776287/1433132765561356461</t>
        </is>
      </c>
    </row>
    <row r="308" ht="14.25" customHeight="1" s="175">
      <c r="A308" s="267" t="inlineStr">
        <is>
          <t>Cooper</t>
        </is>
      </c>
      <c r="B308" s="268" t="n">
        <v>5</v>
      </c>
      <c r="C308" s="269" t="inlineStr">
        <is>
          <t>Alumni</t>
        </is>
      </c>
      <c r="D308" s="192" t="inlineStr">
        <is>
          <t>https://discord.com/channels/191975109500731392/1212839710439776287/1433132765561356461</t>
        </is>
      </c>
    </row>
    <row r="309" ht="14.25" customHeight="1" s="175">
      <c r="A309" s="267" t="inlineStr">
        <is>
          <t>Mikey</t>
        </is>
      </c>
      <c r="B309" s="268" t="n">
        <v>2</v>
      </c>
      <c r="C309" s="269" t="inlineStr">
        <is>
          <t>Rob</t>
        </is>
      </c>
      <c r="D309" s="173" t="inlineStr">
        <is>
          <t>https://discord.com/channels/191975109500731392/1212839710439776287/1433148664863260682</t>
        </is>
      </c>
    </row>
    <row r="310" ht="14.25" customHeight="1" s="175">
      <c r="A310" s="267" t="inlineStr">
        <is>
          <t>Will</t>
        </is>
      </c>
      <c r="B310" s="268" t="n">
        <v>1</v>
      </c>
      <c r="C310" s="269" t="inlineStr">
        <is>
          <t>Evan</t>
        </is>
      </c>
      <c r="D310" s="173" t="inlineStr">
        <is>
          <t>https://discord.com/channels/191975109500731392/1212839710439776287/1433210389411135529</t>
        </is>
      </c>
    </row>
    <row r="311" ht="14.25" customHeight="1" s="175">
      <c r="A311" s="267" t="inlineStr">
        <is>
          <t>Evan</t>
        </is>
      </c>
      <c r="B311" s="268" t="n">
        <v>1</v>
      </c>
      <c r="C311" s="269" t="inlineStr">
        <is>
          <t>Will</t>
        </is>
      </c>
      <c r="D311" s="173" t="inlineStr">
        <is>
          <t>https://discord.com/channels/191975109500731392/1212839710439776287/1433210588531654808</t>
        </is>
      </c>
    </row>
    <row r="312" ht="14.25" customHeight="1" s="175">
      <c r="A312" s="267" t="inlineStr">
        <is>
          <t>Ethan</t>
        </is>
      </c>
      <c r="B312" s="268" t="n">
        <v>2</v>
      </c>
      <c r="C312" s="269" t="inlineStr">
        <is>
          <t>Rob</t>
        </is>
      </c>
      <c r="D312" s="173" t="inlineStr">
        <is>
          <t>https://discord.com/channels/191975109500731392/1212839710439776287/1433212022018936833</t>
        </is>
      </c>
    </row>
    <row r="313" ht="14.25" customHeight="1" s="175">
      <c r="A313" s="267" t="inlineStr">
        <is>
          <t>Will</t>
        </is>
      </c>
      <c r="B313" s="268" t="n">
        <v>1</v>
      </c>
      <c r="C313" s="269" t="inlineStr">
        <is>
          <t>Grady</t>
        </is>
      </c>
      <c r="D313" s="173" t="inlineStr">
        <is>
          <t>https://discord.com/channels/191975109500731392/1212839710439776287/1433219474156294195</t>
        </is>
      </c>
    </row>
    <row r="314" ht="14.25" customHeight="1" s="175">
      <c r="A314" s="267" t="inlineStr">
        <is>
          <t>Mikey</t>
        </is>
      </c>
      <c r="B314" s="268" t="n">
        <v>2</v>
      </c>
      <c r="C314" s="269" t="inlineStr">
        <is>
          <t>Reuben</t>
        </is>
      </c>
      <c r="D314" s="173" t="inlineStr">
        <is>
          <t>https://discord.com/channels/191975109500731392/1212839710439776287/1433220706711240785</t>
        </is>
      </c>
    </row>
    <row r="315" ht="14.25" customHeight="1" s="175">
      <c r="A315" s="267" t="inlineStr">
        <is>
          <t>Mikey</t>
        </is>
      </c>
      <c r="B315" s="268" t="n">
        <v>1</v>
      </c>
      <c r="C315" s="269" t="inlineStr">
        <is>
          <t>Lucy</t>
        </is>
      </c>
      <c r="D315" s="173" t="inlineStr">
        <is>
          <t>https://discord.com/channels/191975109500731392/1212839710439776287/1433221102431244330</t>
        </is>
      </c>
    </row>
    <row r="316" ht="14.25" customHeight="1" s="175">
      <c r="A316" s="267" t="inlineStr">
        <is>
          <t>Lucy</t>
        </is>
      </c>
      <c r="B316" s="268" t="n">
        <v>1</v>
      </c>
      <c r="C316" s="269" t="inlineStr">
        <is>
          <t>Mikey</t>
        </is>
      </c>
      <c r="D316" s="173" t="inlineStr">
        <is>
          <t>https://discord.com/channels/191975109500731392/1212839710439776287/1433221218382647477</t>
        </is>
      </c>
    </row>
    <row r="317" ht="14.25" customHeight="1" s="175">
      <c r="A317" s="267" t="inlineStr">
        <is>
          <t>Anthony</t>
        </is>
      </c>
      <c r="B317" s="268" t="n">
        <v>1</v>
      </c>
      <c r="C317" s="269" t="inlineStr">
        <is>
          <t>Will</t>
        </is>
      </c>
      <c r="D317" s="173" t="inlineStr">
        <is>
          <t>https://discord.com/channels/191975109500731392/1212839710439776287/1433450564137652346</t>
        </is>
      </c>
    </row>
    <row r="318" ht="14.25" customHeight="1" s="175">
      <c r="A318" s="267" t="inlineStr">
        <is>
          <t>Will</t>
        </is>
      </c>
      <c r="B318" s="268" t="n">
        <v>1</v>
      </c>
      <c r="C318" s="269" t="inlineStr">
        <is>
          <t>Anthony</t>
        </is>
      </c>
      <c r="D318" s="173" t="inlineStr">
        <is>
          <t>https://discord.com/channels/191975109500731392/1212839710439776287/1433450605325848616</t>
        </is>
      </c>
    </row>
    <row r="319" ht="14.25" customHeight="1" s="175">
      <c r="A319" s="267" t="inlineStr">
        <is>
          <t>Ethan</t>
        </is>
      </c>
      <c r="B319" s="268" t="n">
        <v>1</v>
      </c>
      <c r="C319" s="269" t="inlineStr">
        <is>
          <t>Will</t>
        </is>
      </c>
      <c r="D319" s="173" t="inlineStr">
        <is>
          <t>https://discord.com/channels/191975109500731392/1212839710439776287/1433468821708079115</t>
        </is>
      </c>
    </row>
    <row r="320" ht="14.25" customHeight="1" s="175">
      <c r="A320" s="267" t="inlineStr">
        <is>
          <t>Will</t>
        </is>
      </c>
      <c r="B320" s="268" t="n">
        <v>1</v>
      </c>
      <c r="C320" s="269" t="inlineStr">
        <is>
          <t>Ethan</t>
        </is>
      </c>
      <c r="D320" s="173" t="inlineStr">
        <is>
          <t>https://discord.com/channels/191975109500731392/1212839710439776287/1433468824862064680</t>
        </is>
      </c>
    </row>
    <row r="321" ht="14.25" customHeight="1" s="175">
      <c r="A321" s="267" t="inlineStr">
        <is>
          <t>Anthony</t>
        </is>
      </c>
      <c r="B321" s="268" t="n">
        <v>1</v>
      </c>
      <c r="C321" s="269" t="inlineStr">
        <is>
          <t>Mikey</t>
        </is>
      </c>
      <c r="D321" s="173" t="inlineStr">
        <is>
          <t>https://discord.com/channels/191975109500731392/1212839710439776287/1433483750125076510</t>
        </is>
      </c>
    </row>
    <row r="322" ht="14.25" customHeight="1" s="175">
      <c r="A322" s="267" t="inlineStr">
        <is>
          <t>Mikey</t>
        </is>
      </c>
      <c r="B322" s="268" t="n">
        <v>2</v>
      </c>
      <c r="C322" s="269" t="inlineStr">
        <is>
          <t>Anthony</t>
        </is>
      </c>
      <c r="D322" s="173" t="inlineStr">
        <is>
          <t>https://discord.com/channels/191975109500731392/1212839710439776287/1433483807528452106</t>
        </is>
      </c>
    </row>
    <row r="323" ht="14.25" customHeight="1" s="175">
      <c r="A323" s="267" t="inlineStr">
        <is>
          <t>Carter</t>
        </is>
      </c>
      <c r="B323" s="268" t="n">
        <v>2</v>
      </c>
      <c r="C323" s="269" t="inlineStr">
        <is>
          <t>Mikey</t>
        </is>
      </c>
      <c r="D323" s="173" t="inlineStr">
        <is>
          <t>https://discord.com/channels/191975109500731392/1212839710439776287/1433506288737718537</t>
        </is>
      </c>
    </row>
    <row r="324" ht="14.25" customHeight="1" s="175">
      <c r="A324" s="267" t="inlineStr">
        <is>
          <t>Mikey</t>
        </is>
      </c>
      <c r="B324" s="268" t="n">
        <v>1</v>
      </c>
      <c r="C324" s="269" t="inlineStr">
        <is>
          <t>Carter</t>
        </is>
      </c>
      <c r="D324" s="173" t="inlineStr">
        <is>
          <t>https://discord.com/channels/191975109500731392/1212839710439776287/1433506615620796507</t>
        </is>
      </c>
    </row>
    <row r="325" ht="14.25" customHeight="1" s="175">
      <c r="A325" s="267" t="inlineStr">
        <is>
          <t>Mikey</t>
        </is>
      </c>
      <c r="B325" s="268" t="n">
        <v>1</v>
      </c>
      <c r="C325" s="269" t="inlineStr">
        <is>
          <t>Lucy</t>
        </is>
      </c>
      <c r="D325" s="173" t="inlineStr">
        <is>
          <t>https://discord.com/channels/191975109500731392/1212839710439776287/1433507138302378246</t>
        </is>
      </c>
    </row>
    <row r="326" ht="14.25" customHeight="1" s="175">
      <c r="A326" s="267" t="inlineStr">
        <is>
          <t>Lucy</t>
        </is>
      </c>
      <c r="B326" s="268" t="n">
        <v>1</v>
      </c>
      <c r="C326" s="269" t="inlineStr">
        <is>
          <t>Mikey</t>
        </is>
      </c>
      <c r="D326" s="173" t="inlineStr">
        <is>
          <t>https://discord.com/channels/191975109500731392/1212839710439776287/1433507168728125561</t>
        </is>
      </c>
    </row>
    <row r="327" ht="14.25" customHeight="1" s="175">
      <c r="A327" s="267" t="inlineStr">
        <is>
          <t>Lucy</t>
        </is>
      </c>
      <c r="B327" s="268" t="n">
        <v>2</v>
      </c>
      <c r="C327" s="269" t="inlineStr">
        <is>
          <t>Carter</t>
        </is>
      </c>
      <c r="D327" s="173" t="inlineStr">
        <is>
          <t>https://discord.com/channels/191975109500731392/1212839710439776287/1433507168728125561</t>
        </is>
      </c>
    </row>
    <row r="328" ht="14.25" customHeight="1" s="175">
      <c r="A328" s="267" t="inlineStr">
        <is>
          <t>Carter</t>
        </is>
      </c>
      <c r="B328" s="268" t="n">
        <v>1</v>
      </c>
      <c r="C328" s="269" t="inlineStr">
        <is>
          <t>Lucy</t>
        </is>
      </c>
      <c r="D328" s="173" t="inlineStr">
        <is>
          <t>https://discord.com/channels/191975109500731392/1212839710439776287/1433507176793509899</t>
        </is>
      </c>
    </row>
    <row r="329" ht="14.25" customHeight="1" s="175">
      <c r="A329" s="267" t="inlineStr">
        <is>
          <t>Mikey</t>
        </is>
      </c>
      <c r="B329" s="268" t="n">
        <v>2</v>
      </c>
      <c r="C329" s="269" t="inlineStr">
        <is>
          <t>Will</t>
        </is>
      </c>
      <c r="D329" s="173" t="inlineStr">
        <is>
          <t>https://discord.com/channels/191975109500731392/1212839710439776287/1433817673715814421</t>
        </is>
      </c>
    </row>
    <row r="330" ht="14.25" customHeight="1" s="175">
      <c r="A330" s="267" t="inlineStr">
        <is>
          <t>Vignesh</t>
        </is>
      </c>
      <c r="B330" s="268" t="n">
        <v>2</v>
      </c>
      <c r="C330" s="269" t="inlineStr">
        <is>
          <t>Will</t>
        </is>
      </c>
      <c r="D330" s="173" t="inlineStr">
        <is>
          <t>https://discord.com/channels/191975109500731392/1212839710439776287/1433832991645372468</t>
        </is>
      </c>
    </row>
    <row r="331" ht="14.25" customHeight="1" s="175">
      <c r="A331" s="267" t="inlineStr">
        <is>
          <t>Anthony</t>
        </is>
      </c>
      <c r="B331" s="268" t="n">
        <v>1</v>
      </c>
      <c r="C331" s="269" t="inlineStr">
        <is>
          <t>Lucy</t>
        </is>
      </c>
      <c r="D331" s="173" t="inlineStr">
        <is>
          <t>https://discord.com/channels/191975109500731392/1212839710439776287/1433835912210415776</t>
        </is>
      </c>
    </row>
    <row r="332" ht="14.25" customHeight="1" s="175">
      <c r="A332" s="267" t="inlineStr">
        <is>
          <t>Lucy</t>
        </is>
      </c>
      <c r="B332" s="268" t="n">
        <v>1</v>
      </c>
      <c r="C332" s="269" t="inlineStr">
        <is>
          <t>Anthony</t>
        </is>
      </c>
      <c r="D332" s="173" t="inlineStr">
        <is>
          <t>https://discord.com/channels/191975109500731392/1212839710439776287/1433836133678059600</t>
        </is>
      </c>
    </row>
    <row r="333" ht="14.25" customHeight="1" s="175">
      <c r="A333" s="267" t="inlineStr">
        <is>
          <t>Evan</t>
        </is>
      </c>
      <c r="B333" s="268" t="n">
        <v>1</v>
      </c>
      <c r="C333" s="269" t="inlineStr">
        <is>
          <t>Vignesh</t>
        </is>
      </c>
      <c r="D333" s="173" t="inlineStr">
        <is>
          <t>https://discord.com/channels/191975109500731392/1212839710439776287/1433877762979926037</t>
        </is>
      </c>
    </row>
    <row r="334" ht="14.25" customHeight="1" s="175">
      <c r="A334" s="267" t="inlineStr">
        <is>
          <t>Ethan</t>
        </is>
      </c>
      <c r="B334" s="268" t="n">
        <v>2</v>
      </c>
      <c r="C334" s="269" t="inlineStr">
        <is>
          <t>Will</t>
        </is>
      </c>
      <c r="D334" s="173" t="inlineStr">
        <is>
          <t>https://discord.com/channels/191975109500731392/1212839710439776287/1433878753599160411</t>
        </is>
      </c>
    </row>
    <row r="335" ht="14.25" customHeight="1" s="175">
      <c r="A335" s="267" t="inlineStr">
        <is>
          <t>Ethan</t>
        </is>
      </c>
      <c r="B335" s="268" t="n">
        <v>2</v>
      </c>
      <c r="C335" s="269" t="inlineStr">
        <is>
          <t>Anthony</t>
        </is>
      </c>
      <c r="D335" s="173" t="inlineStr">
        <is>
          <t>https://discord.com/channels/191975109500731392/1212839710439776287/1433879444434583572</t>
        </is>
      </c>
    </row>
    <row r="336" ht="14.25" customHeight="1" s="175">
      <c r="A336" s="267" t="inlineStr">
        <is>
          <t>Anthony</t>
        </is>
      </c>
      <c r="B336" s="268" t="n">
        <v>1</v>
      </c>
      <c r="C336" s="269" t="inlineStr">
        <is>
          <t>Ethan</t>
        </is>
      </c>
      <c r="D336" s="173" t="inlineStr">
        <is>
          <t>https://discord.com/channels/191975109500731392/1212839710439776287/1433879638156902430</t>
        </is>
      </c>
    </row>
    <row r="337" ht="14.25" customHeight="1" s="175">
      <c r="A337" s="267" t="inlineStr">
        <is>
          <t>Will</t>
        </is>
      </c>
      <c r="B337" s="268" t="n">
        <v>1</v>
      </c>
      <c r="C337" s="269" t="inlineStr">
        <is>
          <t>Cooper</t>
        </is>
      </c>
      <c r="D337" s="173" t="inlineStr">
        <is>
          <t>https://discord.com/channels/191975109500731392/1212839710439776287/1433880909299323013</t>
        </is>
      </c>
    </row>
    <row r="338" ht="14.25" customHeight="1" s="175">
      <c r="A338" s="267" t="inlineStr">
        <is>
          <t>Ethan</t>
        </is>
      </c>
      <c r="B338" s="268" t="n">
        <v>1</v>
      </c>
      <c r="C338" s="269" t="inlineStr">
        <is>
          <t>Reuben</t>
        </is>
      </c>
      <c r="D338" s="173" t="inlineStr">
        <is>
          <t>https://discord.com/channels/191975109500731392/1212839710439776287/1433965564321337467</t>
        </is>
      </c>
    </row>
    <row r="339" ht="14.25" customHeight="1" s="175">
      <c r="A339" s="267" t="inlineStr">
        <is>
          <t>Anthony</t>
        </is>
      </c>
      <c r="B339" s="268" t="n">
        <v>1</v>
      </c>
      <c r="C339" s="269" t="inlineStr">
        <is>
          <t>Vignesh</t>
        </is>
      </c>
      <c r="D339" s="173" t="inlineStr">
        <is>
          <t>https://discord.com/channels/191975109500731392/1212839710439776287/1433992907559272548</t>
        </is>
      </c>
    </row>
    <row r="340" ht="14.25" customHeight="1" s="175">
      <c r="A340" s="267" t="inlineStr">
        <is>
          <t>Maxine</t>
        </is>
      </c>
      <c r="B340" s="268" t="n">
        <v>1</v>
      </c>
      <c r="C340" s="269" t="inlineStr">
        <is>
          <t>Grady</t>
        </is>
      </c>
      <c r="D340" s="173" t="inlineStr">
        <is>
          <t>https://discord.com/channels/191975109500731392/1212839710439776287/1433994671922745424</t>
        </is>
      </c>
    </row>
    <row r="341" ht="14.25" customHeight="1" s="175">
      <c r="A341" s="267" t="inlineStr">
        <is>
          <t>Maxine</t>
        </is>
      </c>
      <c r="B341" s="268" t="n">
        <v>1</v>
      </c>
      <c r="C341" s="269" t="inlineStr">
        <is>
          <t>Cooper</t>
        </is>
      </c>
      <c r="D341" s="173" t="inlineStr">
        <is>
          <t>https://discord.com/channels/191975109500731392/1212839710439776287/1433994671922745424</t>
        </is>
      </c>
    </row>
    <row r="342" ht="14.25" customHeight="1" s="175">
      <c r="A342" s="267" t="inlineStr">
        <is>
          <t>Maxine</t>
        </is>
      </c>
      <c r="B342" s="268" t="n">
        <v>5</v>
      </c>
      <c r="C342" s="269" t="inlineStr">
        <is>
          <t>Alumni</t>
        </is>
      </c>
      <c r="D342" s="173" t="inlineStr">
        <is>
          <t>https://discord.com/channels/191975109500731392/1212839710439776287/1433994671922745424</t>
        </is>
      </c>
    </row>
    <row r="343" ht="14.25" customHeight="1" s="175">
      <c r="A343" s="267" t="inlineStr">
        <is>
          <t>Will</t>
        </is>
      </c>
      <c r="B343" s="268" t="n">
        <v>2</v>
      </c>
      <c r="C343" s="269" t="inlineStr">
        <is>
          <t>Mikey</t>
        </is>
      </c>
      <c r="D343" s="173" t="inlineStr">
        <is>
          <t>https://discord.com/channels/191975109500731392/1212839710439776287/1434296841805103195</t>
        </is>
      </c>
    </row>
    <row r="344" ht="14.25" customHeight="1" s="175">
      <c r="A344" s="267" t="inlineStr">
        <is>
          <t>Will</t>
        </is>
      </c>
      <c r="B344" s="268" t="n">
        <v>2</v>
      </c>
      <c r="C344" s="269" t="inlineStr">
        <is>
          <t>Mikey</t>
        </is>
      </c>
      <c r="D344" s="173" t="inlineStr">
        <is>
          <t>https://discord.com/channels/191975109500731392/1212839710439776287/1434312898884403270</t>
        </is>
      </c>
    </row>
    <row r="345" ht="14.25" customHeight="1" s="175">
      <c r="A345" s="267" t="inlineStr">
        <is>
          <t>Mikey</t>
        </is>
      </c>
      <c r="B345" s="268" t="n">
        <v>1</v>
      </c>
      <c r="C345" s="269" t="inlineStr">
        <is>
          <t>Will</t>
        </is>
      </c>
      <c r="D345" s="173" t="inlineStr">
        <is>
          <t>https://discord.com/channels/191975109500731392/1212839710439776287/1434312917599391848</t>
        </is>
      </c>
    </row>
    <row r="346" ht="14.25" customHeight="1" s="175">
      <c r="A346" s="267" t="inlineStr">
        <is>
          <t>Will</t>
        </is>
      </c>
      <c r="B346" s="268" t="n">
        <v>2</v>
      </c>
      <c r="C346" s="269" t="inlineStr">
        <is>
          <t>Rob</t>
        </is>
      </c>
      <c r="D346" s="173" t="inlineStr">
        <is>
          <t>https://discord.com/channels/191975109500731392/1212839710439776287/1434372311477129359</t>
        </is>
      </c>
    </row>
    <row r="347" ht="14.25" customHeight="1" s="175">
      <c r="A347" s="267" t="inlineStr">
        <is>
          <t>Rob</t>
        </is>
      </c>
      <c r="B347" s="268" t="n">
        <v>2</v>
      </c>
      <c r="C347" s="269" t="inlineStr">
        <is>
          <t>Will</t>
        </is>
      </c>
      <c r="D347" s="173" t="inlineStr">
        <is>
          <t>https://discord.com/channels/191975109500731392/1212839710439776287/1434373176116252764</t>
        </is>
      </c>
    </row>
    <row r="348" ht="14.25" customHeight="1" s="175">
      <c r="A348" s="267" t="inlineStr">
        <is>
          <t>Will</t>
        </is>
      </c>
      <c r="B348" s="268" t="n">
        <v>2</v>
      </c>
      <c r="C348" s="269" t="inlineStr">
        <is>
          <t>Reuben</t>
        </is>
      </c>
      <c r="D348" s="173" t="inlineStr">
        <is>
          <t>https://discord.com/channels/191975109500731392/1212839710439776287/1434608530647945468</t>
        </is>
      </c>
    </row>
    <row r="349" ht="14.25" customHeight="1" s="175">
      <c r="A349" s="267" t="inlineStr">
        <is>
          <t>Ethan</t>
        </is>
      </c>
      <c r="B349" s="268" t="n">
        <v>2</v>
      </c>
      <c r="C349" s="269" t="inlineStr">
        <is>
          <t>Lucy</t>
        </is>
      </c>
      <c r="D349" s="173" t="inlineStr">
        <is>
          <t>https://discord.com/channels/191975109500731392/1212839710439776287/1434981222903189575</t>
        </is>
      </c>
    </row>
    <row r="350" ht="14.25" customHeight="1" s="175">
      <c r="A350" s="267" t="inlineStr">
        <is>
          <t>Lucy</t>
        </is>
      </c>
      <c r="B350" s="268" t="n">
        <v>1</v>
      </c>
      <c r="C350" s="269" t="inlineStr">
        <is>
          <t>Ethan</t>
        </is>
      </c>
      <c r="D350" s="173" t="inlineStr">
        <is>
          <t>https://discord.com/channels/191975109500731392/1212839710439776287/1434981962614968493</t>
        </is>
      </c>
    </row>
    <row r="351" ht="14.25" customHeight="1" s="175">
      <c r="A351" s="267" t="inlineStr">
        <is>
          <t>Carter</t>
        </is>
      </c>
      <c r="B351" s="268" t="n">
        <v>1</v>
      </c>
      <c r="C351" s="269" t="inlineStr">
        <is>
          <t>Cooper</t>
        </is>
      </c>
      <c r="D351" s="173" t="inlineStr">
        <is>
          <t>https://discord.com/channels/191975109500731392/1212839710439776287/1434982299144818719</t>
        </is>
      </c>
    </row>
    <row r="352" ht="14.25" customHeight="1" s="175">
      <c r="A352" s="267" t="inlineStr">
        <is>
          <t>Ethan</t>
        </is>
      </c>
      <c r="B352" s="268" t="n">
        <v>1</v>
      </c>
      <c r="C352" s="269" t="inlineStr">
        <is>
          <t>Rob</t>
        </is>
      </c>
      <c r="D352" s="173" t="inlineStr">
        <is>
          <t>https://discord.com/channels/191975109500731392/1212839710439776287/1434982456171167785</t>
        </is>
      </c>
    </row>
    <row r="353" ht="14.25" customHeight="1" s="175">
      <c r="A353" s="267" t="inlineStr">
        <is>
          <t>Cooper</t>
        </is>
      </c>
      <c r="B353" s="268" t="n">
        <v>1</v>
      </c>
      <c r="C353" s="269" t="inlineStr">
        <is>
          <t>Carter</t>
        </is>
      </c>
      <c r="D353" s="173" t="inlineStr">
        <is>
          <t>https://discord.com/channels/191975109500731392/1212839710439776287/1434982488866029588</t>
        </is>
      </c>
    </row>
    <row r="354" ht="14.25" customHeight="1" s="175">
      <c r="A354" s="267" t="inlineStr">
        <is>
          <t>Will</t>
        </is>
      </c>
      <c r="B354" s="268" t="n">
        <v>1</v>
      </c>
      <c r="C354" s="269" t="inlineStr">
        <is>
          <t>Ethan</t>
        </is>
      </c>
      <c r="D354" s="193" t="inlineStr">
        <is>
          <t>https://discord.com/channels/191975109500731392/1212839710439776287/1434983665741598783</t>
        </is>
      </c>
    </row>
    <row r="355" ht="14.25" customHeight="1" s="175">
      <c r="A355" s="295" t="inlineStr">
        <is>
          <t>Rob</t>
        </is>
      </c>
      <c r="B355" s="268" t="n">
        <v>1</v>
      </c>
      <c r="C355" s="269" t="inlineStr">
        <is>
          <t>Ethan</t>
        </is>
      </c>
      <c r="D355" s="173" t="inlineStr">
        <is>
          <t>https://discord.com/channels/191975109500731392/1212839710439776287/1434983792644460636</t>
        </is>
      </c>
    </row>
    <row r="356" ht="14.25" customHeight="1" s="175">
      <c r="A356" s="267" t="inlineStr">
        <is>
          <t>Lucy</t>
        </is>
      </c>
      <c r="B356" s="268" t="n">
        <v>2</v>
      </c>
      <c r="C356" s="269" t="inlineStr">
        <is>
          <t>Rob</t>
        </is>
      </c>
      <c r="D356" s="173" t="inlineStr">
        <is>
          <t>https://discord.com/channels/191975109500731392/1212839710439776287/1434983874072543255</t>
        </is>
      </c>
    </row>
    <row r="357" ht="14.25" customHeight="1" s="175">
      <c r="A357" s="267" t="inlineStr">
        <is>
          <t>Lucy</t>
        </is>
      </c>
      <c r="B357" s="268" t="n">
        <v>2</v>
      </c>
      <c r="C357" s="269" t="inlineStr">
        <is>
          <t>Will</t>
        </is>
      </c>
      <c r="D357" s="173" t="inlineStr">
        <is>
          <t>https://discord.com/channels/191975109500731392/1212839710439776287/1434983874072543255</t>
        </is>
      </c>
    </row>
    <row r="358" ht="14.25" customHeight="1" s="175">
      <c r="A358" s="267" t="inlineStr">
        <is>
          <t>Grady</t>
        </is>
      </c>
      <c r="B358" s="268" t="n">
        <v>2</v>
      </c>
      <c r="C358" s="269" t="inlineStr">
        <is>
          <t>Mikey</t>
        </is>
      </c>
      <c r="D358" s="173" t="inlineStr">
        <is>
          <t>https://discord.com/channels/191975109500731392/1212839710439776287/1435014936505090201</t>
        </is>
      </c>
    </row>
    <row r="359" ht="14.25" customHeight="1" s="175">
      <c r="A359" s="267" t="inlineStr">
        <is>
          <t>Will</t>
        </is>
      </c>
      <c r="B359" s="268" t="n">
        <v>2</v>
      </c>
      <c r="C359" s="269" t="inlineStr">
        <is>
          <t>Grady</t>
        </is>
      </c>
      <c r="D359" s="193" t="inlineStr">
        <is>
          <t>https://discord.com/channels/191975109500731392/1212839710439776287/1435017572138619093</t>
        </is>
      </c>
    </row>
    <row r="360" ht="14.25" customHeight="1" s="175">
      <c r="A360" s="267" t="inlineStr">
        <is>
          <t>Grady</t>
        </is>
      </c>
      <c r="B360" s="268" t="n">
        <v>1</v>
      </c>
      <c r="C360" s="269" t="inlineStr">
        <is>
          <t>Cooper</t>
        </is>
      </c>
      <c r="D360" s="173" t="inlineStr">
        <is>
          <t>https://discord.com/channels/191975109500731392/1212839710439776287/1435025917213802577</t>
        </is>
      </c>
    </row>
    <row r="361" ht="14.25" customHeight="1" s="175">
      <c r="A361" s="267" t="inlineStr">
        <is>
          <t>Mikey</t>
        </is>
      </c>
      <c r="B361" s="268" t="n">
        <v>2</v>
      </c>
      <c r="C361" s="269" t="inlineStr">
        <is>
          <t>Ethan</t>
        </is>
      </c>
      <c r="D361" s="173" t="inlineStr">
        <is>
          <t>https://discord.com/channels/191975109500731392/1212839710439776287/1435029637142024365</t>
        </is>
      </c>
    </row>
    <row r="362" ht="14.25" customHeight="1" s="175">
      <c r="A362" s="267" t="inlineStr">
        <is>
          <t>Ethan</t>
        </is>
      </c>
      <c r="B362" s="268" t="n">
        <v>1</v>
      </c>
      <c r="C362" s="269" t="inlineStr">
        <is>
          <t>Mikey</t>
        </is>
      </c>
      <c r="D362" s="173" t="inlineStr">
        <is>
          <t>https://discord.com/channels/191975109500731392/1212839710439776287/1435029882282447018</t>
        </is>
      </c>
    </row>
    <row r="363" ht="14.25" customHeight="1" s="175">
      <c r="A363" s="267" t="inlineStr">
        <is>
          <t>Mikey</t>
        </is>
      </c>
      <c r="B363" s="268" t="n">
        <v>1</v>
      </c>
      <c r="C363" s="269" t="inlineStr">
        <is>
          <t>Lucy</t>
        </is>
      </c>
      <c r="D363" s="173" t="inlineStr">
        <is>
          <t>https://discord.com/channels/191975109500731392/1212839710439776287/1435308678675828808</t>
        </is>
      </c>
    </row>
    <row r="364" ht="14.25" customHeight="1" s="175">
      <c r="A364" s="267" t="inlineStr">
        <is>
          <t>Lucy</t>
        </is>
      </c>
      <c r="B364" s="268" t="n">
        <v>1</v>
      </c>
      <c r="C364" s="269" t="inlineStr">
        <is>
          <t>Mikey</t>
        </is>
      </c>
      <c r="D364" s="173" t="inlineStr">
        <is>
          <t>https://discord.com/channels/191975109500731392/1212839710439776287/1435308760641048656</t>
        </is>
      </c>
    </row>
    <row r="365" ht="14.25" customHeight="1" s="175">
      <c r="A365" s="267" t="inlineStr">
        <is>
          <t>Carter</t>
        </is>
      </c>
      <c r="B365" s="268" t="n">
        <v>1</v>
      </c>
      <c r="C365" s="269" t="inlineStr">
        <is>
          <t>Will</t>
        </is>
      </c>
      <c r="D365" s="173" t="inlineStr">
        <is>
          <t>https://discord.com/channels/191975109500731392/1212839710439776287/1435317567823810641</t>
        </is>
      </c>
    </row>
    <row r="366" ht="14.25" customHeight="1" s="175">
      <c r="A366" s="267" t="inlineStr">
        <is>
          <t>Will</t>
        </is>
      </c>
      <c r="B366" s="268" t="n">
        <v>1</v>
      </c>
      <c r="C366" s="269" t="inlineStr">
        <is>
          <t>Carter</t>
        </is>
      </c>
      <c r="D366" s="173" t="inlineStr">
        <is>
          <t>https://discord.com/channels/191975109500731392/1212839710439776287/1435317611846963300</t>
        </is>
      </c>
    </row>
    <row r="367" ht="14.25" customHeight="1" s="175">
      <c r="A367" s="267" t="inlineStr">
        <is>
          <t>Rob</t>
        </is>
      </c>
      <c r="B367" s="268" t="n">
        <v>2</v>
      </c>
      <c r="C367" s="269" t="inlineStr">
        <is>
          <t>Mikey</t>
        </is>
      </c>
      <c r="D367" s="173" t="inlineStr">
        <is>
          <t>https://discord.com/channels/191975109500731392/1212839710439776287/1435340419927117938</t>
        </is>
      </c>
    </row>
    <row r="368" ht="14.25" customHeight="1" s="175">
      <c r="A368" s="267" t="inlineStr">
        <is>
          <t>Anthony</t>
        </is>
      </c>
      <c r="B368" s="268" t="n">
        <v>1</v>
      </c>
      <c r="C368" s="269" t="inlineStr">
        <is>
          <t>Cooper</t>
        </is>
      </c>
      <c r="D368" s="173" t="inlineStr">
        <is>
          <t>https://discord.com/channels/191975109500731392/1212839710439776287/1435375343728066742</t>
        </is>
      </c>
    </row>
    <row r="369" ht="14.25" customHeight="1" s="175">
      <c r="A369" s="267" t="inlineStr">
        <is>
          <t>Cooper</t>
        </is>
      </c>
      <c r="B369" s="268" t="n">
        <v>2</v>
      </c>
      <c r="C369" s="269" t="inlineStr">
        <is>
          <t>Anthony</t>
        </is>
      </c>
      <c r="D369" s="173" t="inlineStr">
        <is>
          <t>https://discord.com/channels/191975109500731392/1212839710439776287/1435375397289066698</t>
        </is>
      </c>
    </row>
    <row r="370" ht="14.25" customHeight="1" s="175">
      <c r="A370" s="267" t="inlineStr">
        <is>
          <t>Erick</t>
        </is>
      </c>
      <c r="B370" s="268" t="n">
        <v>1</v>
      </c>
      <c r="C370" s="269" t="inlineStr">
        <is>
          <t>Vignesh</t>
        </is>
      </c>
      <c r="D370" s="173" t="inlineStr">
        <is>
          <t>https://discord.com/channels/191975109500731392/1212839710439776287/1435385049091674254</t>
        </is>
      </c>
    </row>
    <row r="371" ht="14.25" customHeight="1" s="175">
      <c r="A371" s="267" t="inlineStr">
        <is>
          <t>Lucy</t>
        </is>
      </c>
      <c r="B371" s="268" t="n">
        <v>2</v>
      </c>
      <c r="C371" s="269" t="inlineStr">
        <is>
          <t>Will</t>
        </is>
      </c>
      <c r="D371" s="173" t="inlineStr">
        <is>
          <t>https://discord.com/channels/191975109500731392/1212839710439776287/1435426002493771928</t>
        </is>
      </c>
    </row>
    <row r="372" ht="14.25" customHeight="1" s="175">
      <c r="A372" s="267" t="inlineStr">
        <is>
          <t>Will</t>
        </is>
      </c>
      <c r="B372" s="268" t="n">
        <v>1</v>
      </c>
      <c r="C372" s="269" t="inlineStr">
        <is>
          <t>Lucy</t>
        </is>
      </c>
      <c r="D372" s="173" t="inlineStr">
        <is>
          <t>https://discord.com/channels/191975109500731392/1212839710439776287/1435426004163231755</t>
        </is>
      </c>
    </row>
    <row r="373" ht="14.25" customHeight="1" s="175">
      <c r="A373" s="267" t="inlineStr">
        <is>
          <t>Will</t>
        </is>
      </c>
      <c r="B373" s="268" t="n">
        <v>1</v>
      </c>
      <c r="C373" s="269" t="inlineStr">
        <is>
          <t>Mikey</t>
        </is>
      </c>
      <c r="D373" s="173" t="inlineStr">
        <is>
          <t>https://discord.com/channels/191975109500731392/1212839710439776287/1435426108312129606</t>
        </is>
      </c>
    </row>
    <row r="374" ht="14.25" customHeight="1" s="175">
      <c r="A374" s="267" t="inlineStr">
        <is>
          <t>Mikey</t>
        </is>
      </c>
      <c r="B374" s="268" t="n">
        <v>1</v>
      </c>
      <c r="C374" s="269" t="inlineStr">
        <is>
          <t>Will</t>
        </is>
      </c>
      <c r="D374" s="173" t="inlineStr">
        <is>
          <t>https://discord.com/channels/191975109500731392/1212839710439776287/1435426158911946753</t>
        </is>
      </c>
    </row>
    <row r="375" ht="14.25" customHeight="1" s="175">
      <c r="A375" s="267" t="inlineStr">
        <is>
          <t>Mikey</t>
        </is>
      </c>
      <c r="B375" s="268" t="n">
        <v>1</v>
      </c>
      <c r="C375" s="269" t="inlineStr">
        <is>
          <t>Lucy</t>
        </is>
      </c>
      <c r="D375" s="173" t="inlineStr">
        <is>
          <t>https://discord.com/channels/191975109500731392/1212839710439776287/1435426158911946753</t>
        </is>
      </c>
    </row>
    <row r="376" ht="14.25" customHeight="1" s="175">
      <c r="A376" s="267" t="inlineStr">
        <is>
          <t>Lucy</t>
        </is>
      </c>
      <c r="B376" s="268" t="n">
        <v>1</v>
      </c>
      <c r="C376" s="269" t="inlineStr">
        <is>
          <t>Mikey</t>
        </is>
      </c>
      <c r="D376" s="173" t="inlineStr">
        <is>
          <t>https://discord.com/channels/191975109500731392/1212839710439776287/1435426176679280732</t>
        </is>
      </c>
    </row>
    <row r="377" ht="14.25" customHeight="1" s="175">
      <c r="A377" s="267" t="inlineStr">
        <is>
          <t>Will</t>
        </is>
      </c>
      <c r="B377" s="268" t="n">
        <v>2</v>
      </c>
      <c r="C377" s="269" t="inlineStr">
        <is>
          <t>Cooper</t>
        </is>
      </c>
      <c r="D377" s="173" t="inlineStr">
        <is>
          <t>https://discord.com/channels/191975109500731392/1212839710439776287/1435694535123533824</t>
        </is>
      </c>
    </row>
    <row r="378" ht="14.25" customHeight="1" s="175">
      <c r="A378" s="267" t="inlineStr">
        <is>
          <t>Lucy</t>
        </is>
      </c>
      <c r="B378" s="268" t="n">
        <v>2</v>
      </c>
      <c r="C378" s="269" t="inlineStr">
        <is>
          <t>Mikey</t>
        </is>
      </c>
      <c r="D378" s="173" t="inlineStr">
        <is>
          <t>https://discord.com/channels/191975109500731392/1212839710439776287/1435703687321485374</t>
        </is>
      </c>
    </row>
    <row r="379" ht="14.25" customHeight="1" s="175">
      <c r="A379" s="267" t="inlineStr">
        <is>
          <t>Mikey</t>
        </is>
      </c>
      <c r="B379" s="268" t="n">
        <v>2</v>
      </c>
      <c r="C379" s="269" t="inlineStr">
        <is>
          <t>Anthony</t>
        </is>
      </c>
      <c r="D379" s="173" t="inlineStr">
        <is>
          <t>https://discord.com/channels/191975109500731392/1212839710439776287/1435770043064647782</t>
        </is>
      </c>
    </row>
    <row r="380" ht="14.25" customHeight="1" s="175">
      <c r="A380" s="267" t="inlineStr">
        <is>
          <t>Mikey</t>
        </is>
      </c>
      <c r="B380" s="268" t="n">
        <v>2</v>
      </c>
      <c r="C380" s="269" t="inlineStr">
        <is>
          <t>Reuben</t>
        </is>
      </c>
      <c r="D380" s="173" t="inlineStr">
        <is>
          <t>https://discord.com/channels/191975109500731392/1212839710439776287/1435770043064647782</t>
        </is>
      </c>
    </row>
    <row r="381" ht="14.25" customHeight="1" s="175">
      <c r="A381" s="267" t="inlineStr">
        <is>
          <t>Will</t>
        </is>
      </c>
      <c r="B381" s="268" t="n">
        <v>2</v>
      </c>
      <c r="C381" s="269" t="inlineStr">
        <is>
          <t>Grady</t>
        </is>
      </c>
      <c r="D381" s="173" t="inlineStr">
        <is>
          <t>https://discord.com/channels/191975109500731392/1212839710439776287/1436043005713711195</t>
        </is>
      </c>
    </row>
    <row r="382" ht="14.25" customHeight="1" s="175">
      <c r="A382" s="267" t="inlineStr">
        <is>
          <t>Grady</t>
        </is>
      </c>
      <c r="B382" s="268" t="n">
        <v>2</v>
      </c>
      <c r="C382" s="269" t="inlineStr">
        <is>
          <t>Joey</t>
        </is>
      </c>
      <c r="D382" s="173" t="inlineStr">
        <is>
          <t>https://discord.com/channels/191975109500731392/1212839710439776287/1436074714257690819</t>
        </is>
      </c>
    </row>
    <row r="383" ht="14.25" customHeight="1" s="175">
      <c r="A383" s="267" t="inlineStr">
        <is>
          <t>Joey</t>
        </is>
      </c>
      <c r="B383" s="268" t="n">
        <v>1</v>
      </c>
      <c r="C383" s="269" t="inlineStr">
        <is>
          <t>Grady</t>
        </is>
      </c>
      <c r="D383" s="173" t="inlineStr">
        <is>
          <t>https://discord.com/channels/191975109500731392/1212839710439776287/1436075919138623659</t>
        </is>
      </c>
    </row>
    <row r="384" ht="14.25" customHeight="1" s="175">
      <c r="A384" s="267" t="inlineStr">
        <is>
          <t>Evan</t>
        </is>
      </c>
      <c r="B384" s="268" t="n">
        <v>2</v>
      </c>
      <c r="C384" s="269" t="inlineStr">
        <is>
          <t>Rob</t>
        </is>
      </c>
      <c r="D384" s="173" t="inlineStr">
        <is>
          <t>https://discord.com/channels/191975109500731392/1212839710439776287/1436096960829456446</t>
        </is>
      </c>
    </row>
    <row r="385" ht="14.25" customHeight="1" s="175">
      <c r="A385" s="267" t="inlineStr">
        <is>
          <t>Ethan</t>
        </is>
      </c>
      <c r="B385" s="268" t="n">
        <v>1</v>
      </c>
      <c r="C385" s="269" t="inlineStr">
        <is>
          <t>Evan</t>
        </is>
      </c>
      <c r="D385" s="173" t="inlineStr">
        <is>
          <t>https://discord.com/channels/191975109500731392/1212839710439776287/1436386678217638022</t>
        </is>
      </c>
    </row>
    <row r="386" ht="14.25" customHeight="1" s="175">
      <c r="A386" s="267" t="inlineStr">
        <is>
          <t>Ethan</t>
        </is>
      </c>
      <c r="B386" s="268" t="n">
        <v>1</v>
      </c>
      <c r="C386" s="269" t="inlineStr">
        <is>
          <t>Anthony</t>
        </is>
      </c>
      <c r="D386" s="173" t="inlineStr">
        <is>
          <t>https://discord.com/channels/191975109500731392/1212839710439776287/1436386678217638022</t>
        </is>
      </c>
    </row>
    <row r="387" ht="14.25" customHeight="1" s="175">
      <c r="A387" s="267" t="inlineStr">
        <is>
          <t>Will</t>
        </is>
      </c>
      <c r="B387" s="268" t="n">
        <v>2</v>
      </c>
      <c r="C387" s="269" t="inlineStr">
        <is>
          <t>Vignesh</t>
        </is>
      </c>
      <c r="D387" s="173" t="inlineStr">
        <is>
          <t>https://discord.com/channels/191975109500731392/1212839710439776287/1436388024870240356</t>
        </is>
      </c>
    </row>
    <row r="388" ht="14.25" customHeight="1" s="175">
      <c r="A388" s="267" t="inlineStr">
        <is>
          <t>Vignesh</t>
        </is>
      </c>
      <c r="B388" s="268" t="n">
        <v>1</v>
      </c>
      <c r="C388" s="269" t="inlineStr">
        <is>
          <t>Will</t>
        </is>
      </c>
      <c r="D388" s="173" t="inlineStr">
        <is>
          <t>https://discord.com/channels/191975109500731392/1212839710439776287/1436388611246264320</t>
        </is>
      </c>
    </row>
    <row r="389" ht="14.25" customHeight="1" s="175">
      <c r="A389" s="267" t="inlineStr">
        <is>
          <t>Ethan</t>
        </is>
      </c>
      <c r="B389" s="268" t="n">
        <v>1</v>
      </c>
      <c r="C389" s="269" t="inlineStr">
        <is>
          <t>Lucy</t>
        </is>
      </c>
      <c r="D389" s="173" t="inlineStr">
        <is>
          <t>https://discord.com/channels/191975109500731392/1212839710439776287/1436388735783665674</t>
        </is>
      </c>
    </row>
    <row r="390" ht="14.25" customHeight="1" s="175">
      <c r="A390" s="267" t="inlineStr">
        <is>
          <t>Lucy</t>
        </is>
      </c>
      <c r="B390" s="268" t="n">
        <v>1</v>
      </c>
      <c r="C390" s="269" t="inlineStr">
        <is>
          <t>Anthony</t>
        </is>
      </c>
      <c r="D390" s="173" t="inlineStr">
        <is>
          <t>https://discord.com/channels/191975109500731392/1212839710439776287/1436388765236072580</t>
        </is>
      </c>
    </row>
    <row r="391" ht="14.25" customHeight="1" s="175">
      <c r="A391" s="267" t="inlineStr">
        <is>
          <t>Lucy</t>
        </is>
      </c>
      <c r="B391" s="268" t="n">
        <v>1</v>
      </c>
      <c r="C391" s="269" t="inlineStr">
        <is>
          <t>Ethan</t>
        </is>
      </c>
      <c r="D391" s="173" t="inlineStr">
        <is>
          <t>https://discord.com/channels/191975109500731392/1212839710439776287/1436388765236072580</t>
        </is>
      </c>
    </row>
    <row r="392" ht="14.25" customHeight="1" s="175">
      <c r="A392" s="267" t="inlineStr">
        <is>
          <t>Lucy</t>
        </is>
      </c>
      <c r="B392" s="268" t="n">
        <v>2</v>
      </c>
      <c r="C392" s="269" t="inlineStr">
        <is>
          <t>Evan</t>
        </is>
      </c>
      <c r="D392" s="173" t="inlineStr">
        <is>
          <t>https://discord.com/channels/191975109500731392/1212839710439776287/1436389173568471050</t>
        </is>
      </c>
    </row>
    <row r="393" ht="14.25" customHeight="1" s="175">
      <c r="A393" s="267" t="inlineStr">
        <is>
          <t>Evan</t>
        </is>
      </c>
      <c r="B393" s="268" t="n">
        <v>2</v>
      </c>
      <c r="C393" s="269" t="inlineStr">
        <is>
          <t>Will</t>
        </is>
      </c>
      <c r="D393" s="173" t="inlineStr">
        <is>
          <t>https://discord.com/channels/191975109500731392/1212839710439776287/1436396269093523486</t>
        </is>
      </c>
    </row>
    <row r="394" ht="14.25" customHeight="1" s="175">
      <c r="A394" s="267" t="inlineStr">
        <is>
          <t>Will</t>
        </is>
      </c>
      <c r="B394" s="268" t="n">
        <v>1</v>
      </c>
      <c r="C394" s="269" t="inlineStr">
        <is>
          <t>Evan</t>
        </is>
      </c>
      <c r="D394" s="173" t="inlineStr">
        <is>
          <t>https://discord.com/channels/191975109500731392/1212839710439776287/1436396284687810693</t>
        </is>
      </c>
    </row>
    <row r="395" ht="14.25" customHeight="1" s="175">
      <c r="A395" s="267" t="inlineStr">
        <is>
          <t>Evan</t>
        </is>
      </c>
      <c r="B395" s="268" t="n">
        <v>1</v>
      </c>
      <c r="C395" s="269" t="inlineStr">
        <is>
          <t>Will</t>
        </is>
      </c>
      <c r="D395" s="173" t="inlineStr">
        <is>
          <t>https://discord.com/channels/191975109500731392/1212839710439776287/1436413341538062347</t>
        </is>
      </c>
    </row>
    <row r="396" ht="14.25" customHeight="1" s="175">
      <c r="A396" s="267" t="inlineStr">
        <is>
          <t>Will</t>
        </is>
      </c>
      <c r="B396" s="268" t="n">
        <v>1</v>
      </c>
      <c r="C396" s="269" t="inlineStr">
        <is>
          <t>Evan</t>
        </is>
      </c>
      <c r="D396" s="173" t="inlineStr">
        <is>
          <t>https://discord.com/channels/191975109500731392/1212839710439776287/1436413449486864466</t>
        </is>
      </c>
    </row>
    <row r="397" ht="14.25" customHeight="1" s="175">
      <c r="A397" s="267" t="inlineStr">
        <is>
          <t>Anthony</t>
        </is>
      </c>
      <c r="B397" s="268" t="n">
        <v>1</v>
      </c>
      <c r="C397" s="269" t="inlineStr">
        <is>
          <t>Vignesh</t>
        </is>
      </c>
      <c r="D397" s="173" t="inlineStr">
        <is>
          <t>https://discord.com/channels/191975109500731392/1212839710439776287/1436442655151226891</t>
        </is>
      </c>
    </row>
    <row r="398" ht="14.25" customHeight="1" s="175">
      <c r="A398" s="267" t="inlineStr">
        <is>
          <t>Carter</t>
        </is>
      </c>
      <c r="B398" s="268" t="n">
        <v>2</v>
      </c>
      <c r="C398" s="269" t="inlineStr">
        <is>
          <t>Vignesh</t>
        </is>
      </c>
      <c r="D398" s="250" t="inlineStr">
        <is>
          <t>https://discord.com/channels/191975109500731392/1212839710439776287/1436444846922530898</t>
        </is>
      </c>
    </row>
    <row r="399" ht="14.25" customHeight="1" s="175">
      <c r="A399" s="295" t="inlineStr">
        <is>
          <t>Mikey</t>
        </is>
      </c>
      <c r="B399" s="268" t="n">
        <v>2</v>
      </c>
      <c r="C399" s="296" t="inlineStr">
        <is>
          <t>Will</t>
        </is>
      </c>
      <c r="D399" s="173" t="inlineStr">
        <is>
          <t>https://discord.com/channels/191975109500731392/1212839710439776287/1436461454298579005</t>
        </is>
      </c>
    </row>
    <row r="400" ht="14.25" customHeight="1" s="175">
      <c r="A400" s="295" t="inlineStr">
        <is>
          <t>Will</t>
        </is>
      </c>
      <c r="B400" s="268" t="n">
        <v>1</v>
      </c>
      <c r="C400" s="296" t="inlineStr">
        <is>
          <t>Mikey</t>
        </is>
      </c>
      <c r="D400" s="173" t="inlineStr">
        <is>
          <t>https://discord.com/channels/191975109500731392/1212839710439776287/1436461464121774162</t>
        </is>
      </c>
    </row>
    <row r="401" ht="14.25" customHeight="1" s="175">
      <c r="A401" s="295" t="inlineStr">
        <is>
          <t>Mikey</t>
        </is>
      </c>
      <c r="B401" s="268" t="n">
        <v>2</v>
      </c>
      <c r="C401" s="296" t="inlineStr">
        <is>
          <t>Rob</t>
        </is>
      </c>
      <c r="D401" s="173" t="inlineStr">
        <is>
          <t>https://discord.com/channels/191975109500731392/1212839710439776287/1436482833165058149</t>
        </is>
      </c>
    </row>
    <row r="402" ht="14.25" customHeight="1" s="175">
      <c r="A402" s="295" t="inlineStr">
        <is>
          <t>Vignesh</t>
        </is>
      </c>
      <c r="B402" s="268" t="n">
        <v>1</v>
      </c>
      <c r="C402" s="296" t="inlineStr">
        <is>
          <t>Reuben</t>
        </is>
      </c>
      <c r="D402" s="173" t="inlineStr">
        <is>
          <t>https://discord.com/channels/191975109500731392/1212839710439776287/1436558637844791298</t>
        </is>
      </c>
    </row>
    <row r="403" ht="14.25" customHeight="1" s="175">
      <c r="A403" s="295" t="inlineStr">
        <is>
          <t>Maxine</t>
        </is>
      </c>
      <c r="B403" s="268" t="n">
        <v>1</v>
      </c>
      <c r="C403" s="296" t="inlineStr">
        <is>
          <t>Grady</t>
        </is>
      </c>
      <c r="D403" s="173" t="inlineStr">
        <is>
          <t>https://discord.com/channels/191975109500731392/1212839710439776287/1436579559201046538</t>
        </is>
      </c>
    </row>
    <row r="404" ht="14.25" customHeight="1" s="175">
      <c r="A404" s="295" t="inlineStr">
        <is>
          <t>Maxine</t>
        </is>
      </c>
      <c r="B404" s="268" t="n">
        <v>1</v>
      </c>
      <c r="C404" s="296" t="inlineStr">
        <is>
          <t>Cooper</t>
        </is>
      </c>
      <c r="D404" s="173" t="inlineStr">
        <is>
          <t>https://discord.com/channels/191975109500731392/1212839710439776287/1436579559201046538</t>
        </is>
      </c>
    </row>
    <row r="405" ht="14.25" customHeight="1" s="175">
      <c r="A405" s="295" t="inlineStr">
        <is>
          <t>Maxine</t>
        </is>
      </c>
      <c r="B405" s="268" t="n">
        <v>5</v>
      </c>
      <c r="C405" s="296" t="inlineStr">
        <is>
          <t>Alumni</t>
        </is>
      </c>
      <c r="D405" s="173" t="inlineStr">
        <is>
          <t>https://discord.com/channels/191975109500731392/1212839710439776287/1436579559201046538</t>
        </is>
      </c>
    </row>
    <row r="406" ht="14.25" customHeight="1" s="175">
      <c r="A406" s="295" t="inlineStr">
        <is>
          <t>Vignesh</t>
        </is>
      </c>
      <c r="B406" s="268" t="n">
        <v>2</v>
      </c>
      <c r="C406" s="296" t="inlineStr">
        <is>
          <t>Will</t>
        </is>
      </c>
      <c r="D406" s="173" t="inlineStr">
        <is>
          <t>https://discord.com/channels/191975109500731392/1212839710439776287/1436771193955815555</t>
        </is>
      </c>
    </row>
    <row r="407" ht="14.25" customHeight="1" s="175">
      <c r="A407" s="295" t="inlineStr">
        <is>
          <t>Erick</t>
        </is>
      </c>
      <c r="B407" s="268" t="n">
        <v>2</v>
      </c>
      <c r="C407" s="296" t="inlineStr">
        <is>
          <t>Evan</t>
        </is>
      </c>
      <c r="D407" s="173" t="inlineStr">
        <is>
          <t>https://discord.com/channels/191975109500731392/1212839710439776287/1436829634242019339</t>
        </is>
      </c>
    </row>
    <row r="408" ht="14.25" customHeight="1" s="175">
      <c r="A408" s="295" t="inlineStr">
        <is>
          <t>Mikey</t>
        </is>
      </c>
      <c r="B408" s="268" t="n">
        <v>2</v>
      </c>
      <c r="C408" s="296" t="inlineStr">
        <is>
          <t>Rob</t>
        </is>
      </c>
      <c r="D408" s="173" t="inlineStr">
        <is>
          <t>https://discord.com/channels/191975109500731392/1212839710439776287/1437150750387208203</t>
        </is>
      </c>
    </row>
    <row r="409" ht="14.25" customHeight="1" s="175">
      <c r="A409" s="295" t="inlineStr">
        <is>
          <t>Peter</t>
        </is>
      </c>
      <c r="B409" s="268" t="n">
        <v>2</v>
      </c>
      <c r="C409" s="296" t="inlineStr">
        <is>
          <t>Anthony</t>
        </is>
      </c>
      <c r="D409" s="173" t="inlineStr">
        <is>
          <t>https://discord.com/channels/191975109500731392/1212839710439776287/1437485775422750740</t>
        </is>
      </c>
    </row>
    <row r="410" ht="14.25" customHeight="1" s="175">
      <c r="A410" s="295" t="inlineStr">
        <is>
          <t>Will</t>
        </is>
      </c>
      <c r="B410" s="268" t="n">
        <v>1</v>
      </c>
      <c r="C410" s="296" t="inlineStr">
        <is>
          <t>Evan</t>
        </is>
      </c>
      <c r="D410" s="173" t="inlineStr">
        <is>
          <t>https://discord.com/channels/191975109500731392/1212839710439776287/1437486720525533396</t>
        </is>
      </c>
    </row>
    <row r="411" ht="14.25" customHeight="1" s="175">
      <c r="A411" s="295" t="inlineStr">
        <is>
          <t>Evan</t>
        </is>
      </c>
      <c r="B411" s="268" t="n">
        <v>1</v>
      </c>
      <c r="C411" s="296" t="inlineStr">
        <is>
          <t>Will</t>
        </is>
      </c>
      <c r="D411" s="173" t="inlineStr">
        <is>
          <t>https://discord.com/channels/191975109500731392/1212839710439776287/1437487227297988770</t>
        </is>
      </c>
    </row>
    <row r="412" ht="14.25" customHeight="1" s="175">
      <c r="A412" s="295" t="inlineStr">
        <is>
          <t>Ethan</t>
        </is>
      </c>
      <c r="B412" s="268" t="n">
        <v>2</v>
      </c>
      <c r="C412" s="296" t="inlineStr">
        <is>
          <t>Lucy</t>
        </is>
      </c>
      <c r="D412" s="173" t="inlineStr">
        <is>
          <t>https://discord.com/channels/191975109500731392/1212839710439776287/1437518354935185580</t>
        </is>
      </c>
    </row>
    <row r="413" ht="14.25" customHeight="1" s="175">
      <c r="A413" s="295" t="inlineStr">
        <is>
          <t>Lucy</t>
        </is>
      </c>
      <c r="B413" s="268" t="n">
        <v>2</v>
      </c>
      <c r="C413" s="296" t="inlineStr">
        <is>
          <t>Ethan</t>
        </is>
      </c>
      <c r="D413" s="173" t="inlineStr">
        <is>
          <t>https://discord.com/channels/191975109500731392/1212839710439776287/1437521069576818890</t>
        </is>
      </c>
    </row>
    <row r="414" ht="14.25" customHeight="1" s="175">
      <c r="A414" s="295" t="inlineStr">
        <is>
          <t>Will</t>
        </is>
      </c>
      <c r="B414" s="268" t="n">
        <v>2</v>
      </c>
      <c r="C414" s="296" t="inlineStr">
        <is>
          <t>Rob</t>
        </is>
      </c>
      <c r="D414" s="173" t="inlineStr">
        <is>
          <t>https://discord.com/channels/191975109500731392/1212839710439776287/1437631468405788792</t>
        </is>
      </c>
    </row>
    <row r="415" ht="14.25" customHeight="1" s="175">
      <c r="A415" s="295" t="inlineStr">
        <is>
          <t>Will</t>
        </is>
      </c>
      <c r="B415" s="268" t="n">
        <v>2</v>
      </c>
      <c r="C415" s="296" t="inlineStr">
        <is>
          <t>Mikey</t>
        </is>
      </c>
      <c r="D415" s="173" t="inlineStr">
        <is>
          <t>https://discord.com/channels/191975109500731392/1212839710439776287/1437631468405788792</t>
        </is>
      </c>
    </row>
    <row r="416" ht="14.25" customHeight="1" s="175">
      <c r="A416" s="295" t="inlineStr">
        <is>
          <t>Ethan</t>
        </is>
      </c>
      <c r="B416" s="268" t="n">
        <v>1</v>
      </c>
      <c r="C416" s="296" t="inlineStr">
        <is>
          <t>Anthony</t>
        </is>
      </c>
      <c r="D416" s="173" t="inlineStr">
        <is>
          <t>https://discord.com/channels/191975109500731392/1212839710439776287/1437828174078677106</t>
        </is>
      </c>
    </row>
    <row r="417" ht="14.25" customHeight="1" s="175">
      <c r="A417" s="295" t="inlineStr">
        <is>
          <t>Evan</t>
        </is>
      </c>
      <c r="B417" s="268" t="n">
        <v>2</v>
      </c>
      <c r="C417" s="296" t="inlineStr">
        <is>
          <t>Grady</t>
        </is>
      </c>
      <c r="D417" s="173" t="inlineStr">
        <is>
          <t>https://discord.com/channels/191975109500731392/1212839710439776287/1437832450784100454</t>
        </is>
      </c>
    </row>
    <row r="418" ht="14.25" customHeight="1" s="175">
      <c r="A418" s="295" t="inlineStr">
        <is>
          <t>Lucy</t>
        </is>
      </c>
      <c r="B418" s="268" t="n">
        <v>2</v>
      </c>
      <c r="C418" s="296" t="inlineStr">
        <is>
          <t>Mikey</t>
        </is>
      </c>
      <c r="D418" s="173" t="inlineStr">
        <is>
          <t>https://discord.com/channels/191975109500731392/1212839710439776287/1437845154185875586</t>
        </is>
      </c>
    </row>
    <row r="419" ht="14.25" customHeight="1" s="175">
      <c r="A419" s="295" t="inlineStr">
        <is>
          <t>Carter</t>
        </is>
      </c>
      <c r="B419" s="268" t="n">
        <v>1</v>
      </c>
      <c r="C419" s="296" t="inlineStr">
        <is>
          <t>Ethan</t>
        </is>
      </c>
      <c r="D419" s="173" t="inlineStr">
        <is>
          <t>https://discord.com/channels/191975109500731392/1212839710439776287/1437852337841504316</t>
        </is>
      </c>
    </row>
    <row r="420" ht="14.25" customHeight="1" s="175">
      <c r="A420" s="295" t="inlineStr">
        <is>
          <t>Ethan</t>
        </is>
      </c>
      <c r="B420" s="268" t="n">
        <v>2</v>
      </c>
      <c r="C420" s="296" t="inlineStr">
        <is>
          <t>Carter</t>
        </is>
      </c>
      <c r="D420" s="173" t="inlineStr">
        <is>
          <t>https://discord.com/channels/191975109500731392/1212839710439776287/1437852362063740959</t>
        </is>
      </c>
    </row>
    <row r="421" ht="14.25" customHeight="1" s="175">
      <c r="A421" s="295" t="inlineStr">
        <is>
          <t>Will</t>
        </is>
      </c>
      <c r="B421" s="268" t="n">
        <v>2</v>
      </c>
      <c r="C421" s="296" t="inlineStr">
        <is>
          <t>Evan</t>
        </is>
      </c>
      <c r="D421" s="173" t="inlineStr">
        <is>
          <t>https://discord.com/channels/191975109500731392/1212839710439776287/1437867249762439249</t>
        </is>
      </c>
    </row>
    <row r="422" ht="14.25" customHeight="1" s="175">
      <c r="A422" s="295" t="inlineStr">
        <is>
          <t>Mikey</t>
        </is>
      </c>
      <c r="B422" s="268" t="n">
        <v>1</v>
      </c>
      <c r="C422" s="296" t="inlineStr">
        <is>
          <t>Rob</t>
        </is>
      </c>
      <c r="D422" s="173" t="inlineStr">
        <is>
          <t>https://discord.com/channels/191975109500731392/1212839710439776287/1437878291586613389</t>
        </is>
      </c>
    </row>
    <row r="423" ht="14.25" customHeight="1" s="175">
      <c r="A423" s="295" t="inlineStr">
        <is>
          <t>Rob</t>
        </is>
      </c>
      <c r="B423" s="268" t="n">
        <v>1</v>
      </c>
      <c r="C423" s="296" t="inlineStr">
        <is>
          <t>Mikey</t>
        </is>
      </c>
      <c r="D423" s="173" t="inlineStr">
        <is>
          <t>https://discord.com/channels/191975109500731392/1212839710439776287/1437878332988592160</t>
        </is>
      </c>
    </row>
    <row r="424" ht="14.25" customHeight="1" s="175">
      <c r="A424" s="295" t="inlineStr">
        <is>
          <t>Grady</t>
        </is>
      </c>
      <c r="B424" s="268" t="n">
        <v>2</v>
      </c>
      <c r="C424" s="296" t="inlineStr">
        <is>
          <t>Will</t>
        </is>
      </c>
      <c r="D424" s="173" t="inlineStr">
        <is>
          <t>https://discord.com/channels/191975109500731392/1212839710439776287/1437921243834880073</t>
        </is>
      </c>
    </row>
    <row r="425" ht="14.25" customHeight="1" s="175">
      <c r="A425" s="295" t="inlineStr">
        <is>
          <t>Will</t>
        </is>
      </c>
      <c r="B425" s="268" t="n">
        <v>1</v>
      </c>
      <c r="C425" s="296" t="inlineStr">
        <is>
          <t>Grady</t>
        </is>
      </c>
      <c r="D425" s="173" t="inlineStr">
        <is>
          <t>https://discord.com/channels/191975109500731392/1212839710439776287/1437921525238988942</t>
        </is>
      </c>
    </row>
    <row r="426" ht="14.25" customHeight="1" s="175">
      <c r="A426" s="295" t="inlineStr">
        <is>
          <t>Vignesh</t>
        </is>
      </c>
      <c r="B426" s="268" t="n">
        <v>1</v>
      </c>
      <c r="C426" s="296" t="inlineStr">
        <is>
          <t>Rob</t>
        </is>
      </c>
      <c r="D426" s="173" t="inlineStr">
        <is>
          <t>https://discord.com/channels/191975109500731392/1212839710439776287/1437946045614133248</t>
        </is>
      </c>
    </row>
    <row r="427" ht="14.25" customHeight="1" s="175">
      <c r="A427" s="295" t="inlineStr">
        <is>
          <t>Mikey</t>
        </is>
      </c>
      <c r="B427" s="268" t="n">
        <v>1</v>
      </c>
      <c r="C427" s="296" t="inlineStr">
        <is>
          <t>Lucy</t>
        </is>
      </c>
      <c r="D427" s="173" t="inlineStr">
        <is>
          <t>https://discord.com/channels/191975109500731392/1212839710439776287/1438199553449918544</t>
        </is>
      </c>
    </row>
    <row r="428" ht="14.25" customHeight="1" s="175">
      <c r="A428" s="295" t="inlineStr">
        <is>
          <t>Lucy</t>
        </is>
      </c>
      <c r="B428" s="268" t="n">
        <v>1</v>
      </c>
      <c r="C428" s="296" t="inlineStr">
        <is>
          <t>Mikey</t>
        </is>
      </c>
      <c r="D428" s="173" t="inlineStr">
        <is>
          <t>https://discord.com/channels/191975109500731392/1212839710439776287/1438199941582291074</t>
        </is>
      </c>
    </row>
    <row r="429" ht="14.25" customHeight="1" s="175">
      <c r="A429" s="295" t="inlineStr">
        <is>
          <t>Will</t>
        </is>
      </c>
      <c r="B429" s="268" t="n">
        <v>1</v>
      </c>
      <c r="C429" s="296" t="inlineStr">
        <is>
          <t>Evan</t>
        </is>
      </c>
      <c r="D429" s="173" t="inlineStr">
        <is>
          <t>https://discord.com/channels/191975109500731392/1212839710439776287/1438211173945315579</t>
        </is>
      </c>
    </row>
    <row r="430" ht="14.25" customHeight="1" s="175">
      <c r="A430" s="295" t="inlineStr">
        <is>
          <t>Peter</t>
        </is>
      </c>
      <c r="B430" s="268" t="n">
        <v>2</v>
      </c>
      <c r="C430" s="296" t="inlineStr">
        <is>
          <t>Mikey</t>
        </is>
      </c>
      <c r="D430" s="173" t="inlineStr">
        <is>
          <t>https://discord.com/channels/191975109500731392/1212839710439776287/1438234771431100558</t>
        </is>
      </c>
    </row>
    <row r="431" ht="14.25" customHeight="1" s="175">
      <c r="A431" s="295" t="inlineStr">
        <is>
          <t>Mikey</t>
        </is>
      </c>
      <c r="B431" s="268" t="n">
        <v>2</v>
      </c>
      <c r="C431" s="296" t="inlineStr">
        <is>
          <t>Rob</t>
        </is>
      </c>
      <c r="D431" s="173" t="inlineStr">
        <is>
          <t>https://discord.com/channels/191975109500731392/1212839710439776287/1438555365577982093</t>
        </is>
      </c>
    </row>
    <row r="432" ht="14.25" customHeight="1" s="175">
      <c r="A432" s="295" t="inlineStr">
        <is>
          <t>Will</t>
        </is>
      </c>
      <c r="B432" s="268" t="n">
        <v>2</v>
      </c>
      <c r="C432" s="296" t="inlineStr">
        <is>
          <t>Rob</t>
        </is>
      </c>
      <c r="D432" s="173" t="inlineStr">
        <is>
          <t>https://discord.com/channels/191975109500731392/1212839710439776287/1438555587209203733</t>
        </is>
      </c>
    </row>
    <row r="433" ht="14.25" customHeight="1" s="175">
      <c r="A433" s="295" t="inlineStr">
        <is>
          <t>Mikey</t>
        </is>
      </c>
      <c r="B433" s="268" t="n">
        <v>1</v>
      </c>
      <c r="C433" s="296" t="inlineStr">
        <is>
          <t>Evan</t>
        </is>
      </c>
      <c r="D433" s="173" t="inlineStr">
        <is>
          <t>https://discord.com/channels/191975109500731392/1212839710439776287/1438555949697732801</t>
        </is>
      </c>
    </row>
    <row r="434" ht="14.25" customHeight="1" s="175">
      <c r="A434" s="295" t="inlineStr">
        <is>
          <t>Evan</t>
        </is>
      </c>
      <c r="B434" s="268" t="n">
        <v>1</v>
      </c>
      <c r="C434" s="296" t="inlineStr">
        <is>
          <t>Mikey</t>
        </is>
      </c>
      <c r="D434" s="173" t="inlineStr">
        <is>
          <t>https://discord.com/channels/191975109500731392/1212839710439776287/1438555992819368038</t>
        </is>
      </c>
    </row>
    <row r="435" ht="14.25" customHeight="1" s="175">
      <c r="A435" s="295" t="inlineStr">
        <is>
          <t>Anthony</t>
        </is>
      </c>
      <c r="B435" s="268" t="n">
        <v>2</v>
      </c>
      <c r="C435" s="296" t="inlineStr">
        <is>
          <t>Rob</t>
        </is>
      </c>
      <c r="D435" s="173" t="inlineStr">
        <is>
          <t>https://discord.com/channels/191975109500731392/1212839710439776287/1438566397012611132</t>
        </is>
      </c>
    </row>
    <row r="436" ht="14.25" customHeight="1" s="175">
      <c r="A436" s="295" t="inlineStr">
        <is>
          <t>Will</t>
        </is>
      </c>
      <c r="B436" s="268" t="n">
        <v>1</v>
      </c>
      <c r="C436" s="296" t="inlineStr">
        <is>
          <t>Anthony</t>
        </is>
      </c>
      <c r="D436" s="173" t="inlineStr">
        <is>
          <t>https://discord.com/channels/191975109500731392/1212839710439776287/1438575374865793217</t>
        </is>
      </c>
    </row>
    <row r="437" ht="14.25" customHeight="1" s="175">
      <c r="A437" s="295" t="inlineStr">
        <is>
          <t>Evan</t>
        </is>
      </c>
      <c r="B437" s="268" t="n">
        <v>1</v>
      </c>
      <c r="C437" s="296" t="inlineStr">
        <is>
          <t>Will</t>
        </is>
      </c>
      <c r="D437" s="173" t="inlineStr">
        <is>
          <t>https://discord.com/channels/191975109500731392/1212839710439776287/1438582388950302720</t>
        </is>
      </c>
    </row>
    <row r="438" ht="14.25" customHeight="1" s="175">
      <c r="A438" s="295" t="inlineStr">
        <is>
          <t>Will</t>
        </is>
      </c>
      <c r="B438" s="268" t="n">
        <v>1</v>
      </c>
      <c r="C438" s="296" t="inlineStr">
        <is>
          <t>Evan</t>
        </is>
      </c>
      <c r="D438" s="173" t="inlineStr">
        <is>
          <t>https://discord.com/channels/191975109500731392/1212839710439776287/1438582678881566720</t>
        </is>
      </c>
    </row>
    <row r="439" ht="14.25" customHeight="1" s="175">
      <c r="A439" s="295" t="inlineStr">
        <is>
          <t>Evan</t>
        </is>
      </c>
      <c r="B439" s="268" t="n">
        <v>2</v>
      </c>
      <c r="C439" s="296" t="inlineStr">
        <is>
          <t>Ethan</t>
        </is>
      </c>
      <c r="D439" s="173" t="inlineStr">
        <is>
          <t>https://discord.com/channels/191975109500731392/1212839710439776287/1438598517072461845</t>
        </is>
      </c>
    </row>
    <row r="440" ht="14.25" customHeight="1" s="175">
      <c r="A440" s="295" t="inlineStr">
        <is>
          <t>Grady</t>
        </is>
      </c>
      <c r="B440" s="268" t="n">
        <v>2</v>
      </c>
      <c r="C440" s="296" t="inlineStr">
        <is>
          <t>Will</t>
        </is>
      </c>
      <c r="D440" s="173" t="inlineStr">
        <is>
          <t>https://discord.com/channels/191975109500731392/1212839710439776287/1438600403590582382</t>
        </is>
      </c>
    </row>
    <row r="441" ht="14.25" customHeight="1" s="175">
      <c r="A441" s="295" t="inlineStr">
        <is>
          <t>Will</t>
        </is>
      </c>
      <c r="B441" s="268" t="n">
        <v>1</v>
      </c>
      <c r="C441" s="296" t="inlineStr">
        <is>
          <t>Grady</t>
        </is>
      </c>
      <c r="D441" s="173" t="inlineStr">
        <is>
          <t>https://discord.com/channels/191975109500731392/1212839710439776287/1438600524286001154</t>
        </is>
      </c>
    </row>
    <row r="442" ht="14.25" customHeight="1" s="175">
      <c r="A442" s="295" t="inlineStr">
        <is>
          <t>Ethan</t>
        </is>
      </c>
      <c r="B442" s="268" t="n">
        <v>2</v>
      </c>
      <c r="C442" s="296" t="inlineStr">
        <is>
          <t>Lucy</t>
        </is>
      </c>
      <c r="D442" s="173" t="inlineStr">
        <is>
          <t>https://discord.com/channels/191975109500731392/1212839710439776287/1438934606396133438</t>
        </is>
      </c>
    </row>
    <row r="443" ht="14.25" customHeight="1" s="175">
      <c r="A443" s="295" t="inlineStr">
        <is>
          <t>Will</t>
        </is>
      </c>
      <c r="B443" s="268" t="n">
        <v>1</v>
      </c>
      <c r="C443" s="296" t="inlineStr">
        <is>
          <t>Lucy</t>
        </is>
      </c>
      <c r="D443" s="173" t="inlineStr">
        <is>
          <t>https://discord.com/channels/191975109500731392/1212839710439776287/1438949041730752594</t>
        </is>
      </c>
    </row>
    <row r="444" ht="14.25" customHeight="1" s="175">
      <c r="A444" s="295" t="inlineStr">
        <is>
          <t>Lucy</t>
        </is>
      </c>
      <c r="B444" s="268" t="n">
        <v>1</v>
      </c>
      <c r="C444" s="296" t="inlineStr">
        <is>
          <t>Will</t>
        </is>
      </c>
      <c r="D444" s="173" t="inlineStr">
        <is>
          <t>https://discord.com/channels/191975109500731392/1212839710439776287/1438949126011097300</t>
        </is>
      </c>
    </row>
    <row r="445" ht="14.25" customHeight="1" s="175">
      <c r="A445" s="295" t="inlineStr">
        <is>
          <t>Anthony</t>
        </is>
      </c>
      <c r="B445" s="268" t="n">
        <v>2</v>
      </c>
      <c r="C445" s="296" t="inlineStr">
        <is>
          <t>Lucy</t>
        </is>
      </c>
      <c r="D445" s="173" t="inlineStr">
        <is>
          <t>https://discord.com/channels/191975109500731392/1212839710439776287/1438974675681284340</t>
        </is>
      </c>
    </row>
    <row r="446" ht="14.25" customHeight="1" s="175">
      <c r="A446" s="295" t="inlineStr">
        <is>
          <t>Mikey</t>
        </is>
      </c>
      <c r="B446" s="268" t="n">
        <v>2</v>
      </c>
      <c r="C446" s="296" t="inlineStr">
        <is>
          <t>Lucy</t>
        </is>
      </c>
      <c r="D446" s="173" t="inlineStr">
        <is>
          <t>https://discord.com/channels/191975109500731392/1212839710439776287/1438992321407488161</t>
        </is>
      </c>
    </row>
    <row r="447" ht="14.25" customHeight="1" s="175">
      <c r="A447" s="295" t="inlineStr">
        <is>
          <t>Mikey</t>
        </is>
      </c>
      <c r="B447" s="268" t="n">
        <v>2</v>
      </c>
      <c r="C447" s="296" t="inlineStr">
        <is>
          <t>Lucy</t>
        </is>
      </c>
      <c r="D447" s="173" t="inlineStr">
        <is>
          <t>https://discord.com/channels/191975109500731392/1212839710439776287/1439017965927399544</t>
        </is>
      </c>
    </row>
    <row r="448" ht="14.25" customHeight="1" s="175">
      <c r="A448" s="295" t="inlineStr">
        <is>
          <t>Mikey</t>
        </is>
      </c>
      <c r="B448" s="268" t="n">
        <v>1</v>
      </c>
      <c r="C448" s="296" t="inlineStr">
        <is>
          <t>Reuben</t>
        </is>
      </c>
      <c r="D448" s="173" t="inlineStr">
        <is>
          <t>https://discord.com/channels/191975109500731392/1212839710439776287/1439019830970810501</t>
        </is>
      </c>
    </row>
    <row r="449" ht="14.25" customHeight="1" s="175">
      <c r="A449" s="295" t="inlineStr">
        <is>
          <t>Peter</t>
        </is>
      </c>
      <c r="B449" s="268" t="n">
        <v>2</v>
      </c>
      <c r="C449" s="296" t="inlineStr">
        <is>
          <t>Ethan</t>
        </is>
      </c>
      <c r="D449" s="173" t="inlineStr">
        <is>
          <t>https://discord.com/channels/191975109500731392/1212839710439776287/1439977472429920367</t>
        </is>
      </c>
    </row>
    <row r="450" ht="14.25" customHeight="1" s="175">
      <c r="A450" s="295" t="inlineStr">
        <is>
          <t>Evan</t>
        </is>
      </c>
      <c r="B450" s="268" t="n">
        <v>1</v>
      </c>
      <c r="C450" s="296" t="inlineStr">
        <is>
          <t>Will</t>
        </is>
      </c>
      <c r="D450" s="173" t="inlineStr">
        <is>
          <t>https://discord.com/channels/191975109500731392/1212839710439776287/1440040440307908618</t>
        </is>
      </c>
    </row>
    <row r="451" ht="14.25" customHeight="1" s="175">
      <c r="A451" s="295" t="inlineStr">
        <is>
          <t>Will</t>
        </is>
      </c>
      <c r="B451" s="268" t="n">
        <v>1</v>
      </c>
      <c r="C451" s="296" t="inlineStr">
        <is>
          <t>Evan</t>
        </is>
      </c>
      <c r="D451" s="173" t="inlineStr">
        <is>
          <t>https://discord.com/channels/191975109500731392/1212839710439776287/1440040706621309008</t>
        </is>
      </c>
    </row>
    <row r="452" ht="14.25" customHeight="1" s="175">
      <c r="A452" s="295" t="inlineStr">
        <is>
          <t>Will</t>
        </is>
      </c>
      <c r="B452" s="268" t="n">
        <v>2</v>
      </c>
      <c r="C452" s="296" t="inlineStr">
        <is>
          <t>Rob</t>
        </is>
      </c>
      <c r="D452" s="173" t="inlineStr">
        <is>
          <t>https://discord.com/channels/191975109500731392/1212839710439776287/1440046034028990558</t>
        </is>
      </c>
    </row>
    <row r="453" ht="14.25" customHeight="1" s="175">
      <c r="A453" s="295" t="inlineStr">
        <is>
          <t>Mikey</t>
        </is>
      </c>
      <c r="B453" s="268" t="n">
        <v>1</v>
      </c>
      <c r="C453" s="296" t="inlineStr">
        <is>
          <t>Will</t>
        </is>
      </c>
      <c r="D453" s="173" t="inlineStr">
        <is>
          <t>https://discord.com/channels/191975109500731392/1212839710439776287/1440095417449840832</t>
        </is>
      </c>
    </row>
    <row r="454" ht="14.25" customHeight="1" s="175">
      <c r="A454" s="295" t="inlineStr">
        <is>
          <t>Will</t>
        </is>
      </c>
      <c r="B454" s="268" t="n">
        <v>1</v>
      </c>
      <c r="C454" s="296" t="inlineStr">
        <is>
          <t>Mikey</t>
        </is>
      </c>
      <c r="D454" s="173" t="inlineStr">
        <is>
          <t>https://discord.com/channels/191975109500731392/1212839710439776287/1440095826205478994</t>
        </is>
      </c>
    </row>
    <row r="455" ht="14.25" customHeight="1" s="175">
      <c r="A455" s="295" t="inlineStr">
        <is>
          <t>Carter</t>
        </is>
      </c>
      <c r="B455" s="268" t="n">
        <v>2</v>
      </c>
      <c r="C455" s="296" t="inlineStr">
        <is>
          <t>Lucy</t>
        </is>
      </c>
      <c r="D455" s="173" t="inlineStr">
        <is>
          <t>https://discord.com/channels/191975109500731392/1212839710439776287/1440387203716087808</t>
        </is>
      </c>
    </row>
    <row r="456" ht="14.25" customHeight="1" s="175">
      <c r="A456" s="295" t="inlineStr">
        <is>
          <t>Lucy</t>
        </is>
      </c>
      <c r="B456" s="268" t="n">
        <v>1</v>
      </c>
      <c r="C456" s="296" t="inlineStr">
        <is>
          <t>Will</t>
        </is>
      </c>
      <c r="D456" s="173" t="inlineStr">
        <is>
          <t>https://discord.com/channels/191975109500731392/1212839710439776287/1440394156261511228</t>
        </is>
      </c>
    </row>
    <row r="457" ht="14.25" customHeight="1" s="175">
      <c r="A457" s="295" t="inlineStr">
        <is>
          <t>Mikey</t>
        </is>
      </c>
      <c r="B457" s="268" t="n">
        <v>2</v>
      </c>
      <c r="C457" s="296" t="inlineStr">
        <is>
          <t>Will</t>
        </is>
      </c>
      <c r="D457" s="173" t="inlineStr">
        <is>
          <t>https://discord.com/channels/191975109500731392/1212839710439776287/1440437080319594528</t>
        </is>
      </c>
    </row>
    <row r="458" ht="14.25" customHeight="1" s="175">
      <c r="A458" s="295" t="inlineStr">
        <is>
          <t>Will</t>
        </is>
      </c>
      <c r="B458" s="268" t="n">
        <v>1</v>
      </c>
      <c r="C458" s="296" t="inlineStr">
        <is>
          <t>Mikey</t>
        </is>
      </c>
      <c r="D458" s="173" t="inlineStr">
        <is>
          <t>https://discord.com/channels/191975109500731392/1212839710439776287/1440437190118080664</t>
        </is>
      </c>
    </row>
    <row r="459" ht="14.25" customHeight="1" s="175">
      <c r="A459" s="295" t="inlineStr">
        <is>
          <t>Rob</t>
        </is>
      </c>
      <c r="B459" s="268" t="n">
        <v>1</v>
      </c>
      <c r="C459" s="296" t="inlineStr">
        <is>
          <t>Vignesh</t>
        </is>
      </c>
      <c r="D459" s="173" t="inlineStr">
        <is>
          <t>https://discord.com/channels/191975109500731392/1212839710439776287/1440487462123344106</t>
        </is>
      </c>
    </row>
    <row r="460" ht="14.25" customHeight="1" s="175">
      <c r="A460" s="295" t="inlineStr">
        <is>
          <t>Lucy</t>
        </is>
      </c>
      <c r="B460" s="268" t="n">
        <v>1</v>
      </c>
      <c r="C460" s="296" t="inlineStr">
        <is>
          <t>Evan</t>
        </is>
      </c>
      <c r="D460" s="173" t="inlineStr">
        <is>
          <t>https://discord.com/channels/191975109500731392/1212839710439776287/1440742041578373261</t>
        </is>
      </c>
    </row>
    <row r="461" ht="14.25" customHeight="1" s="175">
      <c r="A461" s="295" t="inlineStr">
        <is>
          <t>Will</t>
        </is>
      </c>
      <c r="B461" s="268" t="n">
        <v>2</v>
      </c>
      <c r="C461" s="296" t="inlineStr">
        <is>
          <t>Evan</t>
        </is>
      </c>
      <c r="D461" s="173" t="inlineStr">
        <is>
          <t>https://discord.com/channels/191975109500731392/1212839710439776287/1440762971776356443</t>
        </is>
      </c>
    </row>
    <row r="462" ht="14.25" customHeight="1" s="175">
      <c r="A462" s="295" t="inlineStr">
        <is>
          <t>Ethan</t>
        </is>
      </c>
      <c r="B462" s="268" t="n">
        <v>2</v>
      </c>
      <c r="C462" s="296" t="inlineStr">
        <is>
          <t>Joey</t>
        </is>
      </c>
      <c r="D462" s="173" t="inlineStr">
        <is>
          <t>https://discord.com/channels/191975109500731392/1212839710439776287/1440831924431229089</t>
        </is>
      </c>
    </row>
    <row r="463" ht="14.25" customHeight="1" s="175">
      <c r="A463" s="295" t="inlineStr">
        <is>
          <t>Evan</t>
        </is>
      </c>
      <c r="B463" s="268" t="n">
        <v>2</v>
      </c>
      <c r="C463" s="296" t="inlineStr">
        <is>
          <t>Grady</t>
        </is>
      </c>
      <c r="D463" s="173" t="inlineStr">
        <is>
          <t>https://discord.com/channels/191975109500731392/1212839710439776287/1441115437080383651</t>
        </is>
      </c>
    </row>
    <row r="464" ht="14.25" customHeight="1" s="175">
      <c r="A464" s="295" t="inlineStr">
        <is>
          <t>Will</t>
        </is>
      </c>
      <c r="B464" s="268" t="n">
        <v>2</v>
      </c>
      <c r="C464" s="296" t="inlineStr">
        <is>
          <t>Grady</t>
        </is>
      </c>
      <c r="D464" s="173" t="inlineStr">
        <is>
          <t>https://discord.com/channels/191975109500731392/1212839710439776287/1441116824589828127</t>
        </is>
      </c>
    </row>
    <row r="465" ht="14.25" customHeight="1" s="175">
      <c r="A465" s="295" t="inlineStr">
        <is>
          <t>Lucy</t>
        </is>
      </c>
      <c r="B465" s="268" t="n">
        <v>2</v>
      </c>
      <c r="C465" s="296" t="inlineStr">
        <is>
          <t>Will</t>
        </is>
      </c>
      <c r="D465" s="173" t="inlineStr">
        <is>
          <t>https://discord.com/channels/191975109500731392/1212839710439776287/1441162830802849904</t>
        </is>
      </c>
    </row>
    <row r="466" ht="14.25" customHeight="1" s="175">
      <c r="A466" s="295" t="inlineStr">
        <is>
          <t>Will</t>
        </is>
      </c>
      <c r="B466" s="268" t="n">
        <v>1</v>
      </c>
      <c r="C466" s="296" t="inlineStr">
        <is>
          <t>Lucy</t>
        </is>
      </c>
      <c r="D466" s="173" t="inlineStr">
        <is>
          <t>https://discord.com/channels/191975109500731392/1212839710439776287/1441162864902803467</t>
        </is>
      </c>
    </row>
    <row r="467" ht="14.25" customHeight="1" s="175">
      <c r="A467" s="295" t="inlineStr">
        <is>
          <t>Will</t>
        </is>
      </c>
      <c r="B467" s="268" t="n">
        <v>2</v>
      </c>
      <c r="C467" s="296" t="inlineStr">
        <is>
          <t>Lucy</t>
        </is>
      </c>
      <c r="D467" s="173" t="inlineStr">
        <is>
          <t>https://discord.com/channels/191975109500731392/1212839710439776287/1441226429286191185</t>
        </is>
      </c>
    </row>
    <row r="468" ht="14.25" customHeight="1" s="175">
      <c r="A468" s="295" t="inlineStr">
        <is>
          <t>Lucy</t>
        </is>
      </c>
      <c r="B468" s="268" t="n">
        <v>1</v>
      </c>
      <c r="C468" s="296" t="inlineStr">
        <is>
          <t>Will</t>
        </is>
      </c>
      <c r="D468" s="173" t="inlineStr">
        <is>
          <t>https://discord.com/channels/191975109500731392/1212839710439776287/1441226769989373963</t>
        </is>
      </c>
    </row>
    <row r="469" ht="14.25" customHeight="1" s="175">
      <c r="A469" s="295" t="inlineStr">
        <is>
          <t>Grady</t>
        </is>
      </c>
      <c r="B469" s="268" t="n">
        <v>2</v>
      </c>
      <c r="C469" s="296" t="inlineStr">
        <is>
          <t>Vignesh</t>
        </is>
      </c>
      <c r="D469" s="173" t="inlineStr">
        <is>
          <t>https://discord.com/channels/191975109500731392/1212839710439776287/1441544558465777837</t>
        </is>
      </c>
    </row>
    <row r="470" ht="14.25" customHeight="1" s="175">
      <c r="A470" s="295" t="inlineStr">
        <is>
          <t>Carter</t>
        </is>
      </c>
      <c r="B470" s="268" t="n">
        <v>1</v>
      </c>
      <c r="C470" s="296" t="inlineStr">
        <is>
          <t>Cooper</t>
        </is>
      </c>
      <c r="D470" s="173" t="inlineStr">
        <is>
          <t>https://discord.com/channels/191975109500731392/1212839710439776287/1441913898407039137</t>
        </is>
      </c>
    </row>
    <row r="471" ht="14.25" customHeight="1" s="175">
      <c r="A471" s="295" t="inlineStr">
        <is>
          <t>Carter</t>
        </is>
      </c>
      <c r="B471" s="268" t="n">
        <v>1</v>
      </c>
      <c r="C471" s="296" t="inlineStr">
        <is>
          <t>Maxine</t>
        </is>
      </c>
      <c r="D471" s="173" t="inlineStr">
        <is>
          <t>https://discord.com/channels/191975109500731392/1212839710439776287/1441913898407039137</t>
        </is>
      </c>
    </row>
    <row r="472" ht="14.25" customHeight="1" s="175">
      <c r="A472" s="295" t="inlineStr">
        <is>
          <t>Carter</t>
        </is>
      </c>
      <c r="B472" s="268" t="n">
        <v>5</v>
      </c>
      <c r="C472" s="296" t="inlineStr">
        <is>
          <t>Alumni</t>
        </is>
      </c>
      <c r="D472" s="173" t="inlineStr">
        <is>
          <t>https://discord.com/channels/191975109500731392/1212839710439776287/1441913898407039137</t>
        </is>
      </c>
    </row>
    <row r="473" ht="14.25" customHeight="1" s="175">
      <c r="A473" s="295" t="inlineStr">
        <is>
          <t>Maxine</t>
        </is>
      </c>
      <c r="B473" s="268" t="n">
        <v>1</v>
      </c>
      <c r="C473" s="296" t="inlineStr">
        <is>
          <t>Carter</t>
        </is>
      </c>
      <c r="D473" s="173" t="inlineStr">
        <is>
          <t>https://discord.com/channels/191975109500731392/1212839710439776287/1441913909299904707</t>
        </is>
      </c>
    </row>
    <row r="474" ht="14.25" customHeight="1" s="175">
      <c r="A474" s="295" t="inlineStr">
        <is>
          <t>Mikey</t>
        </is>
      </c>
      <c r="B474" s="268" t="n">
        <v>2</v>
      </c>
      <c r="C474" s="296" t="inlineStr">
        <is>
          <t>Will</t>
        </is>
      </c>
      <c r="D474" s="173" t="inlineStr">
        <is>
          <t>https://discord.com/channels/191975109500731392/1212839710439776287/1442212556625412229</t>
        </is>
      </c>
    </row>
    <row r="475" ht="14.25" customHeight="1" s="175">
      <c r="A475" s="295" t="inlineStr">
        <is>
          <t>Will</t>
        </is>
      </c>
      <c r="B475" s="268" t="n">
        <v>1</v>
      </c>
      <c r="C475" s="296" t="inlineStr">
        <is>
          <t>Mikey</t>
        </is>
      </c>
      <c r="D475" s="173" t="inlineStr">
        <is>
          <t>https://discord.com/channels/191975109500731392/1212839710439776287/1442212669208793148</t>
        </is>
      </c>
    </row>
    <row r="476" ht="14.25" customHeight="1" s="175">
      <c r="A476" s="295" t="inlineStr">
        <is>
          <t>Ethan</t>
        </is>
      </c>
      <c r="B476" s="268" t="n">
        <v>2</v>
      </c>
      <c r="C476" s="296" t="inlineStr">
        <is>
          <t>Will</t>
        </is>
      </c>
      <c r="D476" s="173" t="inlineStr">
        <is>
          <t>https://discord.com/channels/191975109500731392/1212839710439776287/1442252942957744252</t>
        </is>
      </c>
    </row>
    <row r="477" ht="14.25" customHeight="1" s="175">
      <c r="A477" s="295" t="inlineStr">
        <is>
          <t>Will</t>
        </is>
      </c>
      <c r="B477" s="268" t="n">
        <v>1</v>
      </c>
      <c r="C477" s="296" t="inlineStr">
        <is>
          <t>Ethan</t>
        </is>
      </c>
      <c r="D477" s="173" t="inlineStr">
        <is>
          <t>https://discord.com/channels/191975109500731392/1212839710439776287/1442253161703149761</t>
        </is>
      </c>
    </row>
    <row r="478" ht="14.25" customHeight="1" s="175">
      <c r="A478" s="295" t="inlineStr">
        <is>
          <t>Evan</t>
        </is>
      </c>
      <c r="B478" s="268" t="n">
        <v>1</v>
      </c>
      <c r="C478" s="296" t="inlineStr">
        <is>
          <t>Lucy</t>
        </is>
      </c>
      <c r="D478" s="173" t="inlineStr">
        <is>
          <t>https://discord.com/channels/191975109500731392/1212839710439776287/1442549040561782834</t>
        </is>
      </c>
    </row>
    <row r="479" ht="14.25" customHeight="1" s="175">
      <c r="A479" s="295" t="inlineStr">
        <is>
          <t>Lucy</t>
        </is>
      </c>
      <c r="B479" s="268" t="n">
        <v>1</v>
      </c>
      <c r="C479" s="296" t="inlineStr">
        <is>
          <t>Evan</t>
        </is>
      </c>
      <c r="D479" s="173" t="inlineStr">
        <is>
          <t>https://discord.com/channels/191975109500731392/1212839710439776287/1442549096190836836</t>
        </is>
      </c>
    </row>
    <row r="480" ht="14.25" customHeight="1" s="175">
      <c r="A480" s="295" t="inlineStr">
        <is>
          <t>Lucy</t>
        </is>
      </c>
      <c r="B480" s="268" t="n">
        <v>2</v>
      </c>
      <c r="C480" s="296" t="inlineStr">
        <is>
          <t>Will</t>
        </is>
      </c>
      <c r="D480" s="173" t="inlineStr">
        <is>
          <t>https://discord.com/channels/191975109500731392/1212839710439776287/1442553402109329469</t>
        </is>
      </c>
    </row>
    <row r="481" ht="14.25" customHeight="1" s="175">
      <c r="A481" s="295" t="inlineStr">
        <is>
          <t>Anthony</t>
        </is>
      </c>
      <c r="B481" s="268" t="n">
        <v>2</v>
      </c>
      <c r="C481" s="296" t="inlineStr">
        <is>
          <t>Evan</t>
        </is>
      </c>
      <c r="D481" s="173" t="inlineStr">
        <is>
          <t>https://discord.com/channels/191975109500731392/1212839710439776287/1442591539879739452</t>
        </is>
      </c>
    </row>
    <row r="482" ht="14.25" customHeight="1" s="175">
      <c r="A482" s="295" t="inlineStr">
        <is>
          <t>Rob</t>
        </is>
      </c>
      <c r="B482" s="268" t="n">
        <v>2</v>
      </c>
      <c r="C482" s="296" t="inlineStr">
        <is>
          <t>Anthony</t>
        </is>
      </c>
      <c r="D482" s="173" t="inlineStr">
        <is>
          <t>https://discord.com/channels/191975109500731392/1212839710439776287/1442619241822949477</t>
        </is>
      </c>
    </row>
    <row r="483" ht="14.25" customHeight="1" s="175">
      <c r="A483" s="295" t="inlineStr">
        <is>
          <t>Evan</t>
        </is>
      </c>
      <c r="B483" s="268" t="n">
        <v>1</v>
      </c>
      <c r="C483" s="296" t="inlineStr">
        <is>
          <t>Anthony</t>
        </is>
      </c>
      <c r="D483" s="250" t="inlineStr">
        <is>
          <t>https://discord.com/channels/191975109500731392/1212839710439776287/1442619325956493443</t>
        </is>
      </c>
    </row>
    <row r="484" ht="14.25" customHeight="1" s="175">
      <c r="A484" s="295" t="inlineStr">
        <is>
          <t>Anthony</t>
        </is>
      </c>
      <c r="B484" s="268" t="n">
        <v>2</v>
      </c>
      <c r="C484" s="296" t="inlineStr">
        <is>
          <t>Mikey</t>
        </is>
      </c>
      <c r="D484" s="250" t="inlineStr">
        <is>
          <t>https://discord.com/channels/191975109500731392/1212839710439776287/1442897805625659541</t>
        </is>
      </c>
    </row>
    <row r="485" ht="14.25" customHeight="1" s="175">
      <c r="A485" s="295" t="inlineStr">
        <is>
          <t>Lucy</t>
        </is>
      </c>
      <c r="B485" s="268" t="n">
        <v>2</v>
      </c>
      <c r="C485" s="296" t="inlineStr">
        <is>
          <t>Evan</t>
        </is>
      </c>
      <c r="D485" s="250" t="inlineStr">
        <is>
          <t>https://discord.com/channels/191975109500731392/1212839710439776287/1442947550075158702</t>
        </is>
      </c>
    </row>
    <row r="486" ht="14.25" customHeight="1" s="175">
      <c r="A486" s="295" t="inlineStr">
        <is>
          <t>Mikey</t>
        </is>
      </c>
      <c r="B486" s="268" t="n">
        <v>1</v>
      </c>
      <c r="C486" s="296" t="inlineStr">
        <is>
          <t>Rob</t>
        </is>
      </c>
      <c r="D486" s="193" t="inlineStr">
        <is>
          <t>https://discord.com/channels/191975109500731392/1212839710439776287/1442973717532643439</t>
        </is>
      </c>
    </row>
    <row r="487" ht="14.25" customHeight="1" s="175">
      <c r="A487" s="295" t="inlineStr">
        <is>
          <t>Rob</t>
        </is>
      </c>
      <c r="B487" s="268" t="n">
        <v>1</v>
      </c>
      <c r="C487" s="296" t="inlineStr">
        <is>
          <t>Mikey</t>
        </is>
      </c>
      <c r="D487" s="173" t="inlineStr">
        <is>
          <t>https://discord.com/channels/191975109500731392/1212839710439776287/1442973846423732318</t>
        </is>
      </c>
    </row>
    <row r="488" ht="14.25" customHeight="1" s="175">
      <c r="A488" s="295" t="inlineStr">
        <is>
          <t>Grady</t>
        </is>
      </c>
      <c r="B488" s="268" t="n">
        <v>1</v>
      </c>
      <c r="C488" s="296" t="inlineStr">
        <is>
          <t>Cooper</t>
        </is>
      </c>
      <c r="D488" s="173" t="inlineStr">
        <is>
          <t>https://discord.com/channels/191975109500731392/1212839710439776287/1444912391643987979</t>
        </is>
      </c>
    </row>
    <row r="489" ht="14.25" customHeight="1" s="175">
      <c r="A489" s="295" t="inlineStr">
        <is>
          <t>Cooper</t>
        </is>
      </c>
      <c r="B489" s="268" t="n">
        <v>1</v>
      </c>
      <c r="C489" s="296" t="inlineStr">
        <is>
          <t>Grady</t>
        </is>
      </c>
      <c r="D489" s="173" t="inlineStr">
        <is>
          <t>https://discord.com/channels/191975109500731392/1212839710439776287/1444912437919748126</t>
        </is>
      </c>
    </row>
    <row r="490" ht="14.25" customHeight="1" s="175">
      <c r="A490" s="295" t="inlineStr">
        <is>
          <t>Anthony</t>
        </is>
      </c>
      <c r="B490" s="268" t="n">
        <v>1</v>
      </c>
      <c r="C490" s="296" t="inlineStr">
        <is>
          <t>Will</t>
        </is>
      </c>
      <c r="D490" s="173" t="inlineStr">
        <is>
          <t>https://discord.com/channels/191975109500731392/1212839710439776287/1445010018435858465</t>
        </is>
      </c>
    </row>
    <row r="491" ht="14.25" customHeight="1" s="175">
      <c r="A491" s="295" t="inlineStr">
        <is>
          <t>Will</t>
        </is>
      </c>
      <c r="B491" s="268" t="n">
        <v>1</v>
      </c>
      <c r="C491" s="296" t="inlineStr">
        <is>
          <t>Anthony</t>
        </is>
      </c>
      <c r="D491" s="173" t="inlineStr">
        <is>
          <t>https://discord.com/channels/191975109500731392/1212839710439776287/1445010157481365594</t>
        </is>
      </c>
    </row>
    <row r="492" ht="14.25" customHeight="1" s="175">
      <c r="A492" s="295" t="inlineStr">
        <is>
          <t>Will</t>
        </is>
      </c>
      <c r="B492" s="268" t="n">
        <v>1</v>
      </c>
      <c r="C492" s="296" t="inlineStr">
        <is>
          <t>Anthony</t>
        </is>
      </c>
      <c r="D492" s="173" t="inlineStr">
        <is>
          <t>https://discord.com/channels/191975109500731392/1212839710439776287/1445048927089987668</t>
        </is>
      </c>
    </row>
    <row r="493" ht="14.25" customHeight="1" s="175">
      <c r="A493" s="295" t="inlineStr">
        <is>
          <t>Evan</t>
        </is>
      </c>
      <c r="B493" s="268" t="n">
        <v>1</v>
      </c>
      <c r="C493" s="296" t="inlineStr">
        <is>
          <t>Vignesh</t>
        </is>
      </c>
      <c r="D493" s="173" t="inlineStr">
        <is>
          <t>https://discord.com/channels/191975109500731392/1212839710439776287/1445049549625364560</t>
        </is>
      </c>
    </row>
    <row r="494" ht="14.25" customHeight="1" s="175">
      <c r="A494" s="295" t="inlineStr">
        <is>
          <t>Peter</t>
        </is>
      </c>
      <c r="B494" s="268" t="n">
        <v>1</v>
      </c>
      <c r="C494" s="296" t="inlineStr">
        <is>
          <t>Mikey</t>
        </is>
      </c>
      <c r="D494" s="173" t="inlineStr">
        <is>
          <t>https://discord.com/channels/191975109500731392/1212839710439776287/1445065213253779599</t>
        </is>
      </c>
    </row>
    <row r="495" ht="14.25" customHeight="1" s="175">
      <c r="A495" s="295" t="inlineStr">
        <is>
          <t>Mikey</t>
        </is>
      </c>
      <c r="B495" s="268" t="n">
        <v>1</v>
      </c>
      <c r="C495" s="296" t="inlineStr">
        <is>
          <t>Peter</t>
        </is>
      </c>
      <c r="D495" s="173" t="inlineStr">
        <is>
          <t>https://discord.com/channels/191975109500731392/1212839710439776287/1445066385431728220</t>
        </is>
      </c>
    </row>
    <row r="496" ht="14.25" customHeight="1" s="175">
      <c r="A496" s="295" t="inlineStr">
        <is>
          <t>Vignesh</t>
        </is>
      </c>
      <c r="B496" s="268" t="n">
        <v>2</v>
      </c>
      <c r="C496" s="296" t="inlineStr">
        <is>
          <t>Evan</t>
        </is>
      </c>
      <c r="D496" s="173" t="inlineStr">
        <is>
          <t>https://discord.com/channels/191975109500731392/1212839710439776287/1445070278974767214</t>
        </is>
      </c>
    </row>
    <row r="497" ht="14.25" customHeight="1" s="175">
      <c r="A497" s="295" t="inlineStr">
        <is>
          <t>Evan</t>
        </is>
      </c>
      <c r="B497" s="268" t="n">
        <v>1</v>
      </c>
      <c r="C497" s="296" t="inlineStr">
        <is>
          <t>Vignesh</t>
        </is>
      </c>
      <c r="D497" s="173" t="inlineStr">
        <is>
          <t>https://discord.com/channels/191975109500731392/1212839710439776287/1445087131147173990</t>
        </is>
      </c>
    </row>
    <row r="498" ht="14.25" customHeight="1" s="175">
      <c r="A498" s="295" t="inlineStr">
        <is>
          <t>Lucy</t>
        </is>
      </c>
      <c r="B498" s="268" t="n">
        <v>2</v>
      </c>
      <c r="C498" s="296" t="inlineStr">
        <is>
          <t>Mikey</t>
        </is>
      </c>
      <c r="D498" s="173" t="inlineStr">
        <is>
          <t>https://discord.com/channels/191975109500731392/1212839710439776287/1445088290309935135</t>
        </is>
      </c>
    </row>
    <row r="499" ht="14.25" customHeight="1" s="175">
      <c r="A499" s="295" t="inlineStr">
        <is>
          <t>Joey</t>
        </is>
      </c>
      <c r="B499" s="268" t="n">
        <v>1</v>
      </c>
      <c r="C499" s="296" t="inlineStr">
        <is>
          <t>Vignesh</t>
        </is>
      </c>
      <c r="D499" s="173" t="inlineStr">
        <is>
          <t>https://discord.com/channels/191975109500731392/1212839710439776287/1445102633424785603</t>
        </is>
      </c>
    </row>
    <row r="500" ht="14.25" customHeight="1" s="175">
      <c r="A500" s="295" t="inlineStr">
        <is>
          <t>Vignesh</t>
        </is>
      </c>
      <c r="B500" s="268" t="n">
        <v>1</v>
      </c>
      <c r="C500" s="296" t="inlineStr">
        <is>
          <t>Joey</t>
        </is>
      </c>
      <c r="D500" s="173" t="inlineStr">
        <is>
          <t>https://discord.com/channels/191975109500731392/1212839710439776287/1445102754925379715</t>
        </is>
      </c>
    </row>
    <row r="501" ht="14.25" customHeight="1" s="175">
      <c r="A501" s="295" t="inlineStr">
        <is>
          <t>Vignesh</t>
        </is>
      </c>
      <c r="B501" s="268" t="n">
        <v>1</v>
      </c>
      <c r="C501" s="296" t="inlineStr">
        <is>
          <t>Anthony</t>
        </is>
      </c>
      <c r="D501" s="173" t="inlineStr">
        <is>
          <t>https://discord.com/channels/191975109500731392/1212839710439776287/1445159339043066010</t>
        </is>
      </c>
    </row>
    <row r="502" ht="14.25" customHeight="1" s="175">
      <c r="A502" s="295" t="inlineStr">
        <is>
          <t>Will</t>
        </is>
      </c>
      <c r="B502" s="268" t="n">
        <v>2</v>
      </c>
      <c r="C502" s="296" t="inlineStr">
        <is>
          <t>Grady</t>
        </is>
      </c>
      <c r="D502" s="173" t="inlineStr">
        <is>
          <t>https://discord.com/channels/191975109500731392/1212839710439776287/1445465167113752627</t>
        </is>
      </c>
    </row>
    <row r="503" ht="14.25" customHeight="1" s="175">
      <c r="A503" s="295" t="inlineStr">
        <is>
          <t>Ethan</t>
        </is>
      </c>
      <c r="B503" s="268" t="n">
        <v>2</v>
      </c>
      <c r="C503" s="296" t="inlineStr">
        <is>
          <t>Grady</t>
        </is>
      </c>
      <c r="D503" s="173" t="inlineStr">
        <is>
          <t>https://discord.com/channels/191975109500731392/1212839710439776287/1445465361397977148</t>
        </is>
      </c>
    </row>
    <row r="504" ht="14.25" customHeight="1" s="175">
      <c r="A504" s="295" t="inlineStr">
        <is>
          <t>Will</t>
        </is>
      </c>
      <c r="B504" s="268" t="n">
        <v>2</v>
      </c>
      <c r="C504" s="296" t="inlineStr">
        <is>
          <t>Evan</t>
        </is>
      </c>
      <c r="D504" s="250" t="inlineStr">
        <is>
          <t>https://discord.com/channels/191975109500731392/1212839710439776287/1445483717106602047</t>
        </is>
      </c>
    </row>
    <row r="505" ht="14.25" customHeight="1" s="175">
      <c r="A505" s="295" t="inlineStr">
        <is>
          <t>Will</t>
        </is>
      </c>
      <c r="B505" s="268" t="n">
        <v>1</v>
      </c>
      <c r="C505" s="296" t="inlineStr">
        <is>
          <t>Mikey</t>
        </is>
      </c>
      <c r="D505" s="173" t="inlineStr">
        <is>
          <t>https://discord.com/channels/191975109500731392/1212839710439776287/1445518176807948359</t>
        </is>
      </c>
    </row>
    <row r="506" ht="14.25" customHeight="1" s="175">
      <c r="A506" s="295" t="inlineStr">
        <is>
          <t>Mikey</t>
        </is>
      </c>
      <c r="B506" s="268" t="n">
        <v>1</v>
      </c>
      <c r="C506" s="296" t="inlineStr">
        <is>
          <t>Will</t>
        </is>
      </c>
      <c r="D506" s="173" t="inlineStr">
        <is>
          <t>https://discord.com/channels/191975109500731392/1212839710439776287/1445518178821079050</t>
        </is>
      </c>
    </row>
    <row r="507" ht="14.25" customHeight="1" s="175">
      <c r="A507" s="295" t="inlineStr">
        <is>
          <t>Lucy</t>
        </is>
      </c>
      <c r="B507" s="268" t="n">
        <v>1</v>
      </c>
      <c r="C507" s="296" t="inlineStr">
        <is>
          <t>Will</t>
        </is>
      </c>
      <c r="D507" s="173" t="inlineStr">
        <is>
          <t>https://discord.com/channels/191975109500731392/1212839710439776287/1445568230801277049</t>
        </is>
      </c>
    </row>
    <row r="508" ht="14.25" customHeight="1" s="175">
      <c r="A508" s="295" t="inlineStr">
        <is>
          <t>Will</t>
        </is>
      </c>
      <c r="B508" s="268" t="n">
        <v>1</v>
      </c>
      <c r="C508" s="296" t="inlineStr">
        <is>
          <t>Lucy</t>
        </is>
      </c>
      <c r="D508" s="173" t="inlineStr">
        <is>
          <t>https://discord.com/channels/191975109500731392/1212839710439776287/1445568781404471316</t>
        </is>
      </c>
    </row>
    <row r="509" ht="14.25" customHeight="1" s="175">
      <c r="A509" s="295" t="inlineStr">
        <is>
          <t>Mikey</t>
        </is>
      </c>
      <c r="B509" s="268" t="n">
        <v>2</v>
      </c>
      <c r="C509" s="296" t="inlineStr">
        <is>
          <t>Will</t>
        </is>
      </c>
      <c r="D509" s="173" t="inlineStr">
        <is>
          <t>https://discord.com/channels/191975109500731392/1212839710439776287/1445806164922335364</t>
        </is>
      </c>
    </row>
    <row r="510" ht="14.25" customHeight="1" s="175">
      <c r="A510" s="295" t="inlineStr">
        <is>
          <t>Lucy</t>
        </is>
      </c>
      <c r="B510" s="268" t="n">
        <v>2</v>
      </c>
      <c r="C510" s="296" t="inlineStr">
        <is>
          <t>Mikey</t>
        </is>
      </c>
      <c r="D510" s="173" t="inlineStr">
        <is>
          <t>https://discord.com/channels/191975109500731392/1212839710439776287/1445850535134756874</t>
        </is>
      </c>
    </row>
    <row r="511" ht="14.25" customHeight="1" s="175">
      <c r="A511" s="295" t="inlineStr">
        <is>
          <t>Vignesh</t>
        </is>
      </c>
      <c r="B511" s="268" t="n">
        <v>2</v>
      </c>
      <c r="C511" s="296" t="inlineStr">
        <is>
          <t>Lucy</t>
        </is>
      </c>
      <c r="D511" s="173" t="inlineStr">
        <is>
          <t>https://discord.com/channels/191975109500731392/1212839710439776287/1445850891247943690</t>
        </is>
      </c>
    </row>
    <row r="512" ht="14.25" customHeight="1" s="175">
      <c r="A512" s="295" t="inlineStr">
        <is>
          <t>Maxine</t>
        </is>
      </c>
      <c r="B512" s="268" t="n">
        <v>5</v>
      </c>
      <c r="C512" s="296" t="inlineStr">
        <is>
          <t>Alumni</t>
        </is>
      </c>
      <c r="D512" s="173" t="inlineStr">
        <is>
          <t>https://discord.com/channels/191975109500731392/1212839710439776287/1445853599090344088</t>
        </is>
      </c>
    </row>
    <row r="513" ht="14.25" customHeight="1" s="175">
      <c r="A513" s="295" t="inlineStr">
        <is>
          <t>Vignesh</t>
        </is>
      </c>
      <c r="B513" s="268" t="n">
        <v>2</v>
      </c>
      <c r="C513" s="296" t="inlineStr">
        <is>
          <t>Rob</t>
        </is>
      </c>
      <c r="D513" s="173" t="inlineStr">
        <is>
          <t>https://discord.com/channels/191975109500731392/1212839710439776287/1445912760121556994</t>
        </is>
      </c>
    </row>
    <row r="514" ht="14.25" customHeight="1" s="175">
      <c r="A514" s="295" t="inlineStr">
        <is>
          <t>Joey</t>
        </is>
      </c>
      <c r="B514" s="268" t="n">
        <v>5</v>
      </c>
      <c r="C514" s="296" t="inlineStr">
        <is>
          <t>Alumni</t>
        </is>
      </c>
      <c r="D514" s="173" t="inlineStr">
        <is>
          <t>https://discord.com/channels/191975109500731392/1212839710439776287/1445923152415690885</t>
        </is>
      </c>
    </row>
    <row r="515" ht="14.25" customHeight="1" s="175">
      <c r="A515" s="295" t="inlineStr">
        <is>
          <t>Ethan</t>
        </is>
      </c>
      <c r="B515" s="268" t="n">
        <v>1</v>
      </c>
      <c r="C515" s="296" t="inlineStr">
        <is>
          <t>Grady</t>
        </is>
      </c>
      <c r="D515" s="173" t="inlineStr">
        <is>
          <t>https://discord.com/channels/191975109500731392/1212839710439776287/1445932757715779677</t>
        </is>
      </c>
    </row>
    <row r="516" ht="14.25" customHeight="1" s="175">
      <c r="A516" s="295" t="inlineStr">
        <is>
          <t>Ethan</t>
        </is>
      </c>
      <c r="B516" s="268" t="n">
        <v>1</v>
      </c>
      <c r="C516" s="296" t="inlineStr">
        <is>
          <t>Joey</t>
        </is>
      </c>
      <c r="D516" s="173" t="inlineStr">
        <is>
          <t>https://discord.com/channels/191975109500731392/1212839710439776287/1445932757715779677</t>
        </is>
      </c>
    </row>
    <row r="517" ht="14.25" customHeight="1" s="175">
      <c r="A517" s="295" t="inlineStr">
        <is>
          <t>Ethan</t>
        </is>
      </c>
      <c r="B517" s="268" t="n">
        <v>1</v>
      </c>
      <c r="C517" s="296" t="inlineStr">
        <is>
          <t>Maxine</t>
        </is>
      </c>
      <c r="D517" s="173" t="inlineStr">
        <is>
          <t>https://discord.com/channels/191975109500731392/1212839710439776287/1445932757715779677</t>
        </is>
      </c>
    </row>
    <row r="518" ht="14.25" customHeight="1" s="175">
      <c r="A518" s="295" t="inlineStr">
        <is>
          <t>Ethan</t>
        </is>
      </c>
      <c r="B518" s="268" t="n">
        <v>1</v>
      </c>
      <c r="C518" s="296" t="inlineStr">
        <is>
          <t>Mikey</t>
        </is>
      </c>
      <c r="D518" s="173" t="inlineStr">
        <is>
          <t>https://discord.com/channels/191975109500731392/1212839710439776287/1445932757715779677</t>
        </is>
      </c>
    </row>
    <row r="519" ht="14.25" customHeight="1" s="175">
      <c r="A519" s="295" t="inlineStr">
        <is>
          <t>Grady</t>
        </is>
      </c>
      <c r="B519" s="268" t="n">
        <v>1</v>
      </c>
      <c r="C519" s="296" t="inlineStr">
        <is>
          <t>Ethan</t>
        </is>
      </c>
      <c r="D519" s="173" t="inlineStr">
        <is>
          <t>https://discord.com/channels/191975109500731392/1212839710439776287/1445933062117654620</t>
        </is>
      </c>
    </row>
    <row r="520" ht="14.25" customHeight="1" s="175">
      <c r="A520" s="295" t="inlineStr">
        <is>
          <t>Maxine</t>
        </is>
      </c>
      <c r="B520" s="268" t="n">
        <v>1</v>
      </c>
      <c r="C520" s="296" t="inlineStr">
        <is>
          <t>Ethan</t>
        </is>
      </c>
      <c r="D520" s="173" t="inlineStr">
        <is>
          <t>https://discord.com/channels/191975109500731392/1212839710439776287/1445933084888535165</t>
        </is>
      </c>
    </row>
    <row r="521" ht="14.25" customHeight="1" s="175">
      <c r="A521" s="295" t="inlineStr">
        <is>
          <t>Mikey</t>
        </is>
      </c>
      <c r="B521" s="268" t="n">
        <v>1</v>
      </c>
      <c r="C521" s="296" t="inlineStr">
        <is>
          <t>Ethan</t>
        </is>
      </c>
      <c r="D521" s="173" t="inlineStr">
        <is>
          <t>https://discord.com/channels/191975109500731392/1212839710439776287/1445933095961235597</t>
        </is>
      </c>
    </row>
    <row r="522" ht="14.25" customHeight="1" s="175">
      <c r="A522" s="295" t="inlineStr">
        <is>
          <t>Maxine</t>
        </is>
      </c>
      <c r="B522" s="268" t="n">
        <v>2</v>
      </c>
      <c r="C522" s="296" t="inlineStr">
        <is>
          <t>Grady</t>
        </is>
      </c>
      <c r="D522" s="173" t="inlineStr">
        <is>
          <t>https://discord.com/channels/191975109500731392/1212839710439776287/1446189963145117818</t>
        </is>
      </c>
    </row>
    <row r="523" ht="14.25" customHeight="1" s="175">
      <c r="A523" s="295" t="inlineStr">
        <is>
          <t>Grady</t>
        </is>
      </c>
      <c r="B523" s="268" t="n">
        <v>1</v>
      </c>
      <c r="C523" s="296" t="inlineStr">
        <is>
          <t>Maxine</t>
        </is>
      </c>
      <c r="D523" s="173" t="inlineStr">
        <is>
          <t>https://discord.com/channels/191975109500731392/1212839710439776287/1446190034712658161</t>
        </is>
      </c>
    </row>
    <row r="524" ht="14.25" customHeight="1" s="175">
      <c r="A524" s="295" t="inlineStr">
        <is>
          <t>Lucy</t>
        </is>
      </c>
      <c r="B524" s="268" t="n">
        <v>1</v>
      </c>
      <c r="C524" s="296" t="inlineStr">
        <is>
          <t>Mikey</t>
        </is>
      </c>
      <c r="D524" s="173" t="inlineStr">
        <is>
          <t>https://discord.com/channels/191975109500731392/1212839710439776287/1446212932244607209</t>
        </is>
      </c>
    </row>
    <row r="525" ht="14.25" customHeight="1" s="175">
      <c r="A525" s="295" t="inlineStr">
        <is>
          <t>Mikey</t>
        </is>
      </c>
      <c r="B525" s="268" t="n">
        <v>1</v>
      </c>
      <c r="C525" s="296" t="inlineStr">
        <is>
          <t>Lucy</t>
        </is>
      </c>
      <c r="D525" s="173" t="inlineStr">
        <is>
          <t>https://discord.com/channels/191975109500731392/1212839710439776287/1446213372407185508</t>
        </is>
      </c>
    </row>
    <row r="526" ht="14.25" customHeight="1" s="175">
      <c r="A526" s="295" t="inlineStr">
        <is>
          <t>Evan</t>
        </is>
      </c>
      <c r="B526" s="268" t="n">
        <v>1</v>
      </c>
      <c r="C526" s="296" t="inlineStr">
        <is>
          <t>Carter</t>
        </is>
      </c>
      <c r="D526" s="173" t="inlineStr">
        <is>
          <t>https://discord.com/channels/191975109500731392/1212839710439776287/1446239787504762995</t>
        </is>
      </c>
    </row>
    <row r="527" ht="14.25" customHeight="1" s="175">
      <c r="A527" s="295" t="inlineStr">
        <is>
          <t>Carter</t>
        </is>
      </c>
      <c r="B527" s="268" t="n">
        <v>1</v>
      </c>
      <c r="C527" s="296" t="inlineStr">
        <is>
          <t>Evan</t>
        </is>
      </c>
      <c r="D527" s="173" t="inlineStr">
        <is>
          <t>https://discord.com/channels/191975109500731392/1212839710439776287/1446240218318639267</t>
        </is>
      </c>
    </row>
    <row r="528" ht="14.25" customHeight="1" s="175">
      <c r="A528" s="295" t="inlineStr">
        <is>
          <t>Maxine</t>
        </is>
      </c>
      <c r="B528" s="268" t="n">
        <v>5</v>
      </c>
      <c r="C528" s="296" t="inlineStr">
        <is>
          <t>Alumni</t>
        </is>
      </c>
      <c r="D528" s="173" t="inlineStr">
        <is>
          <t>https://discord.com/channels/191975109500731392/1212839710439776287/1446559479712976977</t>
        </is>
      </c>
    </row>
    <row r="529" ht="14.25" customHeight="1" s="175">
      <c r="A529" s="295" t="inlineStr">
        <is>
          <t>Ethan</t>
        </is>
      </c>
      <c r="B529" s="268" t="n">
        <v>1</v>
      </c>
      <c r="C529" s="296" t="inlineStr">
        <is>
          <t>Anthony</t>
        </is>
      </c>
      <c r="D529" s="173" t="inlineStr">
        <is>
          <t>https://discord.com/channels/191975109500731392/1212839710439776287/1446607248074739842</t>
        </is>
      </c>
    </row>
    <row r="530" ht="14.25" customHeight="1" s="175">
      <c r="A530" s="295" t="inlineStr">
        <is>
          <t>Anthony</t>
        </is>
      </c>
      <c r="B530" s="268" t="n">
        <v>1</v>
      </c>
      <c r="C530" s="296" t="inlineStr">
        <is>
          <t>Ethan</t>
        </is>
      </c>
      <c r="D530" s="173" t="inlineStr">
        <is>
          <t>https://discord.com/channels/191975109500731392/1212839710439776287/1446607248074739842</t>
        </is>
      </c>
    </row>
    <row r="531" ht="14.25" customHeight="1" s="175">
      <c r="A531" s="295" t="inlineStr">
        <is>
          <t>Mikey</t>
        </is>
      </c>
      <c r="B531" s="268" t="n">
        <v>2</v>
      </c>
      <c r="C531" s="296" t="inlineStr">
        <is>
          <t>Will</t>
        </is>
      </c>
      <c r="D531" s="173" t="inlineStr">
        <is>
          <t>https://discord.com/channels/191975109500731392/1212839710439776287/1447700729992314960</t>
        </is>
      </c>
    </row>
    <row r="532" ht="14.25" customHeight="1" s="175">
      <c r="A532" s="295" t="inlineStr">
        <is>
          <t>Will</t>
        </is>
      </c>
      <c r="B532" s="268" t="n">
        <v>1</v>
      </c>
      <c r="C532" s="296" t="inlineStr">
        <is>
          <t>Mikey</t>
        </is>
      </c>
      <c r="D532" s="173" t="inlineStr">
        <is>
          <t>https://discord.com/channels/191975109500731392/1212839710439776287/1447701064643248199</t>
        </is>
      </c>
    </row>
    <row r="533" ht="14.25" customHeight="1" s="175"/>
    <row r="534" ht="14.25" customHeight="1" s="175"/>
    <row r="535" ht="14.25" customHeight="1" s="175"/>
    <row r="536" ht="14.25" customHeight="1" s="175"/>
    <row r="537" ht="14.25" customHeight="1" s="175"/>
    <row r="538" ht="14.25" customHeight="1" s="175"/>
    <row r="539" ht="14.25" customHeight="1" s="175"/>
    <row r="540" ht="14.25" customHeight="1" s="175"/>
    <row r="541" ht="14.25" customHeight="1" s="175"/>
    <row r="542" ht="14.25" customHeight="1" s="175"/>
    <row r="543" ht="14.25" customHeight="1" s="175"/>
    <row r="544" ht="14.25" customHeight="1" s="175"/>
    <row r="545" ht="14.25" customHeight="1" s="175"/>
    <row r="546" ht="14.25" customHeight="1" s="175"/>
    <row r="547" ht="14.25" customHeight="1" s="175"/>
    <row r="548" ht="14.25" customHeight="1" s="175"/>
    <row r="549" ht="14.25" customHeight="1" s="175"/>
    <row r="550" ht="14.25" customHeight="1" s="175"/>
    <row r="551" ht="14.25" customHeight="1" s="175"/>
    <row r="552" ht="14.25" customHeight="1" s="175"/>
    <row r="553" ht="14.25" customHeight="1" s="175"/>
    <row r="554" ht="14.25" customHeight="1" s="175"/>
    <row r="555" ht="14.25" customHeight="1" s="175"/>
    <row r="556" ht="14.25" customHeight="1" s="175"/>
    <row r="557" ht="14.25" customHeight="1" s="175"/>
    <row r="558" ht="14.25" customHeight="1" s="175"/>
    <row r="559" ht="14.25" customHeight="1" s="175"/>
    <row r="560" ht="14.25" customHeight="1" s="175"/>
    <row r="561" ht="14.25" customHeight="1" s="175"/>
    <row r="562" ht="14.25" customHeight="1" s="175"/>
    <row r="563" ht="14.25" customHeight="1" s="175"/>
    <row r="564" ht="14.25" customHeight="1" s="175"/>
    <row r="565" ht="14.25" customHeight="1" s="175"/>
    <row r="566" ht="14.25" customHeight="1" s="175"/>
    <row r="567" ht="14.25" customHeight="1" s="175"/>
    <row r="568" ht="14.25" customHeight="1" s="175"/>
    <row r="569" ht="14.25" customHeight="1" s="175"/>
    <row r="570" ht="14.25" customHeight="1" s="175"/>
    <row r="571" ht="14.25" customHeight="1" s="175"/>
    <row r="572" ht="14.25" customHeight="1" s="175"/>
    <row r="573" ht="14.25" customHeight="1" s="175"/>
    <row r="574" ht="14.25" customHeight="1" s="175"/>
    <row r="575" ht="14.25" customHeight="1" s="175"/>
    <row r="576" ht="14.25" customHeight="1" s="175"/>
    <row r="577" ht="14.25" customHeight="1" s="175"/>
    <row r="578" ht="14.25" customHeight="1" s="175"/>
    <row r="579" ht="14.25" customHeight="1" s="175"/>
    <row r="580" ht="14.25" customHeight="1" s="175"/>
    <row r="581" ht="14.25" customHeight="1" s="175"/>
    <row r="582" ht="14.25" customHeight="1" s="175"/>
    <row r="583" ht="14.25" customHeight="1" s="175"/>
    <row r="584" ht="14.25" customHeight="1" s="175"/>
    <row r="585" ht="14.25" customHeight="1" s="175"/>
    <row r="586" ht="14.25" customHeight="1" s="175"/>
    <row r="587" ht="14.25" customHeight="1" s="175"/>
    <row r="588" ht="14.25" customHeight="1" s="175"/>
    <row r="589" ht="14.25" customHeight="1" s="175"/>
    <row r="590" ht="14.25" customHeight="1" s="175"/>
    <row r="591" ht="14.25" customHeight="1" s="175"/>
    <row r="592" ht="14.25" customHeight="1" s="175"/>
    <row r="593" ht="14.25" customHeight="1" s="175"/>
    <row r="594" ht="14.25" customHeight="1" s="175"/>
    <row r="595" ht="14.25" customHeight="1" s="175"/>
    <row r="596" ht="14.25" customHeight="1" s="175"/>
    <row r="597" ht="14.25" customHeight="1" s="175"/>
    <row r="598" ht="14.25" customHeight="1" s="175"/>
    <row r="599" ht="14.25" customHeight="1" s="175"/>
    <row r="600" ht="14.25" customHeight="1" s="175"/>
    <row r="601" ht="14.25" customHeight="1" s="175"/>
    <row r="602" ht="14.25" customHeight="1" s="175"/>
    <row r="603" ht="14.25" customHeight="1" s="175"/>
    <row r="604" ht="14.25" customHeight="1" s="175"/>
    <row r="605" ht="14.25" customHeight="1" s="175"/>
    <row r="606" ht="14.25" customHeight="1" s="175"/>
    <row r="607" ht="14.25" customHeight="1" s="175"/>
    <row r="608" ht="14.25" customHeight="1" s="175"/>
    <row r="609" ht="14.25" customHeight="1" s="175"/>
    <row r="610" ht="14.25" customHeight="1" s="175"/>
    <row r="611" ht="14.25" customHeight="1" s="175"/>
    <row r="612" ht="14.25" customHeight="1" s="175"/>
    <row r="613" ht="14.25" customHeight="1" s="175"/>
    <row r="614" ht="14.25" customHeight="1" s="175"/>
    <row r="615" ht="14.25" customHeight="1" s="175"/>
    <row r="616" ht="14.25" customHeight="1" s="175"/>
    <row r="617" ht="14.25" customHeight="1" s="175"/>
    <row r="618" ht="14.25" customHeight="1" s="175"/>
    <row r="619" ht="14.25" customHeight="1" s="175"/>
    <row r="620" ht="14.25" customHeight="1" s="175"/>
    <row r="621" ht="14.25" customHeight="1" s="175"/>
    <row r="622" ht="14.25" customHeight="1" s="175"/>
    <row r="623" ht="14.25" customHeight="1" s="175"/>
    <row r="624" ht="14.25" customHeight="1" s="175"/>
    <row r="625" ht="14.25" customHeight="1" s="175"/>
    <row r="626" ht="14.25" customHeight="1" s="175"/>
    <row r="627" ht="14.25" customHeight="1" s="175"/>
    <row r="628" ht="14.25" customHeight="1" s="175"/>
    <row r="629" ht="14.25" customHeight="1" s="175"/>
    <row r="630" ht="14.25" customHeight="1" s="175"/>
    <row r="631" ht="14.25" customHeight="1" s="175"/>
    <row r="632" ht="14.25" customHeight="1" s="175"/>
    <row r="633" ht="14.25" customHeight="1" s="175"/>
    <row r="634" ht="14.25" customHeight="1" s="175"/>
    <row r="635" ht="14.25" customHeight="1" s="175"/>
    <row r="636" ht="14.25" customHeight="1" s="175"/>
    <row r="637" ht="14.25" customHeight="1" s="175"/>
    <row r="638" ht="14.25" customHeight="1" s="175"/>
    <row r="639" ht="14.25" customHeight="1" s="175"/>
    <row r="640" ht="14.25" customHeight="1" s="175"/>
    <row r="641" ht="14.25" customHeight="1" s="175"/>
    <row r="642" ht="14.25" customHeight="1" s="175"/>
    <row r="643" ht="14.25" customHeight="1" s="175"/>
    <row r="644" ht="14.25" customHeight="1" s="175"/>
    <row r="645" ht="14.25" customHeight="1" s="175"/>
    <row r="646" ht="14.25" customHeight="1" s="175"/>
    <row r="647" ht="14.25" customHeight="1" s="175"/>
    <row r="648" ht="14.25" customHeight="1" s="175"/>
    <row r="649" ht="14.25" customHeight="1" s="175"/>
    <row r="650" ht="14.25" customHeight="1" s="175"/>
    <row r="651" ht="14.25" customHeight="1" s="175"/>
    <row r="652" ht="14.25" customHeight="1" s="175"/>
    <row r="653" ht="14.25" customHeight="1" s="175"/>
    <row r="654" ht="14.25" customHeight="1" s="175"/>
    <row r="655" ht="14.25" customHeight="1" s="175"/>
    <row r="656" ht="14.25" customHeight="1" s="175"/>
    <row r="657" ht="14.25" customHeight="1" s="175"/>
    <row r="658" ht="14.25" customHeight="1" s="175"/>
    <row r="659" ht="14.25" customHeight="1" s="175"/>
    <row r="660" ht="14.25" customHeight="1" s="175"/>
    <row r="661" ht="14.25" customHeight="1" s="175"/>
    <row r="662" ht="14.25" customHeight="1" s="175"/>
    <row r="663" ht="14.25" customHeight="1" s="175"/>
    <row r="664" ht="14.25" customHeight="1" s="175"/>
    <row r="665" ht="14.25" customHeight="1" s="175"/>
    <row r="666" ht="14.25" customHeight="1" s="175"/>
    <row r="667" ht="14.25" customHeight="1" s="175"/>
    <row r="668" ht="14.25" customHeight="1" s="175"/>
    <row r="669" ht="14.25" customHeight="1" s="175"/>
    <row r="670" ht="14.25" customHeight="1" s="175"/>
    <row r="671" ht="14.25" customHeight="1" s="175"/>
    <row r="672" ht="14.25" customHeight="1" s="175"/>
    <row r="673" ht="14.25" customHeight="1" s="175"/>
    <row r="674" ht="14.25" customHeight="1" s="175"/>
    <row r="675" ht="14.25" customHeight="1" s="175"/>
    <row r="676" ht="14.25" customHeight="1" s="175"/>
    <row r="677" ht="14.25" customHeight="1" s="175"/>
    <row r="678" ht="14.25" customHeight="1" s="175"/>
    <row r="679" ht="14.25" customHeight="1" s="175"/>
    <row r="680" ht="14.25" customHeight="1" s="175"/>
    <row r="681" ht="14.25" customHeight="1" s="175"/>
    <row r="682" ht="14.25" customHeight="1" s="175"/>
    <row r="683" ht="14.25" customHeight="1" s="175"/>
    <row r="684" ht="14.25" customHeight="1" s="175"/>
    <row r="685" ht="14.25" customHeight="1" s="175"/>
    <row r="686" ht="14.25" customHeight="1" s="175"/>
    <row r="687" ht="14.25" customHeight="1" s="175"/>
    <row r="688" ht="14.25" customHeight="1" s="175"/>
    <row r="689" ht="14.25" customHeight="1" s="175"/>
    <row r="690" ht="14.25" customHeight="1" s="175"/>
    <row r="691" ht="14.25" customHeight="1" s="175"/>
    <row r="692" ht="14.25" customHeight="1" s="175"/>
    <row r="693" ht="14.25" customHeight="1" s="175"/>
    <row r="694" ht="14.25" customHeight="1" s="175"/>
    <row r="695" ht="14.25" customHeight="1" s="175"/>
    <row r="696" ht="14.25" customHeight="1" s="175"/>
    <row r="697" ht="14.25" customHeight="1" s="175"/>
    <row r="698" ht="14.25" customHeight="1" s="175"/>
    <row r="699" ht="14.25" customHeight="1" s="175"/>
    <row r="700" ht="14.25" customHeight="1" s="175"/>
    <row r="701" ht="14.25" customHeight="1" s="175"/>
    <row r="702" ht="14.25" customHeight="1" s="175"/>
    <row r="703" ht="14.25" customHeight="1" s="175"/>
    <row r="704" ht="14.25" customHeight="1" s="175"/>
    <row r="705" ht="14.25" customHeight="1" s="175"/>
    <row r="706" ht="14.25" customHeight="1" s="175"/>
    <row r="707" ht="14.25" customHeight="1" s="175"/>
    <row r="708" ht="14.25" customHeight="1" s="175"/>
    <row r="709" ht="14.25" customHeight="1" s="175"/>
    <row r="710" ht="14.25" customHeight="1" s="175"/>
    <row r="711" ht="14.25" customHeight="1" s="175"/>
    <row r="712" ht="14.25" customHeight="1" s="175"/>
    <row r="713" ht="14.25" customHeight="1" s="175"/>
    <row r="714" ht="14.25" customHeight="1" s="175"/>
    <row r="715" ht="14.25" customHeight="1" s="175"/>
    <row r="716" ht="14.25" customHeight="1" s="175"/>
    <row r="717" ht="14.25" customHeight="1" s="175"/>
    <row r="718" ht="14.25" customHeight="1" s="175"/>
    <row r="719" ht="14.25" customHeight="1" s="175"/>
    <row r="720" ht="14.25" customHeight="1" s="175"/>
    <row r="721" ht="14.25" customHeight="1" s="175"/>
    <row r="722" ht="14.25" customHeight="1" s="175"/>
    <row r="723" ht="14.25" customHeight="1" s="175"/>
    <row r="724" ht="14.25" customHeight="1" s="175"/>
    <row r="725" ht="14.25" customHeight="1" s="175"/>
    <row r="726" ht="14.25" customHeight="1" s="175"/>
    <row r="727" ht="14.25" customHeight="1" s="175"/>
    <row r="728" ht="14.25" customHeight="1" s="175"/>
    <row r="729" ht="14.25" customHeight="1" s="175"/>
    <row r="730" ht="14.25" customHeight="1" s="175"/>
    <row r="731" ht="14.25" customHeight="1" s="175"/>
    <row r="732" ht="14.25" customHeight="1" s="175"/>
    <row r="733" ht="14.25" customHeight="1" s="175"/>
    <row r="734" ht="14.25" customHeight="1" s="175"/>
    <row r="735" ht="14.25" customHeight="1" s="175"/>
    <row r="736" ht="14.25" customHeight="1" s="175"/>
    <row r="737" ht="14.25" customHeight="1" s="175"/>
    <row r="738" ht="14.25" customHeight="1" s="175"/>
    <row r="739" ht="14.25" customHeight="1" s="175"/>
    <row r="740" ht="14.25" customHeight="1" s="175"/>
    <row r="741" ht="14.25" customHeight="1" s="175"/>
    <row r="742" ht="14.25" customHeight="1" s="175"/>
    <row r="743" ht="14.25" customHeight="1" s="175"/>
    <row r="744" ht="14.25" customHeight="1" s="175"/>
    <row r="745" ht="14.25" customHeight="1" s="175"/>
    <row r="746" ht="14.25" customHeight="1" s="175"/>
    <row r="747" ht="14.25" customHeight="1" s="175"/>
    <row r="748" ht="14.25" customHeight="1" s="175"/>
    <row r="749" ht="14.25" customHeight="1" s="175"/>
    <row r="750" ht="14.25" customHeight="1" s="175"/>
    <row r="751" ht="14.25" customHeight="1" s="175"/>
    <row r="752" ht="14.25" customHeight="1" s="175"/>
    <row r="753" ht="14.25" customHeight="1" s="175"/>
    <row r="754" ht="14.25" customHeight="1" s="175"/>
    <row r="755" ht="14.25" customHeight="1" s="175"/>
    <row r="756" ht="14.25" customHeight="1" s="175"/>
    <row r="757" ht="14.25" customHeight="1" s="175"/>
    <row r="758" ht="14.25" customHeight="1" s="175"/>
    <row r="759" ht="14.25" customHeight="1" s="175"/>
    <row r="760" ht="14.25" customHeight="1" s="175"/>
    <row r="761" ht="14.25" customHeight="1" s="175"/>
    <row r="762" ht="14.25" customHeight="1" s="175"/>
    <row r="763" ht="14.25" customHeight="1" s="175"/>
    <row r="764" ht="14.25" customHeight="1" s="175"/>
    <row r="765" ht="14.25" customHeight="1" s="175"/>
    <row r="766" ht="14.25" customHeight="1" s="175"/>
    <row r="767" ht="14.25" customHeight="1" s="175"/>
    <row r="768" ht="14.25" customHeight="1" s="175"/>
    <row r="769" ht="14.25" customHeight="1" s="175"/>
    <row r="770" ht="14.25" customHeight="1" s="175"/>
    <row r="771" ht="14.25" customHeight="1" s="175"/>
    <row r="772" ht="14.25" customHeight="1" s="175"/>
    <row r="773" ht="14.25" customHeight="1" s="175"/>
    <row r="774" ht="14.25" customHeight="1" s="175"/>
    <row r="775" ht="14.25" customHeight="1" s="175"/>
    <row r="776" ht="14.25" customHeight="1" s="175"/>
    <row r="777" ht="14.25" customHeight="1" s="175"/>
    <row r="778" ht="14.25" customHeight="1" s="175"/>
    <row r="779" ht="14.25" customHeight="1" s="175"/>
    <row r="780" ht="14.25" customHeight="1" s="175"/>
    <row r="781" ht="14.25" customHeight="1" s="175"/>
    <row r="782" ht="14.25" customHeight="1" s="175"/>
    <row r="783" ht="14.25" customHeight="1" s="175"/>
    <row r="784" ht="14.25" customHeight="1" s="175"/>
    <row r="785" ht="14.25" customHeight="1" s="175"/>
    <row r="786" ht="14.25" customHeight="1" s="175"/>
    <row r="787" ht="14.25" customHeight="1" s="175"/>
    <row r="788" ht="14.25" customHeight="1" s="175"/>
    <row r="789" ht="14.25" customHeight="1" s="175"/>
    <row r="790" ht="14.25" customHeight="1" s="175"/>
    <row r="791" ht="14.25" customHeight="1" s="175"/>
    <row r="792" ht="14.25" customHeight="1" s="175"/>
    <row r="793" ht="14.25" customHeight="1" s="175"/>
    <row r="794" ht="14.25" customHeight="1" s="175"/>
    <row r="795" ht="14.25" customHeight="1" s="175"/>
    <row r="796" ht="14.25" customHeight="1" s="175"/>
    <row r="797" ht="14.25" customHeight="1" s="175"/>
    <row r="798" ht="14.25" customHeight="1" s="175"/>
    <row r="799" ht="14.25" customHeight="1" s="175"/>
    <row r="800" ht="14.25" customHeight="1" s="175"/>
    <row r="801" ht="14.25" customHeight="1" s="175"/>
    <row r="802" ht="14.25" customHeight="1" s="175"/>
    <row r="803" ht="14.25" customHeight="1" s="175"/>
    <row r="804" ht="14.25" customHeight="1" s="175"/>
    <row r="805" ht="14.25" customHeight="1" s="175"/>
    <row r="806" ht="14.25" customHeight="1" s="175"/>
    <row r="807" ht="14.25" customHeight="1" s="175"/>
    <row r="808" ht="14.25" customHeight="1" s="175"/>
    <row r="809" ht="14.25" customHeight="1" s="175"/>
    <row r="810" ht="14.25" customHeight="1" s="175"/>
    <row r="811" ht="14.25" customHeight="1" s="175"/>
    <row r="812" ht="14.25" customHeight="1" s="175"/>
    <row r="813" ht="14.25" customHeight="1" s="175"/>
    <row r="814" ht="14.25" customHeight="1" s="175"/>
    <row r="815" ht="14.25" customHeight="1" s="175"/>
    <row r="816" ht="14.25" customHeight="1" s="175"/>
    <row r="817" ht="14.25" customHeight="1" s="175"/>
    <row r="818" ht="14.25" customHeight="1" s="175"/>
    <row r="819" ht="14.25" customHeight="1" s="175"/>
    <row r="820" ht="14.25" customHeight="1" s="175"/>
    <row r="821" ht="14.25" customHeight="1" s="175"/>
    <row r="822" ht="14.25" customHeight="1" s="175"/>
    <row r="823" ht="14.25" customHeight="1" s="175"/>
    <row r="824" ht="14.25" customHeight="1" s="175"/>
    <row r="825" ht="14.25" customHeight="1" s="175"/>
    <row r="826" ht="14.25" customHeight="1" s="175"/>
    <row r="827" ht="14.25" customHeight="1" s="175"/>
    <row r="828" ht="14.25" customHeight="1" s="175"/>
    <row r="829" ht="14.25" customHeight="1" s="175"/>
    <row r="830" ht="14.25" customHeight="1" s="175"/>
    <row r="831" ht="14.25" customHeight="1" s="175"/>
    <row r="832" ht="14.25" customHeight="1" s="175"/>
    <row r="833" ht="14.25" customHeight="1" s="175"/>
    <row r="834" ht="14.25" customHeight="1" s="175"/>
    <row r="835" ht="14.25" customHeight="1" s="175"/>
    <row r="836" ht="14.25" customHeight="1" s="175"/>
    <row r="837" ht="14.25" customHeight="1" s="175"/>
    <row r="838" ht="14.25" customHeight="1" s="175"/>
    <row r="839" ht="14.25" customHeight="1" s="175"/>
    <row r="840" ht="14.25" customHeight="1" s="175"/>
    <row r="841" ht="14.25" customHeight="1" s="175"/>
    <row r="842" ht="14.25" customHeight="1" s="175"/>
    <row r="843" ht="14.25" customHeight="1" s="175"/>
    <row r="844" ht="14.25" customHeight="1" s="175"/>
    <row r="845" ht="14.25" customHeight="1" s="175"/>
    <row r="846" ht="14.25" customHeight="1" s="175"/>
    <row r="847" ht="14.25" customHeight="1" s="175"/>
    <row r="848" ht="14.25" customHeight="1" s="175"/>
    <row r="849" ht="14.25" customHeight="1" s="175"/>
    <row r="850" ht="14.25" customHeight="1" s="175"/>
    <row r="851" ht="14.25" customHeight="1" s="175"/>
    <row r="852" ht="14.25" customHeight="1" s="175"/>
    <row r="853" ht="14.25" customHeight="1" s="175"/>
    <row r="854" ht="14.25" customHeight="1" s="175"/>
    <row r="855" ht="14.25" customHeight="1" s="175"/>
    <row r="856" ht="14.25" customHeight="1" s="175"/>
    <row r="857" ht="14.25" customHeight="1" s="175"/>
    <row r="858" ht="14.25" customHeight="1" s="175"/>
    <row r="859" ht="14.25" customHeight="1" s="175"/>
    <row r="860" ht="14.25" customHeight="1" s="175"/>
    <row r="861" ht="14.25" customHeight="1" s="175"/>
    <row r="862" ht="14.25" customHeight="1" s="175"/>
    <row r="863" ht="14.25" customHeight="1" s="175"/>
    <row r="864" ht="14.25" customHeight="1" s="175"/>
    <row r="865" ht="14.25" customHeight="1" s="175"/>
    <row r="866" ht="14.25" customHeight="1" s="175"/>
    <row r="867" ht="14.25" customHeight="1" s="175"/>
    <row r="868" ht="14.25" customHeight="1" s="175"/>
    <row r="869" ht="14.25" customHeight="1" s="175"/>
    <row r="870" ht="14.25" customHeight="1" s="175"/>
    <row r="871" ht="14.25" customHeight="1" s="175"/>
    <row r="872" ht="14.25" customHeight="1" s="175"/>
    <row r="873" ht="14.25" customHeight="1" s="175"/>
    <row r="874" ht="14.25" customHeight="1" s="175"/>
    <row r="875" ht="14.25" customHeight="1" s="175"/>
    <row r="876" ht="14.25" customHeight="1" s="175"/>
    <row r="877" ht="14.25" customHeight="1" s="175"/>
    <row r="878" ht="14.25" customHeight="1" s="175"/>
    <row r="879" ht="14.25" customHeight="1" s="175"/>
    <row r="880" ht="14.25" customHeight="1" s="175"/>
    <row r="881" ht="14.25" customHeight="1" s="175"/>
    <row r="882" ht="14.25" customHeight="1" s="175"/>
    <row r="883" ht="14.25" customHeight="1" s="175"/>
    <row r="884" ht="14.25" customHeight="1" s="175"/>
    <row r="885" ht="14.25" customHeight="1" s="175"/>
    <row r="886" ht="14.25" customHeight="1" s="175"/>
    <row r="887" ht="14.25" customHeight="1" s="175"/>
    <row r="888" ht="14.25" customHeight="1" s="175"/>
    <row r="889" ht="14.25" customHeight="1" s="175"/>
    <row r="890" ht="14.25" customHeight="1" s="175"/>
    <row r="891" ht="14.25" customHeight="1" s="175"/>
    <row r="892" ht="14.25" customHeight="1" s="175"/>
    <row r="893" ht="14.25" customHeight="1" s="175"/>
    <row r="894" ht="14.25" customHeight="1" s="175"/>
    <row r="895" ht="14.25" customHeight="1" s="175"/>
    <row r="896" ht="14.25" customHeight="1" s="175"/>
    <row r="897" ht="14.25" customHeight="1" s="175"/>
    <row r="898" ht="14.25" customHeight="1" s="175"/>
    <row r="899" ht="14.25" customHeight="1" s="175"/>
    <row r="900" ht="14.25" customHeight="1" s="175"/>
    <row r="901" ht="14.25" customHeight="1" s="175"/>
    <row r="902" ht="14.25" customHeight="1" s="175"/>
    <row r="903" ht="14.25" customHeight="1" s="175"/>
    <row r="904" ht="14.25" customHeight="1" s="175"/>
    <row r="905" ht="14.25" customHeight="1" s="175"/>
    <row r="906" ht="14.25" customHeight="1" s="175"/>
    <row r="907" ht="14.25" customHeight="1" s="175"/>
    <row r="908" ht="14.25" customHeight="1" s="175"/>
    <row r="909" ht="14.25" customHeight="1" s="175"/>
    <row r="910" ht="14.25" customHeight="1" s="175"/>
    <row r="911" ht="14.25" customHeight="1" s="175"/>
    <row r="912" ht="14.25" customHeight="1" s="175"/>
    <row r="913" ht="14.25" customHeight="1" s="175"/>
    <row r="914" ht="14.25" customHeight="1" s="175"/>
    <row r="915" ht="14.25" customHeight="1" s="175"/>
    <row r="916" ht="14.25" customHeight="1" s="175"/>
    <row r="917" ht="14.25" customHeight="1" s="175"/>
    <row r="918" ht="14.25" customHeight="1" s="175"/>
    <row r="919" ht="14.25" customHeight="1" s="175"/>
    <row r="920" ht="14.25" customHeight="1" s="175"/>
    <row r="921" ht="14.25" customHeight="1" s="175"/>
    <row r="922" ht="14.25" customHeight="1" s="175"/>
    <row r="923" ht="14.25" customHeight="1" s="175"/>
    <row r="924" ht="14.25" customHeight="1" s="175"/>
    <row r="925" ht="14.25" customHeight="1" s="175"/>
    <row r="926" ht="14.25" customHeight="1" s="175"/>
    <row r="927" ht="14.25" customHeight="1" s="175"/>
    <row r="928" ht="14.25" customHeight="1" s="175"/>
    <row r="929" ht="14.25" customHeight="1" s="175"/>
    <row r="930" ht="14.25" customHeight="1" s="175"/>
    <row r="931" ht="14.25" customHeight="1" s="175"/>
    <row r="932" ht="14.25" customHeight="1" s="175"/>
    <row r="933" ht="14.25" customHeight="1" s="175"/>
    <row r="934" ht="14.25" customHeight="1" s="175"/>
    <row r="935" ht="14.25" customHeight="1" s="175"/>
    <row r="936" ht="14.25" customHeight="1" s="175"/>
    <row r="937" ht="14.25" customHeight="1" s="175"/>
    <row r="938" ht="14.25" customHeight="1" s="175"/>
    <row r="939" ht="14.25" customHeight="1" s="175"/>
    <row r="940" ht="14.25" customHeight="1" s="175"/>
    <row r="941" ht="14.25" customHeight="1" s="175"/>
    <row r="942" ht="14.25" customHeight="1" s="175"/>
    <row r="943" ht="14.25" customHeight="1" s="175"/>
    <row r="944" ht="14.25" customHeight="1" s="175"/>
    <row r="945" ht="14.25" customHeight="1" s="175"/>
    <row r="946" ht="14.25" customHeight="1" s="175"/>
    <row r="947" ht="14.25" customHeight="1" s="175"/>
    <row r="948" ht="14.25" customHeight="1" s="175"/>
    <row r="949" ht="14.25" customHeight="1" s="175"/>
    <row r="950" ht="14.25" customHeight="1" s="175"/>
    <row r="951" ht="14.25" customHeight="1" s="175"/>
    <row r="952" ht="14.25" customHeight="1" s="175"/>
    <row r="953" ht="14.25" customHeight="1" s="175"/>
    <row r="954" ht="14.25" customHeight="1" s="175"/>
    <row r="955" ht="14.25" customHeight="1" s="175"/>
    <row r="956" ht="14.25" customHeight="1" s="175"/>
    <row r="957" ht="14.25" customHeight="1" s="175"/>
    <row r="958" ht="14.25" customHeight="1" s="175"/>
    <row r="959" ht="14.25" customHeight="1" s="175"/>
    <row r="960" ht="14.25" customHeight="1" s="175"/>
    <row r="961" ht="14.25" customHeight="1" s="175"/>
    <row r="962" ht="14.25" customHeight="1" s="175"/>
    <row r="963" ht="14.25" customHeight="1" s="175"/>
    <row r="964" ht="14.25" customHeight="1" s="175"/>
    <row r="965" ht="14.25" customHeight="1" s="175"/>
    <row r="966" ht="14.25" customHeight="1" s="175"/>
    <row r="967" ht="14.25" customHeight="1" s="175"/>
    <row r="968" ht="14.25" customHeight="1" s="175"/>
    <row r="969" ht="14.25" customHeight="1" s="175"/>
    <row r="970" ht="14.25" customHeight="1" s="175"/>
    <row r="971" ht="14.25" customHeight="1" s="175"/>
    <row r="972" ht="14.25" customHeight="1" s="175"/>
    <row r="973" ht="14.25" customHeight="1" s="175"/>
    <row r="974" ht="14.25" customHeight="1" s="175"/>
    <row r="975" ht="14.25" customHeight="1" s="175"/>
    <row r="976" ht="14.25" customHeight="1" s="175"/>
    <row r="977" ht="14.25" customHeight="1" s="175"/>
    <row r="978" ht="14.25" customHeight="1" s="175"/>
    <row r="979" ht="14.25" customHeight="1" s="175"/>
    <row r="980" ht="14.25" customHeight="1" s="175"/>
    <row r="981" ht="14.25" customHeight="1" s="175"/>
    <row r="982" ht="14.25" customHeight="1" s="175"/>
    <row r="983" ht="14.25" customHeight="1" s="175"/>
    <row r="984" ht="14.25" customHeight="1" s="175"/>
    <row r="985" ht="14.25" customHeight="1" s="175"/>
    <row r="986" ht="14.25" customHeight="1" s="175"/>
    <row r="987" ht="14.25" customHeight="1" s="175"/>
    <row r="988" ht="14.25" customHeight="1" s="175"/>
    <row r="989" ht="14.25" customHeight="1" s="175"/>
    <row r="990" ht="14.25" customHeight="1" s="175"/>
    <row r="991" ht="14.25" customHeight="1" s="175"/>
    <row r="992" ht="14.25" customHeight="1" s="175"/>
    <row r="993" ht="14.25" customHeight="1" s="175"/>
    <row r="994" ht="14.25" customHeight="1" s="175"/>
    <row r="995" ht="14.25" customHeight="1" s="175"/>
    <row r="996" ht="14.25" customHeight="1" s="175"/>
    <row r="997" ht="14.25" customHeight="1" s="175"/>
    <row r="998" ht="14.25" customHeight="1" s="175"/>
    <row r="999" ht="14.25" customHeight="1" s="175"/>
    <row r="1000" ht="14.25" customHeight="1" s="175"/>
  </sheetData>
  <mergeCells count="5">
    <mergeCell ref="AN56:AV56"/>
    <mergeCell ref="AN13:AW13"/>
    <mergeCell ref="R1:AJ1"/>
    <mergeCell ref="G1:P1"/>
    <mergeCell ref="G20:O20"/>
  </mergeCells>
  <conditionalFormatting sqref="AO66:AO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W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2:I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J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L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M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2:N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O3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9:AV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59:AW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66:AO6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66:AP70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2:I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22:L26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P4:AP11 AV4:AV11">
    <cfRule type="cellIs" rank="0" priority="18" equalAverage="0" operator="greaterThan" aboveAverage="0" dxfId="0" text="" percent="0" bottom="0">
      <formula>1</formula>
    </cfRule>
  </conditionalFormatting>
  <conditionalFormatting sqref="H83:H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83:R86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94:H97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94:R97"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105:H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105:R10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31 AR16:AR31 AU16:AU31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31 AS16:AS31 AV16:AV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 AT16:AT31 AW16:AW31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31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V16:AV31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16:AW31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X16:AX31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36:AP51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4:AK18"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H65:H80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80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7:H62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47:R62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29:H44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9:R44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8"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8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8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8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36:AO51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31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31">
    <cfRule type="colorScale" priority="59">
      <colorScale>
        <cfvo type="min" val="0"/>
        <cfvo type="max" val="0"/>
        <color rgb="FFF8696B"/>
        <color rgb="FFFCFCFF"/>
      </colorScale>
    </cfRule>
  </conditionalFormatting>
  <conditionalFormatting sqref="AQ16:AQ31">
    <cfRule type="colorScale" priority="60">
      <colorScale>
        <cfvo type="min" val="0"/>
        <cfvo type="max" val="0"/>
        <color rgb="FFFCFCFF"/>
        <color rgb="FF63BE7B"/>
      </colorScale>
    </cfRule>
  </conditionalFormatting>
  <hyperlinks>
    <hyperlink xmlns:r="http://schemas.openxmlformats.org/officeDocument/2006/relationships" ref="D21" display="https://discord.com/channels/191975109500731392/1212839710439776287/1420102383278624777" r:id="rId1"/>
    <hyperlink xmlns:r="http://schemas.openxmlformats.org/officeDocument/2006/relationships" ref="D32" display="https://discord.com/channels/191975109500731392/1212839710439776287/1420158594686521365" r:id="rId2"/>
    <hyperlink xmlns:r="http://schemas.openxmlformats.org/officeDocument/2006/relationships" ref="D46" display="https://discord.com/channels/191975109500731392/1212839710439776287/1420785838920302643" r:id="rId3"/>
    <hyperlink xmlns:r="http://schemas.openxmlformats.org/officeDocument/2006/relationships" ref="D152" display="https://discord.com/channels/191975109500731392/1212839710439776287/1424816644093513919" r:id="rId4"/>
    <hyperlink xmlns:r="http://schemas.openxmlformats.org/officeDocument/2006/relationships" ref="D188" display="https://discord.com/channels/191975109500731392/1212839710439776287/1426205592493752341" r:id="rId5"/>
    <hyperlink xmlns:r="http://schemas.openxmlformats.org/officeDocument/2006/relationships" ref="D223" display="https://discord.com/channels/191975109500731392/1212839710439776287/1428771201802829969" r:id="rId6"/>
    <hyperlink xmlns:r="http://schemas.openxmlformats.org/officeDocument/2006/relationships" ref="D286" display="https://discord.com/channels/191975109500731392/1212839710439776287/1432781582556725298" r:id="rId7"/>
    <hyperlink xmlns:r="http://schemas.openxmlformats.org/officeDocument/2006/relationships" ref="D301" display="https://discord.com/channels/191975109500731392/1212839710439776287/1433113874529390762" r:id="rId8"/>
    <hyperlink xmlns:r="http://schemas.openxmlformats.org/officeDocument/2006/relationships" ref="D302" display="https://discord.com/channels/191975109500731392/1212839710439776287/1433114152942964889" r:id="rId9"/>
    <hyperlink xmlns:r="http://schemas.openxmlformats.org/officeDocument/2006/relationships" ref="D354" display="https://discord.com/channels/191975109500731392/1212839710439776287/1434983665741598783" r:id="rId10"/>
    <hyperlink xmlns:r="http://schemas.openxmlformats.org/officeDocument/2006/relationships" ref="D359" display="https://discord.com/channels/191975109500731392/1212839710439776287/1435017572138619093" r:id="rId11"/>
  </hyperlink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2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S2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54296875" defaultRowHeight="15" customHeight="1" zeroHeight="0" outlineLevelRow="0" outlineLevelCol="0"/>
  <cols>
    <col width="7.45" customWidth="1" style="173" min="1" max="1"/>
    <col width="6.54" customWidth="1" style="173" min="2" max="2"/>
    <col width="7.45" customWidth="1" style="173" min="3" max="3"/>
    <col width="8.539999999999999" customWidth="1" style="173" min="4" max="4"/>
    <col width="2.27" customWidth="1" style="173" min="5" max="5"/>
    <col width="8.539999999999999" customWidth="1" style="173" min="6" max="6"/>
    <col width="7.27" customWidth="1" style="173" min="8" max="9"/>
    <col width="5.45" customWidth="1" style="173" min="10" max="10"/>
    <col width="9.73" customWidth="1" style="173" min="11" max="11"/>
    <col width="12.18" customWidth="1" style="173" min="12" max="12"/>
    <col width="7" customWidth="1" style="173" min="13" max="13"/>
    <col width="8.449999999999999" customWidth="1" style="173" min="14" max="14"/>
    <col width="11" customWidth="1" style="173" min="15" max="15"/>
    <col width="13.27" customWidth="1" style="173" min="16" max="16"/>
    <col width="7.45" customWidth="1" style="173" min="17" max="17"/>
    <col width="12.27" customWidth="1" style="173" min="18" max="18"/>
    <col width="5.82" customWidth="1" style="173" min="19" max="19"/>
    <col width="4.82" customWidth="1" style="173" min="20" max="20"/>
    <col width="6.73" customWidth="1" style="173" min="21" max="21"/>
    <col width="5.54" customWidth="1" style="173" min="22" max="22"/>
    <col width="6.82" customWidth="1" style="173" min="23" max="23"/>
    <col width="7.27" customWidth="1" style="173" min="24" max="24"/>
    <col width="5.18" customWidth="1" style="173" min="25" max="25"/>
    <col width="5.27" customWidth="1" style="173" min="26" max="26"/>
    <col width="6.82" customWidth="1" style="173" min="27" max="27"/>
    <col width="6.18" customWidth="1" style="173" min="28" max="28"/>
    <col width="7.73" customWidth="1" style="173" min="29" max="29"/>
    <col width="4.45" customWidth="1" style="173" min="30" max="30"/>
    <col width="10.45" customWidth="1" style="173" min="31" max="32"/>
    <col width="6.45" customWidth="1" style="173" min="33" max="33"/>
    <col width="8.82" customWidth="1" style="173" min="34" max="34"/>
    <col width="8.27" customWidth="1" style="173" min="36" max="36"/>
    <col width="8.449999999999999" customWidth="1" style="173" min="37" max="37"/>
    <col width="7.18" customWidth="1" style="173" min="38" max="38"/>
    <col width="9.27" customWidth="1" style="173" min="39" max="39"/>
    <col width="13.73" customWidth="1" style="173" min="40" max="40"/>
    <col width="7" customWidth="1" style="173" min="41" max="41"/>
    <col width="8.18" customWidth="1" style="173" min="42" max="42"/>
    <col width="10.73" customWidth="1" style="173" min="43" max="43"/>
    <col width="11.82" customWidth="1" style="173" min="44" max="44"/>
    <col width="8.18" customWidth="1" style="173" min="45" max="45"/>
  </cols>
  <sheetData>
    <row r="1" ht="14.25" customHeight="1" s="175">
      <c r="A1" s="262" t="inlineStr">
        <is>
          <t>Sniper</t>
        </is>
      </c>
      <c r="B1" s="263" t="inlineStr">
        <is>
          <t>Points</t>
        </is>
      </c>
      <c r="C1" s="264" t="inlineStr">
        <is>
          <t>Snipee</t>
        </is>
      </c>
      <c r="D1" s="173" t="inlineStr">
        <is>
          <t>Link:</t>
        </is>
      </c>
      <c r="G1" s="179" t="inlineStr">
        <is>
          <t>Data by Person:</t>
        </is>
      </c>
      <c r="H1" s="180" t="n"/>
      <c r="I1" s="180" t="n"/>
      <c r="J1" s="180" t="n"/>
      <c r="K1" s="180" t="n"/>
      <c r="L1" s="180" t="n"/>
      <c r="M1" s="180" t="n"/>
      <c r="N1" s="180" t="n"/>
      <c r="O1" s="180" t="n"/>
      <c r="P1" s="181" t="n"/>
      <c r="Q1" s="182" t="n"/>
      <c r="R1" s="220" t="inlineStr">
        <is>
          <t>Kill and Death Points Pivot Table (kill points at right, death points at bottom)</t>
        </is>
      </c>
      <c r="S1" s="297" t="n"/>
      <c r="T1" s="297" t="n"/>
      <c r="U1" s="297" t="n"/>
      <c r="V1" s="297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8" t="n"/>
      <c r="AK1" s="179" t="inlineStr">
        <is>
          <t>Ties?</t>
        </is>
      </c>
      <c r="AL1" s="185" t="inlineStr">
        <is>
          <t>Name</t>
        </is>
      </c>
      <c r="AM1" s="186" t="inlineStr">
        <is>
          <t>Value</t>
        </is>
      </c>
      <c r="AN1" s="187" t="inlineStr">
        <is>
          <t>Various Stats:</t>
        </is>
      </c>
      <c r="AO1" s="188" t="inlineStr">
        <is>
          <t>Value</t>
        </is>
      </c>
      <c r="AP1" s="185" t="inlineStr">
        <is>
          <t>Part</t>
        </is>
      </c>
      <c r="AQ1" s="179" t="inlineStr">
        <is>
          <t>Ties?</t>
        </is>
      </c>
    </row>
    <row r="2" ht="14.25" customHeight="1" s="175">
      <c r="A2" s="267" t="inlineStr">
        <is>
          <t>Anthony</t>
        </is>
      </c>
      <c r="B2" s="268" t="n">
        <v>1</v>
      </c>
      <c r="C2" s="269" t="inlineStr">
        <is>
          <t>Cooper</t>
        </is>
      </c>
      <c r="D2" s="192" t="inlineStr">
        <is>
          <t>https://discord.com/channels/191975109500731392/1212839710439776287/1409581809095676055</t>
        </is>
      </c>
      <c r="E2" s="173" t="n"/>
      <c r="F2" s="194" t="n"/>
      <c r="G2" s="226" t="inlineStr">
        <is>
          <t>Person:</t>
        </is>
      </c>
      <c r="H2" s="206" t="inlineStr">
        <is>
          <t>Kills</t>
        </is>
      </c>
      <c r="I2" s="206" t="inlineStr">
        <is>
          <t>Deaths</t>
        </is>
      </c>
      <c r="J2" s="206" t="inlineStr">
        <is>
          <t>KDR</t>
        </is>
      </c>
      <c r="K2" s="206" t="inlineStr">
        <is>
          <t>Kill Points</t>
        </is>
      </c>
      <c r="L2" s="206" t="inlineStr">
        <is>
          <t>Death Points</t>
        </is>
      </c>
      <c r="M2" s="206" t="inlineStr">
        <is>
          <t>KpDpR</t>
        </is>
      </c>
      <c r="N2" s="196" t="inlineStr">
        <is>
          <t>KPts/Kill</t>
        </is>
      </c>
      <c r="O2" s="196" t="inlineStr">
        <is>
          <t>DPts/Death</t>
        </is>
      </c>
      <c r="P2" s="227" t="inlineStr">
        <is>
          <t>Full Sweep %</t>
        </is>
      </c>
      <c r="Q2" s="182" t="n"/>
      <c r="R2" s="198" t="inlineStr">
        <is>
          <t>Sum of Points</t>
        </is>
      </c>
      <c r="S2" s="199" t="inlineStr">
        <is>
          <t>Snipee</t>
        </is>
      </c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1" t="n"/>
      <c r="AG2" s="202" t="inlineStr">
        <is>
          <t>Unique</t>
        </is>
      </c>
      <c r="AK2" s="203" t="n"/>
      <c r="AL2" s="204" t="n"/>
      <c r="AM2" s="205">
        <f>COUNT(B$1:B$155)</f>
        <v/>
      </c>
      <c r="AN2" s="206" t="inlineStr">
        <is>
          <t>Total Snipes</t>
        </is>
      </c>
      <c r="AO2" s="205">
        <f>COUNT(B$1:B$155)</f>
        <v/>
      </c>
      <c r="AP2" s="203" t="n"/>
      <c r="AQ2" s="203" t="n"/>
    </row>
    <row r="3" ht="14.25" customHeight="1" s="175">
      <c r="A3" s="267" t="inlineStr">
        <is>
          <t>Cooper</t>
        </is>
      </c>
      <c r="B3" s="268" t="n">
        <v>1</v>
      </c>
      <c r="C3" s="269" t="inlineStr">
        <is>
          <t>Anthony</t>
        </is>
      </c>
      <c r="D3" s="192" t="inlineStr">
        <is>
          <t>https://discord.com/channels/191975109500731392/1212839710439776287/1409582854777737299</t>
        </is>
      </c>
      <c r="E3" s="173" t="n"/>
      <c r="F3" s="207" t="n"/>
      <c r="G3" s="208" t="inlineStr">
        <is>
          <t>Carter</t>
        </is>
      </c>
      <c r="H3" s="209">
        <f>COUNTIF($A:$A,G3)</f>
        <v/>
      </c>
      <c r="I3" s="209">
        <f>COUNTIF($C:$C,G3)</f>
        <v/>
      </c>
      <c r="J3" s="210">
        <f>IF(I3,H3/I3,H3)</f>
        <v/>
      </c>
      <c r="K3" s="209">
        <f>IFERROR(GETPIVOTDATA("Points",$R$2,"Sniper",G3),0)</f>
        <v/>
      </c>
      <c r="L3" s="209">
        <f>IFERROR(GETPIVOTDATA("Points",$R$2,"Snipee",G3),0)</f>
        <v/>
      </c>
      <c r="M3" s="299">
        <f>IF(L3,K3/L3,K3)</f>
        <v/>
      </c>
      <c r="N3" s="210">
        <f>IF(H3,K3/H3,0)</f>
        <v/>
      </c>
      <c r="O3" s="210">
        <f>IF(I3,L3/I3,0)</f>
        <v/>
      </c>
      <c r="P3" s="300">
        <f>IFERROR(VLOOKUP(G3,R:AG,16,FALSE())/10,0)</f>
        <v/>
      </c>
      <c r="Q3" s="182" t="n"/>
      <c r="R3" s="212" t="inlineStr">
        <is>
          <t>Sniper</t>
        </is>
      </c>
      <c r="S3" s="301" t="inlineStr">
        <is>
          <t>Alumni</t>
        </is>
      </c>
      <c r="T3" s="302" t="inlineStr">
        <is>
          <t>Anthony</t>
        </is>
      </c>
      <c r="U3" s="302" t="inlineStr">
        <is>
          <t>Carter</t>
        </is>
      </c>
      <c r="V3" s="302" t="inlineStr">
        <is>
          <t>Cooper</t>
        </is>
      </c>
      <c r="W3" s="302" t="inlineStr">
        <is>
          <t>Erick</t>
        </is>
      </c>
      <c r="X3" s="302" t="inlineStr">
        <is>
          <t>Ethan</t>
        </is>
      </c>
      <c r="Y3" s="302" t="inlineStr">
        <is>
          <t>Evan</t>
        </is>
      </c>
      <c r="Z3" s="302" t="inlineStr">
        <is>
          <t>Grady</t>
        </is>
      </c>
      <c r="AA3" s="302" t="inlineStr">
        <is>
          <t>Joey</t>
        </is>
      </c>
      <c r="AB3" s="302" t="inlineStr">
        <is>
          <t>Maxine</t>
        </is>
      </c>
      <c r="AC3" s="302" t="inlineStr">
        <is>
          <t>Peter</t>
        </is>
      </c>
      <c r="AD3" s="302" t="inlineStr">
        <is>
          <t>Reuben</t>
        </is>
      </c>
      <c r="AE3" s="214" t="inlineStr">
        <is>
          <t>Total Result</t>
        </is>
      </c>
      <c r="AG3" s="202" t="inlineStr">
        <is>
          <t>Kills</t>
        </is>
      </c>
      <c r="AK3" s="203" t="n"/>
      <c r="AL3" s="203" t="n"/>
      <c r="AM3" s="215">
        <f>IFERROR(GETPIVOTDATA("Points",R2),0)</f>
        <v/>
      </c>
      <c r="AN3" s="216" t="inlineStr">
        <is>
          <t>Total Points</t>
        </is>
      </c>
      <c r="AO3" s="215">
        <f>IFERROR(GETPIVOTDATA("Points",R2),0)</f>
        <v/>
      </c>
      <c r="AP3" s="203" t="n"/>
      <c r="AQ3" s="203" t="n"/>
    </row>
    <row r="4" ht="14.25" customHeight="1" s="175">
      <c r="A4" s="267" t="inlineStr">
        <is>
          <t>Ethan</t>
        </is>
      </c>
      <c r="B4" s="268" t="n">
        <v>1</v>
      </c>
      <c r="C4" s="269" t="inlineStr">
        <is>
          <t>Erick</t>
        </is>
      </c>
      <c r="D4" s="192" t="inlineStr">
        <is>
          <t>https://discord.com/channels/191975109500731392/1212839710439776287/1409595159611576521</t>
        </is>
      </c>
      <c r="E4" s="173" t="n"/>
      <c r="F4" s="207" t="n"/>
      <c r="G4" s="208" t="inlineStr">
        <is>
          <t>Grady</t>
        </is>
      </c>
      <c r="H4" s="209">
        <f>COUNTIF($A:$A,G4)</f>
        <v/>
      </c>
      <c r="I4" s="209">
        <f>COUNTIF($C:$C,G4)</f>
        <v/>
      </c>
      <c r="J4" s="210">
        <f>IF(I4,H4/I4,H4)</f>
        <v/>
      </c>
      <c r="K4" s="209">
        <f>IFERROR(GETPIVOTDATA("Points",$R$2,"Sniper",G4),0)</f>
        <v/>
      </c>
      <c r="L4" s="209">
        <f>IFERROR(GETPIVOTDATA("Points",$R$2,"Snipee",G4),0)</f>
        <v/>
      </c>
      <c r="M4" s="299">
        <f>IF(L4,K4/L4,K4)</f>
        <v/>
      </c>
      <c r="N4" s="210">
        <f>IF(H4,K4/H4,0)</f>
        <v/>
      </c>
      <c r="O4" s="210">
        <f>IF(I4,L4/I4,0)</f>
        <v/>
      </c>
      <c r="P4" s="300">
        <f>IFERROR(VLOOKUP(G4,R:AG,16,FALSE())/10,0)</f>
        <v/>
      </c>
      <c r="Q4" s="182" t="n"/>
      <c r="R4" s="303" t="inlineStr">
        <is>
          <t>Anthony</t>
        </is>
      </c>
      <c r="S4" s="273" t="n">
        <v>5</v>
      </c>
      <c r="T4" s="274" t="n"/>
      <c r="U4" s="274" t="n"/>
      <c r="V4" s="274" t="n">
        <v>2</v>
      </c>
      <c r="W4" s="274" t="n"/>
      <c r="X4" s="274" t="n">
        <v>2</v>
      </c>
      <c r="Y4" s="274" t="n">
        <v>2</v>
      </c>
      <c r="Z4" s="274" t="n">
        <v>6</v>
      </c>
      <c r="AA4" s="274" t="n"/>
      <c r="AB4" s="274" t="n">
        <v>1</v>
      </c>
      <c r="AC4" s="274" t="n"/>
      <c r="AD4" s="275" t="n"/>
      <c r="AE4" s="276" t="n">
        <v>18</v>
      </c>
      <c r="AG4" s="202">
        <f>IF(COUNT(S4:AF4)&lt;&gt;0,COUNT(S4:AF4)-1,"")</f>
        <v/>
      </c>
      <c r="AK4" s="220">
        <f>COUNTIF(H3:H12,AM4)</f>
        <v/>
      </c>
      <c r="AL4" s="221">
        <f>$G$26</f>
        <v/>
      </c>
      <c r="AM4" s="215">
        <f>maxine(H3:H12)</f>
        <v/>
      </c>
      <c r="AN4" s="216" t="inlineStr">
        <is>
          <t>Most Kills</t>
        </is>
      </c>
      <c r="AO4" s="222">
        <f>maxine(H17:H20)</f>
        <v/>
      </c>
      <c r="AP4" s="223">
        <f>$G$77</f>
        <v/>
      </c>
      <c r="AQ4" s="220">
        <f>COUNTIF(H17:H20,AO4)</f>
        <v/>
      </c>
    </row>
    <row r="5" ht="14.25" customHeight="1" s="175">
      <c r="A5" s="267" t="inlineStr">
        <is>
          <t>Joey</t>
        </is>
      </c>
      <c r="B5" s="268" t="n">
        <v>1</v>
      </c>
      <c r="C5" s="269" t="inlineStr">
        <is>
          <t>Reuben</t>
        </is>
      </c>
      <c r="D5" s="192" t="inlineStr">
        <is>
          <t>https://discord.com/channels/191975109500731392/1212839710439776287/1409872720593813606</t>
        </is>
      </c>
      <c r="F5" s="207" t="n"/>
      <c r="G5" s="208" t="inlineStr">
        <is>
          <t>Cooper</t>
        </is>
      </c>
      <c r="H5" s="209">
        <f>COUNTIF($A:$A,G5)</f>
        <v/>
      </c>
      <c r="I5" s="209">
        <f>COUNTIF($C:$C,G5)</f>
        <v/>
      </c>
      <c r="J5" s="210">
        <f>IF(I5,H5/I5,H5)</f>
        <v/>
      </c>
      <c r="K5" s="209">
        <f>IFERROR(GETPIVOTDATA("Points",$R$2,"Sniper",G5),0)</f>
        <v/>
      </c>
      <c r="L5" s="209">
        <f>IFERROR(GETPIVOTDATA("Points",$R$2,"Snipee",G5),0)</f>
        <v/>
      </c>
      <c r="M5" s="299">
        <f>IF(L5,K5/L5,K5)</f>
        <v/>
      </c>
      <c r="N5" s="210">
        <f>IF(H5,K5/H5,0)</f>
        <v/>
      </c>
      <c r="O5" s="210">
        <f>IF(I5,L5/I5,0)</f>
        <v/>
      </c>
      <c r="P5" s="300">
        <f>IFERROR(VLOOKUP(G5,R:AG,16,FALSE())/10,0)</f>
        <v/>
      </c>
      <c r="Q5" s="182" t="n"/>
      <c r="R5" s="304" t="inlineStr">
        <is>
          <t>Carter</t>
        </is>
      </c>
      <c r="S5" s="278" t="n"/>
      <c r="T5" s="279" t="n"/>
      <c r="U5" s="279" t="n"/>
      <c r="V5" s="279" t="n"/>
      <c r="W5" s="279" t="n"/>
      <c r="X5" s="279" t="n"/>
      <c r="Y5" s="279" t="n"/>
      <c r="Z5" s="279" t="n"/>
      <c r="AA5" s="279" t="n">
        <v>1</v>
      </c>
      <c r="AB5" s="279" t="n">
        <v>3</v>
      </c>
      <c r="AC5" s="279" t="n"/>
      <c r="AD5" s="280" t="n"/>
      <c r="AE5" s="281" t="n">
        <v>4</v>
      </c>
      <c r="AG5" s="202">
        <f>IF(COUNT(S5:AF5)&lt;&gt;0,COUNT(S5:AF5)-1,"")</f>
        <v/>
      </c>
      <c r="AK5" s="220">
        <f>COUNTIF(I3:I12,AM5)</f>
        <v/>
      </c>
      <c r="AL5" s="221">
        <f>$G$42</f>
        <v/>
      </c>
      <c r="AM5" s="215">
        <f>maxine(I3:I12)</f>
        <v/>
      </c>
      <c r="AN5" s="216" t="inlineStr">
        <is>
          <t>Most Deaths</t>
        </is>
      </c>
      <c r="AO5" s="222">
        <f>maxine(I17:I20)</f>
        <v/>
      </c>
      <c r="AP5" s="224">
        <f>$G$88</f>
        <v/>
      </c>
      <c r="AQ5" s="220">
        <f>COUNTIF(I17:I20,AO5)</f>
        <v/>
      </c>
    </row>
    <row r="6" ht="14.25" customHeight="1" s="175">
      <c r="A6" s="267" t="inlineStr">
        <is>
          <t>Carter</t>
        </is>
      </c>
      <c r="B6" s="268" t="n">
        <v>2</v>
      </c>
      <c r="C6" s="269" t="inlineStr">
        <is>
          <t>Maxine</t>
        </is>
      </c>
      <c r="D6" s="192" t="inlineStr">
        <is>
          <t>https://discord.com/channels/191975109500731392/1212839710439776287/1409942854607835166</t>
        </is>
      </c>
      <c r="F6" s="207" t="n"/>
      <c r="G6" s="208" t="inlineStr">
        <is>
          <t>Maxine</t>
        </is>
      </c>
      <c r="H6" s="209">
        <f>COUNTIF($A:$A,G6)</f>
        <v/>
      </c>
      <c r="I6" s="209">
        <f>COUNTIF($C:$C,G6)</f>
        <v/>
      </c>
      <c r="J6" s="210">
        <f>IF(I6,H6/I6,H6)</f>
        <v/>
      </c>
      <c r="K6" s="209">
        <f>IFERROR(GETPIVOTDATA("Points",$R$2,"Sniper",G6),0)</f>
        <v/>
      </c>
      <c r="L6" s="209">
        <f>IFERROR(GETPIVOTDATA("Points",$R$2,"Snipee",G6),0)</f>
        <v/>
      </c>
      <c r="M6" s="299">
        <f>IF(L6,K6/L6,K6)</f>
        <v/>
      </c>
      <c r="N6" s="210">
        <f>IF(H6,K6/H6,0)</f>
        <v/>
      </c>
      <c r="O6" s="210">
        <f>IF(I6,L6/I6,0)</f>
        <v/>
      </c>
      <c r="P6" s="300">
        <f>IFERROR(VLOOKUP(G6,R:AG,16,FALSE())/10,0)</f>
        <v/>
      </c>
      <c r="Q6" s="182" t="n"/>
      <c r="R6" s="304" t="inlineStr">
        <is>
          <t>Cooper</t>
        </is>
      </c>
      <c r="S6" s="278" t="n"/>
      <c r="T6" s="279" t="n">
        <v>1</v>
      </c>
      <c r="U6" s="279" t="n">
        <v>2</v>
      </c>
      <c r="V6" s="279" t="n"/>
      <c r="W6" s="279" t="n"/>
      <c r="X6" s="279" t="n"/>
      <c r="Y6" s="279" t="n"/>
      <c r="Z6" s="279" t="n"/>
      <c r="AA6" s="279" t="n"/>
      <c r="AB6" s="279" t="n">
        <v>1</v>
      </c>
      <c r="AC6" s="279" t="n"/>
      <c r="AD6" s="280" t="n"/>
      <c r="AE6" s="281" t="n">
        <v>4</v>
      </c>
      <c r="AG6" s="202">
        <f>IF(COUNT(S6:AF6)&lt;&gt;0,COUNT(S6:AF6)-1,"")</f>
        <v/>
      </c>
      <c r="AK6" s="220">
        <f>COUNTIF(K3:K12,AM6)</f>
        <v/>
      </c>
      <c r="AL6" s="221">
        <f>$Q$26</f>
        <v/>
      </c>
      <c r="AM6" s="215">
        <f>maxine(K3:K12)</f>
        <v/>
      </c>
      <c r="AN6" s="216" t="inlineStr">
        <is>
          <t>Most Kill Pts</t>
        </is>
      </c>
      <c r="AO6" s="222">
        <f>maxine(K17:K20)</f>
        <v/>
      </c>
      <c r="AP6" s="224">
        <f>$Q$77</f>
        <v/>
      </c>
      <c r="AQ6" s="220">
        <f>COUNTIF(K17:K20,AO6)</f>
        <v/>
      </c>
    </row>
    <row r="7" ht="14.25" customHeight="1" s="175">
      <c r="A7" s="267" t="inlineStr">
        <is>
          <t>Maxine</t>
        </is>
      </c>
      <c r="B7" s="268" t="n">
        <v>1</v>
      </c>
      <c r="C7" s="269" t="inlineStr">
        <is>
          <t>Carter</t>
        </is>
      </c>
      <c r="D7" s="192" t="inlineStr">
        <is>
          <t>https://discord.com/channels/191975109500731392/1212839710439776287/1409944673740652585</t>
        </is>
      </c>
      <c r="E7" s="173" t="n">
        <v>1</v>
      </c>
      <c r="F7" s="207" t="n"/>
      <c r="G7" s="208" t="inlineStr">
        <is>
          <t>Evan</t>
        </is>
      </c>
      <c r="H7" s="209">
        <f>COUNTIF($A:$A,G7)</f>
        <v/>
      </c>
      <c r="I7" s="209">
        <f>COUNTIF($C:$C,G7)</f>
        <v/>
      </c>
      <c r="J7" s="210">
        <f>IF(I7,H7/I7,H7)</f>
        <v/>
      </c>
      <c r="K7" s="209">
        <f>IFERROR(GETPIVOTDATA("Points",$R$2,"Sniper",G7),0)</f>
        <v/>
      </c>
      <c r="L7" s="209">
        <f>IFERROR(GETPIVOTDATA("Points",$R$2,"Snipee",G7),0)</f>
        <v/>
      </c>
      <c r="M7" s="299">
        <f>IF(L7,K7/L7,K7)</f>
        <v/>
      </c>
      <c r="N7" s="210">
        <f>IF(H7,K7/H7,0)</f>
        <v/>
      </c>
      <c r="O7" s="210">
        <f>IF(I7,L7/I7,0)</f>
        <v/>
      </c>
      <c r="P7" s="300">
        <f>IFERROR(VLOOKUP(G7,R:AG,16,FALSE())/10,0)</f>
        <v/>
      </c>
      <c r="Q7" s="182" t="n"/>
      <c r="R7" s="304" t="inlineStr">
        <is>
          <t>Erick</t>
        </is>
      </c>
      <c r="S7" s="278" t="n"/>
      <c r="T7" s="279" t="n"/>
      <c r="U7" s="279" t="n"/>
      <c r="V7" s="279" t="n"/>
      <c r="W7" s="279" t="n"/>
      <c r="X7" s="279" t="n"/>
      <c r="Y7" s="279" t="n">
        <v>1</v>
      </c>
      <c r="Z7" s="279" t="n"/>
      <c r="AA7" s="279" t="n"/>
      <c r="AB7" s="279" t="n"/>
      <c r="AC7" s="279" t="n"/>
      <c r="AD7" s="280" t="n"/>
      <c r="AE7" s="281" t="n">
        <v>1</v>
      </c>
      <c r="AG7" s="202">
        <f>IF(COUNT(S7:AF7)&lt;&gt;0,COUNT(S7:AF7)-1,"")</f>
        <v/>
      </c>
      <c r="AK7" s="220">
        <f>COUNTIF(L3:L12,AM7)</f>
        <v/>
      </c>
      <c r="AL7" s="221">
        <f>$Q$42</f>
        <v/>
      </c>
      <c r="AM7" s="215">
        <f>maxine(L3:L12)</f>
        <v/>
      </c>
      <c r="AN7" s="216" t="inlineStr">
        <is>
          <t>Most Death Pts</t>
        </is>
      </c>
      <c r="AO7" s="222">
        <f>maxine(L17:L20)</f>
        <v/>
      </c>
      <c r="AP7" s="224">
        <f>$Q$88</f>
        <v/>
      </c>
      <c r="AQ7" s="220">
        <f>COUNTIF(L17:L20,AO7)</f>
        <v/>
      </c>
    </row>
    <row r="8" ht="14.25" customHeight="1" s="175">
      <c r="A8" s="267" t="inlineStr">
        <is>
          <t>Evan</t>
        </is>
      </c>
      <c r="B8" s="268" t="n">
        <v>2</v>
      </c>
      <c r="C8" s="269" t="inlineStr">
        <is>
          <t>Erick</t>
        </is>
      </c>
      <c r="D8" s="192" t="inlineStr">
        <is>
          <t>https://discord.com/channels/191975109500731392/1212839710439776287/1409958479485210664</t>
        </is>
      </c>
      <c r="F8" s="207" t="n"/>
      <c r="G8" s="208" t="inlineStr">
        <is>
          <t>Ethan</t>
        </is>
      </c>
      <c r="H8" s="209">
        <f>COUNTIF($A:$A,G8)</f>
        <v/>
      </c>
      <c r="I8" s="209">
        <f>COUNTIF($C:$C,G8)</f>
        <v/>
      </c>
      <c r="J8" s="210">
        <f>IF(I8,H8/I8,H8)</f>
        <v/>
      </c>
      <c r="K8" s="209">
        <f>IFERROR(GETPIVOTDATA("Points",$R$2,"Sniper",G8),0)</f>
        <v/>
      </c>
      <c r="L8" s="209">
        <f>IFERROR(GETPIVOTDATA("Points",$R$2,"Snipee",G8),0)</f>
        <v/>
      </c>
      <c r="M8" s="299">
        <f>IF(L8,K8/L8,K8)</f>
        <v/>
      </c>
      <c r="N8" s="210">
        <f>IF(H8,K8/H8,0)</f>
        <v/>
      </c>
      <c r="O8" s="210">
        <f>IF(I8,L8/I8,0)</f>
        <v/>
      </c>
      <c r="P8" s="300">
        <f>IFERROR(VLOOKUP(G8,R:AG,16,FALSE())/10,0)</f>
        <v/>
      </c>
      <c r="Q8" s="182" t="n"/>
      <c r="R8" s="304" t="inlineStr">
        <is>
          <t>Ethan</t>
        </is>
      </c>
      <c r="S8" s="278" t="n"/>
      <c r="T8" s="279" t="n">
        <v>2</v>
      </c>
      <c r="U8" s="279" t="n"/>
      <c r="V8" s="279" t="n"/>
      <c r="W8" s="279" t="n">
        <v>4</v>
      </c>
      <c r="X8" s="279" t="n"/>
      <c r="Y8" s="279" t="n">
        <v>7</v>
      </c>
      <c r="Z8" s="279" t="n">
        <v>2</v>
      </c>
      <c r="AA8" s="279" t="n">
        <v>3</v>
      </c>
      <c r="AB8" s="279" t="n">
        <v>1</v>
      </c>
      <c r="AC8" s="279" t="n">
        <v>4</v>
      </c>
      <c r="AD8" s="280" t="n">
        <v>5</v>
      </c>
      <c r="AE8" s="281" t="n">
        <v>28</v>
      </c>
      <c r="AG8" s="202">
        <f>IF(COUNT(S8:AF8)&lt;&gt;0,COUNT(S8:AF8)-1,"")</f>
        <v/>
      </c>
      <c r="AK8" s="220">
        <f>COUNTIF(J3:J12,AM8)</f>
        <v/>
      </c>
      <c r="AL8" s="225">
        <f>$G$58</f>
        <v/>
      </c>
      <c r="AM8" s="222">
        <f>maxine(J3:J12)</f>
        <v/>
      </c>
      <c r="AN8" s="216" t="inlineStr">
        <is>
          <t>Best KDR</t>
        </is>
      </c>
      <c r="AO8" s="222">
        <f>maxine(J17:J20)</f>
        <v/>
      </c>
      <c r="AP8" s="224">
        <f>$G$99</f>
        <v/>
      </c>
      <c r="AQ8" s="220">
        <f>COUNTIF(J17:J20,AO8)</f>
        <v/>
      </c>
    </row>
    <row r="9" ht="14.25" customHeight="1" s="175">
      <c r="A9" s="267" t="inlineStr">
        <is>
          <t>Ethan</t>
        </is>
      </c>
      <c r="B9" s="268" t="n">
        <v>2</v>
      </c>
      <c r="C9" s="269" t="inlineStr">
        <is>
          <t>Peter</t>
        </is>
      </c>
      <c r="D9" s="192" t="inlineStr">
        <is>
          <t>https://discord.com/channels/191975109500731392/1212839710439776287/1409990026045165854</t>
        </is>
      </c>
      <c r="F9" s="192" t="n"/>
      <c r="G9" s="208" t="inlineStr">
        <is>
          <t>Anthony</t>
        </is>
      </c>
      <c r="H9" s="209">
        <f>COUNTIF($A:$A,G9)</f>
        <v/>
      </c>
      <c r="I9" s="209">
        <f>COUNTIF($C:$C,G9)</f>
        <v/>
      </c>
      <c r="J9" s="210">
        <f>IF(I9,H9/I9,H9)</f>
        <v/>
      </c>
      <c r="K9" s="209">
        <f>IFERROR(GETPIVOTDATA("Points",$R$2,"Sniper",G9),0)</f>
        <v/>
      </c>
      <c r="L9" s="209">
        <f>IFERROR(GETPIVOTDATA("Points",$R$2,"Snipee",G9),0)</f>
        <v/>
      </c>
      <c r="M9" s="299">
        <f>IF(L9,K9/L9,K9)</f>
        <v/>
      </c>
      <c r="N9" s="210">
        <f>IF(H9,K9/H9,0)</f>
        <v/>
      </c>
      <c r="O9" s="210">
        <f>IF(I9,L9/I9,0)</f>
        <v/>
      </c>
      <c r="P9" s="300">
        <f>IFERROR(VLOOKUP(G9,R:AG,16,FALSE())/10,0)</f>
        <v/>
      </c>
      <c r="Q9" s="182" t="n"/>
      <c r="R9" s="304" t="inlineStr">
        <is>
          <t>Evan</t>
        </is>
      </c>
      <c r="S9" s="278" t="n"/>
      <c r="T9" s="279" t="n"/>
      <c r="U9" s="279" t="n"/>
      <c r="V9" s="279" t="n"/>
      <c r="W9" s="279" t="n">
        <v>3</v>
      </c>
      <c r="X9" s="279" t="n">
        <v>2</v>
      </c>
      <c r="Y9" s="279" t="n"/>
      <c r="Z9" s="279" t="n">
        <v>5</v>
      </c>
      <c r="AA9" s="279" t="n"/>
      <c r="AB9" s="279" t="n">
        <v>1</v>
      </c>
      <c r="AC9" s="279" t="n">
        <v>2</v>
      </c>
      <c r="AD9" s="280" t="n"/>
      <c r="AE9" s="281" t="n">
        <v>13</v>
      </c>
      <c r="AG9" s="202">
        <f>IF(COUNT(S9:AF9)&lt;&gt;0,COUNT(S9:AF9)-1,"")</f>
        <v/>
      </c>
      <c r="AK9" s="220">
        <f>COUNTIF(J3:J12,AM9)</f>
        <v/>
      </c>
      <c r="AL9" s="225">
        <f>$G$68</f>
        <v/>
      </c>
      <c r="AM9" s="222">
        <f>MIN(J3:J12)</f>
        <v/>
      </c>
      <c r="AN9" s="216" t="inlineStr">
        <is>
          <t>Worst KDR</t>
        </is>
      </c>
      <c r="AO9" s="222">
        <f>MIN(J17:J20)</f>
        <v/>
      </c>
      <c r="AP9" s="224">
        <f>$G$96</f>
        <v/>
      </c>
      <c r="AQ9" s="220">
        <f>COUNTIF(J17:J20,AO9)</f>
        <v/>
      </c>
    </row>
    <row r="10" ht="14.25" customHeight="1" s="175">
      <c r="A10" s="267" t="inlineStr">
        <is>
          <t>Maxine</t>
        </is>
      </c>
      <c r="B10" s="268" t="n">
        <v>1</v>
      </c>
      <c r="C10" s="269" t="inlineStr">
        <is>
          <t>Anthony</t>
        </is>
      </c>
      <c r="D10" s="192" t="inlineStr">
        <is>
          <t>https://discord.com/channels/191975109500731392/1212839710439776287/1409991811086286928</t>
        </is>
      </c>
      <c r="F10" s="192" t="n"/>
      <c r="G10" s="208" t="inlineStr">
        <is>
          <t>Peter</t>
        </is>
      </c>
      <c r="H10" s="209">
        <f>COUNTIF($A:$A,G10)</f>
        <v/>
      </c>
      <c r="I10" s="209">
        <f>COUNTIF($C:$C,G10)</f>
        <v/>
      </c>
      <c r="J10" s="210">
        <f>IF(I10,H10/I10,H10)</f>
        <v/>
      </c>
      <c r="K10" s="209">
        <f>IFERROR(GETPIVOTDATA("Points",$R$2,"Sniper",G10),0)</f>
        <v/>
      </c>
      <c r="L10" s="209">
        <f>IFERROR(GETPIVOTDATA("Points",$R$2,"Snipee",G10),0)</f>
        <v/>
      </c>
      <c r="M10" s="299">
        <f>IF(L10,K10/L10,K10)</f>
        <v/>
      </c>
      <c r="N10" s="210">
        <f>IF(H10,K10/H10,0)</f>
        <v/>
      </c>
      <c r="O10" s="210">
        <f>IF(I10,L10/I10,0)</f>
        <v/>
      </c>
      <c r="P10" s="300">
        <f>IFERROR(VLOOKUP(G10,R:AG,16,FALSE())/10,0)</f>
        <v/>
      </c>
      <c r="Q10" s="182" t="n"/>
      <c r="R10" s="304" t="inlineStr">
        <is>
          <t>Grady</t>
        </is>
      </c>
      <c r="S10" s="278" t="n"/>
      <c r="T10" s="279" t="n">
        <v>1</v>
      </c>
      <c r="U10" s="279" t="n"/>
      <c r="V10" s="279" t="n"/>
      <c r="W10" s="279" t="n"/>
      <c r="X10" s="279" t="n"/>
      <c r="Y10" s="279" t="n">
        <v>2</v>
      </c>
      <c r="Z10" s="279" t="n"/>
      <c r="AA10" s="279" t="n"/>
      <c r="AB10" s="279" t="n"/>
      <c r="AC10" s="279" t="n"/>
      <c r="AD10" s="280" t="n"/>
      <c r="AE10" s="281" t="n">
        <v>3</v>
      </c>
      <c r="AG10" s="202">
        <f>IF(COUNT(S10:AF10)&lt;&gt;0,COUNT(S10:AF10)-1,"")</f>
        <v/>
      </c>
      <c r="AK10" s="220">
        <f>COUNTIF(M3:M12,AM10)</f>
        <v/>
      </c>
      <c r="AL10" s="225">
        <f>$Q$58</f>
        <v/>
      </c>
      <c r="AM10" s="222">
        <f>maxine(M3:M12)</f>
        <v/>
      </c>
      <c r="AN10" s="216" t="inlineStr">
        <is>
          <t>Best KpDpR</t>
        </is>
      </c>
      <c r="AO10" s="222">
        <f>maxine(M17:M20)</f>
        <v/>
      </c>
      <c r="AP10" s="224">
        <f>$Q$99</f>
        <v/>
      </c>
      <c r="AQ10" s="220">
        <f>COUNTIF(M17:M20,AO10)</f>
        <v/>
      </c>
    </row>
    <row r="11" ht="14.25" customHeight="1" s="175">
      <c r="A11" s="267" t="inlineStr">
        <is>
          <t>Anthony</t>
        </is>
      </c>
      <c r="B11" s="268" t="n">
        <v>1</v>
      </c>
      <c r="C11" s="269" t="inlineStr">
        <is>
          <t>Maxine</t>
        </is>
      </c>
      <c r="D11" s="192" t="inlineStr">
        <is>
          <t>https://discord.com/channels/191975109500731392/1212839710439776287/1409991864072798218</t>
        </is>
      </c>
      <c r="E11" s="173" t="n"/>
      <c r="F11" s="207" t="n"/>
      <c r="G11" s="208" t="inlineStr">
        <is>
          <t>Erick</t>
        </is>
      </c>
      <c r="H11" s="209">
        <f>COUNTIF($A:$A,G11)</f>
        <v/>
      </c>
      <c r="I11" s="209">
        <f>COUNTIF($C:$C,G11)</f>
        <v/>
      </c>
      <c r="J11" s="210">
        <f>IF(I11,H11/I11,H11)</f>
        <v/>
      </c>
      <c r="K11" s="209">
        <f>IFERROR(GETPIVOTDATA("Points",$R$2,"Sniper",G11),0)</f>
        <v/>
      </c>
      <c r="L11" s="209">
        <f>IFERROR(GETPIVOTDATA("Points",$R$2,"Snipee",G11),0)</f>
        <v/>
      </c>
      <c r="M11" s="299">
        <f>IF(L11,K11/L11,K11)</f>
        <v/>
      </c>
      <c r="N11" s="210">
        <f>IF(H11,K11/H11,0)</f>
        <v/>
      </c>
      <c r="O11" s="210">
        <f>IF(I11,L11/I11,0)</f>
        <v/>
      </c>
      <c r="P11" s="300">
        <f>IFERROR(VLOOKUP(G11,R:AG,16,FALSE())/10,0)</f>
        <v/>
      </c>
      <c r="Q11" s="182" t="n"/>
      <c r="R11" s="304" t="inlineStr">
        <is>
          <t>Joey</t>
        </is>
      </c>
      <c r="S11" s="278" t="n">
        <v>5</v>
      </c>
      <c r="T11" s="279" t="n"/>
      <c r="U11" s="279" t="n">
        <v>1</v>
      </c>
      <c r="V11" s="279" t="n"/>
      <c r="W11" s="279" t="n"/>
      <c r="X11" s="279" t="n">
        <v>1</v>
      </c>
      <c r="Y11" s="279" t="n"/>
      <c r="Z11" s="279" t="n"/>
      <c r="AA11" s="279" t="n"/>
      <c r="AB11" s="279" t="n">
        <v>2</v>
      </c>
      <c r="AC11" s="279" t="n"/>
      <c r="AD11" s="280" t="n">
        <v>1</v>
      </c>
      <c r="AE11" s="281" t="n">
        <v>10</v>
      </c>
      <c r="AG11" s="202">
        <f>IF(COUNT(S11:AF11)&lt;&gt;0,COUNT(S11:AF11)-1,"")</f>
        <v/>
      </c>
      <c r="AK11" s="220">
        <f>COUNTIF(M3:M12,AM11)</f>
        <v/>
      </c>
      <c r="AL11" s="225">
        <f>$Q$68</f>
        <v/>
      </c>
      <c r="AM11" s="222">
        <f>MIN(M3:M12)</f>
        <v/>
      </c>
      <c r="AN11" s="216" t="inlineStr">
        <is>
          <t>Worst KpDpR</t>
        </is>
      </c>
      <c r="AO11" s="222">
        <f>MIN(M17:M20)</f>
        <v/>
      </c>
      <c r="AP11" s="224">
        <f>$Q$96</f>
        <v/>
      </c>
      <c r="AQ11" s="220">
        <f>COUNTIF(M17:M20,AO11)</f>
        <v/>
      </c>
    </row>
    <row r="12" ht="14.25" customHeight="1" s="175">
      <c r="A12" s="267" t="inlineStr">
        <is>
          <t>Maxine</t>
        </is>
      </c>
      <c r="B12" s="268" t="n">
        <v>2</v>
      </c>
      <c r="C12" s="269" t="inlineStr">
        <is>
          <t>Grady</t>
        </is>
      </c>
      <c r="D12" s="192" t="inlineStr">
        <is>
          <t>https://discord.com/channels/191975109500731392/1212839710439776287/1410007630017073277</t>
        </is>
      </c>
      <c r="F12" s="207" t="n"/>
      <c r="G12" s="208" t="inlineStr">
        <is>
          <t>Joey</t>
        </is>
      </c>
      <c r="H12" s="209">
        <f>COUNTIF($A:$A,G12)</f>
        <v/>
      </c>
      <c r="I12" s="209">
        <f>COUNTIF($C:$C,G12)</f>
        <v/>
      </c>
      <c r="J12" s="210">
        <f>IF(I12,H12/I12,H12)</f>
        <v/>
      </c>
      <c r="K12" s="209">
        <f>IFERROR(GETPIVOTDATA("Points",$R$2,"Sniper",G12),0)</f>
        <v/>
      </c>
      <c r="L12" s="209">
        <f>IFERROR(GETPIVOTDATA("Points",$R$2,"Snipee",G12),0)</f>
        <v/>
      </c>
      <c r="M12" s="299">
        <f>IF(L12,K12/L12,K12)</f>
        <v/>
      </c>
      <c r="N12" s="210">
        <f>IF(H12,K12/H12,0)</f>
        <v/>
      </c>
      <c r="O12" s="210">
        <f>IF(I12,L12/I12,0)</f>
        <v/>
      </c>
      <c r="P12" s="300">
        <f>IFERROR(VLOOKUP(G12,R:AG,16,FALSE())/10,0)</f>
        <v/>
      </c>
      <c r="Q12" s="182" t="n"/>
      <c r="R12" s="304" t="inlineStr">
        <is>
          <t>Maxine</t>
        </is>
      </c>
      <c r="S12" s="278" t="n">
        <v>5</v>
      </c>
      <c r="T12" s="279" t="n">
        <v>1</v>
      </c>
      <c r="U12" s="279" t="n">
        <v>2</v>
      </c>
      <c r="V12" s="279" t="n">
        <v>3</v>
      </c>
      <c r="W12" s="279" t="n"/>
      <c r="X12" s="279" t="n">
        <v>1</v>
      </c>
      <c r="Y12" s="279" t="n">
        <v>1</v>
      </c>
      <c r="Z12" s="279" t="n">
        <v>7</v>
      </c>
      <c r="AA12" s="279" t="n"/>
      <c r="AB12" s="279" t="n"/>
      <c r="AC12" s="279" t="n"/>
      <c r="AD12" s="280" t="n">
        <v>1</v>
      </c>
      <c r="AE12" s="281" t="n">
        <v>21</v>
      </c>
      <c r="AG12" s="202">
        <f>IF(COUNT(S12:AF12)&lt;&gt;0,COUNT(S12:AF12)-1,"")</f>
        <v/>
      </c>
    </row>
    <row r="13" ht="14.25" customHeight="1" s="175">
      <c r="A13" s="267" t="inlineStr">
        <is>
          <t>Joey</t>
        </is>
      </c>
      <c r="B13" s="268" t="n">
        <v>2</v>
      </c>
      <c r="C13" s="269" t="inlineStr">
        <is>
          <t>Maxine</t>
        </is>
      </c>
      <c r="D13" s="192" t="inlineStr">
        <is>
          <t>https://discord.com/channels/191975109500731392/1212839710439776287/1410008608875348160</t>
        </is>
      </c>
      <c r="F13" s="207" t="n"/>
      <c r="G13" s="208" t="inlineStr">
        <is>
          <t>Reuben</t>
        </is>
      </c>
      <c r="H13" s="209">
        <f>COUNTIF($A:$A,G13)</f>
        <v/>
      </c>
      <c r="I13" s="209">
        <f>COUNTIF($C:$C,G13)</f>
        <v/>
      </c>
      <c r="J13" s="210">
        <f>IF(I13,H13/I13,H13)</f>
        <v/>
      </c>
      <c r="K13" s="209">
        <f>IFERROR(GETPIVOTDATA("Points",$R$2,"Sniper",G13),0)</f>
        <v/>
      </c>
      <c r="L13" s="209">
        <f>IFERROR(GETPIVOTDATA("Points",$R$2,"Snipee",G13),0)</f>
        <v/>
      </c>
      <c r="M13" s="299">
        <f>IF(L13,K13/L13,K13)</f>
        <v/>
      </c>
      <c r="N13" s="210">
        <f>IF(H13,K13/H13,0)</f>
        <v/>
      </c>
      <c r="O13" s="210">
        <f>IF(I13,L13/I13,0)</f>
        <v/>
      </c>
      <c r="P13" s="300">
        <f>IFERROR(VLOOKUP(G13,R:AG,16,FALSE())/10,0)</f>
        <v/>
      </c>
      <c r="Q13" s="182" t="n"/>
      <c r="R13" s="304" t="inlineStr">
        <is>
          <t>Peter</t>
        </is>
      </c>
      <c r="S13" s="282" t="n"/>
      <c r="T13" s="283" t="n"/>
      <c r="U13" s="283" t="n"/>
      <c r="V13" s="283" t="n">
        <v>1</v>
      </c>
      <c r="W13" s="283" t="n"/>
      <c r="X13" s="283" t="n">
        <v>4</v>
      </c>
      <c r="Y13" s="283" t="n">
        <v>6</v>
      </c>
      <c r="Z13" s="283" t="n"/>
      <c r="AA13" s="283" t="n"/>
      <c r="AB13" s="283" t="n"/>
      <c r="AC13" s="283" t="n"/>
      <c r="AD13" s="284" t="n"/>
      <c r="AE13" s="285" t="n">
        <v>11</v>
      </c>
      <c r="AG13" s="202">
        <f>IF(COUNT(S13:AF13)&lt;&gt;0,COUNT(S13:AF13)-1,"")</f>
        <v/>
      </c>
      <c r="AI13" s="179" t="inlineStr">
        <is>
          <t>Overall Winner Chart Decision Matrix</t>
        </is>
      </c>
      <c r="AJ13" s="180" t="n"/>
      <c r="AK13" s="180" t="n"/>
      <c r="AL13" s="180" t="n"/>
      <c r="AM13" s="180" t="n"/>
      <c r="AN13" s="180" t="n"/>
      <c r="AO13" s="180" t="n"/>
      <c r="AP13" s="180" t="n"/>
      <c r="AQ13" s="180" t="n"/>
      <c r="AR13" s="181" t="n"/>
    </row>
    <row r="14" ht="14.25" customHeight="1" s="175">
      <c r="A14" s="267" t="inlineStr">
        <is>
          <t>Anthony</t>
        </is>
      </c>
      <c r="B14" s="268" t="n">
        <v>1</v>
      </c>
      <c r="C14" s="269" t="inlineStr">
        <is>
          <t>Grady</t>
        </is>
      </c>
      <c r="D14" s="192" t="inlineStr">
        <is>
          <t>https://discord.com/channels/191975109500731392/1212839710439776287/1410332558209843361</t>
        </is>
      </c>
      <c r="F14" s="207" t="n"/>
      <c r="Q14" s="182" t="n"/>
      <c r="R14" s="237" t="inlineStr">
        <is>
          <t>Total Result</t>
        </is>
      </c>
      <c r="S14" s="286" t="n">
        <v>15</v>
      </c>
      <c r="T14" s="287" t="n">
        <v>5</v>
      </c>
      <c r="U14" s="287" t="n">
        <v>5</v>
      </c>
      <c r="V14" s="287" t="n">
        <v>6</v>
      </c>
      <c r="W14" s="287" t="n">
        <v>7</v>
      </c>
      <c r="X14" s="287" t="n">
        <v>10</v>
      </c>
      <c r="Y14" s="287" t="n">
        <v>19</v>
      </c>
      <c r="Z14" s="287" t="n">
        <v>20</v>
      </c>
      <c r="AA14" s="287" t="n">
        <v>4</v>
      </c>
      <c r="AB14" s="287" t="n">
        <v>9</v>
      </c>
      <c r="AC14" s="287" t="n">
        <v>6</v>
      </c>
      <c r="AD14" s="288" t="n">
        <v>7</v>
      </c>
      <c r="AE14" s="239" t="n">
        <v>113</v>
      </c>
      <c r="AG14" s="202">
        <f>IF(COUNT(S14:AF14)&lt;&gt;0,COUNT(S14:AF14)-1,"")</f>
        <v/>
      </c>
      <c r="AI14" s="226" t="inlineStr">
        <is>
          <t>Person:</t>
        </is>
      </c>
      <c r="AJ14" s="206" t="inlineStr">
        <is>
          <t>Kills</t>
        </is>
      </c>
      <c r="AK14" s="206" t="inlineStr">
        <is>
          <t>Deaths</t>
        </is>
      </c>
      <c r="AL14" s="206" t="inlineStr">
        <is>
          <t>KDR</t>
        </is>
      </c>
      <c r="AM14" s="206" t="inlineStr">
        <is>
          <t>Kill Points</t>
        </is>
      </c>
      <c r="AN14" s="206" t="inlineStr">
        <is>
          <t>Death Points</t>
        </is>
      </c>
      <c r="AO14" s="206" t="inlineStr">
        <is>
          <t>KpDpR</t>
        </is>
      </c>
      <c r="AP14" s="206" t="inlineStr">
        <is>
          <t>KPts/Kill</t>
        </is>
      </c>
      <c r="AQ14" s="206" t="inlineStr">
        <is>
          <t>DPts/Death</t>
        </is>
      </c>
      <c r="AR14" s="227" t="inlineStr">
        <is>
          <t>Full Sweep %</t>
        </is>
      </c>
    </row>
    <row r="15" ht="14.25" customHeight="1" s="175">
      <c r="A15" s="267" t="inlineStr">
        <is>
          <t>Grady</t>
        </is>
      </c>
      <c r="B15" s="268" t="n">
        <v>1</v>
      </c>
      <c r="C15" s="269" t="inlineStr">
        <is>
          <t>Evan</t>
        </is>
      </c>
      <c r="D15" s="192" t="inlineStr">
        <is>
          <t>https://discord.com/channels/191975109500731392/1212839710439776287/1410335945701720236</t>
        </is>
      </c>
      <c r="F15" s="207" t="n"/>
      <c r="G15" s="179" t="inlineStr">
        <is>
          <t>Data By Voice Part (average/person):</t>
        </is>
      </c>
      <c r="H15" s="180" t="n"/>
      <c r="I15" s="180" t="n"/>
      <c r="J15" s="180" t="n"/>
      <c r="K15" s="180" t="n"/>
      <c r="L15" s="180" t="n"/>
      <c r="M15" s="180" t="n"/>
      <c r="N15" s="180" t="n"/>
      <c r="O15" s="181" t="n"/>
      <c r="Q15" s="182" t="n"/>
      <c r="AG15" s="202">
        <f>IF(COUNT(S15:AF15)&lt;&gt;0,COUNT(S15:AF15)-1,"")</f>
        <v/>
      </c>
      <c r="AI15" s="228" t="inlineStr">
        <is>
          <t>Weight:</t>
        </is>
      </c>
      <c r="AJ15" s="229" t="n">
        <v>7.5</v>
      </c>
      <c r="AK15" s="230" t="n">
        <v>-6</v>
      </c>
      <c r="AL15" s="230" t="n">
        <v>25</v>
      </c>
      <c r="AM15" s="230" t="n">
        <v>8.5</v>
      </c>
      <c r="AN15" s="230" t="n">
        <v>-6.5</v>
      </c>
      <c r="AO15" s="230" t="n">
        <v>25</v>
      </c>
      <c r="AP15" s="230" t="n">
        <v>20</v>
      </c>
      <c r="AQ15" s="230" t="n">
        <v>-20</v>
      </c>
      <c r="AR15" s="231" t="n">
        <v>250</v>
      </c>
      <c r="AS15" s="216" t="inlineStr">
        <is>
          <t>Totals:</t>
        </is>
      </c>
    </row>
    <row r="16" ht="14.25" customHeight="1" s="175">
      <c r="A16" s="267" t="inlineStr">
        <is>
          <t>Evan</t>
        </is>
      </c>
      <c r="B16" s="268" t="n">
        <v>2</v>
      </c>
      <c r="C16" s="269" t="inlineStr">
        <is>
          <t>Grady</t>
        </is>
      </c>
      <c r="D16" s="192" t="inlineStr">
        <is>
          <t>https://discord.com/channels/191975109500731392/1212839710439776287/1410336024990580896</t>
        </is>
      </c>
      <c r="F16" s="207" t="n"/>
      <c r="G16" s="226" t="inlineStr">
        <is>
          <t>Part:</t>
        </is>
      </c>
      <c r="H16" s="206" t="inlineStr">
        <is>
          <t>Kills</t>
        </is>
      </c>
      <c r="I16" s="206" t="inlineStr">
        <is>
          <t>Deaths</t>
        </is>
      </c>
      <c r="J16" s="206" t="inlineStr">
        <is>
          <t>KDR</t>
        </is>
      </c>
      <c r="K16" s="206" t="inlineStr">
        <is>
          <t>Kill Points</t>
        </is>
      </c>
      <c r="L16" s="206" t="inlineStr">
        <is>
          <t>Death Points</t>
        </is>
      </c>
      <c r="M16" s="206" t="inlineStr">
        <is>
          <t>KpDpR</t>
        </is>
      </c>
      <c r="N16" s="196" t="inlineStr">
        <is>
          <t>KPts/Kill</t>
        </is>
      </c>
      <c r="O16" s="206" t="inlineStr">
        <is>
          <t>DPts/Death</t>
        </is>
      </c>
      <c r="Q16" s="232" t="n"/>
      <c r="AI16" s="305" t="inlineStr">
        <is>
          <t>Carter</t>
        </is>
      </c>
      <c r="AJ16" s="209">
        <f>H3*$AJ$15</f>
        <v/>
      </c>
      <c r="AK16" s="233">
        <f>I3*$AK$15</f>
        <v/>
      </c>
      <c r="AL16" s="234">
        <f>J3*$AL$15</f>
        <v/>
      </c>
      <c r="AM16" s="306">
        <f>K3*$AM$15</f>
        <v/>
      </c>
      <c r="AN16" s="306">
        <f>L3*$AN$15</f>
        <v/>
      </c>
      <c r="AO16" s="307">
        <f>M3*$AO$15</f>
        <v/>
      </c>
      <c r="AP16" s="234">
        <f>N3*$AP$15</f>
        <v/>
      </c>
      <c r="AQ16" s="234">
        <f>O3*$AQ$15</f>
        <v/>
      </c>
      <c r="AR16" s="308">
        <f>P3*$AR$15</f>
        <v/>
      </c>
      <c r="AS16" s="236">
        <f>SUM(AJ16:AR16)</f>
        <v/>
      </c>
    </row>
    <row r="17" ht="14.25" customHeight="1" s="175">
      <c r="A17" s="267" t="inlineStr">
        <is>
          <t>Ethan</t>
        </is>
      </c>
      <c r="B17" s="268" t="n">
        <v>2</v>
      </c>
      <c r="C17" s="269" t="inlineStr">
        <is>
          <t>Grady</t>
        </is>
      </c>
      <c r="D17" s="192" t="inlineStr">
        <is>
          <t>https://discord.com/channels/191975109500731392/1212839710439776287/1410639167771246605</t>
        </is>
      </c>
      <c r="F17" s="207" t="n"/>
      <c r="G17" s="208" t="inlineStr">
        <is>
          <t>Tenors</t>
        </is>
      </c>
      <c r="H17" s="241">
        <f>SUM(H3:H4)/COUNT(H3:H4)</f>
        <v/>
      </c>
      <c r="I17" s="241">
        <f>SUM(I3:I4)/COUNT(I3:I4)</f>
        <v/>
      </c>
      <c r="J17" s="242">
        <f>IF(I17,H17/I17,H17)</f>
        <v/>
      </c>
      <c r="K17" s="241">
        <f>SUM(K3:K4)/COUNT(K3:K4)</f>
        <v/>
      </c>
      <c r="L17" s="241">
        <f>SUM(L3:L4)/COUNT(L3:L4)</f>
        <v/>
      </c>
      <c r="M17" s="242">
        <f>IF(L17,K17/L17,K17)</f>
        <v/>
      </c>
      <c r="N17" s="243">
        <f>IF(H17,K17/H17,0)</f>
        <v/>
      </c>
      <c r="O17" s="244">
        <f>IF(I17,L17/I17,0)</f>
        <v/>
      </c>
      <c r="AF17" s="240" t="n"/>
      <c r="AG17" s="240">
        <f>IF(COUNT(S17:AE17)&lt;&gt;0,COUNT(S17:AE17)-1,"")</f>
        <v/>
      </c>
      <c r="AI17" s="208" t="inlineStr">
        <is>
          <t>Grady</t>
        </is>
      </c>
      <c r="AJ17" s="209">
        <f>H4*$AJ$15</f>
        <v/>
      </c>
      <c r="AK17" s="233">
        <f>I4*$AK$15</f>
        <v/>
      </c>
      <c r="AL17" s="234">
        <f>J4*$AL$15</f>
        <v/>
      </c>
      <c r="AM17" s="306">
        <f>K4*$AM$15</f>
        <v/>
      </c>
      <c r="AN17" s="306">
        <f>L4*$AN$15</f>
        <v/>
      </c>
      <c r="AO17" s="307">
        <f>M4*$AO$15</f>
        <v/>
      </c>
      <c r="AP17" s="234">
        <f>N4*$AP$15</f>
        <v/>
      </c>
      <c r="AQ17" s="234">
        <f>O4*$AQ$15</f>
        <v/>
      </c>
      <c r="AR17" s="308">
        <f>P4*$AR$15</f>
        <v/>
      </c>
      <c r="AS17" s="236">
        <f>SUM(AJ17:AR17)</f>
        <v/>
      </c>
    </row>
    <row r="18" ht="14.25" customHeight="1" s="175">
      <c r="A18" s="267" t="inlineStr">
        <is>
          <t>Carter</t>
        </is>
      </c>
      <c r="B18" s="268" t="n">
        <v>1</v>
      </c>
      <c r="C18" s="269" t="inlineStr">
        <is>
          <t>Joey</t>
        </is>
      </c>
      <c r="D18" s="192" t="inlineStr">
        <is>
          <t>https://discord.com/channels/191975109500731392/1212839710439776287/1410663859739562084</t>
        </is>
      </c>
      <c r="F18" s="207" t="n"/>
      <c r="G18" s="208" t="inlineStr">
        <is>
          <t>Leads</t>
        </is>
      </c>
      <c r="H18" s="241">
        <f>SUM(H5:H7)/COUNT(H5:H7)</f>
        <v/>
      </c>
      <c r="I18" s="241">
        <f>SUM(I5:I7)/COUNT(I5:I7)</f>
        <v/>
      </c>
      <c r="J18" s="242">
        <f>IF(I18,H18/I18,H18)</f>
        <v/>
      </c>
      <c r="K18" s="241">
        <f>SUM(K5:K7)/COUNT(K5:K7)</f>
        <v/>
      </c>
      <c r="L18" s="241">
        <f>SUM(L5:L7)/COUNT(L5:L7)</f>
        <v/>
      </c>
      <c r="M18" s="242">
        <f>IF(L18,K18/L18,K18)</f>
        <v/>
      </c>
      <c r="N18" s="243">
        <f>IF(H18,K18/H18,0)</f>
        <v/>
      </c>
      <c r="O18" s="244">
        <f>IF(I18,L18/I18,0)</f>
        <v/>
      </c>
      <c r="U18" s="240" t="n"/>
      <c r="V18" s="240" t="n"/>
      <c r="W18" s="240" t="n"/>
      <c r="X18" s="240" t="n"/>
      <c r="Y18" s="240" t="n"/>
      <c r="Z18" s="240" t="n"/>
      <c r="AA18" s="240" t="n"/>
      <c r="AB18" s="240" t="n"/>
      <c r="AC18" s="240" t="n"/>
      <c r="AD18" s="240" t="n"/>
      <c r="AE18" s="240" t="n"/>
      <c r="AF18" s="240" t="n"/>
      <c r="AG18" s="240">
        <f>IF(COUNT(S18:AE18)&lt;&gt;0,COUNT(S18:AE18)-1,"")</f>
        <v/>
      </c>
      <c r="AI18" s="208" t="inlineStr">
        <is>
          <t>Cooper</t>
        </is>
      </c>
      <c r="AJ18" s="209">
        <f>H5*$AJ$15</f>
        <v/>
      </c>
      <c r="AK18" s="233">
        <f>I5*$AK$15</f>
        <v/>
      </c>
      <c r="AL18" s="234">
        <f>J5*$AL$15</f>
        <v/>
      </c>
      <c r="AM18" s="306">
        <f>K5*$AM$15</f>
        <v/>
      </c>
      <c r="AN18" s="306">
        <f>L5*$AN$15</f>
        <v/>
      </c>
      <c r="AO18" s="307">
        <f>M5*$AO$15</f>
        <v/>
      </c>
      <c r="AP18" s="234">
        <f>N5*$AP$15</f>
        <v/>
      </c>
      <c r="AQ18" s="234">
        <f>O5*$AQ$15</f>
        <v/>
      </c>
      <c r="AR18" s="308">
        <f>P5*$AR$15</f>
        <v/>
      </c>
      <c r="AS18" s="236">
        <f>SUM(AJ18:AR18)</f>
        <v/>
      </c>
    </row>
    <row r="19" ht="14.25" customHeight="1" s="175">
      <c r="A19" s="267" t="inlineStr">
        <is>
          <t>Joey</t>
        </is>
      </c>
      <c r="B19" s="268" t="n">
        <v>1</v>
      </c>
      <c r="C19" s="269" t="inlineStr">
        <is>
          <t>Carter</t>
        </is>
      </c>
      <c r="D19" s="192" t="inlineStr">
        <is>
          <t>https://discord.com/channels/191975109500731392/1212839710439776287/1410663870829166733</t>
        </is>
      </c>
      <c r="E19" s="173" t="n">
        <v>1</v>
      </c>
      <c r="F19" s="207" t="n"/>
      <c r="G19" s="208" t="inlineStr">
        <is>
          <t>Baris</t>
        </is>
      </c>
      <c r="H19" s="241">
        <f>SUM(H8:H9)/COUNT(H8:H9)</f>
        <v/>
      </c>
      <c r="I19" s="241">
        <f>SUM(I8:I9)/COUNT(I8:I9)</f>
        <v/>
      </c>
      <c r="J19" s="242">
        <f>IF(I19,H19/I19,H19)</f>
        <v/>
      </c>
      <c r="K19" s="241">
        <f>SUM(K8:K9)/COUNT(K8:K9)</f>
        <v/>
      </c>
      <c r="L19" s="241">
        <f>SUM(L8:L9)/COUNT(L8:L9)</f>
        <v/>
      </c>
      <c r="M19" s="242">
        <f>IF(L19,K19/L19,K19)</f>
        <v/>
      </c>
      <c r="N19" s="243">
        <f>IF(H19,K19/H19,0)</f>
        <v/>
      </c>
      <c r="O19" s="244">
        <f>IF(I19,L19/I19,0)</f>
        <v/>
      </c>
      <c r="U19" s="240" t="n"/>
      <c r="V19" s="240" t="n"/>
      <c r="W19" s="240" t="n"/>
      <c r="X19" s="240" t="n"/>
      <c r="Y19" s="240" t="n"/>
      <c r="Z19" s="240" t="n"/>
      <c r="AA19" s="240" t="n"/>
      <c r="AB19" s="240" t="n"/>
      <c r="AC19" s="240" t="n"/>
      <c r="AD19" s="240" t="n"/>
      <c r="AE19" s="240" t="n"/>
      <c r="AF19" s="240" t="n"/>
      <c r="AG19" s="240">
        <f>IF(COUNT(S19:AE19)&lt;&gt;0,COUNT(S19:AE19)-1,"")</f>
        <v/>
      </c>
      <c r="AI19" s="208" t="inlineStr">
        <is>
          <t>Maxine</t>
        </is>
      </c>
      <c r="AJ19" s="209">
        <f>H6*$AJ$15</f>
        <v/>
      </c>
      <c r="AK19" s="233">
        <f>I6*$AK$15</f>
        <v/>
      </c>
      <c r="AL19" s="234">
        <f>J6*$AL$15</f>
        <v/>
      </c>
      <c r="AM19" s="306">
        <f>K6*$AM$15</f>
        <v/>
      </c>
      <c r="AN19" s="306">
        <f>L6*$AN$15</f>
        <v/>
      </c>
      <c r="AO19" s="307">
        <f>M6*$AO$15</f>
        <v/>
      </c>
      <c r="AP19" s="234">
        <f>N6*$AP$15</f>
        <v/>
      </c>
      <c r="AQ19" s="234">
        <f>O6*$AQ$15</f>
        <v/>
      </c>
      <c r="AR19" s="308">
        <f>P6*$AR$15</f>
        <v/>
      </c>
      <c r="AS19" s="236">
        <f>SUM(AJ19:AR19)</f>
        <v/>
      </c>
    </row>
    <row r="20" ht="14.25" customHeight="1" s="175">
      <c r="A20" s="267" t="inlineStr">
        <is>
          <t>Maxine</t>
        </is>
      </c>
      <c r="B20" s="268" t="n">
        <v>1</v>
      </c>
      <c r="C20" s="269" t="inlineStr">
        <is>
          <t>Evan</t>
        </is>
      </c>
      <c r="D20" s="192" t="inlineStr">
        <is>
          <t>https://discord.com/channels/191975109500731392/1212839710439776287/1410705434746159115</t>
        </is>
      </c>
      <c r="F20" s="207" t="n"/>
      <c r="G20" s="208" t="inlineStr">
        <is>
          <t>Basses</t>
        </is>
      </c>
      <c r="H20" s="241">
        <f>SUM(H10:H13)/COUNT(H10:H13)</f>
        <v/>
      </c>
      <c r="I20" s="241">
        <f>SUM(I10:I13)/COUNT(I10:I13)</f>
        <v/>
      </c>
      <c r="J20" s="242">
        <f>IF(I20,H20/I20,H20)</f>
        <v/>
      </c>
      <c r="K20" s="241">
        <f>SUM(K10:K13)/COUNT(K10:K13)</f>
        <v/>
      </c>
      <c r="L20" s="241">
        <f>SUM(L10:L13)/COUNT(L10:L13)</f>
        <v/>
      </c>
      <c r="M20" s="242">
        <f>IF(L20,K20/L20,K20)</f>
        <v/>
      </c>
      <c r="N20" s="243">
        <f>IF(H20,K20/H20,0)</f>
        <v/>
      </c>
      <c r="O20" s="244">
        <f>IF(I20,L20/I20,0)</f>
        <v/>
      </c>
      <c r="S20" s="240" t="n"/>
      <c r="T20" s="240" t="n"/>
      <c r="U20" s="240" t="n"/>
      <c r="V20" s="240" t="n"/>
      <c r="W20" s="240" t="n"/>
      <c r="X20" s="240" t="n"/>
      <c r="Y20" s="240" t="n"/>
      <c r="Z20" s="240" t="n"/>
      <c r="AA20" s="240" t="n"/>
      <c r="AB20" s="240" t="n"/>
      <c r="AC20" s="240" t="n"/>
      <c r="AD20" s="240" t="n"/>
      <c r="AE20" s="240" t="n"/>
      <c r="AF20" s="240" t="n"/>
      <c r="AG20" s="240">
        <f>IF(COUNT(S20:AE20)&lt;&gt;0,COUNT(S20:AE20)-1,"")</f>
        <v/>
      </c>
      <c r="AI20" s="208" t="inlineStr">
        <is>
          <t>Evan</t>
        </is>
      </c>
      <c r="AJ20" s="209">
        <f>H7*$AJ$15</f>
        <v/>
      </c>
      <c r="AK20" s="233">
        <f>I7*$AK$15</f>
        <v/>
      </c>
      <c r="AL20" s="234">
        <f>J7*$AL$15</f>
        <v/>
      </c>
      <c r="AM20" s="306">
        <f>K7*$AM$15</f>
        <v/>
      </c>
      <c r="AN20" s="306">
        <f>L7*$AN$15</f>
        <v/>
      </c>
      <c r="AO20" s="307">
        <f>M7*$AO$15</f>
        <v/>
      </c>
      <c r="AP20" s="234">
        <f>N7*$AP$15</f>
        <v/>
      </c>
      <c r="AQ20" s="234">
        <f>O7*$AQ$15</f>
        <v/>
      </c>
      <c r="AR20" s="308">
        <f>P7*$AR$15</f>
        <v/>
      </c>
      <c r="AS20" s="236">
        <f>SUM(AJ20:AR20)</f>
        <v/>
      </c>
    </row>
    <row r="21" ht="14.25" customHeight="1" s="175">
      <c r="A21" s="267" t="inlineStr">
        <is>
          <t>Evan</t>
        </is>
      </c>
      <c r="B21" s="268" t="n">
        <v>1</v>
      </c>
      <c r="C21" s="269" t="inlineStr">
        <is>
          <t>Erick</t>
        </is>
      </c>
      <c r="D21" s="192" t="inlineStr">
        <is>
          <t>https://discord.com/channels/191975109500731392/1212839710439776287/1410705462600667298</t>
        </is>
      </c>
      <c r="E21" s="173" t="n"/>
      <c r="F21" s="207" t="n"/>
      <c r="G21" s="247" t="inlineStr">
        <is>
          <t>Basses (No Reuben)</t>
        </is>
      </c>
      <c r="H21" s="241">
        <f>SUM(H10:H12)/COUNT(H10:H12)</f>
        <v/>
      </c>
      <c r="I21" s="241">
        <f>SUM(I10:I12)/COUNT(I10:I12)</f>
        <v/>
      </c>
      <c r="J21" s="242">
        <f>IF(I21,H21/I21,H21)</f>
        <v/>
      </c>
      <c r="K21" s="241">
        <f>SUM(K10:K12)/COUNT(K10:K12)</f>
        <v/>
      </c>
      <c r="L21" s="241">
        <f>SUM(L10:L12)/COUNT(L10:L12)</f>
        <v/>
      </c>
      <c r="M21" s="242">
        <f>IF(L21,K21/L21,K21)</f>
        <v/>
      </c>
      <c r="N21" s="243">
        <f>IF(H21,K21/H21,0)</f>
        <v/>
      </c>
      <c r="O21" s="244">
        <f>IF(I21,L21/I21,0)</f>
        <v/>
      </c>
      <c r="S21" s="240" t="n"/>
      <c r="T21" s="240" t="n"/>
      <c r="U21" s="240" t="n"/>
      <c r="V21" s="240" t="n"/>
      <c r="W21" s="240" t="n"/>
      <c r="X21" s="240" t="n"/>
      <c r="Y21" s="240" t="n"/>
      <c r="Z21" s="240" t="n"/>
      <c r="AA21" s="240" t="n"/>
      <c r="AB21" s="240" t="n"/>
      <c r="AC21" s="240" t="n"/>
      <c r="AD21" s="240" t="n"/>
      <c r="AE21" s="240" t="n"/>
      <c r="AF21" s="240" t="n"/>
      <c r="AG21" s="240">
        <f>IF(COUNT(S21:AE21)&lt;&gt;0,COUNT(S21:AE21)-1,"")</f>
        <v/>
      </c>
      <c r="AI21" s="208" t="inlineStr">
        <is>
          <t>Ethan</t>
        </is>
      </c>
      <c r="AJ21" s="209">
        <f>H8*$AJ$15</f>
        <v/>
      </c>
      <c r="AK21" s="233">
        <f>I8*$AK$15</f>
        <v/>
      </c>
      <c r="AL21" s="234">
        <f>J8*$AL$15</f>
        <v/>
      </c>
      <c r="AM21" s="306">
        <f>K8*$AM$15</f>
        <v/>
      </c>
      <c r="AN21" s="306">
        <f>L8*$AN$15</f>
        <v/>
      </c>
      <c r="AO21" s="307">
        <f>M8*$AO$15</f>
        <v/>
      </c>
      <c r="AP21" s="234">
        <f>N8*$AP$15</f>
        <v/>
      </c>
      <c r="AQ21" s="234">
        <f>O8*$AQ$15</f>
        <v/>
      </c>
      <c r="AR21" s="308">
        <f>P8*$AR$15</f>
        <v/>
      </c>
      <c r="AS21" s="236">
        <f>SUM(AJ21:AR21)</f>
        <v/>
      </c>
    </row>
    <row r="22" ht="14.25" customHeight="1" s="175">
      <c r="A22" s="267" t="inlineStr">
        <is>
          <t>Evan</t>
        </is>
      </c>
      <c r="B22" s="268" t="n">
        <v>1</v>
      </c>
      <c r="C22" s="269" t="inlineStr">
        <is>
          <t>Maxine</t>
        </is>
      </c>
      <c r="D22" s="192" t="inlineStr">
        <is>
          <t>https://discord.com/channels/191975109500731392/1212839710439776287/1410705462600667298</t>
        </is>
      </c>
      <c r="F22" s="192" t="n"/>
      <c r="Q22" s="245" t="n"/>
      <c r="R22" s="289" t="inlineStr">
        <is>
          <t>Carter Data :)</t>
        </is>
      </c>
      <c r="S22" s="215" t="inlineStr">
        <is>
          <t>Total</t>
        </is>
      </c>
      <c r="T22" s="290" t="inlineStr">
        <is>
          <t>Yes</t>
        </is>
      </c>
      <c r="U22" s="291" t="inlineStr">
        <is>
          <t>No</t>
        </is>
      </c>
      <c r="V22" s="292" t="inlineStr">
        <is>
          <t>Ratio</t>
        </is>
      </c>
      <c r="AG22" s="240">
        <f>IF(COUNT(S22:AE22)&lt;&gt;0,COUNT(S22:AE22)-1,"")</f>
        <v/>
      </c>
      <c r="AI22" s="208" t="inlineStr">
        <is>
          <t>Anthony</t>
        </is>
      </c>
      <c r="AJ22" s="209">
        <f>H9*$AJ$15</f>
        <v/>
      </c>
      <c r="AK22" s="233">
        <f>I9*$AK$15</f>
        <v/>
      </c>
      <c r="AL22" s="234">
        <f>J9*$AL$15</f>
        <v/>
      </c>
      <c r="AM22" s="306">
        <f>K9*$AM$15</f>
        <v/>
      </c>
      <c r="AN22" s="306">
        <f>L9*$AN$15</f>
        <v/>
      </c>
      <c r="AO22" s="307">
        <f>M9*$AO$15</f>
        <v/>
      </c>
      <c r="AP22" s="234">
        <f>N9*$AP$15</f>
        <v/>
      </c>
      <c r="AQ22" s="234">
        <f>O9*$AQ$15</f>
        <v/>
      </c>
      <c r="AR22" s="308">
        <f>P9*$AR$15</f>
        <v/>
      </c>
      <c r="AS22" s="236">
        <f>SUM(AJ22:AR22)</f>
        <v/>
      </c>
    </row>
    <row r="23" ht="14.25" customHeight="1" s="175">
      <c r="A23" s="267" t="inlineStr">
        <is>
          <t>Erick</t>
        </is>
      </c>
      <c r="B23" s="268" t="n">
        <v>1</v>
      </c>
      <c r="C23" s="269" t="inlineStr">
        <is>
          <t>Evan</t>
        </is>
      </c>
      <c r="D23" s="192" t="inlineStr">
        <is>
          <t>https://discord.com/channels/191975109500731392/1212839710439776287/1410705595178160138</t>
        </is>
      </c>
      <c r="F23" s="207" t="n"/>
      <c r="Q23" s="245" t="n"/>
      <c r="R23" s="221" t="inlineStr">
        <is>
          <t>Asriel Data:</t>
        </is>
      </c>
      <c r="S23" s="215">
        <f>COUNT(E:E)</f>
        <v/>
      </c>
      <c r="T23" s="290">
        <f>COUNTIF(E:E,1)</f>
        <v/>
      </c>
      <c r="U23" s="291">
        <f>S23-T23</f>
        <v/>
      </c>
      <c r="V23" s="293">
        <f>IFERROR(T23/S23,0)</f>
        <v/>
      </c>
      <c r="AI23" s="208" t="inlineStr">
        <is>
          <t>Peter</t>
        </is>
      </c>
      <c r="AJ23" s="209">
        <f>H10*$AJ$15</f>
        <v/>
      </c>
      <c r="AK23" s="233">
        <f>I10*$AK$15</f>
        <v/>
      </c>
      <c r="AL23" s="234">
        <f>J10*$AL$15</f>
        <v/>
      </c>
      <c r="AM23" s="306">
        <f>K10*$AM$15</f>
        <v/>
      </c>
      <c r="AN23" s="306">
        <f>L10*$AN$15</f>
        <v/>
      </c>
      <c r="AO23" s="307">
        <f>M10*$AO$15</f>
        <v/>
      </c>
      <c r="AP23" s="234">
        <f>N10*$AP$15</f>
        <v/>
      </c>
      <c r="AQ23" s="234">
        <f>O10*$AQ$15</f>
        <v/>
      </c>
      <c r="AR23" s="308">
        <f>P10*$AR$15</f>
        <v/>
      </c>
      <c r="AS23" s="236">
        <f>SUM(AJ23:AR23)</f>
        <v/>
      </c>
    </row>
    <row r="24" ht="14.25" customHeight="1" s="175">
      <c r="A24" s="267" t="inlineStr">
        <is>
          <t>Joey</t>
        </is>
      </c>
      <c r="B24" s="268" t="n">
        <v>1</v>
      </c>
      <c r="C24" s="269" t="inlineStr">
        <is>
          <t>Ethan</t>
        </is>
      </c>
      <c r="D24" s="192" t="inlineStr">
        <is>
          <t>https://discord.com/channels/191975109500731392/1212839710439776287/1410732645112877098</t>
        </is>
      </c>
      <c r="F24" s="192" t="n"/>
      <c r="J24" s="246" t="n"/>
      <c r="K24" s="246" t="n"/>
      <c r="L24" s="246" t="n"/>
      <c r="M24" s="260" t="n"/>
      <c r="N24" s="260" t="n"/>
      <c r="O24" s="260" t="n"/>
      <c r="Q24" s="182" t="n"/>
      <c r="AD24" s="246" t="n"/>
      <c r="AI24" s="208" t="inlineStr">
        <is>
          <t>Erick</t>
        </is>
      </c>
      <c r="AJ24" s="209">
        <f>H11*$AJ$15</f>
        <v/>
      </c>
      <c r="AK24" s="233">
        <f>I11*$AK$15</f>
        <v/>
      </c>
      <c r="AL24" s="234">
        <f>J11*$AL$15</f>
        <v/>
      </c>
      <c r="AM24" s="306">
        <f>K11*$AM$15</f>
        <v/>
      </c>
      <c r="AN24" s="306">
        <f>L11*$AN$15</f>
        <v/>
      </c>
      <c r="AO24" s="307">
        <f>M11*$AO$15</f>
        <v/>
      </c>
      <c r="AP24" s="234">
        <f>N11*$AP$15</f>
        <v/>
      </c>
      <c r="AQ24" s="234">
        <f>O11*$AQ$15</f>
        <v/>
      </c>
      <c r="AR24" s="308">
        <f>P11*$AR$15</f>
        <v/>
      </c>
      <c r="AS24" s="236">
        <f>SUM(AJ24:AR24)</f>
        <v/>
      </c>
    </row>
    <row r="25" ht="14.25" customHeight="1" s="175">
      <c r="A25" s="267" t="inlineStr">
        <is>
          <t>Ethan</t>
        </is>
      </c>
      <c r="B25" s="268" t="n">
        <v>1</v>
      </c>
      <c r="C25" s="269" t="inlineStr">
        <is>
          <t>Joey</t>
        </is>
      </c>
      <c r="D25" s="192" t="inlineStr">
        <is>
          <t>https://discord.com/channels/191975109500731392/1212839710439776287/1410732710246223934</t>
        </is>
      </c>
      <c r="F25" s="207" t="n"/>
      <c r="G25" s="208" t="inlineStr">
        <is>
          <t>Person:</t>
        </is>
      </c>
      <c r="H25" s="216" t="inlineStr">
        <is>
          <t>Kills</t>
        </is>
      </c>
      <c r="Q25" s="208" t="inlineStr">
        <is>
          <t>Person:</t>
        </is>
      </c>
      <c r="R25" s="216" t="inlineStr">
        <is>
          <t>Kill Points</t>
        </is>
      </c>
      <c r="AI25" s="208" t="inlineStr">
        <is>
          <t>Joey</t>
        </is>
      </c>
      <c r="AJ25" s="209">
        <f>H12*$AJ$15</f>
        <v/>
      </c>
      <c r="AK25" s="233">
        <f>I12*$AK$15</f>
        <v/>
      </c>
      <c r="AL25" s="234">
        <f>J12*$AL$15</f>
        <v/>
      </c>
      <c r="AM25" s="306">
        <f>K12*$AM$15</f>
        <v/>
      </c>
      <c r="AN25" s="306">
        <f>L12*$AN$15</f>
        <v/>
      </c>
      <c r="AO25" s="307">
        <f>M12*$AO$15</f>
        <v/>
      </c>
      <c r="AP25" s="234">
        <f>N12*$AP$15</f>
        <v/>
      </c>
      <c r="AQ25" s="234">
        <f>O12*$AQ$15</f>
        <v/>
      </c>
      <c r="AR25" s="308">
        <f>P12*$AR$15</f>
        <v/>
      </c>
      <c r="AS25" s="236">
        <f>SUM(AJ25:AR25)</f>
        <v/>
      </c>
    </row>
    <row r="26" ht="14.25" customHeight="1" s="175">
      <c r="A26" s="267" t="inlineStr">
        <is>
          <t>Ethan</t>
        </is>
      </c>
      <c r="B26" s="268" t="n">
        <v>2</v>
      </c>
      <c r="C26" s="269" t="inlineStr">
        <is>
          <t>Joey</t>
        </is>
      </c>
      <c r="D26" s="192" t="inlineStr">
        <is>
          <t>https://discord.com/channels/191975109500731392/1212839710439776287/1411033855988863098</t>
        </is>
      </c>
      <c r="F26" s="207" t="n"/>
      <c r="G26" s="208" t="inlineStr">
        <is>
          <t>Ethan</t>
        </is>
      </c>
      <c r="H26" s="209">
        <f>VLOOKUP(G26,$G$3:$P$13,2,FALSE())</f>
        <v/>
      </c>
      <c r="Q26" s="208" t="inlineStr">
        <is>
          <t>Ethan</t>
        </is>
      </c>
      <c r="R26" s="209">
        <f>VLOOKUP(Q26,$G$3:$P$13,5,FALSE())</f>
        <v/>
      </c>
      <c r="AI26" s="208" t="inlineStr">
        <is>
          <t>Reuben</t>
        </is>
      </c>
      <c r="AJ26" s="209">
        <f>H13*$AJ$15</f>
        <v/>
      </c>
      <c r="AK26" s="233">
        <f>I13*$AK$15</f>
        <v/>
      </c>
      <c r="AL26" s="234">
        <f>J13*$AL$15</f>
        <v/>
      </c>
      <c r="AM26" s="306">
        <f>K13*$AM$15</f>
        <v/>
      </c>
      <c r="AN26" s="306">
        <f>L13*$AN$15</f>
        <v/>
      </c>
      <c r="AO26" s="307">
        <f>M13*$AO$15</f>
        <v/>
      </c>
      <c r="AP26" s="234">
        <f>N13*$AP$15</f>
        <v/>
      </c>
      <c r="AQ26" s="234">
        <f>O13*$AQ$15</f>
        <v/>
      </c>
      <c r="AR26" s="308">
        <f>P13*$AR$15</f>
        <v/>
      </c>
      <c r="AS26" s="236">
        <f>SUM(AJ26:AR26)</f>
        <v/>
      </c>
    </row>
    <row r="27" ht="14.25" customHeight="1" s="175">
      <c r="A27" s="267" t="inlineStr">
        <is>
          <t>Maxine</t>
        </is>
      </c>
      <c r="B27" s="268" t="n">
        <v>1</v>
      </c>
      <c r="C27" s="269" t="inlineStr">
        <is>
          <t>Reuben</t>
        </is>
      </c>
      <c r="D27" s="192" t="inlineStr">
        <is>
          <t>https://discord.com/channels/191975109500731392/1212839710439776287/1411811860440682547</t>
        </is>
      </c>
      <c r="F27" s="192" t="n"/>
      <c r="G27" s="208" t="inlineStr">
        <is>
          <t>Maxine</t>
        </is>
      </c>
      <c r="H27" s="209">
        <f>VLOOKUP(G27,$G$3:$P$13,2,FALSE())</f>
        <v/>
      </c>
      <c r="Q27" s="208" t="inlineStr">
        <is>
          <t>Maxine</t>
        </is>
      </c>
      <c r="R27" s="209">
        <f>VLOOKUP(Q27,$G$3:$P$13,5,FALSE())</f>
        <v/>
      </c>
    </row>
    <row r="28" ht="14.25" customHeight="1" s="175">
      <c r="A28" s="267" t="inlineStr">
        <is>
          <t>Maxine</t>
        </is>
      </c>
      <c r="B28" s="268" t="n">
        <v>1</v>
      </c>
      <c r="C28" s="269" t="inlineStr">
        <is>
          <t>Carter</t>
        </is>
      </c>
      <c r="D28" s="192" t="inlineStr">
        <is>
          <t>https://discord.com/channels/191975109500731392/1212839710439776287/1411815966194667591</t>
        </is>
      </c>
      <c r="E28" s="173" t="n">
        <v>1</v>
      </c>
      <c r="F28" s="207" t="n"/>
      <c r="G28" s="208" t="inlineStr">
        <is>
          <t>Anthony</t>
        </is>
      </c>
      <c r="H28" s="209">
        <f>VLOOKUP(G28,$G$3:$P$13,2,FALSE())</f>
        <v/>
      </c>
      <c r="Q28" s="208" t="inlineStr">
        <is>
          <t>Anthony</t>
        </is>
      </c>
      <c r="R28" s="209">
        <f>VLOOKUP(Q28,$G$3:$P$13,5,FALSE())</f>
        <v/>
      </c>
    </row>
    <row r="29" ht="14.25" customHeight="1" s="175">
      <c r="A29" s="267" t="inlineStr">
        <is>
          <t>Carter</t>
        </is>
      </c>
      <c r="B29" s="268" t="n">
        <v>1</v>
      </c>
      <c r="C29" s="269" t="inlineStr">
        <is>
          <t>Maxine</t>
        </is>
      </c>
      <c r="D29" s="192" t="inlineStr">
        <is>
          <t>https://discord.com/channels/191975109500731392/1212839710439776287/1411815996720812116</t>
        </is>
      </c>
      <c r="F29" s="192" t="n"/>
      <c r="G29" s="208" t="inlineStr">
        <is>
          <t>Evan</t>
        </is>
      </c>
      <c r="H29" s="209">
        <f>VLOOKUP(G29,$G$3:$P$13,2,FALSE())</f>
        <v/>
      </c>
      <c r="Q29" s="208" t="inlineStr">
        <is>
          <t>Evan</t>
        </is>
      </c>
      <c r="R29" s="209">
        <f>VLOOKUP(Q29,$G$3:$P$13,5,FALSE())</f>
        <v/>
      </c>
    </row>
    <row r="30" ht="14.25" customHeight="1" s="175">
      <c r="A30" s="267" t="inlineStr">
        <is>
          <t>Ethan</t>
        </is>
      </c>
      <c r="B30" s="268" t="n">
        <v>2</v>
      </c>
      <c r="C30" s="269" t="inlineStr">
        <is>
          <t>Evan</t>
        </is>
      </c>
      <c r="D30" s="192" t="inlineStr">
        <is>
          <t>https://discord.com/channels/191975109500731392/1212839710439776287/1412484871879917660</t>
        </is>
      </c>
      <c r="F30" s="207" t="n"/>
      <c r="G30" s="208" t="inlineStr">
        <is>
          <t>Peter</t>
        </is>
      </c>
      <c r="H30" s="209">
        <f>VLOOKUP(G30,$G$3:$P$13,2,FALSE())</f>
        <v/>
      </c>
      <c r="Q30" s="208" t="inlineStr">
        <is>
          <t>Peter</t>
        </is>
      </c>
      <c r="R30" s="209">
        <f>VLOOKUP(Q30,$G$3:$P$13,5,FALSE())</f>
        <v/>
      </c>
    </row>
    <row r="31" ht="14.25" customHeight="1" s="175">
      <c r="A31" s="267" t="inlineStr">
        <is>
          <t>Anthony</t>
        </is>
      </c>
      <c r="B31" s="268" t="n">
        <v>2</v>
      </c>
      <c r="C31" s="269" t="inlineStr">
        <is>
          <t>Grady</t>
        </is>
      </c>
      <c r="D31" s="192" t="inlineStr">
        <is>
          <t>https://discord.com/channels/191975109500731392/1212839710439776287/1412517564520861759</t>
        </is>
      </c>
      <c r="F31" s="207" t="n"/>
      <c r="G31" s="208" t="inlineStr">
        <is>
          <t>Joey</t>
        </is>
      </c>
      <c r="H31" s="209">
        <f>VLOOKUP(G31,$G$3:$P$13,2,FALSE())</f>
        <v/>
      </c>
      <c r="Q31" s="208" t="inlineStr">
        <is>
          <t>Joey</t>
        </is>
      </c>
      <c r="R31" s="209">
        <f>VLOOKUP(Q31,$G$3:$P$13,5,FALSE())</f>
        <v/>
      </c>
    </row>
    <row r="32" ht="14.25" customHeight="1" s="175">
      <c r="A32" s="267" t="inlineStr">
        <is>
          <t>Ethan</t>
        </is>
      </c>
      <c r="B32" s="268" t="n">
        <v>1</v>
      </c>
      <c r="C32" s="269" t="inlineStr">
        <is>
          <t>Erick</t>
        </is>
      </c>
      <c r="D32" s="192" t="inlineStr">
        <is>
          <t>https://discord.com/channels/191975109500731392/1212839710439776287/1412552046980235394</t>
        </is>
      </c>
      <c r="F32" s="207" t="n"/>
      <c r="G32" s="208" t="inlineStr">
        <is>
          <t>Carter</t>
        </is>
      </c>
      <c r="H32" s="209">
        <f>VLOOKUP(G32,$G$3:$P$13,2,FALSE())</f>
        <v/>
      </c>
      <c r="Q32" s="208" t="inlineStr">
        <is>
          <t>Carter</t>
        </is>
      </c>
      <c r="R32" s="209">
        <f>VLOOKUP(Q32,$G$3:$P$13,5,FALSE())</f>
        <v/>
      </c>
      <c r="AI32" s="246" t="n"/>
      <c r="AJ32" s="246" t="n"/>
      <c r="AK32" s="246" t="n"/>
    </row>
    <row r="33" ht="14.25" customHeight="1" s="175">
      <c r="A33" s="267" t="inlineStr">
        <is>
          <t>Ethan</t>
        </is>
      </c>
      <c r="B33" s="268" t="n">
        <v>1</v>
      </c>
      <c r="C33" s="269" t="inlineStr">
        <is>
          <t>Evan</t>
        </is>
      </c>
      <c r="D33" s="192" t="inlineStr">
        <is>
          <t>https://discord.com/channels/191975109500731392/1212839710439776287/1412855132667777065</t>
        </is>
      </c>
      <c r="F33" s="207" t="n"/>
      <c r="G33" s="208" t="inlineStr">
        <is>
          <t>Grady</t>
        </is>
      </c>
      <c r="H33" s="209">
        <f>VLOOKUP(G33,$G$3:$P$13,2,FALSE())</f>
        <v/>
      </c>
      <c r="Q33" s="208" t="inlineStr">
        <is>
          <t>Cooper</t>
        </is>
      </c>
      <c r="R33" s="209">
        <f>VLOOKUP(Q33,$G$3:$P$13,5,FALSE())</f>
        <v/>
      </c>
      <c r="AH33" s="246" t="n"/>
      <c r="AI33" s="248" t="inlineStr">
        <is>
          <t>Person:</t>
        </is>
      </c>
      <c r="AJ33" s="249" t="inlineStr">
        <is>
          <t>Score</t>
        </is>
      </c>
      <c r="AK33" s="249" t="inlineStr">
        <is>
          <t>Adjusted</t>
        </is>
      </c>
      <c r="AL33" s="246" t="n"/>
    </row>
    <row r="34" ht="14.25" customHeight="1" s="175">
      <c r="A34" s="267" t="inlineStr">
        <is>
          <t>Evan</t>
        </is>
      </c>
      <c r="B34" s="268" t="n">
        <v>1</v>
      </c>
      <c r="C34" s="269" t="inlineStr">
        <is>
          <t>Ethan</t>
        </is>
      </c>
      <c r="D34" s="192" t="inlineStr">
        <is>
          <t>https://discord.com/channels/191975109500731392/1212839710439776287/1412855140234563624</t>
        </is>
      </c>
      <c r="F34" s="207" t="n"/>
      <c r="G34" s="208" t="inlineStr">
        <is>
          <t>Cooper</t>
        </is>
      </c>
      <c r="H34" s="209">
        <f>VLOOKUP(G34,$G$3:$P$13,2,FALSE())</f>
        <v/>
      </c>
      <c r="Q34" s="208" t="inlineStr">
        <is>
          <t>Grady</t>
        </is>
      </c>
      <c r="R34" s="209">
        <f>VLOOKUP(Q34,$G$3:$P$13,5,FALSE())</f>
        <v/>
      </c>
      <c r="AH34" s="246" t="n"/>
      <c r="AI34" s="305" t="inlineStr">
        <is>
          <t>Ethan</t>
        </is>
      </c>
      <c r="AJ34" s="236">
        <f>$AS$21</f>
        <v/>
      </c>
      <c r="AK34" s="251">
        <f>AJ34-$AJ$44</f>
        <v/>
      </c>
      <c r="AL34" s="173" t="n">
        <v>1</v>
      </c>
    </row>
    <row r="35" ht="14.25" customHeight="1" s="175">
      <c r="A35" s="267" t="inlineStr">
        <is>
          <t>Peter</t>
        </is>
      </c>
      <c r="B35" s="268" t="n">
        <v>2</v>
      </c>
      <c r="C35" s="269" t="inlineStr">
        <is>
          <t>Evan</t>
        </is>
      </c>
      <c r="D35" s="192" t="inlineStr">
        <is>
          <t>https://discord.com/channels/191975109500731392/1212839710439776287/1412857125738119229</t>
        </is>
      </c>
      <c r="F35" s="192" t="n"/>
      <c r="G35" s="208" t="inlineStr">
        <is>
          <t>Erick</t>
        </is>
      </c>
      <c r="H35" s="209">
        <f>VLOOKUP(G35,$G$3:$P$13,2,FALSE())</f>
        <v/>
      </c>
      <c r="Q35" s="208" t="inlineStr">
        <is>
          <t>Erick</t>
        </is>
      </c>
      <c r="R35" s="209">
        <f>VLOOKUP(Q35,$G$3:$P$13,5,FALSE())</f>
        <v/>
      </c>
      <c r="AH35" s="246" t="n"/>
      <c r="AI35" s="208" t="inlineStr">
        <is>
          <t>Maxine</t>
        </is>
      </c>
      <c r="AJ35" s="236">
        <f>$AS$19</f>
        <v/>
      </c>
      <c r="AK35" s="251">
        <f>AJ35-$AJ$44</f>
        <v/>
      </c>
      <c r="AL35" s="173" t="n">
        <v>2</v>
      </c>
    </row>
    <row r="36" ht="14.25" customHeight="1" s="175">
      <c r="A36" s="267" t="inlineStr">
        <is>
          <t>Anthony</t>
        </is>
      </c>
      <c r="B36" s="268" t="n">
        <v>2</v>
      </c>
      <c r="C36" s="269" t="inlineStr">
        <is>
          <t>Evan</t>
        </is>
      </c>
      <c r="D36" s="192" t="inlineStr">
        <is>
          <t>https://discord.com/channels/191975109500731392/1212839710439776287/1412862807992438894</t>
        </is>
      </c>
      <c r="F36" s="207" t="n"/>
      <c r="G36" s="208" t="inlineStr">
        <is>
          <t>Reuben</t>
        </is>
      </c>
      <c r="H36" s="209">
        <f>VLOOKUP(G36,$G$3:$P$13,2,FALSE())</f>
        <v/>
      </c>
      <c r="Q36" s="208" t="inlineStr">
        <is>
          <t>Reuben</t>
        </is>
      </c>
      <c r="R36" s="209">
        <f>VLOOKUP(Q36,$G$3:$P$13,5,FALSE())</f>
        <v/>
      </c>
      <c r="AH36" s="246" t="n"/>
      <c r="AI36" s="208" t="inlineStr">
        <is>
          <t>Anthony</t>
        </is>
      </c>
      <c r="AJ36" s="236">
        <f>$AS$22</f>
        <v/>
      </c>
      <c r="AK36" s="251">
        <f>AJ36-$AJ$44</f>
        <v/>
      </c>
      <c r="AL36" s="173" t="n">
        <v>3</v>
      </c>
    </row>
    <row r="37" ht="14.25" customHeight="1" s="175">
      <c r="A37" s="267" t="inlineStr">
        <is>
          <t>Ethan</t>
        </is>
      </c>
      <c r="B37" s="268" t="n">
        <v>2</v>
      </c>
      <c r="C37" s="269" t="inlineStr">
        <is>
          <t>Reuben</t>
        </is>
      </c>
      <c r="D37" s="192" t="inlineStr">
        <is>
          <t>https://discord.com/channels/191975109500731392/1212839710439776287/1412939894787145749</t>
        </is>
      </c>
      <c r="F37" s="192" t="n"/>
      <c r="AH37" s="246" t="n"/>
      <c r="AI37" s="208" t="inlineStr">
        <is>
          <t>Joey</t>
        </is>
      </c>
      <c r="AJ37" s="236">
        <f>$AS$25</f>
        <v/>
      </c>
      <c r="AK37" s="251">
        <f>AJ37-$AJ$44</f>
        <v/>
      </c>
      <c r="AL37" s="173" t="n">
        <v>4</v>
      </c>
    </row>
    <row r="38" ht="14.25" customHeight="1" s="175">
      <c r="A38" s="267" t="inlineStr">
        <is>
          <t>Anthony</t>
        </is>
      </c>
      <c r="B38" s="268" t="n">
        <v>1</v>
      </c>
      <c r="C38" s="269" t="inlineStr">
        <is>
          <t>Ethan</t>
        </is>
      </c>
      <c r="D38" s="192" t="inlineStr">
        <is>
          <t>https://discord.com/channels/191975109500731392/1212839710439776287/1413181751593009286</t>
        </is>
      </c>
      <c r="F38" s="207" t="n"/>
      <c r="AH38" s="246" t="n"/>
      <c r="AI38" s="208" t="inlineStr">
        <is>
          <t>Peter</t>
        </is>
      </c>
      <c r="AJ38" s="236">
        <f>$AS$23</f>
        <v/>
      </c>
      <c r="AK38" s="251">
        <f>AJ38-$AJ$44</f>
        <v/>
      </c>
      <c r="AL38" s="173" t="n">
        <v>5</v>
      </c>
    </row>
    <row r="39" ht="14.25" customHeight="1" s="175">
      <c r="A39" s="267" t="inlineStr">
        <is>
          <t>Ethan</t>
        </is>
      </c>
      <c r="B39" s="268" t="n">
        <v>1</v>
      </c>
      <c r="C39" s="269" t="inlineStr">
        <is>
          <t>Anthony</t>
        </is>
      </c>
      <c r="D39" s="192" t="inlineStr">
        <is>
          <t>https://discord.com/channels/191975109500731392/1212839710439776287/1413182175276437615</t>
        </is>
      </c>
      <c r="F39" s="207" t="n"/>
      <c r="AH39" s="246" t="n"/>
      <c r="AI39" s="208" t="inlineStr">
        <is>
          <t>Evan</t>
        </is>
      </c>
      <c r="AJ39" s="236">
        <f>$AS$20</f>
        <v/>
      </c>
      <c r="AK39" s="251">
        <f>AJ39-$AJ$44</f>
        <v/>
      </c>
      <c r="AL39" s="173" t="n">
        <v>6</v>
      </c>
    </row>
    <row r="40" ht="14.25" customHeight="1" s="175">
      <c r="A40" s="267" t="inlineStr">
        <is>
          <t>Maxine</t>
        </is>
      </c>
      <c r="B40" s="268" t="n">
        <v>2</v>
      </c>
      <c r="C40" s="269" t="inlineStr">
        <is>
          <t>Grady</t>
        </is>
      </c>
      <c r="D40" s="192" t="inlineStr">
        <is>
          <t>https://discord.com/channels/191975109500731392/1212839710439776287/1413196597344338002</t>
        </is>
      </c>
      <c r="F40" s="207" t="n"/>
      <c r="AH40" s="246" t="n"/>
      <c r="AI40" s="208" t="inlineStr">
        <is>
          <t>Cooper</t>
        </is>
      </c>
      <c r="AJ40" s="236">
        <f>$AS$18</f>
        <v/>
      </c>
      <c r="AK40" s="251">
        <f>AJ40-$AJ$44</f>
        <v/>
      </c>
      <c r="AL40" s="173" t="n">
        <v>7</v>
      </c>
    </row>
    <row r="41" ht="14.25" customHeight="1" s="175">
      <c r="A41" s="267" t="inlineStr">
        <is>
          <t>Anthony</t>
        </is>
      </c>
      <c r="B41" s="268" t="n">
        <v>2</v>
      </c>
      <c r="C41" s="269" t="inlineStr">
        <is>
          <t>Grady</t>
        </is>
      </c>
      <c r="D41" s="192" t="inlineStr">
        <is>
          <t>https://discord.com/channels/191975109500731392/1212839710439776287/1413242418664308887</t>
        </is>
      </c>
      <c r="F41" s="192" t="n"/>
      <c r="G41" s="208" t="inlineStr">
        <is>
          <t>Person:</t>
        </is>
      </c>
      <c r="H41" s="216" t="inlineStr">
        <is>
          <t>Deaths</t>
        </is>
      </c>
      <c r="Q41" s="208" t="inlineStr">
        <is>
          <t>Person:</t>
        </is>
      </c>
      <c r="R41" s="216" t="inlineStr">
        <is>
          <t>Death Points</t>
        </is>
      </c>
      <c r="AH41" s="246" t="n"/>
      <c r="AI41" s="208" t="inlineStr">
        <is>
          <t>Carter</t>
        </is>
      </c>
      <c r="AJ41" s="236">
        <f>$AS$16</f>
        <v/>
      </c>
      <c r="AK41" s="251">
        <f>AJ41-$AJ$44</f>
        <v/>
      </c>
      <c r="AL41" s="173" t="n">
        <v>8</v>
      </c>
    </row>
    <row r="42" ht="14.25" customHeight="1" s="175">
      <c r="A42" s="267" t="inlineStr">
        <is>
          <t>Ethan</t>
        </is>
      </c>
      <c r="B42" s="268" t="n">
        <v>1</v>
      </c>
      <c r="C42" s="269" t="inlineStr">
        <is>
          <t>Reuben</t>
        </is>
      </c>
      <c r="D42" s="192" t="inlineStr">
        <is>
          <t>https://discord.com/channels/191975109500731392/1212839710439776287/1413946943511728179</t>
        </is>
      </c>
      <c r="F42" s="207" t="n"/>
      <c r="G42" s="208" t="inlineStr">
        <is>
          <t>Evan</t>
        </is>
      </c>
      <c r="H42" s="209">
        <f>VLOOKUP(G42,$G$3:$P$13,3,FALSE())</f>
        <v/>
      </c>
      <c r="Q42" s="208" t="inlineStr">
        <is>
          <t>Grady</t>
        </is>
      </c>
      <c r="R42" s="209">
        <f>VLOOKUP(Q42,$G$3:$P$13,6,FALSE())</f>
        <v/>
      </c>
      <c r="AH42" s="246" t="n"/>
      <c r="AI42" s="208" t="inlineStr">
        <is>
          <t>Erick</t>
        </is>
      </c>
      <c r="AJ42" s="236">
        <f>$AS$24</f>
        <v/>
      </c>
      <c r="AK42" s="251">
        <f>AJ42-$AJ$44</f>
        <v/>
      </c>
      <c r="AL42" s="173" t="n">
        <v>9</v>
      </c>
    </row>
    <row r="43" ht="14.25" customHeight="1" s="175">
      <c r="A43" s="267" t="inlineStr">
        <is>
          <t>Ethan</t>
        </is>
      </c>
      <c r="B43" s="268" t="n">
        <v>2</v>
      </c>
      <c r="C43" s="269" t="inlineStr">
        <is>
          <t>Peter</t>
        </is>
      </c>
      <c r="D43" s="192" t="inlineStr">
        <is>
          <t>https://discord.com/channels/191975109500731392/1212839710439776287/1414594927035285646</t>
        </is>
      </c>
      <c r="F43" s="207" t="n"/>
      <c r="G43" s="208" t="inlineStr">
        <is>
          <t>Grady</t>
        </is>
      </c>
      <c r="H43" s="209">
        <f>VLOOKUP(G43,$G$3:$P$13,3,FALSE())</f>
        <v/>
      </c>
      <c r="Q43" s="208" t="inlineStr">
        <is>
          <t>Evan</t>
        </is>
      </c>
      <c r="R43" s="209">
        <f>VLOOKUP(Q43,$G$3:$P$13,6,FALSE())</f>
        <v/>
      </c>
      <c r="AH43" s="246" t="n"/>
      <c r="AI43" s="208" t="inlineStr">
        <is>
          <t>Reuben</t>
        </is>
      </c>
      <c r="AJ43" s="236">
        <f>$AS$26</f>
        <v/>
      </c>
      <c r="AK43" s="251">
        <f>AJ43-$AJ$44</f>
        <v/>
      </c>
      <c r="AL43" s="173" t="n">
        <v>10</v>
      </c>
    </row>
    <row r="44" ht="14.25" customHeight="1" s="175">
      <c r="A44" s="267" t="inlineStr">
        <is>
          <t>Cooper</t>
        </is>
      </c>
      <c r="B44" s="268" t="n">
        <v>2</v>
      </c>
      <c r="C44" s="269" t="inlineStr">
        <is>
          <t>Carter</t>
        </is>
      </c>
      <c r="D44" s="192" t="inlineStr">
        <is>
          <t>https://discord.com/channels/191975109500731392/1212839710439776287/1414616457731510443</t>
        </is>
      </c>
      <c r="E44" s="173" t="n">
        <v>1</v>
      </c>
      <c r="F44" s="207" t="n"/>
      <c r="G44" s="208" t="inlineStr">
        <is>
          <t>Ethan</t>
        </is>
      </c>
      <c r="H44" s="209">
        <f>VLOOKUP(G44,$G$3:$P$13,3,FALSE())</f>
        <v/>
      </c>
      <c r="Q44" s="208" t="inlineStr">
        <is>
          <t>Ethan</t>
        </is>
      </c>
      <c r="R44" s="209">
        <f>VLOOKUP(Q44,$G$3:$P$13,6,FALSE())</f>
        <v/>
      </c>
      <c r="AH44" s="246" t="n"/>
      <c r="AI44" s="208" t="inlineStr">
        <is>
          <t>Grady</t>
        </is>
      </c>
      <c r="AJ44" s="236">
        <f>$AS$17</f>
        <v/>
      </c>
      <c r="AK44" s="251">
        <f>AJ44-$AJ$44</f>
        <v/>
      </c>
      <c r="AL44" s="173" t="n">
        <v>11</v>
      </c>
    </row>
    <row r="45" ht="14.25" customHeight="1" s="175">
      <c r="A45" s="267" t="inlineStr">
        <is>
          <t>Anthony</t>
        </is>
      </c>
      <c r="B45" s="268" t="n">
        <v>1</v>
      </c>
      <c r="C45" s="269" t="inlineStr">
        <is>
          <t>Cooper</t>
        </is>
      </c>
      <c r="D45" s="192" t="inlineStr">
        <is>
          <t>https://discord.com/channels/191975109500731392/1212839710439776287/1414672036004892752</t>
        </is>
      </c>
      <c r="F45" s="192" t="n"/>
      <c r="G45" s="208" t="inlineStr">
        <is>
          <t>Maxine</t>
        </is>
      </c>
      <c r="H45" s="209">
        <f>VLOOKUP(G45,$G$3:$P$13,3,FALSE())</f>
        <v/>
      </c>
      <c r="Q45" s="208" t="inlineStr">
        <is>
          <t>Maxine</t>
        </is>
      </c>
      <c r="R45" s="209">
        <f>VLOOKUP(Q45,$G$3:$P$13,6,FALSE())</f>
        <v/>
      </c>
      <c r="AH45" s="246" t="n"/>
    </row>
    <row r="46" ht="14.25" customHeight="1" s="175">
      <c r="A46" s="267" t="inlineStr">
        <is>
          <t>Ethan</t>
        </is>
      </c>
      <c r="B46" s="268" t="n">
        <v>2</v>
      </c>
      <c r="C46" s="269" t="inlineStr">
        <is>
          <t>Evan</t>
        </is>
      </c>
      <c r="D46" s="192" t="inlineStr">
        <is>
          <t>https://discord.com/channels/191975109500731392/1212839710439776287/1415028242263576608</t>
        </is>
      </c>
      <c r="F46" s="207" t="n"/>
      <c r="G46" s="208" t="inlineStr">
        <is>
          <t>Erick</t>
        </is>
      </c>
      <c r="H46" s="209">
        <f>VLOOKUP(G46,$G$3:$P$13,3,FALSE())</f>
        <v/>
      </c>
      <c r="Q46" s="208" t="inlineStr">
        <is>
          <t>Erick</t>
        </is>
      </c>
      <c r="R46" s="209">
        <f>VLOOKUP(Q46,$G$3:$P$13,6,FALSE())</f>
        <v/>
      </c>
    </row>
    <row r="47" ht="14.25" customHeight="1" s="175">
      <c r="A47" s="267" t="inlineStr">
        <is>
          <t>Evan</t>
        </is>
      </c>
      <c r="B47" s="268" t="n">
        <v>1</v>
      </c>
      <c r="C47" s="269" t="inlineStr">
        <is>
          <t>Grady</t>
        </is>
      </c>
      <c r="D47" s="192" t="inlineStr">
        <is>
          <t>https://discord.com/channels/191975109500731392/1212839710439776287/1415733029313183764</t>
        </is>
      </c>
      <c r="F47" s="207" t="n"/>
      <c r="G47" s="208" t="inlineStr">
        <is>
          <t>Anthony</t>
        </is>
      </c>
      <c r="H47" s="209">
        <f>VLOOKUP(G47,$G$3:$P$13,3,FALSE())</f>
        <v/>
      </c>
      <c r="Q47" s="208" t="inlineStr">
        <is>
          <t>Reuben</t>
        </is>
      </c>
      <c r="R47" s="209">
        <f>VLOOKUP(Q47,$G$3:$P$13,6,FALSE())</f>
        <v/>
      </c>
      <c r="AI47" s="246" t="n"/>
      <c r="AJ47" s="246" t="n"/>
      <c r="AK47" s="246" t="n"/>
    </row>
    <row r="48" ht="14.25" customHeight="1" s="175">
      <c r="A48" s="267" t="inlineStr">
        <is>
          <t>Grady</t>
        </is>
      </c>
      <c r="B48" s="268" t="n">
        <v>1</v>
      </c>
      <c r="C48" s="269" t="inlineStr">
        <is>
          <t>Evan</t>
        </is>
      </c>
      <c r="D48" s="192" t="inlineStr">
        <is>
          <t>https://discord.com/channels/191975109500731392/1212839710439776287/1415733118287216651</t>
        </is>
      </c>
      <c r="F48" s="207" t="n"/>
      <c r="G48" s="208" t="inlineStr">
        <is>
          <t>Reuben</t>
        </is>
      </c>
      <c r="H48" s="209">
        <f>VLOOKUP(G48,$G$3:$P$13,3,FALSE())</f>
        <v/>
      </c>
      <c r="Q48" s="208" t="inlineStr">
        <is>
          <t>Peter</t>
        </is>
      </c>
      <c r="R48" s="209">
        <f>VLOOKUP(Q48,$G$3:$P$13,6,FALSE())</f>
        <v/>
      </c>
      <c r="AI48" s="246" t="n"/>
      <c r="AJ48" s="246" t="n"/>
      <c r="AK48" s="246" t="n"/>
    </row>
    <row r="49" ht="14.25" customHeight="1" s="175">
      <c r="A49" s="267" t="inlineStr">
        <is>
          <t>Anthony</t>
        </is>
      </c>
      <c r="B49" s="268" t="n">
        <v>1</v>
      </c>
      <c r="C49" s="269" t="inlineStr">
        <is>
          <t>Ethan</t>
        </is>
      </c>
      <c r="D49" s="192" t="inlineStr">
        <is>
          <t>https://discord.com/channels/191975109500731392/1212839710439776287/1415755369980100680</t>
        </is>
      </c>
      <c r="F49" s="207" t="n"/>
      <c r="G49" s="208" t="inlineStr">
        <is>
          <t>Cooper</t>
        </is>
      </c>
      <c r="H49" s="209">
        <f>VLOOKUP(G49,$G$3:$P$13,3,FALSE())</f>
        <v/>
      </c>
      <c r="Q49" s="208" t="inlineStr">
        <is>
          <t>Cooper</t>
        </is>
      </c>
      <c r="R49" s="209">
        <f>VLOOKUP(Q49,$G$3:$P$13,6,FALSE())</f>
        <v/>
      </c>
      <c r="AI49" s="246" t="n"/>
      <c r="AJ49" s="246" t="n"/>
      <c r="AK49" s="246" t="n"/>
    </row>
    <row r="50" ht="14.25" customHeight="1" s="175">
      <c r="A50" s="267" t="inlineStr">
        <is>
          <t>Ethan</t>
        </is>
      </c>
      <c r="B50" s="268" t="n">
        <v>1</v>
      </c>
      <c r="C50" s="269" t="inlineStr">
        <is>
          <t>Anthony</t>
        </is>
      </c>
      <c r="D50" s="192" t="inlineStr">
        <is>
          <t>https://discord.com/channels/191975109500731392/1212839710439776287/1415755524766699591</t>
        </is>
      </c>
      <c r="F50" s="207" t="n"/>
      <c r="G50" s="208" t="inlineStr">
        <is>
          <t>Carter</t>
        </is>
      </c>
      <c r="H50" s="209">
        <f>VLOOKUP(G50,$G$3:$P$13,3,FALSE())</f>
        <v/>
      </c>
      <c r="Q50" s="208" t="inlineStr">
        <is>
          <t>Carter</t>
        </is>
      </c>
      <c r="R50" s="209">
        <f>VLOOKUP(Q50,$G$3:$P$13,6,FALSE())</f>
        <v/>
      </c>
      <c r="AI50" s="246" t="n"/>
      <c r="AJ50" s="246" t="n"/>
      <c r="AK50" s="246" t="n"/>
    </row>
    <row r="51" ht="14.25" customHeight="1" s="175">
      <c r="A51" s="267" t="inlineStr">
        <is>
          <t>Anthony</t>
        </is>
      </c>
      <c r="B51" s="268" t="n">
        <v>5</v>
      </c>
      <c r="C51" s="269" t="inlineStr">
        <is>
          <t>Alumni</t>
        </is>
      </c>
      <c r="D51" s="192" t="inlineStr">
        <is>
          <t>https://discord.com/channels/191975109500731392/1212839710439776287/1415812925611966625</t>
        </is>
      </c>
      <c r="F51" s="207" t="n"/>
      <c r="G51" s="208" t="inlineStr">
        <is>
          <t>Peter</t>
        </is>
      </c>
      <c r="H51" s="209">
        <f>VLOOKUP(G51,$G$3:$P$13,3,FALSE())</f>
        <v/>
      </c>
      <c r="Q51" s="208" t="inlineStr">
        <is>
          <t>Anthony</t>
        </is>
      </c>
      <c r="R51" s="209">
        <f>VLOOKUP(Q51,$G$3:$P$13,6,FALSE())</f>
        <v/>
      </c>
      <c r="AI51" s="179" t="inlineStr">
        <is>
          <t>Overall Part Winner Chart Decision Matrix</t>
        </is>
      </c>
      <c r="AJ51" s="180" t="n"/>
      <c r="AK51" s="180" t="n"/>
      <c r="AL51" s="180" t="n"/>
      <c r="AM51" s="180" t="n"/>
      <c r="AN51" s="180" t="n"/>
      <c r="AO51" s="180" t="n"/>
      <c r="AP51" s="180" t="n"/>
      <c r="AQ51" s="181" t="n"/>
    </row>
    <row r="52" ht="14.25" customHeight="1" s="175">
      <c r="A52" s="267" t="inlineStr">
        <is>
          <t>Evan</t>
        </is>
      </c>
      <c r="B52" s="268" t="n">
        <v>1</v>
      </c>
      <c r="C52" s="269" t="inlineStr">
        <is>
          <t>Peter</t>
        </is>
      </c>
      <c r="D52" s="192" t="inlineStr">
        <is>
          <t>https://discord.com/channels/191975109500731392/1212839710439776287/1416044470549610597</t>
        </is>
      </c>
      <c r="F52" s="207" t="n"/>
      <c r="G52" s="208" t="inlineStr">
        <is>
          <t>Joey</t>
        </is>
      </c>
      <c r="H52" s="209">
        <f>VLOOKUP(G52,$G$3:$P$13,3,FALSE())</f>
        <v/>
      </c>
      <c r="Q52" s="208" t="inlineStr">
        <is>
          <t>Joey</t>
        </is>
      </c>
      <c r="R52" s="209">
        <f>VLOOKUP(Q52,$G$3:$P$13,6,FALSE())</f>
        <v/>
      </c>
      <c r="AI52" s="252" t="inlineStr">
        <is>
          <t>MATRIX</t>
        </is>
      </c>
      <c r="AJ52" s="253" t="inlineStr">
        <is>
          <t>Kills</t>
        </is>
      </c>
      <c r="AK52" s="253" t="inlineStr">
        <is>
          <t>Deaths</t>
        </is>
      </c>
      <c r="AL52" s="253" t="inlineStr">
        <is>
          <t>KDR</t>
        </is>
      </c>
      <c r="AM52" s="253" t="inlineStr">
        <is>
          <t>Kill Points</t>
        </is>
      </c>
      <c r="AN52" s="253" t="inlineStr">
        <is>
          <t>Death Points</t>
        </is>
      </c>
      <c r="AO52" s="253" t="inlineStr">
        <is>
          <t>KpDpR</t>
        </is>
      </c>
      <c r="AP52" s="253" t="inlineStr">
        <is>
          <t>KPts/Kill</t>
        </is>
      </c>
      <c r="AQ52" s="253" t="inlineStr">
        <is>
          <t>DPts/Death</t>
        </is>
      </c>
    </row>
    <row r="53" ht="14.25" customHeight="1" s="175">
      <c r="A53" s="267" t="inlineStr">
        <is>
          <t>Peter</t>
        </is>
      </c>
      <c r="B53" s="268" t="n">
        <v>1</v>
      </c>
      <c r="C53" s="269" t="inlineStr">
        <is>
          <t>Evan</t>
        </is>
      </c>
      <c r="D53" s="192" t="inlineStr">
        <is>
          <t>https://discord.com/channels/191975109500731392/1212839710439776287/1416044479923753140</t>
        </is>
      </c>
      <c r="F53" s="207" t="n"/>
      <c r="AI53" s="208" t="inlineStr">
        <is>
          <t>Weight:</t>
        </is>
      </c>
      <c r="AJ53" s="229" t="n">
        <v>7.5</v>
      </c>
      <c r="AK53" s="230" t="n">
        <v>-6</v>
      </c>
      <c r="AL53" s="230" t="n">
        <v>25</v>
      </c>
      <c r="AM53" s="230" t="n">
        <v>8.5</v>
      </c>
      <c r="AN53" s="230" t="n">
        <v>-6.5</v>
      </c>
      <c r="AO53" s="230" t="n">
        <v>25</v>
      </c>
      <c r="AP53" s="230" t="n">
        <v>20</v>
      </c>
      <c r="AQ53" s="230" t="n">
        <v>-20</v>
      </c>
      <c r="AR53" s="216" t="inlineStr">
        <is>
          <t>Totals:</t>
        </is>
      </c>
    </row>
    <row r="54" ht="14.25" customHeight="1" s="175">
      <c r="A54" s="267" t="inlineStr">
        <is>
          <t>Peter</t>
        </is>
      </c>
      <c r="B54" s="268" t="n">
        <v>2</v>
      </c>
      <c r="C54" s="269" t="inlineStr">
        <is>
          <t>Ethan</t>
        </is>
      </c>
      <c r="D54" s="192" t="inlineStr">
        <is>
          <t>https://discord.com/channels/191975109500731392/1212839710439776287/1416045253475176558</t>
        </is>
      </c>
      <c r="F54" s="207" t="n"/>
      <c r="AI54" s="226" t="inlineStr">
        <is>
          <t>Tenors</t>
        </is>
      </c>
      <c r="AJ54" s="210">
        <f>H17*$AJ$53</f>
        <v/>
      </c>
      <c r="AK54" s="210">
        <f>I17*$AK$53</f>
        <v/>
      </c>
      <c r="AL54" s="210">
        <f>J17*$AL$53</f>
        <v/>
      </c>
      <c r="AM54" s="210">
        <f>K17*$AM$53</f>
        <v/>
      </c>
      <c r="AN54" s="210">
        <f>L17*$AN$53</f>
        <v/>
      </c>
      <c r="AO54" s="210">
        <f>M17*$AO$53</f>
        <v/>
      </c>
      <c r="AP54" s="210">
        <f>N17*$AP$53</f>
        <v/>
      </c>
      <c r="AQ54" s="210">
        <f>O17*$AQ$53</f>
        <v/>
      </c>
      <c r="AR54" s="210">
        <f>SUM(AJ54:AQ54)</f>
        <v/>
      </c>
    </row>
    <row r="55" ht="14.25" customHeight="1" s="175">
      <c r="A55" s="267" t="inlineStr">
        <is>
          <t>Peter</t>
        </is>
      </c>
      <c r="B55" s="268" t="n">
        <v>1</v>
      </c>
      <c r="C55" s="269" t="inlineStr">
        <is>
          <t>Cooper</t>
        </is>
      </c>
      <c r="D55" s="192" t="inlineStr">
        <is>
          <t>https://discord.com/channels/191975109500731392/1212839710439776287/1417130713777700997</t>
        </is>
      </c>
      <c r="F55" s="207" t="n"/>
      <c r="AI55" s="208" t="inlineStr">
        <is>
          <t>Leads</t>
        </is>
      </c>
      <c r="AJ55" s="210">
        <f>H18*$AJ$53</f>
        <v/>
      </c>
      <c r="AK55" s="210">
        <f>I18*$AK$53</f>
        <v/>
      </c>
      <c r="AL55" s="210">
        <f>J18*$AL$53</f>
        <v/>
      </c>
      <c r="AM55" s="210">
        <f>K18*$AM$53</f>
        <v/>
      </c>
      <c r="AN55" s="210">
        <f>L18*$AN$53</f>
        <v/>
      </c>
      <c r="AO55" s="210">
        <f>M18*$AO$53</f>
        <v/>
      </c>
      <c r="AP55" s="210">
        <f>N18*$AP$53</f>
        <v/>
      </c>
      <c r="AQ55" s="210">
        <f>O18*$AQ$53</f>
        <v/>
      </c>
      <c r="AR55" s="210">
        <f>SUM(AJ55:AQ55)</f>
        <v/>
      </c>
    </row>
    <row r="56" ht="14.25" customHeight="1" s="175">
      <c r="A56" s="267" t="inlineStr">
        <is>
          <t>Anthony</t>
        </is>
      </c>
      <c r="B56" s="268" t="n">
        <v>1</v>
      </c>
      <c r="C56" s="269" t="inlineStr">
        <is>
          <t>Grady</t>
        </is>
      </c>
      <c r="D56" s="192" t="inlineStr">
        <is>
          <t>https://discord.com/channels/191975109500731392/1212839710439776287/1417220663105683610</t>
        </is>
      </c>
      <c r="F56" s="207" t="n"/>
      <c r="AI56" s="208" t="inlineStr">
        <is>
          <t>Baris</t>
        </is>
      </c>
      <c r="AJ56" s="210">
        <f>H19*$AJ$53</f>
        <v/>
      </c>
      <c r="AK56" s="210">
        <f>I19*$AK$53</f>
        <v/>
      </c>
      <c r="AL56" s="210">
        <f>J19*$AL$53</f>
        <v/>
      </c>
      <c r="AM56" s="210">
        <f>K19*$AM$53</f>
        <v/>
      </c>
      <c r="AN56" s="210">
        <f>L19*$AN$53</f>
        <v/>
      </c>
      <c r="AO56" s="210">
        <f>M19*$AO$53</f>
        <v/>
      </c>
      <c r="AP56" s="210">
        <f>N19*$AP$53</f>
        <v/>
      </c>
      <c r="AQ56" s="210">
        <f>O19*$AQ$53</f>
        <v/>
      </c>
      <c r="AR56" s="210">
        <f>SUM(AJ56:AQ56)</f>
        <v/>
      </c>
    </row>
    <row r="57" ht="14.25" customHeight="1" s="175">
      <c r="A57" s="267" t="inlineStr">
        <is>
          <t>Grady</t>
        </is>
      </c>
      <c r="B57" s="268" t="n">
        <v>1</v>
      </c>
      <c r="C57" s="269" t="inlineStr">
        <is>
          <t>Anthony</t>
        </is>
      </c>
      <c r="D57" s="192" t="inlineStr">
        <is>
          <t>https://discord.com/channels/191975109500731392/1212839710439776287/1417220730533449778</t>
        </is>
      </c>
      <c r="F57" s="207" t="n"/>
      <c r="G57" s="208" t="inlineStr">
        <is>
          <t>Person:</t>
        </is>
      </c>
      <c r="H57" s="216" t="inlineStr">
        <is>
          <t>KDR</t>
        </is>
      </c>
      <c r="Q57" s="208" t="inlineStr">
        <is>
          <t>Person:</t>
        </is>
      </c>
      <c r="R57" s="216" t="inlineStr">
        <is>
          <t>KpDpR</t>
        </is>
      </c>
      <c r="AI57" s="208" t="inlineStr">
        <is>
          <t>Basses</t>
        </is>
      </c>
      <c r="AJ57" s="210">
        <f>H20*$AJ$53</f>
        <v/>
      </c>
      <c r="AK57" s="210">
        <f>I20*$AK$53</f>
        <v/>
      </c>
      <c r="AL57" s="210">
        <f>J20*$AL$53</f>
        <v/>
      </c>
      <c r="AM57" s="210">
        <f>K20*$AM$53</f>
        <v/>
      </c>
      <c r="AN57" s="210">
        <f>L20*$AN$53</f>
        <v/>
      </c>
      <c r="AO57" s="210">
        <f>M20*$AO$53</f>
        <v/>
      </c>
      <c r="AP57" s="210">
        <f>N20*$AP$53</f>
        <v/>
      </c>
      <c r="AQ57" s="210">
        <f>O20*$AQ$53</f>
        <v/>
      </c>
      <c r="AR57" s="210">
        <f>SUM(AJ57:AQ57)</f>
        <v/>
      </c>
    </row>
    <row r="58" ht="14.25" customHeight="1" s="175">
      <c r="A58" s="267" t="inlineStr">
        <is>
          <t>Ethan</t>
        </is>
      </c>
      <c r="B58" s="268" t="n">
        <v>2</v>
      </c>
      <c r="C58" s="269" t="inlineStr">
        <is>
          <t>Erick</t>
        </is>
      </c>
      <c r="D58" s="192" t="inlineStr">
        <is>
          <t>https://discord.com/channels/191975109500731392/1212839710439776287/1417237376492896388</t>
        </is>
      </c>
      <c r="F58" s="207" t="n"/>
      <c r="G58" s="208" t="inlineStr">
        <is>
          <t>Ethan</t>
        </is>
      </c>
      <c r="H58" s="210">
        <f>VLOOKUP(G58,$G$3:$P$13,4,FALSE())</f>
        <v/>
      </c>
      <c r="Q58" s="208" t="inlineStr">
        <is>
          <t>Anthony</t>
        </is>
      </c>
      <c r="R58" s="210">
        <f>VLOOKUP(Q58,$G$3:$P$13,7,FALSE())</f>
        <v/>
      </c>
      <c r="AI58" s="247" t="inlineStr">
        <is>
          <t>Basses (No Reuben)</t>
        </is>
      </c>
      <c r="AJ58" s="210">
        <f>H21*$AJ$53</f>
        <v/>
      </c>
      <c r="AK58" s="210">
        <f>I21*$AK$53</f>
        <v/>
      </c>
      <c r="AL58" s="210">
        <f>J21*$AL$53</f>
        <v/>
      </c>
      <c r="AM58" s="210">
        <f>K21*$AM$53</f>
        <v/>
      </c>
      <c r="AN58" s="210">
        <f>L21*$AN$53</f>
        <v/>
      </c>
      <c r="AO58" s="210">
        <f>M21*$AO$53</f>
        <v/>
      </c>
      <c r="AP58" s="210">
        <f>N21*$AP$53</f>
        <v/>
      </c>
      <c r="AQ58" s="210">
        <f>O21*$AQ$53</f>
        <v/>
      </c>
      <c r="AR58" s="210">
        <f>SUM(AJ58:AQ58)</f>
        <v/>
      </c>
    </row>
    <row r="59" ht="14.25" customHeight="1" s="175">
      <c r="A59" s="267" t="inlineStr">
        <is>
          <t>Evan</t>
        </is>
      </c>
      <c r="B59" s="268" t="n">
        <v>2</v>
      </c>
      <c r="C59" s="269" t="inlineStr">
        <is>
          <t>Grady</t>
        </is>
      </c>
      <c r="D59" s="192" t="inlineStr">
        <is>
          <t>https://discord.com/channels/191975109500731392/1212839710439776287/1417544767855919224</t>
        </is>
      </c>
      <c r="F59" s="207" t="n"/>
      <c r="G59" s="208" t="inlineStr">
        <is>
          <t>Anthony</t>
        </is>
      </c>
      <c r="H59" s="210">
        <f>VLOOKUP(G59,$G$3:$P$13,4,FALSE())</f>
        <v/>
      </c>
      <c r="Q59" s="208" t="inlineStr">
        <is>
          <t>Ethan</t>
        </is>
      </c>
      <c r="R59" s="210">
        <f>VLOOKUP(Q59,$G$3:$P$13,7,FALSE())</f>
        <v/>
      </c>
    </row>
    <row r="60" ht="14.25" customHeight="1" s="175">
      <c r="A60" s="267" t="inlineStr">
        <is>
          <t>Maxine</t>
        </is>
      </c>
      <c r="B60" s="268" t="n">
        <v>1</v>
      </c>
      <c r="C60" s="269" t="inlineStr">
        <is>
          <t>Ethan</t>
        </is>
      </c>
      <c r="D60" s="192" t="inlineStr">
        <is>
          <t>https://discord.com/channels/191975109500731392/1212839710439776287/1417591091888394441</t>
        </is>
      </c>
      <c r="F60" s="207" t="n"/>
      <c r="G60" s="208" t="inlineStr">
        <is>
          <t>Maxine</t>
        </is>
      </c>
      <c r="H60" s="210">
        <f>VLOOKUP(G60,$G$3:$P$13,4,FALSE())</f>
        <v/>
      </c>
      <c r="Q60" s="208" t="inlineStr">
        <is>
          <t>Joey</t>
        </is>
      </c>
      <c r="R60" s="210">
        <f>VLOOKUP(Q60,$G$3:$P$13,7,FALSE())</f>
        <v/>
      </c>
      <c r="AI60" s="248" t="inlineStr">
        <is>
          <t>Part</t>
        </is>
      </c>
      <c r="AJ60" s="249" t="inlineStr">
        <is>
          <t>Score</t>
        </is>
      </c>
      <c r="AK60" s="249" t="inlineStr">
        <is>
          <t>Adjusted</t>
        </is>
      </c>
    </row>
    <row r="61" ht="14.25" customHeight="1" s="175">
      <c r="A61" s="267" t="inlineStr">
        <is>
          <t>Ethan</t>
        </is>
      </c>
      <c r="B61" s="268" t="n">
        <v>1</v>
      </c>
      <c r="C61" s="269" t="inlineStr">
        <is>
          <t>Maxine</t>
        </is>
      </c>
      <c r="D61" s="192" t="inlineStr">
        <is>
          <t>https://discord.com/channels/191975109500731392/1212839710439776287/1417591091888394441</t>
        </is>
      </c>
      <c r="F61" s="192" t="n"/>
      <c r="G61" s="208" t="inlineStr">
        <is>
          <t>Peter</t>
        </is>
      </c>
      <c r="H61" s="210">
        <f>VLOOKUP(G61,$G$3:$P$13,4,FALSE())</f>
        <v/>
      </c>
      <c r="Q61" s="208" t="inlineStr">
        <is>
          <t>Maxine</t>
        </is>
      </c>
      <c r="R61" s="210">
        <f>VLOOKUP(Q61,$G$3:$P$13,7,FALSE())</f>
        <v/>
      </c>
      <c r="AI61" s="226" t="inlineStr">
        <is>
          <t>Baris</t>
        </is>
      </c>
      <c r="AJ61" s="251">
        <f>$AR$56</f>
        <v/>
      </c>
      <c r="AK61" s="251">
        <f>AJ61-($AJ$65)</f>
        <v/>
      </c>
    </row>
    <row r="62" ht="14.25" customHeight="1" s="175">
      <c r="A62" s="267" t="inlineStr">
        <is>
          <t>Peter</t>
        </is>
      </c>
      <c r="B62" s="268" t="n">
        <v>2</v>
      </c>
      <c r="C62" s="269" t="inlineStr">
        <is>
          <t>Evan</t>
        </is>
      </c>
      <c r="D62" s="192" t="inlineStr">
        <is>
          <t>https://discord.com/channels/191975109500731392/1212839710439776287/1417856563330416700</t>
        </is>
      </c>
      <c r="F62" s="207" t="n"/>
      <c r="G62" s="208" t="inlineStr">
        <is>
          <t>Joey</t>
        </is>
      </c>
      <c r="H62" s="210">
        <f>VLOOKUP(G62,$G$3:$P$13,4,FALSE())</f>
        <v/>
      </c>
      <c r="Q62" s="208" t="inlineStr">
        <is>
          <t>Peter</t>
        </is>
      </c>
      <c r="R62" s="210">
        <f>VLOOKUP(Q62,$G$3:$P$13,7,FALSE())</f>
        <v/>
      </c>
      <c r="AI62" s="208" t="inlineStr">
        <is>
          <t>Leads</t>
        </is>
      </c>
      <c r="AJ62" s="251">
        <f>$AR$55</f>
        <v/>
      </c>
      <c r="AK62" s="251">
        <f>AJ62-($AJ$65)</f>
        <v/>
      </c>
    </row>
    <row r="63" ht="14.25" customHeight="1" s="175">
      <c r="A63" s="267" t="inlineStr">
        <is>
          <t>Ethan</t>
        </is>
      </c>
      <c r="B63" s="268" t="n">
        <v>2</v>
      </c>
      <c r="C63" s="269" t="inlineStr">
        <is>
          <t>Evan</t>
        </is>
      </c>
      <c r="D63" s="192" t="inlineStr">
        <is>
          <t>https://discord.com/channels/191975109500731392/1212839710439776287/1417922464117166201</t>
        </is>
      </c>
      <c r="F63" s="207" t="n"/>
      <c r="G63" s="208" t="inlineStr">
        <is>
          <t>Evan</t>
        </is>
      </c>
      <c r="H63" s="210">
        <f>VLOOKUP(G63,$G$3:$P$13,4,FALSE())</f>
        <v/>
      </c>
      <c r="Q63" s="208" t="inlineStr">
        <is>
          <t>Carter</t>
        </is>
      </c>
      <c r="R63" s="210">
        <f>VLOOKUP(Q63,$G$3:$P$13,7,FALSE())</f>
        <v/>
      </c>
      <c r="AI63" s="247" t="inlineStr">
        <is>
          <t>Basses (No Reuben)</t>
        </is>
      </c>
      <c r="AJ63" s="251">
        <f>$AR$58</f>
        <v/>
      </c>
      <c r="AK63" s="251">
        <f>AJ63-($AJ$65)</f>
        <v/>
      </c>
    </row>
    <row r="64" ht="14.25" customHeight="1" s="175">
      <c r="A64" s="267" t="inlineStr">
        <is>
          <t>Evan</t>
        </is>
      </c>
      <c r="B64" s="268" t="n">
        <v>1</v>
      </c>
      <c r="C64" s="269" t="inlineStr">
        <is>
          <t>Ethan</t>
        </is>
      </c>
      <c r="D64" s="192" t="inlineStr">
        <is>
          <t>https://discord.com/channels/191975109500731392/1212839710439776287/1417922609768697956</t>
        </is>
      </c>
      <c r="F64" s="207" t="n"/>
      <c r="G64" s="208" t="inlineStr">
        <is>
          <t>Carter</t>
        </is>
      </c>
      <c r="H64" s="210">
        <f>VLOOKUP(G64,$G$3:$P$13,4,FALSE())</f>
        <v/>
      </c>
      <c r="Q64" s="208" t="inlineStr">
        <is>
          <t>Evan</t>
        </is>
      </c>
      <c r="R64" s="210">
        <f>VLOOKUP(Q64,$G$3:$P$13,7,FALSE())</f>
        <v/>
      </c>
      <c r="AI64" s="208" t="inlineStr">
        <is>
          <t>Basses</t>
        </is>
      </c>
      <c r="AJ64" s="257">
        <f>$AR$57</f>
        <v/>
      </c>
      <c r="AK64" s="251">
        <f>AJ64-($AJ$65)</f>
        <v/>
      </c>
    </row>
    <row r="65" ht="14.25" customHeight="1" s="175">
      <c r="A65" s="267" t="inlineStr">
        <is>
          <t>Ethan</t>
        </is>
      </c>
      <c r="B65" s="268" t="n">
        <v>2</v>
      </c>
      <c r="C65" s="269" t="inlineStr">
        <is>
          <t>Reuben</t>
        </is>
      </c>
      <c r="D65" s="192" t="inlineStr">
        <is>
          <t>https://discord.com/channels/191975109500731392/1212839710439776287/1418007018140205069</t>
        </is>
      </c>
      <c r="F65" s="207" t="n"/>
      <c r="G65" s="208" t="inlineStr">
        <is>
          <t>Cooper</t>
        </is>
      </c>
      <c r="H65" s="210">
        <f>VLOOKUP(G65,$G$3:$P$13,4,FALSE())</f>
        <v/>
      </c>
      <c r="Q65" s="208" t="inlineStr">
        <is>
          <t>Cooper</t>
        </is>
      </c>
      <c r="R65" s="210">
        <f>VLOOKUP(Q65,$G$3:$P$13,7,FALSE())</f>
        <v/>
      </c>
      <c r="AI65" s="258" t="inlineStr">
        <is>
          <t>Tenors</t>
        </is>
      </c>
      <c r="AJ65" s="251">
        <f>$AR$54</f>
        <v/>
      </c>
      <c r="AK65" s="259">
        <f>AJ65-($AJ$65)</f>
        <v/>
      </c>
    </row>
    <row r="66" ht="14.25" customHeight="1" s="175">
      <c r="A66" s="267" t="inlineStr">
        <is>
          <t>Maxine</t>
        </is>
      </c>
      <c r="B66" s="268" t="n">
        <v>1</v>
      </c>
      <c r="C66" s="269" t="inlineStr">
        <is>
          <t>Grady</t>
        </is>
      </c>
      <c r="D66" s="192" t="inlineStr">
        <is>
          <t>https://discord.com/channels/191975109500731392/1212839710439776287/1418355219242422292</t>
        </is>
      </c>
      <c r="F66" s="207" t="n"/>
      <c r="G66" s="208" t="inlineStr">
        <is>
          <t>Grady</t>
        </is>
      </c>
      <c r="H66" s="210">
        <f>VLOOKUP(G66,$G$3:$P$13,4,FALSE())</f>
        <v/>
      </c>
      <c r="Q66" s="208" t="inlineStr">
        <is>
          <t>Grady</t>
        </is>
      </c>
      <c r="R66" s="210">
        <f>VLOOKUP(Q66,$G$3:$P$13,7,FALSE())</f>
        <v/>
      </c>
    </row>
    <row r="67" ht="14.25" customHeight="1" s="175">
      <c r="A67" s="267" t="inlineStr">
        <is>
          <t>Maxine</t>
        </is>
      </c>
      <c r="B67" s="268" t="n">
        <v>1</v>
      </c>
      <c r="C67" s="269" t="inlineStr">
        <is>
          <t>Cooper</t>
        </is>
      </c>
      <c r="D67" s="192" t="inlineStr">
        <is>
          <t>https://discord.com/channels/191975109500731392/1212839710439776287/1418355219242422292</t>
        </is>
      </c>
      <c r="F67" s="207" t="n"/>
      <c r="G67" s="208" t="inlineStr">
        <is>
          <t>Erick</t>
        </is>
      </c>
      <c r="H67" s="210">
        <f>VLOOKUP(G67,$G$3:$P$13,4,FALSE())</f>
        <v/>
      </c>
      <c r="Q67" s="208" t="inlineStr">
        <is>
          <t>Erick</t>
        </is>
      </c>
      <c r="R67" s="210">
        <f>VLOOKUP(Q67,$G$3:$P$13,7,FALSE())</f>
        <v/>
      </c>
    </row>
    <row r="68" ht="14.25" customHeight="1" s="175">
      <c r="A68" s="267" t="inlineStr">
        <is>
          <t>Cooper</t>
        </is>
      </c>
      <c r="B68" s="268" t="n">
        <v>1</v>
      </c>
      <c r="C68" s="269" t="inlineStr">
        <is>
          <t>Maxine</t>
        </is>
      </c>
      <c r="D68" s="192" t="inlineStr">
        <is>
          <t>https://discord.com/channels/191975109500731392/1212839710439776287/1418356701522034768</t>
        </is>
      </c>
      <c r="F68" s="207" t="n"/>
      <c r="G68" s="208" t="inlineStr">
        <is>
          <t>Reuben</t>
        </is>
      </c>
      <c r="H68" s="210">
        <f>VLOOKUP(G68,$G$3:$P$13,4,FALSE())</f>
        <v/>
      </c>
      <c r="Q68" s="208" t="inlineStr">
        <is>
          <t>Reuben</t>
        </is>
      </c>
      <c r="R68" s="210">
        <f>VLOOKUP(Q68,$G$3:$P$13,7,FALSE())</f>
        <v/>
      </c>
    </row>
    <row r="69" ht="14.25" customHeight="1" s="175">
      <c r="A69" s="267" t="inlineStr">
        <is>
          <t>Peter</t>
        </is>
      </c>
      <c r="B69" s="268" t="n">
        <v>1</v>
      </c>
      <c r="C69" s="269" t="inlineStr">
        <is>
          <t>Evan</t>
        </is>
      </c>
      <c r="D69" s="192" t="inlineStr">
        <is>
          <t>https://discord.com/channels/191975109500731392/1212839710439776287/1418580447340007524</t>
        </is>
      </c>
      <c r="F69" s="207" t="n"/>
      <c r="AI69" s="246" t="n"/>
      <c r="AJ69" s="246" t="n"/>
      <c r="AK69" s="246" t="n"/>
    </row>
    <row r="70" ht="14.25" customHeight="1" s="175">
      <c r="A70" s="267" t="inlineStr">
        <is>
          <t>Evan</t>
        </is>
      </c>
      <c r="B70" s="268" t="n">
        <v>1</v>
      </c>
      <c r="C70" s="269" t="inlineStr">
        <is>
          <t>Peter</t>
        </is>
      </c>
      <c r="D70" s="192" t="inlineStr">
        <is>
          <t>https://discord.com/channels/191975109500731392/1212839710439776287/1418580431900774490</t>
        </is>
      </c>
      <c r="F70" s="207" t="n"/>
      <c r="AI70" s="246" t="n"/>
      <c r="AJ70" s="246" t="n"/>
      <c r="AK70" s="246" t="n"/>
    </row>
    <row r="71" ht="14.25" customHeight="1" s="175">
      <c r="A71" s="267" t="inlineStr">
        <is>
          <t>Peter</t>
        </is>
      </c>
      <c r="B71" s="268" t="n">
        <v>2</v>
      </c>
      <c r="C71" s="269" t="inlineStr">
        <is>
          <t>Ethan</t>
        </is>
      </c>
      <c r="D71" s="192" t="inlineStr">
        <is>
          <t>https://discord.com/channels/191975109500731392/1212839710439776287/1418581366886367354</t>
        </is>
      </c>
      <c r="F71" s="192" t="n"/>
      <c r="AI71" s="246" t="n"/>
      <c r="AJ71" s="246" t="n"/>
      <c r="AK71" s="246" t="n"/>
    </row>
    <row r="72" ht="14.25" customHeight="1" s="175">
      <c r="A72" s="267" t="inlineStr">
        <is>
          <t>Joey</t>
        </is>
      </c>
      <c r="B72" s="268" t="n">
        <v>5</v>
      </c>
      <c r="C72" s="269" t="inlineStr">
        <is>
          <t>Alumni</t>
        </is>
      </c>
      <c r="D72" s="192" t="inlineStr">
        <is>
          <t>https://discord.com/channels/191975109500731392/1212839710439776287/1410008608875348160</t>
        </is>
      </c>
      <c r="F72" s="207" t="n"/>
      <c r="AI72" s="246" t="n"/>
      <c r="AJ72" s="246" t="n"/>
      <c r="AK72" s="246" t="n"/>
    </row>
    <row r="73" ht="14.25" customHeight="1" s="175">
      <c r="A73" s="267" t="inlineStr">
        <is>
          <t>Maxine</t>
        </is>
      </c>
      <c r="B73" s="268" t="n">
        <v>5</v>
      </c>
      <c r="C73" s="269" t="inlineStr">
        <is>
          <t>Alumni</t>
        </is>
      </c>
      <c r="D73" s="192" t="inlineStr">
        <is>
          <t>https://discord.com/channels/191975109500731392/1212839710439776287/1409985917745369240</t>
        </is>
      </c>
      <c r="F73" s="207" t="n"/>
      <c r="G73" s="208" t="inlineStr">
        <is>
          <t>Part:</t>
        </is>
      </c>
      <c r="H73" s="216" t="inlineStr">
        <is>
          <t>Kills</t>
        </is>
      </c>
      <c r="Q73" s="208" t="inlineStr">
        <is>
          <t>Part:</t>
        </is>
      </c>
      <c r="R73" s="216" t="inlineStr">
        <is>
          <t>Kill Points</t>
        </is>
      </c>
      <c r="AJ73" s="246" t="n"/>
      <c r="AK73" s="246" t="n"/>
    </row>
    <row r="74" ht="14.25" customHeight="1" s="175">
      <c r="A74" s="267" t="inlineStr">
        <is>
          <t>Maxine</t>
        </is>
      </c>
      <c r="B74" s="268" t="n">
        <v>2</v>
      </c>
      <c r="C74" s="269" t="inlineStr">
        <is>
          <t>Grady</t>
        </is>
      </c>
      <c r="D74" s="192" t="inlineStr">
        <is>
          <t>https://discord.com/channels/191975109500731392/1212839710439776287/1419078657917583401</t>
        </is>
      </c>
      <c r="F74" s="207" t="n"/>
      <c r="G74" s="226" t="inlineStr">
        <is>
          <t>Tenors</t>
        </is>
      </c>
      <c r="H74" s="241">
        <f>VLOOKUP(G74,$G$17:$O$21,2,FALSE())</f>
        <v/>
      </c>
      <c r="Q74" s="226" t="inlineStr">
        <is>
          <t>Tenors</t>
        </is>
      </c>
      <c r="R74" s="241">
        <f>VLOOKUP(Q74,$G$17:$O$21,5,FALSE())</f>
        <v/>
      </c>
      <c r="AG74" s="246" t="n"/>
      <c r="AH74" s="246" t="n"/>
      <c r="AI74" s="246" t="n"/>
      <c r="AJ74" s="246" t="n"/>
      <c r="AK74" s="246" t="n"/>
    </row>
    <row r="75" ht="14.25" customHeight="1" s="175">
      <c r="A75" s="267" t="inlineStr">
        <is>
          <t>Maxine</t>
        </is>
      </c>
      <c r="B75" s="268" t="n">
        <v>2</v>
      </c>
      <c r="C75" s="269" t="inlineStr">
        <is>
          <t>Cooper</t>
        </is>
      </c>
      <c r="D75" s="192" t="inlineStr">
        <is>
          <t>https://discord.com/channels/191975109500731392/1212839710439776287/1419078657917583401</t>
        </is>
      </c>
      <c r="F75" s="207" t="n"/>
      <c r="G75" s="208" t="inlineStr">
        <is>
          <t>Basses</t>
        </is>
      </c>
      <c r="H75" s="241">
        <f>VLOOKUP(G75,$G$17:$O$21,2,FALSE())</f>
        <v/>
      </c>
      <c r="Q75" s="208" t="inlineStr">
        <is>
          <t>Basses</t>
        </is>
      </c>
      <c r="R75" s="241">
        <f>VLOOKUP(Q75,$G$17:$O$21,5,FALSE())</f>
        <v/>
      </c>
      <c r="AE75" s="246" t="n"/>
      <c r="AF75" s="246" t="n"/>
      <c r="AG75" s="246" t="n"/>
    </row>
    <row r="76" ht="14.25" customHeight="1" s="175">
      <c r="A76" s="267" t="n"/>
      <c r="B76" s="268" t="n"/>
      <c r="C76" s="269" t="n"/>
      <c r="D76" s="192" t="n"/>
      <c r="F76" s="207" t="n"/>
      <c r="G76" s="208" t="inlineStr">
        <is>
          <t>Leads</t>
        </is>
      </c>
      <c r="H76" s="241">
        <f>VLOOKUP(G76,$G$17:$O$21,2,FALSE())</f>
        <v/>
      </c>
      <c r="Q76" s="208" t="inlineStr">
        <is>
          <t>Leads</t>
        </is>
      </c>
      <c r="R76" s="241">
        <f>VLOOKUP(Q76,$G$17:$O$21,5,FALSE())</f>
        <v/>
      </c>
    </row>
    <row r="77" ht="14.25" customHeight="1" s="175">
      <c r="A77" s="267" t="n"/>
      <c r="B77" s="268" t="n"/>
      <c r="C77" s="269" t="n"/>
      <c r="D77" s="192" t="n"/>
      <c r="F77" s="207" t="n"/>
      <c r="G77" s="208" t="inlineStr">
        <is>
          <t>Baris</t>
        </is>
      </c>
      <c r="H77" s="241">
        <f>VLOOKUP(G77,$G$17:$O$21,2,FALSE())</f>
        <v/>
      </c>
      <c r="Q77" s="208" t="inlineStr">
        <is>
          <t>Baris</t>
        </is>
      </c>
      <c r="R77" s="241">
        <f>VLOOKUP(Q77,$G$17:$O$21,5,FALSE())</f>
        <v/>
      </c>
    </row>
    <row r="78" ht="14.25" customHeight="1" s="175">
      <c r="A78" s="267" t="n"/>
      <c r="B78" s="268" t="n"/>
      <c r="C78" s="269" t="n"/>
      <c r="D78" s="192" t="n"/>
      <c r="F78" s="207" t="n"/>
    </row>
    <row r="79" ht="14.25" customHeight="1" s="175">
      <c r="A79" s="267" t="n"/>
      <c r="B79" s="268" t="n"/>
      <c r="C79" s="269" t="n"/>
      <c r="D79" s="192" t="n"/>
      <c r="F79" s="207" t="n"/>
    </row>
    <row r="80" ht="14.25" customHeight="1" s="175">
      <c r="A80" s="267" t="n"/>
      <c r="B80" s="268" t="n"/>
      <c r="C80" s="269" t="n"/>
      <c r="D80" s="192" t="n"/>
      <c r="F80" s="207" t="n"/>
    </row>
    <row r="81" ht="14.25" customHeight="1" s="175">
      <c r="A81" s="267" t="n"/>
      <c r="B81" s="268" t="n"/>
      <c r="C81" s="269" t="n"/>
      <c r="D81" s="192" t="n"/>
      <c r="F81" s="192" t="n"/>
    </row>
    <row r="82" ht="14.25" customHeight="1" s="175">
      <c r="A82" s="267" t="n"/>
      <c r="B82" s="268" t="n"/>
      <c r="C82" s="269" t="n"/>
      <c r="D82" s="192" t="n"/>
      <c r="F82" s="207" t="n"/>
    </row>
    <row r="83" ht="14.25" customHeight="1" s="175">
      <c r="A83" s="267" t="n"/>
      <c r="B83" s="268" t="n"/>
      <c r="C83" s="269" t="n"/>
      <c r="D83" s="192" t="n"/>
      <c r="F83" s="207" t="n"/>
    </row>
    <row r="84" ht="14.25" customHeight="1" s="175">
      <c r="A84" s="267" t="n"/>
      <c r="B84" s="268" t="n"/>
      <c r="C84" s="269" t="n"/>
      <c r="D84" s="192" t="n"/>
      <c r="F84" s="207" t="n"/>
      <c r="G84" s="208" t="inlineStr">
        <is>
          <t>Part:</t>
        </is>
      </c>
      <c r="H84" s="216" t="inlineStr">
        <is>
          <t>Deaths</t>
        </is>
      </c>
      <c r="Q84" s="208" t="inlineStr">
        <is>
          <t>Part:</t>
        </is>
      </c>
      <c r="R84" s="216" t="inlineStr">
        <is>
          <t>Death Points</t>
        </is>
      </c>
    </row>
    <row r="85" ht="14.25" customHeight="1" s="175">
      <c r="A85" s="267" t="n"/>
      <c r="B85" s="268" t="n"/>
      <c r="C85" s="269" t="n"/>
      <c r="D85" s="192" t="n"/>
      <c r="F85" s="207" t="n"/>
      <c r="G85" s="208" t="inlineStr">
        <is>
          <t>Basses</t>
        </is>
      </c>
      <c r="H85" s="243">
        <f>VLOOKUP(G85,$G$17:$O$21,3,FALSE())</f>
        <v/>
      </c>
      <c r="Q85" s="208" t="inlineStr">
        <is>
          <t>Basses</t>
        </is>
      </c>
      <c r="R85" s="243">
        <f>VLOOKUP(Q85,$G$17:$O$21,6,FALSE())</f>
        <v/>
      </c>
    </row>
    <row r="86" ht="14.25" customHeight="1" s="175">
      <c r="A86" s="267" t="n"/>
      <c r="B86" s="268" t="n"/>
      <c r="C86" s="269" t="n"/>
      <c r="D86" s="192" t="n"/>
      <c r="F86" s="207" t="n"/>
      <c r="G86" s="208" t="inlineStr">
        <is>
          <t>Baris</t>
        </is>
      </c>
      <c r="H86" s="243">
        <f>VLOOKUP(G86,$G$17:$O$21,3,FALSE())</f>
        <v/>
      </c>
      <c r="Q86" s="208" t="inlineStr">
        <is>
          <t>Baris</t>
        </is>
      </c>
      <c r="R86" s="243">
        <f>VLOOKUP(Q86,$G$17:$O$21,6,FALSE())</f>
        <v/>
      </c>
    </row>
    <row r="87" ht="14.25" customHeight="1" s="175">
      <c r="A87" s="267" t="n"/>
      <c r="B87" s="268" t="n"/>
      <c r="C87" s="269" t="n"/>
      <c r="D87" s="192" t="n"/>
      <c r="F87" s="207" t="n"/>
      <c r="G87" s="208" t="inlineStr">
        <is>
          <t>Tenors</t>
        </is>
      </c>
      <c r="H87" s="243">
        <f>VLOOKUP(G87,$G$17:$O$21,3,FALSE())</f>
        <v/>
      </c>
      <c r="Q87" s="208" t="inlineStr">
        <is>
          <t>Leads</t>
        </is>
      </c>
      <c r="R87" s="243">
        <f>VLOOKUP(Q87,$G$17:$O$21,6,FALSE())</f>
        <v/>
      </c>
    </row>
    <row r="88" ht="14.25" customHeight="1" s="175">
      <c r="A88" s="267" t="n"/>
      <c r="B88" s="268" t="n"/>
      <c r="C88" s="269" t="n"/>
      <c r="D88" s="192" t="n"/>
      <c r="F88" s="207" t="n"/>
      <c r="G88" s="208" t="inlineStr">
        <is>
          <t>Leads</t>
        </is>
      </c>
      <c r="H88" s="243">
        <f>VLOOKUP(G88,$G$17:$O$21,3,FALSE())</f>
        <v/>
      </c>
      <c r="Q88" s="208" t="inlineStr">
        <is>
          <t>Tenors</t>
        </is>
      </c>
      <c r="R88" s="243">
        <f>VLOOKUP(Q88,$G$17:$O$21,6,FALSE())</f>
        <v/>
      </c>
    </row>
    <row r="89" ht="14.25" customHeight="1" s="175">
      <c r="A89" s="267" t="n"/>
      <c r="B89" s="268" t="n"/>
      <c r="C89" s="269" t="n"/>
      <c r="D89" s="192" t="n"/>
      <c r="F89" s="207" t="n"/>
      <c r="AJ89" s="246" t="n"/>
      <c r="AK89" s="260" t="n"/>
    </row>
    <row r="90" ht="14.25" customHeight="1" s="175">
      <c r="A90" s="267" t="n"/>
      <c r="B90" s="268" t="n"/>
      <c r="C90" s="269" t="n"/>
      <c r="D90" s="192" t="n"/>
      <c r="F90" s="207" t="n"/>
      <c r="AJ90" s="246" t="n"/>
      <c r="AK90" s="260" t="n"/>
    </row>
    <row r="91" ht="14.25" customHeight="1" s="175">
      <c r="A91" s="267" t="n"/>
      <c r="B91" s="268" t="n"/>
      <c r="C91" s="269" t="n"/>
      <c r="D91" s="192" t="n"/>
      <c r="F91" s="207" t="n"/>
      <c r="AJ91" s="246" t="n"/>
      <c r="AK91" s="260" t="n"/>
    </row>
    <row r="92" ht="14.25" customHeight="1" s="175">
      <c r="A92" s="267" t="n"/>
      <c r="B92" s="268" t="n"/>
      <c r="C92" s="269" t="n"/>
      <c r="D92" s="192" t="n"/>
      <c r="F92" s="207" t="n"/>
      <c r="AJ92" s="246" t="n"/>
      <c r="AK92" s="260" t="n"/>
    </row>
    <row r="93" ht="14.25" customHeight="1" s="175">
      <c r="A93" s="267" t="n"/>
      <c r="B93" s="268" t="n"/>
      <c r="C93" s="269" t="n"/>
      <c r="D93" s="192" t="n"/>
      <c r="F93" s="207" t="n"/>
      <c r="AJ93" s="246" t="n"/>
      <c r="AK93" s="260" t="n"/>
    </row>
    <row r="94" ht="14.25" customHeight="1" s="175">
      <c r="A94" s="267" t="n"/>
      <c r="B94" s="268" t="n"/>
      <c r="C94" s="269" t="n"/>
      <c r="D94" s="192" t="n"/>
      <c r="F94" s="207" t="n"/>
      <c r="J94" s="246" t="n"/>
      <c r="K94" s="246" t="n"/>
      <c r="L94" s="246" t="n"/>
      <c r="M94" s="260" t="n"/>
      <c r="N94" s="260" t="n"/>
      <c r="O94" s="260" t="n"/>
      <c r="P94" s="260" t="n"/>
      <c r="Q94" s="182" t="n"/>
      <c r="T94" s="246" t="n"/>
      <c r="U94" s="246" t="n"/>
      <c r="V94" s="246" t="n"/>
      <c r="W94" s="246" t="n"/>
      <c r="X94" s="246" t="n"/>
      <c r="Y94" s="246" t="n"/>
      <c r="Z94" s="246" t="n"/>
      <c r="AA94" s="246" t="n"/>
      <c r="AB94" s="246" t="n"/>
      <c r="AC94" s="246" t="n"/>
      <c r="AD94" s="246" t="n"/>
      <c r="AG94" s="246" t="n"/>
      <c r="AJ94" s="246" t="n"/>
      <c r="AK94" s="260" t="n"/>
    </row>
    <row r="95" ht="14.25" customHeight="1" s="175">
      <c r="A95" s="267" t="n"/>
      <c r="B95" s="268" t="n"/>
      <c r="C95" s="269" t="n"/>
      <c r="D95" s="192" t="n"/>
      <c r="F95" s="207" t="n"/>
      <c r="G95" s="208" t="inlineStr">
        <is>
          <t>Part:</t>
        </is>
      </c>
      <c r="H95" s="216" t="inlineStr">
        <is>
          <t>KDR</t>
        </is>
      </c>
      <c r="J95" s="246" t="n"/>
      <c r="K95" s="246" t="n"/>
      <c r="L95" s="246" t="n"/>
      <c r="M95" s="260" t="n"/>
      <c r="N95" s="260" t="n"/>
      <c r="O95" s="260" t="n"/>
      <c r="P95" s="260" t="n"/>
      <c r="Q95" s="208" t="inlineStr">
        <is>
          <t>Part:</t>
        </is>
      </c>
      <c r="R95" s="216" t="inlineStr">
        <is>
          <t>KpDpR</t>
        </is>
      </c>
      <c r="T95" s="246" t="n"/>
      <c r="U95" s="246" t="n"/>
      <c r="V95" s="246" t="n"/>
      <c r="W95" s="246" t="n"/>
      <c r="X95" s="246" t="n"/>
      <c r="Y95" s="246" t="n"/>
      <c r="Z95" s="246" t="n"/>
      <c r="AA95" s="246" t="n"/>
      <c r="AB95" s="246" t="n"/>
      <c r="AC95" s="246" t="n"/>
      <c r="AD95" s="246" t="n"/>
      <c r="AG95" s="246" t="n"/>
      <c r="AJ95" s="246" t="n"/>
      <c r="AK95" s="260" t="n"/>
    </row>
    <row r="96" ht="14.25" customHeight="1" s="175">
      <c r="A96" s="267" t="n"/>
      <c r="B96" s="268" t="n"/>
      <c r="C96" s="269" t="n"/>
      <c r="D96" s="192" t="n"/>
      <c r="F96" s="207" t="n"/>
      <c r="G96" s="226" t="inlineStr">
        <is>
          <t>Tenors</t>
        </is>
      </c>
      <c r="H96" s="242">
        <f>VLOOKUP(G96,$G$17:$O$21,4,FALSE())</f>
        <v/>
      </c>
      <c r="J96" s="246" t="n"/>
      <c r="K96" s="246" t="n"/>
      <c r="L96" s="246" t="n"/>
      <c r="M96" s="260" t="n"/>
      <c r="N96" s="260" t="n"/>
      <c r="O96" s="260" t="n"/>
      <c r="P96" s="260" t="n"/>
      <c r="Q96" s="226" t="inlineStr">
        <is>
          <t>Tenors</t>
        </is>
      </c>
      <c r="R96" s="242">
        <f>VLOOKUP(Q96,$G$17:$O$21,7,FALSE())</f>
        <v/>
      </c>
      <c r="T96" s="246" t="n"/>
      <c r="U96" s="246" t="n"/>
      <c r="V96" s="246" t="n"/>
      <c r="W96" s="246" t="n"/>
      <c r="X96" s="246" t="n"/>
      <c r="Y96" s="246" t="n"/>
      <c r="Z96" s="246" t="n"/>
      <c r="AA96" s="246" t="n"/>
      <c r="AB96" s="246" t="n"/>
      <c r="AC96" s="246" t="n"/>
      <c r="AD96" s="246" t="n"/>
      <c r="AG96" s="246" t="n"/>
      <c r="AJ96" s="246" t="n"/>
      <c r="AK96" s="260" t="n"/>
    </row>
    <row r="97" ht="14.25" customHeight="1" s="175">
      <c r="A97" s="267" t="n"/>
      <c r="B97" s="268" t="n"/>
      <c r="C97" s="269" t="n"/>
      <c r="D97" s="192" t="n"/>
      <c r="F97" s="207" t="n"/>
      <c r="G97" s="208" t="inlineStr">
        <is>
          <t>Basses</t>
        </is>
      </c>
      <c r="H97" s="242">
        <f>VLOOKUP(G97,$G$17:$O$21,4,FALSE())</f>
        <v/>
      </c>
      <c r="J97" s="246" t="n"/>
      <c r="K97" s="246" t="n"/>
      <c r="L97" s="246" t="n"/>
      <c r="M97" s="260" t="n"/>
      <c r="N97" s="260" t="n"/>
      <c r="O97" s="260" t="n"/>
      <c r="P97" s="260" t="n"/>
      <c r="Q97" s="208" t="inlineStr">
        <is>
          <t>Basses</t>
        </is>
      </c>
      <c r="R97" s="242">
        <f>VLOOKUP(Q97,$G$17:$O$21,7,FALSE())</f>
        <v/>
      </c>
      <c r="T97" s="246" t="n"/>
      <c r="U97" s="246" t="n"/>
      <c r="V97" s="246" t="n"/>
      <c r="W97" s="246" t="n"/>
      <c r="X97" s="246" t="n"/>
      <c r="Y97" s="246" t="n"/>
      <c r="Z97" s="246" t="n"/>
      <c r="AA97" s="246" t="n"/>
      <c r="AB97" s="246" t="n"/>
      <c r="AC97" s="246" t="n"/>
      <c r="AD97" s="246" t="n"/>
      <c r="AG97" s="246" t="n"/>
      <c r="AJ97" s="246" t="n"/>
      <c r="AK97" s="260" t="n"/>
    </row>
    <row r="98" ht="14.25" customHeight="1" s="175">
      <c r="A98" s="267" t="n"/>
      <c r="B98" s="268" t="n"/>
      <c r="C98" s="269" t="n"/>
      <c r="D98" s="192" t="n"/>
      <c r="F98" s="207" t="n"/>
      <c r="G98" s="208" t="inlineStr">
        <is>
          <t>Leads</t>
        </is>
      </c>
      <c r="H98" s="242">
        <f>VLOOKUP(G98,$G$17:$O$21,4,FALSE())</f>
        <v/>
      </c>
      <c r="J98" s="246" t="n"/>
      <c r="K98" s="246" t="n"/>
      <c r="L98" s="246" t="n"/>
      <c r="M98" s="260" t="n"/>
      <c r="N98" s="260" t="n"/>
      <c r="O98" s="260" t="n"/>
      <c r="P98" s="260" t="n"/>
      <c r="Q98" s="208" t="inlineStr">
        <is>
          <t>Leads</t>
        </is>
      </c>
      <c r="R98" s="242">
        <f>VLOOKUP(Q98,$G$17:$O$21,7,FALSE())</f>
        <v/>
      </c>
      <c r="T98" s="246" t="n"/>
      <c r="U98" s="246" t="n"/>
      <c r="V98" s="246" t="n"/>
      <c r="W98" s="246" t="n"/>
      <c r="X98" s="246" t="n"/>
      <c r="Y98" s="246" t="n"/>
      <c r="Z98" s="246" t="n"/>
      <c r="AA98" s="246" t="n"/>
      <c r="AB98" s="246" t="n"/>
      <c r="AC98" s="246" t="n"/>
      <c r="AD98" s="246" t="n"/>
      <c r="AG98" s="246" t="n"/>
      <c r="AJ98" s="246" t="n"/>
      <c r="AK98" s="260" t="n"/>
    </row>
    <row r="99" ht="14.25" customHeight="1" s="175">
      <c r="A99" s="267" t="n"/>
      <c r="B99" s="268" t="n"/>
      <c r="C99" s="269" t="n"/>
      <c r="D99" s="192" t="n"/>
      <c r="F99" s="207" t="n"/>
      <c r="G99" s="208" t="inlineStr">
        <is>
          <t>Baris</t>
        </is>
      </c>
      <c r="H99" s="242">
        <f>VLOOKUP(G99,$G$17:$O$21,4,FALSE())</f>
        <v/>
      </c>
      <c r="J99" s="246" t="n"/>
      <c r="K99" s="246" t="n"/>
      <c r="L99" s="246" t="n"/>
      <c r="M99" s="260" t="n"/>
      <c r="N99" s="260" t="n"/>
      <c r="O99" s="260" t="n"/>
      <c r="P99" s="260" t="n"/>
      <c r="Q99" s="208" t="inlineStr">
        <is>
          <t>Baris</t>
        </is>
      </c>
      <c r="R99" s="242">
        <f>VLOOKUP(Q99,$G$17:$O$21,7,FALSE())</f>
        <v/>
      </c>
      <c r="T99" s="246" t="n"/>
      <c r="U99" s="246" t="n"/>
      <c r="V99" s="246" t="n"/>
      <c r="W99" s="246" t="n"/>
      <c r="X99" s="246" t="n"/>
      <c r="Y99" s="246" t="n"/>
      <c r="Z99" s="246" t="n"/>
      <c r="AA99" s="246" t="n"/>
      <c r="AB99" s="246" t="n"/>
      <c r="AC99" s="246" t="n"/>
      <c r="AD99" s="246" t="n"/>
      <c r="AG99" s="246" t="n"/>
      <c r="AJ99" s="246" t="n"/>
      <c r="AK99" s="260" t="n"/>
    </row>
    <row r="100" ht="14.25" customHeight="1" s="175">
      <c r="A100" s="267" t="n"/>
      <c r="B100" s="268" t="n"/>
      <c r="C100" s="269" t="n"/>
      <c r="D100" s="192" t="n"/>
      <c r="F100" s="207" t="n"/>
      <c r="J100" s="246" t="n"/>
      <c r="K100" s="246" t="n"/>
      <c r="L100" s="246" t="n"/>
      <c r="M100" s="260" t="n"/>
      <c r="N100" s="260" t="n"/>
      <c r="O100" s="260" t="n"/>
      <c r="P100" s="260" t="n"/>
      <c r="Q100" s="182" t="n"/>
      <c r="T100" s="246" t="n"/>
      <c r="U100" s="246" t="n"/>
      <c r="V100" s="246" t="n"/>
      <c r="W100" s="246" t="n"/>
      <c r="X100" s="246" t="n"/>
      <c r="Y100" s="246" t="n"/>
      <c r="Z100" s="246" t="n"/>
      <c r="AA100" s="246" t="n"/>
      <c r="AB100" s="246" t="n"/>
      <c r="AC100" s="246" t="n"/>
      <c r="AD100" s="246" t="n"/>
      <c r="AG100" s="246" t="n"/>
      <c r="AJ100" s="246" t="n"/>
      <c r="AK100" s="260" t="n"/>
    </row>
    <row r="101" ht="14.25" customHeight="1" s="175">
      <c r="A101" s="267" t="n"/>
      <c r="B101" s="268" t="n"/>
      <c r="C101" s="269" t="n"/>
      <c r="D101" s="192" t="n"/>
      <c r="F101" s="207" t="n"/>
      <c r="J101" s="246" t="n"/>
      <c r="K101" s="246" t="n"/>
      <c r="L101" s="246" t="n"/>
      <c r="M101" s="260" t="n"/>
      <c r="N101" s="260" t="n"/>
      <c r="O101" s="260" t="n"/>
      <c r="P101" s="260" t="n"/>
      <c r="Q101" s="182" t="n"/>
      <c r="T101" s="246" t="n"/>
      <c r="U101" s="246" t="n"/>
      <c r="V101" s="246" t="n"/>
      <c r="W101" s="246" t="n"/>
      <c r="X101" s="246" t="n"/>
      <c r="Y101" s="246" t="n"/>
      <c r="Z101" s="246" t="n"/>
      <c r="AA101" s="246" t="n"/>
      <c r="AB101" s="246" t="n"/>
      <c r="AC101" s="246" t="n"/>
      <c r="AD101" s="246" t="n"/>
      <c r="AG101" s="246" t="n"/>
      <c r="AJ101" s="246" t="n"/>
      <c r="AK101" s="260" t="n"/>
    </row>
    <row r="102" ht="14.25" customHeight="1" s="175">
      <c r="A102" s="267" t="n"/>
      <c r="B102" s="268" t="n"/>
      <c r="C102" s="269" t="n"/>
      <c r="D102" s="192" t="n"/>
      <c r="F102" s="207" t="n"/>
      <c r="J102" s="246" t="n"/>
      <c r="K102" s="246" t="n"/>
      <c r="L102" s="246" t="n"/>
      <c r="M102" s="260" t="n"/>
      <c r="N102" s="260" t="n"/>
      <c r="O102" s="260" t="n"/>
      <c r="P102" s="260" t="n"/>
      <c r="Q102" s="182" t="n"/>
      <c r="T102" s="246" t="n"/>
      <c r="U102" s="246" t="n"/>
      <c r="V102" s="246" t="n"/>
      <c r="W102" s="246" t="n"/>
      <c r="X102" s="246" t="n"/>
      <c r="Y102" s="246" t="n"/>
      <c r="Z102" s="246" t="n"/>
      <c r="AA102" s="246" t="n"/>
      <c r="AB102" s="246" t="n"/>
      <c r="AC102" s="246" t="n"/>
      <c r="AD102" s="246" t="n"/>
      <c r="AG102" s="246" t="n"/>
      <c r="AJ102" s="246" t="n"/>
      <c r="AK102" s="260" t="n"/>
    </row>
    <row r="103" ht="14.25" customHeight="1" s="175">
      <c r="A103" s="267" t="n"/>
      <c r="B103" s="268" t="n"/>
      <c r="C103" s="269" t="n"/>
      <c r="D103" s="192" t="n"/>
      <c r="F103" s="207" t="n"/>
      <c r="J103" s="246" t="n"/>
      <c r="K103" s="246" t="n"/>
      <c r="L103" s="246" t="n"/>
      <c r="M103" s="260" t="n"/>
      <c r="N103" s="260" t="n"/>
      <c r="O103" s="260" t="n"/>
      <c r="P103" s="260" t="n"/>
      <c r="Q103" s="182" t="n"/>
      <c r="T103" s="246" t="n"/>
      <c r="U103" s="246" t="n"/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G103" s="246" t="n"/>
      <c r="AJ103" s="246" t="n"/>
      <c r="AK103" s="260" t="n"/>
    </row>
    <row r="104" ht="14.25" customHeight="1" s="175">
      <c r="A104" s="267" t="n"/>
      <c r="B104" s="268" t="n"/>
      <c r="C104" s="269" t="n"/>
      <c r="D104" s="192" t="n"/>
      <c r="F104" s="207" t="n"/>
      <c r="J104" s="246" t="n"/>
      <c r="K104" s="246" t="n"/>
      <c r="L104" s="246" t="n"/>
      <c r="M104" s="260" t="n"/>
      <c r="N104" s="260" t="n"/>
      <c r="O104" s="260" t="n"/>
      <c r="P104" s="260" t="n"/>
      <c r="Q104" s="182" t="n"/>
      <c r="T104" s="246" t="n"/>
      <c r="U104" s="246" t="n"/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G104" s="246" t="n"/>
      <c r="AJ104" s="246" t="n"/>
      <c r="AK104" s="260" t="n"/>
    </row>
    <row r="105" ht="14.25" customHeight="1" s="175">
      <c r="A105" s="267" t="n"/>
      <c r="B105" s="268" t="n"/>
      <c r="C105" s="269" t="n"/>
      <c r="D105" s="192" t="n"/>
      <c r="F105" s="207" t="n"/>
      <c r="J105" s="246" t="n"/>
      <c r="K105" s="246" t="n"/>
      <c r="L105" s="246" t="n"/>
      <c r="M105" s="260" t="n"/>
      <c r="N105" s="260" t="n"/>
      <c r="O105" s="260" t="n"/>
      <c r="P105" s="260" t="n"/>
      <c r="Q105" s="182" t="n"/>
      <c r="T105" s="246" t="n"/>
      <c r="U105" s="246" t="n"/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G105" s="246" t="n"/>
      <c r="AJ105" s="246" t="n"/>
      <c r="AK105" s="260" t="n"/>
    </row>
    <row r="106" ht="14.25" customHeight="1" s="175">
      <c r="A106" s="267" t="n"/>
      <c r="B106" s="268" t="n"/>
      <c r="C106" s="269" t="n"/>
      <c r="D106" s="192" t="n"/>
      <c r="F106" s="207" t="n"/>
      <c r="J106" s="246" t="n"/>
      <c r="K106" s="246" t="n"/>
      <c r="L106" s="246" t="n"/>
      <c r="M106" s="260" t="n"/>
      <c r="N106" s="260" t="n"/>
      <c r="O106" s="260" t="n"/>
      <c r="P106" s="260" t="n"/>
      <c r="Q106" s="182" t="n"/>
      <c r="T106" s="246" t="n"/>
      <c r="U106" s="246" t="n"/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G106" s="246" t="n"/>
      <c r="AJ106" s="246" t="n"/>
      <c r="AK106" s="260" t="n"/>
    </row>
    <row r="107" ht="14.25" customHeight="1" s="175">
      <c r="A107" s="267" t="n"/>
      <c r="B107" s="268" t="n"/>
      <c r="C107" s="269" t="n"/>
      <c r="D107" s="192" t="n"/>
      <c r="F107" s="207" t="n"/>
      <c r="J107" s="246" t="n"/>
      <c r="K107" s="246" t="n"/>
      <c r="L107" s="246" t="n"/>
      <c r="M107" s="260" t="n"/>
      <c r="N107" s="260" t="n"/>
      <c r="O107" s="260" t="n"/>
      <c r="P107" s="260" t="n"/>
      <c r="Q107" s="182" t="n"/>
      <c r="T107" s="246" t="n"/>
      <c r="U107" s="246" t="n"/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G107" s="246" t="n"/>
      <c r="AJ107" s="246" t="n"/>
      <c r="AK107" s="260" t="n"/>
    </row>
    <row r="108" ht="14.25" customHeight="1" s="175">
      <c r="A108" s="267" t="n"/>
      <c r="B108" s="268" t="n"/>
      <c r="C108" s="269" t="n"/>
      <c r="D108" s="192" t="n"/>
      <c r="F108" s="207" t="n"/>
      <c r="J108" s="246" t="n"/>
      <c r="K108" s="246" t="n"/>
      <c r="L108" s="246" t="n"/>
      <c r="M108" s="260" t="n"/>
      <c r="N108" s="260" t="n"/>
      <c r="O108" s="260" t="n"/>
      <c r="P108" s="260" t="n"/>
      <c r="Q108" s="182" t="n"/>
      <c r="T108" s="246" t="n"/>
      <c r="U108" s="246" t="n"/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G108" s="246" t="n"/>
      <c r="AJ108" s="246" t="n"/>
      <c r="AK108" s="260" t="n"/>
    </row>
    <row r="109" ht="14.25" customHeight="1" s="175">
      <c r="A109" s="267" t="n"/>
      <c r="B109" s="268" t="n"/>
      <c r="C109" s="269" t="n"/>
      <c r="D109" s="192" t="n"/>
      <c r="F109" s="207" t="n"/>
      <c r="J109" s="246" t="n"/>
      <c r="K109" s="246" t="n"/>
      <c r="L109" s="246" t="n"/>
      <c r="M109" s="260" t="n"/>
      <c r="N109" s="260" t="n"/>
      <c r="O109" s="260" t="n"/>
      <c r="P109" s="260" t="n"/>
      <c r="Q109" s="182" t="n"/>
      <c r="T109" s="246" t="n"/>
      <c r="U109" s="246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G109" s="246" t="n"/>
      <c r="AJ109" s="246" t="n"/>
      <c r="AK109" s="260" t="n"/>
    </row>
    <row r="110" ht="14.25" customHeight="1" s="175">
      <c r="A110" s="267" t="n"/>
      <c r="B110" s="268" t="n"/>
      <c r="C110" s="269" t="n"/>
      <c r="D110" s="192" t="n"/>
      <c r="F110" s="207" t="n"/>
      <c r="J110" s="246" t="n"/>
      <c r="K110" s="246" t="n"/>
      <c r="L110" s="246" t="n"/>
      <c r="M110" s="260" t="n"/>
      <c r="N110" s="260" t="n"/>
      <c r="O110" s="260" t="n"/>
      <c r="P110" s="260" t="n"/>
      <c r="Q110" s="182" t="n"/>
      <c r="T110" s="246" t="n"/>
      <c r="U110" s="246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G110" s="246" t="n"/>
      <c r="AJ110" s="246" t="n"/>
      <c r="AK110" s="260" t="n"/>
    </row>
    <row r="111" ht="14.25" customHeight="1" s="175">
      <c r="A111" s="267" t="n"/>
      <c r="B111" s="268" t="n"/>
      <c r="C111" s="269" t="n"/>
      <c r="D111" s="192" t="n"/>
      <c r="F111" s="207" t="n"/>
      <c r="J111" s="246" t="n"/>
      <c r="K111" s="246" t="n"/>
      <c r="L111" s="246" t="n"/>
      <c r="M111" s="260" t="n"/>
      <c r="N111" s="260" t="n"/>
      <c r="O111" s="260" t="n"/>
      <c r="P111" s="260" t="n"/>
      <c r="Q111" s="182" t="n"/>
      <c r="T111" s="246" t="n"/>
      <c r="U111" s="246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G111" s="246" t="n"/>
      <c r="AJ111" s="246" t="n"/>
      <c r="AK111" s="260" t="n"/>
    </row>
    <row r="112" ht="14.25" customHeight="1" s="175">
      <c r="A112" s="267" t="n"/>
      <c r="B112" s="268" t="n"/>
      <c r="C112" s="269" t="n"/>
      <c r="D112" s="192" t="n"/>
      <c r="F112" s="207" t="n"/>
      <c r="J112" s="246" t="n"/>
      <c r="K112" s="246" t="n"/>
      <c r="L112" s="246" t="n"/>
      <c r="M112" s="260" t="n"/>
      <c r="N112" s="260" t="n"/>
      <c r="O112" s="260" t="n"/>
      <c r="P112" s="260" t="n"/>
      <c r="Q112" s="182" t="n"/>
      <c r="T112" s="246" t="n"/>
      <c r="U112" s="246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G112" s="246" t="n"/>
      <c r="AJ112" s="246" t="n"/>
      <c r="AK112" s="260" t="n"/>
    </row>
    <row r="113" ht="14.25" customHeight="1" s="175">
      <c r="A113" s="267" t="n"/>
      <c r="B113" s="268" t="n"/>
      <c r="C113" s="269" t="n"/>
      <c r="D113" s="192" t="n"/>
      <c r="F113" s="207" t="n"/>
      <c r="J113" s="246" t="n"/>
      <c r="K113" s="246" t="n"/>
      <c r="L113" s="246" t="n"/>
      <c r="M113" s="260" t="n"/>
      <c r="N113" s="260" t="n"/>
      <c r="O113" s="260" t="n"/>
      <c r="P113" s="260" t="n"/>
      <c r="Q113" s="182" t="n"/>
      <c r="T113" s="246" t="n"/>
      <c r="U113" s="246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G113" s="246" t="n"/>
      <c r="AJ113" s="246" t="n"/>
      <c r="AK113" s="260" t="n"/>
    </row>
    <row r="114" ht="14.25" customHeight="1" s="175">
      <c r="A114" s="267" t="n"/>
      <c r="B114" s="268" t="n"/>
      <c r="C114" s="269" t="n"/>
      <c r="D114" s="192" t="n"/>
      <c r="F114" s="207" t="n"/>
      <c r="J114" s="246" t="n"/>
      <c r="K114" s="246" t="n"/>
      <c r="L114" s="246" t="n"/>
      <c r="M114" s="260" t="n"/>
      <c r="N114" s="260" t="n"/>
      <c r="O114" s="260" t="n"/>
      <c r="P114" s="260" t="n"/>
      <c r="Q114" s="182" t="n"/>
      <c r="T114" s="246" t="n"/>
      <c r="U114" s="246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G114" s="246" t="n"/>
      <c r="AJ114" s="246" t="n"/>
      <c r="AK114" s="260" t="n"/>
    </row>
    <row r="115" ht="14.25" customHeight="1" s="175">
      <c r="A115" s="267" t="n"/>
      <c r="B115" s="268" t="n"/>
      <c r="C115" s="269" t="n"/>
      <c r="D115" s="192" t="n"/>
      <c r="F115" s="207" t="n"/>
      <c r="J115" s="246" t="n"/>
      <c r="K115" s="246" t="n"/>
      <c r="L115" s="246" t="n"/>
      <c r="M115" s="260" t="n"/>
      <c r="N115" s="260" t="n"/>
      <c r="O115" s="260" t="n"/>
      <c r="P115" s="260" t="n"/>
      <c r="Q115" s="182" t="n"/>
      <c r="T115" s="246" t="n"/>
      <c r="U115" s="246" t="n"/>
      <c r="V115" s="246" t="n"/>
      <c r="W115" s="246" t="n"/>
      <c r="X115" s="246" t="n"/>
      <c r="Y115" s="246" t="n"/>
      <c r="Z115" s="246" t="n"/>
      <c r="AA115" s="246" t="n"/>
      <c r="AB115" s="246" t="n"/>
      <c r="AC115" s="246" t="n"/>
      <c r="AD115" s="246" t="n"/>
      <c r="AE115" s="246" t="n"/>
      <c r="AF115" s="246" t="n"/>
      <c r="AG115" s="246" t="n"/>
      <c r="AJ115" s="246" t="n"/>
      <c r="AK115" s="260" t="n"/>
    </row>
    <row r="116" ht="14.25" customHeight="1" s="175">
      <c r="A116" s="267" t="n"/>
      <c r="B116" s="268" t="n"/>
      <c r="C116" s="269" t="n"/>
      <c r="D116" s="192" t="n"/>
      <c r="F116" s="207" t="n"/>
      <c r="J116" s="246" t="n"/>
      <c r="K116" s="246" t="n"/>
      <c r="L116" s="246" t="n"/>
      <c r="M116" s="260" t="n"/>
      <c r="N116" s="260" t="n"/>
      <c r="O116" s="260" t="n"/>
      <c r="P116" s="260" t="n"/>
      <c r="Q116" s="182" t="n"/>
      <c r="T116" s="246" t="n"/>
      <c r="U116" s="246" t="n"/>
      <c r="V116" s="246" t="n"/>
      <c r="W116" s="246" t="n"/>
      <c r="X116" s="246" t="n"/>
      <c r="Y116" s="246" t="n"/>
      <c r="Z116" s="246" t="n"/>
      <c r="AA116" s="246" t="n"/>
      <c r="AB116" s="246" t="n"/>
      <c r="AC116" s="246" t="n"/>
      <c r="AD116" s="246" t="n"/>
      <c r="AE116" s="246" t="n"/>
      <c r="AF116" s="246" t="n"/>
      <c r="AG116" s="246" t="n"/>
      <c r="AJ116" s="246" t="n"/>
      <c r="AK116" s="260" t="n"/>
    </row>
    <row r="117" ht="14.25" customHeight="1" s="175">
      <c r="A117" s="267" t="n"/>
      <c r="B117" s="268" t="n"/>
      <c r="C117" s="269" t="n"/>
      <c r="D117" s="192" t="n"/>
      <c r="F117" s="207" t="n"/>
      <c r="J117" s="246" t="n"/>
      <c r="K117" s="246" t="n"/>
      <c r="L117" s="246" t="n"/>
      <c r="M117" s="260" t="n"/>
      <c r="N117" s="260" t="n"/>
      <c r="O117" s="260" t="n"/>
      <c r="P117" s="260" t="n"/>
      <c r="Q117" s="182" t="n"/>
      <c r="T117" s="246" t="n"/>
      <c r="U117" s="246" t="n"/>
      <c r="V117" s="246" t="n"/>
      <c r="W117" s="246" t="n"/>
      <c r="X117" s="246" t="n"/>
      <c r="Y117" s="246" t="n"/>
      <c r="Z117" s="246" t="n"/>
      <c r="AA117" s="246" t="n"/>
      <c r="AB117" s="246" t="n"/>
      <c r="AC117" s="246" t="n"/>
      <c r="AD117" s="246" t="n"/>
      <c r="AE117" s="246" t="n"/>
      <c r="AF117" s="246" t="n"/>
      <c r="AG117" s="246" t="n"/>
      <c r="AJ117" s="246" t="n"/>
      <c r="AK117" s="260" t="n"/>
    </row>
    <row r="118" ht="14.25" customHeight="1" s="175">
      <c r="A118" s="267" t="n"/>
      <c r="B118" s="268" t="n"/>
      <c r="C118" s="269" t="n"/>
      <c r="D118" s="192" t="n"/>
      <c r="F118" s="207" t="n"/>
      <c r="J118" s="246" t="n"/>
      <c r="K118" s="246" t="n"/>
      <c r="L118" s="246" t="n"/>
      <c r="M118" s="260" t="n"/>
      <c r="N118" s="260" t="n"/>
      <c r="O118" s="260" t="n"/>
      <c r="P118" s="260" t="n"/>
      <c r="Q118" s="182" t="n"/>
      <c r="T118" s="246" t="n"/>
      <c r="U118" s="246" t="n"/>
      <c r="V118" s="246" t="n"/>
      <c r="W118" s="246" t="n"/>
      <c r="X118" s="246" t="n"/>
      <c r="Y118" s="246" t="n"/>
      <c r="Z118" s="246" t="n"/>
      <c r="AA118" s="246" t="n"/>
      <c r="AB118" s="246" t="n"/>
      <c r="AC118" s="246" t="n"/>
      <c r="AD118" s="246" t="n"/>
      <c r="AE118" s="246" t="n"/>
      <c r="AF118" s="246" t="n"/>
      <c r="AG118" s="246" t="n"/>
      <c r="AJ118" s="246" t="n"/>
      <c r="AK118" s="260" t="n"/>
    </row>
    <row r="119" ht="14.25" customHeight="1" s="175">
      <c r="A119" s="267" t="n"/>
      <c r="B119" s="268" t="n"/>
      <c r="C119" s="269" t="n"/>
      <c r="D119" s="192" t="n"/>
      <c r="F119" s="207" t="n"/>
      <c r="J119" s="246" t="n"/>
      <c r="K119" s="246" t="n"/>
      <c r="L119" s="246" t="n"/>
      <c r="M119" s="260" t="n"/>
      <c r="N119" s="260" t="n"/>
      <c r="O119" s="260" t="n"/>
      <c r="P119" s="260" t="n"/>
      <c r="Q119" s="182" t="n"/>
      <c r="T119" s="246" t="n"/>
      <c r="U119" s="246" t="n"/>
      <c r="V119" s="246" t="n"/>
      <c r="W119" s="246" t="n"/>
      <c r="X119" s="246" t="n"/>
      <c r="Y119" s="246" t="n"/>
      <c r="Z119" s="246" t="n"/>
      <c r="AA119" s="246" t="n"/>
      <c r="AB119" s="246" t="n"/>
      <c r="AC119" s="246" t="n"/>
      <c r="AD119" s="246" t="n"/>
      <c r="AE119" s="246" t="n"/>
      <c r="AF119" s="246" t="n"/>
      <c r="AG119" s="246" t="n"/>
      <c r="AJ119" s="246" t="n"/>
      <c r="AK119" s="260" t="n"/>
    </row>
    <row r="120" ht="14.25" customHeight="1" s="175">
      <c r="A120" s="267" t="n"/>
      <c r="B120" s="268" t="n"/>
      <c r="C120" s="269" t="n"/>
      <c r="D120" s="192" t="n"/>
      <c r="F120" s="207" t="n"/>
      <c r="J120" s="246" t="n"/>
      <c r="K120" s="246" t="n"/>
      <c r="L120" s="246" t="n"/>
      <c r="M120" s="260" t="n"/>
      <c r="N120" s="260" t="n"/>
      <c r="O120" s="260" t="n"/>
      <c r="P120" s="260" t="n"/>
      <c r="Q120" s="182" t="n"/>
      <c r="T120" s="246" t="n"/>
      <c r="U120" s="246" t="n"/>
      <c r="V120" s="246" t="n"/>
      <c r="W120" s="246" t="n"/>
      <c r="X120" s="246" t="n"/>
      <c r="Y120" s="246" t="n"/>
      <c r="Z120" s="246" t="n"/>
      <c r="AA120" s="246" t="n"/>
      <c r="AB120" s="246" t="n"/>
      <c r="AC120" s="246" t="n"/>
      <c r="AD120" s="246" t="n"/>
      <c r="AE120" s="246" t="n"/>
      <c r="AF120" s="246" t="n"/>
      <c r="AG120" s="246" t="n"/>
      <c r="AJ120" s="246" t="n"/>
      <c r="AK120" s="260" t="n"/>
    </row>
    <row r="121" ht="14.25" customHeight="1" s="175">
      <c r="A121" s="267" t="n"/>
      <c r="B121" s="268" t="n"/>
      <c r="C121" s="269" t="n"/>
      <c r="D121" s="192" t="n"/>
      <c r="F121" s="207" t="n"/>
      <c r="J121" s="246" t="n"/>
      <c r="K121" s="246" t="n"/>
      <c r="L121" s="246" t="n"/>
      <c r="M121" s="260" t="n"/>
      <c r="N121" s="260" t="n"/>
      <c r="O121" s="260" t="n"/>
      <c r="P121" s="260" t="n"/>
      <c r="Q121" s="182" t="n"/>
      <c r="T121" s="246" t="n"/>
      <c r="U121" s="246" t="n"/>
      <c r="V121" s="246" t="n"/>
      <c r="W121" s="246" t="n"/>
      <c r="X121" s="246" t="n"/>
      <c r="Y121" s="246" t="n"/>
      <c r="Z121" s="246" t="n"/>
      <c r="AA121" s="246" t="n"/>
      <c r="AB121" s="246" t="n"/>
      <c r="AC121" s="246" t="n"/>
      <c r="AD121" s="246" t="n"/>
      <c r="AE121" s="246" t="n"/>
      <c r="AF121" s="246" t="n"/>
      <c r="AG121" s="246" t="n"/>
      <c r="AJ121" s="246" t="n"/>
      <c r="AK121" s="260" t="n"/>
    </row>
    <row r="122" ht="14.25" customHeight="1" s="175">
      <c r="A122" s="267" t="n"/>
      <c r="B122" s="268" t="n"/>
      <c r="C122" s="294" t="n"/>
      <c r="D122" s="192" t="n"/>
      <c r="F122" s="207" t="n"/>
      <c r="J122" s="246" t="n"/>
      <c r="K122" s="246" t="n"/>
      <c r="L122" s="246" t="n"/>
      <c r="M122" s="260" t="n"/>
      <c r="N122" s="260" t="n"/>
      <c r="O122" s="260" t="n"/>
      <c r="P122" s="260" t="n"/>
      <c r="Q122" s="182" t="n"/>
      <c r="T122" s="246" t="n"/>
      <c r="U122" s="246" t="n"/>
      <c r="V122" s="246" t="n"/>
      <c r="W122" s="246" t="n"/>
      <c r="X122" s="246" t="n"/>
      <c r="Y122" s="246" t="n"/>
      <c r="Z122" s="246" t="n"/>
      <c r="AA122" s="246" t="n"/>
      <c r="AB122" s="246" t="n"/>
      <c r="AC122" s="246" t="n"/>
      <c r="AD122" s="246" t="n"/>
      <c r="AE122" s="246" t="n"/>
      <c r="AF122" s="246" t="n"/>
      <c r="AG122" s="246" t="n"/>
      <c r="AJ122" s="246" t="n"/>
      <c r="AK122" s="260" t="n"/>
    </row>
    <row r="123" ht="14.25" customHeight="1" s="175">
      <c r="A123" s="267" t="n"/>
      <c r="B123" s="268" t="n"/>
      <c r="C123" s="294" t="n"/>
      <c r="D123" s="192" t="n"/>
      <c r="F123" s="207" t="n"/>
      <c r="J123" s="246" t="n"/>
      <c r="K123" s="246" t="n"/>
      <c r="L123" s="246" t="n"/>
      <c r="M123" s="260" t="n"/>
      <c r="N123" s="260" t="n"/>
      <c r="O123" s="260" t="n"/>
      <c r="P123" s="260" t="n"/>
      <c r="Q123" s="182" t="n"/>
      <c r="T123" s="246" t="n"/>
      <c r="U123" s="246" t="n"/>
      <c r="V123" s="246" t="n"/>
      <c r="W123" s="246" t="n"/>
      <c r="X123" s="246" t="n"/>
      <c r="Y123" s="246" t="n"/>
      <c r="Z123" s="246" t="n"/>
      <c r="AA123" s="246" t="n"/>
      <c r="AB123" s="246" t="n"/>
      <c r="AC123" s="246" t="n"/>
      <c r="AD123" s="246" t="n"/>
      <c r="AE123" s="246" t="n"/>
      <c r="AF123" s="246" t="n"/>
      <c r="AG123" s="246" t="n"/>
      <c r="AJ123" s="246" t="n"/>
      <c r="AK123" s="260" t="n"/>
    </row>
    <row r="124" ht="14.25" customHeight="1" s="175">
      <c r="A124" s="267" t="n"/>
      <c r="B124" s="268" t="n"/>
      <c r="C124" s="294" t="n"/>
      <c r="D124" s="192" t="n"/>
      <c r="F124" s="207" t="n"/>
      <c r="J124" s="246" t="n"/>
      <c r="K124" s="246" t="n"/>
      <c r="L124" s="246" t="n"/>
      <c r="M124" s="260" t="n"/>
      <c r="N124" s="260" t="n"/>
      <c r="O124" s="260" t="n"/>
      <c r="P124" s="260" t="n"/>
      <c r="Q124" s="182" t="n"/>
      <c r="T124" s="246" t="n"/>
      <c r="U124" s="246" t="n"/>
      <c r="V124" s="246" t="n"/>
      <c r="W124" s="246" t="n"/>
      <c r="X124" s="246" t="n"/>
      <c r="Y124" s="246" t="n"/>
      <c r="Z124" s="246" t="n"/>
      <c r="AA124" s="246" t="n"/>
      <c r="AB124" s="246" t="n"/>
      <c r="AC124" s="246" t="n"/>
      <c r="AD124" s="246" t="n"/>
      <c r="AE124" s="246" t="n"/>
      <c r="AF124" s="246" t="n"/>
      <c r="AG124" s="246" t="n"/>
      <c r="AJ124" s="246" t="n"/>
      <c r="AK124" s="260" t="n"/>
    </row>
    <row r="125" ht="14.25" customHeight="1" s="175">
      <c r="A125" s="267" t="n"/>
      <c r="B125" s="268" t="n"/>
      <c r="C125" s="294" t="n"/>
      <c r="D125" s="192" t="n"/>
      <c r="F125" s="207" t="n"/>
      <c r="J125" s="246" t="n"/>
      <c r="K125" s="246" t="n"/>
      <c r="L125" s="246" t="n"/>
      <c r="M125" s="260" t="n"/>
      <c r="N125" s="260" t="n"/>
      <c r="O125" s="260" t="n"/>
      <c r="P125" s="260" t="n"/>
      <c r="Q125" s="182" t="n"/>
      <c r="T125" s="246" t="n"/>
      <c r="U125" s="246" t="n"/>
      <c r="V125" s="246" t="n"/>
      <c r="W125" s="246" t="n"/>
      <c r="X125" s="246" t="n"/>
      <c r="Y125" s="246" t="n"/>
      <c r="Z125" s="246" t="n"/>
      <c r="AA125" s="246" t="n"/>
      <c r="AB125" s="246" t="n"/>
      <c r="AC125" s="246" t="n"/>
      <c r="AD125" s="246" t="n"/>
      <c r="AE125" s="246" t="n"/>
      <c r="AF125" s="246" t="n"/>
      <c r="AG125" s="246" t="n"/>
      <c r="AJ125" s="246" t="n"/>
      <c r="AK125" s="260" t="n"/>
    </row>
    <row r="126" ht="14.25" customHeight="1" s="175">
      <c r="A126" s="267" t="n"/>
      <c r="B126" s="268" t="n"/>
      <c r="C126" s="269" t="n"/>
      <c r="D126" s="192" t="n"/>
      <c r="F126" s="207" t="n"/>
    </row>
    <row r="127" ht="14.25" customHeight="1" s="175">
      <c r="A127" s="267" t="n"/>
      <c r="B127" s="268" t="n"/>
      <c r="C127" s="269" t="n"/>
      <c r="D127" s="192" t="n"/>
      <c r="F127" s="207" t="n"/>
    </row>
    <row r="128" ht="14.25" customHeight="1" s="175">
      <c r="A128" s="267" t="n"/>
      <c r="B128" s="268" t="n"/>
      <c r="C128" s="269" t="n"/>
      <c r="D128" s="192" t="n"/>
      <c r="F128" s="207" t="n"/>
    </row>
    <row r="129" ht="14.25" customHeight="1" s="175">
      <c r="A129" s="267" t="n"/>
      <c r="B129" s="268" t="n"/>
      <c r="C129" s="269" t="n"/>
      <c r="D129" s="192" t="n"/>
      <c r="F129" s="207" t="n"/>
    </row>
    <row r="130" ht="14.25" customHeight="1" s="175">
      <c r="A130" s="267" t="n"/>
      <c r="B130" s="268" t="n"/>
      <c r="C130" s="269" t="n"/>
      <c r="D130" s="192" t="n"/>
      <c r="F130" s="207" t="n"/>
    </row>
    <row r="131" ht="14.25" customHeight="1" s="175">
      <c r="A131" s="267" t="n"/>
      <c r="B131" s="268" t="n"/>
      <c r="C131" s="269" t="n"/>
      <c r="D131" s="192" t="n"/>
      <c r="F131" s="207" t="n"/>
    </row>
    <row r="132" ht="14.25" customHeight="1" s="175">
      <c r="A132" s="267" t="n"/>
      <c r="B132" s="268" t="n"/>
      <c r="C132" s="269" t="n"/>
      <c r="D132" s="192" t="n"/>
      <c r="F132" s="207" t="n"/>
    </row>
    <row r="133" ht="14.25" customHeight="1" s="175">
      <c r="A133" s="267" t="n"/>
      <c r="B133" s="268" t="n"/>
      <c r="C133" s="269" t="n"/>
      <c r="D133" s="192" t="n"/>
      <c r="F133" s="207" t="n"/>
    </row>
    <row r="134" ht="14.25" customHeight="1" s="175">
      <c r="A134" s="267" t="n"/>
      <c r="B134" s="268" t="n"/>
      <c r="C134" s="269" t="n"/>
      <c r="D134" s="192" t="n"/>
      <c r="F134" s="207" t="n"/>
    </row>
    <row r="135" ht="14.25" customHeight="1" s="175">
      <c r="A135" s="267" t="n"/>
      <c r="B135" s="268" t="n"/>
      <c r="C135" s="269" t="n"/>
      <c r="D135" s="192" t="n"/>
      <c r="F135" s="207" t="n"/>
    </row>
    <row r="136" ht="14.25" customHeight="1" s="175">
      <c r="A136" s="267" t="n"/>
      <c r="B136" s="268" t="n"/>
      <c r="C136" s="269" t="n"/>
      <c r="D136" s="192" t="n"/>
      <c r="F136" s="207" t="n"/>
    </row>
    <row r="137" ht="14.25" customHeight="1" s="175">
      <c r="A137" s="267" t="n"/>
      <c r="B137" s="268" t="n"/>
      <c r="C137" s="269" t="n"/>
      <c r="D137" s="192" t="n"/>
      <c r="F137" s="207" t="n"/>
    </row>
    <row r="138" ht="14.25" customHeight="1" s="175">
      <c r="A138" s="267" t="n"/>
      <c r="B138" s="268" t="n"/>
      <c r="C138" s="269" t="n"/>
      <c r="D138" s="192" t="n"/>
      <c r="F138" s="207" t="n"/>
    </row>
    <row r="139" ht="14.25" customHeight="1" s="175">
      <c r="A139" s="267" t="n"/>
      <c r="B139" s="268" t="n"/>
      <c r="C139" s="269" t="n"/>
      <c r="D139" s="192" t="n"/>
      <c r="F139" s="207" t="n"/>
    </row>
    <row r="140" ht="14.25" customHeight="1" s="175">
      <c r="A140" s="267" t="n"/>
      <c r="B140" s="268" t="n"/>
      <c r="C140" s="269" t="n"/>
      <c r="D140" s="192" t="n"/>
      <c r="F140" s="207" t="n"/>
    </row>
    <row r="141" ht="14.25" customHeight="1" s="175">
      <c r="A141" s="267" t="n"/>
      <c r="B141" s="268" t="n"/>
      <c r="C141" s="269" t="n"/>
      <c r="D141" s="192" t="n"/>
      <c r="F141" s="207" t="n"/>
    </row>
    <row r="142" ht="14.25" customHeight="1" s="175">
      <c r="A142" s="267" t="n"/>
      <c r="B142" s="268" t="n"/>
      <c r="C142" s="269" t="n"/>
      <c r="D142" s="192" t="n"/>
      <c r="F142" s="207" t="n"/>
    </row>
    <row r="143" ht="14.25" customHeight="1" s="175">
      <c r="A143" s="267" t="n"/>
      <c r="B143" s="268" t="n"/>
      <c r="C143" s="269" t="n"/>
      <c r="D143" s="192" t="n"/>
      <c r="F143" s="207" t="n"/>
    </row>
    <row r="144" ht="14.25" customHeight="1" s="175">
      <c r="A144" s="267" t="n"/>
      <c r="B144" s="268" t="n"/>
      <c r="C144" s="269" t="n"/>
      <c r="D144" s="192" t="n"/>
      <c r="F144" s="207" t="n"/>
    </row>
    <row r="145" ht="14.25" customHeight="1" s="175">
      <c r="A145" s="267" t="n"/>
      <c r="B145" s="268" t="n"/>
      <c r="C145" s="269" t="n"/>
      <c r="D145" s="192" t="n"/>
      <c r="F145" s="207" t="n"/>
    </row>
    <row r="146" ht="14.25" customHeight="1" s="175">
      <c r="A146" s="267" t="n"/>
      <c r="B146" s="268" t="n"/>
      <c r="C146" s="269" t="n"/>
      <c r="D146" s="192" t="n"/>
      <c r="F146" s="207" t="n"/>
    </row>
    <row r="147" ht="14.25" customHeight="1" s="175">
      <c r="A147" s="267" t="n"/>
      <c r="B147" s="268" t="n"/>
      <c r="C147" s="269" t="n"/>
      <c r="D147" s="192" t="n"/>
      <c r="F147" s="207" t="n"/>
    </row>
    <row r="148" ht="14.25" customHeight="1" s="175">
      <c r="A148" s="267" t="n"/>
      <c r="B148" s="268" t="n"/>
      <c r="C148" s="269" t="n"/>
      <c r="D148" s="192" t="n"/>
      <c r="F148" s="207" t="n"/>
    </row>
    <row r="149" ht="14.25" customHeight="1" s="175">
      <c r="A149" s="267" t="n"/>
      <c r="B149" s="268" t="n"/>
      <c r="C149" s="269" t="n"/>
      <c r="D149" s="192" t="n"/>
      <c r="F149" s="207" t="n"/>
    </row>
    <row r="150" ht="14.25" customHeight="1" s="175">
      <c r="A150" s="267" t="n"/>
      <c r="B150" s="268" t="n"/>
      <c r="C150" s="269" t="n"/>
      <c r="D150" s="192" t="n"/>
      <c r="F150" s="207" t="n"/>
    </row>
    <row r="151" ht="14.25" customHeight="1" s="175">
      <c r="A151" s="267" t="n"/>
      <c r="B151" s="268" t="n"/>
      <c r="C151" s="269" t="n"/>
      <c r="D151" s="192" t="n"/>
      <c r="F151" s="207" t="n"/>
    </row>
    <row r="152" ht="14.25" customHeight="1" s="175">
      <c r="A152" s="267" t="n"/>
      <c r="B152" s="268" t="n"/>
      <c r="C152" s="269" t="n"/>
      <c r="D152" s="192" t="n"/>
      <c r="F152" s="207" t="n"/>
    </row>
    <row r="153" ht="14.25" customHeight="1" s="175">
      <c r="A153" s="267" t="n"/>
      <c r="B153" s="268" t="n"/>
      <c r="C153" s="269" t="n"/>
      <c r="D153" s="192" t="n"/>
      <c r="F153" s="207" t="n"/>
    </row>
    <row r="154" ht="14.25" customHeight="1" s="175">
      <c r="A154" s="267" t="n"/>
      <c r="B154" s="268" t="n"/>
      <c r="C154" s="269" t="n"/>
      <c r="D154" s="192" t="n"/>
      <c r="F154" s="207" t="n"/>
    </row>
    <row r="155" ht="14.25" customHeight="1" s="175">
      <c r="A155" s="267" t="n"/>
      <c r="B155" s="268" t="n"/>
      <c r="C155" s="269" t="n"/>
      <c r="D155" s="192" t="n"/>
      <c r="F155" s="207" t="n"/>
    </row>
    <row r="156" ht="14.25" customHeight="1" s="175">
      <c r="A156" s="267" t="n"/>
      <c r="B156" s="268" t="n"/>
      <c r="C156" s="269" t="n"/>
      <c r="D156" s="192" t="n"/>
      <c r="F156" s="207" t="n"/>
    </row>
    <row r="157" ht="14.25" customHeight="1" s="175">
      <c r="A157" s="267" t="n"/>
      <c r="B157" s="268" t="n"/>
      <c r="C157" s="269" t="n"/>
      <c r="D157" s="192" t="n"/>
      <c r="F157" s="207" t="n"/>
    </row>
    <row r="158" ht="14.25" customHeight="1" s="175">
      <c r="A158" s="267" t="n"/>
      <c r="B158" s="268" t="n"/>
      <c r="C158" s="269" t="n"/>
      <c r="D158" s="192" t="n"/>
      <c r="F158" s="207" t="n"/>
    </row>
    <row r="159" ht="14.25" customHeight="1" s="175">
      <c r="A159" s="267" t="n"/>
      <c r="B159" s="268" t="n"/>
      <c r="C159" s="269" t="n"/>
      <c r="D159" s="192" t="n"/>
      <c r="F159" s="207" t="n"/>
    </row>
    <row r="160" ht="14.25" customHeight="1" s="175">
      <c r="A160" s="267" t="n"/>
      <c r="B160" s="268" t="n"/>
      <c r="C160" s="269" t="n"/>
      <c r="D160" s="192" t="n"/>
    </row>
    <row r="161" ht="14.25" customHeight="1" s="175">
      <c r="A161" s="267" t="n"/>
      <c r="B161" s="268" t="n"/>
      <c r="C161" s="269" t="n"/>
      <c r="D161" s="192" t="n"/>
    </row>
    <row r="162" ht="14.25" customHeight="1" s="175">
      <c r="A162" s="267" t="n"/>
      <c r="B162" s="268" t="n"/>
      <c r="C162" s="269" t="n"/>
      <c r="D162" s="192" t="n"/>
    </row>
    <row r="163" ht="14.25" customHeight="1" s="175">
      <c r="A163" s="267" t="n"/>
      <c r="B163" s="268" t="n"/>
      <c r="C163" s="269" t="n"/>
      <c r="D163" s="192" t="n"/>
    </row>
    <row r="164" ht="14.25" customHeight="1" s="175">
      <c r="A164" s="267" t="n"/>
      <c r="B164" s="268" t="n"/>
      <c r="C164" s="269" t="n"/>
      <c r="D164" s="192" t="n"/>
    </row>
    <row r="165" ht="14.25" customHeight="1" s="175">
      <c r="A165" s="267" t="n"/>
      <c r="B165" s="268" t="n"/>
      <c r="C165" s="269" t="n"/>
      <c r="D165" s="192" t="n"/>
    </row>
    <row r="166" ht="14.25" customHeight="1" s="175">
      <c r="A166" s="267" t="n"/>
      <c r="B166" s="268" t="n"/>
      <c r="C166" s="269" t="n"/>
      <c r="D166" s="192" t="n"/>
    </row>
    <row r="167" ht="14.25" customHeight="1" s="175">
      <c r="A167" s="267" t="n"/>
      <c r="B167" s="268" t="n"/>
      <c r="C167" s="269" t="n"/>
      <c r="D167" s="192" t="n"/>
    </row>
    <row r="168" ht="14.25" customHeight="1" s="175">
      <c r="A168" s="267" t="n"/>
      <c r="B168" s="268" t="n"/>
      <c r="C168" s="269" t="n"/>
      <c r="D168" s="192" t="n"/>
    </row>
    <row r="169" ht="14.25" customHeight="1" s="175">
      <c r="A169" s="267" t="n"/>
      <c r="B169" s="268" t="n"/>
      <c r="C169" s="269" t="n"/>
      <c r="D169" s="192" t="n"/>
    </row>
    <row r="170" ht="14.25" customHeight="1" s="175">
      <c r="A170" s="267" t="n"/>
      <c r="B170" s="268" t="n"/>
      <c r="C170" s="269" t="n"/>
      <c r="D170" s="192" t="n"/>
    </row>
    <row r="171" ht="14.25" customHeight="1" s="175">
      <c r="A171" s="267" t="n"/>
      <c r="B171" s="268" t="n"/>
      <c r="C171" s="269" t="n"/>
      <c r="D171" s="192" t="n"/>
    </row>
    <row r="172" ht="14.25" customHeight="1" s="175">
      <c r="A172" s="267" t="n"/>
      <c r="B172" s="268" t="n"/>
      <c r="C172" s="269" t="n"/>
      <c r="D172" s="192" t="n"/>
    </row>
    <row r="173" ht="14.25" customHeight="1" s="175">
      <c r="A173" s="267" t="n"/>
      <c r="B173" s="268" t="n"/>
      <c r="C173" s="269" t="n"/>
      <c r="D173" s="192" t="n"/>
    </row>
    <row r="174" ht="14.25" customHeight="1" s="175">
      <c r="A174" s="267" t="n"/>
      <c r="B174" s="268" t="n"/>
      <c r="C174" s="269" t="n"/>
      <c r="D174" s="192" t="n"/>
    </row>
    <row r="175" ht="14.25" customHeight="1" s="175">
      <c r="A175" s="267" t="n"/>
      <c r="B175" s="268" t="n"/>
      <c r="C175" s="269" t="n"/>
      <c r="D175" s="192" t="n"/>
    </row>
    <row r="176" ht="14.25" customHeight="1" s="175">
      <c r="A176" s="267" t="n"/>
      <c r="B176" s="268" t="n"/>
      <c r="C176" s="269" t="n"/>
      <c r="D176" s="192" t="n"/>
    </row>
    <row r="177" ht="14.25" customHeight="1" s="175">
      <c r="A177" s="267" t="n"/>
      <c r="B177" s="268" t="n"/>
      <c r="C177" s="269" t="n"/>
      <c r="D177" s="192" t="n"/>
    </row>
    <row r="178" ht="14.25" customHeight="1" s="175">
      <c r="A178" s="267" t="n"/>
      <c r="B178" s="268" t="n"/>
      <c r="C178" s="269" t="n"/>
      <c r="D178" s="192" t="n"/>
    </row>
    <row r="179" ht="14.25" customHeight="1" s="175">
      <c r="A179" s="267" t="n"/>
      <c r="B179" s="268" t="n"/>
      <c r="C179" s="269" t="n"/>
      <c r="D179" s="192" t="n"/>
    </row>
    <row r="180" ht="14.25" customHeight="1" s="175">
      <c r="A180" s="267" t="n"/>
      <c r="B180" s="268" t="n"/>
      <c r="C180" s="269" t="n"/>
      <c r="D180" s="192" t="n"/>
    </row>
    <row r="181" ht="14.25" customHeight="1" s="175">
      <c r="A181" s="267" t="n"/>
      <c r="B181" s="268" t="n"/>
      <c r="C181" s="269" t="n"/>
      <c r="D181" s="192" t="n"/>
    </row>
    <row r="182" ht="14.25" customHeight="1" s="175">
      <c r="A182" s="267" t="n"/>
      <c r="B182" s="268" t="n"/>
      <c r="C182" s="269" t="n"/>
      <c r="D182" s="192" t="n"/>
    </row>
    <row r="183" ht="14.25" customHeight="1" s="175">
      <c r="A183" s="267" t="n"/>
      <c r="B183" s="268" t="n"/>
      <c r="C183" s="269" t="n"/>
      <c r="D183" s="192" t="n"/>
    </row>
    <row r="184" ht="14.25" customHeight="1" s="175">
      <c r="A184" s="267" t="n"/>
      <c r="B184" s="268" t="n"/>
      <c r="C184" s="269" t="n"/>
      <c r="D184" s="192" t="n"/>
    </row>
    <row r="185" ht="14.25" customHeight="1" s="175">
      <c r="A185" s="267" t="n"/>
      <c r="B185" s="268" t="n"/>
      <c r="C185" s="269" t="n"/>
      <c r="D185" s="192" t="n"/>
    </row>
    <row r="186" ht="14.25" customHeight="1" s="175">
      <c r="A186" s="267" t="n"/>
      <c r="B186" s="268" t="n"/>
      <c r="C186" s="269" t="n"/>
      <c r="D186" s="192" t="n"/>
    </row>
    <row r="187" ht="14.25" customHeight="1" s="175">
      <c r="A187" s="267" t="n"/>
      <c r="B187" s="268" t="n"/>
      <c r="C187" s="269" t="n"/>
      <c r="D187" s="192" t="n"/>
    </row>
    <row r="188" ht="14.25" customHeight="1" s="175">
      <c r="A188" s="267" t="n"/>
      <c r="B188" s="268" t="n"/>
      <c r="C188" s="269" t="n"/>
      <c r="D188" s="192" t="n"/>
    </row>
    <row r="189" ht="14.25" customHeight="1" s="175">
      <c r="A189" s="267" t="n"/>
      <c r="B189" s="268" t="n"/>
      <c r="C189" s="269" t="n"/>
      <c r="D189" s="192" t="n"/>
    </row>
    <row r="190" ht="14.25" customHeight="1" s="175">
      <c r="A190" s="267" t="n"/>
      <c r="B190" s="268" t="n"/>
      <c r="C190" s="269" t="n"/>
      <c r="D190" s="192" t="n"/>
    </row>
    <row r="191" ht="14.25" customHeight="1" s="175">
      <c r="A191" s="267" t="n"/>
      <c r="B191" s="268" t="n"/>
      <c r="C191" s="269" t="n"/>
      <c r="D191" s="192" t="n"/>
    </row>
    <row r="192" ht="14.25" customHeight="1" s="175">
      <c r="A192" s="267" t="n"/>
      <c r="B192" s="268" t="n"/>
      <c r="C192" s="269" t="n"/>
      <c r="D192" s="192" t="n"/>
    </row>
    <row r="193" ht="14.25" customHeight="1" s="175">
      <c r="A193" s="267" t="n"/>
      <c r="B193" s="268" t="n"/>
      <c r="C193" s="269" t="n"/>
      <c r="D193" s="192" t="n"/>
    </row>
    <row r="194" ht="14.25" customHeight="1" s="175">
      <c r="A194" s="267" t="n"/>
      <c r="B194" s="268" t="n"/>
      <c r="C194" s="269" t="n"/>
      <c r="D194" s="192" t="n"/>
    </row>
    <row r="195" ht="14.25" customHeight="1" s="175">
      <c r="A195" s="267" t="n"/>
      <c r="B195" s="268" t="n"/>
      <c r="C195" s="269" t="n"/>
      <c r="D195" s="192" t="n"/>
    </row>
    <row r="196" ht="14.25" customHeight="1" s="175">
      <c r="A196" s="267" t="n"/>
      <c r="B196" s="268" t="n"/>
      <c r="C196" s="269" t="n"/>
      <c r="D196" s="192" t="n"/>
    </row>
    <row r="197" ht="14.25" customHeight="1" s="175">
      <c r="A197" s="267" t="n"/>
      <c r="B197" s="268" t="n"/>
      <c r="C197" s="269" t="n"/>
      <c r="D197" s="192" t="n"/>
    </row>
    <row r="198" ht="14.25" customHeight="1" s="175">
      <c r="A198" s="267" t="n"/>
      <c r="B198" s="268" t="n"/>
      <c r="C198" s="269" t="n"/>
      <c r="D198" s="192" t="n"/>
    </row>
    <row r="199" ht="14.25" customHeight="1" s="175">
      <c r="A199" s="267" t="n"/>
      <c r="B199" s="268" t="n"/>
      <c r="C199" s="269" t="n"/>
      <c r="D199" s="192" t="n"/>
    </row>
    <row r="200" ht="14.25" customHeight="1" s="175">
      <c r="A200" s="267" t="n"/>
      <c r="B200" s="268" t="n"/>
      <c r="C200" s="269" t="n"/>
    </row>
    <row r="201" ht="14.25" customHeight="1" s="175">
      <c r="A201" s="267" t="n"/>
      <c r="B201" s="268" t="n"/>
      <c r="C201" s="269" t="n"/>
    </row>
    <row r="202" ht="14.25" customHeight="1" s="175">
      <c r="A202" s="267" t="n"/>
      <c r="B202" s="268" t="n"/>
      <c r="C202" s="269" t="n"/>
    </row>
    <row r="203" ht="14.25" customHeight="1" s="175">
      <c r="A203" s="267" t="n"/>
      <c r="B203" s="268" t="n"/>
      <c r="C203" s="269" t="n"/>
      <c r="D203" s="192" t="n"/>
    </row>
    <row r="204" ht="14.25" customHeight="1" s="175">
      <c r="A204" s="267" t="n"/>
      <c r="B204" s="268" t="n"/>
      <c r="C204" s="269" t="n"/>
    </row>
    <row r="205" ht="14.25" customHeight="1" s="175">
      <c r="A205" s="267" t="n"/>
      <c r="B205" s="268" t="n"/>
      <c r="C205" s="269" t="n"/>
    </row>
    <row r="206" ht="14.25" customHeight="1" s="175">
      <c r="A206" s="267" t="n"/>
      <c r="B206" s="268" t="n"/>
      <c r="C206" s="269" t="n"/>
    </row>
    <row r="207" ht="14.25" customHeight="1" s="175">
      <c r="A207" s="267" t="n"/>
      <c r="B207" s="268" t="n"/>
      <c r="C207" s="269" t="n"/>
    </row>
    <row r="208" ht="14.25" customHeight="1" s="175">
      <c r="A208" s="267" t="n"/>
      <c r="B208" s="268" t="n"/>
      <c r="C208" s="269" t="n"/>
    </row>
    <row r="209" ht="14.25" customHeight="1" s="175">
      <c r="A209" s="267" t="n"/>
      <c r="B209" s="268" t="n"/>
      <c r="C209" s="269" t="n"/>
    </row>
    <row r="210" ht="14.25" customHeight="1" s="175">
      <c r="A210" s="267" t="n"/>
      <c r="B210" s="268" t="n"/>
      <c r="C210" s="269" t="n"/>
    </row>
    <row r="211" ht="14.25" customHeight="1" s="175">
      <c r="A211" s="267" t="n"/>
      <c r="B211" s="268" t="n"/>
      <c r="C211" s="269" t="n"/>
    </row>
    <row r="212" ht="14.25" customHeight="1" s="175">
      <c r="A212" s="267" t="n"/>
      <c r="B212" s="268" t="n"/>
      <c r="C212" s="269" t="n"/>
    </row>
    <row r="213" ht="14.25" customHeight="1" s="175">
      <c r="A213" s="267" t="n"/>
      <c r="B213" s="268" t="n"/>
      <c r="C213" s="269" t="n"/>
    </row>
    <row r="214" ht="14.25" customHeight="1" s="175">
      <c r="A214" s="267" t="n"/>
      <c r="B214" s="268" t="n"/>
      <c r="C214" s="269" t="n"/>
    </row>
    <row r="215" ht="14.25" customHeight="1" s="175">
      <c r="A215" s="267" t="n"/>
      <c r="B215" s="268" t="n"/>
      <c r="C215" s="269" t="n"/>
    </row>
    <row r="216" ht="14.25" customHeight="1" s="175">
      <c r="A216" s="267" t="n"/>
      <c r="B216" s="268" t="n"/>
      <c r="C216" s="269" t="n"/>
    </row>
    <row r="217" ht="14.25" customHeight="1" s="175">
      <c r="A217" s="267" t="n"/>
      <c r="B217" s="268" t="n"/>
      <c r="C217" s="269" t="n"/>
    </row>
    <row r="218" ht="14.25" customHeight="1" s="175">
      <c r="A218" s="267" t="n"/>
      <c r="B218" s="268" t="n"/>
      <c r="C218" s="269" t="n"/>
    </row>
    <row r="219" ht="14.25" customHeight="1" s="175">
      <c r="A219" s="267" t="n"/>
      <c r="B219" s="268" t="n"/>
      <c r="C219" s="269" t="n"/>
    </row>
    <row r="220" ht="14.25" customHeight="1" s="175">
      <c r="A220" s="267" t="n"/>
      <c r="B220" s="268" t="n"/>
      <c r="C220" s="269" t="n"/>
      <c r="D220" s="192" t="n"/>
    </row>
    <row r="221" ht="14.25" customHeight="1" s="175">
      <c r="A221" s="267" t="n"/>
      <c r="B221" s="268" t="n"/>
      <c r="C221" s="269" t="n"/>
    </row>
    <row r="222" ht="14.25" customHeight="1" s="175">
      <c r="A222" s="267" t="n"/>
      <c r="B222" s="268" t="n"/>
      <c r="C222" s="269" t="n"/>
    </row>
    <row r="223" ht="14.25" customHeight="1" s="175">
      <c r="A223" s="267" t="n"/>
      <c r="B223" s="268" t="n"/>
      <c r="C223" s="269" t="n"/>
    </row>
    <row r="224" ht="14.25" customHeight="1" s="175">
      <c r="A224" s="267" t="n"/>
      <c r="B224" s="268" t="n"/>
      <c r="C224" s="269" t="n"/>
    </row>
    <row r="225" ht="14.25" customHeight="1" s="175">
      <c r="A225" s="267" t="n"/>
      <c r="B225" s="268" t="n"/>
      <c r="C225" s="269" t="n"/>
    </row>
    <row r="226" ht="14.25" customHeight="1" s="175">
      <c r="A226" s="267" t="n"/>
      <c r="B226" s="268" t="n"/>
      <c r="C226" s="269" t="n"/>
    </row>
    <row r="227" ht="14.25" customHeight="1" s="175">
      <c r="A227" s="267" t="n"/>
      <c r="B227" s="268" t="n"/>
      <c r="C227" s="269" t="n"/>
    </row>
    <row r="228" ht="14.25" customHeight="1" s="175">
      <c r="A228" s="267" t="n"/>
      <c r="B228" s="268" t="n"/>
      <c r="C228" s="269" t="n"/>
    </row>
    <row r="229" ht="14.25" customHeight="1" s="175">
      <c r="A229" s="267" t="n"/>
      <c r="B229" s="268" t="n"/>
      <c r="C229" s="269" t="n"/>
    </row>
    <row r="230" ht="14.25" customHeight="1" s="175">
      <c r="A230" s="267" t="n"/>
      <c r="B230" s="268" t="n"/>
      <c r="C230" s="269" t="n"/>
    </row>
    <row r="231" ht="14.25" customHeight="1" s="175">
      <c r="A231" s="267" t="n"/>
      <c r="B231" s="268" t="n"/>
      <c r="C231" s="269" t="n"/>
    </row>
    <row r="232" ht="14.25" customHeight="1" s="175">
      <c r="A232" s="267" t="n"/>
      <c r="B232" s="268" t="n"/>
      <c r="C232" s="269" t="n"/>
    </row>
    <row r="233" ht="14.25" customHeight="1" s="175">
      <c r="A233" s="267" t="n"/>
      <c r="B233" s="268" t="n"/>
      <c r="C233" s="269" t="n"/>
    </row>
    <row r="234" ht="14.25" customHeight="1" s="175">
      <c r="A234" s="267" t="n"/>
      <c r="B234" s="268" t="n"/>
      <c r="C234" s="269" t="n"/>
    </row>
    <row r="235" ht="14.25" customHeight="1" s="175">
      <c r="A235" s="267" t="n"/>
      <c r="B235" s="268" t="n"/>
      <c r="C235" s="269" t="n"/>
    </row>
    <row r="236" ht="14.25" customHeight="1" s="175">
      <c r="A236" s="267" t="n"/>
      <c r="B236" s="268" t="n"/>
      <c r="C236" s="269" t="n"/>
    </row>
    <row r="237" ht="14.25" customHeight="1" s="175">
      <c r="A237" s="267" t="n"/>
      <c r="B237" s="268" t="n"/>
      <c r="C237" s="269" t="n"/>
    </row>
    <row r="238" ht="14.25" customHeight="1" s="175">
      <c r="A238" s="267" t="n"/>
      <c r="B238" s="268" t="n"/>
      <c r="C238" s="269" t="n"/>
    </row>
    <row r="239" ht="14.25" customHeight="1" s="175">
      <c r="A239" s="267" t="n"/>
      <c r="B239" s="268" t="n"/>
      <c r="C239" s="269" t="n"/>
    </row>
    <row r="240" ht="14.25" customHeight="1" s="175">
      <c r="A240" s="267" t="n"/>
      <c r="B240" s="268" t="n"/>
      <c r="C240" s="269" t="n"/>
    </row>
    <row r="241" ht="14.25" customHeight="1" s="175">
      <c r="A241" s="267" t="n"/>
      <c r="B241" s="268" t="n"/>
      <c r="C241" s="269" t="n"/>
    </row>
    <row r="242" ht="14.25" customHeight="1" s="175">
      <c r="A242" s="267" t="n"/>
      <c r="B242" s="268" t="n"/>
      <c r="C242" s="269" t="n"/>
    </row>
    <row r="243" ht="14.25" customHeight="1" s="175">
      <c r="A243" s="267" t="n"/>
      <c r="B243" s="268" t="n"/>
      <c r="C243" s="269" t="n"/>
    </row>
    <row r="244" ht="14.25" customHeight="1" s="175">
      <c r="A244" s="267" t="n"/>
      <c r="B244" s="268" t="n"/>
      <c r="C244" s="269" t="n"/>
    </row>
    <row r="245" ht="14.25" customHeight="1" s="175">
      <c r="A245" s="267" t="n"/>
      <c r="B245" s="268" t="n"/>
      <c r="C245" s="269" t="n"/>
    </row>
    <row r="246" ht="14.25" customHeight="1" s="175">
      <c r="A246" s="267" t="n"/>
      <c r="B246" s="268" t="n"/>
      <c r="C246" s="269" t="n"/>
      <c r="D246" s="173" t="n"/>
    </row>
    <row r="247" ht="14.25" customHeight="1" s="175">
      <c r="A247" s="267" t="n"/>
      <c r="B247" s="268" t="n"/>
      <c r="C247" s="269" t="n"/>
    </row>
    <row r="248" ht="14.25" customHeight="1" s="175">
      <c r="A248" s="267" t="n"/>
      <c r="B248" s="268" t="n"/>
      <c r="C248" s="269" t="n"/>
      <c r="D248" s="192" t="n"/>
    </row>
    <row r="249" ht="14.25" customHeight="1" s="175">
      <c r="A249" s="267" t="n"/>
      <c r="B249" s="268" t="n"/>
      <c r="C249" s="269" t="n"/>
    </row>
    <row r="250" ht="14.25" customHeight="1" s="175">
      <c r="A250" s="267" t="n"/>
      <c r="B250" s="268" t="n"/>
      <c r="C250" s="269" t="n"/>
    </row>
    <row r="251" ht="14.25" customHeight="1" s="175">
      <c r="A251" s="267" t="n"/>
      <c r="B251" s="268" t="n"/>
      <c r="C251" s="269" t="n"/>
    </row>
    <row r="252" ht="14.25" customHeight="1" s="175">
      <c r="A252" s="267" t="n"/>
      <c r="B252" s="268" t="n"/>
      <c r="C252" s="269" t="n"/>
    </row>
    <row r="253" ht="14.25" customHeight="1" s="175">
      <c r="A253" s="267" t="n"/>
      <c r="B253" s="268" t="n"/>
      <c r="C253" s="269" t="n"/>
    </row>
    <row r="254" ht="14.25" customHeight="1" s="175">
      <c r="A254" s="267" t="n"/>
      <c r="B254" s="268" t="n"/>
      <c r="C254" s="269" t="n"/>
    </row>
    <row r="255" ht="14.25" customHeight="1" s="175">
      <c r="A255" s="267" t="n"/>
      <c r="B255" s="268" t="n"/>
      <c r="C255" s="269" t="n"/>
    </row>
    <row r="256" ht="14.25" customHeight="1" s="175">
      <c r="A256" s="267" t="n"/>
      <c r="B256" s="268" t="n"/>
      <c r="C256" s="269" t="n"/>
    </row>
    <row r="257" ht="14.25" customHeight="1" s="175">
      <c r="A257" s="267" t="n"/>
      <c r="B257" s="268" t="n"/>
      <c r="C257" s="269" t="n"/>
    </row>
    <row r="258" ht="14.25" customHeight="1" s="175">
      <c r="A258" s="267" t="n"/>
      <c r="B258" s="268" t="n"/>
      <c r="C258" s="269" t="n"/>
    </row>
    <row r="259" ht="14.25" customHeight="1" s="175">
      <c r="A259" s="267" t="n"/>
      <c r="B259" s="268" t="n"/>
      <c r="C259" s="269" t="n"/>
    </row>
    <row r="260" ht="14.25" customHeight="1" s="175">
      <c r="A260" s="267" t="n"/>
      <c r="B260" s="268" t="n"/>
      <c r="C260" s="269" t="n"/>
    </row>
    <row r="261" ht="14.25" customHeight="1" s="175">
      <c r="A261" s="267" t="n"/>
      <c r="B261" s="268" t="n"/>
      <c r="C261" s="269" t="n"/>
    </row>
    <row r="262" ht="14.25" customHeight="1" s="175">
      <c r="A262" s="267" t="n"/>
      <c r="B262" s="268" t="n"/>
      <c r="C262" s="269" t="n"/>
    </row>
    <row r="263" ht="14.25" customHeight="1" s="175">
      <c r="A263" s="267" t="n"/>
      <c r="B263" s="268" t="n"/>
      <c r="C263" s="269" t="n"/>
    </row>
    <row r="264" ht="14.25" customHeight="1" s="175">
      <c r="A264" s="267" t="n"/>
      <c r="B264" s="268" t="n"/>
      <c r="C264" s="269" t="n"/>
    </row>
    <row r="265" ht="14.25" customHeight="1" s="175">
      <c r="A265" s="267" t="n"/>
      <c r="B265" s="268" t="n"/>
      <c r="C265" s="269" t="n"/>
    </row>
    <row r="266" ht="14.25" customHeight="1" s="175">
      <c r="A266" s="267" t="n"/>
      <c r="B266" s="268" t="n"/>
      <c r="C266" s="269" t="n"/>
    </row>
    <row r="267" ht="14.25" customHeight="1" s="175">
      <c r="A267" s="267" t="n"/>
      <c r="B267" s="268" t="n"/>
      <c r="C267" s="269" t="n"/>
    </row>
    <row r="268" ht="14.25" customHeight="1" s="175">
      <c r="A268" s="267" t="n"/>
      <c r="B268" s="268" t="n"/>
      <c r="C268" s="269" t="n"/>
    </row>
    <row r="269" ht="14.25" customHeight="1" s="175">
      <c r="A269" s="267" t="n"/>
      <c r="B269" s="268" t="n"/>
      <c r="C269" s="269" t="n"/>
    </row>
    <row r="270" ht="14.25" customHeight="1" s="175">
      <c r="A270" s="267" t="n"/>
      <c r="B270" s="268" t="n"/>
      <c r="C270" s="269" t="n"/>
    </row>
    <row r="271" ht="14.25" customHeight="1" s="175">
      <c r="A271" s="267" t="n"/>
      <c r="B271" s="268" t="n"/>
      <c r="C271" s="269" t="n"/>
    </row>
    <row r="272" ht="14.25" customHeight="1" s="175">
      <c r="A272" s="267" t="n"/>
      <c r="B272" s="268" t="n"/>
      <c r="C272" s="269" t="n"/>
    </row>
    <row r="273" ht="14.25" customHeight="1" s="175">
      <c r="A273" s="267" t="n"/>
      <c r="B273" s="268" t="n"/>
      <c r="C273" s="269" t="n"/>
    </row>
    <row r="274" ht="14.25" customHeight="1" s="175">
      <c r="A274" s="267" t="n"/>
      <c r="B274" s="268" t="n"/>
      <c r="C274" s="269" t="n"/>
    </row>
    <row r="275" ht="14.25" customHeight="1" s="175">
      <c r="A275" s="267" t="n"/>
      <c r="B275" s="268" t="n"/>
      <c r="C275" s="269" t="n"/>
    </row>
    <row r="276" ht="14.25" customHeight="1" s="175">
      <c r="A276" s="267" t="n"/>
      <c r="B276" s="268" t="n"/>
      <c r="C276" s="269" t="n"/>
    </row>
    <row r="277" ht="14.25" customHeight="1" s="175">
      <c r="A277" s="267" t="n"/>
      <c r="B277" s="268" t="n"/>
      <c r="C277" s="269" t="n"/>
    </row>
    <row r="278" ht="14.25" customHeight="1" s="175">
      <c r="A278" s="267" t="n"/>
      <c r="B278" s="268" t="n"/>
      <c r="C278" s="269" t="n"/>
    </row>
    <row r="279" ht="14.25" customHeight="1" s="175">
      <c r="A279" s="267" t="n"/>
      <c r="B279" s="268" t="n"/>
      <c r="C279" s="269" t="n"/>
    </row>
    <row r="280" ht="14.25" customHeight="1" s="175">
      <c r="A280" s="267" t="n"/>
      <c r="B280" s="268" t="n"/>
      <c r="C280" s="269" t="n"/>
    </row>
    <row r="281" ht="14.25" customHeight="1" s="175">
      <c r="A281" s="267" t="n"/>
      <c r="B281" s="268" t="n"/>
      <c r="C281" s="269" t="n"/>
    </row>
    <row r="282" ht="14.25" customHeight="1" s="175">
      <c r="A282" s="267" t="n"/>
      <c r="B282" s="268" t="n"/>
      <c r="C282" s="269" t="n"/>
    </row>
    <row r="283" ht="14.25" customHeight="1" s="175">
      <c r="A283" s="267" t="n"/>
      <c r="B283" s="268" t="n"/>
      <c r="C283" s="269" t="n"/>
    </row>
    <row r="284" ht="14.25" customHeight="1" s="175">
      <c r="A284" s="267" t="n"/>
      <c r="B284" s="268" t="n"/>
      <c r="C284" s="269" t="n"/>
    </row>
    <row r="285" ht="14.25" customHeight="1" s="175">
      <c r="A285" s="267" t="n"/>
      <c r="B285" s="268" t="n"/>
      <c r="C285" s="269" t="n"/>
    </row>
    <row r="286" ht="14.25" customHeight="1" s="175">
      <c r="A286" s="267" t="n"/>
      <c r="B286" s="268" t="n"/>
      <c r="C286" s="269" t="n"/>
    </row>
    <row r="287" ht="14.25" customHeight="1" s="175">
      <c r="A287" s="267" t="n"/>
      <c r="B287" s="268" t="n"/>
      <c r="C287" s="269" t="n"/>
    </row>
    <row r="288" ht="14.25" customHeight="1" s="175">
      <c r="A288" s="267" t="n"/>
      <c r="B288" s="268" t="n"/>
      <c r="C288" s="269" t="n"/>
    </row>
    <row r="289" ht="14.25" customHeight="1" s="175">
      <c r="A289" s="267" t="n"/>
      <c r="B289" s="268" t="n"/>
      <c r="C289" s="269" t="n"/>
    </row>
    <row r="290" ht="14.25" customHeight="1" s="175">
      <c r="A290" s="267" t="n"/>
      <c r="B290" s="268" t="n"/>
      <c r="C290" s="269" t="n"/>
    </row>
    <row r="291" ht="14.25" customHeight="1" s="175">
      <c r="A291" s="267" t="n"/>
      <c r="B291" s="268" t="n"/>
      <c r="C291" s="269" t="n"/>
    </row>
    <row r="292" ht="14.25" customHeight="1" s="175">
      <c r="A292" s="267" t="n"/>
      <c r="B292" s="268" t="n"/>
      <c r="C292" s="269" t="n"/>
    </row>
    <row r="293" ht="14.25" customHeight="1" s="175">
      <c r="A293" s="267" t="n"/>
      <c r="B293" s="268" t="n"/>
      <c r="C293" s="269" t="n"/>
    </row>
    <row r="294" ht="14.25" customHeight="1" s="175">
      <c r="A294" s="267" t="n"/>
      <c r="B294" s="268" t="n"/>
      <c r="C294" s="269" t="n"/>
    </row>
    <row r="295" ht="14.25" customHeight="1" s="175">
      <c r="A295" s="267" t="n"/>
      <c r="B295" s="268" t="n"/>
      <c r="C295" s="269" t="n"/>
    </row>
    <row r="296" ht="14.25" customHeight="1" s="175">
      <c r="A296" s="267" t="n"/>
      <c r="B296" s="268" t="n"/>
      <c r="C296" s="269" t="n"/>
    </row>
    <row r="297" ht="14.25" customHeight="1" s="175">
      <c r="A297" s="267" t="n"/>
      <c r="B297" s="268" t="n"/>
      <c r="C297" s="269" t="n"/>
    </row>
    <row r="298" ht="14.25" customHeight="1" s="175">
      <c r="A298" s="267" t="n"/>
      <c r="B298" s="268" t="n"/>
      <c r="C298" s="269" t="n"/>
    </row>
    <row r="299" ht="14.25" customHeight="1" s="175">
      <c r="A299" s="267" t="n"/>
      <c r="B299" s="268" t="n"/>
      <c r="C299" s="269" t="n"/>
    </row>
    <row r="300" ht="14.25" customHeight="1" s="175"/>
    <row r="301" ht="14.25" customHeight="1" s="175"/>
    <row r="302" ht="14.25" customHeight="1" s="175"/>
    <row r="303" ht="14.25" customHeight="1" s="175"/>
    <row r="304" ht="14.25" customHeight="1" s="175"/>
    <row r="305" ht="14.25" customHeight="1" s="175"/>
    <row r="306" ht="14.25" customHeight="1" s="175"/>
    <row r="307" ht="14.25" customHeight="1" s="175"/>
    <row r="308" ht="14.25" customHeight="1" s="175"/>
    <row r="309" ht="14.25" customHeight="1" s="175"/>
    <row r="310" ht="14.25" customHeight="1" s="175"/>
    <row r="311" ht="14.25" customHeight="1" s="175"/>
    <row r="312" ht="14.25" customHeight="1" s="175"/>
    <row r="313" ht="14.25" customHeight="1" s="175"/>
    <row r="314" ht="14.25" customHeight="1" s="175"/>
    <row r="315" ht="14.25" customHeight="1" s="175"/>
    <row r="316" ht="14.25" customHeight="1" s="175"/>
    <row r="317" ht="14.25" customHeight="1" s="175"/>
    <row r="318" ht="14.25" customHeight="1" s="175"/>
    <row r="319" ht="14.25" customHeight="1" s="175"/>
    <row r="320" ht="14.25" customHeight="1" s="175"/>
    <row r="321" ht="14.25" customHeight="1" s="175"/>
    <row r="322" ht="14.25" customHeight="1" s="175"/>
    <row r="323" ht="14.25" customHeight="1" s="175"/>
    <row r="324" ht="14.25" customHeight="1" s="175"/>
    <row r="325" ht="14.25" customHeight="1" s="175"/>
    <row r="326" ht="14.25" customHeight="1" s="175"/>
    <row r="327" ht="14.25" customHeight="1" s="175"/>
    <row r="328" ht="14.25" customHeight="1" s="175"/>
    <row r="329" ht="14.25" customHeight="1" s="175"/>
    <row r="330" ht="14.25" customHeight="1" s="175"/>
    <row r="331" ht="14.25" customHeight="1" s="175"/>
    <row r="332" ht="14.25" customHeight="1" s="175"/>
    <row r="333" ht="14.25" customHeight="1" s="175"/>
    <row r="334" ht="14.25" customHeight="1" s="175"/>
    <row r="335" ht="14.25" customHeight="1" s="175"/>
    <row r="336" ht="14.25" customHeight="1" s="175"/>
    <row r="337" ht="14.25" customHeight="1" s="175"/>
    <row r="338" ht="14.25" customHeight="1" s="175"/>
    <row r="339" ht="14.25" customHeight="1" s="175"/>
    <row r="340" ht="14.25" customHeight="1" s="175"/>
    <row r="341" ht="14.25" customHeight="1" s="175"/>
    <row r="342" ht="14.25" customHeight="1" s="175"/>
    <row r="343" ht="14.25" customHeight="1" s="175"/>
    <row r="344" ht="14.25" customHeight="1" s="175"/>
    <row r="345" ht="14.25" customHeight="1" s="175"/>
    <row r="346" ht="14.25" customHeight="1" s="175"/>
    <row r="347" ht="14.25" customHeight="1" s="175"/>
    <row r="348" ht="14.25" customHeight="1" s="175"/>
    <row r="349" ht="14.25" customHeight="1" s="175"/>
    <row r="350" ht="14.25" customHeight="1" s="175"/>
    <row r="351" ht="14.25" customHeight="1" s="175"/>
    <row r="352" ht="14.25" customHeight="1" s="175"/>
    <row r="353" ht="14.25" customHeight="1" s="175"/>
    <row r="354" ht="14.25" customHeight="1" s="175"/>
    <row r="355" ht="14.25" customHeight="1" s="175"/>
    <row r="356" ht="14.25" customHeight="1" s="175"/>
    <row r="357" ht="14.25" customHeight="1" s="175"/>
    <row r="358" ht="14.25" customHeight="1" s="175"/>
    <row r="359" ht="14.25" customHeight="1" s="175"/>
    <row r="360" ht="14.25" customHeight="1" s="175"/>
    <row r="361" ht="14.25" customHeight="1" s="175"/>
    <row r="362" ht="14.25" customHeight="1" s="175"/>
    <row r="363" ht="14.25" customHeight="1" s="175"/>
    <row r="364" ht="14.25" customHeight="1" s="175"/>
    <row r="365" ht="14.25" customHeight="1" s="175"/>
    <row r="366" ht="14.25" customHeight="1" s="175"/>
    <row r="367" ht="14.25" customHeight="1" s="175"/>
    <row r="368" ht="14.25" customHeight="1" s="175"/>
    <row r="369" ht="14.25" customHeight="1" s="175"/>
    <row r="370" ht="14.25" customHeight="1" s="175"/>
    <row r="371" ht="14.25" customHeight="1" s="175"/>
    <row r="372" ht="14.25" customHeight="1" s="175"/>
    <row r="373" ht="14.25" customHeight="1" s="175"/>
    <row r="374" ht="14.25" customHeight="1" s="175"/>
    <row r="375" ht="14.25" customHeight="1" s="175"/>
    <row r="376" ht="14.25" customHeight="1" s="175"/>
    <row r="377" ht="14.25" customHeight="1" s="175"/>
    <row r="378" ht="14.25" customHeight="1" s="175"/>
    <row r="379" ht="14.25" customHeight="1" s="175"/>
    <row r="380" ht="14.25" customHeight="1" s="175"/>
    <row r="381" ht="14.25" customHeight="1" s="175"/>
    <row r="382" ht="14.25" customHeight="1" s="175"/>
    <row r="383" ht="14.25" customHeight="1" s="175"/>
    <row r="384" ht="14.25" customHeight="1" s="175"/>
    <row r="385" ht="14.25" customHeight="1" s="175"/>
    <row r="386" ht="14.25" customHeight="1" s="175"/>
    <row r="387" ht="14.25" customHeight="1" s="175"/>
    <row r="388" ht="14.25" customHeight="1" s="175"/>
    <row r="389" ht="14.25" customHeight="1" s="175"/>
    <row r="390" ht="14.25" customHeight="1" s="175"/>
    <row r="391" ht="14.25" customHeight="1" s="175"/>
    <row r="392" ht="14.25" customHeight="1" s="175"/>
    <row r="393" ht="14.25" customHeight="1" s="175"/>
    <row r="394" ht="14.25" customHeight="1" s="175"/>
    <row r="395" ht="14.25" customHeight="1" s="175"/>
    <row r="396" ht="14.25" customHeight="1" s="175"/>
    <row r="397" ht="14.25" customHeight="1" s="175"/>
    <row r="398" ht="14.25" customHeight="1" s="175"/>
    <row r="399" ht="14.25" customHeight="1" s="175"/>
    <row r="400" ht="14.25" customHeight="1" s="175"/>
    <row r="401" ht="14.25" customHeight="1" s="175"/>
    <row r="402" ht="14.25" customHeight="1" s="175"/>
    <row r="403" ht="14.25" customHeight="1" s="175"/>
    <row r="404" ht="14.25" customHeight="1" s="175"/>
    <row r="405" ht="14.25" customHeight="1" s="175"/>
    <row r="406" ht="14.25" customHeight="1" s="175"/>
    <row r="407" ht="14.25" customHeight="1" s="175"/>
    <row r="408" ht="14.25" customHeight="1" s="175"/>
    <row r="409" ht="14.25" customHeight="1" s="175"/>
    <row r="410" ht="14.25" customHeight="1" s="175"/>
    <row r="411" ht="14.25" customHeight="1" s="175"/>
    <row r="412" ht="14.25" customHeight="1" s="175"/>
    <row r="413" ht="14.25" customHeight="1" s="175"/>
    <row r="414" ht="14.25" customHeight="1" s="175"/>
    <row r="415" ht="14.25" customHeight="1" s="175"/>
    <row r="416" ht="14.25" customHeight="1" s="175"/>
    <row r="417" ht="14.25" customHeight="1" s="175"/>
    <row r="418" ht="14.25" customHeight="1" s="175"/>
    <row r="419" ht="14.25" customHeight="1" s="175"/>
    <row r="420" ht="14.25" customHeight="1" s="175"/>
    <row r="421" ht="14.25" customHeight="1" s="175"/>
    <row r="422" ht="14.25" customHeight="1" s="175"/>
    <row r="423" ht="14.25" customHeight="1" s="175"/>
    <row r="424" ht="14.25" customHeight="1" s="175"/>
    <row r="425" ht="14.25" customHeight="1" s="175"/>
    <row r="426" ht="14.25" customHeight="1" s="175"/>
    <row r="427" ht="14.25" customHeight="1" s="175"/>
    <row r="428" ht="14.25" customHeight="1" s="175"/>
    <row r="429" ht="14.25" customHeight="1" s="175"/>
    <row r="430" ht="14.25" customHeight="1" s="175"/>
    <row r="431" ht="14.25" customHeight="1" s="175"/>
    <row r="432" ht="14.25" customHeight="1" s="175"/>
    <row r="433" ht="14.25" customHeight="1" s="175"/>
    <row r="434" ht="14.25" customHeight="1" s="175"/>
    <row r="435" ht="14.25" customHeight="1" s="175"/>
    <row r="436" ht="14.25" customHeight="1" s="175"/>
    <row r="437" ht="14.25" customHeight="1" s="175"/>
    <row r="438" ht="14.25" customHeight="1" s="175"/>
    <row r="439" ht="14.25" customHeight="1" s="175"/>
    <row r="440" ht="14.25" customHeight="1" s="175"/>
    <row r="441" ht="14.25" customHeight="1" s="175"/>
    <row r="442" ht="14.25" customHeight="1" s="175"/>
    <row r="443" ht="14.25" customHeight="1" s="175"/>
    <row r="444" ht="14.25" customHeight="1" s="175"/>
    <row r="445" ht="14.25" customHeight="1" s="175"/>
    <row r="446" ht="14.25" customHeight="1" s="175"/>
    <row r="447" ht="14.25" customHeight="1" s="175"/>
    <row r="448" ht="14.25" customHeight="1" s="175"/>
    <row r="449" ht="14.25" customHeight="1" s="175"/>
    <row r="450" ht="14.25" customHeight="1" s="175"/>
    <row r="451" ht="14.25" customHeight="1" s="175"/>
    <row r="452" ht="14.25" customHeight="1" s="175"/>
    <row r="453" ht="14.25" customHeight="1" s="175"/>
    <row r="454" ht="14.25" customHeight="1" s="175"/>
    <row r="455" ht="14.25" customHeight="1" s="175"/>
    <row r="456" ht="14.25" customHeight="1" s="175"/>
    <row r="457" ht="14.25" customHeight="1" s="175"/>
    <row r="458" ht="14.25" customHeight="1" s="175"/>
    <row r="459" ht="14.25" customHeight="1" s="175"/>
    <row r="460" ht="14.25" customHeight="1" s="175"/>
    <row r="461" ht="14.25" customHeight="1" s="175"/>
    <row r="462" ht="14.25" customHeight="1" s="175"/>
    <row r="463" ht="14.25" customHeight="1" s="175"/>
    <row r="464" ht="14.25" customHeight="1" s="175"/>
    <row r="465" ht="14.25" customHeight="1" s="175"/>
    <row r="466" ht="14.25" customHeight="1" s="175"/>
    <row r="467" ht="14.25" customHeight="1" s="175"/>
    <row r="468" ht="14.25" customHeight="1" s="175"/>
    <row r="469" ht="14.25" customHeight="1" s="175"/>
    <row r="470" ht="14.25" customHeight="1" s="175"/>
    <row r="471" ht="14.25" customHeight="1" s="175"/>
    <row r="472" ht="14.25" customHeight="1" s="175"/>
    <row r="473" ht="14.25" customHeight="1" s="175"/>
    <row r="474" ht="14.25" customHeight="1" s="175"/>
    <row r="475" ht="14.25" customHeight="1" s="175"/>
    <row r="476" ht="14.25" customHeight="1" s="175"/>
    <row r="477" ht="14.25" customHeight="1" s="175"/>
    <row r="478" ht="14.25" customHeight="1" s="175"/>
    <row r="479" ht="14.25" customHeight="1" s="175"/>
    <row r="480" ht="14.25" customHeight="1" s="175"/>
    <row r="481" ht="14.25" customHeight="1" s="175"/>
    <row r="482" ht="14.25" customHeight="1" s="175"/>
    <row r="483" ht="14.25" customHeight="1" s="175"/>
    <row r="484" ht="14.25" customHeight="1" s="175"/>
    <row r="485" ht="14.25" customHeight="1" s="175"/>
    <row r="486" ht="14.25" customHeight="1" s="175"/>
    <row r="487" ht="14.25" customHeight="1" s="175"/>
    <row r="488" ht="14.25" customHeight="1" s="175"/>
    <row r="489" ht="14.25" customHeight="1" s="175"/>
    <row r="490" ht="14.25" customHeight="1" s="175"/>
    <row r="491" ht="14.25" customHeight="1" s="175"/>
    <row r="492" ht="14.25" customHeight="1" s="175"/>
    <row r="493" ht="14.25" customHeight="1" s="175"/>
    <row r="494" ht="14.25" customHeight="1" s="175"/>
    <row r="495" ht="14.25" customHeight="1" s="175"/>
    <row r="496" ht="14.25" customHeight="1" s="175"/>
    <row r="497" ht="14.25" customHeight="1" s="175"/>
    <row r="498" ht="14.25" customHeight="1" s="175"/>
    <row r="499" ht="14.25" customHeight="1" s="175"/>
    <row r="500" ht="14.25" customHeight="1" s="175"/>
    <row r="501" ht="14.25" customHeight="1" s="175"/>
    <row r="502" ht="14.25" customHeight="1" s="175"/>
    <row r="503" ht="14.25" customHeight="1" s="175"/>
    <row r="504" ht="14.25" customHeight="1" s="175"/>
    <row r="505" ht="14.25" customHeight="1" s="175"/>
    <row r="506" ht="14.25" customHeight="1" s="175"/>
    <row r="507" ht="14.25" customHeight="1" s="175"/>
    <row r="508" ht="14.25" customHeight="1" s="175"/>
    <row r="509" ht="14.25" customHeight="1" s="175"/>
    <row r="510" ht="14.25" customHeight="1" s="175"/>
    <row r="511" ht="14.25" customHeight="1" s="175"/>
    <row r="512" ht="14.25" customHeight="1" s="175"/>
    <row r="513" ht="14.25" customHeight="1" s="175"/>
    <row r="514" ht="14.25" customHeight="1" s="175"/>
    <row r="515" ht="14.25" customHeight="1" s="175"/>
    <row r="516" ht="14.25" customHeight="1" s="175"/>
    <row r="517" ht="14.25" customHeight="1" s="175"/>
    <row r="518" ht="14.25" customHeight="1" s="175"/>
    <row r="519" ht="14.25" customHeight="1" s="175"/>
    <row r="520" ht="14.25" customHeight="1" s="175"/>
    <row r="521" ht="14.25" customHeight="1" s="175"/>
    <row r="522" ht="14.25" customHeight="1" s="175"/>
    <row r="523" ht="14.25" customHeight="1" s="175"/>
    <row r="524" ht="14.25" customHeight="1" s="175"/>
    <row r="525" ht="14.25" customHeight="1" s="175"/>
    <row r="526" ht="14.25" customHeight="1" s="175"/>
    <row r="527" ht="14.25" customHeight="1" s="175"/>
    <row r="528" ht="14.25" customHeight="1" s="175"/>
    <row r="529" ht="14.25" customHeight="1" s="175"/>
    <row r="530" ht="14.25" customHeight="1" s="175"/>
    <row r="531" ht="14.25" customHeight="1" s="175"/>
    <row r="532" ht="14.25" customHeight="1" s="175"/>
    <row r="533" ht="14.25" customHeight="1" s="175"/>
    <row r="534" ht="14.25" customHeight="1" s="175"/>
    <row r="535" ht="14.25" customHeight="1" s="175"/>
    <row r="536" ht="14.25" customHeight="1" s="175"/>
    <row r="537" ht="14.25" customHeight="1" s="175"/>
    <row r="538" ht="14.25" customHeight="1" s="175"/>
    <row r="539" ht="14.25" customHeight="1" s="175"/>
    <row r="540" ht="14.25" customHeight="1" s="175"/>
    <row r="541" ht="14.25" customHeight="1" s="175"/>
    <row r="542" ht="14.25" customHeight="1" s="175"/>
    <row r="543" ht="14.25" customHeight="1" s="175"/>
    <row r="544" ht="14.25" customHeight="1" s="175"/>
    <row r="545" ht="14.25" customHeight="1" s="175"/>
    <row r="546" ht="14.25" customHeight="1" s="175"/>
    <row r="547" ht="14.25" customHeight="1" s="175"/>
    <row r="548" ht="14.25" customHeight="1" s="175"/>
    <row r="549" ht="14.25" customHeight="1" s="175"/>
    <row r="550" ht="14.25" customHeight="1" s="175"/>
    <row r="551" ht="14.25" customHeight="1" s="175"/>
    <row r="552" ht="14.25" customHeight="1" s="175"/>
    <row r="553" ht="14.25" customHeight="1" s="175"/>
    <row r="554" ht="14.25" customHeight="1" s="175"/>
    <row r="555" ht="14.25" customHeight="1" s="175"/>
    <row r="556" ht="14.25" customHeight="1" s="175"/>
    <row r="557" ht="14.25" customHeight="1" s="175"/>
    <row r="558" ht="14.25" customHeight="1" s="175"/>
    <row r="559" ht="14.25" customHeight="1" s="175"/>
    <row r="560" ht="14.25" customHeight="1" s="175"/>
    <row r="561" ht="14.25" customHeight="1" s="175"/>
    <row r="562" ht="14.25" customHeight="1" s="175"/>
    <row r="563" ht="14.25" customHeight="1" s="175"/>
    <row r="564" ht="14.25" customHeight="1" s="175"/>
    <row r="565" ht="14.25" customHeight="1" s="175"/>
    <row r="566" ht="14.25" customHeight="1" s="175"/>
    <row r="567" ht="14.25" customHeight="1" s="175"/>
    <row r="568" ht="14.25" customHeight="1" s="175"/>
    <row r="569" ht="14.25" customHeight="1" s="175"/>
    <row r="570" ht="14.25" customHeight="1" s="175"/>
    <row r="571" ht="14.25" customHeight="1" s="175"/>
    <row r="572" ht="14.25" customHeight="1" s="175"/>
    <row r="573" ht="14.25" customHeight="1" s="175"/>
    <row r="574" ht="14.25" customHeight="1" s="175"/>
    <row r="575" ht="14.25" customHeight="1" s="175"/>
    <row r="576" ht="14.25" customHeight="1" s="175"/>
    <row r="577" ht="14.25" customHeight="1" s="175"/>
    <row r="578" ht="14.25" customHeight="1" s="175"/>
    <row r="579" ht="14.25" customHeight="1" s="175"/>
    <row r="580" ht="14.25" customHeight="1" s="175"/>
    <row r="581" ht="14.25" customHeight="1" s="175"/>
    <row r="582" ht="14.25" customHeight="1" s="175"/>
    <row r="583" ht="14.25" customHeight="1" s="175"/>
    <row r="584" ht="14.25" customHeight="1" s="175"/>
    <row r="585" ht="14.25" customHeight="1" s="175"/>
    <row r="586" ht="14.25" customHeight="1" s="175"/>
    <row r="587" ht="14.25" customHeight="1" s="175"/>
    <row r="588" ht="14.25" customHeight="1" s="175"/>
    <row r="589" ht="14.25" customHeight="1" s="175"/>
    <row r="590" ht="14.25" customHeight="1" s="175"/>
    <row r="591" ht="14.25" customHeight="1" s="175"/>
    <row r="592" ht="14.25" customHeight="1" s="175"/>
    <row r="593" ht="14.25" customHeight="1" s="175"/>
    <row r="594" ht="14.25" customHeight="1" s="175"/>
    <row r="595" ht="14.25" customHeight="1" s="175"/>
    <row r="596" ht="14.25" customHeight="1" s="175"/>
    <row r="597" ht="14.25" customHeight="1" s="175"/>
    <row r="598" ht="14.25" customHeight="1" s="175"/>
    <row r="599" ht="14.25" customHeight="1" s="175"/>
    <row r="600" ht="14.25" customHeight="1" s="175"/>
    <row r="601" ht="14.25" customHeight="1" s="175"/>
    <row r="602" ht="14.25" customHeight="1" s="175"/>
    <row r="603" ht="14.25" customHeight="1" s="175"/>
    <row r="604" ht="14.25" customHeight="1" s="175"/>
    <row r="605" ht="14.25" customHeight="1" s="175"/>
    <row r="606" ht="14.25" customHeight="1" s="175"/>
    <row r="607" ht="14.25" customHeight="1" s="175"/>
    <row r="608" ht="14.25" customHeight="1" s="175"/>
    <row r="609" ht="14.25" customHeight="1" s="175"/>
    <row r="610" ht="14.25" customHeight="1" s="175"/>
    <row r="611" ht="14.25" customHeight="1" s="175"/>
    <row r="612" ht="14.25" customHeight="1" s="175"/>
    <row r="613" ht="14.25" customHeight="1" s="175"/>
    <row r="614" ht="14.25" customHeight="1" s="175"/>
    <row r="615" ht="14.25" customHeight="1" s="175"/>
    <row r="616" ht="14.25" customHeight="1" s="175"/>
    <row r="617" ht="14.25" customHeight="1" s="175"/>
    <row r="618" ht="14.25" customHeight="1" s="175"/>
    <row r="619" ht="14.25" customHeight="1" s="175"/>
    <row r="620" ht="14.25" customHeight="1" s="175"/>
    <row r="621" ht="14.25" customHeight="1" s="175"/>
    <row r="622" ht="14.25" customHeight="1" s="175"/>
    <row r="623" ht="14.25" customHeight="1" s="175"/>
    <row r="624" ht="14.25" customHeight="1" s="175"/>
    <row r="625" ht="14.25" customHeight="1" s="175"/>
    <row r="626" ht="14.25" customHeight="1" s="175"/>
    <row r="627" ht="14.25" customHeight="1" s="175"/>
    <row r="628" ht="14.25" customHeight="1" s="175"/>
    <row r="629" ht="14.25" customHeight="1" s="175"/>
    <row r="630" ht="14.25" customHeight="1" s="175"/>
    <row r="631" ht="14.25" customHeight="1" s="175"/>
    <row r="632" ht="14.25" customHeight="1" s="175"/>
    <row r="633" ht="14.25" customHeight="1" s="175"/>
    <row r="634" ht="14.25" customHeight="1" s="175"/>
    <row r="635" ht="14.25" customHeight="1" s="175"/>
    <row r="636" ht="14.25" customHeight="1" s="175"/>
    <row r="637" ht="14.25" customHeight="1" s="175"/>
    <row r="638" ht="14.25" customHeight="1" s="175"/>
    <row r="639" ht="14.25" customHeight="1" s="175"/>
    <row r="640" ht="14.25" customHeight="1" s="175"/>
    <row r="641" ht="14.25" customHeight="1" s="175"/>
    <row r="642" ht="14.25" customHeight="1" s="175"/>
    <row r="643" ht="14.25" customHeight="1" s="175"/>
    <row r="644" ht="14.25" customHeight="1" s="175"/>
    <row r="645" ht="14.25" customHeight="1" s="175"/>
    <row r="646" ht="14.25" customHeight="1" s="175"/>
    <row r="647" ht="14.25" customHeight="1" s="175"/>
    <row r="648" ht="14.25" customHeight="1" s="175"/>
    <row r="649" ht="14.25" customHeight="1" s="175"/>
    <row r="650" ht="14.25" customHeight="1" s="175"/>
    <row r="651" ht="14.25" customHeight="1" s="175"/>
    <row r="652" ht="14.25" customHeight="1" s="175"/>
    <row r="653" ht="14.25" customHeight="1" s="175"/>
    <row r="654" ht="14.25" customHeight="1" s="175"/>
    <row r="655" ht="14.25" customHeight="1" s="175"/>
    <row r="656" ht="14.25" customHeight="1" s="175"/>
    <row r="657" ht="14.25" customHeight="1" s="175"/>
    <row r="658" ht="14.25" customHeight="1" s="175"/>
    <row r="659" ht="14.25" customHeight="1" s="175"/>
    <row r="660" ht="14.25" customHeight="1" s="175"/>
    <row r="661" ht="14.25" customHeight="1" s="175"/>
    <row r="662" ht="14.25" customHeight="1" s="175"/>
    <row r="663" ht="14.25" customHeight="1" s="175"/>
    <row r="664" ht="14.25" customHeight="1" s="175"/>
    <row r="665" ht="14.25" customHeight="1" s="175"/>
    <row r="666" ht="14.25" customHeight="1" s="175"/>
    <row r="667" ht="14.25" customHeight="1" s="175"/>
    <row r="668" ht="14.25" customHeight="1" s="175"/>
    <row r="669" ht="14.25" customHeight="1" s="175"/>
    <row r="670" ht="14.25" customHeight="1" s="175"/>
    <row r="671" ht="14.25" customHeight="1" s="175"/>
    <row r="672" ht="14.25" customHeight="1" s="175"/>
    <row r="673" ht="14.25" customHeight="1" s="175"/>
    <row r="674" ht="14.25" customHeight="1" s="175"/>
    <row r="675" ht="14.25" customHeight="1" s="175"/>
    <row r="676" ht="14.25" customHeight="1" s="175"/>
    <row r="677" ht="14.25" customHeight="1" s="175"/>
    <row r="678" ht="14.25" customHeight="1" s="175"/>
    <row r="679" ht="14.25" customHeight="1" s="175"/>
    <row r="680" ht="14.25" customHeight="1" s="175"/>
    <row r="681" ht="14.25" customHeight="1" s="175"/>
    <row r="682" ht="14.25" customHeight="1" s="175"/>
    <row r="683" ht="14.25" customHeight="1" s="175"/>
    <row r="684" ht="14.25" customHeight="1" s="175"/>
    <row r="685" ht="14.25" customHeight="1" s="175"/>
    <row r="686" ht="14.25" customHeight="1" s="175"/>
    <row r="687" ht="14.25" customHeight="1" s="175"/>
    <row r="688" ht="14.25" customHeight="1" s="175"/>
    <row r="689" ht="14.25" customHeight="1" s="175"/>
    <row r="690" ht="14.25" customHeight="1" s="175"/>
    <row r="691" ht="14.25" customHeight="1" s="175"/>
    <row r="692" ht="14.25" customHeight="1" s="175"/>
    <row r="693" ht="14.25" customHeight="1" s="175"/>
    <row r="694" ht="14.25" customHeight="1" s="175"/>
    <row r="695" ht="14.25" customHeight="1" s="175"/>
    <row r="696" ht="14.25" customHeight="1" s="175"/>
    <row r="697" ht="14.25" customHeight="1" s="175"/>
    <row r="698" ht="14.25" customHeight="1" s="175"/>
    <row r="699" ht="14.25" customHeight="1" s="175"/>
    <row r="700" ht="14.25" customHeight="1" s="175"/>
    <row r="701" ht="14.25" customHeight="1" s="175"/>
    <row r="702" ht="14.25" customHeight="1" s="175"/>
    <row r="703" ht="14.25" customHeight="1" s="175"/>
    <row r="704" ht="14.25" customHeight="1" s="175"/>
    <row r="705" ht="14.25" customHeight="1" s="175"/>
    <row r="706" ht="14.25" customHeight="1" s="175"/>
    <row r="707" ht="14.25" customHeight="1" s="175"/>
    <row r="708" ht="14.25" customHeight="1" s="175"/>
    <row r="709" ht="14.25" customHeight="1" s="175"/>
    <row r="710" ht="14.25" customHeight="1" s="175"/>
    <row r="711" ht="14.25" customHeight="1" s="175"/>
    <row r="712" ht="14.25" customHeight="1" s="175"/>
    <row r="713" ht="14.25" customHeight="1" s="175"/>
    <row r="714" ht="14.25" customHeight="1" s="175"/>
    <row r="715" ht="14.25" customHeight="1" s="175"/>
    <row r="716" ht="14.25" customHeight="1" s="175"/>
    <row r="717" ht="14.25" customHeight="1" s="175"/>
    <row r="718" ht="14.25" customHeight="1" s="175"/>
    <row r="719" ht="14.25" customHeight="1" s="175"/>
    <row r="720" ht="14.25" customHeight="1" s="175"/>
    <row r="721" ht="14.25" customHeight="1" s="175"/>
    <row r="722" ht="14.25" customHeight="1" s="175"/>
    <row r="723" ht="14.25" customHeight="1" s="175"/>
    <row r="724" ht="14.25" customHeight="1" s="175"/>
    <row r="725" ht="14.25" customHeight="1" s="175"/>
    <row r="726" ht="14.25" customHeight="1" s="175"/>
    <row r="727" ht="14.25" customHeight="1" s="175"/>
    <row r="728" ht="14.25" customHeight="1" s="175"/>
    <row r="729" ht="14.25" customHeight="1" s="175"/>
    <row r="730" ht="14.25" customHeight="1" s="175"/>
    <row r="731" ht="14.25" customHeight="1" s="175"/>
    <row r="732" ht="14.25" customHeight="1" s="175"/>
    <row r="733" ht="14.25" customHeight="1" s="175"/>
    <row r="734" ht="14.25" customHeight="1" s="175"/>
    <row r="735" ht="14.25" customHeight="1" s="175"/>
    <row r="736" ht="14.25" customHeight="1" s="175"/>
    <row r="737" ht="14.25" customHeight="1" s="175"/>
    <row r="738" ht="14.25" customHeight="1" s="175"/>
    <row r="739" ht="14.25" customHeight="1" s="175"/>
    <row r="740" ht="14.25" customHeight="1" s="175"/>
    <row r="741" ht="14.25" customHeight="1" s="175"/>
    <row r="742" ht="14.25" customHeight="1" s="175"/>
    <row r="743" ht="14.25" customHeight="1" s="175"/>
    <row r="744" ht="14.25" customHeight="1" s="175"/>
    <row r="745" ht="14.25" customHeight="1" s="175"/>
    <row r="746" ht="14.25" customHeight="1" s="175"/>
    <row r="747" ht="14.25" customHeight="1" s="175"/>
    <row r="748" ht="14.25" customHeight="1" s="175"/>
    <row r="749" ht="14.25" customHeight="1" s="175"/>
    <row r="750" ht="14.25" customHeight="1" s="175"/>
    <row r="751" ht="14.25" customHeight="1" s="175"/>
    <row r="752" ht="14.25" customHeight="1" s="175"/>
    <row r="753" ht="14.25" customHeight="1" s="175"/>
    <row r="754" ht="14.25" customHeight="1" s="175"/>
    <row r="755" ht="14.25" customHeight="1" s="175"/>
    <row r="756" ht="14.25" customHeight="1" s="175"/>
    <row r="757" ht="14.25" customHeight="1" s="175"/>
    <row r="758" ht="14.25" customHeight="1" s="175"/>
    <row r="759" ht="14.25" customHeight="1" s="175"/>
    <row r="760" ht="14.25" customHeight="1" s="175"/>
    <row r="761" ht="14.25" customHeight="1" s="175"/>
    <row r="762" ht="14.25" customHeight="1" s="175"/>
    <row r="763" ht="14.25" customHeight="1" s="175"/>
    <row r="764" ht="14.25" customHeight="1" s="175"/>
    <row r="765" ht="14.25" customHeight="1" s="175"/>
    <row r="766" ht="14.25" customHeight="1" s="175"/>
    <row r="767" ht="14.25" customHeight="1" s="175"/>
    <row r="768" ht="14.25" customHeight="1" s="175"/>
    <row r="769" ht="14.25" customHeight="1" s="175"/>
    <row r="770" ht="14.25" customHeight="1" s="175"/>
    <row r="771" ht="14.25" customHeight="1" s="175"/>
    <row r="772" ht="14.25" customHeight="1" s="175"/>
    <row r="773" ht="14.25" customHeight="1" s="175"/>
    <row r="774" ht="14.25" customHeight="1" s="175"/>
    <row r="775" ht="14.25" customHeight="1" s="175"/>
    <row r="776" ht="14.25" customHeight="1" s="175"/>
    <row r="777" ht="14.25" customHeight="1" s="175"/>
    <row r="778" ht="14.25" customHeight="1" s="175"/>
    <row r="779" ht="14.25" customHeight="1" s="175"/>
    <row r="780" ht="14.25" customHeight="1" s="175"/>
    <row r="781" ht="14.25" customHeight="1" s="175"/>
    <row r="782" ht="14.25" customHeight="1" s="175"/>
    <row r="783" ht="14.25" customHeight="1" s="175"/>
    <row r="784" ht="14.25" customHeight="1" s="175"/>
    <row r="785" ht="14.25" customHeight="1" s="175"/>
    <row r="786" ht="14.25" customHeight="1" s="175"/>
    <row r="787" ht="14.25" customHeight="1" s="175"/>
    <row r="788" ht="14.25" customHeight="1" s="175"/>
    <row r="789" ht="14.25" customHeight="1" s="175"/>
    <row r="790" ht="14.25" customHeight="1" s="175"/>
    <row r="791" ht="14.25" customHeight="1" s="175"/>
    <row r="792" ht="14.25" customHeight="1" s="175"/>
    <row r="793" ht="14.25" customHeight="1" s="175"/>
    <row r="794" ht="14.25" customHeight="1" s="175"/>
    <row r="795" ht="14.25" customHeight="1" s="175"/>
    <row r="796" ht="14.25" customHeight="1" s="175"/>
    <row r="797" ht="14.25" customHeight="1" s="175"/>
    <row r="798" ht="14.25" customHeight="1" s="175"/>
    <row r="799" ht="14.25" customHeight="1" s="175"/>
    <row r="800" ht="14.25" customHeight="1" s="175"/>
    <row r="801" ht="14.25" customHeight="1" s="175"/>
    <row r="802" ht="14.25" customHeight="1" s="175"/>
    <row r="803" ht="14.25" customHeight="1" s="175"/>
    <row r="804" ht="14.25" customHeight="1" s="175"/>
    <row r="805" ht="14.25" customHeight="1" s="175"/>
    <row r="806" ht="14.25" customHeight="1" s="175"/>
    <row r="807" ht="14.25" customHeight="1" s="175"/>
    <row r="808" ht="14.25" customHeight="1" s="175"/>
    <row r="809" ht="14.25" customHeight="1" s="175"/>
    <row r="810" ht="14.25" customHeight="1" s="175"/>
    <row r="811" ht="14.25" customHeight="1" s="175"/>
    <row r="812" ht="14.25" customHeight="1" s="175"/>
    <row r="813" ht="14.25" customHeight="1" s="175"/>
    <row r="814" ht="14.25" customHeight="1" s="175"/>
    <row r="815" ht="14.25" customHeight="1" s="175"/>
    <row r="816" ht="14.25" customHeight="1" s="175"/>
    <row r="817" ht="14.25" customHeight="1" s="175"/>
    <row r="818" ht="14.25" customHeight="1" s="175"/>
    <row r="819" ht="14.25" customHeight="1" s="175"/>
    <row r="820" ht="14.25" customHeight="1" s="175"/>
    <row r="821" ht="14.25" customHeight="1" s="175"/>
    <row r="822" ht="14.25" customHeight="1" s="175"/>
    <row r="823" ht="14.25" customHeight="1" s="175"/>
    <row r="824" ht="14.25" customHeight="1" s="175"/>
    <row r="825" ht="14.25" customHeight="1" s="175"/>
    <row r="826" ht="14.25" customHeight="1" s="175"/>
    <row r="827" ht="14.25" customHeight="1" s="175"/>
    <row r="828" ht="14.25" customHeight="1" s="175"/>
    <row r="829" ht="14.25" customHeight="1" s="175"/>
    <row r="830" ht="14.25" customHeight="1" s="175"/>
    <row r="831" ht="14.25" customHeight="1" s="175"/>
    <row r="832" ht="14.25" customHeight="1" s="175"/>
    <row r="833" ht="14.25" customHeight="1" s="175"/>
    <row r="834" ht="14.25" customHeight="1" s="175"/>
    <row r="835" ht="14.25" customHeight="1" s="175"/>
    <row r="836" ht="14.25" customHeight="1" s="175"/>
    <row r="837" ht="14.25" customHeight="1" s="175"/>
    <row r="838" ht="14.25" customHeight="1" s="175"/>
    <row r="839" ht="14.25" customHeight="1" s="175"/>
    <row r="840" ht="14.25" customHeight="1" s="175"/>
    <row r="841" ht="14.25" customHeight="1" s="175"/>
    <row r="842" ht="14.25" customHeight="1" s="175"/>
    <row r="843" ht="14.25" customHeight="1" s="175"/>
    <row r="844" ht="14.25" customHeight="1" s="175"/>
    <row r="845" ht="14.25" customHeight="1" s="175"/>
    <row r="846" ht="14.25" customHeight="1" s="175"/>
    <row r="847" ht="14.25" customHeight="1" s="175"/>
    <row r="848" ht="14.25" customHeight="1" s="175"/>
    <row r="849" ht="14.25" customHeight="1" s="175"/>
    <row r="850" ht="14.25" customHeight="1" s="175"/>
    <row r="851" ht="14.25" customHeight="1" s="175"/>
    <row r="852" ht="14.25" customHeight="1" s="175"/>
    <row r="853" ht="14.25" customHeight="1" s="175"/>
    <row r="854" ht="14.25" customHeight="1" s="175"/>
    <row r="855" ht="14.25" customHeight="1" s="175"/>
    <row r="856" ht="14.25" customHeight="1" s="175"/>
    <row r="857" ht="14.25" customHeight="1" s="175"/>
    <row r="858" ht="14.25" customHeight="1" s="175"/>
    <row r="859" ht="14.25" customHeight="1" s="175"/>
    <row r="860" ht="14.25" customHeight="1" s="175"/>
    <row r="861" ht="14.25" customHeight="1" s="175"/>
    <row r="862" ht="14.25" customHeight="1" s="175"/>
    <row r="863" ht="14.25" customHeight="1" s="175"/>
    <row r="864" ht="14.25" customHeight="1" s="175"/>
    <row r="865" ht="14.25" customHeight="1" s="175"/>
    <row r="866" ht="14.25" customHeight="1" s="175"/>
    <row r="867" ht="14.25" customHeight="1" s="175"/>
    <row r="868" ht="14.25" customHeight="1" s="175"/>
    <row r="869" ht="14.25" customHeight="1" s="175"/>
    <row r="870" ht="14.25" customHeight="1" s="175"/>
    <row r="871" ht="14.25" customHeight="1" s="175"/>
    <row r="872" ht="14.25" customHeight="1" s="175"/>
    <row r="873" ht="14.25" customHeight="1" s="175"/>
    <row r="874" ht="14.25" customHeight="1" s="175"/>
    <row r="875" ht="14.25" customHeight="1" s="175"/>
    <row r="876" ht="14.25" customHeight="1" s="175"/>
    <row r="877" ht="14.25" customHeight="1" s="175"/>
    <row r="878" ht="14.25" customHeight="1" s="175"/>
    <row r="879" ht="14.25" customHeight="1" s="175"/>
    <row r="880" ht="14.25" customHeight="1" s="175"/>
    <row r="881" ht="14.25" customHeight="1" s="175"/>
    <row r="882" ht="14.25" customHeight="1" s="175"/>
    <row r="883" ht="14.25" customHeight="1" s="175"/>
    <row r="884" ht="14.25" customHeight="1" s="175"/>
    <row r="885" ht="14.25" customHeight="1" s="175"/>
    <row r="886" ht="14.25" customHeight="1" s="175"/>
    <row r="887" ht="14.25" customHeight="1" s="175"/>
    <row r="888" ht="14.25" customHeight="1" s="175"/>
    <row r="889" ht="14.25" customHeight="1" s="175"/>
    <row r="890" ht="14.25" customHeight="1" s="175"/>
    <row r="891" ht="14.25" customHeight="1" s="175"/>
    <row r="892" ht="14.25" customHeight="1" s="175"/>
    <row r="893" ht="14.25" customHeight="1" s="175"/>
    <row r="894" ht="14.25" customHeight="1" s="175"/>
    <row r="895" ht="14.25" customHeight="1" s="175"/>
    <row r="896" ht="14.25" customHeight="1" s="175"/>
    <row r="897" ht="14.25" customHeight="1" s="175"/>
    <row r="898" ht="14.25" customHeight="1" s="175"/>
    <row r="899" ht="14.25" customHeight="1" s="175"/>
    <row r="900" ht="14.25" customHeight="1" s="175"/>
    <row r="901" ht="14.25" customHeight="1" s="175"/>
    <row r="902" ht="14.25" customHeight="1" s="175"/>
    <row r="903" ht="14.25" customHeight="1" s="175"/>
    <row r="904" ht="14.25" customHeight="1" s="175"/>
    <row r="905" ht="14.25" customHeight="1" s="175"/>
    <row r="906" ht="14.25" customHeight="1" s="175"/>
    <row r="907" ht="14.25" customHeight="1" s="175"/>
    <row r="908" ht="14.25" customHeight="1" s="175"/>
    <row r="909" ht="14.25" customHeight="1" s="175"/>
    <row r="910" ht="14.25" customHeight="1" s="175"/>
    <row r="911" ht="14.25" customHeight="1" s="175"/>
    <row r="912" ht="14.25" customHeight="1" s="175"/>
    <row r="913" ht="14.25" customHeight="1" s="175"/>
    <row r="914" ht="14.25" customHeight="1" s="175"/>
    <row r="915" ht="14.25" customHeight="1" s="175"/>
    <row r="916" ht="14.25" customHeight="1" s="175"/>
    <row r="917" ht="14.25" customHeight="1" s="175"/>
    <row r="918" ht="14.25" customHeight="1" s="175"/>
    <row r="919" ht="14.25" customHeight="1" s="175"/>
    <row r="920" ht="14.25" customHeight="1" s="175"/>
    <row r="921" ht="14.25" customHeight="1" s="175"/>
    <row r="922" ht="14.25" customHeight="1" s="175"/>
    <row r="923" ht="14.25" customHeight="1" s="175"/>
    <row r="924" ht="14.25" customHeight="1" s="175"/>
    <row r="925" ht="14.25" customHeight="1" s="175"/>
    <row r="926" ht="14.25" customHeight="1" s="175"/>
    <row r="927" ht="14.25" customHeight="1" s="175"/>
    <row r="928" ht="14.25" customHeight="1" s="175"/>
    <row r="929" ht="14.25" customHeight="1" s="175"/>
    <row r="930" ht="14.25" customHeight="1" s="175"/>
    <row r="931" ht="14.25" customHeight="1" s="175"/>
    <row r="932" ht="14.25" customHeight="1" s="175"/>
    <row r="933" ht="14.25" customHeight="1" s="175"/>
    <row r="934" ht="14.25" customHeight="1" s="175"/>
    <row r="935" ht="14.25" customHeight="1" s="175"/>
    <row r="936" ht="14.25" customHeight="1" s="175"/>
    <row r="937" ht="14.25" customHeight="1" s="175"/>
    <row r="938" ht="14.25" customHeight="1" s="175"/>
    <row r="939" ht="14.25" customHeight="1" s="175"/>
    <row r="940" ht="14.25" customHeight="1" s="175"/>
    <row r="941" ht="14.25" customHeight="1" s="175"/>
    <row r="942" ht="14.25" customHeight="1" s="175"/>
    <row r="943" ht="14.25" customHeight="1" s="175"/>
    <row r="944" ht="14.25" customHeight="1" s="175"/>
    <row r="945" ht="14.25" customHeight="1" s="175"/>
    <row r="946" ht="14.25" customHeight="1" s="175"/>
    <row r="947" ht="14.25" customHeight="1" s="175"/>
    <row r="948" ht="14.25" customHeight="1" s="175"/>
    <row r="949" ht="14.25" customHeight="1" s="175"/>
    <row r="950" ht="14.25" customHeight="1" s="175"/>
    <row r="951" ht="14.25" customHeight="1" s="175"/>
    <row r="952" ht="14.25" customHeight="1" s="175"/>
    <row r="953" ht="14.25" customHeight="1" s="175"/>
    <row r="954" ht="14.25" customHeight="1" s="175"/>
    <row r="955" ht="14.25" customHeight="1" s="175"/>
    <row r="956" ht="14.25" customHeight="1" s="175"/>
    <row r="957" ht="14.25" customHeight="1" s="175"/>
    <row r="958" ht="14.25" customHeight="1" s="175"/>
    <row r="959" ht="14.25" customHeight="1" s="175"/>
    <row r="960" ht="14.25" customHeight="1" s="175"/>
    <row r="961" ht="14.25" customHeight="1" s="175"/>
    <row r="962" ht="14.25" customHeight="1" s="175"/>
    <row r="963" ht="14.25" customHeight="1" s="175"/>
    <row r="964" ht="14.25" customHeight="1" s="175"/>
    <row r="965" ht="14.25" customHeight="1" s="175"/>
    <row r="966" ht="14.25" customHeight="1" s="175"/>
    <row r="967" ht="14.25" customHeight="1" s="175"/>
    <row r="968" ht="14.25" customHeight="1" s="175"/>
    <row r="969" ht="14.25" customHeight="1" s="175"/>
    <row r="970" ht="14.25" customHeight="1" s="175"/>
    <row r="971" ht="14.25" customHeight="1" s="175"/>
    <row r="972" ht="14.25" customHeight="1" s="175"/>
    <row r="973" ht="14.25" customHeight="1" s="175"/>
    <row r="974" ht="14.25" customHeight="1" s="175"/>
    <row r="975" ht="14.25" customHeight="1" s="175"/>
    <row r="976" ht="14.25" customHeight="1" s="175"/>
    <row r="977" ht="14.25" customHeight="1" s="175"/>
    <row r="978" ht="14.25" customHeight="1" s="175"/>
    <row r="979" ht="14.25" customHeight="1" s="175"/>
    <row r="980" ht="14.25" customHeight="1" s="175"/>
    <row r="981" ht="14.25" customHeight="1" s="175"/>
    <row r="982" ht="14.25" customHeight="1" s="175"/>
    <row r="983" ht="14.25" customHeight="1" s="175"/>
    <row r="984" ht="14.25" customHeight="1" s="175"/>
    <row r="985" ht="14.25" customHeight="1" s="175"/>
    <row r="986" ht="14.25" customHeight="1" s="175"/>
    <row r="987" ht="14.25" customHeight="1" s="175"/>
    <row r="988" ht="14.25" customHeight="1" s="175"/>
    <row r="989" ht="14.25" customHeight="1" s="175"/>
    <row r="990" ht="14.25" customHeight="1" s="175"/>
    <row r="991" ht="14.25" customHeight="1" s="175"/>
    <row r="992" ht="14.25" customHeight="1" s="175"/>
    <row r="993" ht="14.25" customHeight="1" s="175"/>
    <row r="994" ht="14.25" customHeight="1" s="175"/>
    <row r="995" ht="14.25" customHeight="1" s="175"/>
    <row r="996" ht="14.25" customHeight="1" s="175"/>
    <row r="997" ht="14.25" customHeight="1" s="175"/>
    <row r="998" ht="14.25" customHeight="1" s="175"/>
    <row r="999" ht="14.25" customHeight="1" s="175"/>
    <row r="1000" ht="14.25" customHeight="1" s="175"/>
  </sheetData>
  <mergeCells count="5">
    <mergeCell ref="AI51:AQ51"/>
    <mergeCell ref="G1:P1"/>
    <mergeCell ref="G15:O15"/>
    <mergeCell ref="R1:AG1"/>
    <mergeCell ref="AI13:AR13"/>
  </mergeCells>
  <conditionalFormatting sqref="H17:I2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L2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7:O21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7:I21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7:L21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rank="0" priority="16" equalAverage="0" operator="greaterThan" aboveAverage="0" dxfId="0" text="" percent="0" bottom="0">
      <formula>1</formula>
    </cfRule>
  </conditionalFormatting>
  <conditionalFormatting sqref="H74:H77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6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6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42:R52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42:H52"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6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8:R68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3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3"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3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3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3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3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3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3"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3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6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6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L16:AL26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6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26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6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6"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26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6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6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4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4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10">
    <cfRule type="colorScale" priority="54">
      <colorScale>
        <cfvo type="min" val="0"/>
        <cfvo type="max" val="0"/>
        <color rgb="FFFCFCFF"/>
        <color rgb="FF63BE7B"/>
      </colorScale>
    </cfRule>
  </conditionalFormatting>
  <hyperlinks>
    <hyperlink xmlns:r="http://schemas.openxmlformats.org/officeDocument/2006/relationships" ref="D24" display="https://discord.com/channels/191975109500731392/1212839710439776287/1410732645112877098" r:id="rId1"/>
    <hyperlink xmlns:r="http://schemas.openxmlformats.org/officeDocument/2006/relationships" ref="D71" display="https://discord.com/channels/191975109500731392/1212839710439776287/1418581366886367354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3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S4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54296875" defaultRowHeight="15" customHeight="1" zeroHeight="0" outlineLevelRow="0" outlineLevelCol="0"/>
  <cols>
    <col width="7.45" customWidth="1" style="173" min="1" max="1"/>
    <col width="6.27" customWidth="1" style="173" min="2" max="2"/>
    <col width="7.45" customWidth="1" style="173" min="3" max="3"/>
    <col width="8.539999999999999" customWidth="1" style="173" min="4" max="4"/>
    <col width="1.82" customWidth="1" style="173" min="5" max="5"/>
    <col width="8.539999999999999" customWidth="1" style="173" min="6" max="6"/>
    <col width="6.82" customWidth="1" style="173" min="8" max="9"/>
    <col width="5" customWidth="1" style="173" min="10" max="10"/>
    <col width="9.27" customWidth="1" style="173" min="11" max="11"/>
    <col width="11.73" customWidth="1" style="173" min="12" max="12"/>
    <col width="6.54" customWidth="1" style="173" min="13" max="13"/>
    <col width="8" customWidth="1" style="173" min="14" max="14"/>
    <col width="10.54" customWidth="1" style="173" min="15" max="15"/>
    <col width="12.82" customWidth="1" style="173" min="16" max="16"/>
    <col width="7.45" customWidth="1" style="173" min="17" max="17"/>
    <col width="12.27" customWidth="1" style="173" min="18" max="18"/>
    <col width="4.82" customWidth="1" style="173" min="19" max="19"/>
    <col width="7.27" customWidth="1" style="173" min="20" max="20"/>
    <col width="5.54" customWidth="1" style="173" min="21" max="22"/>
    <col width="5.82" customWidth="1" style="173" min="23" max="23"/>
    <col width="6.18" customWidth="1" style="173" min="24" max="24"/>
    <col width="6.82" customWidth="1" style="173" min="25" max="25"/>
    <col width="7.73" customWidth="1" style="173" min="26" max="26"/>
    <col width="4.82" customWidth="1" style="173" min="27" max="27"/>
    <col width="5.18" customWidth="1" style="173" min="28" max="28"/>
    <col width="4.45" customWidth="1" style="173" min="29" max="29"/>
    <col width="10.45" customWidth="1" style="173" min="30" max="32"/>
    <col width="6.82" customWidth="1" style="173" min="33" max="33"/>
    <col width="29.27" customWidth="1" style="173" min="34" max="34"/>
    <col width="8.27" customWidth="1" style="173" min="36" max="36"/>
    <col width="8.449999999999999" customWidth="1" style="173" min="37" max="37"/>
    <col width="7" customWidth="1" style="173" min="38" max="38"/>
    <col width="9.27" customWidth="1" style="173" min="39" max="39"/>
    <col width="13.73" customWidth="1" style="173" min="40" max="40"/>
    <col width="6.54" customWidth="1" style="173" min="41" max="41"/>
    <col width="8" customWidth="1" style="173" min="42" max="42"/>
    <col width="10.54" customWidth="1" style="173" min="43" max="43"/>
    <col width="11.82" customWidth="1" style="173" min="44" max="44"/>
    <col width="8" customWidth="1" style="173" min="45" max="45"/>
  </cols>
  <sheetData>
    <row r="1" ht="14.25" customHeight="1" s="175">
      <c r="A1" s="262" t="inlineStr">
        <is>
          <t>Sniper</t>
        </is>
      </c>
      <c r="B1" s="263" t="inlineStr">
        <is>
          <t>Points</t>
        </is>
      </c>
      <c r="C1" s="264" t="inlineStr">
        <is>
          <t>Snipee</t>
        </is>
      </c>
      <c r="D1" s="173" t="inlineStr">
        <is>
          <t>Link:</t>
        </is>
      </c>
      <c r="G1" s="179" t="inlineStr">
        <is>
          <t>Data by Person:</t>
        </is>
      </c>
      <c r="H1" s="180" t="n"/>
      <c r="I1" s="180" t="n"/>
      <c r="J1" s="180" t="n"/>
      <c r="K1" s="180" t="n"/>
      <c r="L1" s="180" t="n"/>
      <c r="M1" s="180" t="n"/>
      <c r="N1" s="180" t="n"/>
      <c r="O1" s="180" t="n"/>
      <c r="P1" s="181" t="n"/>
      <c r="Q1" s="182" t="n"/>
      <c r="R1" s="220" t="inlineStr">
        <is>
          <t>Kill and Death Points Pivot Table (kill points at right, death points at bottom)</t>
        </is>
      </c>
      <c r="S1" s="297" t="n"/>
      <c r="T1" s="297" t="n"/>
      <c r="U1" s="297" t="n"/>
      <c r="V1" s="297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8" t="n"/>
      <c r="AG1" s="202" t="n"/>
      <c r="AK1" s="179" t="inlineStr">
        <is>
          <t>Ties?</t>
        </is>
      </c>
      <c r="AL1" s="185" t="inlineStr">
        <is>
          <t>Name</t>
        </is>
      </c>
      <c r="AM1" s="186" t="inlineStr">
        <is>
          <t>Value</t>
        </is>
      </c>
      <c r="AN1" s="187" t="inlineStr">
        <is>
          <t>Various Stats:</t>
        </is>
      </c>
      <c r="AO1" s="188" t="inlineStr">
        <is>
          <t>Value</t>
        </is>
      </c>
      <c r="AP1" s="185" t="inlineStr">
        <is>
          <t>Part</t>
        </is>
      </c>
      <c r="AQ1" s="179" t="inlineStr">
        <is>
          <t>Ties?</t>
        </is>
      </c>
    </row>
    <row r="2" ht="14.25" customHeight="1" s="175">
      <c r="A2" s="267" t="inlineStr">
        <is>
          <t>David</t>
        </is>
      </c>
      <c r="B2" s="268" t="n">
        <v>1</v>
      </c>
      <c r="C2" s="269" t="inlineStr">
        <is>
          <t>Joey</t>
        </is>
      </c>
      <c r="D2" s="192" t="inlineStr">
        <is>
          <t>https://discord.com/channels/191975109500731392/1212839710439776287/1328421980986146921</t>
        </is>
      </c>
      <c r="E2" s="173" t="n"/>
      <c r="F2" s="194" t="n"/>
      <c r="G2" s="226" t="inlineStr">
        <is>
          <t>Person:</t>
        </is>
      </c>
      <c r="H2" s="206" t="inlineStr">
        <is>
          <t>Kills</t>
        </is>
      </c>
      <c r="I2" s="206" t="inlineStr">
        <is>
          <t>Deaths</t>
        </is>
      </c>
      <c r="J2" s="206" t="inlineStr">
        <is>
          <t>KDR</t>
        </is>
      </c>
      <c r="K2" s="206" t="inlineStr">
        <is>
          <t>Kill Points</t>
        </is>
      </c>
      <c r="L2" s="206" t="inlineStr">
        <is>
          <t>Death Points</t>
        </is>
      </c>
      <c r="M2" s="206" t="inlineStr">
        <is>
          <t>KpDpR</t>
        </is>
      </c>
      <c r="N2" s="196" t="inlineStr">
        <is>
          <t>KPts/Kill</t>
        </is>
      </c>
      <c r="O2" s="196" t="inlineStr">
        <is>
          <t>DPts/Death</t>
        </is>
      </c>
      <c r="P2" s="227" t="inlineStr">
        <is>
          <t>Full Sweep %</t>
        </is>
      </c>
      <c r="Q2" s="182" t="n"/>
      <c r="R2" s="198" t="inlineStr">
        <is>
          <t>Sum of Points</t>
        </is>
      </c>
      <c r="S2" s="199" t="inlineStr">
        <is>
          <t>Snipee</t>
        </is>
      </c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1" t="n"/>
      <c r="AF2" s="309" t="n"/>
      <c r="AG2" s="202" t="inlineStr">
        <is>
          <t>Unique</t>
        </is>
      </c>
      <c r="AK2" s="203" t="n"/>
      <c r="AL2" s="204" t="n"/>
      <c r="AM2" s="205">
        <f>COUNT(B$1:B$155)</f>
        <v/>
      </c>
      <c r="AN2" s="206" t="inlineStr">
        <is>
          <t>Total Snipes</t>
        </is>
      </c>
      <c r="AO2" s="205">
        <f>COUNT(B$1:B$155)</f>
        <v/>
      </c>
      <c r="AP2" s="203" t="n"/>
      <c r="AQ2" s="203" t="n"/>
    </row>
    <row r="3" ht="14.25" customHeight="1" s="175">
      <c r="A3" s="267" t="inlineStr">
        <is>
          <t>Ethan</t>
        </is>
      </c>
      <c r="B3" s="268" t="n">
        <v>1</v>
      </c>
      <c r="C3" s="269" t="inlineStr">
        <is>
          <t>Evan</t>
        </is>
      </c>
      <c r="D3" s="192" t="inlineStr">
        <is>
          <t>https://discord.com/channels/191975109500731392/1212839710439776287/1328431840729632870</t>
        </is>
      </c>
      <c r="E3" s="173" t="n"/>
      <c r="F3" s="207" t="n"/>
      <c r="G3" s="208" t="inlineStr">
        <is>
          <t>Carter</t>
        </is>
      </c>
      <c r="H3" s="209">
        <f>COUNTIF($A:$A,G3)</f>
        <v/>
      </c>
      <c r="I3" s="209">
        <f>COUNTIF($C:$C,G3)</f>
        <v/>
      </c>
      <c r="J3" s="210">
        <f>IF(I3,H3/I3,H3)</f>
        <v/>
      </c>
      <c r="K3" s="209">
        <f>IFERROR(GETPIVOTDATA("Points",$R$2,"Sniper",G3),0)</f>
        <v/>
      </c>
      <c r="L3" s="209">
        <f>IFERROR(GETPIVOTDATA("Points",$R$2,"Snipee",G3),0)</f>
        <v/>
      </c>
      <c r="M3" s="299">
        <f>IF(L3,K3/L3,K3)</f>
        <v/>
      </c>
      <c r="N3" s="210">
        <f>IF(H3,K3/H3,0)</f>
        <v/>
      </c>
      <c r="O3" s="210">
        <f>IF(I3,L3/I3,0)</f>
        <v/>
      </c>
      <c r="P3" s="300">
        <f>IFERROR(VLOOKUP(G3,R:AG,16,FALSE())/12,0)</f>
        <v/>
      </c>
      <c r="Q3" s="182" t="n"/>
      <c r="R3" s="212" t="inlineStr">
        <is>
          <t>Sniper</t>
        </is>
      </c>
      <c r="S3" s="301" t="inlineStr">
        <is>
          <t>Anthony</t>
        </is>
      </c>
      <c r="T3" s="302" t="inlineStr">
        <is>
          <t>Carter</t>
        </is>
      </c>
      <c r="U3" s="302" t="inlineStr">
        <is>
          <t>Cooper</t>
        </is>
      </c>
      <c r="V3" s="302" t="inlineStr">
        <is>
          <t>David</t>
        </is>
      </c>
      <c r="W3" s="302" t="inlineStr">
        <is>
          <t>Erick</t>
        </is>
      </c>
      <c r="X3" s="302" t="inlineStr">
        <is>
          <t>Ethan</t>
        </is>
      </c>
      <c r="Y3" s="302" t="inlineStr">
        <is>
          <t>Evan</t>
        </is>
      </c>
      <c r="Z3" s="302" t="inlineStr">
        <is>
          <t>Grady</t>
        </is>
      </c>
      <c r="AA3" s="302" t="inlineStr">
        <is>
          <t>Joey</t>
        </is>
      </c>
      <c r="AB3" s="302" t="inlineStr">
        <is>
          <t>Reuben</t>
        </is>
      </c>
      <c r="AC3" s="302" t="inlineStr">
        <is>
          <t>Tyler</t>
        </is>
      </c>
      <c r="AD3" s="214" t="inlineStr">
        <is>
          <t>Total Result</t>
        </is>
      </c>
      <c r="AF3" s="309" t="n"/>
      <c r="AG3" s="202" t="inlineStr">
        <is>
          <t>Kills</t>
        </is>
      </c>
      <c r="AK3" s="203" t="n"/>
      <c r="AL3" s="203" t="n"/>
      <c r="AM3" s="215">
        <f>IFERROR(GETPIVOTDATA("Points",R2),0)</f>
        <v/>
      </c>
      <c r="AN3" s="216" t="inlineStr">
        <is>
          <t>Total Points</t>
        </is>
      </c>
      <c r="AO3" s="215">
        <f>IFERROR(GETPIVOTDATA("Points",R2),0)</f>
        <v/>
      </c>
      <c r="AP3" s="203" t="n"/>
      <c r="AQ3" s="203" t="n"/>
    </row>
    <row r="4" ht="14.25" customHeight="1" s="175">
      <c r="A4" s="267" t="inlineStr">
        <is>
          <t>Evan</t>
        </is>
      </c>
      <c r="B4" s="268" t="n">
        <v>1</v>
      </c>
      <c r="C4" s="269" t="inlineStr">
        <is>
          <t>Ethan</t>
        </is>
      </c>
      <c r="D4" s="192" t="inlineStr">
        <is>
          <t>https://discord.com/channels/191975109500731392/1212839710439776287/1328431903224627242</t>
        </is>
      </c>
      <c r="E4" s="173" t="n"/>
      <c r="F4" s="207" t="n"/>
      <c r="G4" s="208" t="inlineStr">
        <is>
          <t>Grady</t>
        </is>
      </c>
      <c r="H4" s="209">
        <f>COUNTIF($A:$A,G4)</f>
        <v/>
      </c>
      <c r="I4" s="209">
        <f>COUNTIF($C:$C,G4)</f>
        <v/>
      </c>
      <c r="J4" s="210">
        <f>IF(I4,H4/I4,H4)</f>
        <v/>
      </c>
      <c r="K4" s="209">
        <f>IFERROR(GETPIVOTDATA("Points",$R$2,"Sniper",G4),0)</f>
        <v/>
      </c>
      <c r="L4" s="209">
        <f>IFERROR(GETPIVOTDATA("Points",$R$2,"Snipee",G4),0)</f>
        <v/>
      </c>
      <c r="M4" s="299">
        <f>IF(L4,K4/L4,K4)</f>
        <v/>
      </c>
      <c r="N4" s="210">
        <f>IF(H4,K4/H4,0)</f>
        <v/>
      </c>
      <c r="O4" s="210">
        <f>IF(I4,L4/I4,0)</f>
        <v/>
      </c>
      <c r="P4" s="300">
        <f>IFERROR(VLOOKUP(G4,R:AG,16,FALSE())/12,0)</f>
        <v/>
      </c>
      <c r="Q4" s="182" t="n"/>
      <c r="R4" s="303" t="inlineStr">
        <is>
          <t>Anthony</t>
        </is>
      </c>
      <c r="S4" s="273" t="n"/>
      <c r="T4" s="274" t="n"/>
      <c r="U4" s="274" t="n"/>
      <c r="V4" s="274" t="n">
        <v>2</v>
      </c>
      <c r="W4" s="274" t="n"/>
      <c r="X4" s="274" t="n">
        <v>2</v>
      </c>
      <c r="Y4" s="274" t="n">
        <v>10</v>
      </c>
      <c r="Z4" s="274" t="n">
        <v>4</v>
      </c>
      <c r="AA4" s="274" t="n"/>
      <c r="AB4" s="274" t="n">
        <v>4</v>
      </c>
      <c r="AC4" s="275" t="n"/>
      <c r="AD4" s="276" t="n">
        <v>22</v>
      </c>
      <c r="AF4" s="309" t="n"/>
      <c r="AG4" s="202">
        <f>IF(COUNT(S4:AF4)&lt;&gt;0,COUNT(S4:AF4)-1,"")</f>
        <v/>
      </c>
      <c r="AK4" s="220">
        <f>COUNTIF(H3:H13,AM4)</f>
        <v/>
      </c>
      <c r="AL4" s="221">
        <f>$G$26</f>
        <v/>
      </c>
      <c r="AM4" s="215">
        <f>maxine(H3:H13)</f>
        <v/>
      </c>
      <c r="AN4" s="216" t="inlineStr">
        <is>
          <t>Most Kills</t>
        </is>
      </c>
      <c r="AO4" s="222">
        <f>maxine(H19:H22)</f>
        <v/>
      </c>
      <c r="AP4" s="223">
        <f>$G$77</f>
        <v/>
      </c>
      <c r="AQ4" s="220">
        <f>COUNTIF(H19:H22,AO4)</f>
        <v/>
      </c>
    </row>
    <row r="5" ht="14.25" customHeight="1" s="175">
      <c r="A5" s="267" t="inlineStr">
        <is>
          <t>Carter</t>
        </is>
      </c>
      <c r="B5" s="268" t="n">
        <v>2</v>
      </c>
      <c r="C5" s="269" t="inlineStr">
        <is>
          <t>Evan</t>
        </is>
      </c>
      <c r="D5" s="192" t="inlineStr">
        <is>
          <t>https://discord.com/channels/191975109500731392/1212839710439776287/1328433170911334531</t>
        </is>
      </c>
      <c r="F5" s="207" t="n"/>
      <c r="G5" s="208" t="inlineStr">
        <is>
          <t>Cooper</t>
        </is>
      </c>
      <c r="H5" s="209">
        <f>COUNTIF($A:$A,G5)</f>
        <v/>
      </c>
      <c r="I5" s="209">
        <f>COUNTIF($C:$C,G5)</f>
        <v/>
      </c>
      <c r="J5" s="210">
        <f>IF(I5,H5/I5,H5)</f>
        <v/>
      </c>
      <c r="K5" s="209">
        <f>IFERROR(GETPIVOTDATA("Points",$R$2,"Sniper",G5),0)</f>
        <v/>
      </c>
      <c r="L5" s="209">
        <f>IFERROR(GETPIVOTDATA("Points",$R$2,"Snipee",G5),0)</f>
        <v/>
      </c>
      <c r="M5" s="299">
        <f>IF(L5,K5/L5,K5)</f>
        <v/>
      </c>
      <c r="N5" s="210">
        <f>IF(H5,K5/H5,0)</f>
        <v/>
      </c>
      <c r="O5" s="210">
        <f>IF(I5,L5/I5,0)</f>
        <v/>
      </c>
      <c r="P5" s="300">
        <f>IFERROR(VLOOKUP(G5,R:AG,16,FALSE())/12,0)</f>
        <v/>
      </c>
      <c r="Q5" s="182" t="n"/>
      <c r="R5" s="304" t="inlineStr">
        <is>
          <t>Carter</t>
        </is>
      </c>
      <c r="S5" s="278" t="n">
        <v>2</v>
      </c>
      <c r="T5" s="279" t="n"/>
      <c r="U5" s="279" t="n">
        <v>2</v>
      </c>
      <c r="V5" s="279" t="n">
        <v>16</v>
      </c>
      <c r="W5" s="279" t="n"/>
      <c r="X5" s="279" t="n">
        <v>5</v>
      </c>
      <c r="Y5" s="279" t="n">
        <v>5</v>
      </c>
      <c r="Z5" s="279" t="n"/>
      <c r="AA5" s="279" t="n"/>
      <c r="AB5" s="279" t="n">
        <v>3</v>
      </c>
      <c r="AC5" s="280" t="n"/>
      <c r="AD5" s="281" t="n">
        <v>33</v>
      </c>
      <c r="AF5" s="309" t="n"/>
      <c r="AG5" s="202">
        <f>IF(COUNT(S5:AF5)&lt;&gt;0,COUNT(S5:AF5)-1,"")</f>
        <v/>
      </c>
      <c r="AK5" s="220">
        <f>COUNTIF(I3:I13,AM5)</f>
        <v/>
      </c>
      <c r="AL5" s="221">
        <f>$G$42</f>
        <v/>
      </c>
      <c r="AM5" s="215">
        <f>maxine(I3:I13)</f>
        <v/>
      </c>
      <c r="AN5" s="216" t="inlineStr">
        <is>
          <t>Most Deaths</t>
        </is>
      </c>
      <c r="AO5" s="222">
        <f>maxine(I19:I22)</f>
        <v/>
      </c>
      <c r="AP5" s="224">
        <f>$G$88</f>
        <v/>
      </c>
      <c r="AQ5" s="220">
        <f>COUNTIF(I19:I22,AO5)</f>
        <v/>
      </c>
    </row>
    <row r="6" ht="14.25" customHeight="1" s="175">
      <c r="A6" s="267" t="inlineStr">
        <is>
          <t>David</t>
        </is>
      </c>
      <c r="B6" s="268" t="n">
        <v>2</v>
      </c>
      <c r="C6" s="269" t="inlineStr">
        <is>
          <t>Maxine</t>
        </is>
      </c>
      <c r="D6" s="192" t="inlineStr">
        <is>
          <t>https://discord.com/channels/191975109500731392/1212839710439776287/1328444788130709625</t>
        </is>
      </c>
      <c r="F6" s="207" t="n"/>
      <c r="G6" s="208" t="inlineStr">
        <is>
          <t>Maxine</t>
        </is>
      </c>
      <c r="H6" s="209">
        <f>COUNTIF($A:$A,G6)</f>
        <v/>
      </c>
      <c r="I6" s="209">
        <f>COUNTIF($C:$C,G6)</f>
        <v/>
      </c>
      <c r="J6" s="210">
        <f>IF(I6,H6/I6,H6)</f>
        <v/>
      </c>
      <c r="K6" s="209">
        <f>IFERROR(GETPIVOTDATA("Points",$R$2,"Sniper",G6),0)</f>
        <v/>
      </c>
      <c r="L6" s="209">
        <f>IFERROR(GETPIVOTDATA("Points",$R$2,"Snipee",G6),0)</f>
        <v/>
      </c>
      <c r="M6" s="299">
        <f>IF(L6,K6/L6,K6)</f>
        <v/>
      </c>
      <c r="N6" s="210">
        <f>IF(H6,K6/H6,0)</f>
        <v/>
      </c>
      <c r="O6" s="210">
        <f>IF(I6,L6/I6,0)</f>
        <v/>
      </c>
      <c r="P6" s="300">
        <f>IFERROR(VLOOKUP(G6,R:AG,16,FALSE())/12,0)</f>
        <v/>
      </c>
      <c r="Q6" s="182" t="n"/>
      <c r="R6" s="304" t="inlineStr">
        <is>
          <t>Cooper</t>
        </is>
      </c>
      <c r="S6" s="278" t="n"/>
      <c r="T6" s="279" t="n"/>
      <c r="U6" s="279" t="n"/>
      <c r="V6" s="279" t="n">
        <v>1</v>
      </c>
      <c r="W6" s="279" t="n"/>
      <c r="X6" s="279" t="n"/>
      <c r="Y6" s="279" t="n">
        <v>2</v>
      </c>
      <c r="Z6" s="279" t="n">
        <v>3</v>
      </c>
      <c r="AA6" s="279" t="n"/>
      <c r="AB6" s="279" t="n">
        <v>2</v>
      </c>
      <c r="AC6" s="280" t="n"/>
      <c r="AD6" s="281" t="n">
        <v>8</v>
      </c>
      <c r="AF6" s="309" t="n"/>
      <c r="AG6" s="202">
        <f>IF(COUNT(S6:AF6)&lt;&gt;0,COUNT(S6:AF6)-1,"")</f>
        <v/>
      </c>
      <c r="AK6" s="220">
        <f>COUNTIF(K3:K13,AM6)</f>
        <v/>
      </c>
      <c r="AL6" s="221">
        <f>$Q$26</f>
        <v/>
      </c>
      <c r="AM6" s="215">
        <f>maxine(K3:K13)</f>
        <v/>
      </c>
      <c r="AN6" s="216" t="inlineStr">
        <is>
          <t>Most Kill Pts</t>
        </is>
      </c>
      <c r="AO6" s="222">
        <f>maxine(K19:K22)</f>
        <v/>
      </c>
      <c r="AP6" s="224">
        <f>$Q$77</f>
        <v/>
      </c>
      <c r="AQ6" s="220">
        <f>COUNTIF(K19:K22,AO6)</f>
        <v/>
      </c>
    </row>
    <row r="7" ht="14.25" customHeight="1" s="175">
      <c r="A7" s="267" t="inlineStr">
        <is>
          <t>Maxine</t>
        </is>
      </c>
      <c r="B7" s="268" t="n">
        <v>1</v>
      </c>
      <c r="C7" s="269" t="inlineStr">
        <is>
          <t>David</t>
        </is>
      </c>
      <c r="D7" s="192" t="inlineStr">
        <is>
          <t>https://discord.com/channels/191975109500731392/1212839710439776287/1328445062979260502</t>
        </is>
      </c>
      <c r="F7" s="207" t="n"/>
      <c r="G7" s="208" t="inlineStr">
        <is>
          <t>David</t>
        </is>
      </c>
      <c r="H7" s="209">
        <f>COUNTIF($A:$A,G7)</f>
        <v/>
      </c>
      <c r="I7" s="209">
        <f>COUNTIF($C:$C,G7)</f>
        <v/>
      </c>
      <c r="J7" s="210">
        <f>IF(I7,H7/I7,H7)</f>
        <v/>
      </c>
      <c r="K7" s="209">
        <f>IFERROR(GETPIVOTDATA("Points",$R$2,"Sniper",G7),0)</f>
        <v/>
      </c>
      <c r="L7" s="209">
        <f>IFERROR(GETPIVOTDATA("Points",$R$2,"Snipee",G7),0)</f>
        <v/>
      </c>
      <c r="M7" s="299">
        <f>IF(L7,K7/L7,K7)</f>
        <v/>
      </c>
      <c r="N7" s="210">
        <f>IF(H7,K7/H7,0)</f>
        <v/>
      </c>
      <c r="O7" s="210">
        <f>IF(I7,L7/I7,0)</f>
        <v/>
      </c>
      <c r="P7" s="300">
        <f>IFERROR(VLOOKUP(G7,R:AG,16,FALSE())/12,0)</f>
        <v/>
      </c>
      <c r="Q7" s="182" t="n"/>
      <c r="R7" s="304" t="inlineStr">
        <is>
          <t>David</t>
        </is>
      </c>
      <c r="S7" s="278" t="n">
        <v>1</v>
      </c>
      <c r="T7" s="279" t="n">
        <v>18</v>
      </c>
      <c r="U7" s="279" t="n">
        <v>1</v>
      </c>
      <c r="V7" s="279" t="n"/>
      <c r="W7" s="279" t="n">
        <v>1</v>
      </c>
      <c r="X7" s="279" t="n">
        <v>13</v>
      </c>
      <c r="Y7" s="279" t="n">
        <v>10</v>
      </c>
      <c r="Z7" s="279" t="n">
        <v>7</v>
      </c>
      <c r="AA7" s="279" t="n">
        <v>1</v>
      </c>
      <c r="AB7" s="279" t="n">
        <v>15</v>
      </c>
      <c r="AC7" s="280" t="n"/>
      <c r="AD7" s="281" t="n">
        <v>67</v>
      </c>
      <c r="AF7" s="309" t="n"/>
      <c r="AG7" s="202">
        <f>IF(COUNT(S7:AF7)&lt;&gt;0,COUNT(S7:AF7)-1,"")</f>
        <v/>
      </c>
      <c r="AK7" s="220">
        <f>COUNTIF(L3:L13,AM7)</f>
        <v/>
      </c>
      <c r="AL7" s="221">
        <f>$Q$42</f>
        <v/>
      </c>
      <c r="AM7" s="215">
        <f>maxine(L3:L13)</f>
        <v/>
      </c>
      <c r="AN7" s="216" t="inlineStr">
        <is>
          <t>Most Death Pts</t>
        </is>
      </c>
      <c r="AO7" s="222">
        <f>maxine(L19:L22)</f>
        <v/>
      </c>
      <c r="AP7" s="224">
        <f>$Q$88</f>
        <v/>
      </c>
      <c r="AQ7" s="220">
        <f>COUNTIF(L19:L22,AO7)</f>
        <v/>
      </c>
    </row>
    <row r="8" ht="14.25" customHeight="1" s="175">
      <c r="A8" s="267" t="inlineStr">
        <is>
          <t>David</t>
        </is>
      </c>
      <c r="B8" s="268" t="n">
        <v>1</v>
      </c>
      <c r="C8" s="269" t="inlineStr">
        <is>
          <t>Reuben</t>
        </is>
      </c>
      <c r="D8" s="192" t="inlineStr">
        <is>
          <t>https://discord.com/channels/191975109500731392/1212839710439776287/1329111887442477077</t>
        </is>
      </c>
      <c r="F8" s="207" t="n"/>
      <c r="G8" s="208" t="inlineStr">
        <is>
          <t>Evan</t>
        </is>
      </c>
      <c r="H8" s="209">
        <f>COUNTIF($A:$A,G8)</f>
        <v/>
      </c>
      <c r="I8" s="209">
        <f>COUNTIF($C:$C,G8)</f>
        <v/>
      </c>
      <c r="J8" s="210">
        <f>IF(I8,H8/I8,H8)</f>
        <v/>
      </c>
      <c r="K8" s="209">
        <f>IFERROR(GETPIVOTDATA("Points",$R$2,"Sniper",G8),0)</f>
        <v/>
      </c>
      <c r="L8" s="209">
        <f>IFERROR(GETPIVOTDATA("Points",$R$2,"Snipee",G8),0)</f>
        <v/>
      </c>
      <c r="M8" s="299">
        <f>IF(L8,K8/L8,K8)</f>
        <v/>
      </c>
      <c r="N8" s="210">
        <f>IF(H8,K8/H8,0)</f>
        <v/>
      </c>
      <c r="O8" s="210">
        <f>IF(I8,L8/I8,0)</f>
        <v/>
      </c>
      <c r="P8" s="300">
        <f>IFERROR(VLOOKUP(G8,R:AG,16,FALSE())/12,0)</f>
        <v/>
      </c>
      <c r="Q8" s="182" t="n"/>
      <c r="R8" s="304" t="inlineStr">
        <is>
          <t>Erick</t>
        </is>
      </c>
      <c r="S8" s="278" t="n"/>
      <c r="T8" s="279" t="n"/>
      <c r="U8" s="279" t="n"/>
      <c r="V8" s="279" t="n">
        <v>2</v>
      </c>
      <c r="W8" s="279" t="n"/>
      <c r="X8" s="279" t="n"/>
      <c r="Y8" s="279" t="n"/>
      <c r="Z8" s="279" t="n"/>
      <c r="AA8" s="279" t="n"/>
      <c r="AB8" s="279" t="n"/>
      <c r="AC8" s="280" t="n"/>
      <c r="AD8" s="281" t="n">
        <v>2</v>
      </c>
      <c r="AF8" s="309" t="n"/>
      <c r="AG8" s="202">
        <f>IF(COUNT(S8:AF8)&lt;&gt;0,COUNT(S8:AF8)-1,"")</f>
        <v/>
      </c>
      <c r="AK8" s="220">
        <f>COUNTIF(J3:J13,AM8)</f>
        <v/>
      </c>
      <c r="AL8" s="225">
        <f>$G$58</f>
        <v/>
      </c>
      <c r="AM8" s="222">
        <f>maxine(J3:J13)</f>
        <v/>
      </c>
      <c r="AN8" s="216" t="inlineStr">
        <is>
          <t>Best KDR</t>
        </is>
      </c>
      <c r="AO8" s="222">
        <f>maxine(J19:J22)</f>
        <v/>
      </c>
      <c r="AP8" s="224">
        <f>$G$99</f>
        <v/>
      </c>
      <c r="AQ8" s="220">
        <f>COUNTIF(J19:J22,AO8)</f>
        <v/>
      </c>
    </row>
    <row r="9" ht="14.25" customHeight="1" s="175">
      <c r="A9" s="267" t="inlineStr">
        <is>
          <t>David</t>
        </is>
      </c>
      <c r="B9" s="268" t="n">
        <v>1</v>
      </c>
      <c r="C9" s="269" t="inlineStr">
        <is>
          <t>Carter</t>
        </is>
      </c>
      <c r="D9" s="192" t="inlineStr">
        <is>
          <t>https://discord.com/channels/191975109500731392/1212839710439776287/1329116428619485304</t>
        </is>
      </c>
      <c r="E9" s="173" t="n">
        <v>0</v>
      </c>
      <c r="F9" s="192" t="n"/>
      <c r="G9" s="208" t="inlineStr">
        <is>
          <t>Tyler</t>
        </is>
      </c>
      <c r="H9" s="209">
        <f>COUNTIF($A:$A,G9)</f>
        <v/>
      </c>
      <c r="I9" s="209">
        <f>COUNTIF($C:$C,G9)</f>
        <v/>
      </c>
      <c r="J9" s="210">
        <f>IF(I9,H9/I9,H9)</f>
        <v/>
      </c>
      <c r="K9" s="209">
        <f>IFERROR(GETPIVOTDATA("Points",$R$2,"Sniper",G9),0)</f>
        <v/>
      </c>
      <c r="L9" s="209">
        <f>IFERROR(GETPIVOTDATA("Points",$R$2,"Snipee",G9),0)</f>
        <v/>
      </c>
      <c r="M9" s="299">
        <f>IF(L9,K9/L9,K9)</f>
        <v/>
      </c>
      <c r="N9" s="210">
        <f>IF(H9,K9/H9,0)</f>
        <v/>
      </c>
      <c r="O9" s="210">
        <f>IF(I9,L9/I9,0)</f>
        <v/>
      </c>
      <c r="P9" s="300">
        <f>IFERROR(VLOOKUP(G9,R:AG,16,FALSE())/12,0)</f>
        <v/>
      </c>
      <c r="Q9" s="182" t="n"/>
      <c r="R9" s="304" t="inlineStr">
        <is>
          <t>Ethan</t>
        </is>
      </c>
      <c r="S9" s="278" t="n">
        <v>2</v>
      </c>
      <c r="T9" s="279" t="n">
        <v>13</v>
      </c>
      <c r="U9" s="279" t="n"/>
      <c r="V9" s="279" t="n">
        <v>16</v>
      </c>
      <c r="W9" s="279" t="n"/>
      <c r="X9" s="279" t="n"/>
      <c r="Y9" s="279" t="n">
        <v>51</v>
      </c>
      <c r="Z9" s="279" t="n">
        <v>11</v>
      </c>
      <c r="AA9" s="279" t="n"/>
      <c r="AB9" s="279" t="n">
        <v>24</v>
      </c>
      <c r="AC9" s="280" t="n"/>
      <c r="AD9" s="281" t="n">
        <v>117</v>
      </c>
      <c r="AF9" s="309" t="n"/>
      <c r="AG9" s="202">
        <f>IF(COUNT(S9:AF9)&lt;&gt;0,COUNT(S9:AF9)-1,"")</f>
        <v/>
      </c>
      <c r="AK9" s="220">
        <f>COUNTIF(J3:J13,AM9)</f>
        <v/>
      </c>
      <c r="AL9" s="225">
        <f>$G$69</f>
        <v/>
      </c>
      <c r="AM9" s="222">
        <f>MIN(J3:J13)</f>
        <v/>
      </c>
      <c r="AN9" s="216" t="inlineStr">
        <is>
          <t>Worst KDR</t>
        </is>
      </c>
      <c r="AO9" s="222">
        <f>MIN(J19:J22)</f>
        <v/>
      </c>
      <c r="AP9" s="224">
        <f>$G$96</f>
        <v/>
      </c>
      <c r="AQ9" s="220">
        <f>COUNTIF(J19:J22,AO9)</f>
        <v/>
      </c>
    </row>
    <row r="10" ht="14.25" customHeight="1" s="175">
      <c r="A10" s="267" t="inlineStr">
        <is>
          <t>Carter</t>
        </is>
      </c>
      <c r="B10" s="268" t="n">
        <v>1</v>
      </c>
      <c r="C10" s="269" t="inlineStr">
        <is>
          <t>David</t>
        </is>
      </c>
      <c r="D10" s="192" t="inlineStr">
        <is>
          <t>https://discord.com/channels/191975109500731392/1212839710439776287/1329116512476205076</t>
        </is>
      </c>
      <c r="F10" s="192" t="n"/>
      <c r="G10" s="208" t="inlineStr">
        <is>
          <t>Anthony</t>
        </is>
      </c>
      <c r="H10" s="209">
        <f>COUNTIF($A:$A,G10)</f>
        <v/>
      </c>
      <c r="I10" s="209">
        <f>COUNTIF($C:$C,G10)</f>
        <v/>
      </c>
      <c r="J10" s="210">
        <f>IF(I10,H10/I10,H10)</f>
        <v/>
      </c>
      <c r="K10" s="209">
        <f>IFERROR(GETPIVOTDATA("Points",$R$2,"Sniper",G10),0)</f>
        <v/>
      </c>
      <c r="L10" s="209">
        <f>IFERROR(GETPIVOTDATA("Points",$R$2,"Snipee",G10),0)</f>
        <v/>
      </c>
      <c r="M10" s="299">
        <f>IF(L10,K10/L10,K10)</f>
        <v/>
      </c>
      <c r="N10" s="210">
        <f>IF(H10,K10/H10,0)</f>
        <v/>
      </c>
      <c r="O10" s="210">
        <f>IF(I10,L10/I10,0)</f>
        <v/>
      </c>
      <c r="P10" s="300">
        <f>IFERROR(VLOOKUP(G10,R:AG,16,FALSE())/12,0)</f>
        <v/>
      </c>
      <c r="Q10" s="182" t="n"/>
      <c r="R10" s="304" t="inlineStr">
        <is>
          <t>Evan</t>
        </is>
      </c>
      <c r="S10" s="278" t="n">
        <v>5</v>
      </c>
      <c r="T10" s="279" t="n"/>
      <c r="U10" s="279" t="n"/>
      <c r="V10" s="279" t="n">
        <v>7</v>
      </c>
      <c r="W10" s="279" t="n"/>
      <c r="X10" s="279" t="n">
        <v>26</v>
      </c>
      <c r="Y10" s="279" t="n"/>
      <c r="Z10" s="279" t="n">
        <v>7</v>
      </c>
      <c r="AA10" s="279" t="n"/>
      <c r="AB10" s="279" t="n">
        <v>17</v>
      </c>
      <c r="AC10" s="280" t="n"/>
      <c r="AD10" s="281" t="n">
        <v>62</v>
      </c>
      <c r="AF10" s="309" t="n"/>
      <c r="AG10" s="202">
        <f>IF(COUNT(S10:AF10)&lt;&gt;0,COUNT(S10:AF10)-1,"")</f>
        <v/>
      </c>
      <c r="AK10" s="220">
        <f>COUNTIF(M3:M13,AM10)</f>
        <v/>
      </c>
      <c r="AL10" s="225">
        <f>$Q$58</f>
        <v/>
      </c>
      <c r="AM10" s="222">
        <f>maxine(M3:M13)</f>
        <v/>
      </c>
      <c r="AN10" s="216" t="inlineStr">
        <is>
          <t>Best KpDpR</t>
        </is>
      </c>
      <c r="AO10" s="222">
        <f>maxine(M19:M22)</f>
        <v/>
      </c>
      <c r="AP10" s="224">
        <f>$Q$99</f>
        <v/>
      </c>
      <c r="AQ10" s="220">
        <f>COUNTIF(M19:M22,AO10)</f>
        <v/>
      </c>
    </row>
    <row r="11" ht="14.25" customHeight="1" s="175">
      <c r="A11" s="267" t="inlineStr">
        <is>
          <t>Evan</t>
        </is>
      </c>
      <c r="B11" s="268" t="n">
        <v>1</v>
      </c>
      <c r="C11" s="269" t="inlineStr">
        <is>
          <t>Maxine</t>
        </is>
      </c>
      <c r="D11" s="192" t="inlineStr">
        <is>
          <t>https://discord.com/channels/191975109500731392/1212839710439776287/1329131165818290278</t>
        </is>
      </c>
      <c r="E11" s="173" t="n"/>
      <c r="F11" s="207" t="n"/>
      <c r="G11" s="208" t="inlineStr">
        <is>
          <t>Ethan</t>
        </is>
      </c>
      <c r="H11" s="209">
        <f>COUNTIF($A:$A,G11)</f>
        <v/>
      </c>
      <c r="I11" s="209">
        <f>COUNTIF($C:$C,G11)</f>
        <v/>
      </c>
      <c r="J11" s="210">
        <f>IF(I11,H11/I11,H11)</f>
        <v/>
      </c>
      <c r="K11" s="209">
        <f>IFERROR(GETPIVOTDATA("Points",$R$2,"Sniper",G11),0)</f>
        <v/>
      </c>
      <c r="L11" s="209">
        <f>IFERROR(GETPIVOTDATA("Points",$R$2,"Snipee",G11),0)</f>
        <v/>
      </c>
      <c r="M11" s="299">
        <f>IF(L11,K11/L11,K11)</f>
        <v/>
      </c>
      <c r="N11" s="210">
        <f>IF(H11,K11/H11,0)</f>
        <v/>
      </c>
      <c r="O11" s="210">
        <f>IF(I11,L11/I11,0)</f>
        <v/>
      </c>
      <c r="P11" s="300">
        <f>IFERROR(VLOOKUP(G11,R:AG,16,FALSE())/12,0)</f>
        <v/>
      </c>
      <c r="Q11" s="182" t="n"/>
      <c r="R11" s="304" t="inlineStr">
        <is>
          <t>Grady</t>
        </is>
      </c>
      <c r="S11" s="278" t="n">
        <v>5</v>
      </c>
      <c r="T11" s="279" t="n">
        <v>2</v>
      </c>
      <c r="U11" s="279" t="n">
        <v>19</v>
      </c>
      <c r="V11" s="279" t="n">
        <v>4</v>
      </c>
      <c r="W11" s="279" t="n"/>
      <c r="X11" s="279" t="n">
        <v>5</v>
      </c>
      <c r="Y11" s="279" t="n">
        <v>7</v>
      </c>
      <c r="Z11" s="279" t="n"/>
      <c r="AA11" s="279" t="n"/>
      <c r="AB11" s="279" t="n">
        <v>12</v>
      </c>
      <c r="AC11" s="280" t="n">
        <v>2</v>
      </c>
      <c r="AD11" s="281" t="n">
        <v>56</v>
      </c>
      <c r="AF11" s="309" t="n"/>
      <c r="AG11" s="202">
        <f>IF(COUNT(S11:AF11)&lt;&gt;0,COUNT(S11:AF11)-1,"")</f>
        <v/>
      </c>
      <c r="AK11" s="220">
        <f>COUNTIF(M3:M13,AM11)</f>
        <v/>
      </c>
      <c r="AL11" s="225">
        <f>$Q$69</f>
        <v/>
      </c>
      <c r="AM11" s="222">
        <f>MIN(M3:M13)</f>
        <v/>
      </c>
      <c r="AN11" s="216" t="inlineStr">
        <is>
          <t>Worst KpDpR</t>
        </is>
      </c>
      <c r="AO11" s="222">
        <f>MIN(M19:M22)</f>
        <v/>
      </c>
      <c r="AP11" s="224">
        <f>$Q$96</f>
        <v/>
      </c>
      <c r="AQ11" s="220">
        <f>COUNTIF(M19:M22,AO11)</f>
        <v/>
      </c>
    </row>
    <row r="12" ht="14.25" customHeight="1" s="175">
      <c r="A12" s="267" t="inlineStr">
        <is>
          <t>Maxine</t>
        </is>
      </c>
      <c r="B12" s="268" t="n">
        <v>1</v>
      </c>
      <c r="C12" s="269" t="inlineStr">
        <is>
          <t>Evan</t>
        </is>
      </c>
      <c r="D12" s="192" t="inlineStr">
        <is>
          <t>https://discord.com/channels/191975109500731392/1212839710439776287/1329131257900306494</t>
        </is>
      </c>
      <c r="F12" s="207" t="n"/>
      <c r="G12" s="208" t="inlineStr">
        <is>
          <t>Erick</t>
        </is>
      </c>
      <c r="H12" s="209">
        <f>COUNTIF($A:$A,G12)</f>
        <v/>
      </c>
      <c r="I12" s="209">
        <f>COUNTIF($C:$C,G12)</f>
        <v/>
      </c>
      <c r="J12" s="210">
        <f>IF(I12,H12/I12,H12)</f>
        <v/>
      </c>
      <c r="K12" s="209">
        <f>IFERROR(GETPIVOTDATA("Points",$R$2,"Sniper",G12),0)</f>
        <v/>
      </c>
      <c r="L12" s="209">
        <f>IFERROR(GETPIVOTDATA("Points",$R$2,"Snipee",G12),0)</f>
        <v/>
      </c>
      <c r="M12" s="299">
        <f>IF(L12,K12/L12,K12)</f>
        <v/>
      </c>
      <c r="N12" s="210">
        <f>IF(H12,K12/H12,0)</f>
        <v/>
      </c>
      <c r="O12" s="210">
        <f>IF(I12,L12/I12,0)</f>
        <v/>
      </c>
      <c r="P12" s="300">
        <f>IFERROR(VLOOKUP(G12,R:AG,16,FALSE())/12,0)</f>
        <v/>
      </c>
      <c r="Q12" s="182" t="n"/>
      <c r="R12" s="304" t="inlineStr">
        <is>
          <t>Joey</t>
        </is>
      </c>
      <c r="S12" s="278" t="n"/>
      <c r="T12" s="279" t="n"/>
      <c r="U12" s="279" t="n"/>
      <c r="V12" s="279" t="n"/>
      <c r="W12" s="279" t="n"/>
      <c r="X12" s="279" t="n">
        <v>2</v>
      </c>
      <c r="Y12" s="279" t="n"/>
      <c r="Z12" s="279" t="n"/>
      <c r="AA12" s="279" t="n"/>
      <c r="AB12" s="279" t="n"/>
      <c r="AC12" s="280" t="n"/>
      <c r="AD12" s="281" t="n">
        <v>2</v>
      </c>
      <c r="AF12" s="309" t="n"/>
      <c r="AG12" s="202">
        <f>IF(COUNT(S12:AF12)&lt;&gt;0,COUNT(S12:AF12)-1,"")</f>
        <v/>
      </c>
    </row>
    <row r="13" ht="14.25" customHeight="1" s="175">
      <c r="A13" s="267" t="inlineStr">
        <is>
          <t>Evan</t>
        </is>
      </c>
      <c r="B13" s="268" t="n">
        <v>1</v>
      </c>
      <c r="C13" s="269" t="inlineStr">
        <is>
          <t>Ethan</t>
        </is>
      </c>
      <c r="D13" s="192" t="inlineStr">
        <is>
          <t>https://discord.com/channels/191975109500731392/1212839710439776287/1329131398652629064</t>
        </is>
      </c>
      <c r="F13" s="207" t="n"/>
      <c r="G13" s="208" t="inlineStr">
        <is>
          <t>Joey</t>
        </is>
      </c>
      <c r="H13" s="209">
        <f>COUNTIF($A:$A,G13)</f>
        <v/>
      </c>
      <c r="I13" s="209">
        <f>COUNTIF($C:$C,G13)</f>
        <v/>
      </c>
      <c r="J13" s="210">
        <f>IF(I13,H13/I13,H13)</f>
        <v/>
      </c>
      <c r="K13" s="209">
        <f>IFERROR(GETPIVOTDATA("Points",$R$2,"Sniper",G13),0)</f>
        <v/>
      </c>
      <c r="L13" s="209">
        <f>IFERROR(GETPIVOTDATA("Points",$R$2,"Snipee",G13),0)</f>
        <v/>
      </c>
      <c r="M13" s="299">
        <f>IF(L13,K13/L13,K13)</f>
        <v/>
      </c>
      <c r="N13" s="210">
        <f>IF(H13,K13/H13,0)</f>
        <v/>
      </c>
      <c r="O13" s="210">
        <f>IF(I13,L13/I13,0)</f>
        <v/>
      </c>
      <c r="P13" s="300">
        <f>IFERROR(VLOOKUP(G13,R:AG,16,FALSE())/12,0)</f>
        <v/>
      </c>
      <c r="Q13" s="182" t="n"/>
      <c r="R13" s="304" t="inlineStr">
        <is>
          <t>Tyler</t>
        </is>
      </c>
      <c r="S13" s="282" t="n"/>
      <c r="T13" s="283" t="n"/>
      <c r="U13" s="283" t="n"/>
      <c r="V13" s="283" t="n"/>
      <c r="W13" s="283" t="n"/>
      <c r="X13" s="283" t="n"/>
      <c r="Y13" s="283" t="n">
        <v>2</v>
      </c>
      <c r="Z13" s="283" t="n">
        <v>2</v>
      </c>
      <c r="AA13" s="283" t="n"/>
      <c r="AB13" s="283" t="n"/>
      <c r="AC13" s="284" t="n"/>
      <c r="AD13" s="285" t="n">
        <v>4</v>
      </c>
      <c r="AF13" s="309" t="n"/>
      <c r="AG13" s="202">
        <f>IF(COUNT(S13:AF13)&lt;&gt;0,COUNT(S13:AF13)-1,"")</f>
        <v/>
      </c>
      <c r="AI13" s="179" t="inlineStr">
        <is>
          <t>Overall Winner Chart Decision Matrix</t>
        </is>
      </c>
      <c r="AJ13" s="180" t="n"/>
      <c r="AK13" s="180" t="n"/>
      <c r="AL13" s="180" t="n"/>
      <c r="AM13" s="180" t="n"/>
      <c r="AN13" s="180" t="n"/>
      <c r="AO13" s="180" t="n"/>
      <c r="AP13" s="180" t="n"/>
      <c r="AQ13" s="180" t="n"/>
      <c r="AR13" s="181" t="n"/>
    </row>
    <row r="14" ht="14.25" customHeight="1" s="175">
      <c r="A14" s="267" t="inlineStr">
        <is>
          <t>Ethan</t>
        </is>
      </c>
      <c r="B14" s="268" t="n">
        <v>1</v>
      </c>
      <c r="C14" s="269" t="inlineStr">
        <is>
          <t>Evan</t>
        </is>
      </c>
      <c r="D14" s="192" t="inlineStr">
        <is>
          <t>https://discord.com/channels/191975109500731392/1212839710439776287/1329131490126336062</t>
        </is>
      </c>
      <c r="F14" s="207" t="n"/>
      <c r="G14" s="208" t="inlineStr">
        <is>
          <t>Reuben</t>
        </is>
      </c>
      <c r="H14" s="209">
        <f>COUNTIF($A:$A,G14)</f>
        <v/>
      </c>
      <c r="I14" s="209">
        <f>COUNTIF($C:$C,G14)</f>
        <v/>
      </c>
      <c r="J14" s="210">
        <f>IF(I14,H14/I14,H14)</f>
        <v/>
      </c>
      <c r="K14" s="209">
        <f>IFERROR(GETPIVOTDATA("Points",$R$2,"Sniper",G14),0)</f>
        <v/>
      </c>
      <c r="L14" s="209">
        <f>IFERROR(GETPIVOTDATA("Points",$R$2,"Snipee",G14),0)</f>
        <v/>
      </c>
      <c r="M14" s="299">
        <f>IF(L14,K14/L14,K14)</f>
        <v/>
      </c>
      <c r="N14" s="210">
        <f>IF(H14,K14/H14,0)</f>
        <v/>
      </c>
      <c r="O14" s="210">
        <f>IF(I14,L14/I14,0)</f>
        <v/>
      </c>
      <c r="P14" s="300">
        <f>IFERROR(VLOOKUP(G14,R:AG,16,FALSE())/12,0)</f>
        <v/>
      </c>
      <c r="Q14" s="182" t="n"/>
      <c r="R14" s="237" t="inlineStr">
        <is>
          <t>Total Result</t>
        </is>
      </c>
      <c r="S14" s="286" t="n">
        <v>15</v>
      </c>
      <c r="T14" s="287" t="n">
        <v>33</v>
      </c>
      <c r="U14" s="287" t="n">
        <v>22</v>
      </c>
      <c r="V14" s="287" t="n">
        <v>48</v>
      </c>
      <c r="W14" s="287" t="n">
        <v>1</v>
      </c>
      <c r="X14" s="287" t="n">
        <v>53</v>
      </c>
      <c r="Y14" s="287" t="n">
        <v>87</v>
      </c>
      <c r="Z14" s="287" t="n">
        <v>34</v>
      </c>
      <c r="AA14" s="287" t="n">
        <v>1</v>
      </c>
      <c r="AB14" s="287" t="n">
        <v>77</v>
      </c>
      <c r="AC14" s="288" t="n">
        <v>2</v>
      </c>
      <c r="AD14" s="239" t="n">
        <v>373</v>
      </c>
      <c r="AF14" s="309" t="n"/>
      <c r="AG14" s="202">
        <f>IF(COUNT(S14:AF14)&lt;&gt;0,COUNT(S14:AF14)-1,"")</f>
        <v/>
      </c>
      <c r="AI14" s="226" t="inlineStr">
        <is>
          <t>Person:</t>
        </is>
      </c>
      <c r="AJ14" s="206" t="inlineStr">
        <is>
          <t>Kills</t>
        </is>
      </c>
      <c r="AK14" s="206" t="inlineStr">
        <is>
          <t>Deaths</t>
        </is>
      </c>
      <c r="AL14" s="206" t="inlineStr">
        <is>
          <t>KDR</t>
        </is>
      </c>
      <c r="AM14" s="206" t="inlineStr">
        <is>
          <t>Kill Points</t>
        </is>
      </c>
      <c r="AN14" s="206" t="inlineStr">
        <is>
          <t>Death Points</t>
        </is>
      </c>
      <c r="AO14" s="206" t="inlineStr">
        <is>
          <t>KpDpR</t>
        </is>
      </c>
      <c r="AP14" s="206" t="inlineStr">
        <is>
          <t>KPts/Kill</t>
        </is>
      </c>
      <c r="AQ14" s="206" t="inlineStr">
        <is>
          <t>DPts/Death</t>
        </is>
      </c>
      <c r="AR14" s="227" t="inlineStr">
        <is>
          <t>Full Sweep %</t>
        </is>
      </c>
    </row>
    <row r="15" ht="14.25" customHeight="1" s="175">
      <c r="A15" s="267" t="inlineStr">
        <is>
          <t>Ethan</t>
        </is>
      </c>
      <c r="B15" s="268" t="n">
        <v>2</v>
      </c>
      <c r="C15" s="269" t="inlineStr">
        <is>
          <t>Reuben</t>
        </is>
      </c>
      <c r="D15" s="192" t="inlineStr">
        <is>
          <t>https://discord.com/channels/191975109500731392/1212839710439776287/1329151146488762451</t>
        </is>
      </c>
      <c r="F15" s="207" t="n"/>
      <c r="Q15" s="182" t="n"/>
      <c r="AF15" s="309" t="n"/>
      <c r="AG15" s="202">
        <f>IF(COUNT(S15:AF15)&lt;&gt;0,COUNT(S15:AF15)-1,"")</f>
        <v/>
      </c>
      <c r="AI15" s="228" t="inlineStr">
        <is>
          <t>Weight:</t>
        </is>
      </c>
      <c r="AJ15" s="229" t="n">
        <v>7.5</v>
      </c>
      <c r="AK15" s="230" t="n">
        <v>-6</v>
      </c>
      <c r="AL15" s="230" t="n">
        <v>25</v>
      </c>
      <c r="AM15" s="230" t="n">
        <v>8.5</v>
      </c>
      <c r="AN15" s="230" t="n">
        <v>-6.5</v>
      </c>
      <c r="AO15" s="230" t="n">
        <v>25</v>
      </c>
      <c r="AP15" s="230" t="n">
        <v>20</v>
      </c>
      <c r="AQ15" s="230" t="n">
        <v>-20</v>
      </c>
      <c r="AR15" s="231" t="n">
        <v>250</v>
      </c>
      <c r="AS15" s="216" t="inlineStr">
        <is>
          <t>Totals:</t>
        </is>
      </c>
    </row>
    <row r="16" ht="14.25" customHeight="1" s="175">
      <c r="A16" s="267" t="inlineStr">
        <is>
          <t>Anthony</t>
        </is>
      </c>
      <c r="B16" s="268" t="n">
        <v>1</v>
      </c>
      <c r="C16" s="269" t="inlineStr">
        <is>
          <t>Grady</t>
        </is>
      </c>
      <c r="D16" s="192" t="inlineStr">
        <is>
          <t>https://discord.com/channels/191975109500731392/1212839710439776287/1329161563461910689</t>
        </is>
      </c>
      <c r="F16" s="207" t="n"/>
      <c r="Q16" s="232" t="n"/>
      <c r="AI16" s="305" t="inlineStr">
        <is>
          <t>Carter</t>
        </is>
      </c>
      <c r="AJ16" s="209">
        <f>H3*$AJ$15</f>
        <v/>
      </c>
      <c r="AK16" s="233">
        <f>I3*$AK$15</f>
        <v/>
      </c>
      <c r="AL16" s="234">
        <f>J3*$AL$15</f>
        <v/>
      </c>
      <c r="AM16" s="306">
        <f>K3*$AM$15</f>
        <v/>
      </c>
      <c r="AN16" s="306">
        <f>L3*$AN$15</f>
        <v/>
      </c>
      <c r="AO16" s="307">
        <f>M3*$AO$15</f>
        <v/>
      </c>
      <c r="AP16" s="234">
        <f>N3*$AP$15</f>
        <v/>
      </c>
      <c r="AQ16" s="234">
        <f>O3*$AQ$15</f>
        <v/>
      </c>
      <c r="AR16" s="308">
        <f>P3*$AR$15</f>
        <v/>
      </c>
      <c r="AS16" s="236">
        <f>SUM(AJ16:AR16)</f>
        <v/>
      </c>
    </row>
    <row r="17" ht="14.25" customHeight="1" s="175">
      <c r="A17" s="267" t="inlineStr">
        <is>
          <t>Grady</t>
        </is>
      </c>
      <c r="B17" s="268" t="n">
        <v>1</v>
      </c>
      <c r="C17" s="269" t="inlineStr">
        <is>
          <t>Anthony</t>
        </is>
      </c>
      <c r="D17" s="192" t="inlineStr">
        <is>
          <t>https://discord.com/channels/191975109500731392/1212839710439776287/1329161651131383898</t>
        </is>
      </c>
      <c r="F17" s="207" t="n"/>
      <c r="G17" s="179" t="inlineStr">
        <is>
          <t>Data By Voice Part (average/person):</t>
        </is>
      </c>
      <c r="H17" s="180" t="n"/>
      <c r="I17" s="180" t="n"/>
      <c r="J17" s="180" t="n"/>
      <c r="K17" s="180" t="n"/>
      <c r="L17" s="180" t="n"/>
      <c r="M17" s="180" t="n"/>
      <c r="N17" s="180" t="n"/>
      <c r="O17" s="181" t="n"/>
      <c r="AF17" s="240" t="n"/>
      <c r="AG17" s="240">
        <f>IF(COUNT(S17:AE17)&lt;&gt;0,COUNT(S17:AE17)-1,"")</f>
        <v/>
      </c>
      <c r="AI17" s="208" t="inlineStr">
        <is>
          <t>Grady</t>
        </is>
      </c>
      <c r="AJ17" s="209">
        <f>H4*$AJ$15</f>
        <v/>
      </c>
      <c r="AK17" s="233">
        <f>I4*$AK$15</f>
        <v/>
      </c>
      <c r="AL17" s="234">
        <f>J4*$AL$15</f>
        <v/>
      </c>
      <c r="AM17" s="306">
        <f>K4*$AM$15</f>
        <v/>
      </c>
      <c r="AN17" s="306">
        <f>L4*$AN$15</f>
        <v/>
      </c>
      <c r="AO17" s="307">
        <f>M4*$AO$15</f>
        <v/>
      </c>
      <c r="AP17" s="234">
        <f>N4*$AP$15</f>
        <v/>
      </c>
      <c r="AQ17" s="234">
        <f>O4*$AQ$15</f>
        <v/>
      </c>
      <c r="AR17" s="308">
        <f>P4*$AR$15</f>
        <v/>
      </c>
      <c r="AS17" s="236">
        <f>SUM(AJ17:AR17)</f>
        <v/>
      </c>
    </row>
    <row r="18" ht="14.25" customHeight="1" s="175">
      <c r="A18" s="267" t="inlineStr">
        <is>
          <t>Grady</t>
        </is>
      </c>
      <c r="B18" s="268" t="n">
        <v>2</v>
      </c>
      <c r="C18" s="269" t="inlineStr">
        <is>
          <t>Evan</t>
        </is>
      </c>
      <c r="D18" s="192" t="inlineStr">
        <is>
          <t>https://discord.com/channels/191975109500731392/1212839710439776287/1329181717759791157</t>
        </is>
      </c>
      <c r="F18" s="207" t="n"/>
      <c r="G18" s="226" t="inlineStr">
        <is>
          <t>Part:</t>
        </is>
      </c>
      <c r="H18" s="206" t="inlineStr">
        <is>
          <t>Kills</t>
        </is>
      </c>
      <c r="I18" s="206" t="inlineStr">
        <is>
          <t>Deaths</t>
        </is>
      </c>
      <c r="J18" s="206" t="inlineStr">
        <is>
          <t>KDR</t>
        </is>
      </c>
      <c r="K18" s="206" t="inlineStr">
        <is>
          <t>Kill Points</t>
        </is>
      </c>
      <c r="L18" s="206" t="inlineStr">
        <is>
          <t>Death Points</t>
        </is>
      </c>
      <c r="M18" s="206" t="inlineStr">
        <is>
          <t>KpDpR</t>
        </is>
      </c>
      <c r="N18" s="196" t="inlineStr">
        <is>
          <t>KPts/Kill</t>
        </is>
      </c>
      <c r="O18" s="206" t="inlineStr">
        <is>
          <t>DPts/Death</t>
        </is>
      </c>
      <c r="U18" s="240" t="n"/>
      <c r="V18" s="240" t="n"/>
      <c r="W18" s="240" t="n"/>
      <c r="X18" s="240" t="n"/>
      <c r="Y18" s="240" t="n"/>
      <c r="Z18" s="240" t="n"/>
      <c r="AA18" s="240" t="n"/>
      <c r="AB18" s="240" t="n"/>
      <c r="AC18" s="240" t="n"/>
      <c r="AD18" s="240" t="n"/>
      <c r="AE18" s="240" t="n"/>
      <c r="AF18" s="240" t="n"/>
      <c r="AG18" s="240">
        <f>IF(COUNT(S18:AE18)&lt;&gt;0,COUNT(S18:AE18)-1,"")</f>
        <v/>
      </c>
      <c r="AI18" s="208" t="inlineStr">
        <is>
          <t>Cooper</t>
        </is>
      </c>
      <c r="AJ18" s="209">
        <f>H5*$AJ$15</f>
        <v/>
      </c>
      <c r="AK18" s="233">
        <f>I5*$AK$15</f>
        <v/>
      </c>
      <c r="AL18" s="234">
        <f>J5*$AL$15</f>
        <v/>
      </c>
      <c r="AM18" s="306">
        <f>K5*$AM$15</f>
        <v/>
      </c>
      <c r="AN18" s="306">
        <f>L5*$AN$15</f>
        <v/>
      </c>
      <c r="AO18" s="307">
        <f>M5*$AO$15</f>
        <v/>
      </c>
      <c r="AP18" s="234">
        <f>N5*$AP$15</f>
        <v/>
      </c>
      <c r="AQ18" s="234">
        <f>O5*$AQ$15</f>
        <v/>
      </c>
      <c r="AR18" s="308">
        <f>P5*$AR$15</f>
        <v/>
      </c>
      <c r="AS18" s="236">
        <f>SUM(AJ18:AR18)</f>
        <v/>
      </c>
    </row>
    <row r="19" ht="14.25" customHeight="1" s="175">
      <c r="A19" s="267" t="inlineStr">
        <is>
          <t>Evan</t>
        </is>
      </c>
      <c r="B19" s="268" t="n">
        <v>1</v>
      </c>
      <c r="C19" s="269" t="inlineStr">
        <is>
          <t>Grady</t>
        </is>
      </c>
      <c r="D19" s="192" t="inlineStr">
        <is>
          <t>https://discord.com/channels/191975109500731392/1212839710439776287/1329181858163982406</t>
        </is>
      </c>
      <c r="F19" s="207" t="n"/>
      <c r="G19" s="208" t="inlineStr">
        <is>
          <t>Tenors</t>
        </is>
      </c>
      <c r="H19" s="241">
        <f>SUM(H3:H4)/COUNT(H3:H4)</f>
        <v/>
      </c>
      <c r="I19" s="241">
        <f>SUM(I3:I4)/COUNT(I3:I4)</f>
        <v/>
      </c>
      <c r="J19" s="242">
        <f>IF(I19,H19/I19,H19)</f>
        <v/>
      </c>
      <c r="K19" s="241">
        <f>SUM(K3:K4)/COUNT(K3:K4)</f>
        <v/>
      </c>
      <c r="L19" s="241">
        <f>SUM(L3:L4)/COUNT(L3:L4)</f>
        <v/>
      </c>
      <c r="M19" s="242">
        <f>IF(L19,K19/L19,K19)</f>
        <v/>
      </c>
      <c r="N19" s="243">
        <f>IF(H19,K19/H19,0)</f>
        <v/>
      </c>
      <c r="O19" s="244">
        <f>IF(I19,L19/I19,0)</f>
        <v/>
      </c>
      <c r="U19" s="240" t="n"/>
      <c r="V19" s="240" t="n"/>
      <c r="W19" s="240" t="n"/>
      <c r="X19" s="240" t="n"/>
      <c r="Y19" s="240" t="n"/>
      <c r="Z19" s="240" t="n"/>
      <c r="AA19" s="240" t="n"/>
      <c r="AB19" s="240" t="n"/>
      <c r="AC19" s="240" t="n"/>
      <c r="AD19" s="240" t="n"/>
      <c r="AE19" s="240" t="n"/>
      <c r="AF19" s="240" t="n"/>
      <c r="AG19" s="240">
        <f>IF(COUNT(S19:AE19)&lt;&gt;0,COUNT(S19:AE19)-1,"")</f>
        <v/>
      </c>
      <c r="AI19" s="208" t="inlineStr">
        <is>
          <t>Maxine</t>
        </is>
      </c>
      <c r="AJ19" s="209">
        <f>H6*$AJ$15</f>
        <v/>
      </c>
      <c r="AK19" s="233">
        <f>I6*$AK$15</f>
        <v/>
      </c>
      <c r="AL19" s="234">
        <f>J6*$AL$15</f>
        <v/>
      </c>
      <c r="AM19" s="306">
        <f>K6*$AM$15</f>
        <v/>
      </c>
      <c r="AN19" s="306">
        <f>L6*$AN$15</f>
        <v/>
      </c>
      <c r="AO19" s="307">
        <f>M6*$AO$15</f>
        <v/>
      </c>
      <c r="AP19" s="234">
        <f>N6*$AP$15</f>
        <v/>
      </c>
      <c r="AQ19" s="234">
        <f>O6*$AQ$15</f>
        <v/>
      </c>
      <c r="AR19" s="308">
        <f>P6*$AR$15</f>
        <v/>
      </c>
      <c r="AS19" s="236">
        <f>SUM(AJ19:AR19)</f>
        <v/>
      </c>
    </row>
    <row r="20" ht="14.25" customHeight="1" s="175">
      <c r="A20" s="267" t="inlineStr">
        <is>
          <t>David</t>
        </is>
      </c>
      <c r="B20" s="268" t="n">
        <v>2</v>
      </c>
      <c r="C20" s="269" t="inlineStr">
        <is>
          <t>Grady</t>
        </is>
      </c>
      <c r="D20" s="192" t="inlineStr">
        <is>
          <t>https://discord.com/channels/191975109500731392/1212839710439776287/1329182904450027561</t>
        </is>
      </c>
      <c r="F20" s="207" t="n"/>
      <c r="G20" s="208" t="inlineStr">
        <is>
          <t>Leads</t>
        </is>
      </c>
      <c r="H20" s="241">
        <f>SUM(H5:H8)/COUNT(H5:H8)</f>
        <v/>
      </c>
      <c r="I20" s="241">
        <f>SUM(I5:I8)/COUNT(I5:I8)</f>
        <v/>
      </c>
      <c r="J20" s="242">
        <f>IF(I20,H20/I20,H20)</f>
        <v/>
      </c>
      <c r="K20" s="241">
        <f>SUM(K5:K8)/COUNT(K5:K8)</f>
        <v/>
      </c>
      <c r="L20" s="241">
        <f>SUM(L5:L8)/COUNT(L5:L8)</f>
        <v/>
      </c>
      <c r="M20" s="242">
        <f>IF(L20,K20/L20,K20)</f>
        <v/>
      </c>
      <c r="N20" s="243">
        <f>IF(H20,K20/H20,0)</f>
        <v/>
      </c>
      <c r="O20" s="244">
        <f>IF(I20,L20/I20,0)</f>
        <v/>
      </c>
      <c r="S20" s="240" t="n"/>
      <c r="T20" s="240" t="n"/>
      <c r="U20" s="240" t="n"/>
      <c r="V20" s="240" t="n"/>
      <c r="W20" s="240" t="n"/>
      <c r="X20" s="240" t="n"/>
      <c r="Y20" s="240" t="n"/>
      <c r="Z20" s="240" t="n"/>
      <c r="AA20" s="240" t="n"/>
      <c r="AB20" s="240" t="n"/>
      <c r="AC20" s="240" t="n"/>
      <c r="AD20" s="240" t="n"/>
      <c r="AE20" s="240" t="n"/>
      <c r="AF20" s="240" t="n"/>
      <c r="AG20" s="240">
        <f>IF(COUNT(S20:AE20)&lt;&gt;0,COUNT(S20:AE20)-1,"")</f>
        <v/>
      </c>
      <c r="AI20" s="208" t="inlineStr">
        <is>
          <t>David</t>
        </is>
      </c>
      <c r="AJ20" s="209">
        <f>H7*$AJ$15</f>
        <v/>
      </c>
      <c r="AK20" s="233">
        <f>I7*$AK$15</f>
        <v/>
      </c>
      <c r="AL20" s="234">
        <f>J7*$AL$15</f>
        <v/>
      </c>
      <c r="AM20" s="306">
        <f>K7*$AM$15</f>
        <v/>
      </c>
      <c r="AN20" s="306">
        <f>L7*$AN$15</f>
        <v/>
      </c>
      <c r="AO20" s="307">
        <f>M7*$AO$15</f>
        <v/>
      </c>
      <c r="AP20" s="234">
        <f>N7*$AP$15</f>
        <v/>
      </c>
      <c r="AQ20" s="234">
        <f>O7*$AQ$15</f>
        <v/>
      </c>
      <c r="AR20" s="308">
        <f>P7*$AR$15</f>
        <v/>
      </c>
      <c r="AS20" s="236">
        <f>SUM(AJ20:AR20)</f>
        <v/>
      </c>
    </row>
    <row r="21" ht="14.25" customHeight="1" s="175">
      <c r="A21" s="267" t="inlineStr">
        <is>
          <t>Evan</t>
        </is>
      </c>
      <c r="B21" s="268" t="n">
        <v>1</v>
      </c>
      <c r="C21" s="269" t="inlineStr">
        <is>
          <t>David</t>
        </is>
      </c>
      <c r="D21" s="192" t="inlineStr">
        <is>
          <t>https://discord.com/channels/191975109500731392/1212839710439776287/1329182932362858589</t>
        </is>
      </c>
      <c r="E21" s="173" t="n"/>
      <c r="F21" s="207" t="n"/>
      <c r="G21" s="208" t="inlineStr">
        <is>
          <t>Baris</t>
        </is>
      </c>
      <c r="H21" s="241">
        <f>SUM(H9:H11)/COUNT(H9:H11)</f>
        <v/>
      </c>
      <c r="I21" s="241">
        <f>SUM(I9:I11)/COUNT(I9:I11)</f>
        <v/>
      </c>
      <c r="J21" s="242">
        <f>IF(I21,H21/I21,H21)</f>
        <v/>
      </c>
      <c r="K21" s="241">
        <f>SUM(K9:K11)/COUNT(K9:K11)</f>
        <v/>
      </c>
      <c r="L21" s="241">
        <f>SUM(L9:L11)/COUNT(L9:L11)</f>
        <v/>
      </c>
      <c r="M21" s="242">
        <f>IF(L21,K21/L21,K21)</f>
        <v/>
      </c>
      <c r="N21" s="243">
        <f>IF(H21,K21/H21,0)</f>
        <v/>
      </c>
      <c r="O21" s="244">
        <f>IF(I21,L21/I21,0)</f>
        <v/>
      </c>
      <c r="S21" s="240" t="n"/>
      <c r="T21" s="240" t="n"/>
      <c r="U21" s="240" t="n"/>
      <c r="V21" s="240" t="n"/>
      <c r="W21" s="240" t="n"/>
      <c r="X21" s="240" t="n"/>
      <c r="Y21" s="240" t="n"/>
      <c r="Z21" s="240" t="n"/>
      <c r="AA21" s="240" t="n"/>
      <c r="AB21" s="240" t="n"/>
      <c r="AC21" s="240" t="n"/>
      <c r="AD21" s="240" t="n"/>
      <c r="AE21" s="240" t="n"/>
      <c r="AF21" s="240" t="n"/>
      <c r="AG21" s="240">
        <f>IF(COUNT(S21:AE21)&lt;&gt;0,COUNT(S21:AE21)-1,"")</f>
        <v/>
      </c>
      <c r="AI21" s="208" t="inlineStr">
        <is>
          <t>Evan</t>
        </is>
      </c>
      <c r="AJ21" s="209">
        <f>H8*$AJ$15</f>
        <v/>
      </c>
      <c r="AK21" s="233">
        <f>I8*$AK$15</f>
        <v/>
      </c>
      <c r="AL21" s="234">
        <f>J8*$AL$15</f>
        <v/>
      </c>
      <c r="AM21" s="306">
        <f>K8*$AM$15</f>
        <v/>
      </c>
      <c r="AN21" s="306">
        <f>L8*$AN$15</f>
        <v/>
      </c>
      <c r="AO21" s="307">
        <f>M8*$AO$15</f>
        <v/>
      </c>
      <c r="AP21" s="234">
        <f>N8*$AP$15</f>
        <v/>
      </c>
      <c r="AQ21" s="234">
        <f>O8*$AQ$15</f>
        <v/>
      </c>
      <c r="AR21" s="308">
        <f>P8*$AR$15</f>
        <v/>
      </c>
      <c r="AS21" s="236">
        <f>SUM(AJ21:AR21)</f>
        <v/>
      </c>
    </row>
    <row r="22" ht="14.25" customHeight="1" s="175">
      <c r="A22" s="267" t="inlineStr">
        <is>
          <t>David</t>
        </is>
      </c>
      <c r="B22" s="268" t="n">
        <v>1</v>
      </c>
      <c r="C22" s="269" t="inlineStr">
        <is>
          <t>Evan</t>
        </is>
      </c>
      <c r="D22" s="192" t="inlineStr">
        <is>
          <t>https://discord.com/channels/191975109500731392/1212839710439776287/1329182941196189789</t>
        </is>
      </c>
      <c r="F22" s="192" t="n"/>
      <c r="G22" s="208" t="inlineStr">
        <is>
          <t>Basses</t>
        </is>
      </c>
      <c r="H22" s="241">
        <f>SUM(H12:H14)/COUNT(H12:H14)</f>
        <v/>
      </c>
      <c r="I22" s="241">
        <f>SUM(I12:I14)/COUNT(I12:I14)</f>
        <v/>
      </c>
      <c r="J22" s="242">
        <f>IF(I22,H22/I22,H22)</f>
        <v/>
      </c>
      <c r="K22" s="241">
        <f>SUM(K12:K14)/COUNT(K12:K14)</f>
        <v/>
      </c>
      <c r="L22" s="241">
        <f>SUM(L12:L14)/COUNT(L12:L14)</f>
        <v/>
      </c>
      <c r="M22" s="242">
        <f>IF(L22,K22/L22,K22)</f>
        <v/>
      </c>
      <c r="N22" s="243">
        <f>IF(H22,K22/H22,0)</f>
        <v/>
      </c>
      <c r="O22" s="244">
        <f>IF(I22,L22/I22,0)</f>
        <v/>
      </c>
      <c r="Q22" s="245" t="n"/>
      <c r="R22" s="289" t="inlineStr">
        <is>
          <t>Carter</t>
        </is>
      </c>
      <c r="S22" s="215" t="inlineStr">
        <is>
          <t>Total</t>
        </is>
      </c>
      <c r="T22" s="290" t="inlineStr">
        <is>
          <t>Yes</t>
        </is>
      </c>
      <c r="U22" s="291" t="inlineStr">
        <is>
          <t>No</t>
        </is>
      </c>
      <c r="V22" s="292" t="inlineStr">
        <is>
          <t>Ratio</t>
        </is>
      </c>
      <c r="AG22" s="240">
        <f>IF(COUNT(S22:AE22)&lt;&gt;0,COUNT(S22:AE22)-1,"")</f>
        <v/>
      </c>
      <c r="AI22" s="208" t="inlineStr">
        <is>
          <t>Tyler</t>
        </is>
      </c>
      <c r="AJ22" s="209">
        <f>H9*$AJ$15</f>
        <v/>
      </c>
      <c r="AK22" s="233">
        <f>I9*$AK$15</f>
        <v/>
      </c>
      <c r="AL22" s="234">
        <f>J9*$AL$15</f>
        <v/>
      </c>
      <c r="AM22" s="306">
        <f>K9*$AM$15</f>
        <v/>
      </c>
      <c r="AN22" s="306">
        <f>L9*$AN$15</f>
        <v/>
      </c>
      <c r="AO22" s="307">
        <f>M9*$AO$15</f>
        <v/>
      </c>
      <c r="AP22" s="234">
        <f>N9*$AP$15</f>
        <v/>
      </c>
      <c r="AQ22" s="234">
        <f>O9*$AQ$15</f>
        <v/>
      </c>
      <c r="AR22" s="308">
        <f>P9*$AR$15</f>
        <v/>
      </c>
      <c r="AS22" s="236">
        <f>SUM(AJ22:AR22)</f>
        <v/>
      </c>
    </row>
    <row r="23" ht="14.25" customHeight="1" s="175">
      <c r="A23" s="267" t="inlineStr">
        <is>
          <t>Grady</t>
        </is>
      </c>
      <c r="B23" s="268" t="n">
        <v>1</v>
      </c>
      <c r="C23" s="269" t="inlineStr">
        <is>
          <t>David</t>
        </is>
      </c>
      <c r="D23" s="192" t="inlineStr">
        <is>
          <t>https://discord.com/channels/191975109500731392/1212839710439776287/1329183050772381796</t>
        </is>
      </c>
      <c r="F23" s="207" t="n"/>
      <c r="G23" s="247" t="inlineStr">
        <is>
          <t>Basses (No Reuben)</t>
        </is>
      </c>
      <c r="H23" s="241">
        <f>SUM(H12:H13)/COUNT(H12:H13)</f>
        <v/>
      </c>
      <c r="I23" s="241">
        <f>SUM(I12:I13)/COUNT(I12:I13)</f>
        <v/>
      </c>
      <c r="J23" s="242">
        <f>IF(I23,H23/I23,H23)</f>
        <v/>
      </c>
      <c r="K23" s="241">
        <f>SUM(K12:K13)/COUNT(K12:K13)</f>
        <v/>
      </c>
      <c r="L23" s="241">
        <f>SUM(L12:L13)/COUNT(L12:L13)</f>
        <v/>
      </c>
      <c r="M23" s="242">
        <f>IF(L23,K23/L23,K23)</f>
        <v/>
      </c>
      <c r="N23" s="243">
        <f>IF(H23,K23/H23,0)</f>
        <v/>
      </c>
      <c r="O23" s="244">
        <f>IF(I23,L23/I23,0)</f>
        <v/>
      </c>
      <c r="Q23" s="245" t="n"/>
      <c r="R23" s="221" t="inlineStr">
        <is>
          <t>Asriel Data:</t>
        </is>
      </c>
      <c r="S23" s="215">
        <f>COUNT(E:E)</f>
        <v/>
      </c>
      <c r="T23" s="290">
        <f>COUNTIF(E:E,1)</f>
        <v/>
      </c>
      <c r="U23" s="291">
        <f>S23-T23</f>
        <v/>
      </c>
      <c r="V23" s="293">
        <f>IFERROR(T23/S23,0)</f>
        <v/>
      </c>
      <c r="AI23" s="208" t="inlineStr">
        <is>
          <t>Anthony</t>
        </is>
      </c>
      <c r="AJ23" s="209">
        <f>H10*$AJ$15</f>
        <v/>
      </c>
      <c r="AK23" s="233">
        <f>I10*$AK$15</f>
        <v/>
      </c>
      <c r="AL23" s="234">
        <f>J10*$AL$15</f>
        <v/>
      </c>
      <c r="AM23" s="306">
        <f>K10*$AM$15</f>
        <v/>
      </c>
      <c r="AN23" s="306">
        <f>L10*$AN$15</f>
        <v/>
      </c>
      <c r="AO23" s="307">
        <f>M10*$AO$15</f>
        <v/>
      </c>
      <c r="AP23" s="234">
        <f>N10*$AP$15</f>
        <v/>
      </c>
      <c r="AQ23" s="234">
        <f>O10*$AQ$15</f>
        <v/>
      </c>
      <c r="AR23" s="308">
        <f>P10*$AR$15</f>
        <v/>
      </c>
      <c r="AS23" s="236">
        <f>SUM(AJ23:AR23)</f>
        <v/>
      </c>
    </row>
    <row r="24" ht="14.25" customHeight="1" s="175">
      <c r="A24" s="267" t="inlineStr">
        <is>
          <t>Ethan</t>
        </is>
      </c>
      <c r="B24" s="268" t="n">
        <v>2</v>
      </c>
      <c r="C24" s="269" t="inlineStr">
        <is>
          <t>Reuben</t>
        </is>
      </c>
      <c r="D24" s="192" t="inlineStr">
        <is>
          <t>https://discord.com/channels/191975109500731392/1212839710439776287/1329246301044342805</t>
        </is>
      </c>
      <c r="F24" s="192" t="n"/>
      <c r="J24" s="246" t="n"/>
      <c r="K24" s="246" t="n"/>
      <c r="L24" s="246" t="n"/>
      <c r="M24" s="260" t="n"/>
      <c r="N24" s="260" t="n"/>
      <c r="O24" s="260" t="n"/>
      <c r="Q24" s="182" t="n"/>
      <c r="AD24" s="246" t="n"/>
      <c r="AI24" s="208" t="inlineStr">
        <is>
          <t>Ethan</t>
        </is>
      </c>
      <c r="AJ24" s="209">
        <f>H11*$AJ$15</f>
        <v/>
      </c>
      <c r="AK24" s="233">
        <f>I11*$AK$15</f>
        <v/>
      </c>
      <c r="AL24" s="234">
        <f>J11*$AL$15</f>
        <v/>
      </c>
      <c r="AM24" s="306">
        <f>K11*$AM$15</f>
        <v/>
      </c>
      <c r="AN24" s="306">
        <f>L11*$AN$15</f>
        <v/>
      </c>
      <c r="AO24" s="307">
        <f>M11*$AO$15</f>
        <v/>
      </c>
      <c r="AP24" s="234">
        <f>N11*$AP$15</f>
        <v/>
      </c>
      <c r="AQ24" s="234">
        <f>O11*$AQ$15</f>
        <v/>
      </c>
      <c r="AR24" s="308">
        <f>P11*$AR$15</f>
        <v/>
      </c>
      <c r="AS24" s="236">
        <f>SUM(AJ24:AR24)</f>
        <v/>
      </c>
    </row>
    <row r="25" ht="14.25" customHeight="1" s="175">
      <c r="A25" s="267" t="inlineStr">
        <is>
          <t>Anthony</t>
        </is>
      </c>
      <c r="B25" s="268" t="n">
        <v>1</v>
      </c>
      <c r="C25" s="269" t="inlineStr">
        <is>
          <t>Evan</t>
        </is>
      </c>
      <c r="D25" s="192" t="inlineStr">
        <is>
          <t>https://discord.com/channels/191975109500731392/1212839710439776287/1329509325592592394</t>
        </is>
      </c>
      <c r="F25" s="207" t="n"/>
      <c r="G25" s="208" t="inlineStr">
        <is>
          <t>Person:</t>
        </is>
      </c>
      <c r="H25" s="216" t="inlineStr">
        <is>
          <t>Kills</t>
        </is>
      </c>
      <c r="Q25" s="208" t="inlineStr">
        <is>
          <t>Person:</t>
        </is>
      </c>
      <c r="R25" s="216" t="inlineStr">
        <is>
          <t>Kill Points</t>
        </is>
      </c>
      <c r="AI25" s="208" t="inlineStr">
        <is>
          <t>Erick</t>
        </is>
      </c>
      <c r="AJ25" s="209">
        <f>H12*$AJ$15</f>
        <v/>
      </c>
      <c r="AK25" s="233">
        <f>I12*$AK$15</f>
        <v/>
      </c>
      <c r="AL25" s="234">
        <f>J12*$AL$15</f>
        <v/>
      </c>
      <c r="AM25" s="306">
        <f>K12*$AM$15</f>
        <v/>
      </c>
      <c r="AN25" s="306">
        <f>L12*$AN$15</f>
        <v/>
      </c>
      <c r="AO25" s="307">
        <f>M12*$AO$15</f>
        <v/>
      </c>
      <c r="AP25" s="234">
        <f>N12*$AP$15</f>
        <v/>
      </c>
      <c r="AQ25" s="234">
        <f>O12*$AQ$15</f>
        <v/>
      </c>
      <c r="AR25" s="308">
        <f>P12*$AR$15</f>
        <v/>
      </c>
      <c r="AS25" s="236">
        <f>SUM(AJ25:AR25)</f>
        <v/>
      </c>
    </row>
    <row r="26" ht="14.25" customHeight="1" s="175">
      <c r="A26" s="267" t="inlineStr">
        <is>
          <t>Evan</t>
        </is>
      </c>
      <c r="B26" s="268" t="n">
        <v>1</v>
      </c>
      <c r="C26" s="269" t="inlineStr">
        <is>
          <t>Anthony</t>
        </is>
      </c>
      <c r="D26" s="192" t="inlineStr">
        <is>
          <t>https://discord.com/channels/191975109500731392/1212839710439776287/1329509355078291498</t>
        </is>
      </c>
      <c r="F26" s="207" t="n"/>
      <c r="G26" s="208" t="inlineStr">
        <is>
          <t>Ethan</t>
        </is>
      </c>
      <c r="H26" s="209">
        <f>$H$11</f>
        <v/>
      </c>
      <c r="Q26" s="208" t="inlineStr">
        <is>
          <t>Ethan</t>
        </is>
      </c>
      <c r="R26" s="209">
        <f>$K$11</f>
        <v/>
      </c>
      <c r="AI26" s="208" t="inlineStr">
        <is>
          <t>Joey</t>
        </is>
      </c>
      <c r="AJ26" s="209">
        <f>H13*$AJ$15</f>
        <v/>
      </c>
      <c r="AK26" s="233">
        <f>I13*$AK$15</f>
        <v/>
      </c>
      <c r="AL26" s="234">
        <f>J13*$AL$15</f>
        <v/>
      </c>
      <c r="AM26" s="306">
        <f>K13*$AM$15</f>
        <v/>
      </c>
      <c r="AN26" s="306">
        <f>L13*$AN$15</f>
        <v/>
      </c>
      <c r="AO26" s="307">
        <f>M13*$AO$15</f>
        <v/>
      </c>
      <c r="AP26" s="234">
        <f>N13*$AP$15</f>
        <v/>
      </c>
      <c r="AQ26" s="234">
        <f>O13*$AQ$15</f>
        <v/>
      </c>
      <c r="AR26" s="308">
        <f>P13*$AR$15</f>
        <v/>
      </c>
      <c r="AS26" s="236">
        <f>SUM(AJ26:AR26)</f>
        <v/>
      </c>
    </row>
    <row r="27" ht="14.25" customHeight="1" s="175">
      <c r="A27" s="267" t="inlineStr">
        <is>
          <t>Carter</t>
        </is>
      </c>
      <c r="B27" s="268" t="n">
        <v>2</v>
      </c>
      <c r="C27" s="269" t="inlineStr">
        <is>
          <t>Evan</t>
        </is>
      </c>
      <c r="D27" s="192" t="inlineStr">
        <is>
          <t>https://discord.com/channels/191975109500731392/1212839710439776287/1329857265335013376</t>
        </is>
      </c>
      <c r="F27" s="192" t="n"/>
      <c r="G27" s="208" t="inlineStr">
        <is>
          <t>David</t>
        </is>
      </c>
      <c r="H27" s="209">
        <f>$H$7</f>
        <v/>
      </c>
      <c r="Q27" s="208" t="inlineStr">
        <is>
          <t>David</t>
        </is>
      </c>
      <c r="R27" s="209">
        <f>$K$7</f>
        <v/>
      </c>
      <c r="AI27" s="208" t="inlineStr">
        <is>
          <t>Reuben</t>
        </is>
      </c>
      <c r="AJ27" s="209">
        <f>H14*$AJ$15</f>
        <v/>
      </c>
      <c r="AK27" s="233">
        <f>I14*$AK$15</f>
        <v/>
      </c>
      <c r="AL27" s="234">
        <f>J14*$AL$15</f>
        <v/>
      </c>
      <c r="AM27" s="306">
        <f>K14*$AM$15</f>
        <v/>
      </c>
      <c r="AN27" s="306">
        <f>L14*$AN$15</f>
        <v/>
      </c>
      <c r="AO27" s="307">
        <f>M14*$AO$15</f>
        <v/>
      </c>
      <c r="AP27" s="234">
        <f>N14*$AP$15</f>
        <v/>
      </c>
      <c r="AQ27" s="234">
        <f>O14*$AQ$15</f>
        <v/>
      </c>
      <c r="AR27" s="308">
        <f>P14*$AR$15</f>
        <v/>
      </c>
      <c r="AS27" s="236">
        <f>SUM(AJ27:AR27)</f>
        <v/>
      </c>
    </row>
    <row r="28" ht="14.25" customHeight="1" s="175">
      <c r="A28" s="267" t="inlineStr">
        <is>
          <t>David</t>
        </is>
      </c>
      <c r="B28" s="268" t="n">
        <v>1</v>
      </c>
      <c r="C28" s="269" t="inlineStr">
        <is>
          <t>Evan</t>
        </is>
      </c>
      <c r="D28" s="192" t="inlineStr">
        <is>
          <t>https://discord.com/channels/191975109500731392/1212839710439776287/1329859194093965419</t>
        </is>
      </c>
      <c r="F28" s="207" t="n"/>
      <c r="G28" s="208" t="inlineStr">
        <is>
          <t>Evan</t>
        </is>
      </c>
      <c r="H28" s="209">
        <f>$H$8</f>
        <v/>
      </c>
      <c r="Q28" s="208" t="inlineStr">
        <is>
          <t>Evan</t>
        </is>
      </c>
      <c r="R28" s="209">
        <f>$K$8</f>
        <v/>
      </c>
    </row>
    <row r="29" ht="14.25" customHeight="1" s="175">
      <c r="A29" s="267" t="inlineStr">
        <is>
          <t>Evan</t>
        </is>
      </c>
      <c r="B29" s="268" t="n">
        <v>1</v>
      </c>
      <c r="C29" s="269" t="inlineStr">
        <is>
          <t>David</t>
        </is>
      </c>
      <c r="D29" s="192" t="inlineStr">
        <is>
          <t>https://discord.com/channels/191975109500731392/1212839710439776287/1329862981613387958</t>
        </is>
      </c>
      <c r="F29" s="192" t="n"/>
      <c r="G29" s="208" t="inlineStr">
        <is>
          <t>Grady</t>
        </is>
      </c>
      <c r="H29" s="209">
        <f>$H$4</f>
        <v/>
      </c>
      <c r="Q29" s="208" t="inlineStr">
        <is>
          <t>Grady</t>
        </is>
      </c>
      <c r="R29" s="209">
        <f>$K$4</f>
        <v/>
      </c>
    </row>
    <row r="30" ht="14.25" customHeight="1" s="175">
      <c r="A30" s="267" t="inlineStr">
        <is>
          <t>Maxine</t>
        </is>
      </c>
      <c r="B30" s="268" t="n">
        <v>2</v>
      </c>
      <c r="C30" s="269" t="inlineStr">
        <is>
          <t>Evan</t>
        </is>
      </c>
      <c r="D30" s="192" t="inlineStr">
        <is>
          <t>https://discord.com/channels/191975109500731392/1212839710439776287/1329867541530673194</t>
        </is>
      </c>
      <c r="F30" s="207" t="n"/>
      <c r="G30" s="208" t="inlineStr">
        <is>
          <t>Carter</t>
        </is>
      </c>
      <c r="H30" s="209">
        <f>$H$3</f>
        <v/>
      </c>
      <c r="Q30" s="208" t="inlineStr">
        <is>
          <t>Carter</t>
        </is>
      </c>
      <c r="R30" s="209">
        <f>$K$3</f>
        <v/>
      </c>
    </row>
    <row r="31" ht="14.25" customHeight="1" s="175">
      <c r="A31" s="267" t="inlineStr">
        <is>
          <t>Evan</t>
        </is>
      </c>
      <c r="B31" s="268" t="n">
        <v>1</v>
      </c>
      <c r="C31" s="269" t="inlineStr">
        <is>
          <t>Maxine</t>
        </is>
      </c>
      <c r="D31" s="192" t="inlineStr">
        <is>
          <t>https://discord.com/channels/191975109500731392/1212839710439776287/1329867782556356639</t>
        </is>
      </c>
      <c r="F31" s="207" t="n"/>
      <c r="G31" s="208" t="inlineStr">
        <is>
          <t>Maxine</t>
        </is>
      </c>
      <c r="H31" s="209">
        <f>$H$6</f>
        <v/>
      </c>
      <c r="Q31" s="208" t="inlineStr">
        <is>
          <t>Maxine</t>
        </is>
      </c>
      <c r="R31" s="209">
        <f>$K$6</f>
        <v/>
      </c>
    </row>
    <row r="32" ht="14.25" customHeight="1" s="175">
      <c r="A32" s="267" t="inlineStr">
        <is>
          <t>Ethan</t>
        </is>
      </c>
      <c r="B32" s="268" t="n">
        <v>2</v>
      </c>
      <c r="C32" s="269" t="inlineStr">
        <is>
          <t>Grady</t>
        </is>
      </c>
      <c r="D32" s="192" t="inlineStr">
        <is>
          <t>https://discord.com/channels/191975109500731392/1212839710439776287/1329904236166647870</t>
        </is>
      </c>
      <c r="F32" s="207" t="n"/>
      <c r="G32" s="208" t="inlineStr">
        <is>
          <t>Anthony</t>
        </is>
      </c>
      <c r="H32" s="209">
        <f>$H$10</f>
        <v/>
      </c>
      <c r="Q32" s="208" t="inlineStr">
        <is>
          <t>Anthony</t>
        </is>
      </c>
      <c r="R32" s="209">
        <f>$K$10</f>
        <v/>
      </c>
      <c r="AI32" s="246" t="n"/>
      <c r="AJ32" s="246" t="n"/>
      <c r="AK32" s="246" t="n"/>
    </row>
    <row r="33" ht="14.25" customHeight="1" s="175">
      <c r="A33" s="267" t="inlineStr">
        <is>
          <t>Grady</t>
        </is>
      </c>
      <c r="B33" s="268" t="n">
        <v>1</v>
      </c>
      <c r="C33" s="269" t="inlineStr">
        <is>
          <t>Ethan</t>
        </is>
      </c>
      <c r="D33" s="192" t="inlineStr">
        <is>
          <t>https://discord.com/channels/191975109500731392/1212839710439776287/1329904517151719514</t>
        </is>
      </c>
      <c r="F33" s="207" t="n"/>
      <c r="G33" s="208" t="inlineStr">
        <is>
          <t>Cooper</t>
        </is>
      </c>
      <c r="H33" s="209">
        <f>$H$5</f>
        <v/>
      </c>
      <c r="Q33" s="208" t="inlineStr">
        <is>
          <t>Cooper</t>
        </is>
      </c>
      <c r="R33" s="209">
        <f>$K$5</f>
        <v/>
      </c>
      <c r="AH33" s="246" t="inlineStr">
        <is>
          <t>Award:</t>
        </is>
      </c>
      <c r="AI33" s="248" t="inlineStr">
        <is>
          <t>Person:</t>
        </is>
      </c>
      <c r="AJ33" s="249" t="inlineStr">
        <is>
          <t>Score</t>
        </is>
      </c>
      <c r="AK33" s="249" t="inlineStr">
        <is>
          <t>Adjusted</t>
        </is>
      </c>
      <c r="AL33" s="246" t="n"/>
    </row>
    <row r="34" ht="14.25" customHeight="1" s="175">
      <c r="A34" s="267" t="inlineStr">
        <is>
          <t>Ethan</t>
        </is>
      </c>
      <c r="B34" s="268" t="n">
        <v>1</v>
      </c>
      <c r="C34" s="269" t="inlineStr">
        <is>
          <t>David</t>
        </is>
      </c>
      <c r="D34" s="192" t="inlineStr">
        <is>
          <t>https://discord.com/channels/191975109500731392/1212839710439776287/1330341309906554880</t>
        </is>
      </c>
      <c r="F34" s="207" t="n"/>
      <c r="G34" s="208" t="inlineStr">
        <is>
          <t>Tyler</t>
        </is>
      </c>
      <c r="H34" s="209">
        <f>$H$9</f>
        <v/>
      </c>
      <c r="Q34" s="208" t="inlineStr">
        <is>
          <t>Tyler</t>
        </is>
      </c>
      <c r="R34" s="209">
        <f>$K$9</f>
        <v/>
      </c>
      <c r="AH34" s="246" t="inlineStr">
        <is>
          <t>Height Advantage</t>
        </is>
      </c>
      <c r="AI34" s="305" t="inlineStr">
        <is>
          <t>Ethan</t>
        </is>
      </c>
      <c r="AJ34" s="236">
        <f>$AS$24</f>
        <v/>
      </c>
      <c r="AK34" s="251">
        <f>AJ34-$AJ$45</f>
        <v/>
      </c>
      <c r="AL34" s="173" t="n">
        <v>1</v>
      </c>
    </row>
    <row r="35" ht="14.25" customHeight="1" s="175">
      <c r="A35" s="267" t="inlineStr">
        <is>
          <t>David</t>
        </is>
      </c>
      <c r="B35" s="268" t="n">
        <v>2</v>
      </c>
      <c r="C35" s="269" t="inlineStr">
        <is>
          <t>Ethan</t>
        </is>
      </c>
      <c r="D35" s="192" t="inlineStr">
        <is>
          <t>https://discord.com/channels/191975109500731392/1212839710439776287/1330341537489616977</t>
        </is>
      </c>
      <c r="F35" s="192" t="n"/>
      <c r="G35" s="208" t="inlineStr">
        <is>
          <t>Erick</t>
        </is>
      </c>
      <c r="H35" s="209">
        <f>$H$12</f>
        <v/>
      </c>
      <c r="Q35" s="208" t="inlineStr">
        <is>
          <t>Erick</t>
        </is>
      </c>
      <c r="R35" s="209">
        <f>$K$12</f>
        <v/>
      </c>
      <c r="AH35" s="246" t="inlineStr">
        <is>
          <t>Couldn't find tyler for the full sweep</t>
        </is>
      </c>
      <c r="AI35" s="208" t="inlineStr">
        <is>
          <t>David</t>
        </is>
      </c>
      <c r="AJ35" s="236">
        <f>$AS$20</f>
        <v/>
      </c>
      <c r="AK35" s="251">
        <f>AJ35-$AJ$45</f>
        <v/>
      </c>
      <c r="AL35" s="173" t="n">
        <v>2</v>
      </c>
    </row>
    <row r="36" ht="14.25" customHeight="1" s="175">
      <c r="A36" s="267" t="inlineStr">
        <is>
          <t>David</t>
        </is>
      </c>
      <c r="B36" s="268" t="n">
        <v>1</v>
      </c>
      <c r="C36" s="269" t="inlineStr">
        <is>
          <t>Cooper</t>
        </is>
      </c>
      <c r="D36" s="192" t="inlineStr">
        <is>
          <t>https://discord.com/channels/191975109500731392/1212839710439776287/1330581678808371290</t>
        </is>
      </c>
      <c r="F36" s="207" t="n"/>
      <c r="G36" s="208" t="inlineStr">
        <is>
          <t>Joey</t>
        </is>
      </c>
      <c r="H36" s="209">
        <f>$H$13</f>
        <v/>
      </c>
      <c r="Q36" s="208" t="inlineStr">
        <is>
          <t>Joey</t>
        </is>
      </c>
      <c r="R36" s="209">
        <f>$K$13</f>
        <v/>
      </c>
      <c r="AH36" s="246" t="inlineStr">
        <is>
          <t>Most Improved</t>
        </is>
      </c>
      <c r="AI36" s="208" t="inlineStr">
        <is>
          <t>Grady</t>
        </is>
      </c>
      <c r="AJ36" s="236">
        <f>$AS$17</f>
        <v/>
      </c>
      <c r="AK36" s="251">
        <f>AJ36-$AJ$45</f>
        <v/>
      </c>
      <c r="AL36" s="173" t="n">
        <v>3</v>
      </c>
    </row>
    <row r="37" ht="14.25" customHeight="1" s="175">
      <c r="A37" s="267" t="inlineStr">
        <is>
          <t>Cooper</t>
        </is>
      </c>
      <c r="B37" s="268" t="n">
        <v>1</v>
      </c>
      <c r="C37" s="269" t="inlineStr">
        <is>
          <t>David</t>
        </is>
      </c>
      <c r="D37" s="192" t="inlineStr">
        <is>
          <t>https://discord.com/channels/191975109500731392/1212839710439776287/1330581843099254804</t>
        </is>
      </c>
      <c r="F37" s="192" t="n"/>
      <c r="G37" s="208" t="inlineStr">
        <is>
          <t>Reuben</t>
        </is>
      </c>
      <c r="H37" s="209">
        <f>$H$14</f>
        <v/>
      </c>
      <c r="Q37" s="208" t="inlineStr">
        <is>
          <t>Reuben</t>
        </is>
      </c>
      <c r="R37" s="209">
        <f>$K$14</f>
        <v/>
      </c>
      <c r="AH37" s="246" t="inlineStr">
        <is>
          <t>Kinda fell off</t>
        </is>
      </c>
      <c r="AI37" s="208" t="inlineStr">
        <is>
          <t>Maxine</t>
        </is>
      </c>
      <c r="AJ37" s="236">
        <f>$AS$19</f>
        <v/>
      </c>
      <c r="AK37" s="251">
        <f>AJ37-$AJ$45</f>
        <v/>
      </c>
      <c r="AL37" s="173" t="n">
        <v>4</v>
      </c>
    </row>
    <row r="38" ht="14.25" customHeight="1" s="175">
      <c r="A38" s="267" t="inlineStr">
        <is>
          <t>Ethan</t>
        </is>
      </c>
      <c r="B38" s="268" t="n">
        <v>2</v>
      </c>
      <c r="C38" s="269" t="inlineStr">
        <is>
          <t>Reuben</t>
        </is>
      </c>
      <c r="D38" s="192" t="inlineStr">
        <is>
          <t>https://discord.com/channels/191975109500731392/1212839710439776287/1331077419272110152</t>
        </is>
      </c>
      <c r="F38" s="207" t="n"/>
      <c r="AH38" s="246" t="inlineStr">
        <is>
          <t>"Hey its YOU, David"</t>
        </is>
      </c>
      <c r="AI38" s="208" t="inlineStr">
        <is>
          <t>Carter</t>
        </is>
      </c>
      <c r="AJ38" s="236">
        <f>$AS$16</f>
        <v/>
      </c>
      <c r="AK38" s="251">
        <f>AJ38-$AJ$45</f>
        <v/>
      </c>
      <c r="AL38" s="173" t="n">
        <v>5</v>
      </c>
    </row>
    <row r="39" ht="14.25" customHeight="1" s="175">
      <c r="A39" s="267" t="inlineStr">
        <is>
          <t>Evan</t>
        </is>
      </c>
      <c r="B39" s="268" t="n">
        <v>2</v>
      </c>
      <c r="C39" s="269" t="inlineStr">
        <is>
          <t>Ethan</t>
        </is>
      </c>
      <c r="D39" s="192" t="inlineStr">
        <is>
          <t>https://discord.com/channels/191975109500731392/1212839710439776287/1331407502687862784</t>
        </is>
      </c>
      <c r="F39" s="207" t="n"/>
      <c r="AH39" s="246" t="inlineStr">
        <is>
          <t>That is the expression of a man that has a Matsci midterm in 2 hours</t>
        </is>
      </c>
      <c r="AI39" s="208" t="inlineStr">
        <is>
          <t>Anthony</t>
        </is>
      </c>
      <c r="AJ39" s="236">
        <f>$AS$23</f>
        <v/>
      </c>
      <c r="AK39" s="251">
        <f>AJ39-$AJ$45</f>
        <v/>
      </c>
      <c r="AL39" s="173" t="n">
        <v>6</v>
      </c>
    </row>
    <row r="40" ht="14.25" customHeight="1" s="175">
      <c r="A40" s="267" t="inlineStr">
        <is>
          <t>Ethan</t>
        </is>
      </c>
      <c r="B40" s="268" t="n">
        <v>2</v>
      </c>
      <c r="C40" s="269" t="inlineStr">
        <is>
          <t>Evan</t>
        </is>
      </c>
      <c r="D40" s="192" t="inlineStr">
        <is>
          <t>https://discord.com/channels/191975109500731392/1212839710439776287/1331408868491919422</t>
        </is>
      </c>
      <c r="F40" s="207" t="n"/>
      <c r="AH40" s="246" t="inlineStr">
        <is>
          <t>Almost a deathless semester</t>
        </is>
      </c>
      <c r="AI40" s="208" t="inlineStr">
        <is>
          <t>Erick</t>
        </is>
      </c>
      <c r="AJ40" s="236">
        <f>$AS$25</f>
        <v/>
      </c>
      <c r="AK40" s="251">
        <f>AJ40-$AJ$45</f>
        <v/>
      </c>
      <c r="AL40" s="173" t="n">
        <v>7</v>
      </c>
    </row>
    <row r="41" ht="14.25" customHeight="1" s="175">
      <c r="A41" s="267" t="inlineStr">
        <is>
          <t>Carter</t>
        </is>
      </c>
      <c r="B41" s="268" t="n">
        <v>1</v>
      </c>
      <c r="C41" s="269" t="inlineStr">
        <is>
          <t>David</t>
        </is>
      </c>
      <c r="D41" s="192" t="inlineStr">
        <is>
          <t>https://discord.com/channels/191975109500731392/1212839710439776287/1331654158717288450</t>
        </is>
      </c>
      <c r="F41" s="192" t="n"/>
      <c r="G41" s="208" t="inlineStr">
        <is>
          <t>Person:</t>
        </is>
      </c>
      <c r="H41" s="216" t="inlineStr">
        <is>
          <t>Deaths</t>
        </is>
      </c>
      <c r="Q41" s="208" t="inlineStr">
        <is>
          <t>Person:</t>
        </is>
      </c>
      <c r="R41" s="216" t="inlineStr">
        <is>
          <t>Death Points</t>
        </is>
      </c>
      <c r="AH41" s="246" t="inlineStr">
        <is>
          <t>"He did not fucking get me for 2"</t>
        </is>
      </c>
      <c r="AI41" s="208" t="inlineStr">
        <is>
          <t>Tyler</t>
        </is>
      </c>
      <c r="AJ41" s="236">
        <f>$AS$22</f>
        <v/>
      </c>
      <c r="AK41" s="251">
        <f>AJ41-$AJ$45</f>
        <v/>
      </c>
      <c r="AL41" s="173" t="n">
        <v>8</v>
      </c>
    </row>
    <row r="42" ht="14.25" customHeight="1" s="175">
      <c r="A42" s="267" t="inlineStr">
        <is>
          <t>David</t>
        </is>
      </c>
      <c r="B42" s="268" t="n">
        <v>2</v>
      </c>
      <c r="C42" s="269" t="inlineStr">
        <is>
          <t>Carter</t>
        </is>
      </c>
      <c r="D42" s="192" t="inlineStr">
        <is>
          <t>https://discord.com/channels/191975109500731392/1212839710439776287/1331654170029064233</t>
        </is>
      </c>
      <c r="E42" s="173" t="n">
        <v>0</v>
      </c>
      <c r="F42" s="207" t="n"/>
      <c r="G42" s="208" t="inlineStr">
        <is>
          <t>Evan</t>
        </is>
      </c>
      <c r="H42" s="209">
        <f>$I$8</f>
        <v/>
      </c>
      <c r="Q42" s="208" t="inlineStr">
        <is>
          <t>Evan</t>
        </is>
      </c>
      <c r="R42" s="209">
        <f>$L$8</f>
        <v/>
      </c>
      <c r="AH42" s="246" t="inlineStr">
        <is>
          <t>Hardest to find</t>
        </is>
      </c>
      <c r="AI42" s="208" t="inlineStr">
        <is>
          <t>Joey</t>
        </is>
      </c>
      <c r="AJ42" s="236">
        <f>$AS$26</f>
        <v/>
      </c>
      <c r="AK42" s="251">
        <f>AJ42-$AJ$45</f>
        <v/>
      </c>
      <c r="AL42" s="173" t="n">
        <v>9</v>
      </c>
    </row>
    <row r="43" ht="14.25" customHeight="1" s="175">
      <c r="A43" s="267" t="inlineStr">
        <is>
          <t>David</t>
        </is>
      </c>
      <c r="B43" s="268" t="n">
        <v>1</v>
      </c>
      <c r="C43" s="269" t="inlineStr">
        <is>
          <t>Reuben</t>
        </is>
      </c>
      <c r="D43" s="192" t="inlineStr">
        <is>
          <t>https://discord.com/channels/191975109500731392/1212839710439776287/1331688189005402142</t>
        </is>
      </c>
      <c r="F43" s="207" t="n"/>
      <c r="G43" s="208" t="inlineStr">
        <is>
          <t>Reuben</t>
        </is>
      </c>
      <c r="H43" s="209">
        <f>$I$14</f>
        <v/>
      </c>
      <c r="Q43" s="208" t="inlineStr">
        <is>
          <t>Reuben</t>
        </is>
      </c>
      <c r="R43" s="209">
        <f>$L$14</f>
        <v/>
      </c>
      <c r="AH43" s="246" t="inlineStr">
        <is>
          <t>Had more death points than reuben??</t>
        </is>
      </c>
      <c r="AI43" s="208" t="inlineStr">
        <is>
          <t>Evan</t>
        </is>
      </c>
      <c r="AJ43" s="236">
        <f>$AS$21</f>
        <v/>
      </c>
      <c r="AK43" s="251">
        <f>AJ43-$AJ$45</f>
        <v/>
      </c>
      <c r="AL43" s="173" t="n">
        <v>10</v>
      </c>
    </row>
    <row r="44" ht="14.25" customHeight="1" s="175">
      <c r="A44" s="267" t="inlineStr">
        <is>
          <t>Ethan</t>
        </is>
      </c>
      <c r="B44" s="268" t="n">
        <v>2</v>
      </c>
      <c r="C44" s="269" t="inlineStr">
        <is>
          <t>Carter</t>
        </is>
      </c>
      <c r="D44" s="192" t="inlineStr">
        <is>
          <t>https://discord.com/channels/191975109500731392/1212839710439776287/1331743984330215535</t>
        </is>
      </c>
      <c r="E44" s="173" t="n">
        <v>0</v>
      </c>
      <c r="F44" s="207" t="n"/>
      <c r="G44" s="208" t="inlineStr">
        <is>
          <t>Ethan</t>
        </is>
      </c>
      <c r="H44" s="209">
        <f>$I$11</f>
        <v/>
      </c>
      <c r="Q44" s="208" t="inlineStr">
        <is>
          <t>Ethan</t>
        </is>
      </c>
      <c r="R44" s="209">
        <f>$L$11</f>
        <v/>
      </c>
      <c r="AH44" s="246" t="inlineStr">
        <is>
          <t>Sitting duck</t>
        </is>
      </c>
      <c r="AI44" s="208" t="inlineStr">
        <is>
          <t>Cooper</t>
        </is>
      </c>
      <c r="AJ44" s="236">
        <f>$AS$18</f>
        <v/>
      </c>
      <c r="AK44" s="251">
        <f>AJ44-$AJ$45</f>
        <v/>
      </c>
      <c r="AL44" s="173" t="n">
        <v>11</v>
      </c>
    </row>
    <row r="45" ht="14.25" customHeight="1" s="175">
      <c r="A45" s="267" t="inlineStr">
        <is>
          <t>Ethan</t>
        </is>
      </c>
      <c r="B45" s="268" t="n">
        <v>1</v>
      </c>
      <c r="C45" s="269" t="inlineStr">
        <is>
          <t>Evan</t>
        </is>
      </c>
      <c r="D45" s="192" t="inlineStr">
        <is>
          <t>https://discord.com/channels/191975109500731392/1212839710439776287/1331786709192675419</t>
        </is>
      </c>
      <c r="F45" s="192" t="n"/>
      <c r="G45" s="208" t="inlineStr">
        <is>
          <t>David</t>
        </is>
      </c>
      <c r="H45" s="209">
        <f>$I$7</f>
        <v/>
      </c>
      <c r="Q45" s="208" t="inlineStr">
        <is>
          <t>David</t>
        </is>
      </c>
      <c r="R45" s="209">
        <f>$L$7</f>
        <v/>
      </c>
      <c r="AH45" s="246" t="inlineStr">
        <is>
          <t>Eaten Alive</t>
        </is>
      </c>
      <c r="AI45" s="208" t="inlineStr">
        <is>
          <t>Reuben</t>
        </is>
      </c>
      <c r="AJ45" s="236">
        <f>$AS$27</f>
        <v/>
      </c>
      <c r="AK45" s="251">
        <f>AJ45-$AJ$45</f>
        <v/>
      </c>
      <c r="AL45" s="173" t="n">
        <v>12</v>
      </c>
    </row>
    <row r="46" ht="14.25" customHeight="1" s="175">
      <c r="A46" s="267" t="inlineStr">
        <is>
          <t>Evan</t>
        </is>
      </c>
      <c r="B46" s="268" t="n">
        <v>1</v>
      </c>
      <c r="C46" s="269" t="inlineStr">
        <is>
          <t>Ethan</t>
        </is>
      </c>
      <c r="D46" s="192" t="inlineStr">
        <is>
          <t>https://discord.com/channels/191975109500731392/1212839710439776287/1331786975774244975</t>
        </is>
      </c>
      <c r="F46" s="207" t="n"/>
      <c r="G46" s="208" t="inlineStr">
        <is>
          <t>Grady</t>
        </is>
      </c>
      <c r="H46" s="209">
        <f>$I$4</f>
        <v/>
      </c>
      <c r="Q46" s="208" t="inlineStr">
        <is>
          <t>Carter</t>
        </is>
      </c>
      <c r="R46" s="209">
        <f>$L$3</f>
        <v/>
      </c>
    </row>
    <row r="47" ht="14.25" customHeight="1" s="175">
      <c r="A47" s="267" t="inlineStr">
        <is>
          <t>Ethan</t>
        </is>
      </c>
      <c r="B47" s="268" t="n">
        <v>2</v>
      </c>
      <c r="C47" s="269" t="inlineStr">
        <is>
          <t>Evan</t>
        </is>
      </c>
      <c r="D47" s="192" t="inlineStr">
        <is>
          <t>https://discord.com/channels/191975109500731392/1212839710439776287/1331991826516934778</t>
        </is>
      </c>
      <c r="F47" s="207" t="n"/>
      <c r="G47" s="208" t="inlineStr">
        <is>
          <t>Carter</t>
        </is>
      </c>
      <c r="H47" s="209">
        <f>$I$3</f>
        <v/>
      </c>
      <c r="Q47" s="208" t="inlineStr">
        <is>
          <t>Grady</t>
        </is>
      </c>
      <c r="R47" s="209">
        <f>$L$4</f>
        <v/>
      </c>
      <c r="AI47" s="246" t="n"/>
      <c r="AJ47" s="246" t="n"/>
      <c r="AK47" s="246" t="n"/>
    </row>
    <row r="48" ht="14.25" customHeight="1" s="175">
      <c r="A48" s="267" t="inlineStr">
        <is>
          <t>Ethan</t>
        </is>
      </c>
      <c r="B48" s="268" t="n">
        <v>2</v>
      </c>
      <c r="C48" s="269" t="inlineStr">
        <is>
          <t>Reuben</t>
        </is>
      </c>
      <c r="D48" s="192" t="inlineStr">
        <is>
          <t>https://discord.com/channels/191975109500731392/1212839710439776287/1332045218534527127</t>
        </is>
      </c>
      <c r="F48" s="207" t="n"/>
      <c r="G48" s="208" t="inlineStr">
        <is>
          <t>Maxine</t>
        </is>
      </c>
      <c r="H48" s="209">
        <f>$I$6</f>
        <v/>
      </c>
      <c r="Q48" s="208" t="inlineStr">
        <is>
          <t>Cooper</t>
        </is>
      </c>
      <c r="R48" s="209">
        <f>$L$5</f>
        <v/>
      </c>
      <c r="AI48" s="246" t="n"/>
      <c r="AJ48" s="246" t="n"/>
      <c r="AK48" s="246" t="n"/>
    </row>
    <row r="49" ht="14.25" customHeight="1" s="175">
      <c r="A49" s="267" t="inlineStr">
        <is>
          <t>Erick</t>
        </is>
      </c>
      <c r="B49" s="268" t="n">
        <v>2</v>
      </c>
      <c r="C49" s="269" t="inlineStr">
        <is>
          <t>David</t>
        </is>
      </c>
      <c r="D49" s="192" t="inlineStr">
        <is>
          <t>https://discord.com/channels/191975109500731392/1212839710439776287/1332096889293770873</t>
        </is>
      </c>
      <c r="F49" s="207" t="n"/>
      <c r="G49" s="208" t="inlineStr">
        <is>
          <t>Cooper</t>
        </is>
      </c>
      <c r="H49" s="209">
        <f>$I$5</f>
        <v/>
      </c>
      <c r="Q49" s="208" t="inlineStr">
        <is>
          <t>Maxine</t>
        </is>
      </c>
      <c r="R49" s="209">
        <f>$L$6</f>
        <v/>
      </c>
      <c r="AI49" s="246" t="n"/>
      <c r="AJ49" s="246" t="n"/>
      <c r="AK49" s="246" t="n"/>
    </row>
    <row r="50" ht="14.25" customHeight="1" s="175">
      <c r="A50" s="267" t="inlineStr">
        <is>
          <t>Erick</t>
        </is>
      </c>
      <c r="B50" s="268" t="n">
        <v>2</v>
      </c>
      <c r="C50" s="269" t="inlineStr">
        <is>
          <t>Maxine</t>
        </is>
      </c>
      <c r="D50" s="192" t="inlineStr">
        <is>
          <t>https://discord.com/channels/191975109500731392/1212839710439776287/1332096889293770873</t>
        </is>
      </c>
      <c r="F50" s="207" t="n"/>
      <c r="G50" s="208" t="inlineStr">
        <is>
          <t>Anthony</t>
        </is>
      </c>
      <c r="H50" s="209">
        <f>$I$10</f>
        <v/>
      </c>
      <c r="Q50" s="208" t="inlineStr">
        <is>
          <t>Anthony</t>
        </is>
      </c>
      <c r="R50" s="209">
        <f>$L$10</f>
        <v/>
      </c>
      <c r="AI50" s="246" t="n"/>
      <c r="AJ50" s="246" t="n"/>
      <c r="AK50" s="246" t="n"/>
    </row>
    <row r="51" ht="14.25" customHeight="1" s="175">
      <c r="A51" s="267" t="inlineStr">
        <is>
          <t>David</t>
        </is>
      </c>
      <c r="B51" s="268" t="n">
        <v>2</v>
      </c>
      <c r="C51" s="269" t="inlineStr">
        <is>
          <t>Carter</t>
        </is>
      </c>
      <c r="D51" s="192" t="inlineStr">
        <is>
          <t>https://discord.com/channels/191975109500731392/1212839710439776287/1332099532758057011</t>
        </is>
      </c>
      <c r="E51" s="173" t="n">
        <v>0</v>
      </c>
      <c r="F51" s="207" t="n"/>
      <c r="G51" s="208" t="inlineStr">
        <is>
          <t>Tyler</t>
        </is>
      </c>
      <c r="H51" s="209">
        <f>$I$9</f>
        <v/>
      </c>
      <c r="Q51" s="208" t="inlineStr">
        <is>
          <t>Tyler</t>
        </is>
      </c>
      <c r="R51" s="209">
        <f>$L$9</f>
        <v/>
      </c>
      <c r="AI51" s="179" t="inlineStr">
        <is>
          <t>Overall Part Winner Chart Decision Matrix</t>
        </is>
      </c>
      <c r="AJ51" s="180" t="n"/>
      <c r="AK51" s="180" t="n"/>
      <c r="AL51" s="180" t="n"/>
      <c r="AM51" s="180" t="n"/>
      <c r="AN51" s="180" t="n"/>
      <c r="AO51" s="180" t="n"/>
      <c r="AP51" s="180" t="n"/>
      <c r="AQ51" s="181" t="n"/>
    </row>
    <row r="52" ht="14.25" customHeight="1" s="175">
      <c r="A52" s="267" t="inlineStr">
        <is>
          <t>Maxine</t>
        </is>
      </c>
      <c r="B52" s="268" t="n">
        <v>1</v>
      </c>
      <c r="C52" s="269" t="inlineStr">
        <is>
          <t>Carter</t>
        </is>
      </c>
      <c r="D52" s="192" t="inlineStr">
        <is>
          <t>https://discord.com/channels/191975109500731392/1212839710439776287/1332100493094420480</t>
        </is>
      </c>
      <c r="E52" s="173" t="n">
        <v>0</v>
      </c>
      <c r="F52" s="207" t="n"/>
      <c r="G52" s="208" t="inlineStr">
        <is>
          <t>Joey</t>
        </is>
      </c>
      <c r="H52" s="209">
        <f>$I$13</f>
        <v/>
      </c>
      <c r="Q52" s="208" t="inlineStr">
        <is>
          <t>Joey</t>
        </is>
      </c>
      <c r="R52" s="209">
        <f>$L$13</f>
        <v/>
      </c>
      <c r="AI52" s="252" t="inlineStr">
        <is>
          <t>MATRIX</t>
        </is>
      </c>
      <c r="AJ52" s="253" t="inlineStr">
        <is>
          <t>Kills</t>
        </is>
      </c>
      <c r="AK52" s="253" t="inlineStr">
        <is>
          <t>Deaths</t>
        </is>
      </c>
      <c r="AL52" s="253" t="inlineStr">
        <is>
          <t>KDR</t>
        </is>
      </c>
      <c r="AM52" s="253" t="inlineStr">
        <is>
          <t>Kill Points</t>
        </is>
      </c>
      <c r="AN52" s="253" t="inlineStr">
        <is>
          <t>Death Points</t>
        </is>
      </c>
      <c r="AO52" s="253" t="inlineStr">
        <is>
          <t>KpDpR</t>
        </is>
      </c>
      <c r="AP52" s="253" t="inlineStr">
        <is>
          <t>KPts/Kill</t>
        </is>
      </c>
      <c r="AQ52" s="253" t="inlineStr">
        <is>
          <t>DPts/Death</t>
        </is>
      </c>
    </row>
    <row r="53" ht="14.25" customHeight="1" s="175">
      <c r="A53" s="267" t="inlineStr">
        <is>
          <t>Carter</t>
        </is>
      </c>
      <c r="B53" s="268" t="n">
        <v>1</v>
      </c>
      <c r="C53" s="269" t="inlineStr">
        <is>
          <t>Maxine</t>
        </is>
      </c>
      <c r="D53" s="192" t="inlineStr">
        <is>
          <t>https://discord.com/channels/191975109500731392/1212839710439776287/1332104635577532449</t>
        </is>
      </c>
      <c r="F53" s="207" t="n"/>
      <c r="G53" s="208" t="inlineStr">
        <is>
          <t>Erick</t>
        </is>
      </c>
      <c r="H53" s="209">
        <f>$I$12</f>
        <v/>
      </c>
      <c r="Q53" s="208" t="inlineStr">
        <is>
          <t>Erick</t>
        </is>
      </c>
      <c r="R53" s="209">
        <f>$L$12</f>
        <v/>
      </c>
      <c r="AI53" s="208" t="inlineStr">
        <is>
          <t>Weight:</t>
        </is>
      </c>
      <c r="AJ53" s="229" t="n">
        <v>7.5</v>
      </c>
      <c r="AK53" s="230" t="n">
        <v>-6</v>
      </c>
      <c r="AL53" s="230" t="n">
        <v>25</v>
      </c>
      <c r="AM53" s="230" t="n">
        <v>8.5</v>
      </c>
      <c r="AN53" s="230" t="n">
        <v>-6.5</v>
      </c>
      <c r="AO53" s="230" t="n">
        <v>25</v>
      </c>
      <c r="AP53" s="230" t="n">
        <v>20</v>
      </c>
      <c r="AQ53" s="230" t="n">
        <v>-20</v>
      </c>
      <c r="AR53" s="216" t="inlineStr">
        <is>
          <t>Totals:</t>
        </is>
      </c>
    </row>
    <row r="54" ht="14.25" customHeight="1" s="175">
      <c r="A54" s="267" t="inlineStr">
        <is>
          <t>Carter</t>
        </is>
      </c>
      <c r="B54" s="268" t="n">
        <v>1</v>
      </c>
      <c r="C54" s="269" t="inlineStr">
        <is>
          <t>David</t>
        </is>
      </c>
      <c r="D54" s="192" t="inlineStr">
        <is>
          <t>https://discord.com/channels/191975109500731392/1212839710439776287/1332104635577532449</t>
        </is>
      </c>
      <c r="F54" s="207" t="n"/>
      <c r="AI54" s="226" t="inlineStr">
        <is>
          <t>Tenors</t>
        </is>
      </c>
      <c r="AJ54" s="210">
        <f>H19*$AJ$53</f>
        <v/>
      </c>
      <c r="AK54" s="210">
        <f>I19*$AK$53</f>
        <v/>
      </c>
      <c r="AL54" s="210">
        <f>J19*$AL$53</f>
        <v/>
      </c>
      <c r="AM54" s="210">
        <f>K19*$AM$53</f>
        <v/>
      </c>
      <c r="AN54" s="210">
        <f>L19*$AN$53</f>
        <v/>
      </c>
      <c r="AO54" s="210">
        <f>M19*$AO$53</f>
        <v/>
      </c>
      <c r="AP54" s="210">
        <f>N19*$AP$53</f>
        <v/>
      </c>
      <c r="AQ54" s="210">
        <f>O19*$AQ$53</f>
        <v/>
      </c>
      <c r="AR54" s="210">
        <f>SUM(AJ54:AQ54)</f>
        <v/>
      </c>
    </row>
    <row r="55" ht="14.25" customHeight="1" s="175">
      <c r="A55" s="267" t="inlineStr">
        <is>
          <t>David</t>
        </is>
      </c>
      <c r="B55" s="268" t="n">
        <v>1</v>
      </c>
      <c r="C55" s="269" t="inlineStr">
        <is>
          <t>Ethan</t>
        </is>
      </c>
      <c r="D55" s="192" t="inlineStr">
        <is>
          <t>https://discord.com/channels/191975109500731392/1212839710439776287/1332396565783908362</t>
        </is>
      </c>
      <c r="F55" s="207" t="n"/>
      <c r="AI55" s="208" t="inlineStr">
        <is>
          <t>Leads</t>
        </is>
      </c>
      <c r="AJ55" s="210">
        <f>H20*$AJ$53</f>
        <v/>
      </c>
      <c r="AK55" s="210">
        <f>I20*$AK$53</f>
        <v/>
      </c>
      <c r="AL55" s="210">
        <f>J20*$AL$53</f>
        <v/>
      </c>
      <c r="AM55" s="210">
        <f>K20*$AM$53</f>
        <v/>
      </c>
      <c r="AN55" s="210">
        <f>L20*$AN$53</f>
        <v/>
      </c>
      <c r="AO55" s="210">
        <f>M20*$AO$53</f>
        <v/>
      </c>
      <c r="AP55" s="210">
        <f>N20*$AP$53</f>
        <v/>
      </c>
      <c r="AQ55" s="210">
        <f>O20*$AQ$53</f>
        <v/>
      </c>
      <c r="AR55" s="210">
        <f>SUM(AJ55:AQ55)</f>
        <v/>
      </c>
    </row>
    <row r="56" ht="14.25" customHeight="1" s="175">
      <c r="A56" s="267" t="inlineStr">
        <is>
          <t>Ethan</t>
        </is>
      </c>
      <c r="B56" s="268" t="n">
        <v>1</v>
      </c>
      <c r="C56" s="269" t="inlineStr">
        <is>
          <t>David</t>
        </is>
      </c>
      <c r="D56" s="192" t="inlineStr">
        <is>
          <t>https://discord.com/channels/191975109500731392/1212839710439776287/1332396703084576798</t>
        </is>
      </c>
      <c r="F56" s="207" t="n"/>
      <c r="AI56" s="208" t="inlineStr">
        <is>
          <t>Baris</t>
        </is>
      </c>
      <c r="AJ56" s="210">
        <f>H21*$AJ$53</f>
        <v/>
      </c>
      <c r="AK56" s="210">
        <f>I21*$AK$53</f>
        <v/>
      </c>
      <c r="AL56" s="210">
        <f>J21*$AL$53</f>
        <v/>
      </c>
      <c r="AM56" s="210">
        <f>K21*$AM$53</f>
        <v/>
      </c>
      <c r="AN56" s="210">
        <f>L21*$AN$53</f>
        <v/>
      </c>
      <c r="AO56" s="210">
        <f>M21*$AO$53</f>
        <v/>
      </c>
      <c r="AP56" s="210">
        <f>N21*$AP$53</f>
        <v/>
      </c>
      <c r="AQ56" s="210">
        <f>O21*$AQ$53</f>
        <v/>
      </c>
      <c r="AR56" s="210">
        <f>SUM(AJ56:AQ56)</f>
        <v/>
      </c>
    </row>
    <row r="57" ht="14.25" customHeight="1" s="175">
      <c r="A57" s="267" t="inlineStr">
        <is>
          <t>Carter</t>
        </is>
      </c>
      <c r="B57" s="268" t="n">
        <v>2</v>
      </c>
      <c r="C57" s="269" t="inlineStr">
        <is>
          <t>David</t>
        </is>
      </c>
      <c r="D57" s="192" t="inlineStr">
        <is>
          <t>https://discord.com/channels/191975109500731392/1212839710439776287/1332758550572826674</t>
        </is>
      </c>
      <c r="F57" s="207" t="n"/>
      <c r="G57" s="208" t="inlineStr">
        <is>
          <t>Person:</t>
        </is>
      </c>
      <c r="H57" s="216" t="inlineStr">
        <is>
          <t>KDR</t>
        </is>
      </c>
      <c r="Q57" s="208" t="inlineStr">
        <is>
          <t>Person:</t>
        </is>
      </c>
      <c r="R57" s="216" t="inlineStr">
        <is>
          <t>KpDpR</t>
        </is>
      </c>
      <c r="AI57" s="208" t="inlineStr">
        <is>
          <t>Basses</t>
        </is>
      </c>
      <c r="AJ57" s="210">
        <f>H22*$AJ$53</f>
        <v/>
      </c>
      <c r="AK57" s="210">
        <f>I22*$AK$53</f>
        <v/>
      </c>
      <c r="AL57" s="210">
        <f>J22*$AL$53</f>
        <v/>
      </c>
      <c r="AM57" s="210">
        <f>K22*$AM$53</f>
        <v/>
      </c>
      <c r="AN57" s="210">
        <f>L22*$AN$53</f>
        <v/>
      </c>
      <c r="AO57" s="210">
        <f>M22*$AO$53</f>
        <v/>
      </c>
      <c r="AP57" s="210">
        <f>N22*$AP$53</f>
        <v/>
      </c>
      <c r="AQ57" s="210">
        <f>O22*$AQ$53</f>
        <v/>
      </c>
      <c r="AR57" s="210">
        <f>SUM(AJ57:AQ57)</f>
        <v/>
      </c>
    </row>
    <row r="58" ht="14.25" customHeight="1" s="175">
      <c r="A58" s="267" t="inlineStr">
        <is>
          <t>David</t>
        </is>
      </c>
      <c r="B58" s="268" t="n">
        <v>1</v>
      </c>
      <c r="C58" s="269" t="inlineStr">
        <is>
          <t>Carter</t>
        </is>
      </c>
      <c r="D58" s="192" t="inlineStr">
        <is>
          <t>https://discord.com/channels/191975109500731392/1212839710439776287/1332758561222037577</t>
        </is>
      </c>
      <c r="E58" s="173" t="n">
        <v>1</v>
      </c>
      <c r="F58" s="207" t="n"/>
      <c r="G58" s="208" t="inlineStr">
        <is>
          <t>Erick</t>
        </is>
      </c>
      <c r="H58" s="210">
        <f>$J$12</f>
        <v/>
      </c>
      <c r="Q58" s="208" t="inlineStr">
        <is>
          <t>Erick</t>
        </is>
      </c>
      <c r="R58" s="210">
        <f>$M$12</f>
        <v/>
      </c>
      <c r="AI58" s="247" t="inlineStr">
        <is>
          <t>Basses (No Reuben)</t>
        </is>
      </c>
      <c r="AJ58" s="210">
        <f>H23*$AJ$53</f>
        <v/>
      </c>
      <c r="AK58" s="210">
        <f>I23*$AK$53</f>
        <v/>
      </c>
      <c r="AL58" s="210">
        <f>J23*$AL$53</f>
        <v/>
      </c>
      <c r="AM58" s="210">
        <f>K23*$AM$53</f>
        <v/>
      </c>
      <c r="AN58" s="210">
        <f>L23*$AN$53</f>
        <v/>
      </c>
      <c r="AO58" s="210">
        <f>M23*$AO$53</f>
        <v/>
      </c>
      <c r="AP58" s="210">
        <f>N23*$AP$53</f>
        <v/>
      </c>
      <c r="AQ58" s="210">
        <f>O23*$AQ$53</f>
        <v/>
      </c>
      <c r="AR58" s="210">
        <f>SUM(AJ58:AQ58)</f>
        <v/>
      </c>
    </row>
    <row r="59" ht="14.25" customHeight="1" s="175">
      <c r="A59" s="267" t="inlineStr">
        <is>
          <t>Evan</t>
        </is>
      </c>
      <c r="B59" s="268" t="n">
        <v>2</v>
      </c>
      <c r="C59" s="269" t="inlineStr">
        <is>
          <t>Reuben</t>
        </is>
      </c>
      <c r="D59" s="192" t="inlineStr">
        <is>
          <t>https://discord.com/channels/191975109500731392/1212839710439776287/1333252518011994253</t>
        </is>
      </c>
      <c r="F59" s="207" t="n"/>
      <c r="G59" s="208" t="inlineStr">
        <is>
          <t>Ethan</t>
        </is>
      </c>
      <c r="H59" s="210">
        <f>$J$11</f>
        <v/>
      </c>
      <c r="Q59" s="208" t="inlineStr">
        <is>
          <t>Ethan</t>
        </is>
      </c>
      <c r="R59" s="210">
        <f>$M$11</f>
        <v/>
      </c>
    </row>
    <row r="60" ht="14.25" customHeight="1" s="175">
      <c r="A60" s="267" t="inlineStr">
        <is>
          <t>Carter</t>
        </is>
      </c>
      <c r="B60" s="268" t="n">
        <v>1</v>
      </c>
      <c r="C60" s="269" t="inlineStr">
        <is>
          <t>David</t>
        </is>
      </c>
      <c r="D60" s="192" t="inlineStr">
        <is>
          <t>https://discord.com/channels/191975109500731392/1212839710439776287/1333464966027677778</t>
        </is>
      </c>
      <c r="F60" s="207" t="n"/>
      <c r="G60" s="208" t="inlineStr">
        <is>
          <t>Grady</t>
        </is>
      </c>
      <c r="H60" s="210">
        <f>$J$4</f>
        <v/>
      </c>
      <c r="Q60" s="208" t="inlineStr">
        <is>
          <t>Tyler</t>
        </is>
      </c>
      <c r="R60" s="210">
        <f>$M$9</f>
        <v/>
      </c>
      <c r="AI60" s="248" t="inlineStr">
        <is>
          <t>Part</t>
        </is>
      </c>
      <c r="AJ60" s="249" t="inlineStr">
        <is>
          <t>Score</t>
        </is>
      </c>
      <c r="AK60" s="249" t="inlineStr">
        <is>
          <t>Adjusted</t>
        </is>
      </c>
    </row>
    <row r="61" ht="14.25" customHeight="1" s="175">
      <c r="A61" s="267" t="inlineStr">
        <is>
          <t>David</t>
        </is>
      </c>
      <c r="B61" s="268" t="n">
        <v>1</v>
      </c>
      <c r="C61" s="269" t="inlineStr">
        <is>
          <t>Carter</t>
        </is>
      </c>
      <c r="D61" s="192" t="inlineStr">
        <is>
          <t>https://discord.com/channels/191975109500731392/1212839710439776287/1333464994943209593</t>
        </is>
      </c>
      <c r="E61" s="173" t="n">
        <v>0</v>
      </c>
      <c r="F61" s="192" t="n"/>
      <c r="G61" s="208" t="inlineStr">
        <is>
          <t>David</t>
        </is>
      </c>
      <c r="H61" s="210">
        <f>$J$7</f>
        <v/>
      </c>
      <c r="Q61" s="208" t="inlineStr">
        <is>
          <t>Joey</t>
        </is>
      </c>
      <c r="R61" s="210">
        <f>$M$13</f>
        <v/>
      </c>
      <c r="AI61" s="226" t="inlineStr">
        <is>
          <t>Baris</t>
        </is>
      </c>
      <c r="AJ61" s="251">
        <f>$AR$56</f>
        <v/>
      </c>
      <c r="AK61" s="251">
        <f>AJ61-($AJ$65)</f>
        <v/>
      </c>
    </row>
    <row r="62" ht="14.25" customHeight="1" s="175">
      <c r="A62" s="267" t="inlineStr">
        <is>
          <t>Ethan</t>
        </is>
      </c>
      <c r="B62" s="268" t="n">
        <v>2</v>
      </c>
      <c r="C62" s="269" t="inlineStr">
        <is>
          <t>Evan</t>
        </is>
      </c>
      <c r="D62" s="192" t="inlineStr">
        <is>
          <t>https://discord.com/channels/191975109500731392/1212839710439776287/1333480379675316277</t>
        </is>
      </c>
      <c r="F62" s="207" t="n"/>
      <c r="G62" s="208" t="inlineStr">
        <is>
          <t>Carter</t>
        </is>
      </c>
      <c r="H62" s="210">
        <f>$J$3</f>
        <v/>
      </c>
      <c r="Q62" s="208" t="inlineStr">
        <is>
          <t>Grady</t>
        </is>
      </c>
      <c r="R62" s="210">
        <f>$M$4</f>
        <v/>
      </c>
      <c r="AI62" s="208" t="inlineStr">
        <is>
          <t>Tenors</t>
        </is>
      </c>
      <c r="AJ62" s="251">
        <f>$AR$54</f>
        <v/>
      </c>
      <c r="AK62" s="251">
        <f>AJ62-($AJ$65)</f>
        <v/>
      </c>
    </row>
    <row r="63" ht="14.25" customHeight="1" s="175">
      <c r="A63" s="267" t="inlineStr">
        <is>
          <t>Evan</t>
        </is>
      </c>
      <c r="B63" s="268" t="n">
        <v>2</v>
      </c>
      <c r="C63" s="269" t="inlineStr">
        <is>
          <t>Reuben</t>
        </is>
      </c>
      <c r="D63" s="192" t="inlineStr">
        <is>
          <t>https://discord.com/channels/191975109500731392/1212839710439776287/1333514929801662505</t>
        </is>
      </c>
      <c r="F63" s="207" t="n"/>
      <c r="G63" s="208" t="inlineStr">
        <is>
          <t>Maxine</t>
        </is>
      </c>
      <c r="H63" s="210">
        <f>$J$6</f>
        <v/>
      </c>
      <c r="Q63" s="208" t="inlineStr">
        <is>
          <t>Anthony</t>
        </is>
      </c>
      <c r="R63" s="210">
        <f>$M$10</f>
        <v/>
      </c>
      <c r="AI63" s="247" t="inlineStr">
        <is>
          <t>Basses (No Reuben)</t>
        </is>
      </c>
      <c r="AJ63" s="251">
        <f>$AR$58</f>
        <v/>
      </c>
      <c r="AK63" s="251">
        <f>AJ63-($AJ$65)</f>
        <v/>
      </c>
    </row>
    <row r="64" ht="14.25" customHeight="1" s="175">
      <c r="A64" s="267" t="inlineStr">
        <is>
          <t>Carter</t>
        </is>
      </c>
      <c r="B64" s="268" t="n">
        <v>2</v>
      </c>
      <c r="C64" s="269" t="inlineStr">
        <is>
          <t>Ethan</t>
        </is>
      </c>
      <c r="D64" s="192" t="inlineStr">
        <is>
          <t>https://discord.com/channels/191975109500731392/1212839710439776287/1333558175005409313</t>
        </is>
      </c>
      <c r="F64" s="207" t="n"/>
      <c r="G64" s="208" t="inlineStr">
        <is>
          <t>Anthony</t>
        </is>
      </c>
      <c r="H64" s="210">
        <f>$J$10</f>
        <v/>
      </c>
      <c r="Q64" s="208" t="inlineStr">
        <is>
          <t>David</t>
        </is>
      </c>
      <c r="R64" s="210">
        <f>$M$7</f>
        <v/>
      </c>
      <c r="AI64" s="208" t="inlineStr">
        <is>
          <t>Leads</t>
        </is>
      </c>
      <c r="AJ64" s="257">
        <f>$AR$55</f>
        <v/>
      </c>
      <c r="AK64" s="251">
        <f>AJ64-($AJ$65)</f>
        <v/>
      </c>
    </row>
    <row r="65" ht="14.25" customHeight="1" s="175">
      <c r="A65" s="267" t="inlineStr">
        <is>
          <t>Ethan</t>
        </is>
      </c>
      <c r="B65" s="268" t="n">
        <v>1</v>
      </c>
      <c r="C65" s="269" t="inlineStr">
        <is>
          <t>Carter</t>
        </is>
      </c>
      <c r="D65" s="192" t="inlineStr">
        <is>
          <t>https://discord.com/channels/191975109500731392/1212839710439776287/1333558391276048495</t>
        </is>
      </c>
      <c r="E65" s="173" t="n">
        <v>0</v>
      </c>
      <c r="F65" s="207" t="n"/>
      <c r="G65" s="208" t="inlineStr">
        <is>
          <t>Tyler</t>
        </is>
      </c>
      <c r="H65" s="210">
        <f>$J$9</f>
        <v/>
      </c>
      <c r="Q65" s="208" t="inlineStr">
        <is>
          <t>Maxine</t>
        </is>
      </c>
      <c r="R65" s="210">
        <f>$M$6</f>
        <v/>
      </c>
      <c r="AI65" s="258" t="inlineStr">
        <is>
          <t>Basses</t>
        </is>
      </c>
      <c r="AJ65" s="251">
        <f>$AR$57</f>
        <v/>
      </c>
      <c r="AK65" s="259">
        <f>AJ65-($AJ$65)</f>
        <v/>
      </c>
    </row>
    <row r="66" ht="14.25" customHeight="1" s="175">
      <c r="A66" s="267" t="inlineStr">
        <is>
          <t>Maxine</t>
        </is>
      </c>
      <c r="B66" s="268" t="n">
        <v>2</v>
      </c>
      <c r="C66" s="269" t="inlineStr">
        <is>
          <t>Carter</t>
        </is>
      </c>
      <c r="D66" s="192" t="inlineStr">
        <is>
          <t>https://discord.com/channels/191975109500731392/1212839710439776287/1333558804989874278</t>
        </is>
      </c>
      <c r="E66" s="173" t="n">
        <v>0</v>
      </c>
      <c r="F66" s="207" t="n"/>
      <c r="G66" s="208" t="inlineStr">
        <is>
          <t>Joey</t>
        </is>
      </c>
      <c r="H66" s="210">
        <f>$J$13</f>
        <v/>
      </c>
      <c r="Q66" s="208" t="inlineStr">
        <is>
          <t>Carter</t>
        </is>
      </c>
      <c r="R66" s="210">
        <f>$M$3</f>
        <v/>
      </c>
    </row>
    <row r="67" ht="14.25" customHeight="1" s="175">
      <c r="A67" s="267" t="inlineStr">
        <is>
          <t>Maxine</t>
        </is>
      </c>
      <c r="B67" s="268" t="n">
        <v>2</v>
      </c>
      <c r="C67" s="269" t="inlineStr">
        <is>
          <t>Ethan</t>
        </is>
      </c>
      <c r="D67" s="192" t="inlineStr">
        <is>
          <t>https://discord.com/channels/191975109500731392/1212839710439776287/1333558804989874278</t>
        </is>
      </c>
      <c r="F67" s="207" t="n"/>
      <c r="G67" s="208" t="inlineStr">
        <is>
          <t>Evan</t>
        </is>
      </c>
      <c r="H67" s="210">
        <f>$J$8</f>
        <v/>
      </c>
      <c r="Q67" s="208" t="inlineStr">
        <is>
          <t>Evan</t>
        </is>
      </c>
      <c r="R67" s="210">
        <f>$M$8</f>
        <v/>
      </c>
    </row>
    <row r="68" ht="14.25" customHeight="1" s="175">
      <c r="A68" s="267" t="inlineStr">
        <is>
          <t>Carter</t>
        </is>
      </c>
      <c r="B68" s="268" t="n">
        <v>1</v>
      </c>
      <c r="C68" s="269" t="inlineStr">
        <is>
          <t>Maxine</t>
        </is>
      </c>
      <c r="D68" s="192" t="inlineStr">
        <is>
          <t>https://discord.com/channels/191975109500731392/1212839710439776287/1333558805123829893</t>
        </is>
      </c>
      <c r="F68" s="207" t="n"/>
      <c r="G68" s="208" t="inlineStr">
        <is>
          <t>Cooper</t>
        </is>
      </c>
      <c r="H68" s="210">
        <f>$J$5</f>
        <v/>
      </c>
      <c r="Q68" s="208" t="inlineStr">
        <is>
          <t>Cooper</t>
        </is>
      </c>
      <c r="R68" s="210">
        <f>$M$5</f>
        <v/>
      </c>
    </row>
    <row r="69" ht="14.25" customHeight="1" s="175">
      <c r="A69" s="267" t="inlineStr">
        <is>
          <t>Ethan</t>
        </is>
      </c>
      <c r="B69" s="268" t="n">
        <v>1</v>
      </c>
      <c r="C69" s="269" t="inlineStr">
        <is>
          <t>Maxine</t>
        </is>
      </c>
      <c r="D69" s="192" t="inlineStr">
        <is>
          <t>https://discord.com/channels/191975109500731392/1212839710439776287/1333559303616991283</t>
        </is>
      </c>
      <c r="F69" s="207" t="n"/>
      <c r="G69" s="208" t="inlineStr">
        <is>
          <t>Reuben</t>
        </is>
      </c>
      <c r="H69" s="210">
        <f>$J$14</f>
        <v/>
      </c>
      <c r="Q69" s="208" t="inlineStr">
        <is>
          <t>Reuben</t>
        </is>
      </c>
      <c r="R69" s="210">
        <f>$M$14</f>
        <v/>
      </c>
      <c r="AI69" s="246" t="n"/>
      <c r="AJ69" s="246" t="n"/>
      <c r="AK69" s="246" t="n"/>
    </row>
    <row r="70" ht="14.25" customHeight="1" s="175">
      <c r="A70" s="267" t="inlineStr">
        <is>
          <t>Evan</t>
        </is>
      </c>
      <c r="B70" s="268" t="n">
        <v>1</v>
      </c>
      <c r="C70" s="269" t="inlineStr">
        <is>
          <t>Ethan</t>
        </is>
      </c>
      <c r="D70" s="192" t="inlineStr">
        <is>
          <t>https://discord.com/channels/191975109500731392/1212839710439776287/1333825481069428786</t>
        </is>
      </c>
      <c r="F70" s="207" t="n"/>
      <c r="AI70" s="246" t="n"/>
      <c r="AJ70" s="246" t="n"/>
      <c r="AK70" s="246" t="n"/>
    </row>
    <row r="71" ht="14.25" customHeight="1" s="175">
      <c r="A71" s="267" t="inlineStr">
        <is>
          <t>Ethan</t>
        </is>
      </c>
      <c r="B71" s="268" t="n">
        <v>1</v>
      </c>
      <c r="C71" s="269" t="inlineStr">
        <is>
          <t>Evan</t>
        </is>
      </c>
      <c r="D71" s="173" t="inlineStr">
        <is>
          <t>https://discord.com/channels/191975109500731392/1212839710439776287/1333825533158359090</t>
        </is>
      </c>
      <c r="F71" s="192" t="n"/>
      <c r="AI71" s="246" t="n"/>
      <c r="AJ71" s="246" t="n"/>
      <c r="AK71" s="246" t="n"/>
    </row>
    <row r="72" ht="14.25" customHeight="1" s="175">
      <c r="A72" s="267" t="inlineStr">
        <is>
          <t>Grady</t>
        </is>
      </c>
      <c r="B72" s="268" t="n">
        <v>2</v>
      </c>
      <c r="C72" s="269" t="inlineStr">
        <is>
          <t>Anthony</t>
        </is>
      </c>
      <c r="D72" s="192" t="inlineStr">
        <is>
          <t>https://discord.com/channels/191975109500731392/1212839710439776287/1333854212227989586</t>
        </is>
      </c>
      <c r="F72" s="207" t="n"/>
      <c r="AI72" s="246" t="n"/>
      <c r="AJ72" s="246" t="n"/>
      <c r="AK72" s="246" t="n"/>
    </row>
    <row r="73" ht="14.25" customHeight="1" s="175">
      <c r="A73" s="267" t="inlineStr">
        <is>
          <t>Anthony</t>
        </is>
      </c>
      <c r="B73" s="268" t="n">
        <v>1</v>
      </c>
      <c r="C73" s="269" t="inlineStr">
        <is>
          <t>Grady</t>
        </is>
      </c>
      <c r="D73" s="192" t="inlineStr">
        <is>
          <t>https://discord.com/channels/191975109500731392/1212839710439776287/1333851020677222432</t>
        </is>
      </c>
      <c r="F73" s="207" t="n"/>
      <c r="G73" s="208" t="inlineStr">
        <is>
          <t>Part:</t>
        </is>
      </c>
      <c r="H73" s="216" t="inlineStr">
        <is>
          <t>Kills</t>
        </is>
      </c>
      <c r="Q73" s="208" t="inlineStr">
        <is>
          <t>Part:</t>
        </is>
      </c>
      <c r="R73" s="216" t="inlineStr">
        <is>
          <t>Kill Points</t>
        </is>
      </c>
      <c r="AJ73" s="246" t="n"/>
      <c r="AK73" s="246" t="n"/>
    </row>
    <row r="74" ht="14.25" customHeight="1" s="175">
      <c r="A74" s="267" t="inlineStr">
        <is>
          <t>Grady</t>
        </is>
      </c>
      <c r="B74" s="268" t="n">
        <v>2</v>
      </c>
      <c r="C74" s="269" t="inlineStr">
        <is>
          <t>Reuben</t>
        </is>
      </c>
      <c r="D74" s="192" t="inlineStr">
        <is>
          <t>https://discord.com/channels/191975109500731392/1212839710439776287/1333871228082982922</t>
        </is>
      </c>
      <c r="F74" s="207" t="n"/>
      <c r="G74" s="226" t="inlineStr">
        <is>
          <t>Basses</t>
        </is>
      </c>
      <c r="H74" s="241">
        <f>$H$22</f>
        <v/>
      </c>
      <c r="Q74" s="226" t="inlineStr">
        <is>
          <t>Basses</t>
        </is>
      </c>
      <c r="R74" s="241">
        <f>$K$22</f>
        <v/>
      </c>
      <c r="AG74" s="246" t="n"/>
      <c r="AH74" s="246" t="n"/>
      <c r="AI74" s="246" t="n"/>
      <c r="AJ74" s="246" t="n"/>
      <c r="AK74" s="246" t="n"/>
    </row>
    <row r="75" ht="14.25" customHeight="1" s="175">
      <c r="A75" s="267" t="inlineStr">
        <is>
          <t>David</t>
        </is>
      </c>
      <c r="B75" s="268" t="n">
        <v>1</v>
      </c>
      <c r="C75" s="269" t="inlineStr">
        <is>
          <t>Carter</t>
        </is>
      </c>
      <c r="D75" s="192" t="inlineStr">
        <is>
          <t>https://discord.com/channels/191975109500731392/1212839710439776287/1333921376012206121</t>
        </is>
      </c>
      <c r="E75" s="173" t="n">
        <v>0</v>
      </c>
      <c r="F75" s="207" t="n"/>
      <c r="G75" s="208" t="inlineStr">
        <is>
          <t>Baris</t>
        </is>
      </c>
      <c r="H75" s="241">
        <f>$H$21</f>
        <v/>
      </c>
      <c r="Q75" s="208" t="inlineStr">
        <is>
          <t>Leads</t>
        </is>
      </c>
      <c r="R75" s="241">
        <f>$K$20</f>
        <v/>
      </c>
      <c r="AE75" s="246" t="n"/>
      <c r="AF75" s="246" t="n"/>
      <c r="AG75" s="246" t="n"/>
    </row>
    <row r="76" ht="14.25" customHeight="1" s="175">
      <c r="A76" s="267" t="inlineStr">
        <is>
          <t>Carter</t>
        </is>
      </c>
      <c r="B76" s="268" t="n">
        <v>1</v>
      </c>
      <c r="C76" s="269" t="inlineStr">
        <is>
          <t>David</t>
        </is>
      </c>
      <c r="D76" s="192" t="inlineStr">
        <is>
          <t>https://discord.com/channels/191975109500731392/1212839710439776287/1333921623165894749</t>
        </is>
      </c>
      <c r="F76" s="207" t="n"/>
      <c r="G76" s="208" t="inlineStr">
        <is>
          <t>Leads</t>
        </is>
      </c>
      <c r="H76" s="241">
        <f>$H$20</f>
        <v/>
      </c>
      <c r="Q76" s="208" t="inlineStr">
        <is>
          <t>Tenors</t>
        </is>
      </c>
      <c r="R76" s="241">
        <f>$K$19</f>
        <v/>
      </c>
    </row>
    <row r="77" ht="14.25" customHeight="1" s="175">
      <c r="A77" s="267" t="inlineStr">
        <is>
          <t>Evan</t>
        </is>
      </c>
      <c r="B77" s="268" t="n">
        <v>2</v>
      </c>
      <c r="C77" s="269" t="inlineStr">
        <is>
          <t>Reuben</t>
        </is>
      </c>
      <c r="D77" s="192" t="inlineStr">
        <is>
          <t>https://discord.com/channels/191975109500731392/1212839710439776287/1333931546851278890</t>
        </is>
      </c>
      <c r="F77" s="207" t="n"/>
      <c r="G77" s="208" t="inlineStr">
        <is>
          <t>Tenors</t>
        </is>
      </c>
      <c r="H77" s="241">
        <f>$H$19</f>
        <v/>
      </c>
      <c r="Q77" s="208" t="inlineStr">
        <is>
          <t>Baris</t>
        </is>
      </c>
      <c r="R77" s="241">
        <f>$K$21</f>
        <v/>
      </c>
    </row>
    <row r="78" ht="14.25" customHeight="1" s="175">
      <c r="A78" s="267" t="inlineStr">
        <is>
          <t>Ethan</t>
        </is>
      </c>
      <c r="B78" s="268" t="n">
        <v>1</v>
      </c>
      <c r="C78" s="269" t="inlineStr">
        <is>
          <t>David</t>
        </is>
      </c>
      <c r="D78" s="192" t="inlineStr">
        <is>
          <t>https://discord.com/channels/191975109500731392/1212839710439776287/1334275891035115641</t>
        </is>
      </c>
      <c r="F78" s="207" t="n"/>
    </row>
    <row r="79" ht="14.25" customHeight="1" s="175">
      <c r="A79" s="267" t="inlineStr">
        <is>
          <t>David</t>
        </is>
      </c>
      <c r="B79" s="268" t="n">
        <v>1</v>
      </c>
      <c r="C79" s="269" t="inlineStr">
        <is>
          <t>Ethan</t>
        </is>
      </c>
      <c r="D79" s="192" t="inlineStr">
        <is>
          <t>https://discord.com/channels/191975109500731392/1212839710439776287/1334276198993236153</t>
        </is>
      </c>
      <c r="F79" s="207" t="n"/>
    </row>
    <row r="80" ht="14.25" customHeight="1" s="175">
      <c r="A80" s="267" t="inlineStr">
        <is>
          <t>Ethan</t>
        </is>
      </c>
      <c r="B80" s="268" t="n">
        <v>2</v>
      </c>
      <c r="C80" s="269" t="inlineStr">
        <is>
          <t>Grady</t>
        </is>
      </c>
      <c r="D80" s="192" t="inlineStr">
        <is>
          <t>https://discord.com/channels/191975109500731392/1212839710439776287/1334575420816883773</t>
        </is>
      </c>
      <c r="F80" s="207" t="n"/>
    </row>
    <row r="81" ht="14.25" customHeight="1" s="175">
      <c r="A81" s="267" t="inlineStr">
        <is>
          <t>Ethan</t>
        </is>
      </c>
      <c r="B81" s="268" t="n">
        <v>2</v>
      </c>
      <c r="C81" s="269" t="inlineStr">
        <is>
          <t>Evan</t>
        </is>
      </c>
      <c r="D81" s="192" t="inlineStr">
        <is>
          <t>https://discord.com/channels/191975109500731392/1212839710439776287/1334594959239811185</t>
        </is>
      </c>
      <c r="F81" s="192" t="n"/>
    </row>
    <row r="82" ht="14.25" customHeight="1" s="175">
      <c r="A82" s="267" t="inlineStr">
        <is>
          <t>Grady</t>
        </is>
      </c>
      <c r="B82" s="268" t="n">
        <v>1</v>
      </c>
      <c r="C82" s="269" t="inlineStr">
        <is>
          <t>Cooper</t>
        </is>
      </c>
      <c r="D82" s="192" t="inlineStr">
        <is>
          <t>https://discord.com/channels/191975109500731392/1212839710439776287/1334596039281217557</t>
        </is>
      </c>
      <c r="F82" s="207" t="n"/>
    </row>
    <row r="83" ht="14.25" customHeight="1" s="175">
      <c r="A83" s="267" t="inlineStr">
        <is>
          <t>Grady</t>
        </is>
      </c>
      <c r="B83" s="268" t="n">
        <v>2</v>
      </c>
      <c r="C83" s="269" t="inlineStr">
        <is>
          <t>Reuben</t>
        </is>
      </c>
      <c r="D83" s="192" t="inlineStr">
        <is>
          <t>https://discord.com/channels/191975109500731392/1212839710439776287/1334596071099469908</t>
        </is>
      </c>
      <c r="F83" s="207" t="n"/>
    </row>
    <row r="84" ht="14.25" customHeight="1" s="175">
      <c r="A84" s="267" t="inlineStr">
        <is>
          <t>Evan</t>
        </is>
      </c>
      <c r="B84" s="268" t="n">
        <v>2</v>
      </c>
      <c r="C84" s="269" t="inlineStr">
        <is>
          <t>Reuben</t>
        </is>
      </c>
      <c r="D84" s="192" t="inlineStr">
        <is>
          <t>https://discord.com/channels/191975109500731392/1212839710439776287/1336050544099328003</t>
        </is>
      </c>
      <c r="F84" s="207" t="n"/>
      <c r="G84" s="208" t="inlineStr">
        <is>
          <t>Part:</t>
        </is>
      </c>
      <c r="H84" s="216" t="inlineStr">
        <is>
          <t>Deaths</t>
        </is>
      </c>
      <c r="Q84" s="208" t="inlineStr">
        <is>
          <t>Part:</t>
        </is>
      </c>
      <c r="R84" s="216" t="inlineStr">
        <is>
          <t>Death Points</t>
        </is>
      </c>
    </row>
    <row r="85" ht="14.25" customHeight="1" s="175">
      <c r="A85" s="267" t="inlineStr">
        <is>
          <t>David</t>
        </is>
      </c>
      <c r="B85" s="268" t="n">
        <v>2</v>
      </c>
      <c r="C85" s="269" t="inlineStr">
        <is>
          <t>Reuben</t>
        </is>
      </c>
      <c r="D85" s="192" t="inlineStr">
        <is>
          <t>https://discord.com/channels/191975109500731392/1212839710439776287/1336086194437754950</t>
        </is>
      </c>
      <c r="F85" s="207" t="n"/>
      <c r="G85" s="208" t="inlineStr">
        <is>
          <t>Basses</t>
        </is>
      </c>
      <c r="H85" s="243">
        <f>$I$22</f>
        <v/>
      </c>
      <c r="Q85" s="208" t="inlineStr">
        <is>
          <t>Baris</t>
        </is>
      </c>
      <c r="R85" s="243">
        <f>$L$21</f>
        <v/>
      </c>
    </row>
    <row r="86" ht="14.25" customHeight="1" s="175">
      <c r="A86" s="267" t="inlineStr">
        <is>
          <t>Grady</t>
        </is>
      </c>
      <c r="B86" s="268" t="n">
        <v>2</v>
      </c>
      <c r="C86" s="269" t="inlineStr">
        <is>
          <t>Reuben</t>
        </is>
      </c>
      <c r="D86" s="192" t="inlineStr">
        <is>
          <t>https://discord.com/channels/191975109500731392/1212839710439776287/1336088861847191594</t>
        </is>
      </c>
      <c r="F86" s="207" t="n"/>
      <c r="G86" s="208" t="inlineStr">
        <is>
          <t>Baris</t>
        </is>
      </c>
      <c r="H86" s="243">
        <f>$I$21</f>
        <v/>
      </c>
      <c r="Q86" s="208" t="inlineStr">
        <is>
          <t>Basses</t>
        </is>
      </c>
      <c r="R86" s="243">
        <f>$L$22</f>
        <v/>
      </c>
    </row>
    <row r="87" ht="14.25" customHeight="1" s="175">
      <c r="A87" s="267" t="inlineStr">
        <is>
          <t>Ethan</t>
        </is>
      </c>
      <c r="B87" s="268" t="n">
        <v>2</v>
      </c>
      <c r="C87" s="269" t="inlineStr">
        <is>
          <t>Evan</t>
        </is>
      </c>
      <c r="D87" s="192" t="inlineStr">
        <is>
          <t>https://discord.com/channels/191975109500731392/1212839710439776287/1336361440008863885</t>
        </is>
      </c>
      <c r="F87" s="207" t="n"/>
      <c r="G87" s="208" t="inlineStr">
        <is>
          <t>Tenors</t>
        </is>
      </c>
      <c r="H87" s="243">
        <f>$I$19</f>
        <v/>
      </c>
      <c r="Q87" s="208" t="inlineStr">
        <is>
          <t>Tenors</t>
        </is>
      </c>
      <c r="R87" s="243">
        <f>$L$19</f>
        <v/>
      </c>
    </row>
    <row r="88" ht="14.25" customHeight="1" s="175">
      <c r="A88" s="267" t="inlineStr">
        <is>
          <t>Ethan</t>
        </is>
      </c>
      <c r="B88" s="268" t="n">
        <v>1</v>
      </c>
      <c r="C88" s="269" t="inlineStr">
        <is>
          <t>Evan</t>
        </is>
      </c>
      <c r="D88" s="192" t="inlineStr">
        <is>
          <t>https://discord.com/channels/191975109500731392/1212839710439776287/1336408731923120271</t>
        </is>
      </c>
      <c r="F88" s="207" t="n"/>
      <c r="G88" s="208" t="inlineStr">
        <is>
          <t>Leads</t>
        </is>
      </c>
      <c r="H88" s="243">
        <f>$I$20</f>
        <v/>
      </c>
      <c r="Q88" s="208" t="inlineStr">
        <is>
          <t>Leads</t>
        </is>
      </c>
      <c r="R88" s="243">
        <f>$L$20</f>
        <v/>
      </c>
    </row>
    <row r="89" ht="14.25" customHeight="1" s="175">
      <c r="A89" s="267" t="inlineStr">
        <is>
          <t>Grady</t>
        </is>
      </c>
      <c r="B89" s="268" t="n">
        <v>1</v>
      </c>
      <c r="C89" s="269" t="inlineStr">
        <is>
          <t>Cooper</t>
        </is>
      </c>
      <c r="D89" s="192" t="inlineStr">
        <is>
          <t>https://discord.com/channels/191975109500731392/1212839710439776287/1336409376155635755</t>
        </is>
      </c>
      <c r="F89" s="207" t="n"/>
      <c r="AJ89" s="246" t="n"/>
      <c r="AK89" s="260" t="n"/>
    </row>
    <row r="90" ht="14.25" customHeight="1" s="175">
      <c r="A90" s="267" t="inlineStr">
        <is>
          <t>Grady</t>
        </is>
      </c>
      <c r="B90" s="268" t="n">
        <v>2</v>
      </c>
      <c r="C90" s="269" t="inlineStr">
        <is>
          <t>Reuben</t>
        </is>
      </c>
      <c r="D90" s="192" t="inlineStr">
        <is>
          <t>https://discord.com/channels/191975109500731392/1212839710439776287/1336409407520505967</t>
        </is>
      </c>
      <c r="F90" s="207" t="n"/>
      <c r="AJ90" s="246" t="n"/>
      <c r="AK90" s="260" t="n"/>
    </row>
    <row r="91" ht="14.25" customHeight="1" s="175">
      <c r="A91" s="267" t="inlineStr">
        <is>
          <t>Evan</t>
        </is>
      </c>
      <c r="B91" s="268" t="n">
        <v>1</v>
      </c>
      <c r="C91" s="269" t="inlineStr">
        <is>
          <t>Ethan</t>
        </is>
      </c>
      <c r="D91" s="192" t="inlineStr">
        <is>
          <t>https://discord.com/channels/191975109500731392/1212839710439776287/1336410695096598618</t>
        </is>
      </c>
      <c r="F91" s="207" t="n"/>
      <c r="AJ91" s="246" t="n"/>
      <c r="AK91" s="260" t="n"/>
    </row>
    <row r="92" ht="14.25" customHeight="1" s="175">
      <c r="A92" s="267" t="inlineStr">
        <is>
          <t>Evan</t>
        </is>
      </c>
      <c r="B92" s="268" t="n">
        <v>2</v>
      </c>
      <c r="C92" s="269" t="inlineStr">
        <is>
          <t>Reuben</t>
        </is>
      </c>
      <c r="D92" s="192" t="inlineStr">
        <is>
          <t>https://discord.com/channels/191975109500731392/1212839710439776287/1336461389643907112</t>
        </is>
      </c>
      <c r="F92" s="207" t="n"/>
      <c r="AJ92" s="246" t="n"/>
      <c r="AK92" s="260" t="n"/>
    </row>
    <row r="93" ht="14.25" customHeight="1" s="175">
      <c r="A93" s="267" t="inlineStr">
        <is>
          <t>David</t>
        </is>
      </c>
      <c r="B93" s="268" t="n">
        <v>2</v>
      </c>
      <c r="C93" s="269" t="inlineStr">
        <is>
          <t>Carter</t>
        </is>
      </c>
      <c r="D93" s="192" t="inlineStr">
        <is>
          <t>https://discord.com/channels/191975109500731392/1212839710439776287/1336797518549483521</t>
        </is>
      </c>
      <c r="E93" s="173" t="n">
        <v>1</v>
      </c>
      <c r="F93" s="207" t="n"/>
      <c r="AJ93" s="246" t="n"/>
      <c r="AK93" s="260" t="n"/>
    </row>
    <row r="94" ht="14.25" customHeight="1" s="175">
      <c r="A94" s="267" t="inlineStr">
        <is>
          <t>Carter</t>
        </is>
      </c>
      <c r="B94" s="268" t="n">
        <v>1</v>
      </c>
      <c r="C94" s="269" t="inlineStr">
        <is>
          <t>David</t>
        </is>
      </c>
      <c r="D94" s="192" t="inlineStr">
        <is>
          <t>https://discord.com/channels/191975109500731392/1212839710439776287/1336798568614461480</t>
        </is>
      </c>
      <c r="F94" s="207" t="n"/>
      <c r="J94" s="246" t="n"/>
      <c r="K94" s="246" t="n"/>
      <c r="L94" s="246" t="n"/>
      <c r="M94" s="260" t="n"/>
      <c r="N94" s="260" t="n"/>
      <c r="O94" s="260" t="n"/>
      <c r="P94" s="260" t="n"/>
      <c r="Q94" s="182" t="n"/>
      <c r="T94" s="246" t="n"/>
      <c r="U94" s="246" t="n"/>
      <c r="V94" s="246" t="n"/>
      <c r="W94" s="246" t="n"/>
      <c r="X94" s="246" t="n"/>
      <c r="Y94" s="246" t="n"/>
      <c r="Z94" s="246" t="n"/>
      <c r="AA94" s="246" t="n"/>
      <c r="AB94" s="246" t="n"/>
      <c r="AC94" s="246" t="n"/>
      <c r="AD94" s="246" t="n"/>
      <c r="AG94" s="246" t="n"/>
      <c r="AJ94" s="246" t="n"/>
      <c r="AK94" s="260" t="n"/>
    </row>
    <row r="95" ht="14.25" customHeight="1" s="175">
      <c r="A95" s="267" t="inlineStr">
        <is>
          <t>Carter</t>
        </is>
      </c>
      <c r="B95" s="268" t="n">
        <v>2</v>
      </c>
      <c r="C95" s="269" t="inlineStr">
        <is>
          <t>David</t>
        </is>
      </c>
      <c r="D95" s="192" t="inlineStr">
        <is>
          <t>https://discord.com/channels/191975109500731392/1212839710439776287/1337119501745127427</t>
        </is>
      </c>
      <c r="F95" s="207" t="n"/>
      <c r="G95" s="208" t="inlineStr">
        <is>
          <t>Part:</t>
        </is>
      </c>
      <c r="H95" s="216" t="inlineStr">
        <is>
          <t>KDR</t>
        </is>
      </c>
      <c r="J95" s="246" t="n"/>
      <c r="K95" s="246" t="n"/>
      <c r="L95" s="246" t="n"/>
      <c r="M95" s="260" t="n"/>
      <c r="N95" s="260" t="n"/>
      <c r="O95" s="260" t="n"/>
      <c r="P95" s="260" t="n"/>
      <c r="Q95" s="208" t="inlineStr">
        <is>
          <t>Part:</t>
        </is>
      </c>
      <c r="R95" s="216" t="inlineStr">
        <is>
          <t>KpDpR</t>
        </is>
      </c>
      <c r="T95" s="246" t="n"/>
      <c r="U95" s="246" t="n"/>
      <c r="V95" s="246" t="n"/>
      <c r="W95" s="246" t="n"/>
      <c r="X95" s="246" t="n"/>
      <c r="Y95" s="246" t="n"/>
      <c r="Z95" s="246" t="n"/>
      <c r="AA95" s="246" t="n"/>
      <c r="AB95" s="246" t="n"/>
      <c r="AC95" s="246" t="n"/>
      <c r="AD95" s="246" t="n"/>
      <c r="AG95" s="246" t="n"/>
      <c r="AJ95" s="246" t="n"/>
      <c r="AK95" s="260" t="n"/>
    </row>
    <row r="96" ht="14.25" customHeight="1" s="175">
      <c r="A96" s="267" t="inlineStr">
        <is>
          <t>Evan</t>
        </is>
      </c>
      <c r="B96" s="268" t="n">
        <v>1</v>
      </c>
      <c r="C96" s="269" t="inlineStr">
        <is>
          <t>Ethan</t>
        </is>
      </c>
      <c r="D96" s="192" t="inlineStr">
        <is>
          <t>https://discord.com/channels/191975109500731392/1212839710439776287/1337156508512817264</t>
        </is>
      </c>
      <c r="F96" s="207" t="n"/>
      <c r="G96" s="226" t="inlineStr">
        <is>
          <t>Basses</t>
        </is>
      </c>
      <c r="H96" s="242">
        <f>$J$22</f>
        <v/>
      </c>
      <c r="J96" s="246" t="n"/>
      <c r="K96" s="246" t="n"/>
      <c r="L96" s="246" t="n"/>
      <c r="M96" s="260" t="n"/>
      <c r="N96" s="260" t="n"/>
      <c r="O96" s="260" t="n"/>
      <c r="P96" s="260" t="n"/>
      <c r="Q96" s="226" t="inlineStr">
        <is>
          <t>Basses</t>
        </is>
      </c>
      <c r="R96" s="242">
        <f>$M$22</f>
        <v/>
      </c>
      <c r="T96" s="246" t="n"/>
      <c r="U96" s="246" t="n"/>
      <c r="V96" s="246" t="n"/>
      <c r="W96" s="246" t="n"/>
      <c r="X96" s="246" t="n"/>
      <c r="Y96" s="246" t="n"/>
      <c r="Z96" s="246" t="n"/>
      <c r="AA96" s="246" t="n"/>
      <c r="AB96" s="246" t="n"/>
      <c r="AC96" s="246" t="n"/>
      <c r="AD96" s="246" t="n"/>
      <c r="AG96" s="246" t="n"/>
      <c r="AJ96" s="246" t="n"/>
      <c r="AK96" s="260" t="n"/>
    </row>
    <row r="97" ht="14.25" customHeight="1" s="175">
      <c r="A97" s="267" t="inlineStr">
        <is>
          <t>Ethan</t>
        </is>
      </c>
      <c r="B97" s="268" t="n">
        <v>1</v>
      </c>
      <c r="C97" s="269" t="inlineStr">
        <is>
          <t>Evan</t>
        </is>
      </c>
      <c r="D97" s="192" t="inlineStr">
        <is>
          <t>https://discord.com/channels/191975109500731392/1212839710439776287/1337156721315151963</t>
        </is>
      </c>
      <c r="F97" s="207" t="n"/>
      <c r="G97" s="208" t="inlineStr">
        <is>
          <t>Leads</t>
        </is>
      </c>
      <c r="H97" s="242">
        <f>$J$20</f>
        <v/>
      </c>
      <c r="J97" s="246" t="n"/>
      <c r="K97" s="246" t="n"/>
      <c r="L97" s="246" t="n"/>
      <c r="M97" s="260" t="n"/>
      <c r="N97" s="260" t="n"/>
      <c r="O97" s="260" t="n"/>
      <c r="P97" s="260" t="n"/>
      <c r="Q97" s="208" t="inlineStr">
        <is>
          <t>Leads</t>
        </is>
      </c>
      <c r="R97" s="242">
        <f>$M$20</f>
        <v/>
      </c>
      <c r="T97" s="246" t="n"/>
      <c r="U97" s="246" t="n"/>
      <c r="V97" s="246" t="n"/>
      <c r="W97" s="246" t="n"/>
      <c r="X97" s="246" t="n"/>
      <c r="Y97" s="246" t="n"/>
      <c r="Z97" s="246" t="n"/>
      <c r="AA97" s="246" t="n"/>
      <c r="AB97" s="246" t="n"/>
      <c r="AC97" s="246" t="n"/>
      <c r="AD97" s="246" t="n"/>
      <c r="AG97" s="246" t="n"/>
      <c r="AJ97" s="246" t="n"/>
      <c r="AK97" s="260" t="n"/>
    </row>
    <row r="98" ht="14.25" customHeight="1" s="175">
      <c r="A98" s="267" t="inlineStr">
        <is>
          <t>David</t>
        </is>
      </c>
      <c r="B98" s="268" t="n">
        <v>1</v>
      </c>
      <c r="C98" s="269" t="inlineStr">
        <is>
          <t>Ethan</t>
        </is>
      </c>
      <c r="D98" s="192" t="inlineStr">
        <is>
          <t>https://discord.com/channels/191975109500731392/1212839710439776287/1337858088270565417</t>
        </is>
      </c>
      <c r="F98" s="207" t="n"/>
      <c r="G98" s="208" t="inlineStr">
        <is>
          <t>Tenors</t>
        </is>
      </c>
      <c r="H98" s="242">
        <f>$J$19</f>
        <v/>
      </c>
      <c r="J98" s="246" t="n"/>
      <c r="K98" s="246" t="n"/>
      <c r="L98" s="246" t="n"/>
      <c r="M98" s="260" t="n"/>
      <c r="N98" s="260" t="n"/>
      <c r="O98" s="260" t="n"/>
      <c r="P98" s="260" t="n"/>
      <c r="Q98" s="208" t="inlineStr">
        <is>
          <t>Tenors</t>
        </is>
      </c>
      <c r="R98" s="242">
        <f>$M$19</f>
        <v/>
      </c>
      <c r="T98" s="246" t="n"/>
      <c r="U98" s="246" t="n"/>
      <c r="V98" s="246" t="n"/>
      <c r="W98" s="246" t="n"/>
      <c r="X98" s="246" t="n"/>
      <c r="Y98" s="246" t="n"/>
      <c r="Z98" s="246" t="n"/>
      <c r="AA98" s="246" t="n"/>
      <c r="AB98" s="246" t="n"/>
      <c r="AC98" s="246" t="n"/>
      <c r="AD98" s="246" t="n"/>
      <c r="AG98" s="246" t="n"/>
      <c r="AJ98" s="246" t="n"/>
      <c r="AK98" s="260" t="n"/>
    </row>
    <row r="99" ht="14.25" customHeight="1" s="175">
      <c r="A99" s="267" t="inlineStr">
        <is>
          <t>Ethan</t>
        </is>
      </c>
      <c r="B99" s="268" t="n">
        <v>1</v>
      </c>
      <c r="C99" s="269" t="inlineStr">
        <is>
          <t>David</t>
        </is>
      </c>
      <c r="D99" s="192" t="inlineStr">
        <is>
          <t>https://discord.com/channels/191975109500731392/1212839710439776287/1337858167828385842</t>
        </is>
      </c>
      <c r="F99" s="207" t="n"/>
      <c r="G99" s="208" t="inlineStr">
        <is>
          <t>Baris</t>
        </is>
      </c>
      <c r="H99" s="242">
        <f>$J$21</f>
        <v/>
      </c>
      <c r="J99" s="246" t="n"/>
      <c r="K99" s="246" t="n"/>
      <c r="L99" s="246" t="n"/>
      <c r="M99" s="260" t="n"/>
      <c r="N99" s="260" t="n"/>
      <c r="O99" s="260" t="n"/>
      <c r="P99" s="260" t="n"/>
      <c r="Q99" s="208" t="inlineStr">
        <is>
          <t>Baris</t>
        </is>
      </c>
      <c r="R99" s="242">
        <f>$M$21</f>
        <v/>
      </c>
      <c r="T99" s="246" t="n"/>
      <c r="U99" s="246" t="n"/>
      <c r="V99" s="246" t="n"/>
      <c r="W99" s="246" t="n"/>
      <c r="X99" s="246" t="n"/>
      <c r="Y99" s="246" t="n"/>
      <c r="Z99" s="246" t="n"/>
      <c r="AA99" s="246" t="n"/>
      <c r="AB99" s="246" t="n"/>
      <c r="AC99" s="246" t="n"/>
      <c r="AD99" s="246" t="n"/>
      <c r="AG99" s="246" t="n"/>
      <c r="AJ99" s="246" t="n"/>
      <c r="AK99" s="260" t="n"/>
    </row>
    <row r="100" ht="14.25" customHeight="1" s="175">
      <c r="A100" s="267" t="inlineStr">
        <is>
          <t>David</t>
        </is>
      </c>
      <c r="B100" s="268" t="n">
        <v>2</v>
      </c>
      <c r="C100" s="269" t="inlineStr">
        <is>
          <t>Reuben</t>
        </is>
      </c>
      <c r="D100" s="192" t="inlineStr">
        <is>
          <t>https://discord.com/channels/191975109500731392/1212839710439776287/1338279561623769160</t>
        </is>
      </c>
      <c r="F100" s="207" t="n"/>
      <c r="J100" s="246" t="n"/>
      <c r="K100" s="246" t="n"/>
      <c r="L100" s="246" t="n"/>
      <c r="M100" s="260" t="n"/>
      <c r="N100" s="260" t="n"/>
      <c r="O100" s="260" t="n"/>
      <c r="P100" s="260" t="n"/>
      <c r="Q100" s="182" t="n"/>
      <c r="T100" s="246" t="n"/>
      <c r="U100" s="246" t="n"/>
      <c r="V100" s="246" t="n"/>
      <c r="W100" s="246" t="n"/>
      <c r="X100" s="246" t="n"/>
      <c r="Y100" s="246" t="n"/>
      <c r="Z100" s="246" t="n"/>
      <c r="AA100" s="246" t="n"/>
      <c r="AB100" s="246" t="n"/>
      <c r="AC100" s="246" t="n"/>
      <c r="AD100" s="246" t="n"/>
      <c r="AG100" s="246" t="n"/>
      <c r="AJ100" s="246" t="n"/>
      <c r="AK100" s="260" t="n"/>
    </row>
    <row r="101" ht="14.25" customHeight="1" s="175">
      <c r="A101" s="267" t="inlineStr">
        <is>
          <t>Maxine</t>
        </is>
      </c>
      <c r="B101" s="268" t="n">
        <v>2</v>
      </c>
      <c r="C101" s="269" t="inlineStr">
        <is>
          <t>Reuben</t>
        </is>
      </c>
      <c r="D101" s="192" t="inlineStr">
        <is>
          <t>https://discord.com/channels/191975109500731392/1212839710439776287/1338279608512020593</t>
        </is>
      </c>
      <c r="F101" s="207" t="n"/>
      <c r="J101" s="246" t="n"/>
      <c r="K101" s="246" t="n"/>
      <c r="L101" s="246" t="n"/>
      <c r="M101" s="260" t="n"/>
      <c r="N101" s="260" t="n"/>
      <c r="O101" s="260" t="n"/>
      <c r="P101" s="260" t="n"/>
      <c r="Q101" s="182" t="n"/>
      <c r="T101" s="246" t="n"/>
      <c r="U101" s="246" t="n"/>
      <c r="V101" s="246" t="n"/>
      <c r="W101" s="246" t="n"/>
      <c r="X101" s="246" t="n"/>
      <c r="Y101" s="246" t="n"/>
      <c r="Z101" s="246" t="n"/>
      <c r="AA101" s="246" t="n"/>
      <c r="AB101" s="246" t="n"/>
      <c r="AC101" s="246" t="n"/>
      <c r="AD101" s="246" t="n"/>
      <c r="AG101" s="246" t="n"/>
      <c r="AJ101" s="246" t="n"/>
      <c r="AK101" s="260" t="n"/>
    </row>
    <row r="102" ht="14.25" customHeight="1" s="175">
      <c r="A102" s="267" t="inlineStr">
        <is>
          <t>Ethan</t>
        </is>
      </c>
      <c r="B102" s="268" t="n">
        <v>2</v>
      </c>
      <c r="C102" s="269" t="inlineStr">
        <is>
          <t>Evan</t>
        </is>
      </c>
      <c r="D102" s="192" t="inlineStr">
        <is>
          <t>https://discord.com/channels/191975109500731392/1212839710439776287/1338879997624189059</t>
        </is>
      </c>
      <c r="F102" s="207" t="n"/>
      <c r="J102" s="246" t="n"/>
      <c r="K102" s="246" t="n"/>
      <c r="L102" s="246" t="n"/>
      <c r="M102" s="260" t="n"/>
      <c r="N102" s="260" t="n"/>
      <c r="O102" s="260" t="n"/>
      <c r="P102" s="260" t="n"/>
      <c r="Q102" s="182" t="n"/>
      <c r="T102" s="246" t="n"/>
      <c r="U102" s="246" t="n"/>
      <c r="V102" s="246" t="n"/>
      <c r="W102" s="246" t="n"/>
      <c r="X102" s="246" t="n"/>
      <c r="Y102" s="246" t="n"/>
      <c r="Z102" s="246" t="n"/>
      <c r="AA102" s="246" t="n"/>
      <c r="AB102" s="246" t="n"/>
      <c r="AC102" s="246" t="n"/>
      <c r="AD102" s="246" t="n"/>
      <c r="AG102" s="246" t="n"/>
      <c r="AJ102" s="246" t="n"/>
      <c r="AK102" s="260" t="n"/>
    </row>
    <row r="103" ht="14.25" customHeight="1" s="175">
      <c r="A103" s="267" t="inlineStr">
        <is>
          <t>Ethan</t>
        </is>
      </c>
      <c r="B103" s="268" t="n">
        <v>1</v>
      </c>
      <c r="C103" s="269" t="inlineStr">
        <is>
          <t>David</t>
        </is>
      </c>
      <c r="D103" s="192" t="inlineStr">
        <is>
          <t>https://discord.com/channels/191975109500731392/1212839710439776287/1338945799152996394</t>
        </is>
      </c>
      <c r="F103" s="207" t="n"/>
      <c r="J103" s="246" t="n"/>
      <c r="K103" s="246" t="n"/>
      <c r="L103" s="246" t="n"/>
      <c r="M103" s="260" t="n"/>
      <c r="N103" s="260" t="n"/>
      <c r="O103" s="260" t="n"/>
      <c r="P103" s="260" t="n"/>
      <c r="Q103" s="182" t="n"/>
      <c r="T103" s="246" t="n"/>
      <c r="U103" s="246" t="n"/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G103" s="246" t="n"/>
      <c r="AJ103" s="246" t="n"/>
      <c r="AK103" s="260" t="n"/>
    </row>
    <row r="104" ht="14.25" customHeight="1" s="175">
      <c r="A104" s="267" t="inlineStr">
        <is>
          <t>David</t>
        </is>
      </c>
      <c r="B104" s="268" t="n">
        <v>1</v>
      </c>
      <c r="C104" s="269" t="inlineStr">
        <is>
          <t>Ethan</t>
        </is>
      </c>
      <c r="D104" s="192" t="inlineStr">
        <is>
          <t>https://discord.com/channels/191975109500731392/1212839710439776287/1338945866093957150</t>
        </is>
      </c>
      <c r="F104" s="207" t="n"/>
      <c r="J104" s="246" t="n"/>
      <c r="K104" s="246" t="n"/>
      <c r="L104" s="246" t="n"/>
      <c r="M104" s="260" t="n"/>
      <c r="N104" s="260" t="n"/>
      <c r="O104" s="260" t="n"/>
      <c r="P104" s="260" t="n"/>
      <c r="Q104" s="182" t="n"/>
      <c r="T104" s="246" t="n"/>
      <c r="U104" s="246" t="n"/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G104" s="246" t="n"/>
      <c r="AJ104" s="246" t="n"/>
      <c r="AK104" s="260" t="n"/>
    </row>
    <row r="105" ht="14.25" customHeight="1" s="175">
      <c r="A105" s="267" t="inlineStr">
        <is>
          <t>Grady</t>
        </is>
      </c>
      <c r="B105" s="268" t="n">
        <v>1</v>
      </c>
      <c r="C105" s="269" t="inlineStr">
        <is>
          <t>Tyler</t>
        </is>
      </c>
      <c r="D105" s="192" t="inlineStr">
        <is>
          <t>https://discord.com/channels/191975109500731392/1212839710439776287/1339291879346536629</t>
        </is>
      </c>
      <c r="F105" s="207" t="n"/>
      <c r="J105" s="246" t="n"/>
      <c r="K105" s="246" t="n"/>
      <c r="L105" s="246" t="n"/>
      <c r="M105" s="260" t="n"/>
      <c r="N105" s="260" t="n"/>
      <c r="O105" s="260" t="n"/>
      <c r="P105" s="260" t="n"/>
      <c r="Q105" s="182" t="n"/>
      <c r="T105" s="246" t="n"/>
      <c r="U105" s="246" t="n"/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G105" s="246" t="n"/>
      <c r="AJ105" s="246" t="n"/>
      <c r="AK105" s="260" t="n"/>
    </row>
    <row r="106" ht="14.25" customHeight="1" s="175">
      <c r="A106" s="267" t="inlineStr">
        <is>
          <t>David</t>
        </is>
      </c>
      <c r="B106" s="268" t="n">
        <v>2</v>
      </c>
      <c r="C106" s="269" t="inlineStr">
        <is>
          <t>Reuben</t>
        </is>
      </c>
      <c r="D106" s="192" t="inlineStr">
        <is>
          <t>https://discord.com/channels/191975109500731392/1212839710439776287/1339298061058314243</t>
        </is>
      </c>
      <c r="F106" s="207" t="n"/>
      <c r="J106" s="246" t="n"/>
      <c r="K106" s="246" t="n"/>
      <c r="L106" s="246" t="n"/>
      <c r="M106" s="260" t="n"/>
      <c r="N106" s="260" t="n"/>
      <c r="O106" s="260" t="n"/>
      <c r="P106" s="260" t="n"/>
      <c r="Q106" s="182" t="n"/>
      <c r="T106" s="246" t="n"/>
      <c r="U106" s="246" t="n"/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G106" s="246" t="n"/>
      <c r="AJ106" s="246" t="n"/>
      <c r="AK106" s="260" t="n"/>
    </row>
    <row r="107" ht="14.25" customHeight="1" s="175">
      <c r="A107" s="267" t="inlineStr">
        <is>
          <t>Joey</t>
        </is>
      </c>
      <c r="B107" s="268" t="n">
        <v>2</v>
      </c>
      <c r="C107" s="269" t="inlineStr">
        <is>
          <t>Ethan</t>
        </is>
      </c>
      <c r="D107" s="192" t="inlineStr">
        <is>
          <t>https://discord.com/channels/191975109500731392/1212839710439776287/1339310722940665959</t>
        </is>
      </c>
      <c r="F107" s="207" t="n"/>
      <c r="J107" s="246" t="n"/>
      <c r="K107" s="246" t="n"/>
      <c r="L107" s="246" t="n"/>
      <c r="M107" s="260" t="n"/>
      <c r="N107" s="260" t="n"/>
      <c r="O107" s="260" t="n"/>
      <c r="P107" s="260" t="n"/>
      <c r="Q107" s="182" t="n"/>
      <c r="T107" s="246" t="n"/>
      <c r="U107" s="246" t="n"/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G107" s="246" t="n"/>
      <c r="AJ107" s="246" t="n"/>
      <c r="AK107" s="260" t="n"/>
    </row>
    <row r="108" ht="14.25" customHeight="1" s="175">
      <c r="A108" s="267" t="inlineStr">
        <is>
          <t>Cooper</t>
        </is>
      </c>
      <c r="B108" s="268" t="n">
        <v>2</v>
      </c>
      <c r="C108" s="269" t="inlineStr">
        <is>
          <t>Reuben</t>
        </is>
      </c>
      <c r="D108" s="192" t="inlineStr">
        <is>
          <t>https://discord.com/channels/191975109500731392/1212839710439776287/1339344638355570688</t>
        </is>
      </c>
      <c r="F108" s="207" t="n"/>
      <c r="J108" s="246" t="n"/>
      <c r="K108" s="246" t="n"/>
      <c r="L108" s="246" t="n"/>
      <c r="M108" s="260" t="n"/>
      <c r="N108" s="260" t="n"/>
      <c r="O108" s="260" t="n"/>
      <c r="P108" s="260" t="n"/>
      <c r="Q108" s="182" t="n"/>
      <c r="T108" s="246" t="n"/>
      <c r="U108" s="246" t="n"/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G108" s="246" t="n"/>
      <c r="AJ108" s="246" t="n"/>
      <c r="AK108" s="260" t="n"/>
    </row>
    <row r="109" ht="14.25" customHeight="1" s="175">
      <c r="A109" s="267" t="inlineStr">
        <is>
          <t>Ethan</t>
        </is>
      </c>
      <c r="B109" s="268" t="n">
        <v>2</v>
      </c>
      <c r="C109" s="269" t="inlineStr">
        <is>
          <t>Carter</t>
        </is>
      </c>
      <c r="D109" s="192" t="inlineStr">
        <is>
          <t>https://discord.com/channels/191975109500731392/1212839710439776287/1339352139624874045</t>
        </is>
      </c>
      <c r="E109" s="173" t="n">
        <v>1</v>
      </c>
      <c r="F109" s="207" t="n"/>
      <c r="J109" s="246" t="n"/>
      <c r="K109" s="246" t="n"/>
      <c r="L109" s="246" t="n"/>
      <c r="M109" s="260" t="n"/>
      <c r="N109" s="260" t="n"/>
      <c r="O109" s="260" t="n"/>
      <c r="P109" s="260" t="n"/>
      <c r="Q109" s="182" t="n"/>
      <c r="T109" s="246" t="n"/>
      <c r="U109" s="246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G109" s="246" t="n"/>
      <c r="AJ109" s="246" t="n"/>
      <c r="AK109" s="260" t="n"/>
    </row>
    <row r="110" ht="14.25" customHeight="1" s="175">
      <c r="A110" s="267" t="inlineStr">
        <is>
          <t>Ethan</t>
        </is>
      </c>
      <c r="B110" s="268" t="n">
        <v>2</v>
      </c>
      <c r="C110" s="269" t="inlineStr">
        <is>
          <t>Reuben</t>
        </is>
      </c>
      <c r="D110" s="192" t="inlineStr">
        <is>
          <t>https://discord.com/channels/191975109500731392/1212839710439776287/1339392369073717338</t>
        </is>
      </c>
      <c r="F110" s="207" t="n"/>
      <c r="J110" s="246" t="n"/>
      <c r="K110" s="246" t="n"/>
      <c r="L110" s="246" t="n"/>
      <c r="M110" s="260" t="n"/>
      <c r="N110" s="260" t="n"/>
      <c r="O110" s="260" t="n"/>
      <c r="P110" s="260" t="n"/>
      <c r="Q110" s="182" t="n"/>
      <c r="T110" s="246" t="n"/>
      <c r="U110" s="246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G110" s="246" t="n"/>
      <c r="AJ110" s="246" t="n"/>
      <c r="AK110" s="260" t="n"/>
    </row>
    <row r="111" ht="14.25" customHeight="1" s="175">
      <c r="A111" s="267" t="inlineStr">
        <is>
          <t>Ethan</t>
        </is>
      </c>
      <c r="B111" s="268" t="n">
        <v>2</v>
      </c>
      <c r="C111" s="269" t="inlineStr">
        <is>
          <t>Evan</t>
        </is>
      </c>
      <c r="D111" s="192" t="inlineStr">
        <is>
          <t>https://discord.com/channels/191975109500731392/1212839710439776287/1339617845885009934</t>
        </is>
      </c>
      <c r="F111" s="207" t="n"/>
      <c r="J111" s="246" t="n"/>
      <c r="K111" s="246" t="n"/>
      <c r="L111" s="246" t="n"/>
      <c r="M111" s="260" t="n"/>
      <c r="N111" s="260" t="n"/>
      <c r="O111" s="260" t="n"/>
      <c r="P111" s="260" t="n"/>
      <c r="Q111" s="182" t="n"/>
      <c r="T111" s="246" t="n"/>
      <c r="U111" s="246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G111" s="246" t="n"/>
      <c r="AJ111" s="246" t="n"/>
      <c r="AK111" s="260" t="n"/>
    </row>
    <row r="112" ht="14.25" customHeight="1" s="175">
      <c r="A112" s="267" t="inlineStr">
        <is>
          <t>Evan</t>
        </is>
      </c>
      <c r="B112" s="268" t="n">
        <v>1</v>
      </c>
      <c r="C112" s="269" t="inlineStr">
        <is>
          <t>Ethan</t>
        </is>
      </c>
      <c r="D112" s="192" t="inlineStr">
        <is>
          <t>https://discord.com/channels/191975109500731392/1212839710439776287/1339617990538432585</t>
        </is>
      </c>
      <c r="F112" s="207" t="n"/>
      <c r="J112" s="246" t="n"/>
      <c r="K112" s="246" t="n"/>
      <c r="L112" s="246" t="n"/>
      <c r="M112" s="260" t="n"/>
      <c r="N112" s="260" t="n"/>
      <c r="O112" s="260" t="n"/>
      <c r="P112" s="260" t="n"/>
      <c r="Q112" s="182" t="n"/>
      <c r="T112" s="246" t="n"/>
      <c r="U112" s="246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G112" s="246" t="n"/>
      <c r="AJ112" s="246" t="n"/>
      <c r="AK112" s="260" t="n"/>
    </row>
    <row r="113" ht="14.25" customHeight="1" s="175">
      <c r="A113" s="267" t="inlineStr">
        <is>
          <t>Ethan</t>
        </is>
      </c>
      <c r="B113" s="268" t="n">
        <v>2</v>
      </c>
      <c r="C113" s="269" t="inlineStr">
        <is>
          <t>Carter</t>
        </is>
      </c>
      <c r="D113" s="192" t="inlineStr">
        <is>
          <t>https://discord.com/channels/191975109500731392/1212839710439776287/1339620357551947867</t>
        </is>
      </c>
      <c r="E113" s="173" t="n">
        <v>0</v>
      </c>
      <c r="F113" s="207" t="n"/>
      <c r="J113" s="246" t="n"/>
      <c r="K113" s="246" t="n"/>
      <c r="L113" s="246" t="n"/>
      <c r="M113" s="260" t="n"/>
      <c r="N113" s="260" t="n"/>
      <c r="O113" s="260" t="n"/>
      <c r="P113" s="260" t="n"/>
      <c r="Q113" s="182" t="n"/>
      <c r="T113" s="246" t="n"/>
      <c r="U113" s="246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G113" s="246" t="n"/>
      <c r="AJ113" s="246" t="n"/>
      <c r="AK113" s="260" t="n"/>
    </row>
    <row r="114" ht="14.25" customHeight="1" s="175">
      <c r="A114" s="267" t="inlineStr">
        <is>
          <t>Carter</t>
        </is>
      </c>
      <c r="B114" s="268" t="n">
        <v>2</v>
      </c>
      <c r="C114" s="269" t="inlineStr">
        <is>
          <t>Anthony</t>
        </is>
      </c>
      <c r="D114" s="192" t="inlineStr">
        <is>
          <t>https://discord.com/channels/191975109500731392/1212839710439776287/1339993719579086940</t>
        </is>
      </c>
      <c r="F114" s="207" t="n"/>
      <c r="J114" s="246" t="n"/>
      <c r="K114" s="246" t="n"/>
      <c r="L114" s="246" t="n"/>
      <c r="M114" s="260" t="n"/>
      <c r="N114" s="260" t="n"/>
      <c r="O114" s="260" t="n"/>
      <c r="P114" s="260" t="n"/>
      <c r="Q114" s="182" t="n"/>
      <c r="T114" s="246" t="n"/>
      <c r="U114" s="246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G114" s="246" t="n"/>
      <c r="AJ114" s="246" t="n"/>
      <c r="AK114" s="260" t="n"/>
    </row>
    <row r="115" ht="14.25" customHeight="1" s="175">
      <c r="A115" s="267" t="inlineStr">
        <is>
          <t>Ethan</t>
        </is>
      </c>
      <c r="B115" s="268" t="n">
        <v>2</v>
      </c>
      <c r="C115" s="269" t="inlineStr">
        <is>
          <t>Reuben</t>
        </is>
      </c>
      <c r="D115" s="192" t="inlineStr">
        <is>
          <t>https://discord.com/channels/191975109500731392/1212839710439776287/1340060963424178187</t>
        </is>
      </c>
      <c r="F115" s="207" t="n"/>
      <c r="J115" s="246" t="n"/>
      <c r="K115" s="246" t="n"/>
      <c r="L115" s="246" t="n"/>
      <c r="M115" s="260" t="n"/>
      <c r="N115" s="260" t="n"/>
      <c r="O115" s="260" t="n"/>
      <c r="P115" s="260" t="n"/>
      <c r="Q115" s="182" t="n"/>
      <c r="T115" s="246" t="n"/>
      <c r="U115" s="246" t="n"/>
      <c r="V115" s="246" t="n"/>
      <c r="W115" s="246" t="n"/>
      <c r="X115" s="246" t="n"/>
      <c r="Y115" s="246" t="n"/>
      <c r="Z115" s="246" t="n"/>
      <c r="AA115" s="246" t="n"/>
      <c r="AB115" s="246" t="n"/>
      <c r="AC115" s="246" t="n"/>
      <c r="AD115" s="246" t="n"/>
      <c r="AE115" s="246" t="n"/>
      <c r="AF115" s="246" t="n"/>
      <c r="AG115" s="246" t="n"/>
      <c r="AJ115" s="246" t="n"/>
      <c r="AK115" s="260" t="n"/>
    </row>
    <row r="116" ht="14.25" customHeight="1" s="175">
      <c r="A116" s="267" t="inlineStr">
        <is>
          <t>Ethan</t>
        </is>
      </c>
      <c r="B116" s="268" t="n">
        <v>2</v>
      </c>
      <c r="C116" s="269" t="inlineStr">
        <is>
          <t>Reuben</t>
        </is>
      </c>
      <c r="D116" s="192" t="inlineStr">
        <is>
          <t>https://discord.com/channels/191975109500731392/1212839710439776287/1340456559288909844</t>
        </is>
      </c>
      <c r="F116" s="207" t="n"/>
      <c r="J116" s="246" t="n"/>
      <c r="K116" s="246" t="n"/>
      <c r="L116" s="246" t="n"/>
      <c r="M116" s="260" t="n"/>
      <c r="N116" s="260" t="n"/>
      <c r="O116" s="260" t="n"/>
      <c r="P116" s="260" t="n"/>
      <c r="Q116" s="182" t="n"/>
      <c r="T116" s="246" t="n"/>
      <c r="U116" s="246" t="n"/>
      <c r="V116" s="246" t="n"/>
      <c r="W116" s="246" t="n"/>
      <c r="X116" s="246" t="n"/>
      <c r="Y116" s="246" t="n"/>
      <c r="Z116" s="246" t="n"/>
      <c r="AA116" s="246" t="n"/>
      <c r="AB116" s="246" t="n"/>
      <c r="AC116" s="246" t="n"/>
      <c r="AD116" s="246" t="n"/>
      <c r="AE116" s="246" t="n"/>
      <c r="AF116" s="246" t="n"/>
      <c r="AG116" s="246" t="n"/>
      <c r="AJ116" s="246" t="n"/>
      <c r="AK116" s="260" t="n"/>
    </row>
    <row r="117" ht="14.25" customHeight="1" s="175">
      <c r="A117" s="267" t="inlineStr">
        <is>
          <t>Ethan</t>
        </is>
      </c>
      <c r="B117" s="268" t="n">
        <v>2</v>
      </c>
      <c r="C117" s="269" t="inlineStr">
        <is>
          <t>Reuben</t>
        </is>
      </c>
      <c r="D117" s="192" t="inlineStr">
        <is>
          <t>https://discord.com/channels/191975109500731392/1212839710439776287/1340470228131385354</t>
        </is>
      </c>
      <c r="F117" s="207" t="n"/>
      <c r="J117" s="246" t="n"/>
      <c r="K117" s="246" t="n"/>
      <c r="L117" s="246" t="n"/>
      <c r="M117" s="260" t="n"/>
      <c r="N117" s="260" t="n"/>
      <c r="O117" s="260" t="n"/>
      <c r="P117" s="260" t="n"/>
      <c r="Q117" s="182" t="n"/>
      <c r="T117" s="246" t="n"/>
      <c r="U117" s="246" t="n"/>
      <c r="V117" s="246" t="n"/>
      <c r="W117" s="246" t="n"/>
      <c r="X117" s="246" t="n"/>
      <c r="Y117" s="246" t="n"/>
      <c r="Z117" s="246" t="n"/>
      <c r="AA117" s="246" t="n"/>
      <c r="AB117" s="246" t="n"/>
      <c r="AC117" s="246" t="n"/>
      <c r="AD117" s="246" t="n"/>
      <c r="AE117" s="246" t="n"/>
      <c r="AF117" s="246" t="n"/>
      <c r="AG117" s="246" t="n"/>
      <c r="AJ117" s="246" t="n"/>
      <c r="AK117" s="260" t="n"/>
    </row>
    <row r="118" ht="14.25" customHeight="1" s="175">
      <c r="A118" s="267" t="inlineStr">
        <is>
          <t>David</t>
        </is>
      </c>
      <c r="B118" s="268" t="n">
        <v>1</v>
      </c>
      <c r="C118" s="269" t="inlineStr">
        <is>
          <t>Ethan</t>
        </is>
      </c>
      <c r="D118" s="192" t="inlineStr">
        <is>
          <t>https://discord.com/channels/191975109500731392/1212839710439776287/1340814410985242836</t>
        </is>
      </c>
      <c r="F118" s="207" t="n"/>
      <c r="J118" s="246" t="n"/>
      <c r="K118" s="246" t="n"/>
      <c r="L118" s="246" t="n"/>
      <c r="M118" s="260" t="n"/>
      <c r="N118" s="260" t="n"/>
      <c r="O118" s="260" t="n"/>
      <c r="P118" s="260" t="n"/>
      <c r="Q118" s="182" t="n"/>
      <c r="T118" s="246" t="n"/>
      <c r="U118" s="246" t="n"/>
      <c r="V118" s="246" t="n"/>
      <c r="W118" s="246" t="n"/>
      <c r="X118" s="246" t="n"/>
      <c r="Y118" s="246" t="n"/>
      <c r="Z118" s="246" t="n"/>
      <c r="AA118" s="246" t="n"/>
      <c r="AB118" s="246" t="n"/>
      <c r="AC118" s="246" t="n"/>
      <c r="AD118" s="246" t="n"/>
      <c r="AE118" s="246" t="n"/>
      <c r="AF118" s="246" t="n"/>
      <c r="AG118" s="246" t="n"/>
      <c r="AJ118" s="246" t="n"/>
      <c r="AK118" s="260" t="n"/>
    </row>
    <row r="119" ht="14.25" customHeight="1" s="175">
      <c r="A119" s="267" t="inlineStr">
        <is>
          <t>Maxine</t>
        </is>
      </c>
      <c r="B119" s="268" t="n">
        <v>1</v>
      </c>
      <c r="C119" s="269" t="inlineStr">
        <is>
          <t>Ethan</t>
        </is>
      </c>
      <c r="D119" s="192" t="inlineStr">
        <is>
          <t>https://discord.com/channels/191975109500731392/1212839710439776287/1340814469818749068</t>
        </is>
      </c>
      <c r="F119" s="207" t="n"/>
      <c r="J119" s="246" t="n"/>
      <c r="K119" s="246" t="n"/>
      <c r="L119" s="246" t="n"/>
      <c r="M119" s="260" t="n"/>
      <c r="N119" s="260" t="n"/>
      <c r="O119" s="260" t="n"/>
      <c r="P119" s="260" t="n"/>
      <c r="Q119" s="182" t="n"/>
      <c r="T119" s="246" t="n"/>
      <c r="U119" s="246" t="n"/>
      <c r="V119" s="246" t="n"/>
      <c r="W119" s="246" t="n"/>
      <c r="X119" s="246" t="n"/>
      <c r="Y119" s="246" t="n"/>
      <c r="Z119" s="246" t="n"/>
      <c r="AA119" s="246" t="n"/>
      <c r="AB119" s="246" t="n"/>
      <c r="AC119" s="246" t="n"/>
      <c r="AD119" s="246" t="n"/>
      <c r="AE119" s="246" t="n"/>
      <c r="AF119" s="246" t="n"/>
      <c r="AG119" s="246" t="n"/>
      <c r="AJ119" s="246" t="n"/>
      <c r="AK119" s="260" t="n"/>
    </row>
    <row r="120" ht="14.25" customHeight="1" s="175">
      <c r="A120" s="267" t="inlineStr">
        <is>
          <t>Ethan</t>
        </is>
      </c>
      <c r="B120" s="268" t="n">
        <v>1</v>
      </c>
      <c r="C120" s="269" t="inlineStr">
        <is>
          <t>Maxine</t>
        </is>
      </c>
      <c r="D120" s="192" t="inlineStr">
        <is>
          <t>https://discord.com/channels/191975109500731392/1212839710439776287/1340814596830920714</t>
        </is>
      </c>
      <c r="F120" s="207" t="n"/>
      <c r="J120" s="246" t="n"/>
      <c r="K120" s="246" t="n"/>
      <c r="L120" s="246" t="n"/>
      <c r="M120" s="260" t="n"/>
      <c r="N120" s="260" t="n"/>
      <c r="O120" s="260" t="n"/>
      <c r="P120" s="260" t="n"/>
      <c r="Q120" s="182" t="n"/>
      <c r="T120" s="246" t="n"/>
      <c r="U120" s="246" t="n"/>
      <c r="V120" s="246" t="n"/>
      <c r="W120" s="246" t="n"/>
      <c r="X120" s="246" t="n"/>
      <c r="Y120" s="246" t="n"/>
      <c r="Z120" s="246" t="n"/>
      <c r="AA120" s="246" t="n"/>
      <c r="AB120" s="246" t="n"/>
      <c r="AC120" s="246" t="n"/>
      <c r="AD120" s="246" t="n"/>
      <c r="AE120" s="246" t="n"/>
      <c r="AF120" s="246" t="n"/>
      <c r="AG120" s="246" t="n"/>
      <c r="AJ120" s="246" t="n"/>
      <c r="AK120" s="260" t="n"/>
    </row>
    <row r="121" ht="14.25" customHeight="1" s="175">
      <c r="A121" s="267" t="inlineStr">
        <is>
          <t>Ethan</t>
        </is>
      </c>
      <c r="B121" s="268" t="n">
        <v>1</v>
      </c>
      <c r="C121" s="269" t="inlineStr">
        <is>
          <t>David</t>
        </is>
      </c>
      <c r="D121" s="192" t="inlineStr">
        <is>
          <t>https://discord.com/channels/191975109500731392/1212839710439776287/1340814596830920714</t>
        </is>
      </c>
      <c r="F121" s="207" t="n"/>
      <c r="J121" s="246" t="n"/>
      <c r="K121" s="246" t="n"/>
      <c r="L121" s="246" t="n"/>
      <c r="M121" s="260" t="n"/>
      <c r="N121" s="260" t="n"/>
      <c r="O121" s="260" t="n"/>
      <c r="P121" s="260" t="n"/>
      <c r="Q121" s="182" t="n"/>
      <c r="T121" s="246" t="n"/>
      <c r="U121" s="246" t="n"/>
      <c r="V121" s="246" t="n"/>
      <c r="W121" s="246" t="n"/>
      <c r="X121" s="246" t="n"/>
      <c r="Y121" s="246" t="n"/>
      <c r="Z121" s="246" t="n"/>
      <c r="AA121" s="246" t="n"/>
      <c r="AB121" s="246" t="n"/>
      <c r="AC121" s="246" t="n"/>
      <c r="AD121" s="246" t="n"/>
      <c r="AE121" s="246" t="n"/>
      <c r="AF121" s="246" t="n"/>
      <c r="AG121" s="246" t="n"/>
      <c r="AJ121" s="246" t="n"/>
      <c r="AK121" s="260" t="n"/>
    </row>
    <row r="122" ht="14.25" customHeight="1" s="175">
      <c r="A122" s="267" t="inlineStr">
        <is>
          <t>Carter</t>
        </is>
      </c>
      <c r="B122" s="268" t="n">
        <v>1</v>
      </c>
      <c r="C122" s="294" t="inlineStr">
        <is>
          <t>Evan</t>
        </is>
      </c>
      <c r="D122" s="192" t="inlineStr">
        <is>
          <t>https://discord.com/channels/191975109500731392/1212839710439776287/1341415788745195561</t>
        </is>
      </c>
      <c r="F122" s="207" t="n"/>
      <c r="J122" s="246" t="n"/>
      <c r="K122" s="246" t="n"/>
      <c r="L122" s="246" t="n"/>
      <c r="M122" s="260" t="n"/>
      <c r="N122" s="260" t="n"/>
      <c r="O122" s="260" t="n"/>
      <c r="P122" s="260" t="n"/>
      <c r="Q122" s="182" t="n"/>
      <c r="T122" s="246" t="n"/>
      <c r="U122" s="246" t="n"/>
      <c r="V122" s="246" t="n"/>
      <c r="W122" s="246" t="n"/>
      <c r="X122" s="246" t="n"/>
      <c r="Y122" s="246" t="n"/>
      <c r="Z122" s="246" t="n"/>
      <c r="AA122" s="246" t="n"/>
      <c r="AB122" s="246" t="n"/>
      <c r="AC122" s="246" t="n"/>
      <c r="AD122" s="246" t="n"/>
      <c r="AE122" s="246" t="n"/>
      <c r="AF122" s="246" t="n"/>
      <c r="AG122" s="246" t="n"/>
      <c r="AJ122" s="246" t="n"/>
      <c r="AK122" s="260" t="n"/>
    </row>
    <row r="123" ht="14.25" customHeight="1" s="175">
      <c r="A123" s="267" t="inlineStr">
        <is>
          <t>Grady</t>
        </is>
      </c>
      <c r="B123" s="268" t="n">
        <v>2</v>
      </c>
      <c r="C123" s="294" t="inlineStr">
        <is>
          <t>Carter</t>
        </is>
      </c>
      <c r="D123" s="192" t="inlineStr">
        <is>
          <t>https://discord.com/channels/191975109500731392/1212839710439776287/1341446113479098399</t>
        </is>
      </c>
      <c r="E123" s="173" t="n">
        <v>0</v>
      </c>
      <c r="F123" s="207" t="n"/>
      <c r="J123" s="246" t="n"/>
      <c r="K123" s="246" t="n"/>
      <c r="L123" s="246" t="n"/>
      <c r="M123" s="260" t="n"/>
      <c r="N123" s="260" t="n"/>
      <c r="O123" s="260" t="n"/>
      <c r="P123" s="260" t="n"/>
      <c r="Q123" s="182" t="n"/>
      <c r="T123" s="246" t="n"/>
      <c r="U123" s="246" t="n"/>
      <c r="V123" s="246" t="n"/>
      <c r="W123" s="246" t="n"/>
      <c r="X123" s="246" t="n"/>
      <c r="Y123" s="246" t="n"/>
      <c r="Z123" s="246" t="n"/>
      <c r="AA123" s="246" t="n"/>
      <c r="AB123" s="246" t="n"/>
      <c r="AC123" s="246" t="n"/>
      <c r="AD123" s="246" t="n"/>
      <c r="AE123" s="246" t="n"/>
      <c r="AF123" s="246" t="n"/>
      <c r="AG123" s="246" t="n"/>
      <c r="AJ123" s="246" t="n"/>
      <c r="AK123" s="260" t="n"/>
    </row>
    <row r="124" ht="14.25" customHeight="1" s="175">
      <c r="A124" s="267" t="inlineStr">
        <is>
          <t>David</t>
        </is>
      </c>
      <c r="B124" s="268" t="n">
        <v>1</v>
      </c>
      <c r="C124" s="294" t="inlineStr">
        <is>
          <t>Reuben</t>
        </is>
      </c>
      <c r="D124" s="192" t="inlineStr">
        <is>
          <t>https://discord.com/channels/191975109500731392/1212839710439776287/1341480819440488548</t>
        </is>
      </c>
      <c r="F124" s="207" t="n"/>
      <c r="J124" s="246" t="n"/>
      <c r="K124" s="246" t="n"/>
      <c r="L124" s="246" t="n"/>
      <c r="M124" s="260" t="n"/>
      <c r="N124" s="260" t="n"/>
      <c r="O124" s="260" t="n"/>
      <c r="P124" s="260" t="n"/>
      <c r="Q124" s="182" t="n"/>
      <c r="T124" s="246" t="n"/>
      <c r="U124" s="246" t="n"/>
      <c r="V124" s="246" t="n"/>
      <c r="W124" s="246" t="n"/>
      <c r="X124" s="246" t="n"/>
      <c r="Y124" s="246" t="n"/>
      <c r="Z124" s="246" t="n"/>
      <c r="AA124" s="246" t="n"/>
      <c r="AB124" s="246" t="n"/>
      <c r="AC124" s="246" t="n"/>
      <c r="AD124" s="246" t="n"/>
      <c r="AE124" s="246" t="n"/>
      <c r="AF124" s="246" t="n"/>
      <c r="AG124" s="246" t="n"/>
      <c r="AJ124" s="246" t="n"/>
      <c r="AK124" s="260" t="n"/>
    </row>
    <row r="125" ht="14.25" customHeight="1" s="175">
      <c r="A125" s="267" t="inlineStr">
        <is>
          <t>Anthony</t>
        </is>
      </c>
      <c r="B125" s="268" t="n">
        <v>2</v>
      </c>
      <c r="C125" s="294" t="inlineStr">
        <is>
          <t>Reuben</t>
        </is>
      </c>
      <c r="D125" s="192" t="inlineStr">
        <is>
          <t>https://discord.com/channels/191975109500731392/1212839710439776287/1341790549224718436</t>
        </is>
      </c>
      <c r="F125" s="207" t="n"/>
      <c r="J125" s="246" t="n"/>
      <c r="K125" s="246" t="n"/>
      <c r="L125" s="246" t="n"/>
      <c r="M125" s="260" t="n"/>
      <c r="N125" s="260" t="n"/>
      <c r="O125" s="260" t="n"/>
      <c r="P125" s="260" t="n"/>
      <c r="Q125" s="182" t="n"/>
      <c r="T125" s="246" t="n"/>
      <c r="U125" s="246" t="n"/>
      <c r="V125" s="246" t="n"/>
      <c r="W125" s="246" t="n"/>
      <c r="X125" s="246" t="n"/>
      <c r="Y125" s="246" t="n"/>
      <c r="Z125" s="246" t="n"/>
      <c r="AA125" s="246" t="n"/>
      <c r="AB125" s="246" t="n"/>
      <c r="AC125" s="246" t="n"/>
      <c r="AD125" s="246" t="n"/>
      <c r="AE125" s="246" t="n"/>
      <c r="AF125" s="246" t="n"/>
      <c r="AG125" s="246" t="n"/>
      <c r="AJ125" s="246" t="n"/>
      <c r="AK125" s="260" t="n"/>
    </row>
    <row r="126" ht="14.25" customHeight="1" s="175">
      <c r="A126" s="267" t="inlineStr">
        <is>
          <t>David</t>
        </is>
      </c>
      <c r="B126" s="268" t="n">
        <v>2</v>
      </c>
      <c r="C126" s="269" t="inlineStr">
        <is>
          <t>Reuben</t>
        </is>
      </c>
      <c r="D126" s="192" t="inlineStr">
        <is>
          <t>https://discord.com/channels/191975109500731392/1212839710439776287/1341844758166896741</t>
        </is>
      </c>
      <c r="F126" s="207" t="n"/>
    </row>
    <row r="127" ht="14.25" customHeight="1" s="175">
      <c r="A127" s="267" t="inlineStr">
        <is>
          <t>Ethan</t>
        </is>
      </c>
      <c r="B127" s="268" t="n">
        <v>2</v>
      </c>
      <c r="C127" s="269" t="inlineStr">
        <is>
          <t>Reuben</t>
        </is>
      </c>
      <c r="D127" s="192" t="inlineStr">
        <is>
          <t>https://discord.com/channels/191975109500731392/1212839710439776287/1342189844323110972</t>
        </is>
      </c>
      <c r="F127" s="207" t="n"/>
    </row>
    <row r="128" ht="14.25" customHeight="1" s="175">
      <c r="A128" s="267" t="inlineStr">
        <is>
          <t>Ethan</t>
        </is>
      </c>
      <c r="B128" s="268" t="n">
        <v>1</v>
      </c>
      <c r="C128" s="269" t="inlineStr">
        <is>
          <t>Evan</t>
        </is>
      </c>
      <c r="D128" s="192" t="inlineStr">
        <is>
          <t>https://discord.com/channels/191975109500731392/1212839710439776287/1342194813344288871</t>
        </is>
      </c>
      <c r="F128" s="207" t="n"/>
    </row>
    <row r="129" ht="14.25" customHeight="1" s="175">
      <c r="A129" s="267" t="inlineStr">
        <is>
          <t>Evan</t>
        </is>
      </c>
      <c r="B129" s="268" t="n">
        <v>2</v>
      </c>
      <c r="C129" s="269" t="inlineStr">
        <is>
          <t>Reuben</t>
        </is>
      </c>
      <c r="D129" s="192" t="inlineStr">
        <is>
          <t>https://discord.com/channels/191975109500731392/1212839710439776287/1342195006043324517</t>
        </is>
      </c>
      <c r="F129" s="207" t="n"/>
    </row>
    <row r="130" ht="14.25" customHeight="1" s="175">
      <c r="A130" s="267" t="inlineStr">
        <is>
          <t>Evan</t>
        </is>
      </c>
      <c r="B130" s="268" t="n">
        <v>1</v>
      </c>
      <c r="C130" s="269" t="inlineStr">
        <is>
          <t>Ethan</t>
        </is>
      </c>
      <c r="D130" s="192" t="inlineStr">
        <is>
          <t>https://discord.com/channels/191975109500731392/1212839710439776287/1342195278786072659</t>
        </is>
      </c>
      <c r="F130" s="207" t="n"/>
    </row>
    <row r="131" ht="14.25" customHeight="1" s="175">
      <c r="A131" s="267" t="inlineStr">
        <is>
          <t>Grady</t>
        </is>
      </c>
      <c r="B131" s="268" t="n">
        <v>2</v>
      </c>
      <c r="C131" s="269" t="inlineStr">
        <is>
          <t>Reuben</t>
        </is>
      </c>
      <c r="D131" s="192" t="inlineStr">
        <is>
          <t>https://discord.com/channels/191975109500731392/1212839710439776287/1342614511055671398</t>
        </is>
      </c>
      <c r="F131" s="207" t="n"/>
    </row>
    <row r="132" ht="14.25" customHeight="1" s="175">
      <c r="A132" s="267" t="inlineStr">
        <is>
          <t>Ethan</t>
        </is>
      </c>
      <c r="B132" s="268" t="n">
        <v>2</v>
      </c>
      <c r="C132" s="269" t="inlineStr">
        <is>
          <t>Evan</t>
        </is>
      </c>
      <c r="D132" s="192" t="inlineStr">
        <is>
          <t>https://discord.com/channels/191975109500731392/1212839710439776287/1343627918710145105</t>
        </is>
      </c>
      <c r="F132" s="207" t="n"/>
    </row>
    <row r="133" ht="14.25" customHeight="1" s="175">
      <c r="A133" s="267" t="inlineStr">
        <is>
          <t>Evan</t>
        </is>
      </c>
      <c r="B133" s="268" t="n">
        <v>1</v>
      </c>
      <c r="C133" s="269" t="inlineStr">
        <is>
          <t>Reuben</t>
        </is>
      </c>
      <c r="D133" s="192" t="inlineStr">
        <is>
          <t>https://discord.com/channels/191975109500731392/1212839710439776287/1343628662699987004</t>
        </is>
      </c>
      <c r="F133" s="207" t="n"/>
    </row>
    <row r="134" ht="14.25" customHeight="1" s="175">
      <c r="A134" s="267" t="inlineStr">
        <is>
          <t>David</t>
        </is>
      </c>
      <c r="B134" s="268" t="n">
        <v>2</v>
      </c>
      <c r="C134" s="269" t="inlineStr">
        <is>
          <t>Reuben</t>
        </is>
      </c>
      <c r="D134" s="192" t="inlineStr">
        <is>
          <t>https://discord.com/channels/191975109500731392/1212839710439776287/1343690688692355134</t>
        </is>
      </c>
      <c r="F134" s="207" t="n"/>
    </row>
    <row r="135" ht="14.25" customHeight="1" s="175">
      <c r="A135" s="267" t="inlineStr">
        <is>
          <t>Ethan</t>
        </is>
      </c>
      <c r="B135" s="268" t="n">
        <v>1</v>
      </c>
      <c r="C135" s="269" t="inlineStr">
        <is>
          <t>Evan</t>
        </is>
      </c>
      <c r="D135" s="192" t="inlineStr">
        <is>
          <t>https://discord.com/channels/191975109500731392/1212839710439776287/1343702770301014118</t>
        </is>
      </c>
      <c r="F135" s="207" t="n"/>
    </row>
    <row r="136" ht="14.25" customHeight="1" s="175">
      <c r="A136" s="267" t="inlineStr">
        <is>
          <t>Evan</t>
        </is>
      </c>
      <c r="B136" s="268" t="n">
        <v>1</v>
      </c>
      <c r="C136" s="269" t="inlineStr">
        <is>
          <t>Ethan</t>
        </is>
      </c>
      <c r="D136" s="192" t="inlineStr">
        <is>
          <t>https://discord.com/channels/191975109500731392/1212839710439776287/1343702796142379059</t>
        </is>
      </c>
      <c r="F136" s="207" t="n"/>
    </row>
    <row r="137" ht="14.25" customHeight="1" s="175">
      <c r="A137" s="267" t="inlineStr">
        <is>
          <t>Evan</t>
        </is>
      </c>
      <c r="B137" s="268" t="n">
        <v>2</v>
      </c>
      <c r="C137" s="269" t="inlineStr">
        <is>
          <t>Grady</t>
        </is>
      </c>
      <c r="D137" s="192" t="inlineStr">
        <is>
          <t>https://discord.com/channels/191975109500731392/1212839710439776287/1343706189300633770</t>
        </is>
      </c>
      <c r="F137" s="207" t="n"/>
    </row>
    <row r="138" ht="14.25" customHeight="1" s="175">
      <c r="A138" s="267" t="inlineStr">
        <is>
          <t>Ethan</t>
        </is>
      </c>
      <c r="B138" s="268" t="n">
        <v>2</v>
      </c>
      <c r="C138" s="269" t="inlineStr">
        <is>
          <t>Grady</t>
        </is>
      </c>
      <c r="D138" s="192" t="inlineStr">
        <is>
          <t>https://discord.com/channels/191975109500731392/1212839710439776287/1343706528879738901</t>
        </is>
      </c>
      <c r="F138" s="207" t="n"/>
    </row>
    <row r="139" ht="14.25" customHeight="1" s="175">
      <c r="A139" s="267" t="inlineStr">
        <is>
          <t>Grady</t>
        </is>
      </c>
      <c r="B139" s="268" t="n">
        <v>1</v>
      </c>
      <c r="C139" s="269" t="inlineStr">
        <is>
          <t>Ethan</t>
        </is>
      </c>
      <c r="D139" s="192" t="inlineStr">
        <is>
          <t>https://discord.com/channels/191975109500731392/1212839710439776287/1343707381795913781</t>
        </is>
      </c>
      <c r="F139" s="207" t="n"/>
    </row>
    <row r="140" ht="14.25" customHeight="1" s="175">
      <c r="A140" s="267" t="inlineStr">
        <is>
          <t>Grady</t>
        </is>
      </c>
      <c r="B140" s="268" t="n">
        <v>1</v>
      </c>
      <c r="C140" s="269" t="inlineStr">
        <is>
          <t>Evan</t>
        </is>
      </c>
      <c r="D140" s="192" t="inlineStr">
        <is>
          <t>https://discord.com/channels/191975109500731392/1212839710439776287/1343707381795913781</t>
        </is>
      </c>
      <c r="F140" s="207" t="n"/>
    </row>
    <row r="141" ht="14.25" customHeight="1" s="175">
      <c r="A141" s="267" t="inlineStr">
        <is>
          <t>Maxine</t>
        </is>
      </c>
      <c r="B141" s="268" t="n">
        <v>1</v>
      </c>
      <c r="C141" s="269" t="inlineStr">
        <is>
          <t>Reuben</t>
        </is>
      </c>
      <c r="D141" s="192" t="inlineStr">
        <is>
          <t>https://discord.com/channels/191975109500731392/1212839710439776287/1343712668623831133</t>
        </is>
      </c>
      <c r="F141" s="207" t="n"/>
    </row>
    <row r="142" ht="14.25" customHeight="1" s="175">
      <c r="A142" s="267" t="inlineStr">
        <is>
          <t>Carter</t>
        </is>
      </c>
      <c r="B142" s="268" t="n">
        <v>1</v>
      </c>
      <c r="C142" s="269" t="inlineStr">
        <is>
          <t>Reuben</t>
        </is>
      </c>
      <c r="D142" s="192" t="inlineStr">
        <is>
          <t>https://discord.com/channels/191975109500731392/1212839710439776287/1343712848416866387</t>
        </is>
      </c>
      <c r="F142" s="207" t="n"/>
    </row>
    <row r="143" ht="14.25" customHeight="1" s="175">
      <c r="A143" s="267" t="inlineStr">
        <is>
          <t>Anthony</t>
        </is>
      </c>
      <c r="B143" s="268" t="n">
        <v>2</v>
      </c>
      <c r="C143" s="269" t="inlineStr">
        <is>
          <t>Reuben</t>
        </is>
      </c>
      <c r="D143" s="192" t="inlineStr">
        <is>
          <t>https://discord.com/channels/191975109500731392/1212839710439776287/1343720707510505607</t>
        </is>
      </c>
      <c r="F143" s="207" t="n"/>
    </row>
    <row r="144" ht="14.25" customHeight="1" s="175">
      <c r="A144" s="267" t="inlineStr">
        <is>
          <t>Ethan</t>
        </is>
      </c>
      <c r="B144" s="268" t="n">
        <v>2</v>
      </c>
      <c r="C144" s="269" t="inlineStr">
        <is>
          <t>Evan</t>
        </is>
      </c>
      <c r="D144" s="192" t="inlineStr">
        <is>
          <t>https://discord.com/channels/191975109500731392/1212839710439776287/1343952984916361266</t>
        </is>
      </c>
      <c r="F144" s="207" t="n"/>
    </row>
    <row r="145" ht="14.25" customHeight="1" s="175">
      <c r="A145" s="267" t="inlineStr">
        <is>
          <t>Cooper</t>
        </is>
      </c>
      <c r="B145" s="268" t="n">
        <v>2</v>
      </c>
      <c r="C145" s="269" t="inlineStr">
        <is>
          <t>Evan</t>
        </is>
      </c>
      <c r="D145" s="192" t="inlineStr">
        <is>
          <t>https://discord.com/channels/191975109500731392/1212839710439776287/1344367936374177934</t>
        </is>
      </c>
      <c r="F145" s="207" t="n"/>
    </row>
    <row r="146" ht="14.25" customHeight="1" s="175">
      <c r="A146" s="267" t="inlineStr">
        <is>
          <t>Carter</t>
        </is>
      </c>
      <c r="B146" s="268" t="n">
        <v>2</v>
      </c>
      <c r="C146" s="269" t="inlineStr">
        <is>
          <t>Reuben</t>
        </is>
      </c>
      <c r="D146" s="192" t="inlineStr">
        <is>
          <t>https://discord.com/channels/191975109500731392/1212839710439776287/1344425839986606090</t>
        </is>
      </c>
      <c r="F146" s="207" t="n"/>
    </row>
    <row r="147" ht="14.25" customHeight="1" s="175">
      <c r="A147" s="267" t="inlineStr">
        <is>
          <t>Ethan</t>
        </is>
      </c>
      <c r="B147" s="268" t="n">
        <v>2</v>
      </c>
      <c r="C147" s="269" t="inlineStr">
        <is>
          <t>Grady</t>
        </is>
      </c>
      <c r="D147" s="192" t="inlineStr">
        <is>
          <t>https://discord.com/channels/191975109500731392/1212839710439776287/1344708736735907890</t>
        </is>
      </c>
      <c r="F147" s="207" t="n"/>
    </row>
    <row r="148" ht="14.25" customHeight="1" s="175">
      <c r="A148" s="267" t="inlineStr">
        <is>
          <t>Grady</t>
        </is>
      </c>
      <c r="B148" s="268" t="n">
        <v>1</v>
      </c>
      <c r="C148" s="269" t="inlineStr">
        <is>
          <t>Reuben</t>
        </is>
      </c>
      <c r="D148" s="192" t="inlineStr">
        <is>
          <t>https://discord.com/channels/191975109500731392/1212839710439776287/1344741665251921920</t>
        </is>
      </c>
      <c r="F148" s="207" t="n"/>
    </row>
    <row r="149" ht="14.25" customHeight="1" s="175">
      <c r="A149" s="267" t="inlineStr">
        <is>
          <t>Ethan</t>
        </is>
      </c>
      <c r="B149" s="268" t="n">
        <v>1</v>
      </c>
      <c r="C149" s="269" t="inlineStr">
        <is>
          <t>Reuben</t>
        </is>
      </c>
      <c r="D149" s="192" t="inlineStr">
        <is>
          <t>https://discord.com/channels/191975109500731392/1212839710439776287/1344861519917355008</t>
        </is>
      </c>
      <c r="F149" s="207" t="n"/>
    </row>
    <row r="150" ht="14.25" customHeight="1" s="175">
      <c r="A150" s="267" t="inlineStr">
        <is>
          <t>Tyler</t>
        </is>
      </c>
      <c r="B150" s="268" t="n">
        <v>2</v>
      </c>
      <c r="C150" s="269" t="inlineStr">
        <is>
          <t>Evan</t>
        </is>
      </c>
      <c r="D150" s="192" t="inlineStr">
        <is>
          <t>https://discord.com/channels/191975109500731392/1212839710439776287/1346160114897256458</t>
        </is>
      </c>
      <c r="F150" s="207" t="n"/>
    </row>
    <row r="151" ht="14.25" customHeight="1" s="175">
      <c r="A151" s="267" t="inlineStr">
        <is>
          <t>Anthony</t>
        </is>
      </c>
      <c r="B151" s="268" t="n">
        <v>2</v>
      </c>
      <c r="C151" s="269" t="inlineStr">
        <is>
          <t>Evan</t>
        </is>
      </c>
      <c r="D151" s="192" t="inlineStr">
        <is>
          <t>https://discord.com/channels/191975109500731392/1212839710439776287/1346179213174247547</t>
        </is>
      </c>
      <c r="F151" s="207" t="n"/>
    </row>
    <row r="152" ht="14.25" customHeight="1" s="175">
      <c r="A152" s="267" t="inlineStr">
        <is>
          <t>Evan</t>
        </is>
      </c>
      <c r="B152" s="268" t="n">
        <v>1</v>
      </c>
      <c r="C152" s="269" t="inlineStr">
        <is>
          <t>Ethan</t>
        </is>
      </c>
      <c r="D152" s="192" t="inlineStr">
        <is>
          <t>https://discord.com/channels/191975109500731392/1212839710439776287/1346193745388896386</t>
        </is>
      </c>
      <c r="F152" s="207" t="n"/>
    </row>
    <row r="153" ht="14.25" customHeight="1" s="175">
      <c r="A153" s="267" t="inlineStr">
        <is>
          <t>Ethan</t>
        </is>
      </c>
      <c r="B153" s="268" t="n">
        <v>2</v>
      </c>
      <c r="C153" s="269" t="inlineStr">
        <is>
          <t>Evan</t>
        </is>
      </c>
      <c r="D153" s="192" t="inlineStr">
        <is>
          <t>https://discord.com/channels/191975109500731392/1212839710439776287/1346193861789224992</t>
        </is>
      </c>
      <c r="F153" s="207" t="n"/>
    </row>
    <row r="154" ht="14.25" customHeight="1" s="175">
      <c r="A154" s="267" t="inlineStr">
        <is>
          <t>Ethan</t>
        </is>
      </c>
      <c r="B154" s="268" t="n">
        <v>1</v>
      </c>
      <c r="C154" s="269" t="inlineStr">
        <is>
          <t>Evan</t>
        </is>
      </c>
      <c r="D154" s="192" t="inlineStr">
        <is>
          <t>https://discord.com/channels/191975109500731392/1212839710439776287/1346488484424192181</t>
        </is>
      </c>
      <c r="F154" s="207" t="n"/>
    </row>
    <row r="155" ht="14.25" customHeight="1" s="175">
      <c r="A155" s="267" t="inlineStr">
        <is>
          <t>Ethan</t>
        </is>
      </c>
      <c r="B155" s="268" t="n">
        <v>2</v>
      </c>
      <c r="C155" s="269" t="inlineStr">
        <is>
          <t>Evan</t>
        </is>
      </c>
      <c r="D155" s="192" t="inlineStr">
        <is>
          <t>https://discord.com/channels/191975109500731392/1212839710439776287/1346545818928156805</t>
        </is>
      </c>
      <c r="F155" s="207" t="n"/>
    </row>
    <row r="156" ht="14.25" customHeight="1" s="175">
      <c r="A156" s="267" t="inlineStr">
        <is>
          <t>Evan</t>
        </is>
      </c>
      <c r="B156" s="268" t="n">
        <v>1</v>
      </c>
      <c r="C156" s="269" t="inlineStr">
        <is>
          <t>Ethan</t>
        </is>
      </c>
      <c r="D156" s="192" t="inlineStr">
        <is>
          <t>https://discord.com/channels/191975109500731392/1212839710439776287/1346545932799442974</t>
        </is>
      </c>
      <c r="F156" s="207" t="n"/>
    </row>
    <row r="157" ht="14.25" customHeight="1" s="175">
      <c r="A157" s="267" t="inlineStr">
        <is>
          <t>Grady</t>
        </is>
      </c>
      <c r="B157" s="268" t="n">
        <v>1</v>
      </c>
      <c r="C157" s="269" t="inlineStr">
        <is>
          <t>Cooper</t>
        </is>
      </c>
      <c r="D157" s="192" t="inlineStr">
        <is>
          <t>https://discord.com/channels/191975109500731392/1212839710439776287/1346555382922739723</t>
        </is>
      </c>
      <c r="F157" s="207" t="n"/>
    </row>
    <row r="158" ht="14.25" customHeight="1" s="175">
      <c r="A158" s="267" t="inlineStr">
        <is>
          <t>Grady</t>
        </is>
      </c>
      <c r="B158" s="268" t="n">
        <v>2</v>
      </c>
      <c r="C158" s="269" t="inlineStr">
        <is>
          <t>Cooper</t>
        </is>
      </c>
      <c r="D158" s="192" t="inlineStr">
        <is>
          <t>https://discord.com/channels/191975109500731392/1212839710439776287/1346576321454800938</t>
        </is>
      </c>
      <c r="F158" s="207" t="n"/>
    </row>
    <row r="159" ht="14.25" customHeight="1" s="175">
      <c r="A159" s="267" t="inlineStr">
        <is>
          <t>Ethan</t>
        </is>
      </c>
      <c r="B159" s="268" t="n">
        <v>1</v>
      </c>
      <c r="C159" s="269" t="inlineStr">
        <is>
          <t>Reuben</t>
        </is>
      </c>
      <c r="D159" s="192" t="inlineStr">
        <is>
          <t>https://discord.com/channels/191975109500731392/1212839710439776287/1346849302554607666</t>
        </is>
      </c>
      <c r="F159" s="207" t="n"/>
    </row>
    <row r="160" ht="14.25" customHeight="1" s="175">
      <c r="A160" s="267" t="inlineStr">
        <is>
          <t>Evan</t>
        </is>
      </c>
      <c r="B160" s="268" t="n">
        <v>2</v>
      </c>
      <c r="C160" s="269" t="inlineStr">
        <is>
          <t>Reuben</t>
        </is>
      </c>
      <c r="D160" s="192" t="inlineStr">
        <is>
          <t>https://discord.com/channels/191975109500731392/1212839710439776287/1346904891976585236</t>
        </is>
      </c>
    </row>
    <row r="161" ht="14.25" customHeight="1" s="175">
      <c r="A161" s="267" t="inlineStr">
        <is>
          <t>Ethan</t>
        </is>
      </c>
      <c r="B161" s="268" t="n">
        <v>1</v>
      </c>
      <c r="C161" s="269" t="inlineStr">
        <is>
          <t>Evan</t>
        </is>
      </c>
      <c r="D161" s="192" t="inlineStr">
        <is>
          <t>https://discord.com/channels/191975109500731392/1212839710439776287/1347235338384441344</t>
        </is>
      </c>
    </row>
    <row r="162" ht="14.25" customHeight="1" s="175">
      <c r="A162" s="267" t="inlineStr">
        <is>
          <t>Evan</t>
        </is>
      </c>
      <c r="B162" s="268" t="n">
        <v>1</v>
      </c>
      <c r="C162" s="269" t="inlineStr">
        <is>
          <t>Ethan</t>
        </is>
      </c>
      <c r="D162" s="192" t="inlineStr">
        <is>
          <t>https://discord.com/channels/191975109500731392/1212839710439776287/1347235348127940692</t>
        </is>
      </c>
    </row>
    <row r="163" ht="14.25" customHeight="1" s="175">
      <c r="A163" s="267" t="inlineStr">
        <is>
          <t>Grady</t>
        </is>
      </c>
      <c r="B163" s="268" t="n">
        <v>1</v>
      </c>
      <c r="C163" s="269" t="inlineStr">
        <is>
          <t>Reuben</t>
        </is>
      </c>
      <c r="D163" s="192" t="inlineStr">
        <is>
          <t>https://discord.com/channels/191975109500731392/1212839710439776287/1347301920145932509</t>
        </is>
      </c>
    </row>
    <row r="164" ht="14.25" customHeight="1" s="175">
      <c r="A164" s="267" t="inlineStr">
        <is>
          <t>Ethan</t>
        </is>
      </c>
      <c r="B164" s="268" t="n">
        <v>2</v>
      </c>
      <c r="C164" s="269" t="inlineStr">
        <is>
          <t>Evan</t>
        </is>
      </c>
      <c r="D164" s="192" t="inlineStr">
        <is>
          <t>https://discord.com/channels/191975109500731392/1212839710439776287/1347353448391381114</t>
        </is>
      </c>
    </row>
    <row r="165" ht="14.25" customHeight="1" s="175">
      <c r="A165" s="267" t="inlineStr">
        <is>
          <t>Evan</t>
        </is>
      </c>
      <c r="B165" s="268" t="n">
        <v>1</v>
      </c>
      <c r="C165" s="269" t="inlineStr">
        <is>
          <t>Ethan</t>
        </is>
      </c>
      <c r="D165" s="192" t="inlineStr">
        <is>
          <t>https://discord.com/channels/191975109500731392/1212839710439776287/1347356314673741855</t>
        </is>
      </c>
    </row>
    <row r="166" ht="14.25" customHeight="1" s="175">
      <c r="A166" s="267" t="inlineStr">
        <is>
          <t>David</t>
        </is>
      </c>
      <c r="B166" s="268" t="n">
        <v>2</v>
      </c>
      <c r="C166" s="269" t="inlineStr">
        <is>
          <t>Ethan</t>
        </is>
      </c>
      <c r="D166" s="192" t="inlineStr">
        <is>
          <t>https://discord.com/channels/191975109500731392/1212839710439776287/1351235573238726677</t>
        </is>
      </c>
    </row>
    <row r="167" ht="14.25" customHeight="1" s="175">
      <c r="A167" s="267" t="inlineStr">
        <is>
          <t>Ethan</t>
        </is>
      </c>
      <c r="B167" s="268" t="n">
        <v>1</v>
      </c>
      <c r="C167" s="269" t="inlineStr">
        <is>
          <t>David</t>
        </is>
      </c>
      <c r="D167" s="192" t="inlineStr">
        <is>
          <t>https://discord.com/channels/191975109500731392/1212839710439776287/1351235973652152342</t>
        </is>
      </c>
    </row>
    <row r="168" ht="14.25" customHeight="1" s="175">
      <c r="A168" s="267" t="inlineStr">
        <is>
          <t>David</t>
        </is>
      </c>
      <c r="B168" s="268" t="n">
        <v>1</v>
      </c>
      <c r="C168" s="269" t="inlineStr">
        <is>
          <t>Maxine</t>
        </is>
      </c>
      <c r="D168" s="192" t="inlineStr">
        <is>
          <t>https://discord.com/channels/191975109500731392/1212839710439776287/1351252845374083104</t>
        </is>
      </c>
    </row>
    <row r="169" ht="14.25" customHeight="1" s="175">
      <c r="A169" s="267" t="inlineStr">
        <is>
          <t>Maxine</t>
        </is>
      </c>
      <c r="B169" s="268" t="n">
        <v>1</v>
      </c>
      <c r="C169" s="269" t="inlineStr">
        <is>
          <t>David</t>
        </is>
      </c>
      <c r="D169" s="192" t="inlineStr">
        <is>
          <t>https://discord.com/channels/191975109500731392/1212839710439776287/1351253067772989533</t>
        </is>
      </c>
    </row>
    <row r="170" ht="14.25" customHeight="1" s="175">
      <c r="A170" s="267" t="inlineStr">
        <is>
          <t>Ethan</t>
        </is>
      </c>
      <c r="B170" s="268" t="n">
        <v>1</v>
      </c>
      <c r="C170" s="269" t="inlineStr">
        <is>
          <t>David</t>
        </is>
      </c>
      <c r="D170" s="192" t="inlineStr">
        <is>
          <t>https://discord.com/channels/191975109500731392/1212839710439776287/1351294305876185220</t>
        </is>
      </c>
    </row>
    <row r="171" ht="14.25" customHeight="1" s="175">
      <c r="A171" s="267" t="inlineStr">
        <is>
          <t>Ethan</t>
        </is>
      </c>
      <c r="B171" s="268" t="n">
        <v>2</v>
      </c>
      <c r="C171" s="269" t="inlineStr">
        <is>
          <t>Evan</t>
        </is>
      </c>
      <c r="D171" s="192" t="inlineStr">
        <is>
          <t>https://discord.com/channels/191975109500731392/1212839710439776287/1351294976255983720</t>
        </is>
      </c>
    </row>
    <row r="172" ht="14.25" customHeight="1" s="175">
      <c r="A172" s="267" t="inlineStr">
        <is>
          <t>Evan</t>
        </is>
      </c>
      <c r="B172" s="268" t="n">
        <v>1</v>
      </c>
      <c r="C172" s="269" t="inlineStr">
        <is>
          <t>Ethan</t>
        </is>
      </c>
      <c r="D172" s="192" t="inlineStr">
        <is>
          <t>https://discord.com/channels/191975109500731392/1212839710439776287/1351295109521739951</t>
        </is>
      </c>
    </row>
    <row r="173" ht="14.25" customHeight="1" s="175">
      <c r="A173" s="267" t="inlineStr">
        <is>
          <t>Grady</t>
        </is>
      </c>
      <c r="B173" s="268" t="n">
        <v>2</v>
      </c>
      <c r="C173" s="269" t="inlineStr">
        <is>
          <t>Ethan</t>
        </is>
      </c>
      <c r="D173" s="192" t="inlineStr">
        <is>
          <t>https://discord.com/channels/191975109500731392/1212839710439776287/1351300795911635104</t>
        </is>
      </c>
    </row>
    <row r="174" ht="14.25" customHeight="1" s="175">
      <c r="A174" s="267" t="inlineStr">
        <is>
          <t>Grady</t>
        </is>
      </c>
      <c r="B174" s="268" t="n">
        <v>2</v>
      </c>
      <c r="C174" s="269" t="inlineStr">
        <is>
          <t>Evan</t>
        </is>
      </c>
      <c r="D174" s="192" t="inlineStr">
        <is>
          <t>https://discord.com/channels/191975109500731392/1212839710439776287/1351300795911635104</t>
        </is>
      </c>
    </row>
    <row r="175" ht="14.25" customHeight="1" s="175">
      <c r="A175" s="267" t="inlineStr">
        <is>
          <t>Evan</t>
        </is>
      </c>
      <c r="B175" s="268" t="n">
        <v>2</v>
      </c>
      <c r="C175" s="269" t="inlineStr">
        <is>
          <t>Grady</t>
        </is>
      </c>
      <c r="D175" s="192" t="inlineStr">
        <is>
          <t>https://discord.com/channels/191975109500731392/1212839710439776287/1351301018268340408</t>
        </is>
      </c>
    </row>
    <row r="176" ht="14.25" customHeight="1" s="175">
      <c r="A176" s="267" t="inlineStr">
        <is>
          <t>Ethan</t>
        </is>
      </c>
      <c r="B176" s="268" t="n">
        <v>1</v>
      </c>
      <c r="C176" s="269" t="inlineStr">
        <is>
          <t>Grady</t>
        </is>
      </c>
      <c r="D176" s="192" t="inlineStr">
        <is>
          <t>https://discord.com/channels/191975109500731392/1212839710439776287/1351301030918361219</t>
        </is>
      </c>
    </row>
    <row r="177" ht="14.25" customHeight="1" s="175">
      <c r="A177" s="267" t="inlineStr">
        <is>
          <t>Evan</t>
        </is>
      </c>
      <c r="B177" s="268" t="n">
        <v>2</v>
      </c>
      <c r="C177" s="269" t="inlineStr">
        <is>
          <t>Reuben</t>
        </is>
      </c>
      <c r="D177" s="192" t="inlineStr">
        <is>
          <t>https://discord.com/channels/191975109500731392/1212839710439776287/1351395127351967776</t>
        </is>
      </c>
    </row>
    <row r="178" ht="14.25" customHeight="1" s="175">
      <c r="A178" s="267" t="inlineStr">
        <is>
          <t>Cooper</t>
        </is>
      </c>
      <c r="B178" s="268" t="n">
        <v>1</v>
      </c>
      <c r="C178" s="269" t="inlineStr">
        <is>
          <t>Grady</t>
        </is>
      </c>
      <c r="D178" s="192" t="inlineStr">
        <is>
          <t>https://discord.com/channels/191975109500731392/1212839710439776287/1351592195156873341</t>
        </is>
      </c>
    </row>
    <row r="179" ht="14.25" customHeight="1" s="175">
      <c r="A179" s="267" t="inlineStr">
        <is>
          <t>Grady</t>
        </is>
      </c>
      <c r="B179" s="268" t="n">
        <v>1</v>
      </c>
      <c r="C179" s="269" t="inlineStr">
        <is>
          <t>Cooper</t>
        </is>
      </c>
      <c r="D179" s="192" t="inlineStr">
        <is>
          <t>https://discord.com/channels/191975109500731392/1212839710439776287/1351594933588590733</t>
        </is>
      </c>
    </row>
    <row r="180" ht="14.25" customHeight="1" s="175">
      <c r="A180" s="267" t="inlineStr">
        <is>
          <t>Evan</t>
        </is>
      </c>
      <c r="B180" s="268" t="n">
        <v>1</v>
      </c>
      <c r="C180" s="269" t="inlineStr">
        <is>
          <t>Ethan</t>
        </is>
      </c>
      <c r="D180" s="192" t="inlineStr">
        <is>
          <t>https://discord.com/channels/191975109500731392/1212839710439776287/1351601720370794528</t>
        </is>
      </c>
    </row>
    <row r="181" ht="14.25" customHeight="1" s="175">
      <c r="A181" s="267" t="inlineStr">
        <is>
          <t>Ethan</t>
        </is>
      </c>
      <c r="B181" s="268" t="n">
        <v>1</v>
      </c>
      <c r="C181" s="269" t="inlineStr">
        <is>
          <t>Evan</t>
        </is>
      </c>
      <c r="D181" s="192" t="inlineStr">
        <is>
          <t>https://discord.com/channels/191975109500731392/1212839710439776287/1351601751182147655</t>
        </is>
      </c>
    </row>
    <row r="182" ht="14.25" customHeight="1" s="175">
      <c r="A182" s="267" t="inlineStr">
        <is>
          <t>Cooper</t>
        </is>
      </c>
      <c r="B182" s="268" t="n">
        <v>1</v>
      </c>
      <c r="C182" s="269" t="inlineStr">
        <is>
          <t>Grady</t>
        </is>
      </c>
      <c r="D182" s="192" t="inlineStr">
        <is>
          <t>https://discord.com/channels/191975109500731392/1212839710439776287/1351612495961395232</t>
        </is>
      </c>
    </row>
    <row r="183" ht="14.25" customHeight="1" s="175">
      <c r="A183" s="267" t="inlineStr">
        <is>
          <t>Grady</t>
        </is>
      </c>
      <c r="B183" s="268" t="n">
        <v>1</v>
      </c>
      <c r="C183" s="269" t="inlineStr">
        <is>
          <t>Cooper</t>
        </is>
      </c>
      <c r="D183" s="192" t="inlineStr">
        <is>
          <t>https://discord.com/channels/191975109500731392/1212839710439776287/1351612804251258891</t>
        </is>
      </c>
    </row>
    <row r="184" ht="14.25" customHeight="1" s="175">
      <c r="A184" s="267" t="inlineStr">
        <is>
          <t>David</t>
        </is>
      </c>
      <c r="B184" s="268" t="n">
        <v>2</v>
      </c>
      <c r="C184" s="269" t="inlineStr">
        <is>
          <t>Maxine</t>
        </is>
      </c>
      <c r="D184" s="192" t="inlineStr">
        <is>
          <t>https://discord.com/channels/191975109500731392/1212839710439776287/1351672302345130024</t>
        </is>
      </c>
    </row>
    <row r="185" ht="14.25" customHeight="1" s="175">
      <c r="A185" s="267" t="inlineStr">
        <is>
          <t>Ethan</t>
        </is>
      </c>
      <c r="B185" s="268" t="n">
        <v>1</v>
      </c>
      <c r="C185" s="269" t="inlineStr">
        <is>
          <t>Evan</t>
        </is>
      </c>
      <c r="D185" s="192" t="inlineStr">
        <is>
          <t>https://discord.com/channels/191975109500731392/1212839710439776287/1351673920130121750</t>
        </is>
      </c>
    </row>
    <row r="186" ht="14.25" customHeight="1" s="175">
      <c r="A186" s="267" t="inlineStr">
        <is>
          <t>Evan</t>
        </is>
      </c>
      <c r="B186" s="268" t="n">
        <v>1</v>
      </c>
      <c r="C186" s="269" t="inlineStr">
        <is>
          <t>Ethan</t>
        </is>
      </c>
      <c r="D186" s="192" t="inlineStr">
        <is>
          <t>https://discord.com/channels/191975109500731392/1212839710439776287/1351673930376810588</t>
        </is>
      </c>
    </row>
    <row r="187" ht="14.25" customHeight="1" s="175">
      <c r="A187" s="267" t="inlineStr">
        <is>
          <t>David</t>
        </is>
      </c>
      <c r="B187" s="268" t="n">
        <v>1</v>
      </c>
      <c r="C187" s="269" t="inlineStr">
        <is>
          <t>Carter</t>
        </is>
      </c>
      <c r="D187" s="192" t="inlineStr">
        <is>
          <t>https://discord.com/channels/191975109500731392/1212839710439776287/1351932797085941830</t>
        </is>
      </c>
    </row>
    <row r="188" ht="14.25" customHeight="1" s="175">
      <c r="A188" s="267" t="inlineStr">
        <is>
          <t>Carter</t>
        </is>
      </c>
      <c r="B188" s="268" t="n">
        <v>1</v>
      </c>
      <c r="C188" s="269" t="inlineStr">
        <is>
          <t>David</t>
        </is>
      </c>
      <c r="D188" s="192" t="inlineStr">
        <is>
          <t>https://discord.com/channels/191975109500731392/1212839710439776287/1351932993161265294</t>
        </is>
      </c>
    </row>
    <row r="189" ht="14.25" customHeight="1" s="175">
      <c r="A189" s="267" t="inlineStr">
        <is>
          <t>Ethan</t>
        </is>
      </c>
      <c r="B189" s="268" t="n">
        <v>2</v>
      </c>
      <c r="C189" s="269" t="inlineStr">
        <is>
          <t>Reuben</t>
        </is>
      </c>
      <c r="D189" s="192" t="inlineStr">
        <is>
          <t>https://discord.com/channels/191975109500731392/1212839710439776287/1351961908424474686</t>
        </is>
      </c>
    </row>
    <row r="190" ht="14.25" customHeight="1" s="175">
      <c r="A190" s="267" t="inlineStr">
        <is>
          <t>Ethan</t>
        </is>
      </c>
      <c r="B190" s="268" t="n">
        <v>2</v>
      </c>
      <c r="C190" s="269" t="inlineStr">
        <is>
          <t>Evan</t>
        </is>
      </c>
      <c r="D190" s="192" t="inlineStr">
        <is>
          <t>https://discord.com/channels/191975109500731392/1212839710439776287/1351964783322333236</t>
        </is>
      </c>
    </row>
    <row r="191" ht="14.25" customHeight="1" s="175">
      <c r="A191" s="267" t="inlineStr">
        <is>
          <t>David</t>
        </is>
      </c>
      <c r="B191" s="268" t="n">
        <v>2</v>
      </c>
      <c r="C191" s="269" t="inlineStr">
        <is>
          <t>Evan</t>
        </is>
      </c>
      <c r="D191" s="192" t="inlineStr">
        <is>
          <t>https://discord.com/channels/191975109500731392/1212839710439776287/1351965552800694323</t>
        </is>
      </c>
    </row>
    <row r="192" ht="14.25" customHeight="1" s="175">
      <c r="A192" s="267" t="inlineStr">
        <is>
          <t>Ethan</t>
        </is>
      </c>
      <c r="B192" s="268" t="n">
        <v>2</v>
      </c>
      <c r="C192" s="269" t="inlineStr">
        <is>
          <t>David</t>
        </is>
      </c>
      <c r="D192" s="192" t="inlineStr">
        <is>
          <t>https://discord.com/channels/191975109500731392/1212839710439776287/1351972703233642678</t>
        </is>
      </c>
    </row>
    <row r="193" ht="14.25" customHeight="1" s="175">
      <c r="A193" s="267" t="inlineStr">
        <is>
          <t>David</t>
        </is>
      </c>
      <c r="B193" s="268" t="n">
        <v>2</v>
      </c>
      <c r="C193" s="269" t="inlineStr">
        <is>
          <t>Grady</t>
        </is>
      </c>
      <c r="D193" s="192" t="inlineStr">
        <is>
          <t>https://discord.com/channels/191975109500731392/1212839710439776287/1351981909118287983</t>
        </is>
      </c>
    </row>
    <row r="194" ht="14.25" customHeight="1" s="175">
      <c r="A194" s="267" t="inlineStr">
        <is>
          <t>Grady</t>
        </is>
      </c>
      <c r="B194" s="268" t="n">
        <v>1</v>
      </c>
      <c r="C194" s="269" t="inlineStr">
        <is>
          <t>David</t>
        </is>
      </c>
      <c r="D194" s="192" t="inlineStr">
        <is>
          <t>https://discord.com/channels/191975109500731392/1212839710439776287/1351982939621298258</t>
        </is>
      </c>
    </row>
    <row r="195" ht="14.25" customHeight="1" s="175">
      <c r="A195" s="267" t="inlineStr">
        <is>
          <t>Evan</t>
        </is>
      </c>
      <c r="B195" s="268" t="n">
        <v>1</v>
      </c>
      <c r="C195" s="269" t="inlineStr">
        <is>
          <t>David</t>
        </is>
      </c>
      <c r="D195" s="192" t="inlineStr">
        <is>
          <t>https://discord.com/channels/191975109500731392/1212839710439776287/1352015886357106768</t>
        </is>
      </c>
    </row>
    <row r="196" ht="14.25" customHeight="1" s="175">
      <c r="A196" s="267" t="inlineStr">
        <is>
          <t>David</t>
        </is>
      </c>
      <c r="B196" s="268" t="n">
        <v>1</v>
      </c>
      <c r="C196" s="269" t="inlineStr">
        <is>
          <t>Evan</t>
        </is>
      </c>
      <c r="D196" s="192" t="inlineStr">
        <is>
          <t>https://discord.com/channels/191975109500731392/1212839710439776287/1352017064180842506</t>
        </is>
      </c>
    </row>
    <row r="197" ht="14.25" customHeight="1" s="175">
      <c r="A197" s="267" t="inlineStr">
        <is>
          <t>Ethan</t>
        </is>
      </c>
      <c r="B197" s="268" t="n">
        <v>2</v>
      </c>
      <c r="C197" s="269" t="inlineStr">
        <is>
          <t>David</t>
        </is>
      </c>
      <c r="D197" s="192" t="inlineStr">
        <is>
          <t>https://discord.com/channels/191975109500731392/1212839710439776287/1352018624700747937</t>
        </is>
      </c>
    </row>
    <row r="198" ht="14.25" customHeight="1" s="175">
      <c r="A198" s="267" t="inlineStr">
        <is>
          <t>Ethan</t>
        </is>
      </c>
      <c r="B198" s="268" t="n">
        <v>2</v>
      </c>
      <c r="C198" s="269" t="inlineStr">
        <is>
          <t>Carter</t>
        </is>
      </c>
      <c r="D198" s="192" t="inlineStr">
        <is>
          <t>https://discord.com/channels/191975109500731392/1212839710439776287/1352082603515056209</t>
        </is>
      </c>
      <c r="E198" s="173" t="n">
        <v>0</v>
      </c>
    </row>
    <row r="199" ht="14.25" customHeight="1" s="175">
      <c r="A199" s="267" t="inlineStr">
        <is>
          <t>Carter</t>
        </is>
      </c>
      <c r="B199" s="268" t="n">
        <v>1</v>
      </c>
      <c r="C199" s="269" t="inlineStr">
        <is>
          <t>Ethan</t>
        </is>
      </c>
      <c r="D199" s="192" t="inlineStr">
        <is>
          <t>https://discord.com/channels/191975109500731392/1212839710439776287/1352082886706204853</t>
        </is>
      </c>
    </row>
    <row r="200" ht="14.25" customHeight="1" s="175">
      <c r="A200" s="267" t="inlineStr">
        <is>
          <t>Ethan</t>
        </is>
      </c>
      <c r="B200" s="268" t="n">
        <v>2</v>
      </c>
      <c r="C200" s="269" t="inlineStr">
        <is>
          <t>Carter</t>
        </is>
      </c>
      <c r="D200" s="173" t="inlineStr">
        <is>
          <t>https://discord.com/channels/191975109500731392/1212839710439776287/1352273832723087431</t>
        </is>
      </c>
      <c r="E200" s="173" t="n">
        <v>0</v>
      </c>
    </row>
    <row r="201" ht="14.25" customHeight="1" s="175">
      <c r="A201" s="267" t="inlineStr">
        <is>
          <t>Carter</t>
        </is>
      </c>
      <c r="B201" s="268" t="n">
        <v>1</v>
      </c>
      <c r="C201" s="269" t="inlineStr">
        <is>
          <t>Ethan</t>
        </is>
      </c>
      <c r="D201" s="173" t="inlineStr">
        <is>
          <t>https://discord.com/channels/191975109500731392/1212839710439776287/1352274044879114260</t>
        </is>
      </c>
    </row>
    <row r="202" ht="14.25" customHeight="1" s="175">
      <c r="A202" s="267" t="inlineStr">
        <is>
          <t>Grady</t>
        </is>
      </c>
      <c r="B202" s="268" t="n">
        <v>2</v>
      </c>
      <c r="C202" s="269" t="inlineStr">
        <is>
          <t>Cooper</t>
        </is>
      </c>
      <c r="D202" s="173" t="inlineStr">
        <is>
          <t>https://discord.com/channels/191975109500731392/1212839710439776287/1352317255253364847</t>
        </is>
      </c>
    </row>
    <row r="203" ht="14.25" customHeight="1" s="175">
      <c r="A203" s="267" t="inlineStr">
        <is>
          <t>Evan</t>
        </is>
      </c>
      <c r="B203" s="268" t="n">
        <v>2</v>
      </c>
      <c r="C203" s="269" t="inlineStr">
        <is>
          <t>Ethan</t>
        </is>
      </c>
      <c r="D203" s="192" t="inlineStr">
        <is>
          <t>https://discord.com/channels/191975109500731392/1212839710439776287/1352326678076063905</t>
        </is>
      </c>
    </row>
    <row r="204" ht="14.25" customHeight="1" s="175">
      <c r="A204" s="267" t="inlineStr">
        <is>
          <t>Ethan</t>
        </is>
      </c>
      <c r="B204" s="268" t="n">
        <v>1</v>
      </c>
      <c r="C204" s="269" t="inlineStr">
        <is>
          <t>Evan</t>
        </is>
      </c>
      <c r="D204" s="173" t="inlineStr">
        <is>
          <t>https://discord.com/channels/191975109500731392/1212839710439776287/1352327429448007730</t>
        </is>
      </c>
    </row>
    <row r="205" ht="14.25" customHeight="1" s="175">
      <c r="A205" s="267" t="inlineStr">
        <is>
          <t>Evan</t>
        </is>
      </c>
      <c r="B205" s="268" t="n">
        <v>1</v>
      </c>
      <c r="C205" s="269" t="inlineStr">
        <is>
          <t>Anthony</t>
        </is>
      </c>
      <c r="D205" s="173" t="inlineStr">
        <is>
          <t>https://discord.com/channels/191975109500731392/1212839710439776287/1352358322120036475</t>
        </is>
      </c>
    </row>
    <row r="206" ht="14.25" customHeight="1" s="175">
      <c r="A206" s="267" t="inlineStr">
        <is>
          <t>Anthony</t>
        </is>
      </c>
      <c r="B206" s="268" t="n">
        <v>1</v>
      </c>
      <c r="C206" s="269" t="inlineStr">
        <is>
          <t>Evan</t>
        </is>
      </c>
      <c r="D206" s="173" t="inlineStr">
        <is>
          <t>https://discord.com/channels/191975109500731392/1212839710439776287/1352358371646505051</t>
        </is>
      </c>
    </row>
    <row r="207" ht="14.25" customHeight="1" s="175">
      <c r="A207" s="267" t="inlineStr">
        <is>
          <t>David</t>
        </is>
      </c>
      <c r="B207" s="268" t="n">
        <v>1</v>
      </c>
      <c r="C207" s="269" t="inlineStr">
        <is>
          <t>Grady</t>
        </is>
      </c>
      <c r="D207" s="173" t="inlineStr">
        <is>
          <t>https://discord.com/channels/191975109500731392/1212839710439776287/1352383659214110730</t>
        </is>
      </c>
    </row>
    <row r="208" ht="14.25" customHeight="1" s="175">
      <c r="A208" s="267" t="inlineStr">
        <is>
          <t>Evan</t>
        </is>
      </c>
      <c r="B208" s="268" t="n">
        <v>1</v>
      </c>
      <c r="C208" s="269" t="inlineStr">
        <is>
          <t>Ethan</t>
        </is>
      </c>
      <c r="D208" s="173" t="inlineStr">
        <is>
          <t>https://discord.com/channels/191975109500731392/1212839710439776287/1352431514255622165</t>
        </is>
      </c>
    </row>
    <row r="209" ht="14.25" customHeight="1" s="175">
      <c r="A209" s="267" t="inlineStr">
        <is>
          <t>Ethan</t>
        </is>
      </c>
      <c r="B209" s="268" t="n">
        <v>1</v>
      </c>
      <c r="C209" s="269" t="inlineStr">
        <is>
          <t>Evan</t>
        </is>
      </c>
      <c r="D209" s="173" t="inlineStr">
        <is>
          <t>https://discord.com/channels/191975109500731392/1212839710439776287/1352431532731797586</t>
        </is>
      </c>
    </row>
    <row r="210" ht="14.25" customHeight="1" s="175">
      <c r="A210" s="267" t="inlineStr">
        <is>
          <t>David</t>
        </is>
      </c>
      <c r="B210" s="268" t="n">
        <v>2</v>
      </c>
      <c r="C210" s="269" t="inlineStr">
        <is>
          <t>Evan</t>
        </is>
      </c>
      <c r="D210" s="173" t="inlineStr">
        <is>
          <t>https://discord.com/channels/191975109500731392/1212839710439776287/1353829471794233414</t>
        </is>
      </c>
    </row>
    <row r="211" ht="14.25" customHeight="1" s="175">
      <c r="A211" s="267" t="inlineStr">
        <is>
          <t>Ethan</t>
        </is>
      </c>
      <c r="B211" s="268" t="n">
        <v>2</v>
      </c>
      <c r="C211" s="269" t="inlineStr">
        <is>
          <t>David</t>
        </is>
      </c>
      <c r="D211" s="173" t="inlineStr">
        <is>
          <t>https://discord.com/channels/191975109500731392/1212839710439776287/1353831568761946133</t>
        </is>
      </c>
    </row>
    <row r="212" ht="14.25" customHeight="1" s="175">
      <c r="A212" s="267" t="inlineStr">
        <is>
          <t>Ethan</t>
        </is>
      </c>
      <c r="B212" s="268" t="n">
        <v>2</v>
      </c>
      <c r="C212" s="269" t="inlineStr">
        <is>
          <t>Evan</t>
        </is>
      </c>
      <c r="D212" s="173" t="inlineStr">
        <is>
          <t>https://discord.com/channels/191975109500731392/1212839710439776287/1353831568761946133</t>
        </is>
      </c>
    </row>
    <row r="213" ht="14.25" customHeight="1" s="175">
      <c r="A213" s="267" t="inlineStr">
        <is>
          <t>David</t>
        </is>
      </c>
      <c r="B213" s="268" t="n">
        <v>2</v>
      </c>
      <c r="C213" s="269" t="inlineStr">
        <is>
          <t>Ethan</t>
        </is>
      </c>
      <c r="D213" s="173" t="inlineStr">
        <is>
          <t>https://discord.com/channels/191975109500731392/1212839710439776287/1353832501587476480</t>
        </is>
      </c>
    </row>
    <row r="214" ht="14.25" customHeight="1" s="175">
      <c r="A214" s="267" t="inlineStr">
        <is>
          <t>Evan</t>
        </is>
      </c>
      <c r="B214" s="268" t="n">
        <v>2</v>
      </c>
      <c r="C214" s="269" t="inlineStr">
        <is>
          <t>Ethan</t>
        </is>
      </c>
      <c r="D214" s="173" t="inlineStr">
        <is>
          <t>https://discord.com/channels/191975109500731392/1212839710439776287/1353832508826976319</t>
        </is>
      </c>
    </row>
    <row r="215" ht="14.25" customHeight="1" s="175">
      <c r="A215" s="267" t="inlineStr">
        <is>
          <t>Ethan</t>
        </is>
      </c>
      <c r="B215" s="268" t="n">
        <v>2</v>
      </c>
      <c r="C215" s="269" t="inlineStr">
        <is>
          <t>Evan</t>
        </is>
      </c>
      <c r="D215" s="173" t="inlineStr">
        <is>
          <t>https://discord.com/channels/191975109500731392/1212839710439776287/1354150400697172082</t>
        </is>
      </c>
    </row>
    <row r="216" ht="14.25" customHeight="1" s="175">
      <c r="A216" s="267" t="inlineStr">
        <is>
          <t>Carter</t>
        </is>
      </c>
      <c r="B216" s="268" t="n">
        <v>1</v>
      </c>
      <c r="C216" s="269" t="inlineStr">
        <is>
          <t>David</t>
        </is>
      </c>
      <c r="D216" s="173" t="inlineStr">
        <is>
          <t>https://discord.com/channels/191975109500731392/1212839710439776287/1354179666960977930</t>
        </is>
      </c>
    </row>
    <row r="217" ht="14.25" customHeight="1" s="175">
      <c r="A217" s="267" t="inlineStr">
        <is>
          <t>David</t>
        </is>
      </c>
      <c r="B217" s="268" t="n">
        <v>1</v>
      </c>
      <c r="C217" s="269" t="inlineStr">
        <is>
          <t>Carter</t>
        </is>
      </c>
      <c r="D217" s="173" t="inlineStr">
        <is>
          <t>https://discord.com/channels/191975109500731392/1212839710439776287/1354179700137656553</t>
        </is>
      </c>
      <c r="E217" s="173" t="n">
        <v>0</v>
      </c>
    </row>
    <row r="218" ht="14.25" customHeight="1" s="175">
      <c r="A218" s="267" t="inlineStr">
        <is>
          <t>David</t>
        </is>
      </c>
      <c r="B218" s="268" t="n">
        <v>1</v>
      </c>
      <c r="C218" s="269" t="inlineStr">
        <is>
          <t>Carter</t>
        </is>
      </c>
      <c r="D218" s="173" t="inlineStr">
        <is>
          <t>https://discord.com/channels/191975109500731392/1212839710439776287/1354468838862749768</t>
        </is>
      </c>
      <c r="E218" s="173" t="n">
        <v>0</v>
      </c>
    </row>
    <row r="219" ht="14.25" customHeight="1" s="175">
      <c r="A219" s="267" t="inlineStr">
        <is>
          <t>Carter</t>
        </is>
      </c>
      <c r="B219" s="268" t="n">
        <v>2</v>
      </c>
      <c r="C219" s="269" t="inlineStr">
        <is>
          <t>David</t>
        </is>
      </c>
      <c r="D219" s="173" t="inlineStr">
        <is>
          <t>https://discord.com/channels/191975109500731392/1212839710439776287/1354469030504824922</t>
        </is>
      </c>
    </row>
    <row r="220" ht="14.25" customHeight="1" s="175">
      <c r="A220" s="267" t="inlineStr">
        <is>
          <t>Evan</t>
        </is>
      </c>
      <c r="B220" s="268" t="n">
        <v>1</v>
      </c>
      <c r="C220" s="269" t="inlineStr">
        <is>
          <t>Grady</t>
        </is>
      </c>
      <c r="D220" s="192" t="inlineStr">
        <is>
          <t>https://discord.com/channels/191975109500731392/1212839710439776287/1354515951810248704</t>
        </is>
      </c>
    </row>
    <row r="221" ht="14.25" customHeight="1" s="175">
      <c r="A221" s="267" t="inlineStr">
        <is>
          <t>Maxine</t>
        </is>
      </c>
      <c r="B221" s="268" t="n">
        <v>2</v>
      </c>
      <c r="C221" s="269" t="inlineStr">
        <is>
          <t>Grady</t>
        </is>
      </c>
      <c r="D221" s="173" t="inlineStr">
        <is>
          <t>https://discord.com/channels/191975109500731392/1212839710439776287/1354516058039652593</t>
        </is>
      </c>
    </row>
    <row r="222" ht="14.25" customHeight="1" s="175">
      <c r="A222" s="267" t="inlineStr">
        <is>
          <t>Maxine</t>
        </is>
      </c>
      <c r="B222" s="268" t="n">
        <v>2</v>
      </c>
      <c r="C222" s="269" t="inlineStr">
        <is>
          <t>Evan</t>
        </is>
      </c>
      <c r="D222" s="173" t="inlineStr">
        <is>
          <t>https://discord.com/channels/191975109500731392/1212839710439776287/1354516058039652593</t>
        </is>
      </c>
    </row>
    <row r="223" ht="14.25" customHeight="1" s="175">
      <c r="A223" s="267" t="inlineStr">
        <is>
          <t>David</t>
        </is>
      </c>
      <c r="B223" s="268" t="n">
        <v>1</v>
      </c>
      <c r="C223" s="269" t="inlineStr">
        <is>
          <t>Evan</t>
        </is>
      </c>
      <c r="D223" s="173" t="inlineStr">
        <is>
          <t>https://discord.com/channels/191975109500731392/1212839710439776287/1354518686475747388</t>
        </is>
      </c>
    </row>
    <row r="224" ht="14.25" customHeight="1" s="175">
      <c r="A224" s="267" t="inlineStr">
        <is>
          <t>David</t>
        </is>
      </c>
      <c r="B224" s="268" t="n">
        <v>1</v>
      </c>
      <c r="C224" s="269" t="inlineStr">
        <is>
          <t>Grady</t>
        </is>
      </c>
      <c r="D224" s="173" t="inlineStr">
        <is>
          <t>https://discord.com/channels/191975109500731392/1212839710439776287/1354518686475747388</t>
        </is>
      </c>
    </row>
    <row r="225" ht="14.25" customHeight="1" s="175">
      <c r="A225" s="267" t="inlineStr">
        <is>
          <t>Evan</t>
        </is>
      </c>
      <c r="B225" s="268" t="n">
        <v>1</v>
      </c>
      <c r="C225" s="269" t="inlineStr">
        <is>
          <t>David</t>
        </is>
      </c>
      <c r="D225" s="173" t="inlineStr">
        <is>
          <t>https://discord.com/channels/191975109500731392/1212839710439776287/1354518724048191709</t>
        </is>
      </c>
    </row>
    <row r="226" ht="14.25" customHeight="1" s="175">
      <c r="A226" s="267" t="inlineStr">
        <is>
          <t>Grady</t>
        </is>
      </c>
      <c r="B226" s="268" t="n">
        <v>1</v>
      </c>
      <c r="C226" s="269" t="inlineStr">
        <is>
          <t>David</t>
        </is>
      </c>
      <c r="D226" s="173" t="inlineStr">
        <is>
          <t>https://discord.com/channels/191975109500731392/1212839710439776287/1354518810471694386</t>
        </is>
      </c>
    </row>
    <row r="227" ht="14.25" customHeight="1" s="175">
      <c r="A227" s="267" t="inlineStr">
        <is>
          <t>Grady</t>
        </is>
      </c>
      <c r="B227" s="268" t="n">
        <v>1</v>
      </c>
      <c r="C227" s="269" t="inlineStr">
        <is>
          <t>Evan</t>
        </is>
      </c>
      <c r="D227" s="173" t="inlineStr">
        <is>
          <t>https://discord.com/channels/191975109500731392/1212839710439776287/1354518810471694386</t>
        </is>
      </c>
    </row>
    <row r="228" ht="14.25" customHeight="1" s="175">
      <c r="A228" s="267" t="inlineStr">
        <is>
          <t>David</t>
        </is>
      </c>
      <c r="B228" s="268" t="n">
        <v>1</v>
      </c>
      <c r="C228" s="269" t="inlineStr">
        <is>
          <t>Maxine</t>
        </is>
      </c>
      <c r="D228" s="173" t="inlineStr">
        <is>
          <t>https://discord.com/channels/191975109500731392/1212839710439776287/1354528488022867989</t>
        </is>
      </c>
    </row>
    <row r="229" ht="14.25" customHeight="1" s="175">
      <c r="A229" s="267" t="inlineStr">
        <is>
          <t>Maxine</t>
        </is>
      </c>
      <c r="B229" s="268" t="n">
        <v>1</v>
      </c>
      <c r="C229" s="269" t="inlineStr">
        <is>
          <t>David</t>
        </is>
      </c>
      <c r="D229" s="173" t="inlineStr">
        <is>
          <t>https://discord.com/channels/191975109500731392/1212839710439776287/1354528540032503872</t>
        </is>
      </c>
    </row>
    <row r="230" ht="14.25" customHeight="1" s="175">
      <c r="A230" s="267" t="inlineStr">
        <is>
          <t>Maxine</t>
        </is>
      </c>
      <c r="B230" s="268" t="n">
        <v>1</v>
      </c>
      <c r="C230" s="269" t="inlineStr">
        <is>
          <t>Grady</t>
        </is>
      </c>
      <c r="D230" s="173" t="inlineStr">
        <is>
          <t>https://discord.com/channels/191975109500731392/1212839710439776287/1354528540032503872</t>
        </is>
      </c>
    </row>
    <row r="231" ht="14.25" customHeight="1" s="175">
      <c r="A231" s="267" t="inlineStr">
        <is>
          <t>Maxine</t>
        </is>
      </c>
      <c r="B231" s="268" t="n">
        <v>1</v>
      </c>
      <c r="C231" s="269" t="inlineStr">
        <is>
          <t>Evan</t>
        </is>
      </c>
      <c r="D231" s="173" t="inlineStr">
        <is>
          <t>https://discord.com/channels/191975109500731392/1212839710439776287/1354528540032503872</t>
        </is>
      </c>
    </row>
    <row r="232" ht="14.25" customHeight="1" s="175">
      <c r="A232" s="267" t="inlineStr">
        <is>
          <t>Evan</t>
        </is>
      </c>
      <c r="B232" s="268" t="n">
        <v>1</v>
      </c>
      <c r="C232" s="269" t="inlineStr">
        <is>
          <t>Maxine</t>
        </is>
      </c>
      <c r="D232" s="173" t="inlineStr">
        <is>
          <t>https://discord.com/channels/191975109500731392/1212839710439776287/1354528600832999606</t>
        </is>
      </c>
    </row>
    <row r="233" ht="14.25" customHeight="1" s="175">
      <c r="A233" s="267" t="inlineStr">
        <is>
          <t>Grady</t>
        </is>
      </c>
      <c r="B233" s="268" t="n">
        <v>1</v>
      </c>
      <c r="C233" s="269" t="inlineStr">
        <is>
          <t>Maxine</t>
        </is>
      </c>
      <c r="D233" s="173" t="inlineStr">
        <is>
          <t>https://discord.com/channels/191975109500731392/1212839710439776287/1354528640766840985</t>
        </is>
      </c>
    </row>
    <row r="234" ht="14.25" customHeight="1" s="175">
      <c r="A234" s="267" t="inlineStr">
        <is>
          <t>Grady</t>
        </is>
      </c>
      <c r="B234" s="268" t="n">
        <v>1</v>
      </c>
      <c r="C234" s="269" t="inlineStr">
        <is>
          <t>David</t>
        </is>
      </c>
      <c r="D234" s="173" t="inlineStr">
        <is>
          <t>https://discord.com/channels/191975109500731392/1212839710439776287/1354529773782696149</t>
        </is>
      </c>
    </row>
    <row r="235" ht="14.25" customHeight="1" s="175">
      <c r="A235" s="267" t="inlineStr">
        <is>
          <t>Grady</t>
        </is>
      </c>
      <c r="B235" s="268" t="n">
        <v>1</v>
      </c>
      <c r="C235" s="269" t="inlineStr">
        <is>
          <t>Evan</t>
        </is>
      </c>
      <c r="D235" s="173" t="inlineStr">
        <is>
          <t>https://discord.com/channels/191975109500731392/1212839710439776287/1354529834209902683</t>
        </is>
      </c>
    </row>
    <row r="236" ht="14.25" customHeight="1" s="175">
      <c r="A236" s="267" t="inlineStr">
        <is>
          <t>David</t>
        </is>
      </c>
      <c r="B236" s="268" t="n">
        <v>1</v>
      </c>
      <c r="C236" s="269" t="inlineStr">
        <is>
          <t>Grady</t>
        </is>
      </c>
      <c r="D236" s="173" t="inlineStr">
        <is>
          <t>https://discord.com/channels/191975109500731392/1212839710439776287/1354529853197652151</t>
        </is>
      </c>
    </row>
    <row r="237" ht="14.25" customHeight="1" s="175">
      <c r="A237" s="267" t="inlineStr">
        <is>
          <t>David</t>
        </is>
      </c>
      <c r="B237" s="268" t="n">
        <v>1</v>
      </c>
      <c r="C237" s="269" t="inlineStr">
        <is>
          <t>Evan</t>
        </is>
      </c>
      <c r="D237" s="173" t="inlineStr">
        <is>
          <t>https://discord.com/channels/191975109500731392/1212839710439776287/1354529853197652151</t>
        </is>
      </c>
    </row>
    <row r="238" ht="14.25" customHeight="1" s="175">
      <c r="A238" s="267" t="inlineStr">
        <is>
          <t>Evan</t>
        </is>
      </c>
      <c r="B238" s="268" t="n">
        <v>1</v>
      </c>
      <c r="C238" s="269" t="inlineStr">
        <is>
          <t>David</t>
        </is>
      </c>
      <c r="D238" s="173" t="inlineStr">
        <is>
          <t>https://discord.com/channels/191975109500731392/1212839710439776287/1354529974207381586</t>
        </is>
      </c>
    </row>
    <row r="239" ht="14.25" customHeight="1" s="175">
      <c r="A239" s="267" t="inlineStr">
        <is>
          <t>Evan</t>
        </is>
      </c>
      <c r="B239" s="268" t="n">
        <v>1</v>
      </c>
      <c r="C239" s="269" t="inlineStr">
        <is>
          <t>Grady</t>
        </is>
      </c>
      <c r="D239" s="173" t="inlineStr">
        <is>
          <t>https://discord.com/channels/191975109500731392/1212839710439776287/1354529974207381586</t>
        </is>
      </c>
    </row>
    <row r="240" ht="14.25" customHeight="1" s="175">
      <c r="A240" s="267" t="inlineStr">
        <is>
          <t>David</t>
        </is>
      </c>
      <c r="B240" s="268" t="n">
        <v>2</v>
      </c>
      <c r="C240" s="269" t="inlineStr">
        <is>
          <t>Carter</t>
        </is>
      </c>
      <c r="D240" s="173" t="inlineStr">
        <is>
          <t>https://discord.com/channels/191975109500731392/1212839710439776287/1354588341198262394</t>
        </is>
      </c>
      <c r="E240" s="173" t="n">
        <v>1</v>
      </c>
    </row>
    <row r="241" ht="14.25" customHeight="1" s="175">
      <c r="A241" s="267" t="inlineStr">
        <is>
          <t>Carter</t>
        </is>
      </c>
      <c r="B241" s="268" t="n">
        <v>1</v>
      </c>
      <c r="C241" s="269" t="inlineStr">
        <is>
          <t>David</t>
        </is>
      </c>
      <c r="D241" s="173" t="inlineStr">
        <is>
          <t>https://discord.com/channels/191975109500731392/1212839710439776287/1354588525994971429</t>
        </is>
      </c>
    </row>
    <row r="242" ht="14.25" customHeight="1" s="175">
      <c r="A242" s="267" t="inlineStr">
        <is>
          <t>David</t>
        </is>
      </c>
      <c r="B242" s="268" t="n">
        <v>5</v>
      </c>
      <c r="C242" s="269" t="n"/>
      <c r="D242" s="173" t="inlineStr">
        <is>
          <t>https://discord.com/channels/191975109500731392/1212839710439776287/1354630452715061308</t>
        </is>
      </c>
    </row>
    <row r="243" ht="14.25" customHeight="1" s="175">
      <c r="A243" s="267" t="inlineStr">
        <is>
          <t>Anthony</t>
        </is>
      </c>
      <c r="B243" s="268" t="n">
        <v>2</v>
      </c>
      <c r="C243" s="269" t="inlineStr">
        <is>
          <t>Evan</t>
        </is>
      </c>
      <c r="D243" s="173" t="inlineStr">
        <is>
          <t>https://discord.com/channels/191975109500731392/1212839710439776287/1354826675942195210</t>
        </is>
      </c>
    </row>
    <row r="244" ht="14.25" customHeight="1" s="175">
      <c r="A244" s="267" t="inlineStr">
        <is>
          <t>Ethan</t>
        </is>
      </c>
      <c r="B244" s="268" t="n">
        <v>2</v>
      </c>
      <c r="C244" s="269" t="inlineStr">
        <is>
          <t>Grady</t>
        </is>
      </c>
      <c r="D244" s="173" t="inlineStr">
        <is>
          <t>https://discord.com/channels/191975109500731392/1212839710439776287/1354845006682263837</t>
        </is>
      </c>
    </row>
    <row r="245" ht="14.25" customHeight="1" s="175">
      <c r="A245" s="267" t="inlineStr">
        <is>
          <t>Grady</t>
        </is>
      </c>
      <c r="B245" s="268" t="n">
        <v>1</v>
      </c>
      <c r="C245" s="269" t="inlineStr">
        <is>
          <t>Ethan</t>
        </is>
      </c>
      <c r="D245" s="173" t="inlineStr">
        <is>
          <t>https://discord.com/channels/191975109500731392/1212839710439776287/1354845300552110230</t>
        </is>
      </c>
    </row>
    <row r="246" ht="14.25" customHeight="1" s="175">
      <c r="A246" s="267" t="inlineStr">
        <is>
          <t>Ethan</t>
        </is>
      </c>
      <c r="B246" s="268" t="n">
        <v>2</v>
      </c>
      <c r="C246" s="269" t="inlineStr">
        <is>
          <t>Reuben</t>
        </is>
      </c>
      <c r="D246" s="173" t="inlineStr">
        <is>
          <t>https://discord.com/channels/191975109500731392/1212839710439776287/1354851687998816347</t>
        </is>
      </c>
    </row>
    <row r="247" ht="14.25" customHeight="1" s="175">
      <c r="A247" s="267" t="inlineStr">
        <is>
          <t>Grady</t>
        </is>
      </c>
      <c r="B247" s="268" t="n">
        <v>2</v>
      </c>
      <c r="C247" s="269" t="inlineStr">
        <is>
          <t>Cooper</t>
        </is>
      </c>
      <c r="D247" s="173" t="inlineStr">
        <is>
          <t>https://discord.com/channels/191975109500731392/1212839710439776287/1354853809394024635</t>
        </is>
      </c>
    </row>
    <row r="248" ht="14.25" customHeight="1" s="175">
      <c r="A248" s="267" t="inlineStr">
        <is>
          <t>Grady</t>
        </is>
      </c>
      <c r="B248" s="268" t="n">
        <v>1</v>
      </c>
      <c r="C248" s="269" t="inlineStr">
        <is>
          <t>Anthony</t>
        </is>
      </c>
      <c r="D248" s="192" t="inlineStr">
        <is>
          <t>https://discord.com/channels/191975109500731392/1212839710439776287/1354853809394024635</t>
        </is>
      </c>
    </row>
    <row r="249" ht="14.25" customHeight="1" s="175">
      <c r="A249" s="267" t="inlineStr">
        <is>
          <t>Anthony</t>
        </is>
      </c>
      <c r="B249" s="268" t="n">
        <v>2</v>
      </c>
      <c r="C249" s="269" t="inlineStr">
        <is>
          <t>Ethan</t>
        </is>
      </c>
      <c r="D249" s="173" t="inlineStr">
        <is>
          <t>https://discord.com/channels/191975109500731392/1212839710439776287/1354854293513048105</t>
        </is>
      </c>
    </row>
    <row r="250" ht="14.25" customHeight="1" s="175">
      <c r="A250" s="267" t="inlineStr">
        <is>
          <t>Ethan</t>
        </is>
      </c>
      <c r="B250" s="268" t="n">
        <v>1</v>
      </c>
      <c r="C250" s="269" t="inlineStr">
        <is>
          <t>Anthony</t>
        </is>
      </c>
      <c r="D250" s="173" t="inlineStr">
        <is>
          <t>https://discord.com/channels/191975109500731392/1212839710439776287/1354854293513048105</t>
        </is>
      </c>
    </row>
    <row r="251" ht="14.25" customHeight="1" s="175">
      <c r="A251" s="267" t="inlineStr">
        <is>
          <t>David</t>
        </is>
      </c>
      <c r="B251" s="268" t="n">
        <v>2</v>
      </c>
      <c r="C251" s="269" t="inlineStr">
        <is>
          <t>Ethan</t>
        </is>
      </c>
      <c r="D251" s="173" t="inlineStr">
        <is>
          <t>https://discord.com/channels/191975109500731392/1212839710439776287/1354862220969906207</t>
        </is>
      </c>
    </row>
    <row r="252" ht="14.25" customHeight="1" s="175">
      <c r="A252" s="267" t="inlineStr">
        <is>
          <t>Ethan</t>
        </is>
      </c>
      <c r="B252" s="268" t="n">
        <v>2</v>
      </c>
      <c r="C252" s="269" t="inlineStr">
        <is>
          <t>David</t>
        </is>
      </c>
      <c r="D252" s="173" t="inlineStr">
        <is>
          <t>https://discord.com/channels/191975109500731392/1212839710439776287/1354862374028574840</t>
        </is>
      </c>
    </row>
    <row r="253" ht="14.25" customHeight="1" s="175">
      <c r="A253" s="267" t="inlineStr">
        <is>
          <t>Evan</t>
        </is>
      </c>
      <c r="B253" s="268" t="n">
        <v>2</v>
      </c>
      <c r="C253" s="269" t="inlineStr">
        <is>
          <t>David</t>
        </is>
      </c>
      <c r="D253" s="173" t="inlineStr">
        <is>
          <t>https://discord.com/channels/191975109500731392/1212839710439776287/1354862474901586200</t>
        </is>
      </c>
    </row>
    <row r="254" ht="14.25" customHeight="1" s="175">
      <c r="A254" s="267" t="inlineStr">
        <is>
          <t>Anthony</t>
        </is>
      </c>
      <c r="B254" s="268" t="n">
        <v>2</v>
      </c>
      <c r="C254" s="269" t="inlineStr">
        <is>
          <t>Evan</t>
        </is>
      </c>
      <c r="D254" s="173" t="inlineStr">
        <is>
          <t>https://discord.com/channels/191975109500731392/1212839710439776287/1354862519679975565</t>
        </is>
      </c>
    </row>
    <row r="255" ht="14.25" customHeight="1" s="175">
      <c r="A255" s="267" t="inlineStr">
        <is>
          <t>Anthony</t>
        </is>
      </c>
      <c r="B255" s="268" t="n">
        <v>2</v>
      </c>
      <c r="C255" s="269" t="inlineStr">
        <is>
          <t>David</t>
        </is>
      </c>
      <c r="D255" s="173" t="inlineStr">
        <is>
          <t>https://discord.com/channels/191975109500731392/1212839710439776287/1354862519679975565</t>
        </is>
      </c>
    </row>
    <row r="256" ht="14.25" customHeight="1" s="175">
      <c r="A256" s="267" t="inlineStr">
        <is>
          <t>David</t>
        </is>
      </c>
      <c r="B256" s="268" t="n">
        <v>1</v>
      </c>
      <c r="C256" s="269" t="inlineStr">
        <is>
          <t>Evan</t>
        </is>
      </c>
      <c r="D256" s="173" t="inlineStr">
        <is>
          <t>https://discord.com/channels/191975109500731392/1212839710439776287/1354862526952636627</t>
        </is>
      </c>
    </row>
    <row r="257" ht="14.25" customHeight="1" s="175">
      <c r="A257" s="267" t="inlineStr">
        <is>
          <t>Ethan</t>
        </is>
      </c>
      <c r="B257" s="268" t="n">
        <v>1</v>
      </c>
      <c r="C257" s="269" t="inlineStr">
        <is>
          <t>Evan</t>
        </is>
      </c>
      <c r="D257" s="173" t="inlineStr">
        <is>
          <t>https://discord.com/channels/191975109500731392/1212839710439776287/1354862570644836545</t>
        </is>
      </c>
    </row>
    <row r="258" ht="14.25" customHeight="1" s="175">
      <c r="A258" s="267" t="inlineStr">
        <is>
          <t>Evan</t>
        </is>
      </c>
      <c r="B258" s="268" t="n">
        <v>1</v>
      </c>
      <c r="C258" s="269" t="inlineStr">
        <is>
          <t>Ethan</t>
        </is>
      </c>
      <c r="D258" s="173" t="inlineStr">
        <is>
          <t>https://discord.com/channels/191975109500731392/1212839710439776287/1354862904473550919</t>
        </is>
      </c>
    </row>
    <row r="259" ht="14.25" customHeight="1" s="175">
      <c r="A259" s="267" t="inlineStr">
        <is>
          <t>Evan</t>
        </is>
      </c>
      <c r="B259" s="268" t="n">
        <v>1</v>
      </c>
      <c r="C259" s="269" t="inlineStr">
        <is>
          <t>Anthony</t>
        </is>
      </c>
      <c r="D259" s="173" t="inlineStr">
        <is>
          <t>https://discord.com/channels/191975109500731392/1212839710439776287/1354863189430370405</t>
        </is>
      </c>
    </row>
    <row r="260" ht="14.25" customHeight="1" s="175">
      <c r="A260" s="267" t="inlineStr">
        <is>
          <t>David</t>
        </is>
      </c>
      <c r="B260" s="268" t="n">
        <v>1</v>
      </c>
      <c r="C260" s="269" t="inlineStr">
        <is>
          <t>Anthony</t>
        </is>
      </c>
      <c r="D260" s="173" t="inlineStr">
        <is>
          <t>https://discord.com/channels/191975109500731392/1212839710439776287/1354863814352572497</t>
        </is>
      </c>
    </row>
    <row r="261" ht="14.25" customHeight="1" s="175">
      <c r="A261" s="267" t="inlineStr">
        <is>
          <t>Grady</t>
        </is>
      </c>
      <c r="B261" s="268" t="n">
        <v>1</v>
      </c>
      <c r="C261" s="269" t="inlineStr">
        <is>
          <t>Cooper</t>
        </is>
      </c>
      <c r="D261" s="173" t="inlineStr">
        <is>
          <t>https://discord.com/channels/191975109500731392/1212839710439776287/1354871434035593328</t>
        </is>
      </c>
    </row>
    <row r="262" ht="14.25" customHeight="1" s="175">
      <c r="A262" s="267" t="inlineStr">
        <is>
          <t>Grady</t>
        </is>
      </c>
      <c r="B262" s="268" t="n">
        <v>1</v>
      </c>
      <c r="C262" s="269" t="inlineStr">
        <is>
          <t>Cooper</t>
        </is>
      </c>
      <c r="D262" s="173" t="inlineStr">
        <is>
          <t>https://discord.com/channels/191975109500731392/1212839710439776287/1354896361493103024</t>
        </is>
      </c>
    </row>
    <row r="263" ht="14.25" customHeight="1" s="175">
      <c r="A263" s="267" t="inlineStr">
        <is>
          <t>David</t>
        </is>
      </c>
      <c r="B263" s="268" t="n">
        <v>2</v>
      </c>
      <c r="C263" s="269" t="inlineStr">
        <is>
          <t>Reuben</t>
        </is>
      </c>
      <c r="D263" s="173" t="inlineStr">
        <is>
          <t>https://discord.com/channels/191975109500731392/1212839710439776287/1355967006993809468</t>
        </is>
      </c>
    </row>
    <row r="264" ht="14.25" customHeight="1" s="175">
      <c r="A264" s="267" t="inlineStr">
        <is>
          <t>Ethan</t>
        </is>
      </c>
      <c r="B264" s="268" t="n">
        <v>5</v>
      </c>
      <c r="C264" s="269" t="n"/>
      <c r="D264" s="173" t="inlineStr">
        <is>
          <t>https://discord.com/channels/191975109500731392/1212839710439776287/1356012019215503390</t>
        </is>
      </c>
    </row>
    <row r="265" ht="14.25" customHeight="1" s="175">
      <c r="A265" s="267" t="inlineStr">
        <is>
          <t>Ethan</t>
        </is>
      </c>
      <c r="B265" s="268" t="n">
        <v>2</v>
      </c>
      <c r="C265" s="269" t="inlineStr">
        <is>
          <t>Carter</t>
        </is>
      </c>
      <c r="D265" s="173" t="inlineStr">
        <is>
          <t>https://discord.com/channels/191975109500731392/1212839710439776287/1356312886955212990</t>
        </is>
      </c>
      <c r="E265" s="173" t="n">
        <v>1</v>
      </c>
    </row>
    <row r="266" ht="14.25" customHeight="1" s="175">
      <c r="A266" s="267" t="inlineStr">
        <is>
          <t>Carter</t>
        </is>
      </c>
      <c r="B266" s="268" t="n">
        <v>1</v>
      </c>
      <c r="C266" s="269" t="inlineStr">
        <is>
          <t>Ethan</t>
        </is>
      </c>
      <c r="D266" s="173" t="inlineStr">
        <is>
          <t>https://discord.com/channels/191975109500731392/1212839710439776287/1356313009693261894</t>
        </is>
      </c>
    </row>
    <row r="267" ht="14.25" customHeight="1" s="175">
      <c r="A267" s="267" t="inlineStr">
        <is>
          <t>Anthony</t>
        </is>
      </c>
      <c r="B267" s="268" t="n">
        <v>2</v>
      </c>
      <c r="C267" s="269" t="inlineStr">
        <is>
          <t>Grady</t>
        </is>
      </c>
      <c r="D267" s="173" t="inlineStr">
        <is>
          <t>https://discord.com/channels/191975109500731392/1212839710439776287/1356324508730134823</t>
        </is>
      </c>
    </row>
    <row r="268" ht="14.25" customHeight="1" s="175">
      <c r="A268" s="267" t="inlineStr">
        <is>
          <t>Ethan</t>
        </is>
      </c>
      <c r="B268" s="268" t="n">
        <v>1</v>
      </c>
      <c r="C268" s="269" t="inlineStr">
        <is>
          <t>Anthony</t>
        </is>
      </c>
      <c r="D268" s="173" t="inlineStr">
        <is>
          <t>https://discord.com/channels/191975109500731392/1212839710439776287/1356369285668274198</t>
        </is>
      </c>
    </row>
    <row r="269" ht="14.25" customHeight="1" s="175">
      <c r="A269" s="267" t="inlineStr">
        <is>
          <t>Ethan</t>
        </is>
      </c>
      <c r="B269" s="268" t="n">
        <v>1</v>
      </c>
      <c r="C269" s="269" t="inlineStr">
        <is>
          <t>Evan</t>
        </is>
      </c>
      <c r="D269" s="173" t="inlineStr">
        <is>
          <t>https://discord.com/channels/191975109500731392/1212839710439776287/1356675432283639828</t>
        </is>
      </c>
    </row>
    <row r="270" ht="14.25" customHeight="1" s="175">
      <c r="A270" s="267" t="inlineStr">
        <is>
          <t>David</t>
        </is>
      </c>
      <c r="B270" s="268" t="n">
        <v>1</v>
      </c>
      <c r="C270" s="269" t="inlineStr">
        <is>
          <t>Maxine</t>
        </is>
      </c>
      <c r="D270" s="173" t="inlineStr">
        <is>
          <t>https://discord.com/channels/191975109500731392/1212839710439776287/1357048619202642090</t>
        </is>
      </c>
    </row>
    <row r="271" ht="14.25" customHeight="1" s="175">
      <c r="A271" s="267" t="inlineStr">
        <is>
          <t>Maxine</t>
        </is>
      </c>
      <c r="B271" s="268" t="n">
        <v>1</v>
      </c>
      <c r="C271" s="269" t="inlineStr">
        <is>
          <t>David</t>
        </is>
      </c>
      <c r="D271" s="173" t="inlineStr">
        <is>
          <t>https://discord.com/channels/191975109500731392/1212839710439776287/1357048642157936783</t>
        </is>
      </c>
    </row>
    <row r="272" ht="14.25" customHeight="1" s="175">
      <c r="A272" s="267" t="inlineStr">
        <is>
          <t>Grady</t>
        </is>
      </c>
      <c r="B272" s="268" t="n">
        <v>1</v>
      </c>
      <c r="C272" s="269" t="inlineStr">
        <is>
          <t>Anthony</t>
        </is>
      </c>
      <c r="D272" s="173" t="inlineStr">
        <is>
          <t>https://discord.com/channels/191975109500731392/1212839710439776287/1357051076053958798</t>
        </is>
      </c>
    </row>
    <row r="273" ht="14.25" customHeight="1" s="175">
      <c r="A273" s="267" t="inlineStr">
        <is>
          <t>Grady</t>
        </is>
      </c>
      <c r="B273" s="268" t="n">
        <v>1</v>
      </c>
      <c r="C273" s="269" t="inlineStr">
        <is>
          <t>Cooper</t>
        </is>
      </c>
      <c r="D273" s="173" t="inlineStr">
        <is>
          <t>https://discord.com/channels/191975109500731392/1212839710439776287/1357051076053958798</t>
        </is>
      </c>
    </row>
    <row r="274" ht="14.25" customHeight="1" s="175">
      <c r="A274" s="267" t="inlineStr">
        <is>
          <t>Carter</t>
        </is>
      </c>
      <c r="B274" s="268" t="n">
        <v>1</v>
      </c>
      <c r="C274" s="269" t="inlineStr">
        <is>
          <t>David</t>
        </is>
      </c>
      <c r="D274" s="173" t="inlineStr">
        <is>
          <t>https://discord.com/channels/191975109500731392/1212839710439776287/1357119641797005393</t>
        </is>
      </c>
    </row>
    <row r="275" ht="14.25" customHeight="1" s="175">
      <c r="A275" s="267" t="inlineStr">
        <is>
          <t>David</t>
        </is>
      </c>
      <c r="B275" s="268" t="n">
        <v>1</v>
      </c>
      <c r="C275" s="269" t="inlineStr">
        <is>
          <t>Carter</t>
        </is>
      </c>
      <c r="D275" s="173" t="inlineStr">
        <is>
          <t>https://discord.com/channels/191975109500731392/1212839710439776287/1357119641797005393</t>
        </is>
      </c>
      <c r="E275" s="173" t="n">
        <v>1</v>
      </c>
    </row>
    <row r="276" ht="14.25" customHeight="1" s="175">
      <c r="A276" s="267" t="inlineStr">
        <is>
          <t>Grady</t>
        </is>
      </c>
      <c r="B276" s="268" t="n">
        <v>1</v>
      </c>
      <c r="C276" s="269" t="inlineStr">
        <is>
          <t>Tyler</t>
        </is>
      </c>
      <c r="D276" s="173" t="inlineStr">
        <is>
          <t>https://discord.com/channels/191975109500731392/1212839710439776287/1357374425887936694</t>
        </is>
      </c>
    </row>
    <row r="277" ht="14.25" customHeight="1" s="175">
      <c r="A277" s="267" t="inlineStr">
        <is>
          <t>Tyler</t>
        </is>
      </c>
      <c r="B277" s="268" t="n">
        <v>2</v>
      </c>
      <c r="C277" s="269" t="inlineStr">
        <is>
          <t>Grady</t>
        </is>
      </c>
      <c r="D277" s="173" t="inlineStr">
        <is>
          <t>https://discord.com/channels/191975109500731392/1212839710439776287/1357374605085511780</t>
        </is>
      </c>
    </row>
    <row r="278" ht="14.25" customHeight="1" s="175">
      <c r="A278" s="267" t="inlineStr">
        <is>
          <t>Grady</t>
        </is>
      </c>
      <c r="B278" s="268" t="n">
        <v>1</v>
      </c>
      <c r="C278" s="269" t="inlineStr">
        <is>
          <t>Cooper</t>
        </is>
      </c>
      <c r="D278" s="173" t="inlineStr">
        <is>
          <t>https://discord.com/channels/191975109500731392/1212839710439776287/1357390221062443079</t>
        </is>
      </c>
    </row>
    <row r="279" ht="14.25" customHeight="1" s="175">
      <c r="A279" s="267" t="inlineStr">
        <is>
          <t>Cooper</t>
        </is>
      </c>
      <c r="B279" s="268" t="n">
        <v>1</v>
      </c>
      <c r="C279" s="269" t="inlineStr">
        <is>
          <t>Grady</t>
        </is>
      </c>
      <c r="D279" s="173" t="inlineStr">
        <is>
          <t>https://discord.com/channels/191975109500731392/1212839710439776287/1357390411399696475</t>
        </is>
      </c>
    </row>
    <row r="280" ht="14.25" customHeight="1" s="175">
      <c r="A280" s="267" t="inlineStr">
        <is>
          <t>Grady</t>
        </is>
      </c>
      <c r="B280" s="268" t="n">
        <v>2</v>
      </c>
      <c r="C280" s="269" t="inlineStr">
        <is>
          <t>Cooper</t>
        </is>
      </c>
      <c r="D280" s="173" t="inlineStr">
        <is>
          <t>https://discord.com/channels/191975109500731392/1212839710439776287/1359202750101196811</t>
        </is>
      </c>
    </row>
    <row r="281" ht="14.25" customHeight="1" s="175">
      <c r="A281" s="267" t="inlineStr">
        <is>
          <t>Evan</t>
        </is>
      </c>
      <c r="B281" s="268" t="n">
        <v>2</v>
      </c>
      <c r="C281" s="269" t="inlineStr">
        <is>
          <t>Ethan</t>
        </is>
      </c>
      <c r="D281" s="173" t="inlineStr">
        <is>
          <t>https://discord.com/channels/191975109500731392/1212839710439776287/1359211778919370972</t>
        </is>
      </c>
    </row>
    <row r="282" ht="14.25" customHeight="1" s="175">
      <c r="A282" s="267" t="inlineStr">
        <is>
          <t>Ethan</t>
        </is>
      </c>
      <c r="B282" s="268" t="n">
        <v>1</v>
      </c>
      <c r="C282" s="269" t="inlineStr">
        <is>
          <t>Evan</t>
        </is>
      </c>
      <c r="D282" s="173" t="inlineStr">
        <is>
          <t>https://discord.com/channels/191975109500731392/1212839710439776287/1359212271645102151</t>
        </is>
      </c>
    </row>
    <row r="283" ht="14.25" customHeight="1" s="175">
      <c r="A283" s="267" t="inlineStr">
        <is>
          <t>David</t>
        </is>
      </c>
      <c r="B283" s="268" t="n">
        <v>1</v>
      </c>
      <c r="C283" s="269" t="inlineStr">
        <is>
          <t>Erick</t>
        </is>
      </c>
      <c r="D283" s="173" t="inlineStr">
        <is>
          <t>https://discord.com/channels/191975109500731392/1212839710439776287/1359224437945270313</t>
        </is>
      </c>
    </row>
    <row r="284" ht="14.25" customHeight="1" s="175">
      <c r="A284" s="267" t="inlineStr">
        <is>
          <t>Anthony</t>
        </is>
      </c>
      <c r="B284" s="268" t="n">
        <v>1</v>
      </c>
      <c r="C284" s="269" t="inlineStr">
        <is>
          <t>Evan</t>
        </is>
      </c>
      <c r="D284" s="173" t="inlineStr">
        <is>
          <t>https://discord.com/channels/191975109500731392/1212839710439776287/1359244657036628191</t>
        </is>
      </c>
    </row>
    <row r="285" ht="14.25" customHeight="1" s="175">
      <c r="A285" s="267" t="inlineStr">
        <is>
          <t>Evan</t>
        </is>
      </c>
      <c r="B285" s="268" t="n">
        <v>1</v>
      </c>
      <c r="C285" s="269" t="inlineStr">
        <is>
          <t>Anthony</t>
        </is>
      </c>
      <c r="D285" s="173" t="inlineStr">
        <is>
          <t>https://discord.com/channels/191975109500731392/1212839710439776287/1359244713550680164</t>
        </is>
      </c>
    </row>
    <row r="286" ht="14.25" customHeight="1" s="175">
      <c r="A286" s="267" t="inlineStr">
        <is>
          <t>Ethan</t>
        </is>
      </c>
      <c r="B286" s="268" t="n">
        <v>2</v>
      </c>
      <c r="C286" s="269" t="inlineStr">
        <is>
          <t>Evan</t>
        </is>
      </c>
      <c r="D286" s="173" t="inlineStr">
        <is>
          <t>https://discord.com/channels/191975109500731392/1212839710439776287/1359270956165763242</t>
        </is>
      </c>
    </row>
    <row r="287" ht="14.25" customHeight="1" s="175">
      <c r="A287" s="267" t="inlineStr">
        <is>
          <t>Carter</t>
        </is>
      </c>
      <c r="B287" s="268" t="n">
        <v>2</v>
      </c>
      <c r="C287" s="269" t="inlineStr">
        <is>
          <t>Cooper</t>
        </is>
      </c>
      <c r="D287" s="173" t="inlineStr">
        <is>
          <t>https://discord.com/channels/191975109500731392/1212839710439776287/1359300778774233148</t>
        </is>
      </c>
    </row>
    <row r="288" ht="14.25" customHeight="1" s="175">
      <c r="A288" s="267" t="inlineStr">
        <is>
          <t>Maxine</t>
        </is>
      </c>
      <c r="B288" s="268" t="n">
        <v>1</v>
      </c>
      <c r="C288" s="269" t="inlineStr">
        <is>
          <t>Anthony</t>
        </is>
      </c>
      <c r="D288" s="173" t="inlineStr">
        <is>
          <t>https://discord.com/channels/191975109500731392/1212839710439776287/1359535174525784074</t>
        </is>
      </c>
    </row>
    <row r="289" ht="14.25" customHeight="1" s="175">
      <c r="A289" s="267" t="inlineStr">
        <is>
          <t>Anthony</t>
        </is>
      </c>
      <c r="B289" s="268" t="n">
        <v>1</v>
      </c>
      <c r="C289" s="269" t="inlineStr">
        <is>
          <t>Maxine</t>
        </is>
      </c>
      <c r="D289" s="173" t="inlineStr">
        <is>
          <t>https://discord.com/channels/191975109500731392/1212839710439776287/1359535311876784268</t>
        </is>
      </c>
    </row>
    <row r="290" ht="14.25" customHeight="1" s="175">
      <c r="A290" s="267" t="inlineStr">
        <is>
          <t>Maxine</t>
        </is>
      </c>
      <c r="B290" s="268" t="n">
        <v>1</v>
      </c>
      <c r="C290" s="269" t="inlineStr">
        <is>
          <t>Carter</t>
        </is>
      </c>
      <c r="D290" s="173" t="inlineStr">
        <is>
          <t>https://discord.com/channels/191975109500731392/1212839710439776287/1359599304934817922</t>
        </is>
      </c>
      <c r="E290" s="173" t="n">
        <v>1</v>
      </c>
    </row>
    <row r="291" ht="14.25" customHeight="1" s="175">
      <c r="A291" s="267" t="inlineStr">
        <is>
          <t>Carter</t>
        </is>
      </c>
      <c r="B291" s="268" t="n">
        <v>1</v>
      </c>
      <c r="C291" s="269" t="inlineStr">
        <is>
          <t>Maxine</t>
        </is>
      </c>
      <c r="D291" s="173" t="inlineStr">
        <is>
          <t>https://discord.com/channels/191975109500731392/1212839710439776287/1359599307870834811</t>
        </is>
      </c>
    </row>
    <row r="292" ht="14.25" customHeight="1" s="175">
      <c r="A292" s="267" t="inlineStr">
        <is>
          <t>David</t>
        </is>
      </c>
      <c r="B292" s="268" t="n">
        <v>2</v>
      </c>
      <c r="C292" s="269" t="inlineStr">
        <is>
          <t>Carter</t>
        </is>
      </c>
      <c r="D292" s="173" t="inlineStr">
        <is>
          <t>https://discord.com/channels/191975109500731392/1212839710439776287/1359611405216514158</t>
        </is>
      </c>
      <c r="E292" s="173" t="n">
        <v>1</v>
      </c>
    </row>
    <row r="293" ht="14.25" customHeight="1" s="175">
      <c r="A293" s="267" t="inlineStr">
        <is>
          <t>Maxine</t>
        </is>
      </c>
      <c r="B293" s="268" t="n">
        <v>1</v>
      </c>
      <c r="C293" s="269" t="inlineStr">
        <is>
          <t>Carter</t>
        </is>
      </c>
      <c r="D293" s="173" t="inlineStr">
        <is>
          <t>https://discord.com/channels/191975109500731392/1212839710439776287/1359669562823545013</t>
        </is>
      </c>
      <c r="E293" s="173" t="n">
        <v>0</v>
      </c>
    </row>
    <row r="294" ht="14.25" customHeight="1" s="175">
      <c r="A294" s="267" t="inlineStr">
        <is>
          <t>Carter</t>
        </is>
      </c>
      <c r="B294" s="268" t="n">
        <v>1</v>
      </c>
      <c r="C294" s="269" t="inlineStr">
        <is>
          <t>Maxine</t>
        </is>
      </c>
      <c r="D294" s="173" t="inlineStr">
        <is>
          <t>https://discord.com/channels/191975109500731392/1212839710439776287/1359669614602096651</t>
        </is>
      </c>
    </row>
    <row r="295" ht="14.25" customHeight="1" s="175">
      <c r="A295" s="267" t="inlineStr">
        <is>
          <t>Grady</t>
        </is>
      </c>
      <c r="B295" s="268" t="n">
        <v>2</v>
      </c>
      <c r="C295" s="269" t="inlineStr">
        <is>
          <t>Cooper</t>
        </is>
      </c>
      <c r="D295" s="173" t="inlineStr">
        <is>
          <t>https://discord.com/channels/191975109500731392/1212839710439776287/1359947228437024878</t>
        </is>
      </c>
    </row>
    <row r="296" ht="14.25" customHeight="1" s="175">
      <c r="A296" s="267" t="inlineStr">
        <is>
          <t>Evan</t>
        </is>
      </c>
      <c r="B296" s="268" t="n">
        <v>1</v>
      </c>
      <c r="C296" s="269" t="inlineStr">
        <is>
          <t>Anthony</t>
        </is>
      </c>
      <c r="D296" s="173" t="inlineStr">
        <is>
          <t>https://discord.com/channels/191975109500731392/1212839710439776287/1359971298109034626</t>
        </is>
      </c>
    </row>
    <row r="297" ht="14.25" customHeight="1" s="175">
      <c r="A297" s="267" t="inlineStr">
        <is>
          <t>Anthony</t>
        </is>
      </c>
      <c r="B297" s="268" t="n">
        <v>1</v>
      </c>
      <c r="C297" s="269" t="inlineStr">
        <is>
          <t>Evan</t>
        </is>
      </c>
      <c r="D297" s="173" t="inlineStr">
        <is>
          <t>https://discord.com/channels/191975109500731392/1212839710439776287/1359971388814917705</t>
        </is>
      </c>
    </row>
    <row r="298" ht="14.25" customHeight="1" s="175">
      <c r="A298" s="267" t="n"/>
      <c r="B298" s="268" t="n"/>
      <c r="C298" s="269" t="n"/>
    </row>
    <row r="299" ht="14.25" customHeight="1" s="175">
      <c r="A299" s="267" t="n"/>
      <c r="B299" s="268" t="n"/>
      <c r="C299" s="269" t="n"/>
    </row>
    <row r="300" ht="14.25" customHeight="1" s="175">
      <c r="A300" s="267" t="n"/>
      <c r="B300" s="268" t="n"/>
      <c r="C300" s="269" t="n"/>
    </row>
    <row r="301" ht="14.25" customHeight="1" s="175">
      <c r="A301" s="267" t="n"/>
      <c r="B301" s="268" t="n"/>
      <c r="C301" s="269" t="n"/>
    </row>
    <row r="302" ht="14.25" customHeight="1" s="175">
      <c r="A302" s="267" t="n"/>
      <c r="B302" s="268" t="n"/>
      <c r="C302" s="269" t="n"/>
    </row>
    <row r="303" ht="14.25" customHeight="1" s="175">
      <c r="A303" s="267" t="n"/>
      <c r="B303" s="268" t="n"/>
      <c r="C303" s="269" t="n"/>
    </row>
    <row r="304" ht="14.25" customHeight="1" s="175">
      <c r="A304" s="267" t="n"/>
      <c r="B304" s="268" t="n"/>
      <c r="C304" s="269" t="n"/>
    </row>
    <row r="305" ht="14.25" customHeight="1" s="175">
      <c r="A305" s="267" t="n"/>
      <c r="B305" s="268" t="n"/>
      <c r="C305" s="269" t="n"/>
    </row>
    <row r="306" ht="14.25" customHeight="1" s="175">
      <c r="A306" s="267" t="n"/>
      <c r="B306" s="268" t="n"/>
      <c r="C306" s="269" t="n"/>
    </row>
    <row r="307" ht="14.25" customHeight="1" s="175">
      <c r="A307" s="267" t="n"/>
      <c r="B307" s="268" t="n"/>
      <c r="C307" s="269" t="n"/>
    </row>
    <row r="308" ht="14.25" customHeight="1" s="175">
      <c r="A308" s="267" t="n"/>
      <c r="B308" s="268" t="n"/>
      <c r="C308" s="269" t="n"/>
      <c r="D308" s="192" t="n"/>
    </row>
    <row r="309" ht="14.25" customHeight="1" s="175">
      <c r="A309" s="267" t="n"/>
      <c r="B309" s="268" t="n"/>
      <c r="C309" s="269" t="n"/>
    </row>
    <row r="310" ht="14.25" customHeight="1" s="175">
      <c r="A310" s="267" t="n"/>
      <c r="B310" s="268" t="n"/>
      <c r="C310" s="269" t="n"/>
    </row>
    <row r="311" ht="14.25" customHeight="1" s="175">
      <c r="A311" s="267" t="n"/>
      <c r="B311" s="268" t="n"/>
      <c r="C311" s="269" t="n"/>
    </row>
    <row r="312" ht="14.25" customHeight="1" s="175">
      <c r="A312" s="267" t="n"/>
      <c r="B312" s="268" t="n"/>
      <c r="C312" s="269" t="n"/>
    </row>
    <row r="313" ht="14.25" customHeight="1" s="175">
      <c r="A313" s="267" t="n"/>
      <c r="B313" s="268" t="n"/>
      <c r="C313" s="269" t="n"/>
    </row>
    <row r="314" ht="14.25" customHeight="1" s="175">
      <c r="A314" s="267" t="n"/>
      <c r="B314" s="268" t="n"/>
      <c r="C314" s="269" t="n"/>
    </row>
    <row r="315" ht="14.25" customHeight="1" s="175">
      <c r="A315" s="267" t="n"/>
      <c r="B315" s="268" t="n"/>
      <c r="C315" s="269" t="n"/>
    </row>
    <row r="316" ht="14.25" customHeight="1" s="175">
      <c r="A316" s="267" t="n"/>
      <c r="B316" s="268" t="n"/>
      <c r="C316" s="269" t="n"/>
    </row>
    <row r="317" ht="14.25" customHeight="1" s="175">
      <c r="A317" s="267" t="n"/>
      <c r="B317" s="268" t="n"/>
      <c r="C317" s="269" t="n"/>
    </row>
    <row r="318" ht="14.25" customHeight="1" s="175">
      <c r="A318" s="267" t="n"/>
      <c r="B318" s="268" t="n"/>
      <c r="C318" s="269" t="n"/>
    </row>
    <row r="319" ht="14.25" customHeight="1" s="175">
      <c r="A319" s="267" t="n"/>
      <c r="B319" s="268" t="n"/>
      <c r="C319" s="269" t="n"/>
    </row>
    <row r="320" ht="14.25" customHeight="1" s="175">
      <c r="A320" s="267" t="n"/>
      <c r="B320" s="268" t="n"/>
      <c r="C320" s="269" t="n"/>
    </row>
    <row r="321" ht="14.25" customHeight="1" s="175">
      <c r="A321" s="267" t="n"/>
      <c r="B321" s="268" t="n"/>
      <c r="C321" s="269" t="n"/>
    </row>
    <row r="322" ht="14.25" customHeight="1" s="175">
      <c r="A322" s="267" t="n"/>
      <c r="B322" s="268" t="n"/>
      <c r="C322" s="269" t="n"/>
    </row>
    <row r="323" ht="14.25" customHeight="1" s="175">
      <c r="A323" s="267" t="n"/>
      <c r="B323" s="268" t="n"/>
      <c r="C323" s="269" t="n"/>
    </row>
    <row r="324" ht="14.25" customHeight="1" s="175">
      <c r="A324" s="267" t="n"/>
      <c r="B324" s="268" t="n"/>
      <c r="C324" s="269" t="n"/>
    </row>
    <row r="325" ht="14.25" customHeight="1" s="175">
      <c r="A325" s="267" t="n"/>
      <c r="B325" s="268" t="n"/>
      <c r="C325" s="269" t="n"/>
    </row>
    <row r="326" ht="14.25" customHeight="1" s="175">
      <c r="A326" s="267" t="n"/>
      <c r="B326" s="268" t="n"/>
      <c r="C326" s="269" t="n"/>
    </row>
    <row r="327" ht="14.25" customHeight="1" s="175">
      <c r="A327" s="267" t="n"/>
      <c r="B327" s="268" t="n"/>
      <c r="C327" s="269" t="n"/>
    </row>
    <row r="328" ht="14.25" customHeight="1" s="175">
      <c r="A328" s="267" t="n"/>
      <c r="B328" s="268" t="n"/>
      <c r="C328" s="269" t="n"/>
    </row>
    <row r="329" ht="14.25" customHeight="1" s="175">
      <c r="A329" s="267" t="n"/>
      <c r="B329" s="268" t="n"/>
      <c r="C329" s="269" t="n"/>
    </row>
    <row r="330" ht="14.25" customHeight="1" s="175">
      <c r="A330" s="267" t="n"/>
      <c r="B330" s="268" t="n"/>
      <c r="C330" s="269" t="n"/>
    </row>
    <row r="331" ht="14.25" customHeight="1" s="175">
      <c r="A331" s="267" t="n"/>
      <c r="B331" s="268" t="n"/>
      <c r="C331" s="269" t="n"/>
    </row>
    <row r="332" ht="14.25" customHeight="1" s="175">
      <c r="A332" s="267" t="n"/>
      <c r="B332" s="268" t="n"/>
      <c r="C332" s="269" t="n"/>
    </row>
    <row r="333" ht="14.25" customHeight="1" s="175">
      <c r="A333" s="267" t="n"/>
      <c r="B333" s="268" t="n"/>
      <c r="C333" s="269" t="n"/>
    </row>
    <row r="334" ht="14.25" customHeight="1" s="175">
      <c r="A334" s="267" t="n"/>
      <c r="B334" s="268" t="n"/>
      <c r="C334" s="269" t="n"/>
    </row>
    <row r="335" ht="14.25" customHeight="1" s="175">
      <c r="A335" s="267" t="n"/>
      <c r="B335" s="268" t="n"/>
      <c r="C335" s="269" t="n"/>
    </row>
    <row r="336" ht="14.25" customHeight="1" s="175">
      <c r="A336" s="267" t="n"/>
      <c r="B336" s="268" t="n"/>
      <c r="C336" s="269" t="n"/>
    </row>
    <row r="337" ht="14.25" customHeight="1" s="175">
      <c r="A337" s="267" t="n"/>
      <c r="B337" s="268" t="n"/>
      <c r="C337" s="269" t="n"/>
    </row>
    <row r="338" ht="14.25" customHeight="1" s="175">
      <c r="A338" s="267" t="n"/>
      <c r="B338" s="268" t="n"/>
      <c r="C338" s="269" t="n"/>
    </row>
    <row r="339" ht="14.25" customHeight="1" s="175">
      <c r="A339" s="267" t="n"/>
      <c r="B339" s="268" t="n"/>
      <c r="C339" s="269" t="n"/>
    </row>
    <row r="340" ht="14.25" customHeight="1" s="175">
      <c r="A340" s="267" t="n"/>
      <c r="B340" s="268" t="n"/>
      <c r="C340" s="269" t="n"/>
    </row>
    <row r="341" ht="14.25" customHeight="1" s="175">
      <c r="A341" s="267" t="n"/>
      <c r="B341" s="268" t="n"/>
      <c r="C341" s="269" t="n"/>
    </row>
    <row r="342" ht="14.25" customHeight="1" s="175">
      <c r="A342" s="267" t="n"/>
      <c r="B342" s="268" t="n"/>
      <c r="C342" s="269" t="n"/>
    </row>
    <row r="343" ht="14.25" customHeight="1" s="175">
      <c r="A343" s="267" t="n"/>
      <c r="B343" s="268" t="n"/>
      <c r="C343" s="269" t="n"/>
    </row>
    <row r="344" ht="14.25" customHeight="1" s="175">
      <c r="A344" s="267" t="n"/>
      <c r="B344" s="268" t="n"/>
      <c r="C344" s="269" t="n"/>
    </row>
    <row r="345" ht="14.25" customHeight="1" s="175">
      <c r="A345" s="267" t="n"/>
      <c r="B345" s="268" t="n"/>
      <c r="C345" s="269" t="n"/>
      <c r="D345" s="192" t="n"/>
    </row>
    <row r="346" ht="14.25" customHeight="1" s="175">
      <c r="A346" s="267" t="n"/>
      <c r="B346" s="268" t="n"/>
      <c r="C346" s="269" t="n"/>
    </row>
    <row r="347" ht="14.25" customHeight="1" s="175">
      <c r="A347" s="267" t="n"/>
      <c r="B347" s="268" t="n"/>
      <c r="C347" s="269" t="n"/>
    </row>
    <row r="348" ht="14.25" customHeight="1" s="175">
      <c r="A348" s="267" t="n"/>
      <c r="B348" s="268" t="n"/>
      <c r="C348" s="269" t="n"/>
    </row>
    <row r="349" ht="14.25" customHeight="1" s="175">
      <c r="A349" s="267" t="n"/>
      <c r="B349" s="268" t="n"/>
      <c r="C349" s="269" t="n"/>
    </row>
    <row r="350" ht="14.25" customHeight="1" s="175">
      <c r="A350" s="267" t="n"/>
      <c r="B350" s="268" t="n"/>
      <c r="C350" s="269" t="n"/>
    </row>
    <row r="351" ht="14.25" customHeight="1" s="175">
      <c r="A351" s="267" t="n"/>
      <c r="B351" s="268" t="n"/>
      <c r="C351" s="269" t="n"/>
    </row>
    <row r="352" ht="14.25" customHeight="1" s="175">
      <c r="A352" s="267" t="n"/>
      <c r="B352" s="268" t="n"/>
      <c r="C352" s="269" t="n"/>
    </row>
    <row r="353" ht="14.25" customHeight="1" s="175">
      <c r="A353" s="267" t="n"/>
      <c r="B353" s="268" t="n"/>
      <c r="C353" s="269" t="n"/>
    </row>
    <row r="354" ht="14.25" customHeight="1" s="175">
      <c r="A354" s="267" t="n"/>
      <c r="B354" s="268" t="n"/>
      <c r="C354" s="269" t="n"/>
    </row>
    <row r="355" ht="14.25" customHeight="1" s="175">
      <c r="A355" s="267" t="n"/>
      <c r="B355" s="268" t="n"/>
      <c r="C355" s="269" t="n"/>
    </row>
    <row r="356" ht="14.25" customHeight="1" s="175">
      <c r="A356" s="267" t="n"/>
      <c r="B356" s="268" t="n"/>
      <c r="C356" s="269" t="n"/>
    </row>
    <row r="357" ht="14.25" customHeight="1" s="175">
      <c r="A357" s="267" t="n"/>
      <c r="B357" s="268" t="n"/>
      <c r="C357" s="269" t="n"/>
    </row>
    <row r="358" ht="14.25" customHeight="1" s="175">
      <c r="A358" s="267" t="n"/>
      <c r="B358" s="268" t="n"/>
      <c r="C358" s="269" t="n"/>
    </row>
    <row r="359" ht="14.25" customHeight="1" s="175">
      <c r="A359" s="267" t="n"/>
      <c r="B359" s="268" t="n"/>
      <c r="C359" s="269" t="n"/>
    </row>
    <row r="360" ht="14.25" customHeight="1" s="175">
      <c r="A360" s="267" t="n"/>
      <c r="B360" s="268" t="n"/>
      <c r="C360" s="269" t="n"/>
    </row>
    <row r="361" ht="14.25" customHeight="1" s="175">
      <c r="A361" s="267" t="n"/>
      <c r="B361" s="268" t="n"/>
      <c r="C361" s="269" t="n"/>
    </row>
    <row r="362" ht="14.25" customHeight="1" s="175">
      <c r="A362" s="267" t="n"/>
      <c r="B362" s="268" t="n"/>
      <c r="C362" s="269" t="n"/>
    </row>
    <row r="363" ht="14.25" customHeight="1" s="175">
      <c r="A363" s="267" t="n"/>
      <c r="B363" s="268" t="n"/>
      <c r="C363" s="269" t="n"/>
    </row>
    <row r="364" ht="14.25" customHeight="1" s="175">
      <c r="A364" s="267" t="n"/>
      <c r="B364" s="268" t="n"/>
      <c r="C364" s="269" t="n"/>
    </row>
    <row r="365" ht="14.25" customHeight="1" s="175">
      <c r="A365" s="267" t="n"/>
      <c r="B365" s="268" t="n"/>
      <c r="C365" s="269" t="n"/>
    </row>
    <row r="366" ht="14.25" customHeight="1" s="175">
      <c r="A366" s="267" t="n"/>
      <c r="B366" s="268" t="n"/>
      <c r="C366" s="269" t="n"/>
    </row>
    <row r="367" ht="14.25" customHeight="1" s="175">
      <c r="A367" s="267" t="n"/>
      <c r="B367" s="268" t="n"/>
      <c r="C367" s="269" t="n"/>
    </row>
    <row r="368" ht="14.25" customHeight="1" s="175">
      <c r="A368" s="267" t="n"/>
      <c r="B368" s="268" t="n"/>
      <c r="C368" s="269" t="n"/>
    </row>
    <row r="369" ht="14.25" customHeight="1" s="175">
      <c r="A369" s="267" t="n"/>
      <c r="B369" s="268" t="n"/>
      <c r="C369" s="269" t="n"/>
    </row>
    <row r="370" ht="14.25" customHeight="1" s="175">
      <c r="A370" s="267" t="n"/>
      <c r="B370" s="268" t="n"/>
      <c r="C370" s="269" t="n"/>
    </row>
    <row r="371" ht="14.25" customHeight="1" s="175">
      <c r="A371" s="267" t="n"/>
      <c r="B371" s="268" t="n"/>
      <c r="C371" s="269" t="n"/>
    </row>
    <row r="372" ht="14.25" customHeight="1" s="175">
      <c r="A372" s="267" t="n"/>
      <c r="B372" s="268" t="n"/>
      <c r="C372" s="269" t="n"/>
    </row>
    <row r="373" ht="14.25" customHeight="1" s="175">
      <c r="A373" s="267" t="n"/>
      <c r="B373" s="268" t="n"/>
      <c r="C373" s="269" t="n"/>
    </row>
    <row r="374" ht="14.25" customHeight="1" s="175">
      <c r="A374" s="267" t="n"/>
      <c r="B374" s="268" t="n"/>
      <c r="C374" s="269" t="n"/>
    </row>
    <row r="375" ht="14.25" customHeight="1" s="175">
      <c r="A375" s="267" t="n"/>
      <c r="B375" s="268" t="n"/>
      <c r="C375" s="269" t="n"/>
    </row>
    <row r="376" ht="14.25" customHeight="1" s="175">
      <c r="A376" s="267" t="n"/>
      <c r="B376" s="268" t="n"/>
      <c r="C376" s="269" t="n"/>
    </row>
    <row r="377" ht="14.25" customHeight="1" s="175">
      <c r="A377" s="267" t="n"/>
      <c r="B377" s="268" t="n"/>
      <c r="C377" s="269" t="n"/>
    </row>
    <row r="378" ht="14.25" customHeight="1" s="175">
      <c r="A378" s="267" t="n"/>
      <c r="B378" s="268" t="n"/>
      <c r="C378" s="269" t="n"/>
    </row>
    <row r="379" ht="14.25" customHeight="1" s="175">
      <c r="A379" s="267" t="n"/>
      <c r="B379" s="268" t="n"/>
      <c r="C379" s="269" t="n"/>
    </row>
    <row r="380" ht="14.25" customHeight="1" s="175">
      <c r="A380" s="267" t="n"/>
      <c r="B380" s="268" t="n"/>
      <c r="C380" s="269" t="n"/>
    </row>
    <row r="381" ht="14.25" customHeight="1" s="175">
      <c r="A381" s="267" t="n"/>
      <c r="B381" s="268" t="n"/>
      <c r="C381" s="269" t="n"/>
    </row>
    <row r="382" ht="14.25" customHeight="1" s="175">
      <c r="A382" s="267" t="n"/>
      <c r="B382" s="268" t="n"/>
      <c r="C382" s="269" t="n"/>
    </row>
    <row r="383" ht="14.25" customHeight="1" s="175">
      <c r="A383" s="267" t="n"/>
      <c r="B383" s="268" t="n"/>
      <c r="C383" s="269" t="n"/>
    </row>
    <row r="384" ht="14.25" customHeight="1" s="175">
      <c r="A384" s="267" t="n"/>
      <c r="B384" s="268" t="n"/>
      <c r="C384" s="269" t="n"/>
    </row>
    <row r="385" ht="14.25" customHeight="1" s="175">
      <c r="A385" s="267" t="n"/>
      <c r="B385" s="268" t="n"/>
      <c r="C385" s="269" t="n"/>
    </row>
    <row r="386" ht="14.25" customHeight="1" s="175">
      <c r="A386" s="267" t="n"/>
      <c r="B386" s="268" t="n"/>
      <c r="C386" s="269" t="n"/>
    </row>
    <row r="387" ht="14.25" customHeight="1" s="175">
      <c r="A387" s="267" t="n"/>
      <c r="B387" s="268" t="n"/>
      <c r="C387" s="269" t="n"/>
    </row>
    <row r="388" ht="14.25" customHeight="1" s="175">
      <c r="A388" s="267" t="n"/>
      <c r="B388" s="268" t="n"/>
      <c r="C388" s="269" t="n"/>
    </row>
    <row r="389" ht="14.25" customHeight="1" s="175">
      <c r="A389" s="267" t="n"/>
      <c r="B389" s="268" t="n"/>
      <c r="C389" s="269" t="n"/>
    </row>
    <row r="390" ht="14.25" customHeight="1" s="175">
      <c r="A390" s="267" t="n"/>
      <c r="B390" s="268" t="n"/>
      <c r="C390" s="269" t="n"/>
    </row>
    <row r="391" ht="14.25" customHeight="1" s="175">
      <c r="A391" s="267" t="n"/>
      <c r="B391" s="268" t="n"/>
      <c r="C391" s="269" t="n"/>
    </row>
    <row r="392" ht="14.25" customHeight="1" s="175">
      <c r="A392" s="267" t="n"/>
      <c r="B392" s="268" t="n"/>
      <c r="C392" s="269" t="n"/>
    </row>
    <row r="393" ht="14.25" customHeight="1" s="175">
      <c r="A393" s="267" t="n"/>
      <c r="B393" s="268" t="n"/>
      <c r="C393" s="269" t="n"/>
    </row>
    <row r="394" ht="14.25" customHeight="1" s="175">
      <c r="A394" s="267" t="n"/>
      <c r="B394" s="268" t="n"/>
      <c r="C394" s="269" t="n"/>
    </row>
    <row r="395" ht="14.25" customHeight="1" s="175">
      <c r="A395" s="267" t="n"/>
      <c r="B395" s="268" t="n"/>
      <c r="C395" s="269" t="n"/>
    </row>
    <row r="396" ht="14.25" customHeight="1" s="175">
      <c r="A396" s="267" t="n"/>
      <c r="B396" s="268" t="n"/>
      <c r="C396" s="269" t="n"/>
    </row>
    <row r="397" ht="14.25" customHeight="1" s="175">
      <c r="A397" s="267" t="n"/>
      <c r="B397" s="268" t="n"/>
      <c r="C397" s="269" t="n"/>
    </row>
    <row r="398" ht="14.25" customHeight="1" s="175">
      <c r="A398" s="267" t="n"/>
      <c r="B398" s="268" t="n"/>
      <c r="C398" s="269" t="n"/>
    </row>
    <row r="399" ht="14.25" customHeight="1" s="175">
      <c r="A399" s="267" t="n"/>
      <c r="B399" s="268" t="n"/>
      <c r="C399" s="269" t="n"/>
    </row>
    <row r="400" ht="14.25" customHeight="1" s="175">
      <c r="A400" s="267" t="n"/>
      <c r="B400" s="268" t="n"/>
      <c r="C400" s="269" t="n"/>
    </row>
    <row r="401" ht="14.25" customHeight="1" s="175">
      <c r="A401" s="267" t="n"/>
      <c r="B401" s="268" t="n"/>
      <c r="C401" s="269" t="n"/>
      <c r="D401" s="173" t="n"/>
    </row>
    <row r="402" ht="14.25" customHeight="1" s="175">
      <c r="A402" s="267" t="n"/>
      <c r="B402" s="268" t="n"/>
      <c r="C402" s="269" t="n"/>
      <c r="D402" s="173" t="n"/>
    </row>
    <row r="403" ht="14.25" customHeight="1" s="175">
      <c r="A403" s="267" t="n"/>
      <c r="B403" s="268" t="n"/>
      <c r="C403" s="269" t="n"/>
    </row>
    <row r="404" ht="14.25" customHeight="1" s="175">
      <c r="A404" s="267" t="n"/>
      <c r="B404" s="268" t="n"/>
      <c r="C404" s="269" t="n"/>
    </row>
    <row r="405" ht="14.25" customHeight="1" s="175">
      <c r="A405" s="267" t="n"/>
      <c r="B405" s="268" t="n"/>
      <c r="C405" s="269" t="n"/>
    </row>
    <row r="406" ht="14.25" customHeight="1" s="175">
      <c r="A406" s="267" t="n"/>
      <c r="B406" s="268" t="n"/>
      <c r="C406" s="269" t="n"/>
    </row>
    <row r="407" ht="14.25" customHeight="1" s="175">
      <c r="A407" s="267" t="n"/>
      <c r="B407" s="268" t="n"/>
      <c r="C407" s="269" t="n"/>
    </row>
    <row r="408" ht="14.25" customHeight="1" s="175">
      <c r="A408" s="267" t="n"/>
      <c r="B408" s="268" t="n"/>
      <c r="C408" s="269" t="n"/>
    </row>
    <row r="409" ht="14.25" customHeight="1" s="175">
      <c r="A409" s="267" t="n"/>
      <c r="B409" s="268" t="n"/>
      <c r="C409" s="269" t="n"/>
    </row>
    <row r="410" ht="14.25" customHeight="1" s="175">
      <c r="A410" s="267" t="n"/>
      <c r="B410" s="268" t="n"/>
      <c r="C410" s="269" t="n"/>
    </row>
    <row r="411" ht="14.25" customHeight="1" s="175">
      <c r="A411" s="267" t="n"/>
      <c r="B411" s="268" t="n"/>
      <c r="C411" s="269" t="n"/>
    </row>
    <row r="412" ht="14.25" customHeight="1" s="175">
      <c r="A412" s="267" t="n"/>
      <c r="B412" s="268" t="n"/>
      <c r="C412" s="269" t="n"/>
    </row>
    <row r="413" ht="14.25" customHeight="1" s="175">
      <c r="A413" s="267" t="n"/>
      <c r="B413" s="268" t="n"/>
      <c r="C413" s="269" t="n"/>
    </row>
    <row r="414" ht="14.25" customHeight="1" s="175">
      <c r="A414" s="267" t="n"/>
      <c r="B414" s="268" t="n"/>
      <c r="C414" s="269" t="n"/>
    </row>
    <row r="415" ht="14.25" customHeight="1" s="175">
      <c r="A415" s="267" t="n"/>
      <c r="B415" s="268" t="n"/>
      <c r="C415" s="269" t="n"/>
    </row>
    <row r="416" ht="14.25" customHeight="1" s="175">
      <c r="A416" s="267" t="n"/>
      <c r="B416" s="268" t="n"/>
      <c r="C416" s="269" t="n"/>
    </row>
    <row r="417" ht="14.25" customHeight="1" s="175">
      <c r="A417" s="267" t="n"/>
      <c r="B417" s="268" t="n"/>
      <c r="C417" s="269" t="n"/>
    </row>
    <row r="418" ht="14.25" customHeight="1" s="175">
      <c r="A418" s="267" t="n"/>
      <c r="B418" s="268" t="n"/>
      <c r="C418" s="269" t="n"/>
    </row>
    <row r="419" ht="14.25" customHeight="1" s="175">
      <c r="A419" s="267" t="n"/>
      <c r="B419" s="268" t="n"/>
      <c r="C419" s="269" t="n"/>
    </row>
    <row r="420" ht="14.25" customHeight="1" s="175">
      <c r="A420" s="267" t="n"/>
      <c r="B420" s="268" t="n"/>
      <c r="C420" s="269" t="n"/>
    </row>
    <row r="421" ht="14.25" customHeight="1" s="175">
      <c r="A421" s="267" t="n"/>
      <c r="B421" s="268" t="n"/>
      <c r="C421" s="269" t="n"/>
    </row>
    <row r="422" ht="14.25" customHeight="1" s="175">
      <c r="A422" s="267" t="n"/>
      <c r="B422" s="268" t="n"/>
      <c r="C422" s="269" t="n"/>
    </row>
    <row r="423" ht="14.25" customHeight="1" s="175">
      <c r="A423" s="267" t="n"/>
      <c r="B423" s="268" t="n"/>
      <c r="C423" s="269" t="n"/>
    </row>
    <row r="424" ht="14.25" customHeight="1" s="175"/>
    <row r="425" ht="14.25" customHeight="1" s="175"/>
    <row r="426" ht="14.25" customHeight="1" s="175"/>
    <row r="427" ht="14.25" customHeight="1" s="175"/>
    <row r="428" ht="14.25" customHeight="1" s="175"/>
    <row r="429" ht="14.25" customHeight="1" s="175"/>
    <row r="430" ht="14.25" customHeight="1" s="175"/>
    <row r="431" ht="14.25" customHeight="1" s="175"/>
    <row r="432" ht="14.25" customHeight="1" s="175"/>
    <row r="433" ht="14.25" customHeight="1" s="175"/>
    <row r="434" ht="14.25" customHeight="1" s="175"/>
    <row r="435" ht="14.25" customHeight="1" s="175"/>
    <row r="436" ht="14.25" customHeight="1" s="175"/>
    <row r="437" ht="14.25" customHeight="1" s="175"/>
    <row r="438" ht="14.25" customHeight="1" s="175"/>
    <row r="439" ht="14.25" customHeight="1" s="175"/>
    <row r="440" ht="14.25" customHeight="1" s="175"/>
    <row r="441" ht="14.25" customHeight="1" s="175"/>
    <row r="442" ht="14.25" customHeight="1" s="175"/>
    <row r="443" ht="14.25" customHeight="1" s="175"/>
    <row r="444" ht="14.25" customHeight="1" s="175"/>
    <row r="445" ht="14.25" customHeight="1" s="175"/>
    <row r="446" ht="14.25" customHeight="1" s="175"/>
    <row r="447" ht="14.25" customHeight="1" s="175"/>
    <row r="448" ht="14.25" customHeight="1" s="175"/>
    <row r="449" ht="14.25" customHeight="1" s="175"/>
    <row r="450" ht="14.25" customHeight="1" s="175"/>
    <row r="451" ht="14.25" customHeight="1" s="175"/>
    <row r="452" ht="14.25" customHeight="1" s="175"/>
    <row r="453" ht="14.25" customHeight="1" s="175"/>
    <row r="454" ht="14.25" customHeight="1" s="175"/>
    <row r="455" ht="14.25" customHeight="1" s="175"/>
    <row r="456" ht="14.25" customHeight="1" s="175"/>
    <row r="457" ht="14.25" customHeight="1" s="175"/>
    <row r="458" ht="14.25" customHeight="1" s="175"/>
    <row r="459" ht="14.25" customHeight="1" s="175"/>
    <row r="460" ht="14.25" customHeight="1" s="175"/>
    <row r="461" ht="14.25" customHeight="1" s="175"/>
    <row r="462" ht="14.25" customHeight="1" s="175"/>
    <row r="463" ht="14.25" customHeight="1" s="175"/>
    <row r="464" ht="14.25" customHeight="1" s="175"/>
    <row r="465" ht="14.25" customHeight="1" s="175"/>
    <row r="466" ht="14.25" customHeight="1" s="175"/>
    <row r="467" ht="14.25" customHeight="1" s="175"/>
    <row r="468" ht="14.25" customHeight="1" s="175"/>
    <row r="469" ht="14.25" customHeight="1" s="175"/>
    <row r="470" ht="14.25" customHeight="1" s="175"/>
    <row r="471" ht="14.25" customHeight="1" s="175"/>
    <row r="472" ht="14.25" customHeight="1" s="175"/>
    <row r="473" ht="14.25" customHeight="1" s="175"/>
    <row r="474" ht="14.25" customHeight="1" s="175"/>
    <row r="475" ht="14.25" customHeight="1" s="175"/>
    <row r="476" ht="14.25" customHeight="1" s="175"/>
    <row r="477" ht="14.25" customHeight="1" s="175"/>
    <row r="478" ht="14.25" customHeight="1" s="175"/>
    <row r="479" ht="14.25" customHeight="1" s="175"/>
    <row r="480" ht="14.25" customHeight="1" s="175"/>
    <row r="481" ht="14.25" customHeight="1" s="175"/>
    <row r="482" ht="14.25" customHeight="1" s="175"/>
    <row r="483" ht="14.25" customHeight="1" s="175"/>
    <row r="484" ht="14.25" customHeight="1" s="175"/>
    <row r="485" ht="14.25" customHeight="1" s="175"/>
    <row r="486" ht="14.25" customHeight="1" s="175"/>
    <row r="487" ht="14.25" customHeight="1" s="175"/>
    <row r="488" ht="14.25" customHeight="1" s="175"/>
    <row r="489" ht="14.25" customHeight="1" s="175"/>
    <row r="490" ht="14.25" customHeight="1" s="175"/>
    <row r="491" ht="14.25" customHeight="1" s="175"/>
    <row r="492" ht="14.25" customHeight="1" s="175"/>
    <row r="493" ht="14.25" customHeight="1" s="175"/>
    <row r="494" ht="14.25" customHeight="1" s="175"/>
    <row r="495" ht="14.25" customHeight="1" s="175"/>
    <row r="496" ht="14.25" customHeight="1" s="175"/>
    <row r="497" ht="14.25" customHeight="1" s="175"/>
    <row r="498" ht="14.25" customHeight="1" s="175"/>
    <row r="499" ht="14.25" customHeight="1" s="175"/>
    <row r="500" ht="14.25" customHeight="1" s="175"/>
    <row r="501" ht="14.25" customHeight="1" s="175"/>
    <row r="502" ht="14.25" customHeight="1" s="175"/>
    <row r="503" ht="14.25" customHeight="1" s="175"/>
    <row r="504" ht="14.25" customHeight="1" s="175"/>
    <row r="505" ht="14.25" customHeight="1" s="175"/>
    <row r="506" ht="14.25" customHeight="1" s="175"/>
    <row r="507" ht="14.25" customHeight="1" s="175"/>
    <row r="508" ht="14.25" customHeight="1" s="175"/>
    <row r="509" ht="14.25" customHeight="1" s="175"/>
    <row r="510" ht="14.25" customHeight="1" s="175"/>
    <row r="511" ht="14.25" customHeight="1" s="175"/>
    <row r="512" ht="14.25" customHeight="1" s="175"/>
    <row r="513" ht="14.25" customHeight="1" s="175"/>
    <row r="514" ht="14.25" customHeight="1" s="175"/>
    <row r="515" ht="14.25" customHeight="1" s="175"/>
    <row r="516" ht="14.25" customHeight="1" s="175"/>
    <row r="517" ht="14.25" customHeight="1" s="175"/>
    <row r="518" ht="14.25" customHeight="1" s="175"/>
    <row r="519" ht="14.25" customHeight="1" s="175"/>
    <row r="520" ht="14.25" customHeight="1" s="175"/>
    <row r="521" ht="14.25" customHeight="1" s="175"/>
    <row r="522" ht="14.25" customHeight="1" s="175"/>
    <row r="523" ht="14.25" customHeight="1" s="175"/>
    <row r="524" ht="14.25" customHeight="1" s="175"/>
    <row r="525" ht="14.25" customHeight="1" s="175"/>
    <row r="526" ht="14.25" customHeight="1" s="175"/>
    <row r="527" ht="14.25" customHeight="1" s="175"/>
    <row r="528" ht="14.25" customHeight="1" s="175"/>
    <row r="529" ht="14.25" customHeight="1" s="175"/>
    <row r="530" ht="14.25" customHeight="1" s="175"/>
    <row r="531" ht="14.25" customHeight="1" s="175"/>
    <row r="532" ht="14.25" customHeight="1" s="175"/>
    <row r="533" ht="14.25" customHeight="1" s="175"/>
    <row r="534" ht="14.25" customHeight="1" s="175"/>
    <row r="535" ht="14.25" customHeight="1" s="175"/>
    <row r="536" ht="14.25" customHeight="1" s="175"/>
    <row r="537" ht="14.25" customHeight="1" s="175"/>
    <row r="538" ht="14.25" customHeight="1" s="175"/>
    <row r="539" ht="14.25" customHeight="1" s="175"/>
    <row r="540" ht="14.25" customHeight="1" s="175"/>
    <row r="541" ht="14.25" customHeight="1" s="175"/>
    <row r="542" ht="14.25" customHeight="1" s="175"/>
    <row r="543" ht="14.25" customHeight="1" s="175"/>
    <row r="544" ht="14.25" customHeight="1" s="175"/>
    <row r="545" ht="14.25" customHeight="1" s="175"/>
    <row r="546" ht="14.25" customHeight="1" s="175"/>
    <row r="547" ht="14.25" customHeight="1" s="175"/>
    <row r="548" ht="14.25" customHeight="1" s="175"/>
    <row r="549" ht="14.25" customHeight="1" s="175"/>
    <row r="550" ht="14.25" customHeight="1" s="175"/>
    <row r="551" ht="14.25" customHeight="1" s="175"/>
    <row r="552" ht="14.25" customHeight="1" s="175"/>
    <row r="553" ht="14.25" customHeight="1" s="175"/>
    <row r="554" ht="14.25" customHeight="1" s="175"/>
    <row r="555" ht="14.25" customHeight="1" s="175"/>
    <row r="556" ht="14.25" customHeight="1" s="175"/>
    <row r="557" ht="14.25" customHeight="1" s="175"/>
    <row r="558" ht="14.25" customHeight="1" s="175"/>
    <row r="559" ht="14.25" customHeight="1" s="175"/>
    <row r="560" ht="14.25" customHeight="1" s="175"/>
    <row r="561" ht="14.25" customHeight="1" s="175"/>
    <row r="562" ht="14.25" customHeight="1" s="175"/>
    <row r="563" ht="14.25" customHeight="1" s="175"/>
    <row r="564" ht="14.25" customHeight="1" s="175"/>
    <row r="565" ht="14.25" customHeight="1" s="175"/>
    <row r="566" ht="14.25" customHeight="1" s="175"/>
    <row r="567" ht="14.25" customHeight="1" s="175"/>
    <row r="568" ht="14.25" customHeight="1" s="175"/>
    <row r="569" ht="14.25" customHeight="1" s="175"/>
    <row r="570" ht="14.25" customHeight="1" s="175"/>
    <row r="571" ht="14.25" customHeight="1" s="175"/>
    <row r="572" ht="14.25" customHeight="1" s="175"/>
    <row r="573" ht="14.25" customHeight="1" s="175"/>
    <row r="574" ht="14.25" customHeight="1" s="175"/>
    <row r="575" ht="14.25" customHeight="1" s="175"/>
    <row r="576" ht="14.25" customHeight="1" s="175"/>
    <row r="577" ht="14.25" customHeight="1" s="175"/>
    <row r="578" ht="14.25" customHeight="1" s="175"/>
    <row r="579" ht="14.25" customHeight="1" s="175"/>
    <row r="580" ht="14.25" customHeight="1" s="175"/>
    <row r="581" ht="14.25" customHeight="1" s="175"/>
    <row r="582" ht="14.25" customHeight="1" s="175"/>
    <row r="583" ht="14.25" customHeight="1" s="175"/>
    <row r="584" ht="14.25" customHeight="1" s="175"/>
    <row r="585" ht="14.25" customHeight="1" s="175"/>
    <row r="586" ht="14.25" customHeight="1" s="175"/>
    <row r="587" ht="14.25" customHeight="1" s="175"/>
    <row r="588" ht="14.25" customHeight="1" s="175"/>
    <row r="589" ht="14.25" customHeight="1" s="175"/>
    <row r="590" ht="14.25" customHeight="1" s="175"/>
    <row r="591" ht="14.25" customHeight="1" s="175"/>
    <row r="592" ht="14.25" customHeight="1" s="175"/>
    <row r="593" ht="14.25" customHeight="1" s="175"/>
    <row r="594" ht="14.25" customHeight="1" s="175"/>
    <row r="595" ht="14.25" customHeight="1" s="175"/>
    <row r="596" ht="14.25" customHeight="1" s="175"/>
    <row r="597" ht="14.25" customHeight="1" s="175"/>
    <row r="598" ht="14.25" customHeight="1" s="175"/>
    <row r="599" ht="14.25" customHeight="1" s="175"/>
    <row r="600" ht="14.25" customHeight="1" s="175"/>
    <row r="601" ht="14.25" customHeight="1" s="175"/>
    <row r="602" ht="14.25" customHeight="1" s="175"/>
    <row r="603" ht="14.25" customHeight="1" s="175"/>
    <row r="604" ht="14.25" customHeight="1" s="175"/>
    <row r="605" ht="14.25" customHeight="1" s="175"/>
    <row r="606" ht="14.25" customHeight="1" s="175"/>
    <row r="607" ht="14.25" customHeight="1" s="175"/>
    <row r="608" ht="14.25" customHeight="1" s="175"/>
    <row r="609" ht="14.25" customHeight="1" s="175"/>
    <row r="610" ht="14.25" customHeight="1" s="175"/>
    <row r="611" ht="14.25" customHeight="1" s="175"/>
    <row r="612" ht="14.25" customHeight="1" s="175"/>
    <row r="613" ht="14.25" customHeight="1" s="175"/>
    <row r="614" ht="14.25" customHeight="1" s="175"/>
    <row r="615" ht="14.25" customHeight="1" s="175"/>
    <row r="616" ht="14.25" customHeight="1" s="175"/>
    <row r="617" ht="14.25" customHeight="1" s="175"/>
    <row r="618" ht="14.25" customHeight="1" s="175"/>
    <row r="619" ht="14.25" customHeight="1" s="175"/>
    <row r="620" ht="14.25" customHeight="1" s="175"/>
    <row r="621" ht="14.25" customHeight="1" s="175"/>
    <row r="622" ht="14.25" customHeight="1" s="175"/>
    <row r="623" ht="14.25" customHeight="1" s="175"/>
    <row r="624" ht="14.25" customHeight="1" s="175"/>
    <row r="625" ht="14.25" customHeight="1" s="175"/>
    <row r="626" ht="14.25" customHeight="1" s="175"/>
    <row r="627" ht="14.25" customHeight="1" s="175"/>
    <row r="628" ht="14.25" customHeight="1" s="175"/>
    <row r="629" ht="14.25" customHeight="1" s="175"/>
    <row r="630" ht="14.25" customHeight="1" s="175"/>
    <row r="631" ht="14.25" customHeight="1" s="175"/>
    <row r="632" ht="14.25" customHeight="1" s="175"/>
    <row r="633" ht="14.25" customHeight="1" s="175"/>
    <row r="634" ht="14.25" customHeight="1" s="175"/>
    <row r="635" ht="14.25" customHeight="1" s="175"/>
    <row r="636" ht="14.25" customHeight="1" s="175"/>
    <row r="637" ht="14.25" customHeight="1" s="175"/>
    <row r="638" ht="14.25" customHeight="1" s="175"/>
    <row r="639" ht="14.25" customHeight="1" s="175"/>
    <row r="640" ht="14.25" customHeight="1" s="175"/>
    <row r="641" ht="14.25" customHeight="1" s="175"/>
    <row r="642" ht="14.25" customHeight="1" s="175"/>
    <row r="643" ht="14.25" customHeight="1" s="175"/>
    <row r="644" ht="14.25" customHeight="1" s="175"/>
    <row r="645" ht="14.25" customHeight="1" s="175"/>
    <row r="646" ht="14.25" customHeight="1" s="175"/>
    <row r="647" ht="14.25" customHeight="1" s="175"/>
    <row r="648" ht="14.25" customHeight="1" s="175"/>
    <row r="649" ht="14.25" customHeight="1" s="175"/>
    <row r="650" ht="14.25" customHeight="1" s="175"/>
    <row r="651" ht="14.25" customHeight="1" s="175"/>
    <row r="652" ht="14.25" customHeight="1" s="175"/>
    <row r="653" ht="14.25" customHeight="1" s="175"/>
    <row r="654" ht="14.25" customHeight="1" s="175"/>
    <row r="655" ht="14.25" customHeight="1" s="175"/>
    <row r="656" ht="14.25" customHeight="1" s="175"/>
    <row r="657" ht="14.25" customHeight="1" s="175"/>
    <row r="658" ht="14.25" customHeight="1" s="175"/>
    <row r="659" ht="14.25" customHeight="1" s="175"/>
    <row r="660" ht="14.25" customHeight="1" s="175"/>
    <row r="661" ht="14.25" customHeight="1" s="175"/>
    <row r="662" ht="14.25" customHeight="1" s="175"/>
    <row r="663" ht="14.25" customHeight="1" s="175"/>
    <row r="664" ht="14.25" customHeight="1" s="175"/>
    <row r="665" ht="14.25" customHeight="1" s="175"/>
    <row r="666" ht="14.25" customHeight="1" s="175"/>
    <row r="667" ht="14.25" customHeight="1" s="175"/>
    <row r="668" ht="14.25" customHeight="1" s="175"/>
    <row r="669" ht="14.25" customHeight="1" s="175"/>
    <row r="670" ht="14.25" customHeight="1" s="175"/>
    <row r="671" ht="14.25" customHeight="1" s="175"/>
    <row r="672" ht="14.25" customHeight="1" s="175"/>
    <row r="673" ht="14.25" customHeight="1" s="175"/>
    <row r="674" ht="14.25" customHeight="1" s="175"/>
    <row r="675" ht="14.25" customHeight="1" s="175"/>
    <row r="676" ht="14.25" customHeight="1" s="175"/>
    <row r="677" ht="14.25" customHeight="1" s="175"/>
    <row r="678" ht="14.25" customHeight="1" s="175"/>
    <row r="679" ht="14.25" customHeight="1" s="175"/>
    <row r="680" ht="14.25" customHeight="1" s="175"/>
    <row r="681" ht="14.25" customHeight="1" s="175"/>
    <row r="682" ht="14.25" customHeight="1" s="175"/>
    <row r="683" ht="14.25" customHeight="1" s="175"/>
    <row r="684" ht="14.25" customHeight="1" s="175"/>
    <row r="685" ht="14.25" customHeight="1" s="175"/>
    <row r="686" ht="14.25" customHeight="1" s="175"/>
    <row r="687" ht="14.25" customHeight="1" s="175"/>
    <row r="688" ht="14.25" customHeight="1" s="175"/>
    <row r="689" ht="14.25" customHeight="1" s="175"/>
    <row r="690" ht="14.25" customHeight="1" s="175"/>
    <row r="691" ht="14.25" customHeight="1" s="175"/>
    <row r="692" ht="14.25" customHeight="1" s="175"/>
    <row r="693" ht="14.25" customHeight="1" s="175"/>
    <row r="694" ht="14.25" customHeight="1" s="175"/>
    <row r="695" ht="14.25" customHeight="1" s="175"/>
    <row r="696" ht="14.25" customHeight="1" s="175"/>
    <row r="697" ht="14.25" customHeight="1" s="175"/>
    <row r="698" ht="14.25" customHeight="1" s="175"/>
    <row r="699" ht="14.25" customHeight="1" s="175"/>
    <row r="700" ht="14.25" customHeight="1" s="175"/>
    <row r="701" ht="14.25" customHeight="1" s="175"/>
    <row r="702" ht="14.25" customHeight="1" s="175"/>
    <row r="703" ht="14.25" customHeight="1" s="175"/>
    <row r="704" ht="14.25" customHeight="1" s="175"/>
    <row r="705" ht="14.25" customHeight="1" s="175"/>
    <row r="706" ht="14.25" customHeight="1" s="175"/>
    <row r="707" ht="14.25" customHeight="1" s="175"/>
    <row r="708" ht="14.25" customHeight="1" s="175"/>
    <row r="709" ht="14.25" customHeight="1" s="175"/>
    <row r="710" ht="14.25" customHeight="1" s="175"/>
    <row r="711" ht="14.25" customHeight="1" s="175"/>
    <row r="712" ht="14.25" customHeight="1" s="175"/>
    <row r="713" ht="14.25" customHeight="1" s="175"/>
    <row r="714" ht="14.25" customHeight="1" s="175"/>
    <row r="715" ht="14.25" customHeight="1" s="175"/>
    <row r="716" ht="14.25" customHeight="1" s="175"/>
    <row r="717" ht="14.25" customHeight="1" s="175"/>
    <row r="718" ht="14.25" customHeight="1" s="175"/>
    <row r="719" ht="14.25" customHeight="1" s="175"/>
    <row r="720" ht="14.25" customHeight="1" s="175"/>
    <row r="721" ht="14.25" customHeight="1" s="175"/>
    <row r="722" ht="14.25" customHeight="1" s="175"/>
    <row r="723" ht="14.25" customHeight="1" s="175"/>
    <row r="724" ht="14.25" customHeight="1" s="175"/>
    <row r="725" ht="14.25" customHeight="1" s="175"/>
    <row r="726" ht="14.25" customHeight="1" s="175"/>
    <row r="727" ht="14.25" customHeight="1" s="175"/>
    <row r="728" ht="14.25" customHeight="1" s="175"/>
    <row r="729" ht="14.25" customHeight="1" s="175"/>
    <row r="730" ht="14.25" customHeight="1" s="175"/>
    <row r="731" ht="14.25" customHeight="1" s="175"/>
    <row r="732" ht="14.25" customHeight="1" s="175"/>
    <row r="733" ht="14.25" customHeight="1" s="175"/>
    <row r="734" ht="14.25" customHeight="1" s="175"/>
    <row r="735" ht="14.25" customHeight="1" s="175"/>
    <row r="736" ht="14.25" customHeight="1" s="175"/>
    <row r="737" ht="14.25" customHeight="1" s="175"/>
    <row r="738" ht="14.25" customHeight="1" s="175"/>
    <row r="739" ht="14.25" customHeight="1" s="175"/>
    <row r="740" ht="14.25" customHeight="1" s="175"/>
    <row r="741" ht="14.25" customHeight="1" s="175"/>
    <row r="742" ht="14.25" customHeight="1" s="175"/>
    <row r="743" ht="14.25" customHeight="1" s="175"/>
    <row r="744" ht="14.25" customHeight="1" s="175"/>
    <row r="745" ht="14.25" customHeight="1" s="175"/>
    <row r="746" ht="14.25" customHeight="1" s="175"/>
    <row r="747" ht="14.25" customHeight="1" s="175"/>
    <row r="748" ht="14.25" customHeight="1" s="175"/>
    <row r="749" ht="14.25" customHeight="1" s="175"/>
    <row r="750" ht="14.25" customHeight="1" s="175"/>
    <row r="751" ht="14.25" customHeight="1" s="175"/>
    <row r="752" ht="14.25" customHeight="1" s="175"/>
    <row r="753" ht="14.25" customHeight="1" s="175"/>
    <row r="754" ht="14.25" customHeight="1" s="175"/>
    <row r="755" ht="14.25" customHeight="1" s="175"/>
    <row r="756" ht="14.25" customHeight="1" s="175"/>
    <row r="757" ht="14.25" customHeight="1" s="175"/>
    <row r="758" ht="14.25" customHeight="1" s="175"/>
    <row r="759" ht="14.25" customHeight="1" s="175"/>
    <row r="760" ht="14.25" customHeight="1" s="175"/>
    <row r="761" ht="14.25" customHeight="1" s="175"/>
    <row r="762" ht="14.25" customHeight="1" s="175"/>
    <row r="763" ht="14.25" customHeight="1" s="175"/>
    <row r="764" ht="14.25" customHeight="1" s="175"/>
    <row r="765" ht="14.25" customHeight="1" s="175"/>
    <row r="766" ht="14.25" customHeight="1" s="175"/>
    <row r="767" ht="14.25" customHeight="1" s="175"/>
    <row r="768" ht="14.25" customHeight="1" s="175"/>
    <row r="769" ht="14.25" customHeight="1" s="175"/>
    <row r="770" ht="14.25" customHeight="1" s="175"/>
    <row r="771" ht="14.25" customHeight="1" s="175"/>
    <row r="772" ht="14.25" customHeight="1" s="175"/>
    <row r="773" ht="14.25" customHeight="1" s="175"/>
    <row r="774" ht="14.25" customHeight="1" s="175"/>
    <row r="775" ht="14.25" customHeight="1" s="175"/>
    <row r="776" ht="14.25" customHeight="1" s="175"/>
    <row r="777" ht="14.25" customHeight="1" s="175"/>
    <row r="778" ht="14.25" customHeight="1" s="175"/>
    <row r="779" ht="14.25" customHeight="1" s="175"/>
    <row r="780" ht="14.25" customHeight="1" s="175"/>
    <row r="781" ht="14.25" customHeight="1" s="175"/>
    <row r="782" ht="14.25" customHeight="1" s="175"/>
    <row r="783" ht="14.25" customHeight="1" s="175"/>
    <row r="784" ht="14.25" customHeight="1" s="175"/>
    <row r="785" ht="14.25" customHeight="1" s="175"/>
    <row r="786" ht="14.25" customHeight="1" s="175"/>
    <row r="787" ht="14.25" customHeight="1" s="175"/>
    <row r="788" ht="14.25" customHeight="1" s="175"/>
    <row r="789" ht="14.25" customHeight="1" s="175"/>
    <row r="790" ht="14.25" customHeight="1" s="175"/>
    <row r="791" ht="14.25" customHeight="1" s="175"/>
    <row r="792" ht="14.25" customHeight="1" s="175"/>
    <row r="793" ht="14.25" customHeight="1" s="175"/>
    <row r="794" ht="14.25" customHeight="1" s="175"/>
    <row r="795" ht="14.25" customHeight="1" s="175"/>
    <row r="796" ht="14.25" customHeight="1" s="175"/>
    <row r="797" ht="14.25" customHeight="1" s="175"/>
    <row r="798" ht="14.25" customHeight="1" s="175"/>
    <row r="799" ht="14.25" customHeight="1" s="175"/>
    <row r="800" ht="14.25" customHeight="1" s="175"/>
    <row r="801" ht="14.25" customHeight="1" s="175"/>
    <row r="802" ht="14.25" customHeight="1" s="175"/>
    <row r="803" ht="14.25" customHeight="1" s="175"/>
    <row r="804" ht="14.25" customHeight="1" s="175"/>
    <row r="805" ht="14.25" customHeight="1" s="175"/>
    <row r="806" ht="14.25" customHeight="1" s="175"/>
    <row r="807" ht="14.25" customHeight="1" s="175"/>
    <row r="808" ht="14.25" customHeight="1" s="175"/>
    <row r="809" ht="14.25" customHeight="1" s="175"/>
    <row r="810" ht="14.25" customHeight="1" s="175"/>
    <row r="811" ht="14.25" customHeight="1" s="175"/>
    <row r="812" ht="14.25" customHeight="1" s="175"/>
    <row r="813" ht="14.25" customHeight="1" s="175"/>
    <row r="814" ht="14.25" customHeight="1" s="175"/>
    <row r="815" ht="14.25" customHeight="1" s="175"/>
    <row r="816" ht="14.25" customHeight="1" s="175"/>
    <row r="817" ht="14.25" customHeight="1" s="175"/>
    <row r="818" ht="14.25" customHeight="1" s="175"/>
    <row r="819" ht="14.25" customHeight="1" s="175"/>
    <row r="820" ht="14.25" customHeight="1" s="175"/>
    <row r="821" ht="14.25" customHeight="1" s="175"/>
    <row r="822" ht="14.25" customHeight="1" s="175"/>
    <row r="823" ht="14.25" customHeight="1" s="175"/>
    <row r="824" ht="14.25" customHeight="1" s="175"/>
    <row r="825" ht="14.25" customHeight="1" s="175"/>
    <row r="826" ht="14.25" customHeight="1" s="175"/>
    <row r="827" ht="14.25" customHeight="1" s="175"/>
    <row r="828" ht="14.25" customHeight="1" s="175"/>
    <row r="829" ht="14.25" customHeight="1" s="175"/>
    <row r="830" ht="14.25" customHeight="1" s="175"/>
    <row r="831" ht="14.25" customHeight="1" s="175"/>
    <row r="832" ht="14.25" customHeight="1" s="175"/>
    <row r="833" ht="14.25" customHeight="1" s="175"/>
    <row r="834" ht="14.25" customHeight="1" s="175"/>
    <row r="835" ht="14.25" customHeight="1" s="175"/>
    <row r="836" ht="14.25" customHeight="1" s="175"/>
    <row r="837" ht="14.25" customHeight="1" s="175"/>
    <row r="838" ht="14.25" customHeight="1" s="175"/>
    <row r="839" ht="14.25" customHeight="1" s="175"/>
    <row r="840" ht="14.25" customHeight="1" s="175"/>
    <row r="841" ht="14.25" customHeight="1" s="175"/>
    <row r="842" ht="14.25" customHeight="1" s="175"/>
    <row r="843" ht="14.25" customHeight="1" s="175"/>
    <row r="844" ht="14.25" customHeight="1" s="175"/>
    <row r="845" ht="14.25" customHeight="1" s="175"/>
    <row r="846" ht="14.25" customHeight="1" s="175"/>
    <row r="847" ht="14.25" customHeight="1" s="175"/>
    <row r="848" ht="14.25" customHeight="1" s="175"/>
    <row r="849" ht="14.25" customHeight="1" s="175"/>
    <row r="850" ht="14.25" customHeight="1" s="175"/>
    <row r="851" ht="14.25" customHeight="1" s="175"/>
    <row r="852" ht="14.25" customHeight="1" s="175"/>
    <row r="853" ht="14.25" customHeight="1" s="175"/>
    <row r="854" ht="14.25" customHeight="1" s="175"/>
    <row r="855" ht="14.25" customHeight="1" s="175"/>
    <row r="856" ht="14.25" customHeight="1" s="175"/>
    <row r="857" ht="14.25" customHeight="1" s="175"/>
    <row r="858" ht="14.25" customHeight="1" s="175"/>
    <row r="859" ht="14.25" customHeight="1" s="175"/>
    <row r="860" ht="14.25" customHeight="1" s="175"/>
    <row r="861" ht="14.25" customHeight="1" s="175"/>
    <row r="862" ht="14.25" customHeight="1" s="175"/>
    <row r="863" ht="14.25" customHeight="1" s="175"/>
    <row r="864" ht="14.25" customHeight="1" s="175"/>
    <row r="865" ht="14.25" customHeight="1" s="175"/>
    <row r="866" ht="14.25" customHeight="1" s="175"/>
    <row r="867" ht="14.25" customHeight="1" s="175"/>
    <row r="868" ht="14.25" customHeight="1" s="175"/>
    <row r="869" ht="14.25" customHeight="1" s="175"/>
    <row r="870" ht="14.25" customHeight="1" s="175"/>
    <row r="871" ht="14.25" customHeight="1" s="175"/>
    <row r="872" ht="14.25" customHeight="1" s="175"/>
    <row r="873" ht="14.25" customHeight="1" s="175"/>
    <row r="874" ht="14.25" customHeight="1" s="175"/>
    <row r="875" ht="14.25" customHeight="1" s="175"/>
    <row r="876" ht="14.25" customHeight="1" s="175"/>
    <row r="877" ht="14.25" customHeight="1" s="175"/>
    <row r="878" ht="14.25" customHeight="1" s="175"/>
    <row r="879" ht="14.25" customHeight="1" s="175"/>
    <row r="880" ht="14.25" customHeight="1" s="175"/>
    <row r="881" ht="14.25" customHeight="1" s="175"/>
    <row r="882" ht="14.25" customHeight="1" s="175"/>
    <row r="883" ht="14.25" customHeight="1" s="175"/>
    <row r="884" ht="14.25" customHeight="1" s="175"/>
    <row r="885" ht="14.25" customHeight="1" s="175"/>
    <row r="886" ht="14.25" customHeight="1" s="175"/>
    <row r="887" ht="14.25" customHeight="1" s="175"/>
    <row r="888" ht="14.25" customHeight="1" s="175"/>
    <row r="889" ht="14.25" customHeight="1" s="175"/>
    <row r="890" ht="14.25" customHeight="1" s="175"/>
    <row r="891" ht="14.25" customHeight="1" s="175"/>
    <row r="892" ht="14.25" customHeight="1" s="175"/>
    <row r="893" ht="14.25" customHeight="1" s="175"/>
    <row r="894" ht="14.25" customHeight="1" s="175"/>
    <row r="895" ht="14.25" customHeight="1" s="175"/>
    <row r="896" ht="14.25" customHeight="1" s="175"/>
    <row r="897" ht="14.25" customHeight="1" s="175"/>
    <row r="898" ht="14.25" customHeight="1" s="175"/>
    <row r="899" ht="14.25" customHeight="1" s="175"/>
    <row r="900" ht="14.25" customHeight="1" s="175"/>
    <row r="901" ht="14.25" customHeight="1" s="175"/>
    <row r="902" ht="14.25" customHeight="1" s="175"/>
    <row r="903" ht="14.25" customHeight="1" s="175"/>
    <row r="904" ht="14.25" customHeight="1" s="175"/>
    <row r="905" ht="14.25" customHeight="1" s="175"/>
    <row r="906" ht="14.25" customHeight="1" s="175"/>
    <row r="907" ht="14.25" customHeight="1" s="175"/>
    <row r="908" ht="14.25" customHeight="1" s="175"/>
    <row r="909" ht="14.25" customHeight="1" s="175"/>
    <row r="910" ht="14.25" customHeight="1" s="175"/>
    <row r="911" ht="14.25" customHeight="1" s="175"/>
    <row r="912" ht="14.25" customHeight="1" s="175"/>
    <row r="913" ht="14.25" customHeight="1" s="175"/>
    <row r="914" ht="14.25" customHeight="1" s="175"/>
    <row r="915" ht="14.25" customHeight="1" s="175"/>
    <row r="916" ht="14.25" customHeight="1" s="175"/>
    <row r="917" ht="14.25" customHeight="1" s="175"/>
    <row r="918" ht="14.25" customHeight="1" s="175"/>
    <row r="919" ht="14.25" customHeight="1" s="175"/>
    <row r="920" ht="14.25" customHeight="1" s="175"/>
    <row r="921" ht="14.25" customHeight="1" s="175"/>
    <row r="922" ht="14.25" customHeight="1" s="175"/>
    <row r="923" ht="14.25" customHeight="1" s="175"/>
    <row r="924" ht="14.25" customHeight="1" s="175"/>
    <row r="925" ht="14.25" customHeight="1" s="175"/>
    <row r="926" ht="14.25" customHeight="1" s="175"/>
    <row r="927" ht="14.25" customHeight="1" s="175"/>
    <row r="928" ht="14.25" customHeight="1" s="175"/>
    <row r="929" ht="14.25" customHeight="1" s="175"/>
    <row r="930" ht="14.25" customHeight="1" s="175"/>
    <row r="931" ht="14.25" customHeight="1" s="175"/>
    <row r="932" ht="14.25" customHeight="1" s="175"/>
    <row r="933" ht="14.25" customHeight="1" s="175"/>
    <row r="934" ht="14.25" customHeight="1" s="175"/>
    <row r="935" ht="14.25" customHeight="1" s="175"/>
    <row r="936" ht="14.25" customHeight="1" s="175"/>
    <row r="937" ht="14.25" customHeight="1" s="175"/>
    <row r="938" ht="14.25" customHeight="1" s="175"/>
    <row r="939" ht="14.25" customHeight="1" s="175"/>
    <row r="940" ht="14.25" customHeight="1" s="175"/>
    <row r="941" ht="14.25" customHeight="1" s="175"/>
    <row r="942" ht="14.25" customHeight="1" s="175"/>
    <row r="943" ht="14.25" customHeight="1" s="175"/>
    <row r="944" ht="14.25" customHeight="1" s="175"/>
    <row r="945" ht="14.25" customHeight="1" s="175"/>
    <row r="946" ht="14.25" customHeight="1" s="175"/>
    <row r="947" ht="14.25" customHeight="1" s="175"/>
    <row r="948" ht="14.25" customHeight="1" s="175"/>
    <row r="949" ht="14.25" customHeight="1" s="175"/>
    <row r="950" ht="14.25" customHeight="1" s="175"/>
    <row r="951" ht="14.25" customHeight="1" s="175"/>
    <row r="952" ht="14.25" customHeight="1" s="175"/>
    <row r="953" ht="14.25" customHeight="1" s="175"/>
    <row r="954" ht="14.25" customHeight="1" s="175"/>
    <row r="955" ht="14.25" customHeight="1" s="175"/>
    <row r="956" ht="14.25" customHeight="1" s="175"/>
    <row r="957" ht="14.25" customHeight="1" s="175"/>
    <row r="958" ht="14.25" customHeight="1" s="175"/>
    <row r="959" ht="14.25" customHeight="1" s="175"/>
    <row r="960" ht="14.25" customHeight="1" s="175"/>
    <row r="961" ht="14.25" customHeight="1" s="175"/>
    <row r="962" ht="14.25" customHeight="1" s="175"/>
    <row r="963" ht="14.25" customHeight="1" s="175"/>
    <row r="964" ht="14.25" customHeight="1" s="175"/>
    <row r="965" ht="14.25" customHeight="1" s="175"/>
    <row r="966" ht="14.25" customHeight="1" s="175"/>
    <row r="967" ht="14.25" customHeight="1" s="175"/>
    <row r="968" ht="14.25" customHeight="1" s="175"/>
    <row r="969" ht="14.25" customHeight="1" s="175"/>
    <row r="970" ht="14.25" customHeight="1" s="175"/>
    <row r="971" ht="14.25" customHeight="1" s="175"/>
    <row r="972" ht="14.25" customHeight="1" s="175"/>
    <row r="973" ht="14.25" customHeight="1" s="175"/>
    <row r="974" ht="14.25" customHeight="1" s="175"/>
    <row r="975" ht="14.25" customHeight="1" s="175"/>
    <row r="976" ht="14.25" customHeight="1" s="175"/>
    <row r="977" ht="14.25" customHeight="1" s="175"/>
    <row r="978" ht="14.25" customHeight="1" s="175"/>
    <row r="979" ht="14.25" customHeight="1" s="175"/>
    <row r="980" ht="14.25" customHeight="1" s="175"/>
    <row r="981" ht="14.25" customHeight="1" s="175"/>
    <row r="982" ht="14.25" customHeight="1" s="175"/>
    <row r="983" ht="14.25" customHeight="1" s="175"/>
    <row r="984" ht="14.25" customHeight="1" s="175"/>
    <row r="985" ht="14.25" customHeight="1" s="175"/>
    <row r="986" ht="14.25" customHeight="1" s="175"/>
    <row r="987" ht="14.25" customHeight="1" s="175"/>
    <row r="988" ht="14.25" customHeight="1" s="175"/>
    <row r="989" ht="14.25" customHeight="1" s="175"/>
    <row r="990" ht="14.25" customHeight="1" s="175"/>
    <row r="991" ht="14.25" customHeight="1" s="175"/>
    <row r="992" ht="14.25" customHeight="1" s="175"/>
    <row r="993" ht="14.25" customHeight="1" s="175"/>
    <row r="994" ht="14.25" customHeight="1" s="175"/>
    <row r="995" ht="14.25" customHeight="1" s="175"/>
    <row r="996" ht="14.25" customHeight="1" s="175"/>
    <row r="997" ht="14.25" customHeight="1" s="175"/>
    <row r="998" ht="14.25" customHeight="1" s="175"/>
    <row r="999" ht="14.25" customHeight="1" s="175"/>
    <row r="1000" ht="14.25" customHeight="1" s="175"/>
  </sheetData>
  <mergeCells count="5">
    <mergeCell ref="AI51:AQ51"/>
    <mergeCell ref="G1:P1"/>
    <mergeCell ref="G17:O17"/>
    <mergeCell ref="AI13:AR13"/>
    <mergeCell ref="R1:AF1"/>
  </mergeCells>
  <conditionalFormatting sqref="H19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9:J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9:L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9:M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9:N2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9:O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9:I23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9:L23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rank="0" priority="16" equalAverage="0" operator="greaterThan" aboveAverage="0" dxfId="0" text="" percent="0" bottom="0">
      <formula>1</formula>
    </cfRule>
  </conditionalFormatting>
  <conditionalFormatting sqref="H74:H77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4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4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4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4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4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4"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4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7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7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2:H53"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42:R53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69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8:R69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7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7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L16:AL27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7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27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7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7"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27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7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7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5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5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xmlns:r="http://schemas.openxmlformats.org/officeDocument/2006/relationships" ref="D2" display="https://discord.com/channels/191975109500731392/1212839710439776287/1328421980986146921" r:id="rId1"/>
    <hyperlink xmlns:r="http://schemas.openxmlformats.org/officeDocument/2006/relationships" ref="D4" display="https://discord.com/channels/191975109500731392/1212839710439776287/1328431903224627242" r:id="rId2"/>
    <hyperlink xmlns:r="http://schemas.openxmlformats.org/officeDocument/2006/relationships" ref="D6" display="https://discord.com/channels/191975109500731392/1212839710439776287/1328444788130709625" r:id="rId3"/>
    <hyperlink xmlns:r="http://schemas.openxmlformats.org/officeDocument/2006/relationships" ref="D10" display="https://discord.com/channels/191975109500731392/1212839710439776287/1329116512476205076" r:id="rId4"/>
    <hyperlink xmlns:r="http://schemas.openxmlformats.org/officeDocument/2006/relationships" ref="D11" display="https://discord.com/channels/191975109500731392/1212839710439776287/1329131165818290278" r:id="rId5"/>
    <hyperlink xmlns:r="http://schemas.openxmlformats.org/officeDocument/2006/relationships" ref="D13" display="https://discord.com/channels/191975109500731392/1212839710439776287/1329131398652629064" r:id="rId6"/>
    <hyperlink xmlns:r="http://schemas.openxmlformats.org/officeDocument/2006/relationships" ref="D16" display="https://discord.com/channels/191975109500731392/1212839710439776287/1329161563461910689" r:id="rId7"/>
    <hyperlink xmlns:r="http://schemas.openxmlformats.org/officeDocument/2006/relationships" ref="D33" display="https://discord.com/channels/191975109500731392/1212839710439776287/1329904517151719514" r:id="rId8"/>
    <hyperlink xmlns:r="http://schemas.openxmlformats.org/officeDocument/2006/relationships" ref="D35" display="https://discord.com/channels/191975109500731392/1212839710439776287/1330341537489616977" r:id="rId9"/>
    <hyperlink xmlns:r="http://schemas.openxmlformats.org/officeDocument/2006/relationships" ref="D39" display="https://discord.com/channels/191975109500731392/1212839710439776287/1331407502687862784" r:id="rId10"/>
    <hyperlink xmlns:r="http://schemas.openxmlformats.org/officeDocument/2006/relationships" ref="D41" display="https://discord.com/channels/191975109500731392/1212839710439776287/1331654158717288450" r:id="rId11"/>
    <hyperlink xmlns:r="http://schemas.openxmlformats.org/officeDocument/2006/relationships" ref="D46" display="https://discord.com/channels/191975109500731392/1212839710439776287/1331786975774244975" r:id="rId12"/>
    <hyperlink xmlns:r="http://schemas.openxmlformats.org/officeDocument/2006/relationships" ref="D50" display="https://discord.com/channels/191975109500731392/1212839710439776287/1332096889293770873" r:id="rId13"/>
    <hyperlink xmlns:r="http://schemas.openxmlformats.org/officeDocument/2006/relationships" ref="D54" display="https://discord.com/channels/191975109500731392/1212839710439776287/1332104635577532449" r:id="rId14"/>
    <hyperlink xmlns:r="http://schemas.openxmlformats.org/officeDocument/2006/relationships" ref="D120" display="https://discord.com/channels/191975109500731392/1212839710439776287/1340814596830920714" r:id="rId15"/>
    <hyperlink xmlns:r="http://schemas.openxmlformats.org/officeDocument/2006/relationships" ref="D123" display="https://discord.com/channels/191975109500731392/1212839710439776287/1341446113479098399" r:id="rId16"/>
    <hyperlink xmlns:r="http://schemas.openxmlformats.org/officeDocument/2006/relationships" ref="D168" display="https://discord.com/channels/191975109500731392/1212839710439776287/1351252845374083104" r:id="rId17"/>
    <hyperlink xmlns:r="http://schemas.openxmlformats.org/officeDocument/2006/relationships" ref="D184" display="https://discord.com/channels/191975109500731392/1212839710439776287/1351672302345130024" r:id="rId18"/>
    <hyperlink xmlns:r="http://schemas.openxmlformats.org/officeDocument/2006/relationships" ref="D248" display="https://discord.com/channels/191975109500731392/1212839710439776287/1354853809394024635" r:id="rId19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20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S627"/>
  <sheetViews>
    <sheetView showFormulas="0" showGridLines="1" showRowColHeaders="1" showZeros="1" rightToLeft="0" tabSelected="0" showOutlineSymbols="1" defaultGridColor="1" view="normal" topLeftCell="A410" colorId="64" zoomScale="100" zoomScaleNormal="100" zoomScalePageLayoutView="100" workbookViewId="0">
      <selection pane="topLeft" activeCell="A410" activeCellId="0" sqref="A410"/>
    </sheetView>
  </sheetViews>
  <sheetFormatPr baseColWidth="8" defaultColWidth="12.54296875" defaultRowHeight="15" customHeight="1" zeroHeight="0" outlineLevelRow="0" outlineLevelCol="0"/>
  <cols>
    <col width="6.73" customWidth="1" style="173" min="1" max="1"/>
    <col width="6.45" customWidth="1" style="173" min="2" max="2"/>
    <col width="7.45" customWidth="1" style="173" min="3" max="3"/>
    <col width="5.18" customWidth="1" style="173" min="4" max="4"/>
    <col width="2.27" customWidth="1" style="173" min="5" max="5"/>
    <col hidden="1" width="5.45" customWidth="1" style="173" min="6" max="6"/>
    <col width="12.45" customWidth="1" style="173" min="7" max="7"/>
    <col width="6.82" customWidth="1" style="173" min="8" max="9"/>
    <col width="4.82" customWidth="1" style="173" min="10" max="10"/>
    <col width="9.449999999999999" customWidth="1" style="173" min="11" max="11"/>
    <col width="11.54" customWidth="1" style="173" min="12" max="12"/>
    <col width="6.82" customWidth="1" style="173" min="13" max="13"/>
    <col width="8.27" customWidth="1" style="173" min="14" max="14"/>
    <col width="10.54" customWidth="1" style="173" min="15" max="15"/>
    <col width="12" customWidth="1" style="173" min="16" max="16"/>
    <col width="7.27" customWidth="1" style="173" min="17" max="17"/>
    <col width="12.27" customWidth="1" style="173" min="18" max="18"/>
    <col width="7.27" customWidth="1" style="173" min="19" max="19"/>
    <col width="6.18" customWidth="1" style="173" min="20" max="20"/>
    <col width="5.54" customWidth="1" style="173" min="21" max="21"/>
    <col width="5.82" customWidth="1" style="173" min="22" max="22"/>
    <col width="4.82" customWidth="1" style="173" min="23" max="23"/>
    <col width="5.54" customWidth="1" style="173" min="24" max="24"/>
    <col width="5.27" customWidth="1" style="173" min="25" max="25"/>
    <col width="3.54" customWidth="1" style="173" min="26" max="26"/>
    <col width="5.18" customWidth="1" style="173" min="27" max="27"/>
    <col width="4.45" customWidth="1" style="173" min="28" max="28"/>
    <col width="4.82" customWidth="1" style="173" min="29" max="29"/>
    <col width="6.82" customWidth="1" style="173" min="30" max="30"/>
    <col width="10.45" customWidth="1" style="173" min="31" max="32"/>
    <col width="6.73" customWidth="1" style="173" min="33" max="33"/>
    <col width="8.27" customWidth="1" style="173" min="34" max="34"/>
    <col width="13.45" customWidth="1" style="173" min="35" max="35"/>
    <col width="8.539999999999999" customWidth="1" style="173" min="36" max="36"/>
    <col width="8.449999999999999" customWidth="1" style="173" min="37" max="37"/>
    <col width="6.82" customWidth="1" style="173" min="38" max="38"/>
    <col width="9.27" customWidth="1" style="173" min="39" max="39"/>
    <col width="13.45" customWidth="1" style="173" min="40" max="40"/>
    <col width="6.54" customWidth="1" style="173" min="41" max="41"/>
    <col width="8.18" customWidth="1" style="173" min="42" max="42"/>
    <col width="10.45" customWidth="1" style="173" min="43" max="43"/>
    <col width="11.82" customWidth="1" style="173" min="44" max="44"/>
    <col width="8.539999999999999" customWidth="1" style="173" min="45" max="45"/>
    <col width="12.45" customWidth="1" style="173" min="46" max="46"/>
  </cols>
  <sheetData>
    <row r="1" ht="14.25" customHeight="1" s="175">
      <c r="A1" s="262" t="inlineStr">
        <is>
          <t>Sniper</t>
        </is>
      </c>
      <c r="B1" s="263" t="inlineStr">
        <is>
          <t>Points</t>
        </is>
      </c>
      <c r="C1" s="264" t="inlineStr">
        <is>
          <t>Snipee</t>
        </is>
      </c>
      <c r="D1" s="173" t="inlineStr">
        <is>
          <t>Link:</t>
        </is>
      </c>
      <c r="G1" s="179" t="inlineStr">
        <is>
          <t>Data by Person:</t>
        </is>
      </c>
      <c r="H1" s="180" t="n"/>
      <c r="I1" s="180" t="n"/>
      <c r="J1" s="180" t="n"/>
      <c r="K1" s="180" t="n"/>
      <c r="L1" s="180" t="n"/>
      <c r="M1" s="180" t="n"/>
      <c r="N1" s="180" t="n"/>
      <c r="O1" s="180" t="n"/>
      <c r="P1" s="181" t="n"/>
      <c r="Q1" s="182" t="n"/>
      <c r="R1" s="179" t="inlineStr">
        <is>
          <t>Kill and Death Points Pivot Table (kill points at right, death points at bottom)</t>
        </is>
      </c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  <c r="AC1" s="180" t="n"/>
      <c r="AD1" s="180" t="n"/>
      <c r="AE1" s="180" t="n"/>
      <c r="AF1" s="181" t="n"/>
      <c r="AG1" s="240" t="inlineStr">
        <is>
          <t>Unique</t>
        </is>
      </c>
      <c r="AK1" s="179" t="inlineStr">
        <is>
          <t>Ties?</t>
        </is>
      </c>
      <c r="AL1" s="185" t="inlineStr">
        <is>
          <t>Name</t>
        </is>
      </c>
      <c r="AM1" s="186" t="inlineStr">
        <is>
          <t>Value</t>
        </is>
      </c>
      <c r="AN1" s="187" t="inlineStr">
        <is>
          <t>Various Stats:</t>
        </is>
      </c>
      <c r="AO1" s="188" t="inlineStr">
        <is>
          <t>Value</t>
        </is>
      </c>
      <c r="AP1" s="185" t="inlineStr">
        <is>
          <t>Part</t>
        </is>
      </c>
      <c r="AQ1" s="179" t="inlineStr">
        <is>
          <t>Ties?</t>
        </is>
      </c>
    </row>
    <row r="2" ht="14.25" customHeight="1" s="175">
      <c r="A2" s="267" t="inlineStr">
        <is>
          <t>Cooper</t>
        </is>
      </c>
      <c r="B2" s="268" t="n">
        <v>1</v>
      </c>
      <c r="C2" s="269" t="inlineStr">
        <is>
          <t>Jon</t>
        </is>
      </c>
      <c r="D2" s="192" t="inlineStr">
        <is>
          <t>https://discord.com/channels/191975109500731392/1212839710439776287/1285260427307257971</t>
        </is>
      </c>
      <c r="E2" s="173" t="n"/>
      <c r="F2" s="194" t="n"/>
      <c r="G2" s="226" t="inlineStr">
        <is>
          <t>Person:</t>
        </is>
      </c>
      <c r="H2" s="206" t="inlineStr">
        <is>
          <t>Kills</t>
        </is>
      </c>
      <c r="I2" s="206" t="inlineStr">
        <is>
          <t>Deaths</t>
        </is>
      </c>
      <c r="J2" s="206" t="inlineStr">
        <is>
          <t>KDR</t>
        </is>
      </c>
      <c r="K2" s="206" t="inlineStr">
        <is>
          <t>Kill Points</t>
        </is>
      </c>
      <c r="L2" s="206" t="inlineStr">
        <is>
          <t>Death Points</t>
        </is>
      </c>
      <c r="M2" s="206" t="inlineStr">
        <is>
          <t>KpDpR</t>
        </is>
      </c>
      <c r="N2" s="196" t="inlineStr">
        <is>
          <t>KPts/Kill</t>
        </is>
      </c>
      <c r="O2" s="196" t="inlineStr">
        <is>
          <t>DPts/Death</t>
        </is>
      </c>
      <c r="P2" s="227" t="inlineStr">
        <is>
          <t>Full Sweep %</t>
        </is>
      </c>
      <c r="Q2" s="182" t="n"/>
      <c r="R2" s="198" t="inlineStr">
        <is>
          <t>Sum of Points</t>
        </is>
      </c>
      <c r="S2" s="199" t="inlineStr">
        <is>
          <t>Snipee</t>
        </is>
      </c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1" t="n"/>
      <c r="AG2" s="240" t="inlineStr">
        <is>
          <t>Kill</t>
        </is>
      </c>
      <c r="AK2" s="203" t="n"/>
      <c r="AL2" s="204" t="n"/>
      <c r="AM2" s="205">
        <f>COUNT(B$1:B$159)</f>
        <v/>
      </c>
      <c r="AN2" s="206" t="inlineStr">
        <is>
          <t>Total Snipes</t>
        </is>
      </c>
      <c r="AO2" s="205">
        <f>COUNT(B$1:B$159)</f>
        <v/>
      </c>
      <c r="AP2" s="203" t="n"/>
      <c r="AQ2" s="203" t="n"/>
    </row>
    <row r="3" ht="14.25" customHeight="1" s="175">
      <c r="A3" s="267" t="inlineStr">
        <is>
          <t>Maxine</t>
        </is>
      </c>
      <c r="B3" s="268" t="n">
        <v>1</v>
      </c>
      <c r="C3" s="269" t="inlineStr">
        <is>
          <t>Tyler</t>
        </is>
      </c>
      <c r="D3" s="192" t="inlineStr">
        <is>
          <t>https://discord.com/channels/191975109500731392/1212839710439776287/1285263030640185488</t>
        </is>
      </c>
      <c r="E3" s="173" t="n"/>
      <c r="F3" s="207" t="n"/>
      <c r="G3" s="208" t="inlineStr">
        <is>
          <t>Carter</t>
        </is>
      </c>
      <c r="H3" s="209">
        <f>COUNTIF($A:$A,G3)</f>
        <v/>
      </c>
      <c r="I3" s="209">
        <f>COUNTIF($C:$C,G3)</f>
        <v/>
      </c>
      <c r="J3" s="210">
        <f>IF(I3,H3/I3,H3)</f>
        <v/>
      </c>
      <c r="K3" s="209">
        <f>IFERROR(GETPIVOTDATA("Points",$R$2,"Sniper",G3),0)</f>
        <v/>
      </c>
      <c r="L3" s="209">
        <f>IFERROR(GETPIVOTDATA("Points",$R$2,"Snipee",G3),0)</f>
        <v/>
      </c>
      <c r="M3" s="299">
        <f>IF(L3,K3/L3,K3)</f>
        <v/>
      </c>
      <c r="N3" s="210">
        <f>IF(H3,K3/H3,0)</f>
        <v/>
      </c>
      <c r="O3" s="210">
        <f>IF(I3,L3/I3,0)</f>
        <v/>
      </c>
      <c r="P3" s="300">
        <f>IFERROR(VLOOKUP(G3,R:AG,16,FALSE())/12,0)</f>
        <v/>
      </c>
      <c r="Q3" s="182" t="n"/>
      <c r="R3" s="212" t="inlineStr">
        <is>
          <t>Sniper</t>
        </is>
      </c>
      <c r="S3" s="301" t="inlineStr">
        <is>
          <t>Carter</t>
        </is>
      </c>
      <c r="T3" s="302" t="inlineStr">
        <is>
          <t>Cooper</t>
        </is>
      </c>
      <c r="U3" s="302" t="inlineStr">
        <is>
          <t>David</t>
        </is>
      </c>
      <c r="V3" s="302" t="inlineStr">
        <is>
          <t>Erick</t>
        </is>
      </c>
      <c r="W3" s="302" t="inlineStr">
        <is>
          <t>Ethan</t>
        </is>
      </c>
      <c r="X3" s="302" t="inlineStr">
        <is>
          <t>Evan</t>
        </is>
      </c>
      <c r="Y3" s="302" t="inlineStr">
        <is>
          <t>Grady</t>
        </is>
      </c>
      <c r="Z3" s="302" t="inlineStr">
        <is>
          <t>Jon</t>
        </is>
      </c>
      <c r="AA3" s="302" t="inlineStr">
        <is>
          <t>Peter</t>
        </is>
      </c>
      <c r="AB3" s="302" t="inlineStr">
        <is>
          <t>Reuben</t>
        </is>
      </c>
      <c r="AC3" s="302" t="inlineStr">
        <is>
          <t>Sam</t>
        </is>
      </c>
      <c r="AD3" s="302" t="inlineStr">
        <is>
          <t>Tyler</t>
        </is>
      </c>
      <c r="AE3" s="214" t="inlineStr">
        <is>
          <t>Total Result</t>
        </is>
      </c>
      <c r="AG3" s="240" t="inlineStr">
        <is>
          <t>Count</t>
        </is>
      </c>
      <c r="AK3" s="203" t="n"/>
      <c r="AL3" s="203" t="n"/>
      <c r="AM3" s="215">
        <f>IFERROR(GETPIVOTDATA("Points",R2),0)</f>
        <v/>
      </c>
      <c r="AN3" s="216" t="inlineStr">
        <is>
          <t>Total Points</t>
        </is>
      </c>
      <c r="AO3" s="215">
        <f>IFERROR(GETPIVOTDATA("Points",R2),0)</f>
        <v/>
      </c>
      <c r="AP3" s="203" t="n"/>
      <c r="AQ3" s="203" t="n"/>
    </row>
    <row r="4" ht="14.25" customHeight="1" s="175">
      <c r="A4" s="267" t="inlineStr">
        <is>
          <t>Sam</t>
        </is>
      </c>
      <c r="B4" s="268" t="n">
        <v>2</v>
      </c>
      <c r="C4" s="269" t="inlineStr">
        <is>
          <t>Peter</t>
        </is>
      </c>
      <c r="D4" s="192" t="inlineStr">
        <is>
          <t>https://discord.com/channels/191975109500731392/1212839710439776287/1285296696158322728</t>
        </is>
      </c>
      <c r="E4" s="173" t="n"/>
      <c r="F4" s="207" t="n"/>
      <c r="G4" s="208" t="inlineStr">
        <is>
          <t>Grady</t>
        </is>
      </c>
      <c r="H4" s="209">
        <f>COUNTIF($A:$A,G4)</f>
        <v/>
      </c>
      <c r="I4" s="209">
        <f>COUNTIF($C:$C,G4)</f>
        <v/>
      </c>
      <c r="J4" s="210">
        <f>IF(I4,H4/I4,H4)</f>
        <v/>
      </c>
      <c r="K4" s="209">
        <f>IFERROR(GETPIVOTDATA("Points",$R$2,"Sniper",G4),0)</f>
        <v/>
      </c>
      <c r="L4" s="209">
        <f>IFERROR(GETPIVOTDATA("Points",$R$2,"Snipee",G4),0)</f>
        <v/>
      </c>
      <c r="M4" s="299">
        <f>IF(L4,K4/L4,K4)</f>
        <v/>
      </c>
      <c r="N4" s="210">
        <f>IF(H4,K4/H4,0)</f>
        <v/>
      </c>
      <c r="O4" s="210">
        <f>IF(I4,L4/I4,0)</f>
        <v/>
      </c>
      <c r="P4" s="300">
        <f>IFERROR(VLOOKUP(G4,R:AG,16,FALSE())/12,0)</f>
        <v/>
      </c>
      <c r="Q4" s="182" t="n"/>
      <c r="R4" s="303" t="inlineStr">
        <is>
          <t>Carter</t>
        </is>
      </c>
      <c r="S4" s="273" t="n"/>
      <c r="T4" s="274" t="n"/>
      <c r="U4" s="274" t="n">
        <v>19</v>
      </c>
      <c r="V4" s="274" t="n">
        <v>4</v>
      </c>
      <c r="W4" s="274" t="n">
        <v>6</v>
      </c>
      <c r="X4" s="274" t="n">
        <v>8</v>
      </c>
      <c r="Y4" s="274" t="n">
        <v>1</v>
      </c>
      <c r="Z4" s="274" t="n">
        <v>4</v>
      </c>
      <c r="AA4" s="274" t="n">
        <v>5</v>
      </c>
      <c r="AB4" s="274" t="n">
        <v>11</v>
      </c>
      <c r="AC4" s="274" t="n">
        <v>8</v>
      </c>
      <c r="AD4" s="275" t="n">
        <v>4</v>
      </c>
      <c r="AE4" s="276" t="n">
        <v>70</v>
      </c>
      <c r="AG4" s="240">
        <f>IF(COUNT(S4:AF4)&lt;&gt;0,COUNT(S4:AF4)-1,"")</f>
        <v/>
      </c>
      <c r="AK4" s="220">
        <f>COUNTIF(H3:H14,AM4)</f>
        <v/>
      </c>
      <c r="AL4" s="221">
        <f>$G$26</f>
        <v/>
      </c>
      <c r="AM4" s="215">
        <f>maxine(H3:H14)</f>
        <v/>
      </c>
      <c r="AN4" s="216" t="inlineStr">
        <is>
          <t>Most Kills</t>
        </is>
      </c>
      <c r="AO4" s="222">
        <f>maxine(H19:H22)</f>
        <v/>
      </c>
      <c r="AP4" s="223">
        <f>$G$77</f>
        <v/>
      </c>
      <c r="AQ4" s="220">
        <f>COUNTIF(H19:H22,AO4)</f>
        <v/>
      </c>
    </row>
    <row r="5" ht="14.25" customHeight="1" s="175">
      <c r="A5" s="267" t="inlineStr">
        <is>
          <t>David</t>
        </is>
      </c>
      <c r="B5" s="268" t="n">
        <v>1</v>
      </c>
      <c r="C5" s="269" t="inlineStr">
        <is>
          <t>Carter</t>
        </is>
      </c>
      <c r="D5" s="192" t="inlineStr">
        <is>
          <t>https://discord.com/channels/191975109500731392/1212839710439776287/1285342723410366515</t>
        </is>
      </c>
      <c r="E5" s="173" t="n">
        <v>1</v>
      </c>
      <c r="F5" s="207" t="n"/>
      <c r="G5" s="208" t="inlineStr">
        <is>
          <t>Cooper</t>
        </is>
      </c>
      <c r="H5" s="209">
        <f>COUNTIF($A:$A,G5)</f>
        <v/>
      </c>
      <c r="I5" s="209">
        <f>COUNTIF($C:$C,G5)</f>
        <v/>
      </c>
      <c r="J5" s="210">
        <f>IF(I5,H5/I5,H5)</f>
        <v/>
      </c>
      <c r="K5" s="209">
        <f>IFERROR(GETPIVOTDATA("Points",$R$2,"Sniper",G5),0)</f>
        <v/>
      </c>
      <c r="L5" s="209">
        <f>IFERROR(GETPIVOTDATA("Points",$R$2,"Snipee",G5),0)</f>
        <v/>
      </c>
      <c r="M5" s="299">
        <f>IF(L5,K5/L5,K5)</f>
        <v/>
      </c>
      <c r="N5" s="210">
        <f>IF(H5,K5/H5,0)</f>
        <v/>
      </c>
      <c r="O5" s="210">
        <f>IF(I5,L5/I5,0)</f>
        <v/>
      </c>
      <c r="P5" s="300">
        <f>IFERROR(VLOOKUP(G5,R:AG,16,FALSE())/12,0)</f>
        <v/>
      </c>
      <c r="Q5" s="182" t="n"/>
      <c r="R5" s="304" t="inlineStr">
        <is>
          <t>Cooper</t>
        </is>
      </c>
      <c r="S5" s="278" t="n"/>
      <c r="T5" s="279" t="n"/>
      <c r="U5" s="279" t="n"/>
      <c r="V5" s="279" t="n"/>
      <c r="W5" s="279" t="n"/>
      <c r="X5" s="279" t="n"/>
      <c r="Y5" s="279" t="n"/>
      <c r="Z5" s="279" t="n">
        <v>3</v>
      </c>
      <c r="AA5" s="279" t="n"/>
      <c r="AB5" s="279" t="n"/>
      <c r="AC5" s="279" t="n">
        <v>1</v>
      </c>
      <c r="AD5" s="280" t="n"/>
      <c r="AE5" s="281" t="n">
        <v>4</v>
      </c>
      <c r="AG5" s="240">
        <f>IF(COUNT(S5:AF5)&lt;&gt;0,COUNT(S5:AF5)-1,"")</f>
        <v/>
      </c>
      <c r="AK5" s="220">
        <f>COUNTIF(I3:I14,AM5)</f>
        <v/>
      </c>
      <c r="AL5" s="221">
        <f>$G$42</f>
        <v/>
      </c>
      <c r="AM5" s="215">
        <f>maxine(I3:I14)</f>
        <v/>
      </c>
      <c r="AN5" s="216" t="inlineStr">
        <is>
          <t>Most Deaths</t>
        </is>
      </c>
      <c r="AO5" s="222">
        <f>maxine(I19:I22)</f>
        <v/>
      </c>
      <c r="AP5" s="224">
        <f>$G$88</f>
        <v/>
      </c>
      <c r="AQ5" s="220">
        <f>COUNTIF(I19:I22,AO5)</f>
        <v/>
      </c>
    </row>
    <row r="6" ht="14.25" customHeight="1" s="175">
      <c r="A6" s="267" t="inlineStr">
        <is>
          <t>Carter</t>
        </is>
      </c>
      <c r="B6" s="268" t="n">
        <v>1</v>
      </c>
      <c r="C6" s="269" t="inlineStr">
        <is>
          <t>David</t>
        </is>
      </c>
      <c r="D6" s="192" t="inlineStr">
        <is>
          <t>https://discord.com/channels/191975109500731392/1212839710439776287/1285342764967530509</t>
        </is>
      </c>
      <c r="E6" s="173" t="n"/>
      <c r="F6" s="207" t="n"/>
      <c r="G6" s="208" t="inlineStr">
        <is>
          <t>Maxine</t>
        </is>
      </c>
      <c r="H6" s="209">
        <f>COUNTIF($A:$A,G6)</f>
        <v/>
      </c>
      <c r="I6" s="209">
        <f>COUNTIF($C:$C,G6)</f>
        <v/>
      </c>
      <c r="J6" s="210">
        <f>IF(I6,H6/I6,H6)</f>
        <v/>
      </c>
      <c r="K6" s="209">
        <f>IFERROR(GETPIVOTDATA("Points",$R$2,"Sniper",G6),0)</f>
        <v/>
      </c>
      <c r="L6" s="209">
        <f>IFERROR(GETPIVOTDATA("Points",$R$2,"Snipee",G6),0)</f>
        <v/>
      </c>
      <c r="M6" s="299">
        <f>IF(L6,K6/L6,K6)</f>
        <v/>
      </c>
      <c r="N6" s="210">
        <f>IF(H6,K6/H6,0)</f>
        <v/>
      </c>
      <c r="O6" s="210">
        <f>IF(I6,L6/I6,0)</f>
        <v/>
      </c>
      <c r="P6" s="300">
        <f>IFERROR(VLOOKUP(G6,R:AG,16,FALSE())/12,0)</f>
        <v/>
      </c>
      <c r="Q6" s="182" t="n"/>
      <c r="R6" s="304" t="inlineStr">
        <is>
          <t>David</t>
        </is>
      </c>
      <c r="S6" s="278" t="n">
        <v>44</v>
      </c>
      <c r="T6" s="279" t="n"/>
      <c r="U6" s="279" t="n"/>
      <c r="V6" s="279" t="n">
        <v>4</v>
      </c>
      <c r="W6" s="279" t="n">
        <v>16</v>
      </c>
      <c r="X6" s="279" t="n">
        <v>12</v>
      </c>
      <c r="Y6" s="279" t="n">
        <v>10</v>
      </c>
      <c r="Z6" s="279" t="n">
        <v>2</v>
      </c>
      <c r="AA6" s="279" t="n">
        <v>5</v>
      </c>
      <c r="AB6" s="279" t="n">
        <v>20</v>
      </c>
      <c r="AC6" s="279" t="n"/>
      <c r="AD6" s="280" t="n">
        <v>2</v>
      </c>
      <c r="AE6" s="281" t="n">
        <v>115</v>
      </c>
      <c r="AG6" s="240">
        <f>IF(COUNT(S6:AF6)&lt;&gt;0,COUNT(S6:AF6)-1,"")</f>
        <v/>
      </c>
      <c r="AK6" s="220">
        <f>COUNTIF(K3:K14,AM6)</f>
        <v/>
      </c>
      <c r="AL6" s="221">
        <f>$Q$26</f>
        <v/>
      </c>
      <c r="AM6" s="215">
        <f>maxine(K3:K14)</f>
        <v/>
      </c>
      <c r="AN6" s="216" t="inlineStr">
        <is>
          <t>Most Kill Pts</t>
        </is>
      </c>
      <c r="AO6" s="222">
        <f>maxine(K19:K22)</f>
        <v/>
      </c>
      <c r="AP6" s="224">
        <f>$Q$77</f>
        <v/>
      </c>
      <c r="AQ6" s="220">
        <f>COUNTIF(K19:K22,AO6)</f>
        <v/>
      </c>
    </row>
    <row r="7" ht="14.25" customHeight="1" s="175">
      <c r="A7" s="267" t="inlineStr">
        <is>
          <t>Sam</t>
        </is>
      </c>
      <c r="B7" s="268" t="n">
        <v>2</v>
      </c>
      <c r="C7" s="269" t="inlineStr">
        <is>
          <t>Ethan</t>
        </is>
      </c>
      <c r="D7" s="192" t="inlineStr">
        <is>
          <t>https://discord.com/channels/191975109500731392/1212839710439776287/1285355267998879776</t>
        </is>
      </c>
      <c r="E7" s="173" t="n"/>
      <c r="F7" s="207" t="n"/>
      <c r="G7" s="208" t="inlineStr">
        <is>
          <t>David</t>
        </is>
      </c>
      <c r="H7" s="209">
        <f>COUNTIF($A:$A,G7)</f>
        <v/>
      </c>
      <c r="I7" s="209">
        <f>COUNTIF($C:$C,G7)</f>
        <v/>
      </c>
      <c r="J7" s="210">
        <f>IF(I7,H7/I7,H7)</f>
        <v/>
      </c>
      <c r="K7" s="209">
        <f>IFERROR(GETPIVOTDATA("Points",$R$2,"Sniper",G7),0)</f>
        <v/>
      </c>
      <c r="L7" s="209">
        <f>IFERROR(GETPIVOTDATA("Points",$R$2,"Snipee",G7),0)</f>
        <v/>
      </c>
      <c r="M7" s="299">
        <f>IF(L7,K7/L7,K7)</f>
        <v/>
      </c>
      <c r="N7" s="210">
        <f>IF(H7,K7/H7,0)</f>
        <v/>
      </c>
      <c r="O7" s="210">
        <f>IF(I7,L7/I7,0)</f>
        <v/>
      </c>
      <c r="P7" s="300">
        <f>IFERROR(VLOOKUP(G7,R:AG,16,FALSE())/12,0)</f>
        <v/>
      </c>
      <c r="Q7" s="182" t="n"/>
      <c r="R7" s="304" t="inlineStr">
        <is>
          <t>Erick</t>
        </is>
      </c>
      <c r="S7" s="278" t="n">
        <v>3</v>
      </c>
      <c r="T7" s="279" t="n"/>
      <c r="U7" s="279" t="n">
        <v>3</v>
      </c>
      <c r="V7" s="279" t="n"/>
      <c r="W7" s="279" t="n"/>
      <c r="X7" s="279" t="n"/>
      <c r="Y7" s="279" t="n">
        <v>2</v>
      </c>
      <c r="Z7" s="279" t="n">
        <v>2</v>
      </c>
      <c r="AA7" s="279" t="n"/>
      <c r="AB7" s="279" t="n">
        <v>4</v>
      </c>
      <c r="AC7" s="279" t="n"/>
      <c r="AD7" s="280" t="n">
        <v>2</v>
      </c>
      <c r="AE7" s="281" t="n">
        <v>16</v>
      </c>
      <c r="AG7" s="240">
        <f>IF(COUNT(S7:AF7)&lt;&gt;0,COUNT(S7:AF7)-1,"")</f>
        <v/>
      </c>
      <c r="AK7" s="220">
        <f>COUNTIF(L3:L14,AM7)</f>
        <v/>
      </c>
      <c r="AL7" s="221">
        <f>$Q$42</f>
        <v/>
      </c>
      <c r="AM7" s="215">
        <f>maxine(L3:L14)</f>
        <v/>
      </c>
      <c r="AN7" s="216" t="inlineStr">
        <is>
          <t>Most Death Pts</t>
        </is>
      </c>
      <c r="AO7" s="222">
        <f>maxine(L19:L22)</f>
        <v/>
      </c>
      <c r="AP7" s="224">
        <f>$Q$88</f>
        <v/>
      </c>
      <c r="AQ7" s="220">
        <f>COUNTIF(L19:L22,AO7)</f>
        <v/>
      </c>
    </row>
    <row r="8" ht="14.25" customHeight="1" s="175">
      <c r="A8" s="267" t="inlineStr">
        <is>
          <t>Ethan</t>
        </is>
      </c>
      <c r="B8" s="268" t="n">
        <v>2</v>
      </c>
      <c r="C8" s="269" t="inlineStr">
        <is>
          <t>Jon</t>
        </is>
      </c>
      <c r="D8" s="192" t="inlineStr">
        <is>
          <t>https://discord.com/channels/191975109500731392/1212839710439776287/1285371141011144745</t>
        </is>
      </c>
      <c r="E8" s="173" t="n"/>
      <c r="F8" s="207" t="n"/>
      <c r="G8" s="208" t="inlineStr">
        <is>
          <t>Evan</t>
        </is>
      </c>
      <c r="H8" s="209">
        <f>COUNTIF($A:$A,G8)</f>
        <v/>
      </c>
      <c r="I8" s="209">
        <f>COUNTIF($C:$C,G8)</f>
        <v/>
      </c>
      <c r="J8" s="210">
        <f>IF(I8,H8/I8,H8)</f>
        <v/>
      </c>
      <c r="K8" s="209">
        <f>IFERROR(GETPIVOTDATA("Points",$R$2,"Sniper",G8),0)</f>
        <v/>
      </c>
      <c r="L8" s="209">
        <f>IFERROR(GETPIVOTDATA("Points",$R$2,"Snipee",G8),0)</f>
        <v/>
      </c>
      <c r="M8" s="299">
        <f>IF(L8,K8/L8,K8)</f>
        <v/>
      </c>
      <c r="N8" s="210">
        <f>IF(H8,K8/H8,0)</f>
        <v/>
      </c>
      <c r="O8" s="210">
        <f>IF(I8,L8/I8,0)</f>
        <v/>
      </c>
      <c r="P8" s="300">
        <f>IFERROR(VLOOKUP(G8,R:AG,16,FALSE())/12,0)</f>
        <v/>
      </c>
      <c r="Q8" s="182" t="n"/>
      <c r="R8" s="304" t="inlineStr">
        <is>
          <t>Ethan</t>
        </is>
      </c>
      <c r="S8" s="278" t="n">
        <v>14</v>
      </c>
      <c r="T8" s="279" t="n">
        <v>1</v>
      </c>
      <c r="U8" s="279" t="n">
        <v>9</v>
      </c>
      <c r="V8" s="279" t="n"/>
      <c r="W8" s="279" t="n"/>
      <c r="X8" s="279" t="n">
        <v>23</v>
      </c>
      <c r="Y8" s="279" t="n">
        <v>4</v>
      </c>
      <c r="Z8" s="279" t="n">
        <v>4</v>
      </c>
      <c r="AA8" s="279" t="n">
        <v>3</v>
      </c>
      <c r="AB8" s="279" t="n">
        <v>29</v>
      </c>
      <c r="AC8" s="279" t="n">
        <v>3</v>
      </c>
      <c r="AD8" s="280" t="n">
        <v>1</v>
      </c>
      <c r="AE8" s="281" t="n">
        <v>91</v>
      </c>
      <c r="AG8" s="240">
        <f>IF(COUNT(S8:AF8)&lt;&gt;0,COUNT(S8:AF8)-1,"")</f>
        <v/>
      </c>
      <c r="AK8" s="220">
        <f>COUNTIF(J3:J14,AM8)</f>
        <v/>
      </c>
      <c r="AL8" s="225">
        <f>$G$58</f>
        <v/>
      </c>
      <c r="AM8" s="222">
        <f>maxine(J3:J14)</f>
        <v/>
      </c>
      <c r="AN8" s="216" t="inlineStr">
        <is>
          <t>Best KDR</t>
        </is>
      </c>
      <c r="AO8" s="222">
        <f>maxine(J19:J22)</f>
        <v/>
      </c>
      <c r="AP8" s="224">
        <f>$G$99</f>
        <v/>
      </c>
      <c r="AQ8" s="220">
        <f>COUNTIF(J19:J22,AO8)</f>
        <v/>
      </c>
    </row>
    <row r="9" ht="14.25" customHeight="1" s="175">
      <c r="A9" s="267" t="inlineStr">
        <is>
          <t>Jon</t>
        </is>
      </c>
      <c r="B9" s="268" t="n">
        <v>2</v>
      </c>
      <c r="C9" s="269" t="inlineStr">
        <is>
          <t>Reuben</t>
        </is>
      </c>
      <c r="D9" s="192" t="inlineStr">
        <is>
          <t>https://discord.com/channels/191975109500731392/1212839710439776287/1285429507347714118</t>
        </is>
      </c>
      <c r="E9" s="173" t="n"/>
      <c r="F9" s="192" t="n"/>
      <c r="G9" s="208" t="inlineStr">
        <is>
          <t>Tyler</t>
        </is>
      </c>
      <c r="H9" s="209">
        <f>COUNTIF($A:$A,G9)</f>
        <v/>
      </c>
      <c r="I9" s="209">
        <f>COUNTIF($C:$C,G9)</f>
        <v/>
      </c>
      <c r="J9" s="210">
        <f>IF(I9,H9/I9,H9)</f>
        <v/>
      </c>
      <c r="K9" s="209">
        <f>IFERROR(GETPIVOTDATA("Points",$R$2,"Sniper",G9),0)</f>
        <v/>
      </c>
      <c r="L9" s="209">
        <f>IFERROR(GETPIVOTDATA("Points",$R$2,"Snipee",G9),0)</f>
        <v/>
      </c>
      <c r="M9" s="299">
        <f>IF(L9,K9/L9,K9)</f>
        <v/>
      </c>
      <c r="N9" s="210">
        <f>IF(H9,K9/H9,0)</f>
        <v/>
      </c>
      <c r="O9" s="210">
        <f>IF(I9,L9/I9,0)</f>
        <v/>
      </c>
      <c r="P9" s="300">
        <f>IFERROR(VLOOKUP(G9,R:AG,16,FALSE())/12,0)</f>
        <v/>
      </c>
      <c r="Q9" s="182" t="n"/>
      <c r="R9" s="304" t="inlineStr">
        <is>
          <t>Evan</t>
        </is>
      </c>
      <c r="S9" s="278" t="n">
        <v>4</v>
      </c>
      <c r="T9" s="279" t="n">
        <v>2</v>
      </c>
      <c r="U9" s="279" t="n">
        <v>3</v>
      </c>
      <c r="V9" s="279" t="n">
        <v>2</v>
      </c>
      <c r="W9" s="279" t="n">
        <v>14</v>
      </c>
      <c r="X9" s="279" t="n"/>
      <c r="Y9" s="279" t="n">
        <v>8</v>
      </c>
      <c r="Z9" s="279" t="n">
        <v>1</v>
      </c>
      <c r="AA9" s="279" t="n"/>
      <c r="AB9" s="279" t="n">
        <v>16</v>
      </c>
      <c r="AC9" s="279" t="n">
        <v>1</v>
      </c>
      <c r="AD9" s="280" t="n"/>
      <c r="AE9" s="281" t="n">
        <v>51</v>
      </c>
      <c r="AG9" s="240">
        <f>IF(COUNT(S9:AF9)&lt;&gt;0,COUNT(S9:AF9)-1,"")</f>
        <v/>
      </c>
      <c r="AK9" s="220">
        <f>COUNTIF(J3:J14,AM9)</f>
        <v/>
      </c>
      <c r="AL9" s="225">
        <f>$G$70</f>
        <v/>
      </c>
      <c r="AM9" s="222">
        <f>MIN(J3:J14)</f>
        <v/>
      </c>
      <c r="AN9" s="216" t="inlineStr">
        <is>
          <t>Worst KDR</t>
        </is>
      </c>
      <c r="AO9" s="222">
        <f>MIN(J19:J22)</f>
        <v/>
      </c>
      <c r="AP9" s="224">
        <f>$G$96</f>
        <v/>
      </c>
      <c r="AQ9" s="220">
        <f>COUNTIF(J19:J22,AO9)</f>
        <v/>
      </c>
    </row>
    <row r="10" ht="14.25" customHeight="1" s="175">
      <c r="A10" s="267" t="inlineStr">
        <is>
          <t>Sam</t>
        </is>
      </c>
      <c r="B10" s="268" t="n">
        <v>1</v>
      </c>
      <c r="C10" s="269" t="inlineStr">
        <is>
          <t>Jon</t>
        </is>
      </c>
      <c r="D10" s="192" t="inlineStr">
        <is>
          <t>https://discord.com/channels/191975109500731392/1212839710439776287/1285432576420483072</t>
        </is>
      </c>
      <c r="E10" s="173" t="n"/>
      <c r="F10" s="192" t="n"/>
      <c r="G10" s="208" t="inlineStr">
        <is>
          <t>Sam</t>
        </is>
      </c>
      <c r="H10" s="209">
        <f>COUNTIF($A:$A,G10)</f>
        <v/>
      </c>
      <c r="I10" s="209">
        <f>COUNTIF($C:$C,G10)</f>
        <v/>
      </c>
      <c r="J10" s="210">
        <f>IF(I10,H10/I10,H10)</f>
        <v/>
      </c>
      <c r="K10" s="209">
        <f>IFERROR(GETPIVOTDATA("Points",$R$2,"Sniper",G10),0)</f>
        <v/>
      </c>
      <c r="L10" s="209">
        <f>IFERROR(GETPIVOTDATA("Points",$R$2,"Snipee",G10),0)</f>
        <v/>
      </c>
      <c r="M10" s="299">
        <f>IF(L10,K10/L10,K10)</f>
        <v/>
      </c>
      <c r="N10" s="210">
        <f>IF(H10,K10/H10,0)</f>
        <v/>
      </c>
      <c r="O10" s="210">
        <f>IF(I10,L10/I10,0)</f>
        <v/>
      </c>
      <c r="P10" s="300">
        <f>IFERROR(VLOOKUP(G10,R:AG,16,FALSE())/12,0)</f>
        <v/>
      </c>
      <c r="Q10" s="182" t="n"/>
      <c r="R10" s="304" t="inlineStr">
        <is>
          <t>Grady</t>
        </is>
      </c>
      <c r="S10" s="278" t="n">
        <v>3</v>
      </c>
      <c r="T10" s="279" t="n"/>
      <c r="U10" s="279" t="n">
        <v>5</v>
      </c>
      <c r="V10" s="279" t="n"/>
      <c r="W10" s="279" t="n">
        <v>3</v>
      </c>
      <c r="X10" s="279" t="n">
        <v>1</v>
      </c>
      <c r="Y10" s="279" t="n"/>
      <c r="Z10" s="279" t="n">
        <v>2</v>
      </c>
      <c r="AA10" s="279" t="n"/>
      <c r="AB10" s="279" t="n">
        <v>8</v>
      </c>
      <c r="AC10" s="279" t="n">
        <v>3</v>
      </c>
      <c r="AD10" s="280" t="n">
        <v>1</v>
      </c>
      <c r="AE10" s="281" t="n">
        <v>26</v>
      </c>
      <c r="AG10" s="240">
        <f>IF(COUNT(S10:AF10)&lt;&gt;0,COUNT(S10:AF10)-1,"")</f>
        <v/>
      </c>
      <c r="AK10" s="220">
        <f>COUNTIF(M3:M14,AM10)</f>
        <v/>
      </c>
      <c r="AL10" s="225">
        <f>$Q$58</f>
        <v/>
      </c>
      <c r="AM10" s="222">
        <f>maxine(M3:M14)</f>
        <v/>
      </c>
      <c r="AN10" s="216" t="inlineStr">
        <is>
          <t>Best KpDpR</t>
        </is>
      </c>
      <c r="AO10" s="222">
        <f>maxine(M19:M22)</f>
        <v/>
      </c>
      <c r="AP10" s="224">
        <f>$Q$99</f>
        <v/>
      </c>
      <c r="AQ10" s="220">
        <f>COUNTIF(M19:M22,AO10)</f>
        <v/>
      </c>
    </row>
    <row r="11" ht="14.25" customHeight="1" s="175">
      <c r="A11" s="267" t="inlineStr">
        <is>
          <t>Carter</t>
        </is>
      </c>
      <c r="B11" s="268" t="n">
        <v>2</v>
      </c>
      <c r="C11" s="269" t="inlineStr">
        <is>
          <t>Reuben</t>
        </is>
      </c>
      <c r="D11" s="192" t="inlineStr">
        <is>
          <t>https://discord.com/channels/191975109500731392/1212839710439776287/1285586723618820151</t>
        </is>
      </c>
      <c r="E11" s="173" t="n"/>
      <c r="F11" s="207" t="n"/>
      <c r="G11" s="208" t="inlineStr">
        <is>
          <t>Ethan</t>
        </is>
      </c>
      <c r="H11" s="209">
        <f>COUNTIF($A:$A,G11)</f>
        <v/>
      </c>
      <c r="I11" s="209">
        <f>COUNTIF($C:$C,G11)</f>
        <v/>
      </c>
      <c r="J11" s="210">
        <f>IF(I11,H11/I11,H11)</f>
        <v/>
      </c>
      <c r="K11" s="209">
        <f>IFERROR(GETPIVOTDATA("Points",$R$2,"Sniper",G11),0)</f>
        <v/>
      </c>
      <c r="L11" s="209">
        <f>IFERROR(GETPIVOTDATA("Points",$R$2,"Snipee",G11),0)</f>
        <v/>
      </c>
      <c r="M11" s="299">
        <f>IF(L11,K11/L11,K11)</f>
        <v/>
      </c>
      <c r="N11" s="210">
        <f>IF(H11,K11/H11,0)</f>
        <v/>
      </c>
      <c r="O11" s="210">
        <f>IF(I11,L11/I11,0)</f>
        <v/>
      </c>
      <c r="P11" s="300">
        <f>IFERROR(VLOOKUP(G11,R:AG,16,FALSE())/12,0)</f>
        <v/>
      </c>
      <c r="Q11" s="182" t="n"/>
      <c r="R11" s="304" t="inlineStr">
        <is>
          <t>Jon</t>
        </is>
      </c>
      <c r="S11" s="278" t="n">
        <v>10</v>
      </c>
      <c r="T11" s="279" t="n">
        <v>3</v>
      </c>
      <c r="U11" s="279" t="n"/>
      <c r="V11" s="279" t="n">
        <v>4</v>
      </c>
      <c r="W11" s="279" t="n">
        <v>2</v>
      </c>
      <c r="X11" s="279" t="n">
        <v>1</v>
      </c>
      <c r="Y11" s="279" t="n">
        <v>2</v>
      </c>
      <c r="Z11" s="279" t="n"/>
      <c r="AA11" s="279" t="n">
        <v>1</v>
      </c>
      <c r="AB11" s="279" t="n">
        <v>4</v>
      </c>
      <c r="AC11" s="279" t="n"/>
      <c r="AD11" s="280" t="n"/>
      <c r="AE11" s="281" t="n">
        <v>27</v>
      </c>
      <c r="AG11" s="240">
        <f>IF(COUNT(S11:AF11)&lt;&gt;0,COUNT(S11:AF11)-1,"")</f>
        <v/>
      </c>
      <c r="AK11" s="220">
        <f>COUNTIF(M3:M14,AM11)</f>
        <v/>
      </c>
      <c r="AL11" s="225">
        <f>$Q$70</f>
        <v/>
      </c>
      <c r="AM11" s="222">
        <f>MIN(M3:M14)</f>
        <v/>
      </c>
      <c r="AN11" s="216" t="inlineStr">
        <is>
          <t>Worst KpDpR</t>
        </is>
      </c>
      <c r="AO11" s="222">
        <f>MIN(M19:M22)</f>
        <v/>
      </c>
      <c r="AP11" s="224">
        <f>$Q$96</f>
        <v/>
      </c>
      <c r="AQ11" s="220">
        <f>COUNTIF(M19:M22,AO11)</f>
        <v/>
      </c>
    </row>
    <row r="12" ht="14.25" customHeight="1" s="175">
      <c r="A12" s="267" t="inlineStr">
        <is>
          <t>Peter</t>
        </is>
      </c>
      <c r="B12" s="268" t="n">
        <v>2</v>
      </c>
      <c r="C12" s="269" t="inlineStr">
        <is>
          <t>Carter</t>
        </is>
      </c>
      <c r="D12" s="192" t="inlineStr">
        <is>
          <t>https://discord.com/channels/191975109500731392/1212839710439776287/1285612718031900764</t>
        </is>
      </c>
      <c r="E12" s="173" t="n">
        <v>0</v>
      </c>
      <c r="F12" s="207" t="n"/>
      <c r="G12" s="208" t="inlineStr">
        <is>
          <t>Erick</t>
        </is>
      </c>
      <c r="H12" s="209">
        <f>COUNTIF($A:$A,G12)</f>
        <v/>
      </c>
      <c r="I12" s="209">
        <f>COUNTIF($C:$C,G12)</f>
        <v/>
      </c>
      <c r="J12" s="210">
        <f>IF(I12,H12/I12,H12)</f>
        <v/>
      </c>
      <c r="K12" s="209">
        <f>IFERROR(GETPIVOTDATA("Points",$R$2,"Sniper",G12),0)</f>
        <v/>
      </c>
      <c r="L12" s="209">
        <f>IFERROR(GETPIVOTDATA("Points",$R$2,"Snipee",G12),0)</f>
        <v/>
      </c>
      <c r="M12" s="299">
        <f>IF(L12,K12/L12,K12)</f>
        <v/>
      </c>
      <c r="N12" s="210">
        <f>IF(H12,K12/H12,0)</f>
        <v/>
      </c>
      <c r="O12" s="210">
        <f>IF(I12,L12/I12,0)</f>
        <v/>
      </c>
      <c r="P12" s="300">
        <f>IFERROR(VLOOKUP(G12,R:AG,16,FALSE())/12,0)</f>
        <v/>
      </c>
      <c r="Q12" s="182" t="n"/>
      <c r="R12" s="304" t="inlineStr">
        <is>
          <t>Peter</t>
        </is>
      </c>
      <c r="S12" s="278" t="n">
        <v>12</v>
      </c>
      <c r="T12" s="279" t="n"/>
      <c r="U12" s="279" t="n">
        <v>6</v>
      </c>
      <c r="V12" s="279" t="n"/>
      <c r="W12" s="279" t="n">
        <v>1</v>
      </c>
      <c r="X12" s="279" t="n">
        <v>2</v>
      </c>
      <c r="Y12" s="279" t="n">
        <v>13</v>
      </c>
      <c r="Z12" s="279" t="n">
        <v>2</v>
      </c>
      <c r="AA12" s="279" t="n"/>
      <c r="AB12" s="279" t="n">
        <v>14</v>
      </c>
      <c r="AC12" s="279" t="n">
        <v>2</v>
      </c>
      <c r="AD12" s="280" t="n">
        <v>1</v>
      </c>
      <c r="AE12" s="281" t="n">
        <v>53</v>
      </c>
      <c r="AG12" s="240">
        <f>IF(COUNT(S12:AF12)&lt;&gt;0,COUNT(S12:AF12)-1,"")</f>
        <v/>
      </c>
    </row>
    <row r="13" ht="14.25" customHeight="1" s="175">
      <c r="A13" s="267" t="inlineStr">
        <is>
          <t>Tyler</t>
        </is>
      </c>
      <c r="B13" s="268" t="n">
        <v>2</v>
      </c>
      <c r="C13" s="269" t="inlineStr">
        <is>
          <t>Maxine</t>
        </is>
      </c>
      <c r="D13" s="192" t="inlineStr">
        <is>
          <t>https://discord.com/channels/191975109500731392/1212839710439776287/1285650837821067404</t>
        </is>
      </c>
      <c r="E13" s="173" t="n"/>
      <c r="F13" s="207" t="n"/>
      <c r="G13" s="208" t="inlineStr">
        <is>
          <t>Peter</t>
        </is>
      </c>
      <c r="H13" s="209">
        <f>COUNTIF($A:$A,G13)</f>
        <v/>
      </c>
      <c r="I13" s="209">
        <f>COUNTIF($C:$C,G13)</f>
        <v/>
      </c>
      <c r="J13" s="210">
        <f>IF(I13,H13/I13,H13)</f>
        <v/>
      </c>
      <c r="K13" s="209">
        <f>IFERROR(GETPIVOTDATA("Points",$R$2,"Sniper",G13),0)</f>
        <v/>
      </c>
      <c r="L13" s="209">
        <f>IFERROR(GETPIVOTDATA("Points",$R$2,"Snipee",G13),0)</f>
        <v/>
      </c>
      <c r="M13" s="299">
        <f>IF(L13,K13/L13,K13)</f>
        <v/>
      </c>
      <c r="N13" s="210">
        <f>IF(H13,K13/H13,0)</f>
        <v/>
      </c>
      <c r="O13" s="210">
        <f>IF(I13,L13/I13,0)</f>
        <v/>
      </c>
      <c r="P13" s="300">
        <f>IFERROR(VLOOKUP(G13,R:AG,16,FALSE())/12,0)</f>
        <v/>
      </c>
      <c r="Q13" s="182" t="n"/>
      <c r="R13" s="304" t="inlineStr">
        <is>
          <t>Sam</t>
        </is>
      </c>
      <c r="S13" s="278" t="n">
        <v>15</v>
      </c>
      <c r="T13" s="279" t="n">
        <v>3</v>
      </c>
      <c r="U13" s="279" t="n"/>
      <c r="V13" s="279" t="n">
        <v>6</v>
      </c>
      <c r="W13" s="279" t="n">
        <v>7</v>
      </c>
      <c r="X13" s="279" t="n">
        <v>5</v>
      </c>
      <c r="Y13" s="279" t="n">
        <v>13</v>
      </c>
      <c r="Z13" s="279" t="n">
        <v>4</v>
      </c>
      <c r="AA13" s="279" t="n">
        <v>10</v>
      </c>
      <c r="AB13" s="279" t="n">
        <v>7</v>
      </c>
      <c r="AC13" s="279" t="n"/>
      <c r="AD13" s="280" t="n">
        <v>2</v>
      </c>
      <c r="AE13" s="281" t="n">
        <v>72</v>
      </c>
      <c r="AG13" s="240">
        <f>IF(COUNT(S13:AF13)&lt;&gt;0,COUNT(S13:AF13)-1,"")</f>
        <v/>
      </c>
      <c r="AI13" s="179" t="inlineStr">
        <is>
          <t>Overall Winner Chart Decision Matrix</t>
        </is>
      </c>
      <c r="AJ13" s="180" t="n"/>
      <c r="AK13" s="180" t="n"/>
      <c r="AL13" s="180" t="n"/>
      <c r="AM13" s="180" t="n"/>
      <c r="AN13" s="180" t="n"/>
      <c r="AO13" s="180" t="n"/>
      <c r="AP13" s="180" t="n"/>
      <c r="AQ13" s="180" t="n"/>
      <c r="AR13" s="181" t="n"/>
    </row>
    <row r="14" ht="14.25" customHeight="1" s="175">
      <c r="A14" s="267" t="inlineStr">
        <is>
          <t>Ethan</t>
        </is>
      </c>
      <c r="B14" s="268" t="n">
        <v>1</v>
      </c>
      <c r="C14" s="269" t="inlineStr">
        <is>
          <t>Cooper</t>
        </is>
      </c>
      <c r="D14" s="192" t="inlineStr">
        <is>
          <t>https://discord.com/channels/191975109500731392/1212839710439776287/1285674946533785691</t>
        </is>
      </c>
      <c r="E14" s="173" t="n"/>
      <c r="F14" s="207" t="n"/>
      <c r="G14" s="208" t="inlineStr">
        <is>
          <t>Jon</t>
        </is>
      </c>
      <c r="H14" s="209">
        <f>COUNTIF($A:$A,G14)</f>
        <v/>
      </c>
      <c r="I14" s="209">
        <f>COUNTIF($C:$C,G14)</f>
        <v/>
      </c>
      <c r="J14" s="210">
        <f>IF(I14,H14/I14,H14)</f>
        <v/>
      </c>
      <c r="K14" s="209">
        <f>IFERROR(GETPIVOTDATA("Points",$R$2,"Sniper",G14),0)</f>
        <v/>
      </c>
      <c r="L14" s="209">
        <f>IFERROR(GETPIVOTDATA("Points",$R$2,"Snipee",G14),0)</f>
        <v/>
      </c>
      <c r="M14" s="299">
        <f>IF(L14,K14/L14,K14)</f>
        <v/>
      </c>
      <c r="N14" s="210">
        <f>IF(H14,K14/H14,0)</f>
        <v/>
      </c>
      <c r="O14" s="210">
        <f>IF(I14,L14/I14,0)</f>
        <v/>
      </c>
      <c r="P14" s="300">
        <f>IFERROR(VLOOKUP(G14,R:AG,16,FALSE())/12,0)</f>
        <v/>
      </c>
      <c r="Q14" s="182" t="n"/>
      <c r="R14" s="304" t="inlineStr">
        <is>
          <t>Tyler</t>
        </is>
      </c>
      <c r="S14" s="282" t="n">
        <v>3</v>
      </c>
      <c r="T14" s="283" t="n">
        <v>2</v>
      </c>
      <c r="U14" s="283" t="n"/>
      <c r="V14" s="283" t="n">
        <v>2</v>
      </c>
      <c r="W14" s="283" t="n">
        <v>6</v>
      </c>
      <c r="X14" s="283" t="n">
        <v>2</v>
      </c>
      <c r="Y14" s="283" t="n">
        <v>1</v>
      </c>
      <c r="Z14" s="283" t="n"/>
      <c r="AA14" s="283" t="n">
        <v>2</v>
      </c>
      <c r="AB14" s="283" t="n">
        <v>7</v>
      </c>
      <c r="AC14" s="283" t="n">
        <v>3</v>
      </c>
      <c r="AD14" s="284" t="n"/>
      <c r="AE14" s="285" t="n">
        <v>28</v>
      </c>
      <c r="AG14" s="240">
        <f>IF(COUNT(S14:AF14)&lt;&gt;0,COUNT(S14:AF14)-1,"")</f>
        <v/>
      </c>
      <c r="AI14" s="226" t="inlineStr">
        <is>
          <t>Person:</t>
        </is>
      </c>
      <c r="AJ14" s="206" t="inlineStr">
        <is>
          <t>Kills</t>
        </is>
      </c>
      <c r="AK14" s="206" t="inlineStr">
        <is>
          <t>Deaths</t>
        </is>
      </c>
      <c r="AL14" s="206" t="inlineStr">
        <is>
          <t>KDR</t>
        </is>
      </c>
      <c r="AM14" s="206" t="inlineStr">
        <is>
          <t>Kill Points</t>
        </is>
      </c>
      <c r="AN14" s="206" t="inlineStr">
        <is>
          <t>Death Points</t>
        </is>
      </c>
      <c r="AO14" s="206" t="inlineStr">
        <is>
          <t>KpDpR</t>
        </is>
      </c>
      <c r="AP14" s="206" t="inlineStr">
        <is>
          <t>KPts/Kill</t>
        </is>
      </c>
      <c r="AQ14" s="206" t="inlineStr">
        <is>
          <t>DPts/Death</t>
        </is>
      </c>
      <c r="AR14" s="227" t="inlineStr">
        <is>
          <t>Full Sweep %</t>
        </is>
      </c>
    </row>
    <row r="15" ht="14.25" customHeight="1" s="175">
      <c r="A15" s="267" t="inlineStr">
        <is>
          <t>Carter</t>
        </is>
      </c>
      <c r="B15" s="268" t="n">
        <v>2</v>
      </c>
      <c r="C15" s="269" t="inlineStr">
        <is>
          <t>Reuben</t>
        </is>
      </c>
      <c r="D15" s="192" t="inlineStr">
        <is>
          <t>https://discord.com/channels/191975109500731392/1212839710439776287/1285702116328869990</t>
        </is>
      </c>
      <c r="E15" s="173" t="n"/>
      <c r="F15" s="207" t="n"/>
      <c r="G15" s="208" t="inlineStr">
        <is>
          <t>Reuben</t>
        </is>
      </c>
      <c r="H15" s="209">
        <f>COUNTIF($A:$A,G15)</f>
        <v/>
      </c>
      <c r="I15" s="209">
        <f>COUNTIF($C:$C,G15)</f>
        <v/>
      </c>
      <c r="J15" s="210">
        <f>IF(I15,H15/I15,H15)</f>
        <v/>
      </c>
      <c r="K15" s="209">
        <f>IFERROR(GETPIVOTDATA("Points",$R$2,"Sniper",G15),0)</f>
        <v/>
      </c>
      <c r="L15" s="209">
        <f>IFERROR(GETPIVOTDATA("Points",$R$2,"Snipee",G15),0)</f>
        <v/>
      </c>
      <c r="M15" s="299">
        <f>IF(L15,K15/L15,K15)</f>
        <v/>
      </c>
      <c r="N15" s="210">
        <f>IF(H15,K15/H15,0)</f>
        <v/>
      </c>
      <c r="O15" s="210">
        <f>IF(I15,L15/I15,0)</f>
        <v/>
      </c>
      <c r="P15" s="300">
        <f>IFERROR(VLOOKUP(G15,R:AG,16,FALSE())/12,0)</f>
        <v/>
      </c>
      <c r="Q15" s="182" t="n"/>
      <c r="R15" s="237" t="inlineStr">
        <is>
          <t>Total Result</t>
        </is>
      </c>
      <c r="S15" s="286" t="n">
        <v>108</v>
      </c>
      <c r="T15" s="287" t="n">
        <v>11</v>
      </c>
      <c r="U15" s="287" t="n">
        <v>45</v>
      </c>
      <c r="V15" s="287" t="n">
        <v>22</v>
      </c>
      <c r="W15" s="287" t="n">
        <v>55</v>
      </c>
      <c r="X15" s="287" t="n">
        <v>54</v>
      </c>
      <c r="Y15" s="287" t="n">
        <v>54</v>
      </c>
      <c r="Z15" s="287" t="n">
        <v>24</v>
      </c>
      <c r="AA15" s="287" t="n">
        <v>26</v>
      </c>
      <c r="AB15" s="287" t="n">
        <v>120</v>
      </c>
      <c r="AC15" s="287" t="n">
        <v>21</v>
      </c>
      <c r="AD15" s="288" t="n">
        <v>13</v>
      </c>
      <c r="AE15" s="239" t="n">
        <v>553</v>
      </c>
      <c r="AG15" s="240">
        <f>IF(COUNT(S15:AF15)&lt;&gt;0,COUNT(S15:AF15)-1,"")</f>
        <v/>
      </c>
      <c r="AI15" s="228" t="inlineStr">
        <is>
          <t>Weight:</t>
        </is>
      </c>
      <c r="AJ15" s="229" t="n">
        <v>7.5</v>
      </c>
      <c r="AK15" s="230" t="n">
        <v>-6</v>
      </c>
      <c r="AL15" s="230" t="n">
        <v>25</v>
      </c>
      <c r="AM15" s="230" t="n">
        <v>8.5</v>
      </c>
      <c r="AN15" s="230" t="n">
        <v>-6.5</v>
      </c>
      <c r="AO15" s="230" t="n">
        <v>25</v>
      </c>
      <c r="AP15" s="230" t="n">
        <v>20</v>
      </c>
      <c r="AQ15" s="230" t="n">
        <v>-20</v>
      </c>
      <c r="AR15" s="231" t="n">
        <v>250</v>
      </c>
      <c r="AS15" s="216" t="inlineStr">
        <is>
          <t>Totals:</t>
        </is>
      </c>
    </row>
    <row r="16" ht="14.25" customHeight="1" s="175">
      <c r="A16" s="267" t="inlineStr">
        <is>
          <t>Peter</t>
        </is>
      </c>
      <c r="B16" s="268" t="n">
        <v>2</v>
      </c>
      <c r="C16" s="269" t="inlineStr">
        <is>
          <t>Reuben</t>
        </is>
      </c>
      <c r="D16" s="192" t="inlineStr">
        <is>
          <t>https://discord.com/channels/191975109500731392/1212839710439776287/1285702513923719292</t>
        </is>
      </c>
      <c r="E16" s="173" t="n"/>
      <c r="F16" s="207" t="n"/>
      <c r="Q16" s="232" t="n"/>
      <c r="AG16" s="240">
        <f>IF(COUNT(S16:AE16)&lt;&gt;0,COUNT(S16:AE16)-1,"")</f>
        <v/>
      </c>
      <c r="AI16" s="305" t="inlineStr">
        <is>
          <t>Carter</t>
        </is>
      </c>
      <c r="AJ16" s="209">
        <f>H3*$AJ$15</f>
        <v/>
      </c>
      <c r="AK16" s="233">
        <f>I3*$AK$15</f>
        <v/>
      </c>
      <c r="AL16" s="234">
        <f>J3*$AL$15</f>
        <v/>
      </c>
      <c r="AM16" s="306">
        <f>K3*$AM$15</f>
        <v/>
      </c>
      <c r="AN16" s="306">
        <f>L3*$AN$15</f>
        <v/>
      </c>
      <c r="AO16" s="307">
        <f>M3*$AO$15</f>
        <v/>
      </c>
      <c r="AP16" s="234">
        <f>N3*$AP$15</f>
        <v/>
      </c>
      <c r="AQ16" s="234">
        <f>O3*$AQ$15</f>
        <v/>
      </c>
      <c r="AR16" s="308">
        <f>P3*$AR$15</f>
        <v/>
      </c>
      <c r="AS16" s="236">
        <f>SUM(AJ16:AR16)</f>
        <v/>
      </c>
    </row>
    <row r="17" ht="14.25" customHeight="1" s="175">
      <c r="A17" s="267" t="inlineStr">
        <is>
          <t>Erick</t>
        </is>
      </c>
      <c r="B17" s="268" t="n">
        <v>1</v>
      </c>
      <c r="C17" s="269" t="inlineStr">
        <is>
          <t>Jon</t>
        </is>
      </c>
      <c r="D17" s="192" t="inlineStr">
        <is>
          <t>https://discord.com/channels/191975109500731392/1212839710439776287/1285765526525710501</t>
        </is>
      </c>
      <c r="E17" s="173" t="n"/>
      <c r="F17" s="207" t="n"/>
      <c r="G17" s="179" t="inlineStr">
        <is>
          <t>Data By Voice Part (average/person):</t>
        </is>
      </c>
      <c r="H17" s="180" t="n"/>
      <c r="I17" s="180" t="n"/>
      <c r="J17" s="180" t="n"/>
      <c r="K17" s="180" t="n"/>
      <c r="L17" s="180" t="n"/>
      <c r="M17" s="180" t="n"/>
      <c r="N17" s="180" t="n"/>
      <c r="O17" s="181" t="n"/>
      <c r="S17" s="240" t="n"/>
      <c r="T17" s="240" t="n"/>
      <c r="U17" s="240" t="n"/>
      <c r="V17" s="240" t="n"/>
      <c r="W17" s="240" t="n"/>
      <c r="X17" s="240" t="n"/>
      <c r="Y17" s="240" t="n"/>
      <c r="Z17" s="240" t="n"/>
      <c r="AA17" s="240" t="n"/>
      <c r="AB17" s="240" t="n"/>
      <c r="AC17" s="240" t="n"/>
      <c r="AD17" s="240" t="n"/>
      <c r="AE17" s="240" t="n"/>
      <c r="AF17" s="240" t="n"/>
      <c r="AG17" s="240">
        <f>IF(COUNT(S17:AE17)&lt;&gt;0,COUNT(S17:AE17)-1,"")</f>
        <v/>
      </c>
      <c r="AI17" s="208" t="inlineStr">
        <is>
          <t>Grady</t>
        </is>
      </c>
      <c r="AJ17" s="209">
        <f>H4*$AJ$15</f>
        <v/>
      </c>
      <c r="AK17" s="233">
        <f>I4*$AK$15</f>
        <v/>
      </c>
      <c r="AL17" s="234">
        <f>J4*$AL$15</f>
        <v/>
      </c>
      <c r="AM17" s="306">
        <f>K4*$AM$15</f>
        <v/>
      </c>
      <c r="AN17" s="306">
        <f>L4*$AN$15</f>
        <v/>
      </c>
      <c r="AO17" s="307">
        <f>M4*$AO$15</f>
        <v/>
      </c>
      <c r="AP17" s="234">
        <f>N4*$AP$15</f>
        <v/>
      </c>
      <c r="AQ17" s="234">
        <f>O4*$AQ$15</f>
        <v/>
      </c>
      <c r="AR17" s="308">
        <f>P4*$AR$15</f>
        <v/>
      </c>
      <c r="AS17" s="236">
        <f>SUM(AJ17:AR17)</f>
        <v/>
      </c>
    </row>
    <row r="18" ht="14.25" customHeight="1" s="175">
      <c r="A18" s="267" t="inlineStr">
        <is>
          <t>Jon</t>
        </is>
      </c>
      <c r="B18" s="268" t="n">
        <v>1</v>
      </c>
      <c r="C18" s="269" t="inlineStr">
        <is>
          <t>Erick</t>
        </is>
      </c>
      <c r="D18" s="192" t="inlineStr">
        <is>
          <t>https://discord.com/channels/191975109500731392/1212839710439776287/1285765585501945899</t>
        </is>
      </c>
      <c r="E18" s="173" t="n"/>
      <c r="F18" s="207" t="n"/>
      <c r="G18" s="226" t="inlineStr">
        <is>
          <t>Part:</t>
        </is>
      </c>
      <c r="H18" s="206" t="inlineStr">
        <is>
          <t>Kills</t>
        </is>
      </c>
      <c r="I18" s="206" t="inlineStr">
        <is>
          <t>Deaths</t>
        </is>
      </c>
      <c r="J18" s="206" t="inlineStr">
        <is>
          <t>KDR</t>
        </is>
      </c>
      <c r="K18" s="206" t="inlineStr">
        <is>
          <t>Kill Points</t>
        </is>
      </c>
      <c r="L18" s="206" t="inlineStr">
        <is>
          <t>Death Points</t>
        </is>
      </c>
      <c r="M18" s="206" t="inlineStr">
        <is>
          <t>KpDpR</t>
        </is>
      </c>
      <c r="N18" s="196" t="inlineStr">
        <is>
          <t>KPts/Kill</t>
        </is>
      </c>
      <c r="O18" s="206" t="inlineStr">
        <is>
          <t>DPts/Death</t>
        </is>
      </c>
      <c r="S18" s="240" t="n"/>
      <c r="T18" s="240" t="n"/>
      <c r="U18" s="240" t="n"/>
      <c r="V18" s="240" t="n"/>
      <c r="W18" s="240" t="n"/>
      <c r="X18" s="240" t="n"/>
      <c r="Y18" s="240" t="n"/>
      <c r="Z18" s="240" t="n"/>
      <c r="AA18" s="240" t="n"/>
      <c r="AB18" s="240" t="n"/>
      <c r="AC18" s="240" t="n"/>
      <c r="AD18" s="240" t="n"/>
      <c r="AE18" s="240" t="n"/>
      <c r="AF18" s="240" t="n"/>
      <c r="AG18" s="240">
        <f>IF(COUNT(S18:AE18)&lt;&gt;0,COUNT(S18:AE18)-1,"")</f>
        <v/>
      </c>
      <c r="AI18" s="208" t="inlineStr">
        <is>
          <t>Cooper</t>
        </is>
      </c>
      <c r="AJ18" s="209">
        <f>H5*$AJ$15</f>
        <v/>
      </c>
      <c r="AK18" s="233">
        <f>I5*$AK$15</f>
        <v/>
      </c>
      <c r="AL18" s="234">
        <f>J5*$AL$15</f>
        <v/>
      </c>
      <c r="AM18" s="306">
        <f>K5*$AM$15</f>
        <v/>
      </c>
      <c r="AN18" s="306">
        <f>L5*$AN$15</f>
        <v/>
      </c>
      <c r="AO18" s="307">
        <f>M5*$AO$15</f>
        <v/>
      </c>
      <c r="AP18" s="234">
        <f>N5*$AP$15</f>
        <v/>
      </c>
      <c r="AQ18" s="234">
        <f>O5*$AQ$15</f>
        <v/>
      </c>
      <c r="AR18" s="308">
        <f>P5*$AR$15</f>
        <v/>
      </c>
      <c r="AS18" s="236">
        <f>SUM(AJ18:AR18)</f>
        <v/>
      </c>
    </row>
    <row r="19" ht="14.25" customHeight="1" s="175">
      <c r="A19" s="267" t="inlineStr">
        <is>
          <t>Maxine</t>
        </is>
      </c>
      <c r="B19" s="268" t="n">
        <v>1</v>
      </c>
      <c r="C19" s="269" t="inlineStr">
        <is>
          <t>Grady</t>
        </is>
      </c>
      <c r="D19" s="192" t="inlineStr">
        <is>
          <t>https://discord.com/channels/191975109500731392/1212839710439776287/1285961159060750368</t>
        </is>
      </c>
      <c r="E19" s="173" t="n"/>
      <c r="F19" s="207" t="n"/>
      <c r="G19" s="208" t="inlineStr">
        <is>
          <t>Tenors</t>
        </is>
      </c>
      <c r="H19" s="241">
        <f>SUM(H3:H4)/COUNT(H3:H4)</f>
        <v/>
      </c>
      <c r="I19" s="241">
        <f>SUM(I3:I4)/COUNT(I3:I4)</f>
        <v/>
      </c>
      <c r="J19" s="242">
        <f>IF(I19,H19/I19,H19)</f>
        <v/>
      </c>
      <c r="K19" s="241">
        <f>SUM(K3:K4)/COUNT(K3:K4)</f>
        <v/>
      </c>
      <c r="L19" s="241">
        <f>SUM(L3:L4)/COUNT(L3:L4)</f>
        <v/>
      </c>
      <c r="M19" s="242">
        <f>IF(L19,K19/L19,K19)</f>
        <v/>
      </c>
      <c r="N19" s="243">
        <f>IF(H19,K19/H19,0)</f>
        <v/>
      </c>
      <c r="O19" s="244">
        <f>IF(I19,L19/I19,0)</f>
        <v/>
      </c>
      <c r="S19" s="240" t="n"/>
      <c r="T19" s="240" t="n"/>
      <c r="U19" s="240" t="n"/>
      <c r="V19" s="240" t="n"/>
      <c r="W19" s="240" t="n"/>
      <c r="X19" s="240" t="n"/>
      <c r="Y19" s="240" t="n"/>
      <c r="Z19" s="240" t="n"/>
      <c r="AA19" s="240" t="n"/>
      <c r="AB19" s="240" t="n"/>
      <c r="AC19" s="240" t="n"/>
      <c r="AD19" s="240" t="n"/>
      <c r="AE19" s="240" t="n"/>
      <c r="AF19" s="240" t="n"/>
      <c r="AG19" s="240">
        <f>IF(COUNT(S19:AE19)&lt;&gt;0,COUNT(S19:AE19)-1,"")</f>
        <v/>
      </c>
      <c r="AI19" s="208" t="inlineStr">
        <is>
          <t>Maxine</t>
        </is>
      </c>
      <c r="AJ19" s="209">
        <f>H6*$AJ$15</f>
        <v/>
      </c>
      <c r="AK19" s="233">
        <f>I6*$AK$15</f>
        <v/>
      </c>
      <c r="AL19" s="234">
        <f>J6*$AL$15</f>
        <v/>
      </c>
      <c r="AM19" s="306">
        <f>K6*$AM$15</f>
        <v/>
      </c>
      <c r="AN19" s="306">
        <f>L6*$AN$15</f>
        <v/>
      </c>
      <c r="AO19" s="307">
        <f>M6*$AO$15</f>
        <v/>
      </c>
      <c r="AP19" s="234">
        <f>N6*$AP$15</f>
        <v/>
      </c>
      <c r="AQ19" s="234">
        <f>O6*$AQ$15</f>
        <v/>
      </c>
      <c r="AR19" s="308">
        <f>P6*$AR$15</f>
        <v/>
      </c>
      <c r="AS19" s="236">
        <f>SUM(AJ19:AR19)</f>
        <v/>
      </c>
    </row>
    <row r="20" ht="14.25" customHeight="1" s="175">
      <c r="A20" s="267" t="inlineStr">
        <is>
          <t>Grady</t>
        </is>
      </c>
      <c r="B20" s="268" t="n">
        <v>1</v>
      </c>
      <c r="C20" s="269" t="inlineStr">
        <is>
          <t>Maxine</t>
        </is>
      </c>
      <c r="D20" s="192" t="inlineStr">
        <is>
          <t>https://discord.com/channels/191975109500731392/1212839710439776287/1285961174847852658</t>
        </is>
      </c>
      <c r="E20" s="173" t="n"/>
      <c r="F20" s="207" t="n"/>
      <c r="G20" s="208" t="inlineStr">
        <is>
          <t>Leads</t>
        </is>
      </c>
      <c r="H20" s="241">
        <f>SUM(H5:H8)/COUNT(H5:H8)</f>
        <v/>
      </c>
      <c r="I20" s="241">
        <f>SUM(I5:I8)/COUNT(I5:I8)</f>
        <v/>
      </c>
      <c r="J20" s="242">
        <f>IF(I20,H20/I20,H20)</f>
        <v/>
      </c>
      <c r="K20" s="241">
        <f>SUM(K5:K8)/COUNT(K5:K8)</f>
        <v/>
      </c>
      <c r="L20" s="241">
        <f>SUM(L5:L8)/COUNT(L5:L8)</f>
        <v/>
      </c>
      <c r="M20" s="242">
        <f>IF(L20,K20/L20,K20)</f>
        <v/>
      </c>
      <c r="N20" s="243">
        <f>IF(H20,K20/H20,0)</f>
        <v/>
      </c>
      <c r="O20" s="244">
        <f>IF(I20,L20/I20,0)</f>
        <v/>
      </c>
      <c r="S20" s="240" t="n"/>
      <c r="T20" s="240" t="n"/>
      <c r="U20" s="240" t="n"/>
      <c r="V20" s="240" t="n"/>
      <c r="W20" s="240" t="n"/>
      <c r="X20" s="240" t="n"/>
      <c r="Y20" s="240" t="n"/>
      <c r="Z20" s="240" t="n"/>
      <c r="AA20" s="240" t="n"/>
      <c r="AB20" s="240" t="n"/>
      <c r="AC20" s="240" t="n"/>
      <c r="AD20" s="240" t="n"/>
      <c r="AE20" s="240" t="n"/>
      <c r="AF20" s="240" t="n"/>
      <c r="AG20" s="240">
        <f>IF(COUNT(S20:AE20)&lt;&gt;0,COUNT(S20:AE20)-1,"")</f>
        <v/>
      </c>
      <c r="AI20" s="208" t="inlineStr">
        <is>
          <t>David</t>
        </is>
      </c>
      <c r="AJ20" s="209">
        <f>H7*$AJ$15</f>
        <v/>
      </c>
      <c r="AK20" s="233">
        <f>I7*$AK$15</f>
        <v/>
      </c>
      <c r="AL20" s="234">
        <f>J7*$AL$15</f>
        <v/>
      </c>
      <c r="AM20" s="306">
        <f>K7*$AM$15</f>
        <v/>
      </c>
      <c r="AN20" s="306">
        <f>L7*$AN$15</f>
        <v/>
      </c>
      <c r="AO20" s="307">
        <f>M7*$AO$15</f>
        <v/>
      </c>
      <c r="AP20" s="234">
        <f>N7*$AP$15</f>
        <v/>
      </c>
      <c r="AQ20" s="234">
        <f>O7*$AQ$15</f>
        <v/>
      </c>
      <c r="AR20" s="308">
        <f>P7*$AR$15</f>
        <v/>
      </c>
      <c r="AS20" s="236">
        <f>SUM(AJ20:AR20)</f>
        <v/>
      </c>
    </row>
    <row r="21" ht="14.25" customHeight="1" s="175">
      <c r="A21" s="267" t="inlineStr">
        <is>
          <t>Erick</t>
        </is>
      </c>
      <c r="B21" s="268" t="n">
        <v>2</v>
      </c>
      <c r="C21" s="269" t="inlineStr">
        <is>
          <t>Grady</t>
        </is>
      </c>
      <c r="D21" s="192" t="inlineStr">
        <is>
          <t>https://discord.com/channels/191975109500731392/1212839710439776287/1285977613059358793</t>
        </is>
      </c>
      <c r="E21" s="173" t="n"/>
      <c r="F21" s="207" t="n"/>
      <c r="G21" s="208" t="inlineStr">
        <is>
          <t>Baris</t>
        </is>
      </c>
      <c r="H21" s="241">
        <f>SUM(H9:H11)/COUNT(H9:H11)</f>
        <v/>
      </c>
      <c r="I21" s="241">
        <f>SUM(I9:I11)/COUNT(I9:I11)</f>
        <v/>
      </c>
      <c r="J21" s="242">
        <f>IF(I21,H21/I21,H21)</f>
        <v/>
      </c>
      <c r="K21" s="241">
        <f>SUM(K9:K11)/COUNT(K9:K11)</f>
        <v/>
      </c>
      <c r="L21" s="241">
        <f>SUM(L9:L11)/COUNT(L9:L11)</f>
        <v/>
      </c>
      <c r="M21" s="242">
        <f>IF(L21,K21/L21,K21)</f>
        <v/>
      </c>
      <c r="N21" s="243">
        <f>IF(H21,K21/H21,0)</f>
        <v/>
      </c>
      <c r="O21" s="244">
        <f>IF(I21,L21/I21,0)</f>
        <v/>
      </c>
      <c r="S21" s="240" t="n"/>
      <c r="T21" s="240" t="n"/>
      <c r="U21" s="240" t="n"/>
      <c r="V21" s="240" t="n"/>
      <c r="W21" s="240" t="n"/>
      <c r="X21" s="240" t="n"/>
      <c r="Y21" s="240" t="n"/>
      <c r="Z21" s="240" t="n"/>
      <c r="AA21" s="240" t="n"/>
      <c r="AB21" s="240" t="n"/>
      <c r="AC21" s="240" t="n"/>
      <c r="AD21" s="240" t="n"/>
      <c r="AE21" s="240" t="n"/>
      <c r="AF21" s="240" t="n"/>
      <c r="AG21" s="240">
        <f>IF(COUNT(S21:AE21)&lt;&gt;0,COUNT(S21:AE21)-1,"")</f>
        <v/>
      </c>
      <c r="AI21" s="208" t="inlineStr">
        <is>
          <t>Evan</t>
        </is>
      </c>
      <c r="AJ21" s="209">
        <f>H8*$AJ$15</f>
        <v/>
      </c>
      <c r="AK21" s="233">
        <f>I8*$AK$15</f>
        <v/>
      </c>
      <c r="AL21" s="234">
        <f>J8*$AL$15</f>
        <v/>
      </c>
      <c r="AM21" s="306">
        <f>K8*$AM$15</f>
        <v/>
      </c>
      <c r="AN21" s="306">
        <f>L8*$AN$15</f>
        <v/>
      </c>
      <c r="AO21" s="307">
        <f>M8*$AO$15</f>
        <v/>
      </c>
      <c r="AP21" s="234">
        <f>N8*$AP$15</f>
        <v/>
      </c>
      <c r="AQ21" s="234">
        <f>O8*$AQ$15</f>
        <v/>
      </c>
      <c r="AR21" s="308">
        <f>P8*$AR$15</f>
        <v/>
      </c>
      <c r="AS21" s="236">
        <f>SUM(AJ21:AR21)</f>
        <v/>
      </c>
    </row>
    <row r="22" ht="14.25" customHeight="1" s="175">
      <c r="A22" s="267" t="inlineStr">
        <is>
          <t>David</t>
        </is>
      </c>
      <c r="B22" s="268" t="n">
        <v>1</v>
      </c>
      <c r="C22" s="269" t="inlineStr">
        <is>
          <t>Carter</t>
        </is>
      </c>
      <c r="D22" s="192" t="inlineStr">
        <is>
          <t>https://discord.com/channels/191975109500731392/1212839710439776287/1285977789069000704</t>
        </is>
      </c>
      <c r="E22" s="173" t="n">
        <v>1</v>
      </c>
      <c r="F22" s="192" t="n"/>
      <c r="G22" s="208" t="inlineStr">
        <is>
          <t>Basses</t>
        </is>
      </c>
      <c r="H22" s="241">
        <f>SUM(H12:H15)/COUNT(H12:H15)</f>
        <v/>
      </c>
      <c r="I22" s="241">
        <f>SUM(I12:I15)/COUNT(I12:I15)</f>
        <v/>
      </c>
      <c r="J22" s="242">
        <f>IF(I22,H22/I22,H22)</f>
        <v/>
      </c>
      <c r="K22" s="241">
        <f>SUM(K12:K15)/COUNT(K12:K15)</f>
        <v/>
      </c>
      <c r="L22" s="241">
        <f>SUM(L12:L15)/COUNT(L12:L15)</f>
        <v/>
      </c>
      <c r="M22" s="242">
        <f>IF(L22,K22/L22,K22)</f>
        <v/>
      </c>
      <c r="N22" s="243">
        <f>IF(H22,K22/H22,0)</f>
        <v/>
      </c>
      <c r="O22" s="244">
        <f>IF(I22,L22/I22,0)</f>
        <v/>
      </c>
      <c r="Q22" s="245" t="n"/>
      <c r="R22" s="289" t="inlineStr">
        <is>
          <t>Carter</t>
        </is>
      </c>
      <c r="S22" s="215" t="inlineStr">
        <is>
          <t>Total</t>
        </is>
      </c>
      <c r="T22" s="290" t="inlineStr">
        <is>
          <t>Yes</t>
        </is>
      </c>
      <c r="U22" s="291" t="inlineStr">
        <is>
          <t>No</t>
        </is>
      </c>
      <c r="V22" s="292" t="inlineStr">
        <is>
          <t>Ratio</t>
        </is>
      </c>
      <c r="AG22" s="240">
        <f>IF(COUNT(S22:AE22)&lt;&gt;0,COUNT(S22:AE22)-1,"")</f>
        <v/>
      </c>
      <c r="AI22" s="208" t="inlineStr">
        <is>
          <t>Tyler</t>
        </is>
      </c>
      <c r="AJ22" s="209">
        <f>H9*$AJ$15</f>
        <v/>
      </c>
      <c r="AK22" s="233">
        <f>I9*$AK$15</f>
        <v/>
      </c>
      <c r="AL22" s="234">
        <f>J9*$AL$15</f>
        <v/>
      </c>
      <c r="AM22" s="306">
        <f>K9*$AM$15</f>
        <v/>
      </c>
      <c r="AN22" s="306">
        <f>L9*$AN$15</f>
        <v/>
      </c>
      <c r="AO22" s="307">
        <f>M9*$AO$15</f>
        <v/>
      </c>
      <c r="AP22" s="234">
        <f>N9*$AP$15</f>
        <v/>
      </c>
      <c r="AQ22" s="234">
        <f>O9*$AQ$15</f>
        <v/>
      </c>
      <c r="AR22" s="308">
        <f>P9*$AR$15</f>
        <v/>
      </c>
      <c r="AS22" s="236">
        <f>SUM(AJ22:AR22)</f>
        <v/>
      </c>
    </row>
    <row r="23" ht="14.25" customHeight="1" s="175">
      <c r="A23" s="267" t="inlineStr">
        <is>
          <t>Carter</t>
        </is>
      </c>
      <c r="B23" s="268" t="n">
        <v>1</v>
      </c>
      <c r="C23" s="269" t="inlineStr">
        <is>
          <t>David</t>
        </is>
      </c>
      <c r="D23" s="192" t="inlineStr">
        <is>
          <t>https://discord.com/channels/191975109500731392/1212839710439776287/1285977828910825605</t>
        </is>
      </c>
      <c r="E23" s="173" t="n"/>
      <c r="F23" s="207" t="n"/>
      <c r="G23" s="247" t="inlineStr">
        <is>
          <t>Basses (No Reuben)</t>
        </is>
      </c>
      <c r="H23" s="241">
        <f>SUM(H12:H14)/COUNT(H12:H14)</f>
        <v/>
      </c>
      <c r="I23" s="241">
        <f>SUM(I12:I14)/COUNT(I12:I14)</f>
        <v/>
      </c>
      <c r="J23" s="242">
        <f>IF(I23,H23/I23,H23)</f>
        <v/>
      </c>
      <c r="K23" s="241">
        <f>SUM(K12:K14)/COUNT(K12:K14)</f>
        <v/>
      </c>
      <c r="L23" s="241">
        <f>SUM(L12:L14)/COUNT(L12:L14)</f>
        <v/>
      </c>
      <c r="M23" s="242">
        <f>IF(L23,K23/L23,K23)</f>
        <v/>
      </c>
      <c r="N23" s="243">
        <f>IF(H23,K23/H23,0)</f>
        <v/>
      </c>
      <c r="O23" s="244">
        <f>IF(I23,L23/I23,0)</f>
        <v/>
      </c>
      <c r="Q23" s="245" t="n"/>
      <c r="R23" s="221" t="inlineStr">
        <is>
          <t>Asriel Data:</t>
        </is>
      </c>
      <c r="S23" s="215">
        <f>COUNT(E:E)</f>
        <v/>
      </c>
      <c r="T23" s="290">
        <f>COUNTIF(E:E,1)</f>
        <v/>
      </c>
      <c r="U23" s="291">
        <f>S23-T23</f>
        <v/>
      </c>
      <c r="V23" s="293">
        <f>IFERROR(T23/S23,0)</f>
        <v/>
      </c>
      <c r="AI23" s="208" t="inlineStr">
        <is>
          <t>Sam</t>
        </is>
      </c>
      <c r="AJ23" s="209">
        <f>H10*$AJ$15</f>
        <v/>
      </c>
      <c r="AK23" s="233">
        <f>I10*$AK$15</f>
        <v/>
      </c>
      <c r="AL23" s="234">
        <f>J10*$AL$15</f>
        <v/>
      </c>
      <c r="AM23" s="306">
        <f>K10*$AM$15</f>
        <v/>
      </c>
      <c r="AN23" s="306">
        <f>L10*$AN$15</f>
        <v/>
      </c>
      <c r="AO23" s="307">
        <f>M10*$AO$15</f>
        <v/>
      </c>
      <c r="AP23" s="234">
        <f>N10*$AP$15</f>
        <v/>
      </c>
      <c r="AQ23" s="234">
        <f>O10*$AQ$15</f>
        <v/>
      </c>
      <c r="AR23" s="308">
        <f>P10*$AR$15</f>
        <v/>
      </c>
      <c r="AS23" s="236">
        <f>SUM(AJ23:AR23)</f>
        <v/>
      </c>
    </row>
    <row r="24" ht="14.25" customHeight="1" s="175">
      <c r="A24" s="267" t="inlineStr">
        <is>
          <t>Grady</t>
        </is>
      </c>
      <c r="B24" s="268" t="n">
        <v>2</v>
      </c>
      <c r="C24" s="269" t="inlineStr">
        <is>
          <t>Sam</t>
        </is>
      </c>
      <c r="D24" s="192" t="inlineStr">
        <is>
          <t>https://discord.com/channels/191975109500731392/1212839710439776287/1285980216316923916</t>
        </is>
      </c>
      <c r="E24" s="173" t="n"/>
      <c r="F24" s="192" t="n"/>
      <c r="J24" s="246" t="n"/>
      <c r="K24" s="246" t="n"/>
      <c r="L24" s="246" t="n"/>
      <c r="M24" s="260" t="n"/>
      <c r="N24" s="260" t="n"/>
      <c r="O24" s="260" t="n"/>
      <c r="Q24" s="182" t="n"/>
      <c r="AD24" s="246" t="n"/>
      <c r="AI24" s="208" t="inlineStr">
        <is>
          <t>Ethan</t>
        </is>
      </c>
      <c r="AJ24" s="209">
        <f>H11*$AJ$15</f>
        <v/>
      </c>
      <c r="AK24" s="233">
        <f>I11*$AK$15</f>
        <v/>
      </c>
      <c r="AL24" s="234">
        <f>J11*$AL$15</f>
        <v/>
      </c>
      <c r="AM24" s="306">
        <f>K11*$AM$15</f>
        <v/>
      </c>
      <c r="AN24" s="306">
        <f>L11*$AN$15</f>
        <v/>
      </c>
      <c r="AO24" s="307">
        <f>M11*$AO$15</f>
        <v/>
      </c>
      <c r="AP24" s="234">
        <f>N11*$AP$15</f>
        <v/>
      </c>
      <c r="AQ24" s="234">
        <f>O11*$AQ$15</f>
        <v/>
      </c>
      <c r="AR24" s="308">
        <f>P11*$AR$15</f>
        <v/>
      </c>
      <c r="AS24" s="236">
        <f>SUM(AJ24:AR24)</f>
        <v/>
      </c>
    </row>
    <row r="25" ht="14.25" customHeight="1" s="175">
      <c r="A25" s="267" t="inlineStr">
        <is>
          <t>Maxine</t>
        </is>
      </c>
      <c r="B25" s="268" t="n">
        <v>1</v>
      </c>
      <c r="C25" s="269" t="inlineStr">
        <is>
          <t>Jon</t>
        </is>
      </c>
      <c r="D25" s="192" t="inlineStr">
        <is>
          <t>https://discord.com/channels/191975109500731392/1212839710439776287/1285986154109472848</t>
        </is>
      </c>
      <c r="E25" s="173" t="n"/>
      <c r="F25" s="207" t="n"/>
      <c r="G25" s="208" t="inlineStr">
        <is>
          <t>Person:</t>
        </is>
      </c>
      <c r="H25" s="216" t="inlineStr">
        <is>
          <t>Kills</t>
        </is>
      </c>
      <c r="Q25" s="208" t="inlineStr">
        <is>
          <t>Person:</t>
        </is>
      </c>
      <c r="R25" s="216" t="inlineStr">
        <is>
          <t>Kill Points</t>
        </is>
      </c>
      <c r="AI25" s="208" t="inlineStr">
        <is>
          <t>Erick</t>
        </is>
      </c>
      <c r="AJ25" s="209">
        <f>H12*$AJ$15</f>
        <v/>
      </c>
      <c r="AK25" s="233">
        <f>I12*$AK$15</f>
        <v/>
      </c>
      <c r="AL25" s="234">
        <f>J12*$AL$15</f>
        <v/>
      </c>
      <c r="AM25" s="306">
        <f>K12*$AM$15</f>
        <v/>
      </c>
      <c r="AN25" s="306">
        <f>L12*$AN$15</f>
        <v/>
      </c>
      <c r="AO25" s="307">
        <f>M12*$AO$15</f>
        <v/>
      </c>
      <c r="AP25" s="234">
        <f>N12*$AP$15</f>
        <v/>
      </c>
      <c r="AQ25" s="234">
        <f>O12*$AQ$15</f>
        <v/>
      </c>
      <c r="AR25" s="308">
        <f>P12*$AR$15</f>
        <v/>
      </c>
      <c r="AS25" s="236">
        <f>SUM(AJ25:AR25)</f>
        <v/>
      </c>
    </row>
    <row r="26" ht="14.25" customHeight="1" s="175">
      <c r="A26" s="267" t="inlineStr">
        <is>
          <t>Jon</t>
        </is>
      </c>
      <c r="B26" s="268" t="n">
        <v>1</v>
      </c>
      <c r="C26" s="269" t="inlineStr">
        <is>
          <t>Maxine</t>
        </is>
      </c>
      <c r="D26" s="192" t="inlineStr">
        <is>
          <t>https://discord.com/channels/191975109500731392/1212839710439776287/1285986371651240022</t>
        </is>
      </c>
      <c r="E26" s="173" t="n"/>
      <c r="F26" s="207" t="n"/>
      <c r="G26" s="208" t="inlineStr">
        <is>
          <t>David</t>
        </is>
      </c>
      <c r="H26" s="209">
        <f>$H$7</f>
        <v/>
      </c>
      <c r="Q26" s="208" t="inlineStr">
        <is>
          <t>David</t>
        </is>
      </c>
      <c r="R26" s="209">
        <f>$K$7</f>
        <v/>
      </c>
      <c r="AI26" s="208" t="inlineStr">
        <is>
          <t>Peter</t>
        </is>
      </c>
      <c r="AJ26" s="209">
        <f>H13*$AJ$15</f>
        <v/>
      </c>
      <c r="AK26" s="233">
        <f>I13*$AK$15</f>
        <v/>
      </c>
      <c r="AL26" s="234">
        <f>J13*$AL$15</f>
        <v/>
      </c>
      <c r="AM26" s="306">
        <f>K13*$AM$15</f>
        <v/>
      </c>
      <c r="AN26" s="306">
        <f>L13*$AN$15</f>
        <v/>
      </c>
      <c r="AO26" s="307">
        <f>M13*$AO$15</f>
        <v/>
      </c>
      <c r="AP26" s="234">
        <f>N13*$AP$15</f>
        <v/>
      </c>
      <c r="AQ26" s="234">
        <f>O13*$AQ$15</f>
        <v/>
      </c>
      <c r="AR26" s="308">
        <f>P13*$AR$15</f>
        <v/>
      </c>
      <c r="AS26" s="236">
        <f>SUM(AJ26:AR26)</f>
        <v/>
      </c>
    </row>
    <row r="27" ht="14.25" customHeight="1" s="175">
      <c r="A27" s="267" t="inlineStr">
        <is>
          <t>David</t>
        </is>
      </c>
      <c r="B27" s="268" t="n">
        <v>2</v>
      </c>
      <c r="C27" s="269" t="inlineStr">
        <is>
          <t>Reuben</t>
        </is>
      </c>
      <c r="D27" s="192" t="inlineStr">
        <is>
          <t>https://discord.com/channels/191975109500731392/1212839710439776287/1286014962879172670</t>
        </is>
      </c>
      <c r="E27" s="173" t="n"/>
      <c r="F27" s="192" t="n"/>
      <c r="G27" s="208" t="inlineStr">
        <is>
          <t>Ethan</t>
        </is>
      </c>
      <c r="H27" s="209">
        <f>$H$11</f>
        <v/>
      </c>
      <c r="Q27" s="208" t="inlineStr">
        <is>
          <t>Ethan</t>
        </is>
      </c>
      <c r="R27" s="209">
        <f>$K$11</f>
        <v/>
      </c>
      <c r="AI27" s="208" t="inlineStr">
        <is>
          <t>Jon</t>
        </is>
      </c>
      <c r="AJ27" s="209">
        <f>H14*$AJ$15</f>
        <v/>
      </c>
      <c r="AK27" s="233">
        <f>I14*$AK$15</f>
        <v/>
      </c>
      <c r="AL27" s="234">
        <f>J14*$AL$15</f>
        <v/>
      </c>
      <c r="AM27" s="306">
        <f>K14*$AM$15</f>
        <v/>
      </c>
      <c r="AN27" s="306">
        <f>L14*$AN$15</f>
        <v/>
      </c>
      <c r="AO27" s="307">
        <f>M14*$AO$15</f>
        <v/>
      </c>
      <c r="AP27" s="234">
        <f>N14*$AP$15</f>
        <v/>
      </c>
      <c r="AQ27" s="234">
        <f>O14*$AQ$15</f>
        <v/>
      </c>
      <c r="AR27" s="308">
        <f>P14*$AR$15</f>
        <v/>
      </c>
      <c r="AS27" s="236">
        <f>SUM(AJ27:AR27)</f>
        <v/>
      </c>
    </row>
    <row r="28" ht="14.25" customHeight="1" s="175">
      <c r="A28" s="267" t="inlineStr">
        <is>
          <t>Maxine</t>
        </is>
      </c>
      <c r="B28" s="268" t="n">
        <v>2</v>
      </c>
      <c r="C28" s="269" t="inlineStr">
        <is>
          <t>Carter</t>
        </is>
      </c>
      <c r="D28" s="192" t="inlineStr">
        <is>
          <t>https://discord.com/channels/191975109500731392/1212839710439776287/1286019698692984945</t>
        </is>
      </c>
      <c r="E28" s="173" t="n">
        <v>0</v>
      </c>
      <c r="F28" s="207" t="n"/>
      <c r="G28" s="208" t="inlineStr">
        <is>
          <t>Carter</t>
        </is>
      </c>
      <c r="H28" s="209">
        <f>$H$3</f>
        <v/>
      </c>
      <c r="Q28" s="208" t="inlineStr">
        <is>
          <t>Carter</t>
        </is>
      </c>
      <c r="R28" s="209">
        <f>$K$3</f>
        <v/>
      </c>
      <c r="AI28" s="208" t="inlineStr">
        <is>
          <t>Reuben</t>
        </is>
      </c>
      <c r="AJ28" s="209">
        <f>H15*$AJ$15</f>
        <v/>
      </c>
      <c r="AK28" s="233">
        <f>I15*$AK$15</f>
        <v/>
      </c>
      <c r="AL28" s="234">
        <f>J15*$AL$15</f>
        <v/>
      </c>
      <c r="AM28" s="306">
        <f>K15*$AM$15</f>
        <v/>
      </c>
      <c r="AN28" s="306">
        <f>L15*$AN$15</f>
        <v/>
      </c>
      <c r="AO28" s="307">
        <f>M15*$AO$15</f>
        <v/>
      </c>
      <c r="AP28" s="234">
        <f>N15*$AP$15</f>
        <v/>
      </c>
      <c r="AQ28" s="234">
        <f>O15*$AQ$15</f>
        <v/>
      </c>
      <c r="AR28" s="308">
        <f>P15*$AR$15</f>
        <v/>
      </c>
      <c r="AS28" s="236">
        <f>SUM(AJ28:AR28)</f>
        <v/>
      </c>
    </row>
    <row r="29" ht="14.25" customHeight="1" s="175">
      <c r="A29" s="267" t="inlineStr">
        <is>
          <t>Sam</t>
        </is>
      </c>
      <c r="B29" s="268" t="n">
        <v>2</v>
      </c>
      <c r="C29" s="269" t="inlineStr">
        <is>
          <t>Ethan</t>
        </is>
      </c>
      <c r="D29" s="192" t="inlineStr">
        <is>
          <t>https://discord.com/channels/191975109500731392/1212839710439776287/1286038040904728618</t>
        </is>
      </c>
      <c r="E29" s="173" t="n"/>
      <c r="F29" s="192" t="n"/>
      <c r="G29" s="208" t="inlineStr">
        <is>
          <t>Sam</t>
        </is>
      </c>
      <c r="H29" s="209">
        <f>$H$10</f>
        <v/>
      </c>
      <c r="Q29" s="208" t="inlineStr">
        <is>
          <t>Sam</t>
        </is>
      </c>
      <c r="R29" s="209">
        <f>$K$10</f>
        <v/>
      </c>
    </row>
    <row r="30" ht="14.25" customHeight="1" s="175">
      <c r="A30" s="267" t="inlineStr">
        <is>
          <t>Maxine</t>
        </is>
      </c>
      <c r="B30" s="268" t="n">
        <v>2</v>
      </c>
      <c r="C30" s="269" t="inlineStr">
        <is>
          <t>Sam</t>
        </is>
      </c>
      <c r="D30" s="192" t="inlineStr">
        <is>
          <t>https://discord.com/channels/191975109500731392/1212839710439776287/1286039450220105821</t>
        </is>
      </c>
      <c r="E30" s="173" t="n"/>
      <c r="F30" s="207" t="n"/>
      <c r="G30" s="208" t="inlineStr">
        <is>
          <t>Maxine</t>
        </is>
      </c>
      <c r="H30" s="209">
        <f>$H$6</f>
        <v/>
      </c>
      <c r="Q30" s="208" t="inlineStr">
        <is>
          <t>Maxine</t>
        </is>
      </c>
      <c r="R30" s="209">
        <f>$K$6</f>
        <v/>
      </c>
    </row>
    <row r="31" ht="14.25" customHeight="1" s="175">
      <c r="A31" s="267" t="inlineStr">
        <is>
          <t>Maxine</t>
        </is>
      </c>
      <c r="B31" s="268" t="n">
        <v>2</v>
      </c>
      <c r="C31" s="269" t="inlineStr">
        <is>
          <t>Grady</t>
        </is>
      </c>
      <c r="D31" s="192" t="inlineStr">
        <is>
          <t>https://discord.com/channels/191975109500731392/1212839710439776287/1286039853137530903</t>
        </is>
      </c>
      <c r="E31" s="173" t="n"/>
      <c r="F31" s="207" t="n"/>
      <c r="G31" s="208" t="inlineStr">
        <is>
          <t>Evan</t>
        </is>
      </c>
      <c r="H31" s="209">
        <f>$H$8</f>
        <v/>
      </c>
      <c r="Q31" s="208" t="inlineStr">
        <is>
          <t>Evan</t>
        </is>
      </c>
      <c r="R31" s="209">
        <f>$K$8</f>
        <v/>
      </c>
    </row>
    <row r="32" ht="14.25" customHeight="1" s="175">
      <c r="A32" s="267" t="inlineStr">
        <is>
          <t>Grady</t>
        </is>
      </c>
      <c r="B32" s="268" t="n">
        <v>1</v>
      </c>
      <c r="C32" s="269" t="inlineStr">
        <is>
          <t>Maxine</t>
        </is>
      </c>
      <c r="D32" s="192" t="inlineStr">
        <is>
          <t>https://discord.com/channels/191975109500731392/1212839710439776287/1286040046176305285</t>
        </is>
      </c>
      <c r="E32" s="173" t="n"/>
      <c r="F32" s="207" t="n"/>
      <c r="G32" s="208" t="inlineStr">
        <is>
          <t>Peter</t>
        </is>
      </c>
      <c r="H32" s="209">
        <f>$H$13</f>
        <v/>
      </c>
      <c r="Q32" s="208" t="inlineStr">
        <is>
          <t>Peter</t>
        </is>
      </c>
      <c r="R32" s="209">
        <f>$K$13</f>
        <v/>
      </c>
      <c r="AI32" s="246" t="n"/>
      <c r="AJ32" s="246" t="n"/>
      <c r="AK32" s="246" t="n"/>
    </row>
    <row r="33" ht="14.25" customHeight="1" s="175">
      <c r="A33" s="267" t="inlineStr">
        <is>
          <t>Tyler</t>
        </is>
      </c>
      <c r="B33" s="268" t="n">
        <v>2</v>
      </c>
      <c r="C33" s="269" t="inlineStr">
        <is>
          <t>Sam</t>
        </is>
      </c>
      <c r="D33" s="192" t="inlineStr">
        <is>
          <t>https://discord.com/channels/191975109500731392/1212839710439776287/1286087979957223504</t>
        </is>
      </c>
      <c r="E33" s="173" t="n"/>
      <c r="F33" s="207" t="n"/>
      <c r="G33" s="208" t="inlineStr">
        <is>
          <t>Jon</t>
        </is>
      </c>
      <c r="H33" s="209">
        <f>$H$14</f>
        <v/>
      </c>
      <c r="Q33" s="208" t="inlineStr">
        <is>
          <t>Tyler</t>
        </is>
      </c>
      <c r="R33" s="209">
        <f>$K$9</f>
        <v/>
      </c>
      <c r="AI33" s="248" t="inlineStr">
        <is>
          <t>Person:</t>
        </is>
      </c>
      <c r="AJ33" s="249" t="inlineStr">
        <is>
          <t>Score</t>
        </is>
      </c>
      <c r="AK33" s="249" t="inlineStr">
        <is>
          <t>Adjusted</t>
        </is>
      </c>
      <c r="AL33" s="246" t="n"/>
    </row>
    <row r="34" ht="14.25" customHeight="1" s="175">
      <c r="A34" s="267" t="inlineStr">
        <is>
          <t>Sam</t>
        </is>
      </c>
      <c r="B34" s="268" t="n">
        <v>1</v>
      </c>
      <c r="C34" s="269" t="inlineStr">
        <is>
          <t>Tyler</t>
        </is>
      </c>
      <c r="D34" s="192" t="inlineStr">
        <is>
          <t>https://discord.com/channels/191975109500731392/1212839710439776287/1286087961284313158</t>
        </is>
      </c>
      <c r="E34" s="173" t="n"/>
      <c r="F34" s="207" t="n"/>
      <c r="G34" s="208" t="inlineStr">
        <is>
          <t>Grady</t>
        </is>
      </c>
      <c r="H34" s="209">
        <f>$H$4</f>
        <v/>
      </c>
      <c r="Q34" s="208" t="inlineStr">
        <is>
          <t>Jon</t>
        </is>
      </c>
      <c r="R34" s="209">
        <f>$K$14</f>
        <v/>
      </c>
      <c r="AI34" s="305" t="inlineStr">
        <is>
          <t>David</t>
        </is>
      </c>
      <c r="AJ34" s="236">
        <f>$AS$20</f>
        <v/>
      </c>
      <c r="AK34" s="251">
        <f>AJ34-$AJ$46</f>
        <v/>
      </c>
      <c r="AL34" s="173" t="n">
        <v>1</v>
      </c>
    </row>
    <row r="35" ht="14.25" customHeight="1" s="175">
      <c r="A35" s="267" t="inlineStr">
        <is>
          <t>Carter</t>
        </is>
      </c>
      <c r="B35" s="268" t="n">
        <v>1</v>
      </c>
      <c r="C35" s="269" t="inlineStr">
        <is>
          <t>David</t>
        </is>
      </c>
      <c r="D35" s="192" t="inlineStr">
        <is>
          <t>https://discord.com/channels/191975109500731392/1212839710439776287/1286360436786204756</t>
        </is>
      </c>
      <c r="E35" s="173" t="n"/>
      <c r="F35" s="192" t="n"/>
      <c r="G35" s="208" t="inlineStr">
        <is>
          <t>Tyler</t>
        </is>
      </c>
      <c r="H35" s="209">
        <f>$H$9</f>
        <v/>
      </c>
      <c r="Q35" s="208" t="inlineStr">
        <is>
          <t>Grady</t>
        </is>
      </c>
      <c r="R35" s="209">
        <f>$K$4</f>
        <v/>
      </c>
      <c r="AI35" s="208" t="inlineStr">
        <is>
          <t>Sam</t>
        </is>
      </c>
      <c r="AJ35" s="236">
        <f>$AS$23</f>
        <v/>
      </c>
      <c r="AK35" s="251">
        <f>AJ35-$AJ$46</f>
        <v/>
      </c>
      <c r="AL35" s="173" t="n">
        <v>2</v>
      </c>
    </row>
    <row r="36" ht="14.25" customHeight="1" s="175">
      <c r="A36" s="267" t="inlineStr">
        <is>
          <t>David</t>
        </is>
      </c>
      <c r="B36" s="268" t="n">
        <v>1</v>
      </c>
      <c r="C36" s="269" t="inlineStr">
        <is>
          <t>Carter</t>
        </is>
      </c>
      <c r="D36" s="192" t="inlineStr">
        <is>
          <t>https://discord.com/channels/191975109500731392/1212839710439776287/1286360481405206529</t>
        </is>
      </c>
      <c r="E36" s="173" t="n">
        <v>0</v>
      </c>
      <c r="F36" s="207" t="n"/>
      <c r="G36" s="208" t="inlineStr">
        <is>
          <t>Erick</t>
        </is>
      </c>
      <c r="H36" s="209">
        <f>$H$12</f>
        <v/>
      </c>
      <c r="Q36" s="208" t="inlineStr">
        <is>
          <t>Erick</t>
        </is>
      </c>
      <c r="R36" s="209">
        <f>$K$12</f>
        <v/>
      </c>
      <c r="AI36" s="208" t="inlineStr">
        <is>
          <t>Ethan</t>
        </is>
      </c>
      <c r="AJ36" s="236">
        <f>$AS$24</f>
        <v/>
      </c>
      <c r="AK36" s="251">
        <f>AJ36-$AJ$46</f>
        <v/>
      </c>
      <c r="AL36" s="173" t="n">
        <v>3</v>
      </c>
    </row>
    <row r="37" ht="14.25" customHeight="1" s="175">
      <c r="A37" s="267" t="inlineStr">
        <is>
          <t>Jon</t>
        </is>
      </c>
      <c r="B37" s="268" t="n">
        <v>2</v>
      </c>
      <c r="C37" s="269" t="inlineStr">
        <is>
          <t>Maxine</t>
        </is>
      </c>
      <c r="D37" s="192" t="inlineStr">
        <is>
          <t>https://discord.com/channels/191975109500731392/1212839710439776287/1286369624551719092</t>
        </is>
      </c>
      <c r="E37" s="173" t="n"/>
      <c r="F37" s="192" t="n"/>
      <c r="G37" s="208" t="inlineStr">
        <is>
          <t>Cooper</t>
        </is>
      </c>
      <c r="H37" s="209">
        <f>$H$5</f>
        <v/>
      </c>
      <c r="Q37" s="208" t="inlineStr">
        <is>
          <t>Cooper</t>
        </is>
      </c>
      <c r="R37" s="209">
        <f>$K$5</f>
        <v/>
      </c>
      <c r="AI37" s="208" t="inlineStr">
        <is>
          <t>Peter</t>
        </is>
      </c>
      <c r="AJ37" s="236">
        <f>$AS$26</f>
        <v/>
      </c>
      <c r="AK37" s="251">
        <f>AJ37-$AJ$46</f>
        <v/>
      </c>
      <c r="AL37" s="173" t="n">
        <v>4</v>
      </c>
    </row>
    <row r="38" ht="14.25" customHeight="1" s="175">
      <c r="A38" s="267" t="inlineStr">
        <is>
          <t>Maxine</t>
        </is>
      </c>
      <c r="B38" s="268" t="n">
        <v>1</v>
      </c>
      <c r="C38" s="269" t="inlineStr">
        <is>
          <t>Jon</t>
        </is>
      </c>
      <c r="D38" s="192" t="inlineStr">
        <is>
          <t>https://discord.com/channels/191975109500731392/1212839710439776287/1286369778591858699</t>
        </is>
      </c>
      <c r="E38" s="173" t="n"/>
      <c r="F38" s="207" t="n"/>
      <c r="G38" s="208" t="inlineStr">
        <is>
          <t>Reuben</t>
        </is>
      </c>
      <c r="H38" s="209">
        <f>$H$15</f>
        <v/>
      </c>
      <c r="Q38" s="208" t="inlineStr">
        <is>
          <t>Reuben</t>
        </is>
      </c>
      <c r="R38" s="209">
        <f>$K$15</f>
        <v/>
      </c>
      <c r="AI38" s="208" t="inlineStr">
        <is>
          <t>Maxine</t>
        </is>
      </c>
      <c r="AJ38" s="236">
        <f>$AS$19</f>
        <v/>
      </c>
      <c r="AK38" s="251">
        <f>AJ38-$AJ$46</f>
        <v/>
      </c>
      <c r="AL38" s="173" t="n">
        <v>5</v>
      </c>
    </row>
    <row r="39" ht="14.25" customHeight="1" s="175">
      <c r="A39" s="267" t="inlineStr">
        <is>
          <t>David</t>
        </is>
      </c>
      <c r="B39" s="268" t="n">
        <v>1</v>
      </c>
      <c r="C39" s="269" t="inlineStr">
        <is>
          <t>Maxine</t>
        </is>
      </c>
      <c r="D39" s="192" t="inlineStr">
        <is>
          <t>https://discord.com/channels/191975109500731392/1212839710439776287/1286375997989585087</t>
        </is>
      </c>
      <c r="E39" s="173" t="n"/>
      <c r="F39" s="207" t="n"/>
      <c r="AI39" s="208" t="inlineStr">
        <is>
          <t>Tyler</t>
        </is>
      </c>
      <c r="AJ39" s="236">
        <f>$AS$22</f>
        <v/>
      </c>
      <c r="AK39" s="251">
        <f>AJ39-$AJ$46</f>
        <v/>
      </c>
      <c r="AL39" s="173" t="n">
        <v>6</v>
      </c>
    </row>
    <row r="40" ht="14.25" customHeight="1" s="175">
      <c r="A40" s="267" t="inlineStr">
        <is>
          <t>Maxine</t>
        </is>
      </c>
      <c r="B40" s="268" t="n">
        <v>1</v>
      </c>
      <c r="C40" s="269" t="inlineStr">
        <is>
          <t>David</t>
        </is>
      </c>
      <c r="D40" s="192" t="inlineStr">
        <is>
          <t>https://discord.com/channels/191975109500731392/1212839710439776287/1286376008773140673</t>
        </is>
      </c>
      <c r="E40" s="173" t="n"/>
      <c r="F40" s="207" t="n"/>
      <c r="AI40" s="208" t="inlineStr">
        <is>
          <t>Jon</t>
        </is>
      </c>
      <c r="AJ40" s="236">
        <f>$AS$27</f>
        <v/>
      </c>
      <c r="AK40" s="251">
        <f>AJ40-$AJ$46</f>
        <v/>
      </c>
      <c r="AL40" s="173" t="n">
        <v>7</v>
      </c>
    </row>
    <row r="41" ht="14.25" customHeight="1" s="175">
      <c r="A41" s="267" t="inlineStr">
        <is>
          <t>Ethan</t>
        </is>
      </c>
      <c r="B41" s="268" t="n">
        <v>2</v>
      </c>
      <c r="C41" s="269" t="inlineStr">
        <is>
          <t>Evan</t>
        </is>
      </c>
      <c r="D41" s="192" t="inlineStr">
        <is>
          <t>https://discord.com/channels/191975109500731392/1212839710439776287/1286458632640401428</t>
        </is>
      </c>
      <c r="E41" s="173" t="n"/>
      <c r="F41" s="192" t="n"/>
      <c r="G41" s="208" t="inlineStr">
        <is>
          <t>Person:</t>
        </is>
      </c>
      <c r="H41" s="216" t="inlineStr">
        <is>
          <t>Deaths</t>
        </is>
      </c>
      <c r="Q41" s="208" t="inlineStr">
        <is>
          <t>Person:</t>
        </is>
      </c>
      <c r="R41" s="216" t="inlineStr">
        <is>
          <t>Death Points</t>
        </is>
      </c>
      <c r="AI41" s="208" t="inlineStr">
        <is>
          <t>Evan</t>
        </is>
      </c>
      <c r="AJ41" s="236">
        <f>$AS$21</f>
        <v/>
      </c>
      <c r="AK41" s="251">
        <f>AJ41-$AJ$46</f>
        <v/>
      </c>
      <c r="AL41" s="173" t="n">
        <v>8</v>
      </c>
    </row>
    <row r="42" ht="14.25" customHeight="1" s="175">
      <c r="A42" s="267" t="inlineStr">
        <is>
          <t>Ethan</t>
        </is>
      </c>
      <c r="B42" s="268" t="n">
        <v>1</v>
      </c>
      <c r="C42" s="269" t="inlineStr">
        <is>
          <t>Carter</t>
        </is>
      </c>
      <c r="D42" s="192" t="inlineStr">
        <is>
          <t>https://discord.com/channels/191975109500731392/1212839710439776287/1286512963582169110</t>
        </is>
      </c>
      <c r="E42" s="173" t="n">
        <v>0</v>
      </c>
      <c r="F42" s="207" t="n"/>
      <c r="G42" s="208" t="inlineStr">
        <is>
          <t>Carter</t>
        </is>
      </c>
      <c r="H42" s="209">
        <f>$I$3</f>
        <v/>
      </c>
      <c r="Q42" s="208" t="inlineStr">
        <is>
          <t>Reuben</t>
        </is>
      </c>
      <c r="R42" s="209">
        <f>$L$15</f>
        <v/>
      </c>
      <c r="AI42" s="208" t="inlineStr">
        <is>
          <t>Erick</t>
        </is>
      </c>
      <c r="AJ42" s="236">
        <f>$AS$25</f>
        <v/>
      </c>
      <c r="AK42" s="251">
        <f>AJ42-$AJ$46</f>
        <v/>
      </c>
      <c r="AL42" s="173" t="n">
        <v>9</v>
      </c>
    </row>
    <row r="43" ht="14.25" customHeight="1" s="175">
      <c r="A43" s="267" t="inlineStr">
        <is>
          <t>Carter</t>
        </is>
      </c>
      <c r="B43" s="268" t="n">
        <v>1</v>
      </c>
      <c r="C43" s="269" t="inlineStr">
        <is>
          <t>Ethan</t>
        </is>
      </c>
      <c r="D43" s="192" t="inlineStr">
        <is>
          <t>https://discord.com/channels/191975109500731392/1212839710439776287/1286513081358221424</t>
        </is>
      </c>
      <c r="E43" s="173" t="n"/>
      <c r="F43" s="207" t="n"/>
      <c r="G43" s="208" t="inlineStr">
        <is>
          <t>Reuben</t>
        </is>
      </c>
      <c r="H43" s="209">
        <f>$I$15</f>
        <v/>
      </c>
      <c r="Q43" s="208" t="inlineStr">
        <is>
          <t>Carter</t>
        </is>
      </c>
      <c r="R43" s="209">
        <f>$L$3</f>
        <v/>
      </c>
      <c r="AI43" s="208" t="inlineStr">
        <is>
          <t>Carter</t>
        </is>
      </c>
      <c r="AJ43" s="236">
        <f>$AS$16</f>
        <v/>
      </c>
      <c r="AK43" s="251">
        <f>AJ43-$AJ$46</f>
        <v/>
      </c>
      <c r="AL43" s="173" t="n">
        <v>10</v>
      </c>
    </row>
    <row r="44" ht="14.25" customHeight="1" s="175">
      <c r="A44" s="267" t="inlineStr">
        <is>
          <t>Tyler</t>
        </is>
      </c>
      <c r="B44" s="268" t="n">
        <v>2</v>
      </c>
      <c r="C44" s="269" t="inlineStr">
        <is>
          <t>Reuben</t>
        </is>
      </c>
      <c r="D44" s="192" t="inlineStr">
        <is>
          <t>https://discord.com/channels/191975109500731392/1212839710439776287/1286748816795635712</t>
        </is>
      </c>
      <c r="E44" s="173" t="n"/>
      <c r="F44" s="207" t="n"/>
      <c r="G44" s="208" t="inlineStr">
        <is>
          <t>David</t>
        </is>
      </c>
      <c r="H44" s="209">
        <f>$I$7</f>
        <v/>
      </c>
      <c r="Q44" s="208" t="inlineStr">
        <is>
          <t>Evan</t>
        </is>
      </c>
      <c r="R44" s="209">
        <f>$L$8</f>
        <v/>
      </c>
      <c r="AI44" s="208" t="inlineStr">
        <is>
          <t>Cooper</t>
        </is>
      </c>
      <c r="AJ44" s="236">
        <f>$AS$18</f>
        <v/>
      </c>
      <c r="AK44" s="251">
        <f>AJ44-$AJ$46</f>
        <v/>
      </c>
      <c r="AL44" s="173" t="n">
        <v>11</v>
      </c>
    </row>
    <row r="45" ht="14.25" customHeight="1" s="175">
      <c r="A45" s="267" t="inlineStr">
        <is>
          <t>Ethan</t>
        </is>
      </c>
      <c r="B45" s="268" t="n">
        <v>1</v>
      </c>
      <c r="C45" s="269" t="inlineStr">
        <is>
          <t>Jon</t>
        </is>
      </c>
      <c r="D45" s="192" t="inlineStr">
        <is>
          <t>https://discord.com/channels/191975109500731392/1212839710439776287/1286816065132822539</t>
        </is>
      </c>
      <c r="E45" s="173" t="n"/>
      <c r="F45" s="192" t="n"/>
      <c r="G45" s="208" t="inlineStr">
        <is>
          <t>Evan</t>
        </is>
      </c>
      <c r="H45" s="209">
        <f>$I$8</f>
        <v/>
      </c>
      <c r="Q45" s="208" t="inlineStr">
        <is>
          <t>Grady</t>
        </is>
      </c>
      <c r="R45" s="209">
        <f>$L$4</f>
        <v/>
      </c>
      <c r="AI45" s="208" t="inlineStr">
        <is>
          <t>Grady</t>
        </is>
      </c>
      <c r="AJ45" s="236">
        <f>$AS$17</f>
        <v/>
      </c>
      <c r="AK45" s="251">
        <f>AJ45-$AJ$46</f>
        <v/>
      </c>
      <c r="AL45" s="173" t="n">
        <v>12</v>
      </c>
    </row>
    <row r="46" ht="14.25" customHeight="1" s="175">
      <c r="A46" s="267" t="inlineStr">
        <is>
          <t>Grady</t>
        </is>
      </c>
      <c r="B46" s="268" t="n">
        <v>2</v>
      </c>
      <c r="C46" s="269" t="inlineStr">
        <is>
          <t>Jon</t>
        </is>
      </c>
      <c r="D46" s="192" t="inlineStr">
        <is>
          <t>https://discord.com/channels/191975109500731392/1212839710439776287/1286829992050954261</t>
        </is>
      </c>
      <c r="E46" s="173" t="n"/>
      <c r="F46" s="207" t="n"/>
      <c r="G46" s="208" t="inlineStr">
        <is>
          <t>Ethan</t>
        </is>
      </c>
      <c r="H46" s="209">
        <f>$I$11</f>
        <v/>
      </c>
      <c r="Q46" s="208" t="inlineStr">
        <is>
          <t>Ethan</t>
        </is>
      </c>
      <c r="R46" s="209">
        <f>$L$11</f>
        <v/>
      </c>
      <c r="AI46" s="208" t="inlineStr">
        <is>
          <t>Reuben</t>
        </is>
      </c>
      <c r="AJ46" s="236">
        <f>$AS$28</f>
        <v/>
      </c>
      <c r="AK46" s="251">
        <f>AJ46-$AJ$46</f>
        <v/>
      </c>
      <c r="AL46" s="173" t="n">
        <v>13</v>
      </c>
    </row>
    <row r="47" ht="14.25" customHeight="1" s="175">
      <c r="A47" s="267" t="inlineStr">
        <is>
          <t>Carter</t>
        </is>
      </c>
      <c r="B47" s="268" t="n">
        <v>2</v>
      </c>
      <c r="C47" s="269" t="inlineStr">
        <is>
          <t>Jon</t>
        </is>
      </c>
      <c r="D47" s="192" t="inlineStr">
        <is>
          <t>https://discord.com/channels/191975109500731392/1212839710439776287/1286829996564021268</t>
        </is>
      </c>
      <c r="E47" s="173" t="n"/>
      <c r="F47" s="207" t="n"/>
      <c r="G47" s="208" t="inlineStr">
        <is>
          <t>Grady</t>
        </is>
      </c>
      <c r="H47" s="209">
        <f>$I$4</f>
        <v/>
      </c>
      <c r="Q47" s="208" t="inlineStr">
        <is>
          <t>David</t>
        </is>
      </c>
      <c r="R47" s="209">
        <f>$L$7</f>
        <v/>
      </c>
      <c r="AI47" s="246" t="n"/>
      <c r="AJ47" s="246" t="n"/>
      <c r="AK47" s="246" t="n"/>
    </row>
    <row r="48" ht="14.25" customHeight="1" s="175">
      <c r="A48" s="267" t="inlineStr">
        <is>
          <t>Carter</t>
        </is>
      </c>
      <c r="B48" s="268" t="n">
        <v>2</v>
      </c>
      <c r="C48" s="269" t="inlineStr">
        <is>
          <t>Reuben</t>
        </is>
      </c>
      <c r="D48" s="192" t="inlineStr">
        <is>
          <t>https://discord.com/channels/191975109500731392/1212839710439776287/1287551613078081668</t>
        </is>
      </c>
      <c r="E48" s="173" t="n"/>
      <c r="F48" s="207" t="n"/>
      <c r="G48" s="208" t="inlineStr">
        <is>
          <t>Maxine</t>
        </is>
      </c>
      <c r="H48" s="209">
        <f>$I$6</f>
        <v/>
      </c>
      <c r="Q48" s="208" t="inlineStr">
        <is>
          <t>Maxine</t>
        </is>
      </c>
      <c r="R48" s="209">
        <f>$L$6</f>
        <v/>
      </c>
      <c r="AI48" s="246" t="n"/>
      <c r="AJ48" s="246" t="n"/>
      <c r="AK48" s="246" t="n"/>
    </row>
    <row r="49" ht="14.25" customHeight="1" s="175">
      <c r="A49" s="267" t="inlineStr">
        <is>
          <t>Sam</t>
        </is>
      </c>
      <c r="B49" s="268" t="n">
        <v>2</v>
      </c>
      <c r="C49" s="269" t="inlineStr">
        <is>
          <t>Peter</t>
        </is>
      </c>
      <c r="D49" s="192" t="inlineStr">
        <is>
          <t>https://discord.com/channels/191975109500731392/1212839710439776287/1287791850396192769</t>
        </is>
      </c>
      <c r="E49" s="173" t="n"/>
      <c r="F49" s="207" t="n"/>
      <c r="G49" s="208" t="inlineStr">
        <is>
          <t>Jon</t>
        </is>
      </c>
      <c r="H49" s="209">
        <f>$I$14</f>
        <v/>
      </c>
      <c r="Q49" s="208" t="inlineStr">
        <is>
          <t>Peter</t>
        </is>
      </c>
      <c r="R49" s="209">
        <f>$L$13</f>
        <v/>
      </c>
      <c r="AI49" s="246" t="n"/>
      <c r="AJ49" s="246" t="n"/>
      <c r="AK49" s="246" t="n"/>
    </row>
    <row r="50" ht="14.25" customHeight="1" s="175">
      <c r="A50" s="267" t="inlineStr">
        <is>
          <t>Jon</t>
        </is>
      </c>
      <c r="B50" s="268" t="n">
        <v>2</v>
      </c>
      <c r="C50" s="269" t="inlineStr">
        <is>
          <t>Reuben</t>
        </is>
      </c>
      <c r="D50" s="192" t="inlineStr">
        <is>
          <t>https://discord.com/channels/191975109500731392/1212839710439776287/1287827532657332368</t>
        </is>
      </c>
      <c r="E50" s="173" t="n"/>
      <c r="F50" s="207" t="n"/>
      <c r="G50" s="208" t="inlineStr">
        <is>
          <t>Peter</t>
        </is>
      </c>
      <c r="H50" s="209">
        <f>$I$13</f>
        <v/>
      </c>
      <c r="Q50" s="208" t="inlineStr">
        <is>
          <t>Jon</t>
        </is>
      </c>
      <c r="R50" s="209">
        <f>$L$14</f>
        <v/>
      </c>
      <c r="AI50" s="246" t="n"/>
      <c r="AJ50" s="246" t="n"/>
      <c r="AK50" s="246" t="n"/>
    </row>
    <row r="51" ht="14.25" customHeight="1" s="175">
      <c r="A51" s="267" t="inlineStr">
        <is>
          <t>Evan</t>
        </is>
      </c>
      <c r="B51" s="268" t="n">
        <v>2</v>
      </c>
      <c r="C51" s="269" t="inlineStr">
        <is>
          <t>Reuben</t>
        </is>
      </c>
      <c r="D51" s="192" t="inlineStr">
        <is>
          <t>https://discord.com/channels/191975109500731392/1212839710439776287/1287868910284046369</t>
        </is>
      </c>
      <c r="E51" s="173" t="n"/>
      <c r="F51" s="207" t="n"/>
      <c r="G51" s="208" t="inlineStr">
        <is>
          <t>Sam</t>
        </is>
      </c>
      <c r="H51" s="209">
        <f>$I$10</f>
        <v/>
      </c>
      <c r="Q51" s="208" t="inlineStr">
        <is>
          <t>Sam</t>
        </is>
      </c>
      <c r="R51" s="209">
        <f>$L$10</f>
        <v/>
      </c>
      <c r="AI51" s="179" t="inlineStr">
        <is>
          <t>Overall Part Winner Chart Decision Matrix</t>
        </is>
      </c>
      <c r="AJ51" s="180" t="n"/>
      <c r="AK51" s="180" t="n"/>
      <c r="AL51" s="180" t="n"/>
      <c r="AM51" s="180" t="n"/>
      <c r="AN51" s="180" t="n"/>
      <c r="AO51" s="180" t="n"/>
      <c r="AP51" s="180" t="n"/>
      <c r="AQ51" s="181" t="n"/>
    </row>
    <row r="52" ht="14.25" customHeight="1" s="175">
      <c r="A52" s="267" t="inlineStr">
        <is>
          <t>David</t>
        </is>
      </c>
      <c r="B52" s="268" t="n">
        <v>2</v>
      </c>
      <c r="C52" s="269" t="inlineStr">
        <is>
          <t>Carter</t>
        </is>
      </c>
      <c r="D52" s="192" t="inlineStr">
        <is>
          <t>https://discord.com/channels/191975109500731392/1212839710439776287/1288178959791427708</t>
        </is>
      </c>
      <c r="E52" s="173" t="n">
        <v>0</v>
      </c>
      <c r="F52" s="207" t="n"/>
      <c r="G52" s="208" t="inlineStr">
        <is>
          <t>Erick</t>
        </is>
      </c>
      <c r="H52" s="209">
        <f>$I$12</f>
        <v/>
      </c>
      <c r="Q52" s="208" t="inlineStr">
        <is>
          <t>Erick</t>
        </is>
      </c>
      <c r="R52" s="209">
        <f>$L$12</f>
        <v/>
      </c>
      <c r="AI52" s="252" t="inlineStr">
        <is>
          <t>MATRIX</t>
        </is>
      </c>
      <c r="AJ52" s="253" t="inlineStr">
        <is>
          <t>Kills</t>
        </is>
      </c>
      <c r="AK52" s="253" t="inlineStr">
        <is>
          <t>Deaths</t>
        </is>
      </c>
      <c r="AL52" s="253" t="inlineStr">
        <is>
          <t>KDR</t>
        </is>
      </c>
      <c r="AM52" s="253" t="inlineStr">
        <is>
          <t>Kill Points</t>
        </is>
      </c>
      <c r="AN52" s="253" t="inlineStr">
        <is>
          <t>Death Points</t>
        </is>
      </c>
      <c r="AO52" s="253" t="inlineStr">
        <is>
          <t>KpDpR</t>
        </is>
      </c>
      <c r="AP52" s="253" t="inlineStr">
        <is>
          <t>KPts/Kill</t>
        </is>
      </c>
      <c r="AQ52" s="253" t="inlineStr">
        <is>
          <t>DPts/Death</t>
        </is>
      </c>
    </row>
    <row r="53" ht="14.25" customHeight="1" s="175">
      <c r="A53" s="267" t="inlineStr">
        <is>
          <t>Grady</t>
        </is>
      </c>
      <c r="B53" s="268" t="n">
        <v>2</v>
      </c>
      <c r="C53" s="269" t="inlineStr">
        <is>
          <t>Reuben</t>
        </is>
      </c>
      <c r="D53" s="192" t="inlineStr">
        <is>
          <t>https://discord.com/channels/191975109500731392/1212839710439776287/1288262622797500511</t>
        </is>
      </c>
      <c r="E53" s="173" t="n"/>
      <c r="F53" s="207" t="n"/>
      <c r="G53" s="208" t="inlineStr">
        <is>
          <t>Tyler</t>
        </is>
      </c>
      <c r="H53" s="209">
        <f>$I$9</f>
        <v/>
      </c>
      <c r="Q53" s="208" t="inlineStr">
        <is>
          <t>Tyler</t>
        </is>
      </c>
      <c r="R53" s="209">
        <f>$L$9</f>
        <v/>
      </c>
      <c r="AI53" s="208" t="inlineStr">
        <is>
          <t>Weight:</t>
        </is>
      </c>
      <c r="AJ53" s="229" t="n">
        <v>7.5</v>
      </c>
      <c r="AK53" s="230" t="n">
        <v>-6</v>
      </c>
      <c r="AL53" s="230" t="n">
        <v>25</v>
      </c>
      <c r="AM53" s="230" t="n">
        <v>8.5</v>
      </c>
      <c r="AN53" s="230" t="n">
        <v>-6.5</v>
      </c>
      <c r="AO53" s="230" t="n">
        <v>25</v>
      </c>
      <c r="AP53" s="230" t="n">
        <v>20</v>
      </c>
      <c r="AQ53" s="230" t="n">
        <v>-20</v>
      </c>
      <c r="AR53" s="216" t="inlineStr">
        <is>
          <t>Totals:</t>
        </is>
      </c>
    </row>
    <row r="54" ht="14.25" customHeight="1" s="175">
      <c r="A54" s="267" t="inlineStr">
        <is>
          <t>David</t>
        </is>
      </c>
      <c r="B54" s="268" t="n">
        <v>2</v>
      </c>
      <c r="C54" s="269" t="inlineStr">
        <is>
          <t>Reuben</t>
        </is>
      </c>
      <c r="D54" s="192" t="inlineStr">
        <is>
          <t>https://discord.com/channels/191975109500731392/1212839710439776287/1288262934421835819</t>
        </is>
      </c>
      <c r="E54" s="173" t="n"/>
      <c r="F54" s="207" t="n"/>
      <c r="G54" s="208" t="inlineStr">
        <is>
          <t>Cooper</t>
        </is>
      </c>
      <c r="H54" s="209">
        <f>$I$5</f>
        <v/>
      </c>
      <c r="Q54" s="208" t="inlineStr">
        <is>
          <t>Cooper</t>
        </is>
      </c>
      <c r="R54" s="209">
        <f>$L$5</f>
        <v/>
      </c>
      <c r="AI54" s="226" t="inlineStr">
        <is>
          <t>Tenors</t>
        </is>
      </c>
      <c r="AJ54" s="210">
        <f>H19*$AJ$53</f>
        <v/>
      </c>
      <c r="AK54" s="210">
        <f>I19*$AK$53</f>
        <v/>
      </c>
      <c r="AL54" s="210">
        <f>J19*$AL$53</f>
        <v/>
      </c>
      <c r="AM54" s="210">
        <f>K19*$AM$53</f>
        <v/>
      </c>
      <c r="AN54" s="210">
        <f>L19*$AN$53</f>
        <v/>
      </c>
      <c r="AO54" s="210">
        <f>M19*$AO$53</f>
        <v/>
      </c>
      <c r="AP54" s="210">
        <f>N19*$AP$53</f>
        <v/>
      </c>
      <c r="AQ54" s="210">
        <f>O19*$AQ$53</f>
        <v/>
      </c>
      <c r="AR54" s="210">
        <f>SUM(AJ54:AQ54)</f>
        <v/>
      </c>
    </row>
    <row r="55" ht="14.25" customHeight="1" s="175">
      <c r="A55" s="267" t="inlineStr">
        <is>
          <t>David</t>
        </is>
      </c>
      <c r="B55" s="268" t="n">
        <v>2</v>
      </c>
      <c r="C55" s="269" t="inlineStr">
        <is>
          <t>Reuben</t>
        </is>
      </c>
      <c r="D55" s="192" t="inlineStr">
        <is>
          <t>https://discord.com/channels/191975109500731392/1212839710439776287/1288263870020063262</t>
        </is>
      </c>
      <c r="E55" s="173" t="n"/>
      <c r="F55" s="207" t="n"/>
      <c r="AI55" s="208" t="inlineStr">
        <is>
          <t>Leads</t>
        </is>
      </c>
      <c r="AJ55" s="210">
        <f>H20*$AJ$53</f>
        <v/>
      </c>
      <c r="AK55" s="210">
        <f>I20*$AK$53</f>
        <v/>
      </c>
      <c r="AL55" s="210">
        <f>J20*$AL$53</f>
        <v/>
      </c>
      <c r="AM55" s="210">
        <f>K20*$AM$53</f>
        <v/>
      </c>
      <c r="AN55" s="210">
        <f>L20*$AN$53</f>
        <v/>
      </c>
      <c r="AO55" s="210">
        <f>M20*$AO$53</f>
        <v/>
      </c>
      <c r="AP55" s="210">
        <f>N20*$AP$53</f>
        <v/>
      </c>
      <c r="AQ55" s="210">
        <f>O20*$AQ$53</f>
        <v/>
      </c>
      <c r="AR55" s="210">
        <f>SUM(AJ55:AQ55)</f>
        <v/>
      </c>
    </row>
    <row r="56" ht="14.25" customHeight="1" s="175">
      <c r="A56" s="267" t="inlineStr">
        <is>
          <t>Sam</t>
        </is>
      </c>
      <c r="B56" s="268" t="n">
        <v>2</v>
      </c>
      <c r="C56" s="269" t="inlineStr">
        <is>
          <t>Peter</t>
        </is>
      </c>
      <c r="D56" s="192" t="inlineStr">
        <is>
          <t>https://discord.com/channels/191975109500731392/1212839710439776287/1288508953801785436</t>
        </is>
      </c>
      <c r="E56" s="173" t="n"/>
      <c r="F56" s="207" t="n"/>
      <c r="AI56" s="208" t="inlineStr">
        <is>
          <t>Baris</t>
        </is>
      </c>
      <c r="AJ56" s="210">
        <f>H21*$AJ$53</f>
        <v/>
      </c>
      <c r="AK56" s="210">
        <f>I21*$AK$53</f>
        <v/>
      </c>
      <c r="AL56" s="210">
        <f>J21*$AL$53</f>
        <v/>
      </c>
      <c r="AM56" s="210">
        <f>K21*$AM$53</f>
        <v/>
      </c>
      <c r="AN56" s="210">
        <f>L21*$AN$53</f>
        <v/>
      </c>
      <c r="AO56" s="210">
        <f>M21*$AO$53</f>
        <v/>
      </c>
      <c r="AP56" s="210">
        <f>N21*$AP$53</f>
        <v/>
      </c>
      <c r="AQ56" s="210">
        <f>O21*$AQ$53</f>
        <v/>
      </c>
      <c r="AR56" s="210">
        <f>SUM(AJ56:AQ56)</f>
        <v/>
      </c>
    </row>
    <row r="57" ht="14.25" customHeight="1" s="175">
      <c r="A57" s="267" t="inlineStr">
        <is>
          <t>Tyler</t>
        </is>
      </c>
      <c r="B57" s="268" t="n">
        <v>2</v>
      </c>
      <c r="C57" s="269" t="inlineStr">
        <is>
          <t>Peter</t>
        </is>
      </c>
      <c r="D57" s="192" t="inlineStr">
        <is>
          <t>https://discord.com/channels/191975109500731392/1212839710439776287/1288525464402399256</t>
        </is>
      </c>
      <c r="E57" s="173" t="n"/>
      <c r="F57" s="207" t="n"/>
      <c r="G57" s="208" t="inlineStr">
        <is>
          <t>Person:</t>
        </is>
      </c>
      <c r="H57" s="216" t="inlineStr">
        <is>
          <t>KDR</t>
        </is>
      </c>
      <c r="Q57" s="208" t="inlineStr">
        <is>
          <t>Person:</t>
        </is>
      </c>
      <c r="R57" s="216" t="inlineStr">
        <is>
          <t>KpDpR</t>
        </is>
      </c>
      <c r="AI57" s="208" t="inlineStr">
        <is>
          <t>Basses</t>
        </is>
      </c>
      <c r="AJ57" s="210">
        <f>H22*$AJ$53</f>
        <v/>
      </c>
      <c r="AK57" s="210">
        <f>I22*$AK$53</f>
        <v/>
      </c>
      <c r="AL57" s="210">
        <f>J22*$AL$53</f>
        <v/>
      </c>
      <c r="AM57" s="210">
        <f>K22*$AM$53</f>
        <v/>
      </c>
      <c r="AN57" s="210">
        <f>L22*$AN$53</f>
        <v/>
      </c>
      <c r="AO57" s="210">
        <f>M22*$AO$53</f>
        <v/>
      </c>
      <c r="AP57" s="210">
        <f>N22*$AP$53</f>
        <v/>
      </c>
      <c r="AQ57" s="210">
        <f>O22*$AQ$53</f>
        <v/>
      </c>
      <c r="AR57" s="210">
        <f>SUM(AJ57:AQ57)</f>
        <v/>
      </c>
    </row>
    <row r="58" ht="14.25" customHeight="1" s="175">
      <c r="A58" s="267" t="inlineStr">
        <is>
          <t>Peter</t>
        </is>
      </c>
      <c r="B58" s="268" t="n">
        <v>1</v>
      </c>
      <c r="C58" s="269" t="inlineStr">
        <is>
          <t>Tyler</t>
        </is>
      </c>
      <c r="D58" s="192" t="inlineStr">
        <is>
          <t>https://discord.com/channels/191975109500731392/1212839710439776287/1288525756883931137</t>
        </is>
      </c>
      <c r="E58" s="173" t="n"/>
      <c r="F58" s="207" t="n"/>
      <c r="G58" s="208" t="inlineStr">
        <is>
          <t>Sam</t>
        </is>
      </c>
      <c r="H58" s="210">
        <f>$J$10</f>
        <v/>
      </c>
      <c r="Q58" s="208" t="inlineStr">
        <is>
          <t>Sam</t>
        </is>
      </c>
      <c r="R58" s="210">
        <f>$M$10</f>
        <v/>
      </c>
      <c r="AI58" s="247" t="inlineStr">
        <is>
          <t>Basses (No Reuben)</t>
        </is>
      </c>
      <c r="AJ58" s="210">
        <f>H23*$AJ$53</f>
        <v/>
      </c>
      <c r="AK58" s="210">
        <f>I23*$AK$53</f>
        <v/>
      </c>
      <c r="AL58" s="210">
        <f>J23*$AL$53</f>
        <v/>
      </c>
      <c r="AM58" s="210">
        <f>K23*$AM$53</f>
        <v/>
      </c>
      <c r="AN58" s="210">
        <f>L23*$AN$53</f>
        <v/>
      </c>
      <c r="AO58" s="210">
        <f>M23*$AO$53</f>
        <v/>
      </c>
      <c r="AP58" s="210">
        <f>N23*$AP$53</f>
        <v/>
      </c>
      <c r="AQ58" s="210">
        <f>O23*$AQ$53</f>
        <v/>
      </c>
      <c r="AR58" s="210">
        <f>SUM(AJ58:AQ58)</f>
        <v/>
      </c>
    </row>
    <row r="59" ht="14.25" customHeight="1" s="175">
      <c r="A59" s="267" t="inlineStr">
        <is>
          <t>Tyler</t>
        </is>
      </c>
      <c r="B59" s="268" t="n">
        <v>2</v>
      </c>
      <c r="C59" s="269" t="inlineStr">
        <is>
          <t>Reuben</t>
        </is>
      </c>
      <c r="D59" s="192" t="inlineStr">
        <is>
          <t>https://discord.com/channels/191975109500731392/1212839710439776287/1288546245672960061</t>
        </is>
      </c>
      <c r="E59" s="173" t="n"/>
      <c r="F59" s="207" t="n"/>
      <c r="G59" s="208" t="inlineStr">
        <is>
          <t>Peter</t>
        </is>
      </c>
      <c r="H59" s="210">
        <f>$J$13</f>
        <v/>
      </c>
      <c r="Q59" s="208" t="inlineStr">
        <is>
          <t>David</t>
        </is>
      </c>
      <c r="R59" s="210">
        <f>$M$7</f>
        <v/>
      </c>
    </row>
    <row r="60" ht="14.25" customHeight="1" s="175">
      <c r="A60" s="267" t="inlineStr">
        <is>
          <t>Tyler</t>
        </is>
      </c>
      <c r="B60" s="268" t="n">
        <v>2</v>
      </c>
      <c r="C60" s="269" t="inlineStr">
        <is>
          <t>Evan</t>
        </is>
      </c>
      <c r="D60" s="192" t="inlineStr">
        <is>
          <t>https://discord.com/channels/191975109500731392/1212839710439776287/1288547123046121483</t>
        </is>
      </c>
      <c r="E60" s="173" t="n"/>
      <c r="F60" s="207" t="n"/>
      <c r="G60" s="208" t="inlineStr">
        <is>
          <t>David</t>
        </is>
      </c>
      <c r="H60" s="210">
        <f>$J$7</f>
        <v/>
      </c>
      <c r="Q60" s="208" t="inlineStr">
        <is>
          <t>Peter</t>
        </is>
      </c>
      <c r="R60" s="210">
        <f>$M$13</f>
        <v/>
      </c>
      <c r="AI60" s="248" t="inlineStr">
        <is>
          <t>Part</t>
        </is>
      </c>
      <c r="AJ60" s="249" t="inlineStr">
        <is>
          <t>Score</t>
        </is>
      </c>
      <c r="AK60" s="249" t="inlineStr">
        <is>
          <t>Adjusted</t>
        </is>
      </c>
    </row>
    <row r="61" ht="14.25" customHeight="1" s="175">
      <c r="A61" s="267" t="inlineStr">
        <is>
          <t>David</t>
        </is>
      </c>
      <c r="B61" s="268" t="n">
        <v>1</v>
      </c>
      <c r="C61" s="269" t="inlineStr">
        <is>
          <t>Peter</t>
        </is>
      </c>
      <c r="D61" s="192" t="inlineStr">
        <is>
          <t>https://discord.com/channels/191975109500731392/1212839710439776287/1288560810326757439</t>
        </is>
      </c>
      <c r="E61" s="173" t="n"/>
      <c r="F61" s="192" t="n"/>
      <c r="G61" s="208" t="inlineStr">
        <is>
          <t>Ethan</t>
        </is>
      </c>
      <c r="H61" s="210">
        <f>$J$11</f>
        <v/>
      </c>
      <c r="Q61" s="208" t="inlineStr">
        <is>
          <t>Tyler</t>
        </is>
      </c>
      <c r="R61" s="210">
        <f>$M$9</f>
        <v/>
      </c>
      <c r="AI61" s="226" t="inlineStr">
        <is>
          <t>Baris</t>
        </is>
      </c>
      <c r="AJ61" s="251">
        <f>$AR$56</f>
        <v/>
      </c>
      <c r="AK61" s="251">
        <f>AJ61-($AJ$65)</f>
        <v/>
      </c>
    </row>
    <row r="62" ht="14.25" customHeight="1" s="175">
      <c r="A62" s="267" t="inlineStr">
        <is>
          <t>Peter</t>
        </is>
      </c>
      <c r="B62" s="268" t="n">
        <v>1</v>
      </c>
      <c r="C62" s="269" t="inlineStr">
        <is>
          <t>David</t>
        </is>
      </c>
      <c r="D62" s="192" t="inlineStr">
        <is>
          <t>https://discord.com/channels/191975109500731392/1212839710439776287/1288561026769358868</t>
        </is>
      </c>
      <c r="E62" s="173" t="n"/>
      <c r="F62" s="207" t="n"/>
      <c r="G62" s="208" t="inlineStr">
        <is>
          <t>Tyler</t>
        </is>
      </c>
      <c r="H62" s="210">
        <f>$J$9</f>
        <v/>
      </c>
      <c r="Q62" s="208" t="inlineStr">
        <is>
          <t>Ethan</t>
        </is>
      </c>
      <c r="R62" s="210">
        <f>$M$11</f>
        <v/>
      </c>
      <c r="AI62" s="208" t="inlineStr">
        <is>
          <t>Leads</t>
        </is>
      </c>
      <c r="AJ62" s="251">
        <f>$AR$55</f>
        <v/>
      </c>
      <c r="AK62" s="251">
        <f>AJ62-($AJ$65)</f>
        <v/>
      </c>
    </row>
    <row r="63" ht="14.25" customHeight="1" s="175">
      <c r="A63" s="267" t="inlineStr">
        <is>
          <t>Sam</t>
        </is>
      </c>
      <c r="B63" s="268" t="n">
        <v>2</v>
      </c>
      <c r="C63" s="269" t="inlineStr">
        <is>
          <t>Reuben</t>
        </is>
      </c>
      <c r="D63" s="192" t="inlineStr">
        <is>
          <t>https://discord.com/channels/191975109500731392/1212839710439776287/1288571888972464209</t>
        </is>
      </c>
      <c r="E63" s="173" t="n"/>
      <c r="F63" s="207" t="n"/>
      <c r="G63" s="208" t="inlineStr">
        <is>
          <t>Maxine</t>
        </is>
      </c>
      <c r="H63" s="210">
        <f>$J$6</f>
        <v/>
      </c>
      <c r="Q63" s="208" t="inlineStr">
        <is>
          <t>Maxine</t>
        </is>
      </c>
      <c r="R63" s="210">
        <f>$M$6</f>
        <v/>
      </c>
      <c r="AI63" s="247" t="inlineStr">
        <is>
          <t>Basses (No Reuben)</t>
        </is>
      </c>
      <c r="AJ63" s="251">
        <f>$AR$58</f>
        <v/>
      </c>
      <c r="AK63" s="251">
        <f>AJ63-($AJ$65)</f>
        <v/>
      </c>
    </row>
    <row r="64" ht="14.25" customHeight="1" s="175">
      <c r="A64" s="267" t="inlineStr">
        <is>
          <t>Peter</t>
        </is>
      </c>
      <c r="B64" s="268" t="n">
        <v>2</v>
      </c>
      <c r="C64" s="269" t="inlineStr">
        <is>
          <t>Reuben</t>
        </is>
      </c>
      <c r="D64" s="192" t="inlineStr">
        <is>
          <t>https://discord.com/channels/191975109500731392/1212839710439776287/1288573267795382334</t>
        </is>
      </c>
      <c r="E64" s="173" t="n"/>
      <c r="F64" s="207" t="n"/>
      <c r="G64" s="208" t="inlineStr">
        <is>
          <t>Jon</t>
        </is>
      </c>
      <c r="H64" s="210">
        <f>$J$14</f>
        <v/>
      </c>
      <c r="Q64" s="208" t="inlineStr">
        <is>
          <t>Jon</t>
        </is>
      </c>
      <c r="R64" s="210">
        <f>$M$14</f>
        <v/>
      </c>
      <c r="AI64" s="208" t="inlineStr">
        <is>
          <t>Basses</t>
        </is>
      </c>
      <c r="AJ64" s="251">
        <f>$AR$57</f>
        <v/>
      </c>
      <c r="AK64" s="251">
        <f>AJ64-($AJ$65)</f>
        <v/>
      </c>
    </row>
    <row r="65" ht="14.25" customHeight="1" s="175">
      <c r="A65" s="267" t="inlineStr">
        <is>
          <t>Sam</t>
        </is>
      </c>
      <c r="B65" s="268" t="n">
        <v>1</v>
      </c>
      <c r="C65" s="269" t="inlineStr">
        <is>
          <t>Grady</t>
        </is>
      </c>
      <c r="D65" s="192" t="inlineStr">
        <is>
          <t>https://discord.com/channels/191975109500731392/1212839710439776287/1288574963170676918</t>
        </is>
      </c>
      <c r="E65" s="173" t="n"/>
      <c r="F65" s="207" t="n"/>
      <c r="G65" s="208" t="inlineStr">
        <is>
          <t>Evan</t>
        </is>
      </c>
      <c r="H65" s="210">
        <f>$J$8</f>
        <v/>
      </c>
      <c r="Q65" s="208" t="inlineStr">
        <is>
          <t>Evan</t>
        </is>
      </c>
      <c r="R65" s="210">
        <f>$M$8</f>
        <v/>
      </c>
      <c r="AI65" s="208" t="inlineStr">
        <is>
          <t>Tenors</t>
        </is>
      </c>
      <c r="AJ65" s="310">
        <f>$AR$54</f>
        <v/>
      </c>
      <c r="AK65" s="251">
        <f>AJ65-($AJ$65)</f>
        <v/>
      </c>
    </row>
    <row r="66" ht="14.25" customHeight="1" s="175">
      <c r="A66" s="267" t="inlineStr">
        <is>
          <t>Grady</t>
        </is>
      </c>
      <c r="B66" s="268" t="n">
        <v>1</v>
      </c>
      <c r="C66" s="269" t="inlineStr">
        <is>
          <t>Sam</t>
        </is>
      </c>
      <c r="D66" s="192" t="inlineStr">
        <is>
          <t>https://discord.com/channels/191975109500731392/1212839710439776287/1288575004086108273</t>
        </is>
      </c>
      <c r="E66" s="173" t="n"/>
      <c r="F66" s="207" t="n"/>
      <c r="G66" s="208" t="inlineStr">
        <is>
          <t>Erick</t>
        </is>
      </c>
      <c r="H66" s="210">
        <f>$J$12</f>
        <v/>
      </c>
      <c r="Q66" s="208" t="inlineStr">
        <is>
          <t>Erick</t>
        </is>
      </c>
      <c r="R66" s="210">
        <f>$M$12</f>
        <v/>
      </c>
    </row>
    <row r="67" ht="14.25" customHeight="1" s="175">
      <c r="A67" s="267" t="inlineStr">
        <is>
          <t>David</t>
        </is>
      </c>
      <c r="B67" s="268" t="n">
        <v>2</v>
      </c>
      <c r="C67" s="269" t="inlineStr">
        <is>
          <t>Reuben</t>
        </is>
      </c>
      <c r="D67" s="192" t="inlineStr">
        <is>
          <t>https://discord.com/channels/191975109500731392/1212839710439776287/1288596600649678858</t>
        </is>
      </c>
      <c r="E67" s="173" t="n"/>
      <c r="F67" s="207" t="n"/>
      <c r="G67" s="208" t="inlineStr">
        <is>
          <t>Carter</t>
        </is>
      </c>
      <c r="H67" s="210">
        <f>$J$3</f>
        <v/>
      </c>
      <c r="Q67" s="208" t="inlineStr">
        <is>
          <t>Carter</t>
        </is>
      </c>
      <c r="R67" s="210">
        <f>$M$3</f>
        <v/>
      </c>
    </row>
    <row r="68" ht="14.25" customHeight="1" s="175">
      <c r="A68" s="267" t="inlineStr">
        <is>
          <t>David</t>
        </is>
      </c>
      <c r="B68" s="268" t="n">
        <v>1</v>
      </c>
      <c r="C68" s="269" t="inlineStr">
        <is>
          <t>Carter</t>
        </is>
      </c>
      <c r="D68" s="192" t="inlineStr">
        <is>
          <t>https://discord.com/channels/191975109500731392/1212839710439776287/1288602417843146821</t>
        </is>
      </c>
      <c r="E68" s="173" t="n">
        <v>1</v>
      </c>
      <c r="F68" s="207" t="n"/>
      <c r="G68" s="208" t="inlineStr">
        <is>
          <t>Cooper</t>
        </is>
      </c>
      <c r="H68" s="210">
        <f>$J$5</f>
        <v/>
      </c>
      <c r="Q68" s="208" t="inlineStr">
        <is>
          <t>Grady</t>
        </is>
      </c>
      <c r="R68" s="210">
        <f>$M$4</f>
        <v/>
      </c>
    </row>
    <row r="69" ht="14.25" customHeight="1" s="175">
      <c r="A69" s="267" t="inlineStr">
        <is>
          <t>Carter</t>
        </is>
      </c>
      <c r="B69" s="268" t="n">
        <v>1</v>
      </c>
      <c r="C69" s="269" t="inlineStr">
        <is>
          <t>David</t>
        </is>
      </c>
      <c r="D69" s="192" t="inlineStr">
        <is>
          <t>https://discord.com/channels/191975109500731392/1212839710439776287/1288602480032223286</t>
        </is>
      </c>
      <c r="E69" s="173" t="n"/>
      <c r="F69" s="207" t="n"/>
      <c r="G69" s="208" t="inlineStr">
        <is>
          <t>Grady</t>
        </is>
      </c>
      <c r="H69" s="210">
        <f>$J$4</f>
        <v/>
      </c>
      <c r="Q69" s="208" t="inlineStr">
        <is>
          <t>Cooper</t>
        </is>
      </c>
      <c r="R69" s="210">
        <f>$M$5</f>
        <v/>
      </c>
      <c r="AI69" s="246" t="n"/>
      <c r="AJ69" s="246" t="n"/>
      <c r="AK69" s="246" t="n"/>
    </row>
    <row r="70" ht="14.25" customHeight="1" s="175">
      <c r="A70" s="267" t="inlineStr">
        <is>
          <t>Sam</t>
        </is>
      </c>
      <c r="B70" s="268" t="n">
        <v>2</v>
      </c>
      <c r="C70" s="269" t="inlineStr">
        <is>
          <t>Carter</t>
        </is>
      </c>
      <c r="D70" s="192" t="inlineStr">
        <is>
          <t>https://discord.com/channels/191975109500731392/1212839710439776287/1288605418951540908</t>
        </is>
      </c>
      <c r="E70" s="173" t="n">
        <v>0</v>
      </c>
      <c r="F70" s="207" t="n"/>
      <c r="G70" s="208" t="inlineStr">
        <is>
          <t>Reuben</t>
        </is>
      </c>
      <c r="H70" s="210">
        <f>$J$15</f>
        <v/>
      </c>
      <c r="Q70" s="208" t="inlineStr">
        <is>
          <t>Reuben</t>
        </is>
      </c>
      <c r="R70" s="210">
        <f>$M$15</f>
        <v/>
      </c>
      <c r="AI70" s="246" t="n"/>
      <c r="AJ70" s="246" t="n"/>
      <c r="AK70" s="246" t="n"/>
    </row>
    <row r="71" ht="14.25" customHeight="1" s="175">
      <c r="A71" s="267" t="inlineStr">
        <is>
          <t>Sam</t>
        </is>
      </c>
      <c r="B71" s="268" t="n">
        <v>2</v>
      </c>
      <c r="C71" s="269" t="inlineStr">
        <is>
          <t>Carter</t>
        </is>
      </c>
      <c r="D71" s="192" t="inlineStr">
        <is>
          <t>https://discord.com/channels/191975109500731392/1212839710439776287/1288621162783313991</t>
        </is>
      </c>
      <c r="E71" s="173" t="n">
        <v>0</v>
      </c>
      <c r="F71" s="192" t="n"/>
      <c r="AI71" s="246" t="n"/>
      <c r="AJ71" s="246" t="n"/>
      <c r="AK71" s="246" t="n"/>
    </row>
    <row r="72" ht="14.25" customHeight="1" s="175">
      <c r="A72" s="267" t="inlineStr">
        <is>
          <t>Maxine</t>
        </is>
      </c>
      <c r="B72" s="268" t="n">
        <v>1</v>
      </c>
      <c r="C72" s="269" t="inlineStr">
        <is>
          <t>Ethan</t>
        </is>
      </c>
      <c r="D72" s="192" t="inlineStr">
        <is>
          <t>https://discord.com/channels/191975109500731392/1212839710439776287/1288862077666070588</t>
        </is>
      </c>
      <c r="E72" s="173" t="n"/>
      <c r="F72" s="207" t="n"/>
      <c r="AI72" s="246" t="n"/>
      <c r="AJ72" s="246" t="n"/>
      <c r="AK72" s="246" t="n"/>
    </row>
    <row r="73" ht="14.25" customHeight="1" s="175">
      <c r="A73" s="267" t="inlineStr">
        <is>
          <t>Ethan</t>
        </is>
      </c>
      <c r="B73" s="268" t="n">
        <v>1</v>
      </c>
      <c r="C73" s="269" t="inlineStr">
        <is>
          <t>Maxine</t>
        </is>
      </c>
      <c r="D73" s="192" t="inlineStr">
        <is>
          <t>https://discord.com/channels/191975109500731392/1212839710439776287/1288862838940499968</t>
        </is>
      </c>
      <c r="E73" s="173" t="n"/>
      <c r="F73" s="207" t="n"/>
      <c r="G73" s="208" t="inlineStr">
        <is>
          <t>Part:</t>
        </is>
      </c>
      <c r="H73" s="216" t="inlineStr">
        <is>
          <t>Kills</t>
        </is>
      </c>
      <c r="Q73" s="208" t="inlineStr">
        <is>
          <t>Part:</t>
        </is>
      </c>
      <c r="R73" s="216" t="inlineStr">
        <is>
          <t>Kill Points</t>
        </is>
      </c>
      <c r="AJ73" s="246" t="n"/>
      <c r="AK73" s="246" t="n"/>
    </row>
    <row r="74" ht="14.25" customHeight="1" s="175">
      <c r="A74" s="267" t="inlineStr">
        <is>
          <t>David</t>
        </is>
      </c>
      <c r="B74" s="268" t="n">
        <v>2</v>
      </c>
      <c r="C74" s="269" t="inlineStr">
        <is>
          <t>Reuben</t>
        </is>
      </c>
      <c r="D74" s="192" t="inlineStr">
        <is>
          <t>https://discord.com/channels/191975109500731392/1212839710439776287/1289222688744931402</t>
        </is>
      </c>
      <c r="E74" s="173" t="n"/>
      <c r="F74" s="207" t="n"/>
      <c r="G74" s="226" t="inlineStr">
        <is>
          <t>Basses</t>
        </is>
      </c>
      <c r="H74" s="241">
        <f>$H$22</f>
        <v/>
      </c>
      <c r="Q74" s="226" t="inlineStr">
        <is>
          <t>Basses</t>
        </is>
      </c>
      <c r="R74" s="241">
        <f>$K$22</f>
        <v/>
      </c>
      <c r="AG74" s="246" t="n"/>
      <c r="AH74" s="246" t="n"/>
      <c r="AI74" s="246" t="n"/>
      <c r="AJ74" s="246" t="n"/>
      <c r="AK74" s="246" t="n"/>
    </row>
    <row r="75" ht="14.25" customHeight="1" s="175">
      <c r="A75" s="267" t="inlineStr">
        <is>
          <t>David</t>
        </is>
      </c>
      <c r="B75" s="268" t="n">
        <v>2</v>
      </c>
      <c r="C75" s="269" t="inlineStr">
        <is>
          <t>Carter</t>
        </is>
      </c>
      <c r="D75" s="192" t="inlineStr">
        <is>
          <t>https://discord.com/channels/191975109500731392/1212839710439776287/1289268925586214913</t>
        </is>
      </c>
      <c r="E75" s="173" t="n">
        <v>1</v>
      </c>
      <c r="F75" s="207" t="n"/>
      <c r="G75" s="208" t="inlineStr">
        <is>
          <t>Tenors</t>
        </is>
      </c>
      <c r="H75" s="241">
        <f>$H$19</f>
        <v/>
      </c>
      <c r="Q75" s="208" t="inlineStr">
        <is>
          <t>Tenors</t>
        </is>
      </c>
      <c r="R75" s="241">
        <f>$K$19</f>
        <v/>
      </c>
      <c r="AE75" s="246" t="n"/>
      <c r="AF75" s="246" t="n"/>
      <c r="AG75" s="246" t="n"/>
    </row>
    <row r="76" ht="14.25" customHeight="1" s="175">
      <c r="A76" s="267" t="inlineStr">
        <is>
          <t>Sam</t>
        </is>
      </c>
      <c r="B76" s="268" t="n">
        <v>2</v>
      </c>
      <c r="C76" s="269" t="inlineStr">
        <is>
          <t>Reuben</t>
        </is>
      </c>
      <c r="D76" s="192" t="inlineStr">
        <is>
          <t>https://discord.com/channels/191975109500731392/1212839710439776287/1289270523481686048</t>
        </is>
      </c>
      <c r="E76" s="173" t="n"/>
      <c r="F76" s="207" t="n"/>
      <c r="G76" s="208" t="inlineStr">
        <is>
          <t>Baris</t>
        </is>
      </c>
      <c r="H76" s="241">
        <f>$H$21</f>
        <v/>
      </c>
      <c r="Q76" s="208" t="inlineStr">
        <is>
          <t>Baris</t>
        </is>
      </c>
      <c r="R76" s="241">
        <f>$K$21</f>
        <v/>
      </c>
    </row>
    <row r="77" ht="14.25" customHeight="1" s="175">
      <c r="A77" s="267" t="inlineStr">
        <is>
          <t>Carter</t>
        </is>
      </c>
      <c r="B77" s="268" t="n">
        <v>2</v>
      </c>
      <c r="C77" s="269" t="inlineStr">
        <is>
          <t>Sam</t>
        </is>
      </c>
      <c r="D77" s="192" t="inlineStr">
        <is>
          <t>https://discord.com/channels/191975109500731392/1212839710439776287/1289270611599954031</t>
        </is>
      </c>
      <c r="E77" s="173" t="n"/>
      <c r="F77" s="207" t="n"/>
      <c r="G77" s="208" t="inlineStr">
        <is>
          <t>Leads</t>
        </is>
      </c>
      <c r="H77" s="241">
        <f>$H$20</f>
        <v/>
      </c>
      <c r="Q77" s="208" t="inlineStr">
        <is>
          <t>Leads</t>
        </is>
      </c>
      <c r="R77" s="241">
        <f>$K$20</f>
        <v/>
      </c>
    </row>
    <row r="78" ht="14.25" customHeight="1" s="175">
      <c r="A78" s="267" t="inlineStr">
        <is>
          <t>Sam</t>
        </is>
      </c>
      <c r="B78" s="268" t="n">
        <v>1</v>
      </c>
      <c r="C78" s="269" t="inlineStr">
        <is>
          <t>Carter</t>
        </is>
      </c>
      <c r="D78" s="192" t="inlineStr">
        <is>
          <t>https://discord.com/channels/191975109500731392/1212839710439776287/1289270651529597049</t>
        </is>
      </c>
      <c r="E78" s="173" t="n">
        <v>1</v>
      </c>
      <c r="F78" s="207" t="n"/>
    </row>
    <row r="79" ht="14.25" customHeight="1" s="175">
      <c r="A79" s="267" t="inlineStr">
        <is>
          <t>Sam</t>
        </is>
      </c>
      <c r="B79" s="268" t="n">
        <v>2</v>
      </c>
      <c r="C79" s="269" t="inlineStr">
        <is>
          <t>Peter</t>
        </is>
      </c>
      <c r="D79" s="192" t="inlineStr">
        <is>
          <t>https://discord.com/channels/191975109500731392/1212839710439776287/1289271820272533546</t>
        </is>
      </c>
      <c r="E79" s="173" t="n"/>
      <c r="F79" s="207" t="n"/>
    </row>
    <row r="80" ht="14.25" customHeight="1" s="175">
      <c r="A80" s="267" t="inlineStr">
        <is>
          <t>Peter</t>
        </is>
      </c>
      <c r="B80" s="268" t="n">
        <v>2</v>
      </c>
      <c r="C80" s="269" t="inlineStr">
        <is>
          <t>Carter</t>
        </is>
      </c>
      <c r="D80" s="192" t="inlineStr">
        <is>
          <t>https://discord.com/channels/191975109500731392/1212839710439776287/1289272404878688326</t>
        </is>
      </c>
      <c r="E80" s="173" t="n">
        <v>1</v>
      </c>
      <c r="F80" s="207" t="n"/>
    </row>
    <row r="81" ht="14.25" customHeight="1" s="175">
      <c r="A81" s="267" t="inlineStr">
        <is>
          <t>David</t>
        </is>
      </c>
      <c r="B81" s="268" t="n">
        <v>2</v>
      </c>
      <c r="C81" s="269" t="inlineStr">
        <is>
          <t>Peter</t>
        </is>
      </c>
      <c r="D81" s="192" t="inlineStr">
        <is>
          <t>https://discord.com/channels/191975109500731392/1212839710439776287/1289272434742267979</t>
        </is>
      </c>
      <c r="E81" s="173" t="n"/>
      <c r="F81" s="192" t="n"/>
    </row>
    <row r="82" ht="14.25" customHeight="1" s="175">
      <c r="A82" s="267" t="inlineStr">
        <is>
          <t>Carter</t>
        </is>
      </c>
      <c r="B82" s="268" t="n">
        <v>1</v>
      </c>
      <c r="C82" s="269" t="inlineStr">
        <is>
          <t>Peter</t>
        </is>
      </c>
      <c r="D82" s="192" t="inlineStr">
        <is>
          <t>https://discord.com/channels/191975109500731392/1212839710439776287/1289272484444635147</t>
        </is>
      </c>
      <c r="E82" s="173" t="n"/>
      <c r="F82" s="207" t="n"/>
    </row>
    <row r="83" ht="14.25" customHeight="1" s="175">
      <c r="A83" s="267" t="inlineStr">
        <is>
          <t>Sam</t>
        </is>
      </c>
      <c r="B83" s="268" t="n">
        <v>2</v>
      </c>
      <c r="C83" s="269" t="inlineStr">
        <is>
          <t>Grady</t>
        </is>
      </c>
      <c r="D83" s="192" t="inlineStr">
        <is>
          <t>https://discord.com/channels/191975109500731392/1212839710439776287/1289282085479124993</t>
        </is>
      </c>
      <c r="E83" s="173" t="n"/>
      <c r="F83" s="207" t="n"/>
    </row>
    <row r="84" ht="14.25" customHeight="1" s="175">
      <c r="A84" s="267" t="inlineStr">
        <is>
          <t>Sam</t>
        </is>
      </c>
      <c r="B84" s="268" t="n">
        <v>2</v>
      </c>
      <c r="C84" s="269" t="inlineStr">
        <is>
          <t>Carter</t>
        </is>
      </c>
      <c r="D84" s="192" t="inlineStr">
        <is>
          <t>https://discord.com/channels/191975109500731392/1212839710439776287/1289282751769612438</t>
        </is>
      </c>
      <c r="E84" s="173" t="n">
        <v>1</v>
      </c>
      <c r="F84" s="207" t="n"/>
      <c r="G84" s="208" t="inlineStr">
        <is>
          <t>Part:</t>
        </is>
      </c>
      <c r="H84" s="216" t="inlineStr">
        <is>
          <t>Deaths</t>
        </is>
      </c>
      <c r="Q84" s="208" t="inlineStr">
        <is>
          <t>Part:</t>
        </is>
      </c>
      <c r="R84" s="216" t="inlineStr">
        <is>
          <t>Death Points</t>
        </is>
      </c>
    </row>
    <row r="85" ht="14.25" customHeight="1" s="175">
      <c r="A85" s="267" t="inlineStr">
        <is>
          <t>Carter</t>
        </is>
      </c>
      <c r="B85" s="268" t="n">
        <v>1</v>
      </c>
      <c r="C85" s="269" t="inlineStr">
        <is>
          <t>Sam</t>
        </is>
      </c>
      <c r="D85" s="192" t="inlineStr">
        <is>
          <t>https://discord.com/channels/191975109500731392/1212839710439776287/1289282855163396096</t>
        </is>
      </c>
      <c r="E85" s="173" t="n"/>
      <c r="F85" s="207" t="n"/>
      <c r="G85" s="208" t="inlineStr">
        <is>
          <t>Baris</t>
        </is>
      </c>
      <c r="H85" s="243">
        <f>$I$21</f>
        <v/>
      </c>
      <c r="Q85" s="208" t="inlineStr">
        <is>
          <t>Baris</t>
        </is>
      </c>
      <c r="R85" s="243">
        <f>$L$21</f>
        <v/>
      </c>
    </row>
    <row r="86" ht="14.25" customHeight="1" s="175">
      <c r="A86" s="267" t="inlineStr">
        <is>
          <t>David</t>
        </is>
      </c>
      <c r="B86" s="268" t="n">
        <v>1</v>
      </c>
      <c r="C86" s="269" t="inlineStr">
        <is>
          <t>Carter</t>
        </is>
      </c>
      <c r="D86" s="192" t="inlineStr">
        <is>
          <t>https://discord.com/channels/191975109500731392/1212839710439776287/1289283155701792879</t>
        </is>
      </c>
      <c r="E86" s="173" t="n">
        <v>1</v>
      </c>
      <c r="F86" s="207" t="n"/>
      <c r="G86" s="208" t="inlineStr">
        <is>
          <t>Basses</t>
        </is>
      </c>
      <c r="H86" s="243">
        <f>$I$22</f>
        <v/>
      </c>
      <c r="Q86" s="208" t="inlineStr">
        <is>
          <t>Leads</t>
        </is>
      </c>
      <c r="R86" s="243">
        <f>$L$20</f>
        <v/>
      </c>
    </row>
    <row r="87" ht="14.25" customHeight="1" s="175">
      <c r="A87" s="267" t="inlineStr">
        <is>
          <t>Carter</t>
        </is>
      </c>
      <c r="B87" s="268" t="n">
        <v>1</v>
      </c>
      <c r="C87" s="269" t="inlineStr">
        <is>
          <t>David</t>
        </is>
      </c>
      <c r="D87" s="192" t="inlineStr">
        <is>
          <t>https://discord.com/channels/191975109500731392/1212839710439776287/1289283198223646792</t>
        </is>
      </c>
      <c r="E87" s="173" t="n"/>
      <c r="F87" s="207" t="n"/>
      <c r="G87" s="208" t="inlineStr">
        <is>
          <t>Leads</t>
        </is>
      </c>
      <c r="H87" s="243">
        <f>$I$20</f>
        <v/>
      </c>
      <c r="Q87" s="208" t="inlineStr">
        <is>
          <t>Basses</t>
        </is>
      </c>
      <c r="R87" s="243">
        <f>$L$22</f>
        <v/>
      </c>
    </row>
    <row r="88" ht="14.25" customHeight="1" s="175">
      <c r="A88" s="267" t="inlineStr">
        <is>
          <t>David</t>
        </is>
      </c>
      <c r="B88" s="268" t="n">
        <v>2</v>
      </c>
      <c r="C88" s="269" t="inlineStr">
        <is>
          <t>Carter</t>
        </is>
      </c>
      <c r="D88" s="192" t="inlineStr">
        <is>
          <t>https://discord.com/channels/191975109500731392/1212839710439776287/1289990173660151848</t>
        </is>
      </c>
      <c r="E88" s="173" t="n">
        <v>0</v>
      </c>
      <c r="F88" s="207" t="n"/>
      <c r="G88" s="208" t="inlineStr">
        <is>
          <t>Tenors</t>
        </is>
      </c>
      <c r="H88" s="243">
        <f>$I$19</f>
        <v/>
      </c>
      <c r="Q88" s="208" t="inlineStr">
        <is>
          <t>Tenors</t>
        </is>
      </c>
      <c r="R88" s="243">
        <f>$L$19</f>
        <v/>
      </c>
    </row>
    <row r="89" ht="14.25" customHeight="1" s="175">
      <c r="A89" s="267" t="inlineStr">
        <is>
          <t>Peter</t>
        </is>
      </c>
      <c r="B89" s="268" t="n">
        <v>1</v>
      </c>
      <c r="C89" s="269" t="inlineStr">
        <is>
          <t>David</t>
        </is>
      </c>
      <c r="D89" s="192" t="inlineStr">
        <is>
          <t>https://discord.com/channels/191975109500731392/1212839710439776287/1289995602708529404</t>
        </is>
      </c>
      <c r="E89" s="173" t="n"/>
      <c r="F89" s="207" t="n"/>
      <c r="AJ89" s="246" t="n"/>
      <c r="AK89" s="260" t="n"/>
    </row>
    <row r="90" ht="14.25" customHeight="1" s="175">
      <c r="A90" s="267" t="inlineStr">
        <is>
          <t>Tyler</t>
        </is>
      </c>
      <c r="B90" s="268" t="n">
        <v>2</v>
      </c>
      <c r="C90" s="269" t="inlineStr">
        <is>
          <t>Ethan</t>
        </is>
      </c>
      <c r="D90" s="192" t="inlineStr">
        <is>
          <t>https://discord.com/channels/191975109500731392/1212839710439776287/1290035083327311904</t>
        </is>
      </c>
      <c r="E90" s="173" t="n"/>
      <c r="F90" s="207" t="n"/>
      <c r="AJ90" s="246" t="n"/>
      <c r="AK90" s="260" t="n"/>
    </row>
    <row r="91" ht="14.25" customHeight="1" s="175">
      <c r="A91" s="267" t="inlineStr">
        <is>
          <t>Grady</t>
        </is>
      </c>
      <c r="B91" s="268" t="n">
        <v>2</v>
      </c>
      <c r="C91" s="269" t="inlineStr">
        <is>
          <t>Carter</t>
        </is>
      </c>
      <c r="D91" s="192" t="inlineStr">
        <is>
          <t>https://discord.com/channels/191975109500731392/1212839710439776287/1290035808983842826</t>
        </is>
      </c>
      <c r="E91" s="173" t="n">
        <v>0</v>
      </c>
      <c r="F91" s="207" t="n"/>
      <c r="AJ91" s="246" t="n"/>
      <c r="AK91" s="260" t="n"/>
    </row>
    <row r="92" ht="14.25" customHeight="1" s="175">
      <c r="A92" s="267" t="inlineStr">
        <is>
          <t>Ethan</t>
        </is>
      </c>
      <c r="B92" s="268" t="n">
        <v>1</v>
      </c>
      <c r="C92" s="269" t="inlineStr">
        <is>
          <t>Tyler</t>
        </is>
      </c>
      <c r="D92" s="192" t="inlineStr">
        <is>
          <t>https://discord.com/channels/191975109500731392/1212839710439776287/1290036062353096724</t>
        </is>
      </c>
      <c r="E92" s="173" t="n"/>
      <c r="F92" s="207" t="n"/>
      <c r="AJ92" s="246" t="n"/>
      <c r="AK92" s="260" t="n"/>
    </row>
    <row r="93" ht="14.25" customHeight="1" s="175">
      <c r="A93" s="267" t="inlineStr">
        <is>
          <t>Grady</t>
        </is>
      </c>
      <c r="B93" s="268" t="n">
        <v>2</v>
      </c>
      <c r="C93" s="269" t="inlineStr">
        <is>
          <t>David</t>
        </is>
      </c>
      <c r="D93" s="192" t="inlineStr">
        <is>
          <t>https://discord.com/channels/191975109500731392/1212839710439776287/1290036073963196496</t>
        </is>
      </c>
      <c r="E93" s="173" t="n"/>
      <c r="F93" s="207" t="n"/>
      <c r="AJ93" s="246" t="n"/>
      <c r="AK93" s="260" t="n"/>
    </row>
    <row r="94" ht="14.25" customHeight="1" s="175">
      <c r="A94" s="267" t="inlineStr">
        <is>
          <t>Peter</t>
        </is>
      </c>
      <c r="B94" s="268" t="n">
        <v>2</v>
      </c>
      <c r="C94" s="269" t="inlineStr">
        <is>
          <t>Carter</t>
        </is>
      </c>
      <c r="D94" s="192" t="inlineStr">
        <is>
          <t>https://discord.com/channels/191975109500731392/1212839710439776287/1290036600893345867</t>
        </is>
      </c>
      <c r="E94" s="173" t="n">
        <v>0</v>
      </c>
      <c r="F94" s="207" t="n"/>
      <c r="J94" s="246" t="n"/>
      <c r="K94" s="246" t="n"/>
      <c r="L94" s="246" t="n"/>
      <c r="M94" s="260" t="n"/>
      <c r="N94" s="260" t="n"/>
      <c r="O94" s="260" t="n"/>
      <c r="P94" s="260" t="n"/>
      <c r="Q94" s="182" t="n"/>
      <c r="T94" s="246" t="n"/>
      <c r="U94" s="246" t="n"/>
      <c r="V94" s="246" t="n"/>
      <c r="W94" s="246" t="n"/>
      <c r="X94" s="246" t="n"/>
      <c r="Y94" s="246" t="n"/>
      <c r="Z94" s="246" t="n"/>
      <c r="AA94" s="246" t="n"/>
      <c r="AB94" s="246" t="n"/>
      <c r="AC94" s="246" t="n"/>
      <c r="AD94" s="246" t="n"/>
      <c r="AG94" s="246" t="n"/>
      <c r="AJ94" s="246" t="n"/>
      <c r="AK94" s="260" t="n"/>
    </row>
    <row r="95" ht="14.25" customHeight="1" s="175">
      <c r="A95" s="267" t="inlineStr">
        <is>
          <t>Peter</t>
        </is>
      </c>
      <c r="B95" s="268" t="n">
        <v>2</v>
      </c>
      <c r="C95" s="269" t="inlineStr">
        <is>
          <t>David</t>
        </is>
      </c>
      <c r="D95" s="192" t="inlineStr">
        <is>
          <t>https://discord.com/channels/191975109500731392/1212839710439776287/1290036072390201396</t>
        </is>
      </c>
      <c r="E95" s="173" t="n"/>
      <c r="F95" s="207" t="n"/>
      <c r="G95" s="208" t="inlineStr">
        <is>
          <t>Part:</t>
        </is>
      </c>
      <c r="H95" s="216" t="inlineStr">
        <is>
          <t>KDR</t>
        </is>
      </c>
      <c r="J95" s="246" t="n"/>
      <c r="K95" s="246" t="n"/>
      <c r="L95" s="246" t="n"/>
      <c r="M95" s="260" t="n"/>
      <c r="N95" s="260" t="n"/>
      <c r="O95" s="260" t="n"/>
      <c r="P95" s="260" t="n"/>
      <c r="Q95" s="208" t="inlineStr">
        <is>
          <t>Part:</t>
        </is>
      </c>
      <c r="R95" s="216" t="inlineStr">
        <is>
          <t>KpDpR</t>
        </is>
      </c>
      <c r="T95" s="246" t="n"/>
      <c r="U95" s="246" t="n"/>
      <c r="V95" s="246" t="n"/>
      <c r="W95" s="246" t="n"/>
      <c r="X95" s="246" t="n"/>
      <c r="Y95" s="246" t="n"/>
      <c r="Z95" s="246" t="n"/>
      <c r="AA95" s="246" t="n"/>
      <c r="AB95" s="246" t="n"/>
      <c r="AC95" s="246" t="n"/>
      <c r="AD95" s="246" t="n"/>
      <c r="AG95" s="246" t="n"/>
      <c r="AJ95" s="246" t="n"/>
      <c r="AK95" s="260" t="n"/>
    </row>
    <row r="96" ht="14.25" customHeight="1" s="175">
      <c r="A96" s="267" t="inlineStr">
        <is>
          <t>Maxine</t>
        </is>
      </c>
      <c r="B96" s="268" t="n">
        <v>2</v>
      </c>
      <c r="C96" s="269" t="inlineStr">
        <is>
          <t>Evan</t>
        </is>
      </c>
      <c r="D96" s="192" t="inlineStr">
        <is>
          <t>https://discord.com/channels/191975109500731392/1212839710439776287/1290282146430193727</t>
        </is>
      </c>
      <c r="E96" s="173" t="n"/>
      <c r="F96" s="207" t="n"/>
      <c r="G96" s="226" t="inlineStr">
        <is>
          <t>Basses</t>
        </is>
      </c>
      <c r="H96" s="242">
        <f>$J$22</f>
        <v/>
      </c>
      <c r="J96" s="246" t="n"/>
      <c r="K96" s="246" t="n"/>
      <c r="L96" s="246" t="n"/>
      <c r="M96" s="260" t="n"/>
      <c r="N96" s="260" t="n"/>
      <c r="O96" s="260" t="n"/>
      <c r="P96" s="260" t="n"/>
      <c r="Q96" s="226" t="inlineStr">
        <is>
          <t>Basses</t>
        </is>
      </c>
      <c r="R96" s="242">
        <f>$M$22</f>
        <v/>
      </c>
      <c r="T96" s="246" t="n"/>
      <c r="U96" s="246" t="n"/>
      <c r="V96" s="246" t="n"/>
      <c r="W96" s="246" t="n"/>
      <c r="X96" s="246" t="n"/>
      <c r="Y96" s="246" t="n"/>
      <c r="Z96" s="246" t="n"/>
      <c r="AA96" s="246" t="n"/>
      <c r="AB96" s="246" t="n"/>
      <c r="AC96" s="246" t="n"/>
      <c r="AD96" s="246" t="n"/>
      <c r="AG96" s="246" t="n"/>
      <c r="AJ96" s="246" t="n"/>
      <c r="AK96" s="260" t="n"/>
    </row>
    <row r="97" ht="14.25" customHeight="1" s="175">
      <c r="A97" s="267" t="inlineStr">
        <is>
          <t>Maxine</t>
        </is>
      </c>
      <c r="B97" s="268" t="n">
        <v>2</v>
      </c>
      <c r="C97" s="269" t="inlineStr">
        <is>
          <t>Grady</t>
        </is>
      </c>
      <c r="D97" s="192" t="inlineStr">
        <is>
          <t>https://discord.com/channels/191975109500731392/1212839710439776287/1290295026290655242</t>
        </is>
      </c>
      <c r="E97" s="173" t="n"/>
      <c r="F97" s="207" t="n"/>
      <c r="G97" s="208" t="inlineStr">
        <is>
          <t>Tenors</t>
        </is>
      </c>
      <c r="H97" s="242">
        <f>$J$19</f>
        <v/>
      </c>
      <c r="J97" s="246" t="n"/>
      <c r="K97" s="246" t="n"/>
      <c r="L97" s="246" t="n"/>
      <c r="M97" s="260" t="n"/>
      <c r="N97" s="260" t="n"/>
      <c r="O97" s="260" t="n"/>
      <c r="P97" s="260" t="n"/>
      <c r="Q97" s="208" t="inlineStr">
        <is>
          <t>Tenors</t>
        </is>
      </c>
      <c r="R97" s="242">
        <f>$M$19</f>
        <v/>
      </c>
      <c r="T97" s="246" t="n"/>
      <c r="U97" s="246" t="n"/>
      <c r="V97" s="246" t="n"/>
      <c r="W97" s="246" t="n"/>
      <c r="X97" s="246" t="n"/>
      <c r="Y97" s="246" t="n"/>
      <c r="Z97" s="246" t="n"/>
      <c r="AA97" s="246" t="n"/>
      <c r="AB97" s="246" t="n"/>
      <c r="AC97" s="246" t="n"/>
      <c r="AD97" s="246" t="n"/>
      <c r="AG97" s="246" t="n"/>
      <c r="AJ97" s="246" t="n"/>
      <c r="AK97" s="260" t="n"/>
    </row>
    <row r="98" ht="14.25" customHeight="1" s="175">
      <c r="A98" s="267" t="inlineStr">
        <is>
          <t>Ethan</t>
        </is>
      </c>
      <c r="B98" s="268" t="n">
        <v>2</v>
      </c>
      <c r="C98" s="269" t="inlineStr">
        <is>
          <t>David</t>
        </is>
      </c>
      <c r="D98" s="192" t="inlineStr">
        <is>
          <t>https://discord.com/channels/191975109500731392/1212839710439776287/1290309295099084800</t>
        </is>
      </c>
      <c r="E98" s="173" t="n"/>
      <c r="F98" s="207" t="n"/>
      <c r="G98" s="208" t="inlineStr">
        <is>
          <t>Leads</t>
        </is>
      </c>
      <c r="H98" s="242">
        <f>$J$20</f>
        <v/>
      </c>
      <c r="J98" s="246" t="n"/>
      <c r="K98" s="246" t="n"/>
      <c r="L98" s="246" t="n"/>
      <c r="M98" s="260" t="n"/>
      <c r="N98" s="260" t="n"/>
      <c r="O98" s="260" t="n"/>
      <c r="P98" s="260" t="n"/>
      <c r="Q98" s="208" t="inlineStr">
        <is>
          <t>Leads</t>
        </is>
      </c>
      <c r="R98" s="242">
        <f>$M$20</f>
        <v/>
      </c>
      <c r="T98" s="246" t="n"/>
      <c r="U98" s="246" t="n"/>
      <c r="V98" s="246" t="n"/>
      <c r="W98" s="246" t="n"/>
      <c r="X98" s="246" t="n"/>
      <c r="Y98" s="246" t="n"/>
      <c r="Z98" s="246" t="n"/>
      <c r="AA98" s="246" t="n"/>
      <c r="AB98" s="246" t="n"/>
      <c r="AC98" s="246" t="n"/>
      <c r="AD98" s="246" t="n"/>
      <c r="AG98" s="246" t="n"/>
      <c r="AJ98" s="246" t="n"/>
      <c r="AK98" s="260" t="n"/>
    </row>
    <row r="99" ht="14.25" customHeight="1" s="175">
      <c r="A99" s="267" t="inlineStr">
        <is>
          <t>Sam</t>
        </is>
      </c>
      <c r="B99" s="268" t="n">
        <v>2</v>
      </c>
      <c r="C99" s="269" t="inlineStr">
        <is>
          <t>Evan</t>
        </is>
      </c>
      <c r="D99" s="192" t="inlineStr">
        <is>
          <t>https://discord.com/channels/191975109500731392/1212839710439776287/1290355180528734351</t>
        </is>
      </c>
      <c r="E99" s="173" t="n"/>
      <c r="F99" s="207" t="n"/>
      <c r="G99" s="208" t="inlineStr">
        <is>
          <t>Baris</t>
        </is>
      </c>
      <c r="H99" s="242">
        <f>$J$21</f>
        <v/>
      </c>
      <c r="J99" s="246" t="n"/>
      <c r="K99" s="246" t="n"/>
      <c r="L99" s="246" t="n"/>
      <c r="M99" s="260" t="n"/>
      <c r="N99" s="260" t="n"/>
      <c r="O99" s="260" t="n"/>
      <c r="P99" s="260" t="n"/>
      <c r="Q99" s="208" t="inlineStr">
        <is>
          <t>Baris</t>
        </is>
      </c>
      <c r="R99" s="242">
        <f>$M$21</f>
        <v/>
      </c>
      <c r="T99" s="246" t="n"/>
      <c r="U99" s="246" t="n"/>
      <c r="V99" s="246" t="n"/>
      <c r="W99" s="246" t="n"/>
      <c r="X99" s="246" t="n"/>
      <c r="Y99" s="246" t="n"/>
      <c r="Z99" s="246" t="n"/>
      <c r="AA99" s="246" t="n"/>
      <c r="AB99" s="246" t="n"/>
      <c r="AC99" s="246" t="n"/>
      <c r="AD99" s="246" t="n"/>
      <c r="AG99" s="246" t="n"/>
      <c r="AJ99" s="246" t="n"/>
      <c r="AK99" s="260" t="n"/>
    </row>
    <row r="100" ht="14.25" customHeight="1" s="175">
      <c r="A100" s="267" t="inlineStr">
        <is>
          <t>Maxine</t>
        </is>
      </c>
      <c r="B100" s="268" t="n">
        <v>1</v>
      </c>
      <c r="C100" s="269" t="inlineStr">
        <is>
          <t>Carter</t>
        </is>
      </c>
      <c r="D100" s="192" t="inlineStr">
        <is>
          <t>https://discord.com/channels/191975109500731392/1212839710439776287/1290368245190365195</t>
        </is>
      </c>
      <c r="E100" s="173" t="n">
        <v>1</v>
      </c>
      <c r="F100" s="207" t="n"/>
      <c r="J100" s="246" t="n"/>
      <c r="K100" s="246" t="n"/>
      <c r="L100" s="246" t="n"/>
      <c r="M100" s="260" t="n"/>
      <c r="N100" s="260" t="n"/>
      <c r="O100" s="260" t="n"/>
      <c r="P100" s="260" t="n"/>
      <c r="Q100" s="182" t="n"/>
      <c r="T100" s="246" t="n"/>
      <c r="U100" s="246" t="n"/>
      <c r="V100" s="246" t="n"/>
      <c r="W100" s="246" t="n"/>
      <c r="X100" s="246" t="n"/>
      <c r="Y100" s="246" t="n"/>
      <c r="Z100" s="246" t="n"/>
      <c r="AA100" s="246" t="n"/>
      <c r="AB100" s="246" t="n"/>
      <c r="AC100" s="246" t="n"/>
      <c r="AD100" s="246" t="n"/>
      <c r="AG100" s="246" t="n"/>
      <c r="AJ100" s="246" t="n"/>
      <c r="AK100" s="260" t="n"/>
    </row>
    <row r="101" ht="14.25" customHeight="1" s="175">
      <c r="A101" s="267" t="inlineStr">
        <is>
          <t>Carter</t>
        </is>
      </c>
      <c r="B101" s="268" t="n">
        <v>1</v>
      </c>
      <c r="C101" s="269" t="inlineStr">
        <is>
          <t>Maxine</t>
        </is>
      </c>
      <c r="D101" s="192" t="inlineStr">
        <is>
          <t>https://discord.com/channels/191975109500731392/1212839710439776287/1290368541480194058</t>
        </is>
      </c>
      <c r="E101" s="173" t="n"/>
      <c r="F101" s="207" t="n"/>
      <c r="J101" s="246" t="n"/>
      <c r="K101" s="246" t="n"/>
      <c r="L101" s="246" t="n"/>
      <c r="M101" s="260" t="n"/>
      <c r="N101" s="260" t="n"/>
      <c r="O101" s="260" t="n"/>
      <c r="P101" s="260" t="n"/>
      <c r="Q101" s="182" t="n"/>
      <c r="T101" s="246" t="n"/>
      <c r="U101" s="246" t="n"/>
      <c r="V101" s="246" t="n"/>
      <c r="W101" s="246" t="n"/>
      <c r="X101" s="246" t="n"/>
      <c r="Y101" s="246" t="n"/>
      <c r="Z101" s="246" t="n"/>
      <c r="AA101" s="246" t="n"/>
      <c r="AB101" s="246" t="n"/>
      <c r="AC101" s="246" t="n"/>
      <c r="AD101" s="246" t="n"/>
      <c r="AG101" s="246" t="n"/>
      <c r="AJ101" s="246" t="n"/>
      <c r="AK101" s="260" t="n"/>
    </row>
    <row r="102" ht="14.25" customHeight="1" s="175">
      <c r="A102" s="267" t="inlineStr">
        <is>
          <t>David</t>
        </is>
      </c>
      <c r="B102" s="268" t="n">
        <v>2</v>
      </c>
      <c r="C102" s="269" t="inlineStr">
        <is>
          <t>Evan</t>
        </is>
      </c>
      <c r="D102" s="192" t="inlineStr">
        <is>
          <t>https://discord.com/channels/191975109500731392/1212839710439776287/1290369298052812913</t>
        </is>
      </c>
      <c r="E102" s="173" t="n"/>
      <c r="F102" s="207" t="n"/>
      <c r="J102" s="246" t="n"/>
      <c r="K102" s="246" t="n"/>
      <c r="L102" s="246" t="n"/>
      <c r="M102" s="260" t="n"/>
      <c r="N102" s="260" t="n"/>
      <c r="O102" s="260" t="n"/>
      <c r="P102" s="260" t="n"/>
      <c r="Q102" s="182" t="n"/>
      <c r="T102" s="246" t="n"/>
      <c r="U102" s="246" t="n"/>
      <c r="V102" s="246" t="n"/>
      <c r="W102" s="246" t="n"/>
      <c r="X102" s="246" t="n"/>
      <c r="Y102" s="246" t="n"/>
      <c r="Z102" s="246" t="n"/>
      <c r="AA102" s="246" t="n"/>
      <c r="AB102" s="246" t="n"/>
      <c r="AC102" s="246" t="n"/>
      <c r="AD102" s="246" t="n"/>
      <c r="AG102" s="246" t="n"/>
      <c r="AJ102" s="246" t="n"/>
      <c r="AK102" s="260" t="n"/>
    </row>
    <row r="103" ht="14.25" customHeight="1" s="175">
      <c r="A103" s="267" t="inlineStr">
        <is>
          <t>Ethan</t>
        </is>
      </c>
      <c r="B103" s="268" t="n">
        <v>1</v>
      </c>
      <c r="C103" s="269" t="inlineStr">
        <is>
          <t>Evan</t>
        </is>
      </c>
      <c r="D103" s="192" t="inlineStr">
        <is>
          <t>https://discord.com/channels/191975109500731392/1212839710439776287/1290407101528674379</t>
        </is>
      </c>
      <c r="E103" s="173" t="n"/>
      <c r="F103" s="207" t="n"/>
      <c r="J103" s="246" t="n"/>
      <c r="K103" s="246" t="n"/>
      <c r="L103" s="246" t="n"/>
      <c r="M103" s="260" t="n"/>
      <c r="N103" s="260" t="n"/>
      <c r="O103" s="260" t="n"/>
      <c r="P103" s="260" t="n"/>
      <c r="Q103" s="182" t="n"/>
      <c r="T103" s="246" t="n"/>
      <c r="U103" s="246" t="n"/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G103" s="246" t="n"/>
      <c r="AJ103" s="246" t="n"/>
      <c r="AK103" s="260" t="n"/>
    </row>
    <row r="104" ht="14.25" customHeight="1" s="175">
      <c r="A104" s="267" t="inlineStr">
        <is>
          <t>Evan</t>
        </is>
      </c>
      <c r="B104" s="268" t="n">
        <v>1</v>
      </c>
      <c r="C104" s="269" t="inlineStr">
        <is>
          <t>Ethan</t>
        </is>
      </c>
      <c r="D104" s="192" t="inlineStr">
        <is>
          <t>https://discord.com/channels/191975109500731392/1212839710439776287/1290407117886586921</t>
        </is>
      </c>
      <c r="E104" s="173" t="n"/>
      <c r="F104" s="207" t="n"/>
      <c r="J104" s="246" t="n"/>
      <c r="K104" s="246" t="n"/>
      <c r="L104" s="246" t="n"/>
      <c r="M104" s="260" t="n"/>
      <c r="N104" s="260" t="n"/>
      <c r="O104" s="260" t="n"/>
      <c r="P104" s="260" t="n"/>
      <c r="Q104" s="182" t="n"/>
      <c r="T104" s="246" t="n"/>
      <c r="U104" s="246" t="n"/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G104" s="246" t="n"/>
      <c r="AJ104" s="246" t="n"/>
      <c r="AK104" s="260" t="n"/>
    </row>
    <row r="105" ht="14.25" customHeight="1" s="175">
      <c r="A105" s="267" t="inlineStr">
        <is>
          <t>Sam</t>
        </is>
      </c>
      <c r="B105" s="268" t="n">
        <v>1</v>
      </c>
      <c r="C105" s="269" t="inlineStr">
        <is>
          <t>Carter</t>
        </is>
      </c>
      <c r="D105" s="192" t="inlineStr">
        <is>
          <t>https://discord.com/channels/191975109500731392/1212839710439776287/1290421491527188591</t>
        </is>
      </c>
      <c r="E105" s="173" t="n">
        <v>0</v>
      </c>
      <c r="F105" s="207" t="n"/>
      <c r="J105" s="246" t="n"/>
      <c r="K105" s="246" t="n"/>
      <c r="L105" s="246" t="n"/>
      <c r="M105" s="260" t="n"/>
      <c r="N105" s="260" t="n"/>
      <c r="O105" s="260" t="n"/>
      <c r="P105" s="260" t="n"/>
      <c r="Q105" s="182" t="n"/>
      <c r="T105" s="246" t="n"/>
      <c r="U105" s="246" t="n"/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G105" s="246" t="n"/>
      <c r="AJ105" s="246" t="n"/>
      <c r="AK105" s="260" t="n"/>
    </row>
    <row r="106" ht="14.25" customHeight="1" s="175">
      <c r="A106" s="267" t="inlineStr">
        <is>
          <t>Carter</t>
        </is>
      </c>
      <c r="B106" s="268" t="n">
        <v>1</v>
      </c>
      <c r="C106" s="269" t="inlineStr">
        <is>
          <t>Sam</t>
        </is>
      </c>
      <c r="D106" s="192" t="inlineStr">
        <is>
          <t>https://discord.com/channels/191975109500731392/1212839710439776287/1290421550704496732</t>
        </is>
      </c>
      <c r="E106" s="173" t="n"/>
      <c r="F106" s="207" t="n"/>
      <c r="J106" s="246" t="n"/>
      <c r="K106" s="246" t="n"/>
      <c r="L106" s="246" t="n"/>
      <c r="M106" s="260" t="n"/>
      <c r="N106" s="260" t="n"/>
      <c r="O106" s="260" t="n"/>
      <c r="P106" s="260" t="n"/>
      <c r="Q106" s="182" t="n"/>
      <c r="T106" s="246" t="n"/>
      <c r="U106" s="246" t="n"/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G106" s="246" t="n"/>
      <c r="AJ106" s="246" t="n"/>
      <c r="AK106" s="260" t="n"/>
    </row>
    <row r="107" ht="14.25" customHeight="1" s="175">
      <c r="A107" s="267" t="inlineStr">
        <is>
          <t>David</t>
        </is>
      </c>
      <c r="B107" s="268" t="n">
        <v>2</v>
      </c>
      <c r="C107" s="269" t="inlineStr">
        <is>
          <t>Carter</t>
        </is>
      </c>
      <c r="D107" s="192" t="inlineStr">
        <is>
          <t>https://discord.com/channels/191975109500731392/1212839710439776287/1290422233399033958</t>
        </is>
      </c>
      <c r="E107" s="173" t="n">
        <v>0</v>
      </c>
      <c r="F107" s="207" t="n"/>
      <c r="J107" s="246" t="n"/>
      <c r="K107" s="246" t="n"/>
      <c r="L107" s="246" t="n"/>
      <c r="M107" s="260" t="n"/>
      <c r="N107" s="260" t="n"/>
      <c r="O107" s="260" t="n"/>
      <c r="P107" s="260" t="n"/>
      <c r="Q107" s="182" t="n"/>
      <c r="T107" s="246" t="n"/>
      <c r="U107" s="246" t="n"/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G107" s="246" t="n"/>
      <c r="AJ107" s="246" t="n"/>
      <c r="AK107" s="260" t="n"/>
    </row>
    <row r="108" ht="14.25" customHeight="1" s="175">
      <c r="A108" s="267" t="inlineStr">
        <is>
          <t>Maxine</t>
        </is>
      </c>
      <c r="B108" s="268" t="n">
        <v>2</v>
      </c>
      <c r="C108" s="269" t="inlineStr">
        <is>
          <t>Carter</t>
        </is>
      </c>
      <c r="D108" s="192" t="inlineStr">
        <is>
          <t>https://discord.com/channels/191975109500731392/1212839710439776287/1290422307944271913</t>
        </is>
      </c>
      <c r="E108" s="173" t="n">
        <v>0</v>
      </c>
      <c r="F108" s="207" t="n"/>
      <c r="J108" s="246" t="n"/>
      <c r="K108" s="246" t="n"/>
      <c r="L108" s="246" t="n"/>
      <c r="M108" s="260" t="n"/>
      <c r="N108" s="260" t="n"/>
      <c r="O108" s="260" t="n"/>
      <c r="P108" s="260" t="n"/>
      <c r="Q108" s="182" t="n"/>
      <c r="T108" s="246" t="n"/>
      <c r="U108" s="246" t="n"/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G108" s="246" t="n"/>
      <c r="AJ108" s="246" t="n"/>
      <c r="AK108" s="260" t="n"/>
    </row>
    <row r="109" ht="14.25" customHeight="1" s="175">
      <c r="A109" s="267" t="inlineStr">
        <is>
          <t>David</t>
        </is>
      </c>
      <c r="B109" s="268" t="n">
        <v>1</v>
      </c>
      <c r="C109" s="269" t="inlineStr">
        <is>
          <t>Peter</t>
        </is>
      </c>
      <c r="D109" s="192" t="inlineStr">
        <is>
          <t>https://discord.com/channels/191975109500731392/1212839710439776287/1290766441573781515</t>
        </is>
      </c>
      <c r="E109" s="173" t="n"/>
      <c r="F109" s="207" t="n"/>
      <c r="J109" s="246" t="n"/>
      <c r="K109" s="246" t="n"/>
      <c r="L109" s="246" t="n"/>
      <c r="M109" s="260" t="n"/>
      <c r="N109" s="260" t="n"/>
      <c r="O109" s="260" t="n"/>
      <c r="P109" s="260" t="n"/>
      <c r="Q109" s="182" t="n"/>
      <c r="T109" s="246" t="n"/>
      <c r="U109" s="246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G109" s="246" t="n"/>
      <c r="AJ109" s="246" t="n"/>
      <c r="AK109" s="260" t="n"/>
    </row>
    <row r="110" ht="14.25" customHeight="1" s="175">
      <c r="A110" s="267" t="inlineStr">
        <is>
          <t>Peter</t>
        </is>
      </c>
      <c r="B110" s="268" t="n">
        <v>1</v>
      </c>
      <c r="C110" s="269" t="inlineStr">
        <is>
          <t>David</t>
        </is>
      </c>
      <c r="D110" s="192" t="inlineStr">
        <is>
          <t>https://discord.com/channels/191975109500731392/1212839710439776287/1290766483265163376</t>
        </is>
      </c>
      <c r="E110" s="173" t="n"/>
      <c r="F110" s="207" t="n"/>
      <c r="J110" s="246" t="n"/>
      <c r="K110" s="246" t="n"/>
      <c r="L110" s="246" t="n"/>
      <c r="M110" s="260" t="n"/>
      <c r="N110" s="260" t="n"/>
      <c r="O110" s="260" t="n"/>
      <c r="P110" s="260" t="n"/>
      <c r="Q110" s="182" t="n"/>
      <c r="T110" s="246" t="n"/>
      <c r="U110" s="246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G110" s="246" t="n"/>
      <c r="AJ110" s="246" t="n"/>
      <c r="AK110" s="260" t="n"/>
    </row>
    <row r="111" ht="14.25" customHeight="1" s="175">
      <c r="A111" s="267" t="inlineStr">
        <is>
          <t>Carter</t>
        </is>
      </c>
      <c r="B111" s="268" t="n">
        <v>1</v>
      </c>
      <c r="C111" s="269" t="inlineStr">
        <is>
          <t>Peter</t>
        </is>
      </c>
      <c r="D111" s="192" t="inlineStr">
        <is>
          <t>https://discord.com/channels/191975109500731392/1212839710439776287/1290796428410617856</t>
        </is>
      </c>
      <c r="E111" s="173" t="n"/>
      <c r="F111" s="207" t="n"/>
      <c r="J111" s="246" t="n"/>
      <c r="K111" s="246" t="n"/>
      <c r="L111" s="246" t="n"/>
      <c r="M111" s="260" t="n"/>
      <c r="N111" s="260" t="n"/>
      <c r="O111" s="260" t="n"/>
      <c r="P111" s="260" t="n"/>
      <c r="Q111" s="182" t="n"/>
      <c r="T111" s="246" t="n"/>
      <c r="U111" s="246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G111" s="246" t="n"/>
      <c r="AJ111" s="246" t="n"/>
      <c r="AK111" s="260" t="n"/>
    </row>
    <row r="112" ht="14.25" customHeight="1" s="175">
      <c r="A112" s="267" t="inlineStr">
        <is>
          <t>Evan</t>
        </is>
      </c>
      <c r="B112" s="268" t="n">
        <v>2</v>
      </c>
      <c r="C112" s="269" t="inlineStr">
        <is>
          <t>Reuben</t>
        </is>
      </c>
      <c r="D112" s="192" t="inlineStr">
        <is>
          <t>https://discord.com/channels/191975109500731392/1212839710439776287/1290823145518796831</t>
        </is>
      </c>
      <c r="E112" s="173" t="n"/>
      <c r="F112" s="207" t="n"/>
      <c r="J112" s="246" t="n"/>
      <c r="K112" s="246" t="n"/>
      <c r="L112" s="246" t="n"/>
      <c r="M112" s="260" t="n"/>
      <c r="N112" s="260" t="n"/>
      <c r="O112" s="260" t="n"/>
      <c r="P112" s="260" t="n"/>
      <c r="Q112" s="182" t="n"/>
      <c r="T112" s="246" t="n"/>
      <c r="U112" s="246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G112" s="246" t="n"/>
      <c r="AJ112" s="246" t="n"/>
      <c r="AK112" s="260" t="n"/>
    </row>
    <row r="113" ht="14.25" customHeight="1" s="175">
      <c r="A113" s="267" t="inlineStr">
        <is>
          <t>Peter</t>
        </is>
      </c>
      <c r="B113" s="268" t="n">
        <v>2</v>
      </c>
      <c r="C113" s="269" t="inlineStr">
        <is>
          <t>Grady</t>
        </is>
      </c>
      <c r="D113" s="192" t="inlineStr">
        <is>
          <t>https://discord.com/channels/191975109500731392/1212839710439776287/1291056190020653149</t>
        </is>
      </c>
      <c r="E113" s="173" t="n"/>
      <c r="F113" s="207" t="n"/>
      <c r="J113" s="246" t="n"/>
      <c r="K113" s="246" t="n"/>
      <c r="L113" s="246" t="n"/>
      <c r="M113" s="260" t="n"/>
      <c r="N113" s="260" t="n"/>
      <c r="O113" s="260" t="n"/>
      <c r="P113" s="260" t="n"/>
      <c r="Q113" s="182" t="n"/>
      <c r="T113" s="246" t="n"/>
      <c r="U113" s="246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G113" s="246" t="n"/>
      <c r="AJ113" s="246" t="n"/>
      <c r="AK113" s="260" t="n"/>
    </row>
    <row r="114" ht="14.25" customHeight="1" s="175">
      <c r="A114" s="267" t="inlineStr">
        <is>
          <t>Erick</t>
        </is>
      </c>
      <c r="B114" s="268" t="n">
        <v>2</v>
      </c>
      <c r="C114" s="269" t="inlineStr">
        <is>
          <t>David</t>
        </is>
      </c>
      <c r="D114" s="192" t="inlineStr">
        <is>
          <t>https://discord.com/channels/191975109500731392/1212839710439776287/1291104039890587810</t>
        </is>
      </c>
      <c r="E114" s="173" t="n"/>
      <c r="F114" s="207" t="n"/>
      <c r="J114" s="246" t="n"/>
      <c r="K114" s="246" t="n"/>
      <c r="L114" s="246" t="n"/>
      <c r="M114" s="260" t="n"/>
      <c r="N114" s="260" t="n"/>
      <c r="O114" s="260" t="n"/>
      <c r="P114" s="260" t="n"/>
      <c r="Q114" s="182" t="n"/>
      <c r="T114" s="246" t="n"/>
      <c r="U114" s="246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G114" s="246" t="n"/>
      <c r="AJ114" s="246" t="n"/>
      <c r="AK114" s="260" t="n"/>
    </row>
    <row r="115" ht="14.25" customHeight="1" s="175">
      <c r="A115" s="267" t="inlineStr">
        <is>
          <t>Sam</t>
        </is>
      </c>
      <c r="B115" s="268" t="n">
        <v>2</v>
      </c>
      <c r="C115" s="269" t="inlineStr">
        <is>
          <t>Erick</t>
        </is>
      </c>
      <c r="D115" s="192" t="inlineStr">
        <is>
          <t>https://discord.com/channels/191975109500731392/1212839710439776287/1291104434092249181</t>
        </is>
      </c>
      <c r="E115" s="173" t="n"/>
      <c r="F115" s="207" t="n"/>
      <c r="J115" s="246" t="n"/>
      <c r="K115" s="246" t="n"/>
      <c r="L115" s="246" t="n"/>
      <c r="M115" s="260" t="n"/>
      <c r="N115" s="260" t="n"/>
      <c r="O115" s="260" t="n"/>
      <c r="P115" s="260" t="n"/>
      <c r="Q115" s="182" t="n"/>
      <c r="T115" s="246" t="n"/>
      <c r="U115" s="246" t="n"/>
      <c r="V115" s="246" t="n"/>
      <c r="W115" s="246" t="n"/>
      <c r="X115" s="246" t="n"/>
      <c r="Y115" s="246" t="n"/>
      <c r="Z115" s="246" t="n"/>
      <c r="AA115" s="246" t="n"/>
      <c r="AB115" s="246" t="n"/>
      <c r="AC115" s="246" t="n"/>
      <c r="AD115" s="246" t="n"/>
      <c r="AE115" s="246" t="n"/>
      <c r="AF115" s="246" t="n"/>
      <c r="AG115" s="246" t="n"/>
      <c r="AJ115" s="246" t="n"/>
      <c r="AK115" s="260" t="n"/>
    </row>
    <row r="116" ht="14.25" customHeight="1" s="175">
      <c r="A116" s="267" t="inlineStr">
        <is>
          <t>David</t>
        </is>
      </c>
      <c r="B116" s="268" t="n">
        <v>2</v>
      </c>
      <c r="C116" s="269" t="inlineStr">
        <is>
          <t>Erick</t>
        </is>
      </c>
      <c r="D116" s="192" t="inlineStr">
        <is>
          <t>https://discord.com/channels/191975109500731392/1212839710439776287/1291104867829547080</t>
        </is>
      </c>
      <c r="E116" s="173" t="n"/>
      <c r="F116" s="207" t="n"/>
      <c r="J116" s="246" t="n"/>
      <c r="K116" s="246" t="n"/>
      <c r="L116" s="246" t="n"/>
      <c r="M116" s="260" t="n"/>
      <c r="N116" s="260" t="n"/>
      <c r="O116" s="260" t="n"/>
      <c r="P116" s="260" t="n"/>
      <c r="Q116" s="182" t="n"/>
      <c r="T116" s="246" t="n"/>
      <c r="U116" s="246" t="n"/>
      <c r="V116" s="246" t="n"/>
      <c r="W116" s="246" t="n"/>
      <c r="X116" s="246" t="n"/>
      <c r="Y116" s="246" t="n"/>
      <c r="Z116" s="246" t="n"/>
      <c r="AA116" s="246" t="n"/>
      <c r="AB116" s="246" t="n"/>
      <c r="AC116" s="246" t="n"/>
      <c r="AD116" s="246" t="n"/>
      <c r="AE116" s="246" t="n"/>
      <c r="AF116" s="246" t="n"/>
      <c r="AG116" s="246" t="n"/>
      <c r="AJ116" s="246" t="n"/>
      <c r="AK116" s="260" t="n"/>
    </row>
    <row r="117" ht="14.25" customHeight="1" s="175">
      <c r="A117" s="267" t="inlineStr">
        <is>
          <t>David</t>
        </is>
      </c>
      <c r="B117" s="268" t="n">
        <v>2</v>
      </c>
      <c r="C117" s="269" t="inlineStr">
        <is>
          <t>Maxine</t>
        </is>
      </c>
      <c r="D117" s="192" t="inlineStr">
        <is>
          <t>https://discord.com/channels/191975109500731392/1212839710439776287/1291403288717037750</t>
        </is>
      </c>
      <c r="E117" s="173" t="n"/>
      <c r="F117" s="207" t="n"/>
      <c r="J117" s="246" t="n"/>
      <c r="K117" s="246" t="n"/>
      <c r="L117" s="246" t="n"/>
      <c r="M117" s="260" t="n"/>
      <c r="N117" s="260" t="n"/>
      <c r="O117" s="260" t="n"/>
      <c r="P117" s="260" t="n"/>
      <c r="Q117" s="182" t="n"/>
      <c r="T117" s="246" t="n"/>
      <c r="U117" s="246" t="n"/>
      <c r="V117" s="246" t="n"/>
      <c r="W117" s="246" t="n"/>
      <c r="X117" s="246" t="n"/>
      <c r="Y117" s="246" t="n"/>
      <c r="Z117" s="246" t="n"/>
      <c r="AA117" s="246" t="n"/>
      <c r="AB117" s="246" t="n"/>
      <c r="AC117" s="246" t="n"/>
      <c r="AD117" s="246" t="n"/>
      <c r="AE117" s="246" t="n"/>
      <c r="AF117" s="246" t="n"/>
      <c r="AG117" s="246" t="n"/>
      <c r="AJ117" s="246" t="n"/>
      <c r="AK117" s="260" t="n"/>
    </row>
    <row r="118" ht="14.25" customHeight="1" s="175">
      <c r="A118" s="267" t="inlineStr">
        <is>
          <t>Maxine</t>
        </is>
      </c>
      <c r="B118" s="268" t="n">
        <v>1</v>
      </c>
      <c r="C118" s="269" t="inlineStr">
        <is>
          <t>David</t>
        </is>
      </c>
      <c r="D118" s="192" t="inlineStr">
        <is>
          <t>https://discord.com/channels/191975109500731392/1212839710439776287/1291403367779930264</t>
        </is>
      </c>
      <c r="E118" s="173" t="n"/>
      <c r="F118" s="207" t="n"/>
      <c r="J118" s="246" t="n"/>
      <c r="K118" s="246" t="n"/>
      <c r="L118" s="246" t="n"/>
      <c r="M118" s="260" t="n"/>
      <c r="N118" s="260" t="n"/>
      <c r="O118" s="260" t="n"/>
      <c r="P118" s="260" t="n"/>
      <c r="Q118" s="182" t="n"/>
      <c r="T118" s="246" t="n"/>
      <c r="U118" s="246" t="n"/>
      <c r="V118" s="246" t="n"/>
      <c r="W118" s="246" t="n"/>
      <c r="X118" s="246" t="n"/>
      <c r="Y118" s="246" t="n"/>
      <c r="Z118" s="246" t="n"/>
      <c r="AA118" s="246" t="n"/>
      <c r="AB118" s="246" t="n"/>
      <c r="AC118" s="246" t="n"/>
      <c r="AD118" s="246" t="n"/>
      <c r="AE118" s="246" t="n"/>
      <c r="AF118" s="246" t="n"/>
      <c r="AG118" s="246" t="n"/>
      <c r="AJ118" s="246" t="n"/>
      <c r="AK118" s="260" t="n"/>
    </row>
    <row r="119" ht="14.25" customHeight="1" s="175">
      <c r="A119" s="267" t="inlineStr">
        <is>
          <t>Erick</t>
        </is>
      </c>
      <c r="B119" s="268" t="n">
        <v>1</v>
      </c>
      <c r="C119" s="269" t="inlineStr">
        <is>
          <t>Jon</t>
        </is>
      </c>
      <c r="D119" s="192" t="inlineStr">
        <is>
          <t>https://discord.com/channels/191975109500731392/1212839710439776287/1291479137151746048</t>
        </is>
      </c>
      <c r="E119" s="173" t="n"/>
      <c r="F119" s="207" t="n"/>
      <c r="J119" s="246" t="n"/>
      <c r="K119" s="246" t="n"/>
      <c r="L119" s="246" t="n"/>
      <c r="M119" s="260" t="n"/>
      <c r="N119" s="260" t="n"/>
      <c r="O119" s="260" t="n"/>
      <c r="P119" s="260" t="n"/>
      <c r="Q119" s="182" t="n"/>
      <c r="T119" s="246" t="n"/>
      <c r="U119" s="246" t="n"/>
      <c r="V119" s="246" t="n"/>
      <c r="W119" s="246" t="n"/>
      <c r="X119" s="246" t="n"/>
      <c r="Y119" s="246" t="n"/>
      <c r="Z119" s="246" t="n"/>
      <c r="AA119" s="246" t="n"/>
      <c r="AB119" s="246" t="n"/>
      <c r="AC119" s="246" t="n"/>
      <c r="AD119" s="246" t="n"/>
      <c r="AE119" s="246" t="n"/>
      <c r="AF119" s="246" t="n"/>
      <c r="AG119" s="246" t="n"/>
      <c r="AJ119" s="246" t="n"/>
      <c r="AK119" s="260" t="n"/>
    </row>
    <row r="120" ht="14.25" customHeight="1" s="175">
      <c r="A120" s="267" t="inlineStr">
        <is>
          <t>Jon</t>
        </is>
      </c>
      <c r="B120" s="268" t="n">
        <v>1</v>
      </c>
      <c r="C120" s="269" t="inlineStr">
        <is>
          <t>Erick</t>
        </is>
      </c>
      <c r="D120" s="192" t="inlineStr">
        <is>
          <t>https://discord.com/channels/191975109500731392/1212839710439776287/1291479190889037834</t>
        </is>
      </c>
      <c r="E120" s="173" t="n"/>
      <c r="F120" s="207" t="n"/>
      <c r="J120" s="246" t="n"/>
      <c r="K120" s="246" t="n"/>
      <c r="L120" s="246" t="n"/>
      <c r="M120" s="260" t="n"/>
      <c r="N120" s="260" t="n"/>
      <c r="O120" s="260" t="n"/>
      <c r="P120" s="260" t="n"/>
      <c r="Q120" s="182" t="n"/>
      <c r="T120" s="246" t="n"/>
      <c r="U120" s="246" t="n"/>
      <c r="V120" s="246" t="n"/>
      <c r="W120" s="246" t="n"/>
      <c r="X120" s="246" t="n"/>
      <c r="Y120" s="246" t="n"/>
      <c r="Z120" s="246" t="n"/>
      <c r="AA120" s="246" t="n"/>
      <c r="AB120" s="246" t="n"/>
      <c r="AC120" s="246" t="n"/>
      <c r="AD120" s="246" t="n"/>
      <c r="AE120" s="246" t="n"/>
      <c r="AF120" s="246" t="n"/>
      <c r="AG120" s="246" t="n"/>
      <c r="AJ120" s="246" t="n"/>
      <c r="AK120" s="260" t="n"/>
    </row>
    <row r="121" ht="14.25" customHeight="1" s="175">
      <c r="A121" s="267" t="inlineStr">
        <is>
          <t>Peter</t>
        </is>
      </c>
      <c r="B121" s="268" t="n">
        <v>2</v>
      </c>
      <c r="C121" s="269" t="inlineStr">
        <is>
          <t>Reuben</t>
        </is>
      </c>
      <c r="D121" s="192" t="inlineStr">
        <is>
          <t>https://discord.com/channels/191975109500731392/1212839710439776287/1292216183675949087</t>
        </is>
      </c>
      <c r="E121" s="173" t="n"/>
      <c r="F121" s="207" t="n"/>
      <c r="J121" s="246" t="n"/>
      <c r="K121" s="246" t="n"/>
      <c r="L121" s="246" t="n"/>
      <c r="M121" s="260" t="n"/>
      <c r="N121" s="260" t="n"/>
      <c r="O121" s="260" t="n"/>
      <c r="P121" s="260" t="n"/>
      <c r="Q121" s="182" t="n"/>
      <c r="T121" s="246" t="n"/>
      <c r="U121" s="246" t="n"/>
      <c r="V121" s="246" t="n"/>
      <c r="W121" s="246" t="n"/>
      <c r="X121" s="246" t="n"/>
      <c r="Y121" s="246" t="n"/>
      <c r="Z121" s="246" t="n"/>
      <c r="AA121" s="246" t="n"/>
      <c r="AB121" s="246" t="n"/>
      <c r="AC121" s="246" t="n"/>
      <c r="AD121" s="246" t="n"/>
      <c r="AE121" s="246" t="n"/>
      <c r="AF121" s="246" t="n"/>
      <c r="AG121" s="246" t="n"/>
      <c r="AJ121" s="246" t="n"/>
      <c r="AK121" s="260" t="n"/>
    </row>
    <row r="122" ht="14.25" customHeight="1" s="175">
      <c r="A122" s="267" t="inlineStr">
        <is>
          <t>David</t>
        </is>
      </c>
      <c r="B122" s="268" t="n">
        <v>2</v>
      </c>
      <c r="C122" s="269" t="inlineStr">
        <is>
          <t>Reuben</t>
        </is>
      </c>
      <c r="D122" s="192" t="inlineStr">
        <is>
          <t>https://discord.com/channels/191975109500731392/1212839710439776287/1292629502060527647</t>
        </is>
      </c>
      <c r="E122" s="173" t="n"/>
      <c r="F122" s="207" t="n"/>
      <c r="J122" s="246" t="n"/>
      <c r="K122" s="246" t="n"/>
      <c r="L122" s="246" t="n"/>
      <c r="M122" s="260" t="n"/>
      <c r="N122" s="260" t="n"/>
      <c r="O122" s="260" t="n"/>
      <c r="P122" s="260" t="n"/>
      <c r="Q122" s="182" t="n"/>
      <c r="T122" s="246" t="n"/>
      <c r="U122" s="246" t="n"/>
      <c r="V122" s="246" t="n"/>
      <c r="W122" s="246" t="n"/>
      <c r="X122" s="246" t="n"/>
      <c r="Y122" s="246" t="n"/>
      <c r="Z122" s="246" t="n"/>
      <c r="AA122" s="246" t="n"/>
      <c r="AB122" s="246" t="n"/>
      <c r="AC122" s="246" t="n"/>
      <c r="AD122" s="246" t="n"/>
      <c r="AE122" s="246" t="n"/>
      <c r="AF122" s="246" t="n"/>
      <c r="AG122" s="246" t="n"/>
      <c r="AJ122" s="246" t="n"/>
      <c r="AK122" s="260" t="n"/>
    </row>
    <row r="123" ht="14.25" customHeight="1" s="175">
      <c r="A123" s="267" t="inlineStr">
        <is>
          <t>David</t>
        </is>
      </c>
      <c r="B123" s="268" t="n">
        <v>2</v>
      </c>
      <c r="C123" s="269" t="inlineStr">
        <is>
          <t>Carter</t>
        </is>
      </c>
      <c r="D123" s="192" t="inlineStr">
        <is>
          <t>https://discord.com/channels/191975109500731392/1212839710439776287/1292862096991850587</t>
        </is>
      </c>
      <c r="E123" s="173" t="n">
        <v>1</v>
      </c>
      <c r="F123" s="207" t="n"/>
      <c r="J123" s="246" t="n"/>
      <c r="K123" s="246" t="n"/>
      <c r="L123" s="246" t="n"/>
      <c r="M123" s="260" t="n"/>
      <c r="N123" s="260" t="n"/>
      <c r="O123" s="260" t="n"/>
      <c r="P123" s="260" t="n"/>
      <c r="Q123" s="182" t="n"/>
      <c r="T123" s="246" t="n"/>
      <c r="U123" s="246" t="n"/>
      <c r="V123" s="246" t="n"/>
      <c r="W123" s="246" t="n"/>
      <c r="X123" s="246" t="n"/>
      <c r="Y123" s="246" t="n"/>
      <c r="Z123" s="246" t="n"/>
      <c r="AA123" s="246" t="n"/>
      <c r="AB123" s="246" t="n"/>
      <c r="AC123" s="246" t="n"/>
      <c r="AD123" s="246" t="n"/>
      <c r="AE123" s="246" t="n"/>
      <c r="AF123" s="246" t="n"/>
      <c r="AG123" s="246" t="n"/>
      <c r="AJ123" s="246" t="n"/>
      <c r="AK123" s="260" t="n"/>
    </row>
    <row r="124" ht="14.25" customHeight="1" s="175">
      <c r="A124" s="267" t="inlineStr">
        <is>
          <t>Grady</t>
        </is>
      </c>
      <c r="B124" s="268" t="n">
        <v>2</v>
      </c>
      <c r="C124" s="269" t="inlineStr">
        <is>
          <t>Ethan</t>
        </is>
      </c>
      <c r="D124" s="192" t="inlineStr">
        <is>
          <t>https://discord.com/channels/191975109500731392/1212839710439776287/1292863629892386839</t>
        </is>
      </c>
      <c r="E124" s="173" t="n"/>
      <c r="F124" s="207" t="n"/>
      <c r="J124" s="246" t="n"/>
      <c r="K124" s="246" t="n"/>
      <c r="L124" s="246" t="n"/>
      <c r="M124" s="260" t="n"/>
      <c r="N124" s="260" t="n"/>
      <c r="O124" s="260" t="n"/>
      <c r="P124" s="260" t="n"/>
      <c r="Q124" s="182" t="n"/>
      <c r="T124" s="246" t="n"/>
      <c r="U124" s="246" t="n"/>
      <c r="V124" s="246" t="n"/>
      <c r="W124" s="246" t="n"/>
      <c r="X124" s="246" t="n"/>
      <c r="Y124" s="246" t="n"/>
      <c r="Z124" s="246" t="n"/>
      <c r="AA124" s="246" t="n"/>
      <c r="AB124" s="246" t="n"/>
      <c r="AC124" s="246" t="n"/>
      <c r="AD124" s="246" t="n"/>
      <c r="AE124" s="246" t="n"/>
      <c r="AF124" s="246" t="n"/>
      <c r="AG124" s="246" t="n"/>
      <c r="AJ124" s="246" t="n"/>
      <c r="AK124" s="260" t="n"/>
    </row>
    <row r="125" ht="14.25" customHeight="1" s="175">
      <c r="A125" s="267" t="inlineStr">
        <is>
          <t>Sam</t>
        </is>
      </c>
      <c r="B125" s="268" t="n">
        <v>1</v>
      </c>
      <c r="C125" s="269" t="inlineStr">
        <is>
          <t>Jon</t>
        </is>
      </c>
      <c r="D125" s="192" t="inlineStr">
        <is>
          <t>https://discord.com/channels/191975109500731392/1212839710439776287/1292905307764428903</t>
        </is>
      </c>
      <c r="E125" s="173" t="n"/>
      <c r="F125" s="207" t="n"/>
      <c r="J125" s="246" t="n"/>
      <c r="K125" s="246" t="n"/>
      <c r="L125" s="246" t="n"/>
      <c r="M125" s="260" t="n"/>
      <c r="N125" s="260" t="n"/>
      <c r="O125" s="260" t="n"/>
      <c r="P125" s="260" t="n"/>
      <c r="Q125" s="182" t="n"/>
      <c r="T125" s="246" t="n"/>
      <c r="U125" s="246" t="n"/>
      <c r="V125" s="246" t="n"/>
      <c r="W125" s="246" t="n"/>
      <c r="X125" s="246" t="n"/>
      <c r="Y125" s="246" t="n"/>
      <c r="Z125" s="246" t="n"/>
      <c r="AA125" s="246" t="n"/>
      <c r="AB125" s="246" t="n"/>
      <c r="AC125" s="246" t="n"/>
      <c r="AD125" s="246" t="n"/>
      <c r="AE125" s="246" t="n"/>
      <c r="AF125" s="246" t="n"/>
      <c r="AG125" s="246" t="n"/>
      <c r="AJ125" s="246" t="n"/>
      <c r="AK125" s="260" t="n"/>
    </row>
    <row r="126" ht="14.25" customHeight="1" s="175">
      <c r="A126" s="267" t="inlineStr">
        <is>
          <t>Evan</t>
        </is>
      </c>
      <c r="B126" s="268" t="n">
        <v>1</v>
      </c>
      <c r="C126" s="294" t="inlineStr">
        <is>
          <t>Grady</t>
        </is>
      </c>
      <c r="D126" s="192" t="inlineStr">
        <is>
          <t>https://discord.com/channels/191975109500731392/1212839710439776287/1292907229623746630</t>
        </is>
      </c>
      <c r="E126" s="173" t="n"/>
      <c r="F126" s="207" t="n"/>
    </row>
    <row r="127" ht="14.25" customHeight="1" s="175">
      <c r="A127" s="267" t="inlineStr">
        <is>
          <t>Grady</t>
        </is>
      </c>
      <c r="B127" s="268" t="n">
        <v>1</v>
      </c>
      <c r="C127" s="294" t="inlineStr">
        <is>
          <t>Evan</t>
        </is>
      </c>
      <c r="D127" s="192" t="inlineStr">
        <is>
          <t>https://discord.com/channels/191975109500731392/1212839710439776287/1292907231674630336</t>
        </is>
      </c>
      <c r="E127" s="173" t="n"/>
      <c r="F127" s="207" t="n"/>
    </row>
    <row r="128" ht="14.25" customHeight="1" s="175">
      <c r="A128" s="267" t="inlineStr">
        <is>
          <t>David</t>
        </is>
      </c>
      <c r="B128" s="268" t="n">
        <v>1</v>
      </c>
      <c r="C128" s="294" t="inlineStr">
        <is>
          <t>Carter</t>
        </is>
      </c>
      <c r="D128" s="192" t="inlineStr">
        <is>
          <t>https://discord.com/channels/191975109500731392/1212839710439776287/1292908176769028169</t>
        </is>
      </c>
      <c r="E128" s="173" t="n">
        <v>1</v>
      </c>
      <c r="F128" s="207" t="n"/>
    </row>
    <row r="129" ht="14.25" customHeight="1" s="175">
      <c r="A129" s="267" t="inlineStr">
        <is>
          <t>Carter</t>
        </is>
      </c>
      <c r="B129" s="268" t="n">
        <v>1</v>
      </c>
      <c r="C129" s="294" t="inlineStr">
        <is>
          <t>David</t>
        </is>
      </c>
      <c r="D129" s="192" t="inlineStr">
        <is>
          <t>https://discord.com/channels/191975109500731392/1212839710439776287/1292908236889919499</t>
        </is>
      </c>
      <c r="E129" s="173" t="n"/>
      <c r="F129" s="207" t="n"/>
    </row>
    <row r="130" ht="14.25" customHeight="1" s="175">
      <c r="A130" s="267" t="inlineStr">
        <is>
          <t>Evan</t>
        </is>
      </c>
      <c r="B130" s="268" t="n">
        <v>1</v>
      </c>
      <c r="C130" s="269" t="inlineStr">
        <is>
          <t>Ethan</t>
        </is>
      </c>
      <c r="D130" s="192" t="inlineStr">
        <is>
          <t>https://discord.com/channels/191975109500731392/1212839710439776287/1292960282154369177</t>
        </is>
      </c>
      <c r="E130" s="173" t="n"/>
      <c r="F130" s="207" t="n"/>
    </row>
    <row r="131" ht="14.25" customHeight="1" s="175">
      <c r="A131" s="267" t="inlineStr">
        <is>
          <t>Carter</t>
        </is>
      </c>
      <c r="B131" s="268" t="n">
        <v>1</v>
      </c>
      <c r="C131" s="269" t="inlineStr">
        <is>
          <t>David</t>
        </is>
      </c>
      <c r="D131" s="192" t="inlineStr">
        <is>
          <t>https://discord.com/channels/191975109500731392/1212839710439776287/1292964878822150155</t>
        </is>
      </c>
      <c r="E131" s="173" t="n"/>
      <c r="F131" s="207" t="n"/>
    </row>
    <row r="132" ht="14.25" customHeight="1" s="175">
      <c r="A132" s="267" t="inlineStr">
        <is>
          <t>David</t>
        </is>
      </c>
      <c r="B132" s="268" t="n">
        <v>1</v>
      </c>
      <c r="C132" s="269" t="inlineStr">
        <is>
          <t>Carter</t>
        </is>
      </c>
      <c r="D132" s="192" t="inlineStr">
        <is>
          <t>https://discord.com/channels/191975109500731392/1212839710439776287/1292964943087403089</t>
        </is>
      </c>
      <c r="E132" s="173" t="n">
        <v>0</v>
      </c>
      <c r="F132" s="207" t="n"/>
    </row>
    <row r="133" ht="14.25" customHeight="1" s="175">
      <c r="A133" s="267" t="inlineStr">
        <is>
          <t>Carter</t>
        </is>
      </c>
      <c r="B133" s="268" t="n">
        <v>1</v>
      </c>
      <c r="C133" s="269" t="inlineStr">
        <is>
          <t>Peter</t>
        </is>
      </c>
      <c r="D133" s="192" t="inlineStr">
        <is>
          <t>https://discord.com/channels/191975109500731392/1212839710439776287/1293223030633402481</t>
        </is>
      </c>
      <c r="E133" s="173" t="n"/>
      <c r="F133" s="207" t="n"/>
    </row>
    <row r="134" ht="14.25" customHeight="1" s="175">
      <c r="A134" s="267" t="inlineStr">
        <is>
          <t>Peter</t>
        </is>
      </c>
      <c r="B134" s="268" t="n">
        <v>1</v>
      </c>
      <c r="C134" s="269" t="inlineStr">
        <is>
          <t>Carter</t>
        </is>
      </c>
      <c r="D134" s="192" t="inlineStr">
        <is>
          <t>https://discord.com/channels/191975109500731392/1212839710439776287/1293223601461395517</t>
        </is>
      </c>
      <c r="E134" s="173" t="n">
        <v>0</v>
      </c>
      <c r="F134" s="207" t="n"/>
    </row>
    <row r="135" ht="14.25" customHeight="1" s="175">
      <c r="A135" s="267" t="inlineStr">
        <is>
          <t>Maxine</t>
        </is>
      </c>
      <c r="B135" s="268" t="n">
        <v>1</v>
      </c>
      <c r="C135" s="269" t="inlineStr">
        <is>
          <t>Ethan</t>
        </is>
      </c>
      <c r="D135" s="192" t="inlineStr">
        <is>
          <t>https://discord.com/channels/191975109500731392/1212839710439776287/1293239912711061608</t>
        </is>
      </c>
      <c r="E135" s="173" t="n"/>
      <c r="F135" s="207" t="n"/>
    </row>
    <row r="136" ht="14.25" customHeight="1" s="175">
      <c r="A136" s="267" t="inlineStr">
        <is>
          <t>Ethan</t>
        </is>
      </c>
      <c r="B136" s="268" t="n">
        <v>1</v>
      </c>
      <c r="C136" s="269" t="inlineStr">
        <is>
          <t>Maxine</t>
        </is>
      </c>
      <c r="D136" s="192" t="inlineStr">
        <is>
          <t>https://discord.com/channels/191975109500731392/1212839710439776287/1293240048128360532</t>
        </is>
      </c>
      <c r="E136" s="173" t="n"/>
      <c r="F136" s="207" t="n"/>
    </row>
    <row r="137" ht="14.25" customHeight="1" s="175">
      <c r="A137" s="267" t="inlineStr">
        <is>
          <t>Maxine</t>
        </is>
      </c>
      <c r="B137" s="268" t="n">
        <v>2</v>
      </c>
      <c r="C137" s="269" t="inlineStr">
        <is>
          <t>Evan</t>
        </is>
      </c>
      <c r="D137" s="192" t="inlineStr">
        <is>
          <t>https://discord.com/channels/191975109500731392/1212839710439776287/1293242945192857680</t>
        </is>
      </c>
      <c r="E137" s="173" t="n"/>
      <c r="F137" s="207" t="n"/>
    </row>
    <row r="138" ht="14.25" customHeight="1" s="175">
      <c r="A138" s="267" t="inlineStr">
        <is>
          <t>David</t>
        </is>
      </c>
      <c r="B138" s="268" t="n">
        <v>1</v>
      </c>
      <c r="C138" s="269" t="inlineStr">
        <is>
          <t>Maxine</t>
        </is>
      </c>
      <c r="D138" s="192" t="inlineStr">
        <is>
          <t>https://discord.com/channels/191975109500731392/1212839710439776287/1293242188385222737</t>
        </is>
      </c>
      <c r="E138" s="173" t="n"/>
      <c r="F138" s="207" t="n"/>
    </row>
    <row r="139" ht="14.25" customHeight="1" s="175">
      <c r="A139" s="267" t="inlineStr">
        <is>
          <t>Maxine</t>
        </is>
      </c>
      <c r="B139" s="268" t="n">
        <v>1</v>
      </c>
      <c r="C139" s="269" t="inlineStr">
        <is>
          <t>David</t>
        </is>
      </c>
      <c r="D139" s="192" t="inlineStr">
        <is>
          <t>https://discord.com/channels/191975109500731392/1212839710439776287/1293242272921423930</t>
        </is>
      </c>
      <c r="E139" s="173" t="n"/>
      <c r="F139" s="207" t="n"/>
    </row>
    <row r="140" ht="14.25" customHeight="1" s="175">
      <c r="A140" s="267" t="inlineStr">
        <is>
          <t>Jon</t>
        </is>
      </c>
      <c r="B140" s="268" t="n">
        <v>2</v>
      </c>
      <c r="C140" s="269" t="inlineStr">
        <is>
          <t>Carter</t>
        </is>
      </c>
      <c r="D140" s="192" t="inlineStr">
        <is>
          <t>https://discord.com/channels/191975109500731392/1212839710439776287/1293246868729499678</t>
        </is>
      </c>
      <c r="E140" s="173" t="n">
        <v>1</v>
      </c>
      <c r="F140" s="207" t="n"/>
    </row>
    <row r="141" ht="14.25" customHeight="1" s="175">
      <c r="A141" s="267" t="inlineStr">
        <is>
          <t>Carter</t>
        </is>
      </c>
      <c r="B141" s="268" t="n">
        <v>1</v>
      </c>
      <c r="C141" s="269" t="inlineStr">
        <is>
          <t>Sam</t>
        </is>
      </c>
      <c r="D141" s="192" t="inlineStr">
        <is>
          <t>https://discord.com/channels/191975109500731392/1212839710439776287/1293281359023833190</t>
        </is>
      </c>
      <c r="E141" s="173" t="n"/>
      <c r="F141" s="207" t="n"/>
    </row>
    <row r="142" ht="14.25" customHeight="1" s="175">
      <c r="A142" s="267" t="inlineStr">
        <is>
          <t>Tyler</t>
        </is>
      </c>
      <c r="B142" s="268" t="n">
        <v>2</v>
      </c>
      <c r="C142" s="269" t="inlineStr">
        <is>
          <t>Reuben</t>
        </is>
      </c>
      <c r="D142" s="192" t="inlineStr">
        <is>
          <t>https://discord.com/channels/191975109500731392/1212839710439776287/1293287518246141952</t>
        </is>
      </c>
      <c r="E142" s="173" t="n"/>
      <c r="F142" s="207" t="n"/>
    </row>
    <row r="143" ht="14.25" customHeight="1" s="175">
      <c r="A143" s="267" t="inlineStr">
        <is>
          <t>Ethan</t>
        </is>
      </c>
      <c r="B143" s="268" t="n">
        <v>2</v>
      </c>
      <c r="C143" s="269" t="inlineStr">
        <is>
          <t>Carter</t>
        </is>
      </c>
      <c r="D143" s="192" t="inlineStr">
        <is>
          <t>https://discord.com/channels/191975109500731392/1212839710439776287/1293335485502062633</t>
        </is>
      </c>
      <c r="E143" s="173" t="n">
        <v>0</v>
      </c>
      <c r="F143" s="207" t="n"/>
    </row>
    <row r="144" ht="14.25" customHeight="1" s="175">
      <c r="A144" s="267" t="inlineStr">
        <is>
          <t>Carter</t>
        </is>
      </c>
      <c r="B144" s="268" t="n">
        <v>1</v>
      </c>
      <c r="C144" s="269" t="inlineStr">
        <is>
          <t>Ethan</t>
        </is>
      </c>
      <c r="D144" s="192" t="inlineStr">
        <is>
          <t>https://discord.com/channels/191975109500731392/1212839710439776287/1293344194219343883</t>
        </is>
      </c>
      <c r="E144" s="173" t="n"/>
      <c r="F144" s="207" t="n"/>
    </row>
    <row r="145" ht="14.25" customHeight="1" s="175">
      <c r="A145" s="267" t="inlineStr">
        <is>
          <t>Ethan</t>
        </is>
      </c>
      <c r="B145" s="268" t="n">
        <v>1</v>
      </c>
      <c r="C145" s="269" t="inlineStr">
        <is>
          <t>Carter</t>
        </is>
      </c>
      <c r="D145" s="192" t="inlineStr">
        <is>
          <t>https://discord.com/channels/191975109500731392/1212839710439776287/1293344225563246674</t>
        </is>
      </c>
      <c r="E145" s="173" t="n">
        <v>0</v>
      </c>
      <c r="F145" s="207" t="n"/>
    </row>
    <row r="146" ht="14.25" customHeight="1" s="175">
      <c r="A146" s="267" t="inlineStr">
        <is>
          <t>Peter</t>
        </is>
      </c>
      <c r="B146" s="268" t="n">
        <v>1</v>
      </c>
      <c r="C146" s="269" t="inlineStr">
        <is>
          <t>Ethan</t>
        </is>
      </c>
      <c r="D146" s="192" t="inlineStr">
        <is>
          <t>https://discord.com/channels/191975109500731392/1212839710439776287/1293571461700911134</t>
        </is>
      </c>
      <c r="E146" s="173" t="n"/>
      <c r="F146" s="207" t="n"/>
    </row>
    <row r="147" ht="14.25" customHeight="1" s="175">
      <c r="A147" s="267" t="inlineStr">
        <is>
          <t>Ethan</t>
        </is>
      </c>
      <c r="B147" s="268" t="n">
        <v>1</v>
      </c>
      <c r="C147" s="269" t="inlineStr">
        <is>
          <t>Peter</t>
        </is>
      </c>
      <c r="D147" s="192" t="inlineStr">
        <is>
          <t>https://discord.com/channels/191975109500731392/1212839710439776287/1293571750994640988</t>
        </is>
      </c>
      <c r="E147" s="173" t="n"/>
      <c r="F147" s="207" t="n"/>
    </row>
    <row r="148" ht="14.25" customHeight="1" s="175">
      <c r="A148" s="267" t="inlineStr">
        <is>
          <t>David</t>
        </is>
      </c>
      <c r="B148" s="268" t="n">
        <v>2</v>
      </c>
      <c r="C148" s="269" t="inlineStr">
        <is>
          <t>Ethan</t>
        </is>
      </c>
      <c r="D148" s="192" t="inlineStr">
        <is>
          <t>https://discord.com/channels/191975109500731392/1212839710439776287/1293572307817730049</t>
        </is>
      </c>
      <c r="E148" s="173" t="n"/>
      <c r="F148" s="207" t="n"/>
    </row>
    <row r="149" ht="14.25" customHeight="1" s="175">
      <c r="A149" s="267" t="inlineStr">
        <is>
          <t>David</t>
        </is>
      </c>
      <c r="B149" s="268" t="n">
        <v>2</v>
      </c>
      <c r="C149" s="269" t="inlineStr">
        <is>
          <t>Reuben</t>
        </is>
      </c>
      <c r="D149" s="192" t="inlineStr">
        <is>
          <t>https://discord.com/channels/191975109500731392/1212839710439776287/1293574196030607361</t>
        </is>
      </c>
      <c r="E149" s="173" t="n"/>
      <c r="F149" s="207" t="n"/>
    </row>
    <row r="150" ht="14.25" customHeight="1" s="175">
      <c r="A150" s="267" t="inlineStr">
        <is>
          <t>David</t>
        </is>
      </c>
      <c r="B150" s="268" t="n">
        <v>2</v>
      </c>
      <c r="C150" s="269" t="inlineStr">
        <is>
          <t>Carter</t>
        </is>
      </c>
      <c r="D150" s="192" t="inlineStr">
        <is>
          <t>https://discord.com/channels/191975109500731392/1212839710439776287/1293587461108400208</t>
        </is>
      </c>
      <c r="E150" s="173" t="n">
        <v>1</v>
      </c>
      <c r="F150" s="207" t="n"/>
    </row>
    <row r="151" ht="14.25" customHeight="1" s="175">
      <c r="A151" s="267" t="inlineStr">
        <is>
          <t>Evan</t>
        </is>
      </c>
      <c r="B151" s="268" t="n">
        <v>2</v>
      </c>
      <c r="C151" s="269" t="inlineStr">
        <is>
          <t>Erick</t>
        </is>
      </c>
      <c r="D151" s="192" t="inlineStr">
        <is>
          <t>https://discord.com/channels/191975109500731392/1212839710439776287/1293587778986311680</t>
        </is>
      </c>
      <c r="E151" s="173" t="n"/>
      <c r="F151" s="207" t="n"/>
    </row>
    <row r="152" ht="14.25" customHeight="1" s="175">
      <c r="A152" s="267" t="inlineStr">
        <is>
          <t>David</t>
        </is>
      </c>
      <c r="B152" s="268" t="n">
        <v>2</v>
      </c>
      <c r="C152" s="269" t="inlineStr">
        <is>
          <t>Erick</t>
        </is>
      </c>
      <c r="D152" s="192" t="inlineStr">
        <is>
          <t>https://discord.com/channels/191975109500731392/1212839710439776287/1293588092770320444</t>
        </is>
      </c>
      <c r="E152" s="173" t="n"/>
      <c r="F152" s="207" t="n"/>
    </row>
    <row r="153" ht="14.25" customHeight="1" s="175">
      <c r="A153" s="267" t="inlineStr">
        <is>
          <t>Peter</t>
        </is>
      </c>
      <c r="B153" s="268" t="n">
        <v>2</v>
      </c>
      <c r="C153" s="269" t="inlineStr">
        <is>
          <t>Grady</t>
        </is>
      </c>
      <c r="D153" s="192" t="inlineStr">
        <is>
          <t>https://discord.com/channels/191975109500731392/1212839710439776287/1293592520101724160</t>
        </is>
      </c>
      <c r="E153" s="173" t="n"/>
      <c r="F153" s="207" t="n"/>
    </row>
    <row r="154" ht="14.25" customHeight="1" s="175">
      <c r="A154" s="267" t="inlineStr">
        <is>
          <t>Peter</t>
        </is>
      </c>
      <c r="B154" s="268" t="n">
        <v>1</v>
      </c>
      <c r="C154" s="269" t="inlineStr">
        <is>
          <t>Grady</t>
        </is>
      </c>
      <c r="D154" s="192" t="inlineStr">
        <is>
          <t>https://discord.com/channels/191975109500731392/1212839710439776287/1293629213999370290</t>
        </is>
      </c>
      <c r="E154" s="173" t="n"/>
      <c r="F154" s="207" t="n"/>
    </row>
    <row r="155" ht="14.25" customHeight="1" s="175">
      <c r="A155" s="267" t="inlineStr">
        <is>
          <t>David</t>
        </is>
      </c>
      <c r="B155" s="268" t="n">
        <v>1</v>
      </c>
      <c r="C155" s="269" t="inlineStr">
        <is>
          <t>Carter</t>
        </is>
      </c>
      <c r="D155" s="192" t="inlineStr">
        <is>
          <t>https://discord.com/channels/191975109500731392/1212839710439776287/1293630132866650132</t>
        </is>
      </c>
      <c r="E155" s="173" t="n">
        <v>1</v>
      </c>
      <c r="F155" s="207" t="n"/>
    </row>
    <row r="156" ht="14.25" customHeight="1" s="175">
      <c r="A156" s="267" t="inlineStr">
        <is>
          <t>Carter</t>
        </is>
      </c>
      <c r="B156" s="268" t="n">
        <v>1</v>
      </c>
      <c r="C156" s="269" t="inlineStr">
        <is>
          <t>David</t>
        </is>
      </c>
      <c r="D156" s="192" t="inlineStr">
        <is>
          <t>https://discord.com/channels/191975109500731392/1212839710439776287/1293630192459317292</t>
        </is>
      </c>
      <c r="E156" s="173" t="n"/>
      <c r="F156" s="207" t="n"/>
    </row>
    <row r="157" ht="14.25" customHeight="1" s="175">
      <c r="A157" s="267" t="inlineStr">
        <is>
          <t>Grady</t>
        </is>
      </c>
      <c r="B157" s="268" t="n">
        <v>1</v>
      </c>
      <c r="C157" s="269" t="inlineStr">
        <is>
          <t>Ethan</t>
        </is>
      </c>
      <c r="D157" s="192" t="inlineStr">
        <is>
          <t>https://discord.com/channels/191975109500731392/1212839710439776287/1293632751089614899</t>
        </is>
      </c>
      <c r="E157" s="173" t="n"/>
      <c r="F157" s="207" t="n"/>
    </row>
    <row r="158" ht="14.25" customHeight="1" s="175">
      <c r="A158" s="267" t="inlineStr">
        <is>
          <t>Peter</t>
        </is>
      </c>
      <c r="B158" s="268" t="n">
        <v>2</v>
      </c>
      <c r="C158" s="269" t="inlineStr">
        <is>
          <t>Grady</t>
        </is>
      </c>
      <c r="D158" s="192" t="inlineStr">
        <is>
          <t>https://discord.com/channels/191975109500731392/1212839710439776287/1293647114810818602</t>
        </is>
      </c>
      <c r="E158" s="173" t="n"/>
      <c r="F158" s="207" t="n"/>
    </row>
    <row r="159" ht="14.25" customHeight="1" s="175">
      <c r="A159" s="267" t="inlineStr">
        <is>
          <t>Ethan</t>
        </is>
      </c>
      <c r="B159" s="268" t="n">
        <v>2</v>
      </c>
      <c r="C159" s="269" t="inlineStr">
        <is>
          <t>Carter</t>
        </is>
      </c>
      <c r="D159" s="192" t="inlineStr">
        <is>
          <t>https://discord.com/channels/191975109500731392/1212839710439776287/1293674670872068137</t>
        </is>
      </c>
      <c r="E159" s="173" t="n">
        <v>1</v>
      </c>
      <c r="F159" s="207" t="n"/>
    </row>
    <row r="160" ht="14.25" customHeight="1" s="175">
      <c r="A160" s="267" t="inlineStr">
        <is>
          <t>Peter</t>
        </is>
      </c>
      <c r="B160" s="268" t="n">
        <v>1</v>
      </c>
      <c r="C160" s="269" t="inlineStr">
        <is>
          <t>Carter</t>
        </is>
      </c>
      <c r="D160" s="192" t="inlineStr">
        <is>
          <t>https://discord.com/channels/191975109500731392/1212839710439776287/1293947512327110737</t>
        </is>
      </c>
      <c r="E160" s="173" t="n">
        <v>0</v>
      </c>
    </row>
    <row r="161" ht="14.25" customHeight="1" s="175">
      <c r="A161" s="267" t="inlineStr">
        <is>
          <t>Carter</t>
        </is>
      </c>
      <c r="B161" s="268" t="n">
        <v>2</v>
      </c>
      <c r="C161" s="269" t="inlineStr">
        <is>
          <t>Peter</t>
        </is>
      </c>
      <c r="D161" s="192" t="inlineStr">
        <is>
          <t>https://discord.com/channels/191975109500731392/1212839710439776287/1293947593843408916</t>
        </is>
      </c>
      <c r="E161" s="173" t="n"/>
    </row>
    <row r="162" ht="14.25" customHeight="1" s="175">
      <c r="A162" s="267" t="inlineStr">
        <is>
          <t>David</t>
        </is>
      </c>
      <c r="B162" s="268" t="n">
        <v>1</v>
      </c>
      <c r="C162" s="269" t="inlineStr">
        <is>
          <t>Maxine</t>
        </is>
      </c>
      <c r="D162" s="192" t="inlineStr">
        <is>
          <t>https://discord.com/channels/191975109500731392/1212839710439776287/1293950802251218999</t>
        </is>
      </c>
      <c r="E162" s="173" t="n"/>
    </row>
    <row r="163" ht="14.25" customHeight="1" s="175">
      <c r="A163" s="267" t="inlineStr">
        <is>
          <t>Maxine</t>
        </is>
      </c>
      <c r="B163" s="268" t="n">
        <v>1</v>
      </c>
      <c r="C163" s="269" t="inlineStr">
        <is>
          <t>David</t>
        </is>
      </c>
      <c r="D163" s="192" t="inlineStr">
        <is>
          <t>https://discord.com/channels/191975109500731392/1212839710439776287/1293950834337382483</t>
        </is>
      </c>
      <c r="E163" s="173" t="n"/>
    </row>
    <row r="164" ht="14.25" customHeight="1" s="175">
      <c r="A164" s="267" t="inlineStr">
        <is>
          <t>David</t>
        </is>
      </c>
      <c r="B164" s="268" t="n">
        <v>2</v>
      </c>
      <c r="C164" s="269" t="inlineStr">
        <is>
          <t>Maxine</t>
        </is>
      </c>
      <c r="D164" s="192" t="inlineStr">
        <is>
          <t>https://discord.com/channels/191975109500731392/1212839710439776287/1293969830248054915</t>
        </is>
      </c>
      <c r="E164" s="173" t="n"/>
    </row>
    <row r="165" ht="14.25" customHeight="1" s="175">
      <c r="A165" s="267" t="inlineStr">
        <is>
          <t>Maxine</t>
        </is>
      </c>
      <c r="B165" s="268" t="n">
        <v>1</v>
      </c>
      <c r="C165" s="269" t="inlineStr">
        <is>
          <t>David</t>
        </is>
      </c>
      <c r="D165" s="192" t="inlineStr">
        <is>
          <t>https://discord.com/channels/191975109500731392/1212839710439776287/1293970020954538057</t>
        </is>
      </c>
      <c r="E165" s="173" t="n"/>
    </row>
    <row r="166" ht="14.25" customHeight="1" s="175">
      <c r="A166" s="267" t="inlineStr">
        <is>
          <t>David</t>
        </is>
      </c>
      <c r="B166" s="268" t="n">
        <v>1</v>
      </c>
      <c r="C166" s="269" t="inlineStr">
        <is>
          <t>Carter</t>
        </is>
      </c>
      <c r="D166" s="192" t="inlineStr">
        <is>
          <t>https://discord.com/channels/191975109500731392/1212839710439776287/1293975246247821485</t>
        </is>
      </c>
      <c r="E166" s="173" t="n">
        <v>1</v>
      </c>
    </row>
    <row r="167" ht="14.25" customHeight="1" s="175">
      <c r="A167" s="267" t="inlineStr">
        <is>
          <t>Carter</t>
        </is>
      </c>
      <c r="B167" s="268" t="n">
        <v>1</v>
      </c>
      <c r="C167" s="269" t="inlineStr">
        <is>
          <t>Ethan</t>
        </is>
      </c>
      <c r="D167" s="192" t="inlineStr">
        <is>
          <t>https://discord.com/channels/191975109500731392/1212839710439776287/1294034281542193172</t>
        </is>
      </c>
      <c r="E167" s="173" t="n"/>
    </row>
    <row r="168" ht="14.25" customHeight="1" s="175">
      <c r="A168" s="267" t="inlineStr">
        <is>
          <t>Ethan</t>
        </is>
      </c>
      <c r="B168" s="268" t="n">
        <v>1</v>
      </c>
      <c r="C168" s="269" t="inlineStr">
        <is>
          <t>Carter</t>
        </is>
      </c>
      <c r="D168" s="192" t="inlineStr">
        <is>
          <t>https://discord.com/channels/191975109500731392/1212839710439776287/1294034560782303283</t>
        </is>
      </c>
      <c r="E168" s="173" t="n">
        <v>1</v>
      </c>
    </row>
    <row r="169" ht="14.25" customHeight="1" s="175">
      <c r="A169" s="267" t="inlineStr">
        <is>
          <t>Carter</t>
        </is>
      </c>
      <c r="B169" s="268" t="n">
        <v>2</v>
      </c>
      <c r="C169" s="269" t="inlineStr">
        <is>
          <t>Evan</t>
        </is>
      </c>
      <c r="D169" s="192" t="inlineStr">
        <is>
          <t>https://discord.com/channels/191975109500731392/1212839710439776287/1294076228604788736</t>
        </is>
      </c>
      <c r="E169" s="173" t="n"/>
    </row>
    <row r="170" ht="14.25" customHeight="1" s="175">
      <c r="A170" s="267" t="inlineStr">
        <is>
          <t>Carter</t>
        </is>
      </c>
      <c r="B170" s="268" t="n">
        <v>1</v>
      </c>
      <c r="C170" s="269" t="inlineStr">
        <is>
          <t>Grady</t>
        </is>
      </c>
      <c r="D170" s="192" t="inlineStr">
        <is>
          <t>https://discord.com/channels/191975109500731392/1212839710439776287/1294087546548129916</t>
        </is>
      </c>
      <c r="E170" s="173" t="n"/>
    </row>
    <row r="171" ht="14.25" customHeight="1" s="175">
      <c r="A171" s="267" t="inlineStr">
        <is>
          <t>Grady</t>
        </is>
      </c>
      <c r="B171" s="268" t="n">
        <v>1</v>
      </c>
      <c r="C171" s="269" t="inlineStr">
        <is>
          <t>Carter</t>
        </is>
      </c>
      <c r="D171" s="192" t="inlineStr">
        <is>
          <t>https://discord.com/channels/191975109500731392/1212839710439776287/1294090531680292975</t>
        </is>
      </c>
      <c r="E171" s="173" t="n">
        <v>0</v>
      </c>
    </row>
    <row r="172" ht="14.25" customHeight="1" s="175">
      <c r="A172" s="267" t="inlineStr">
        <is>
          <t>Ethan</t>
        </is>
      </c>
      <c r="B172" s="268" t="n">
        <v>2</v>
      </c>
      <c r="C172" s="269" t="inlineStr">
        <is>
          <t>Grady</t>
        </is>
      </c>
      <c r="D172" s="192" t="inlineStr">
        <is>
          <t>https://discord.com/channels/191975109500731392/1212839710439776287/1294312572740309043</t>
        </is>
      </c>
      <c r="E172" s="173" t="n"/>
    </row>
    <row r="173" ht="14.25" customHeight="1" s="175">
      <c r="A173" s="267" t="inlineStr">
        <is>
          <t>Carter</t>
        </is>
      </c>
      <c r="B173" s="268" t="n">
        <v>2</v>
      </c>
      <c r="C173" s="269" t="inlineStr">
        <is>
          <t>Erick</t>
        </is>
      </c>
      <c r="D173" s="192" t="inlineStr">
        <is>
          <t>https://discord.com/channels/191975109500731392/1212839710439776287/1295850423638298744</t>
        </is>
      </c>
      <c r="E173" s="173" t="n"/>
    </row>
    <row r="174" ht="14.25" customHeight="1" s="175">
      <c r="A174" s="267" t="inlineStr">
        <is>
          <t>Erick</t>
        </is>
      </c>
      <c r="B174" s="268" t="n">
        <v>2</v>
      </c>
      <c r="C174" s="269" t="inlineStr">
        <is>
          <t>Carter</t>
        </is>
      </c>
      <c r="D174" s="192" t="inlineStr">
        <is>
          <t>https://discord.com/channels/191975109500731392/1212839710439776287/1295850440369639586</t>
        </is>
      </c>
      <c r="E174" s="173" t="n">
        <v>0</v>
      </c>
    </row>
    <row r="175" ht="14.25" customHeight="1" s="175">
      <c r="A175" s="267" t="inlineStr">
        <is>
          <t>Grady</t>
        </is>
      </c>
      <c r="B175" s="268" t="n">
        <v>2</v>
      </c>
      <c r="C175" s="269" t="inlineStr">
        <is>
          <t>David</t>
        </is>
      </c>
      <c r="D175" s="192" t="inlineStr">
        <is>
          <t>https://discord.com/channels/191975109500731392/1212839710439776287/1296094171144261705</t>
        </is>
      </c>
      <c r="E175" s="173" t="n"/>
    </row>
    <row r="176" ht="14.25" customHeight="1" s="175">
      <c r="A176" s="267" t="inlineStr">
        <is>
          <t>David</t>
        </is>
      </c>
      <c r="B176" s="268" t="n">
        <v>1</v>
      </c>
      <c r="C176" s="269" t="inlineStr">
        <is>
          <t>Grady</t>
        </is>
      </c>
      <c r="D176" s="192" t="inlineStr">
        <is>
          <t>https://discord.com/channels/191975109500731392/1212839710439776287/1296095040355045440</t>
        </is>
      </c>
      <c r="E176" s="173" t="n"/>
    </row>
    <row r="177" ht="14.25" customHeight="1" s="175">
      <c r="A177" s="267" t="inlineStr">
        <is>
          <t>David</t>
        </is>
      </c>
      <c r="B177" s="268" t="n">
        <v>2</v>
      </c>
      <c r="C177" s="269" t="inlineStr">
        <is>
          <t>Carter</t>
        </is>
      </c>
      <c r="D177" s="192" t="inlineStr">
        <is>
          <t>https://discord.com/channels/191975109500731392/1212839710439776287/1296125989914415135</t>
        </is>
      </c>
      <c r="E177" s="173" t="n">
        <v>1</v>
      </c>
    </row>
    <row r="178" ht="14.25" customHeight="1" s="175">
      <c r="A178" s="267" t="inlineStr">
        <is>
          <t>Sam</t>
        </is>
      </c>
      <c r="B178" s="268" t="n">
        <v>2</v>
      </c>
      <c r="C178" s="269" t="inlineStr">
        <is>
          <t>Grady</t>
        </is>
      </c>
      <c r="D178" s="192" t="inlineStr">
        <is>
          <t>https://discord.com/channels/191975109500731392/1212839710439776287/1296127938869330006</t>
        </is>
      </c>
      <c r="E178" s="173" t="n"/>
    </row>
    <row r="179" ht="14.25" customHeight="1" s="175">
      <c r="A179" s="267" t="inlineStr">
        <is>
          <t>Evan</t>
        </is>
      </c>
      <c r="B179" s="268" t="n">
        <v>2</v>
      </c>
      <c r="C179" s="269" t="inlineStr">
        <is>
          <t>Carter</t>
        </is>
      </c>
      <c r="D179" s="192" t="inlineStr">
        <is>
          <t>https://discord.com/channels/191975109500731392/1212839710439776287/1296140023258939493</t>
        </is>
      </c>
      <c r="E179" s="173" t="n">
        <v>1</v>
      </c>
    </row>
    <row r="180" ht="14.25" customHeight="1" s="175">
      <c r="A180" s="267" t="inlineStr">
        <is>
          <t>Carter</t>
        </is>
      </c>
      <c r="B180" s="268" t="n">
        <v>1</v>
      </c>
      <c r="C180" s="269" t="inlineStr">
        <is>
          <t>Evan</t>
        </is>
      </c>
      <c r="D180" s="192" t="inlineStr">
        <is>
          <t>https://discord.com/channels/191975109500731392/1212839710439776287/1296140183669833859</t>
        </is>
      </c>
      <c r="E180" s="173" t="n"/>
    </row>
    <row r="181" ht="14.25" customHeight="1" s="175">
      <c r="A181" s="267" t="inlineStr">
        <is>
          <t>David</t>
        </is>
      </c>
      <c r="B181" s="268" t="n">
        <v>2</v>
      </c>
      <c r="C181" s="269" t="inlineStr">
        <is>
          <t>Grady</t>
        </is>
      </c>
      <c r="D181" s="192" t="inlineStr">
        <is>
          <t>https://discord.com/channels/191975109500731392/1212839710439776287/1296156369560272926</t>
        </is>
      </c>
      <c r="E181" s="173" t="n"/>
    </row>
    <row r="182" ht="14.25" customHeight="1" s="175">
      <c r="A182" s="267" t="inlineStr">
        <is>
          <t>Grady</t>
        </is>
      </c>
      <c r="B182" s="268" t="n">
        <v>1</v>
      </c>
      <c r="C182" s="269" t="inlineStr">
        <is>
          <t>David</t>
        </is>
      </c>
      <c r="D182" s="192" t="inlineStr">
        <is>
          <t>https://discord.com/channels/191975109500731392/1212839710439776287/1296160171176886312</t>
        </is>
      </c>
      <c r="E182" s="173" t="n"/>
    </row>
    <row r="183" ht="14.25" customHeight="1" s="175">
      <c r="A183" s="267" t="inlineStr">
        <is>
          <t>David</t>
        </is>
      </c>
      <c r="B183" s="268" t="n">
        <v>2</v>
      </c>
      <c r="C183" s="269" t="inlineStr">
        <is>
          <t>Carter</t>
        </is>
      </c>
      <c r="D183" s="192" t="inlineStr">
        <is>
          <t>https://discord.com/channels/191975109500731392/1212839710439776287/1296167009863864361</t>
        </is>
      </c>
      <c r="E183" s="173" t="n">
        <v>1</v>
      </c>
    </row>
    <row r="184" ht="14.25" customHeight="1" s="175">
      <c r="A184" s="267" t="inlineStr">
        <is>
          <t>Maxine</t>
        </is>
      </c>
      <c r="B184" s="268" t="n">
        <v>2</v>
      </c>
      <c r="C184" s="269" t="inlineStr">
        <is>
          <t>Evan</t>
        </is>
      </c>
      <c r="D184" s="192" t="inlineStr">
        <is>
          <t>https://discord.com/channels/191975109500731392/1212839710439776287/1296167392430264371</t>
        </is>
      </c>
      <c r="E184" s="173" t="n"/>
    </row>
    <row r="185" ht="14.25" customHeight="1" s="175">
      <c r="A185" s="267" t="inlineStr">
        <is>
          <t>David</t>
        </is>
      </c>
      <c r="B185" s="268" t="n">
        <v>2</v>
      </c>
      <c r="C185" s="269" t="inlineStr">
        <is>
          <t>Evan</t>
        </is>
      </c>
      <c r="D185" s="192" t="inlineStr">
        <is>
          <t>https://discord.com/channels/191975109500731392/1212839710439776287/1296168389907189800</t>
        </is>
      </c>
      <c r="E185" s="173" t="n"/>
    </row>
    <row r="186" ht="14.25" customHeight="1" s="175">
      <c r="A186" s="267" t="inlineStr">
        <is>
          <t>David</t>
        </is>
      </c>
      <c r="B186" s="268" t="n">
        <v>1</v>
      </c>
      <c r="C186" s="269" t="inlineStr">
        <is>
          <t>Maxine</t>
        </is>
      </c>
      <c r="D186" s="192" t="inlineStr">
        <is>
          <t>https://discord.com/channels/191975109500731392/1212839710439776287/1296170409355378700</t>
        </is>
      </c>
      <c r="E186" s="173" t="n"/>
    </row>
    <row r="187" ht="14.25" customHeight="1" s="175">
      <c r="A187" s="267" t="inlineStr">
        <is>
          <t>Maxine</t>
        </is>
      </c>
      <c r="B187" s="268" t="n">
        <v>1</v>
      </c>
      <c r="C187" s="269" t="inlineStr">
        <is>
          <t>David</t>
        </is>
      </c>
      <c r="D187" s="192" t="inlineStr">
        <is>
          <t>https://discord.com/channels/191975109500731392/1212839710439776287/1296170424664850453</t>
        </is>
      </c>
      <c r="E187" s="173" t="n"/>
    </row>
    <row r="188" ht="14.25" customHeight="1" s="175">
      <c r="A188" s="267" t="inlineStr">
        <is>
          <t>David</t>
        </is>
      </c>
      <c r="B188" s="268" t="n">
        <v>2</v>
      </c>
      <c r="C188" s="269" t="inlineStr">
        <is>
          <t>Maxine</t>
        </is>
      </c>
      <c r="D188" s="192" t="inlineStr">
        <is>
          <t>https://discord.com/channels/191975109500731392/1212839710439776287/1296184927087497298</t>
        </is>
      </c>
      <c r="E188" s="173" t="n"/>
    </row>
    <row r="189" ht="14.25" customHeight="1" s="175">
      <c r="A189" s="267" t="inlineStr">
        <is>
          <t>David</t>
        </is>
      </c>
      <c r="B189" s="268" t="n">
        <v>2</v>
      </c>
      <c r="C189" s="269" t="inlineStr">
        <is>
          <t>Ethan</t>
        </is>
      </c>
      <c r="D189" s="192" t="inlineStr">
        <is>
          <t>https://discord.com/channels/191975109500731392/1212839710439776287/1296243249723478079</t>
        </is>
      </c>
      <c r="E189" s="173" t="n"/>
    </row>
    <row r="190" ht="14.25" customHeight="1" s="175">
      <c r="A190" s="267" t="inlineStr">
        <is>
          <t>Ethan</t>
        </is>
      </c>
      <c r="B190" s="268" t="n">
        <v>1</v>
      </c>
      <c r="C190" s="269" t="inlineStr">
        <is>
          <t>David</t>
        </is>
      </c>
      <c r="D190" s="192" t="inlineStr">
        <is>
          <t>https://discord.com/channels/191975109500731392/1212839710439776287/1296244472010506311</t>
        </is>
      </c>
      <c r="E190" s="173" t="n"/>
    </row>
    <row r="191" ht="14.25" customHeight="1" s="175">
      <c r="A191" s="267" t="inlineStr">
        <is>
          <t>Ethan</t>
        </is>
      </c>
      <c r="B191" s="268" t="n">
        <v>1</v>
      </c>
      <c r="C191" s="269" t="inlineStr">
        <is>
          <t>Evan</t>
        </is>
      </c>
      <c r="D191" s="192" t="inlineStr">
        <is>
          <t>https://discord.com/channels/191975109500731392/1212839710439776287/1296261583072133141</t>
        </is>
      </c>
      <c r="E191" s="173" t="n"/>
    </row>
    <row r="192" ht="14.25" customHeight="1" s="175">
      <c r="A192" s="267" t="inlineStr">
        <is>
          <t>Evan</t>
        </is>
      </c>
      <c r="B192" s="268" t="n">
        <v>1</v>
      </c>
      <c r="C192" s="269" t="inlineStr">
        <is>
          <t>Ethan</t>
        </is>
      </c>
      <c r="D192" s="192" t="inlineStr">
        <is>
          <t>https://discord.com/channels/191975109500731392/1212839710439776287/1296261764849205280</t>
        </is>
      </c>
      <c r="E192" s="173" t="n"/>
    </row>
    <row r="193" ht="14.25" customHeight="1" s="175">
      <c r="A193" s="267" t="inlineStr">
        <is>
          <t>Carter</t>
        </is>
      </c>
      <c r="B193" s="268" t="n">
        <v>1</v>
      </c>
      <c r="C193" s="269" t="inlineStr">
        <is>
          <t>Tyler</t>
        </is>
      </c>
      <c r="D193" s="192" t="inlineStr">
        <is>
          <t>https://discord.com/channels/191975109500731392/1212839710439776287/1296534062344962069</t>
        </is>
      </c>
      <c r="E193" s="173" t="n"/>
    </row>
    <row r="194" ht="14.25" customHeight="1" s="175">
      <c r="A194" s="267" t="inlineStr">
        <is>
          <t>Tyler</t>
        </is>
      </c>
      <c r="B194" s="268" t="n">
        <v>2</v>
      </c>
      <c r="C194" s="269" t="inlineStr">
        <is>
          <t>Carter</t>
        </is>
      </c>
      <c r="D194" s="192" t="inlineStr">
        <is>
          <t>https://discord.com/channels/191975109500731392/1212839710439776287/1296534064710549678</t>
        </is>
      </c>
      <c r="E194" s="173" t="n">
        <v>0</v>
      </c>
    </row>
    <row r="195" ht="14.25" customHeight="1" s="175">
      <c r="A195" s="267" t="inlineStr">
        <is>
          <t>Tyler</t>
        </is>
      </c>
      <c r="B195" s="268" t="n">
        <v>1</v>
      </c>
      <c r="C195" s="269" t="inlineStr">
        <is>
          <t>Reuben</t>
        </is>
      </c>
      <c r="D195" s="192" t="inlineStr">
        <is>
          <t>https://discord.com/channels/191975109500731392/1212839710439776287/1296550122045440091</t>
        </is>
      </c>
      <c r="E195" s="173" t="n"/>
    </row>
    <row r="196" ht="14.25" customHeight="1" s="175">
      <c r="A196" s="267" t="inlineStr">
        <is>
          <t>Ethan</t>
        </is>
      </c>
      <c r="B196" s="268" t="n">
        <v>2</v>
      </c>
      <c r="C196" s="269" t="inlineStr">
        <is>
          <t>Reuben</t>
        </is>
      </c>
      <c r="D196" s="192" t="inlineStr">
        <is>
          <t>https://discord.com/channels/191975109500731392/1212839710439776287/1296586115175678013</t>
        </is>
      </c>
      <c r="E196" s="173" t="n"/>
    </row>
    <row r="197" ht="14.25" customHeight="1" s="175">
      <c r="A197" s="267" t="inlineStr">
        <is>
          <t>Ethan</t>
        </is>
      </c>
      <c r="B197" s="268" t="n">
        <v>2</v>
      </c>
      <c r="C197" s="269" t="inlineStr">
        <is>
          <t>Reuben</t>
        </is>
      </c>
      <c r="D197" s="192" t="inlineStr">
        <is>
          <t>https://discord.com/channels/191975109500731392/1212839710439776287/1296595829418627104</t>
        </is>
      </c>
      <c r="E197" s="173" t="n"/>
    </row>
    <row r="198" ht="14.25" customHeight="1" s="175">
      <c r="A198" s="267" t="inlineStr">
        <is>
          <t>David</t>
        </is>
      </c>
      <c r="B198" s="268" t="n">
        <v>2</v>
      </c>
      <c r="C198" s="269" t="inlineStr">
        <is>
          <t>Maxine</t>
        </is>
      </c>
      <c r="D198" s="192" t="inlineStr">
        <is>
          <t>https://discord.com/channels/191975109500731392/1212839710439776287/1296812737988657243</t>
        </is>
      </c>
      <c r="E198" s="173" t="n"/>
    </row>
    <row r="199" ht="14.25" customHeight="1" s="175">
      <c r="A199" s="267" t="inlineStr">
        <is>
          <t>Maxine</t>
        </is>
      </c>
      <c r="B199" s="268" t="n">
        <v>1</v>
      </c>
      <c r="C199" s="269" t="inlineStr">
        <is>
          <t>David</t>
        </is>
      </c>
      <c r="D199" s="192" t="inlineStr">
        <is>
          <t>https://discord.com/channels/191975109500731392/1212839710439776287/1296813341725167616</t>
        </is>
      </c>
      <c r="E199" s="173" t="n"/>
    </row>
    <row r="200" ht="14.25" customHeight="1" s="175">
      <c r="A200" s="267" t="inlineStr">
        <is>
          <t>Maxine</t>
        </is>
      </c>
      <c r="B200" s="268" t="n">
        <v>2</v>
      </c>
      <c r="C200" s="269" t="inlineStr">
        <is>
          <t>Grady</t>
        </is>
      </c>
      <c r="D200" s="192" t="inlineStr">
        <is>
          <t>https://discord.com/channels/191975109500731392/1212839710439776287/1296818769628495996</t>
        </is>
      </c>
      <c r="E200" s="173" t="n"/>
    </row>
    <row r="201" ht="14.25" customHeight="1" s="175">
      <c r="A201" s="267" t="inlineStr">
        <is>
          <t>David</t>
        </is>
      </c>
      <c r="B201" s="268" t="n">
        <v>2</v>
      </c>
      <c r="C201" s="269" t="inlineStr">
        <is>
          <t>Grady</t>
        </is>
      </c>
      <c r="D201" s="192" t="inlineStr">
        <is>
          <t>https://discord.com/channels/191975109500731392/1212839710439776287/1296818864356593738</t>
        </is>
      </c>
      <c r="E201" s="173" t="n"/>
    </row>
    <row r="202" ht="14.25" customHeight="1" s="175">
      <c r="A202" s="267" t="inlineStr">
        <is>
          <t>Sam</t>
        </is>
      </c>
      <c r="B202" s="268" t="n">
        <v>2</v>
      </c>
      <c r="C202" s="269" t="inlineStr">
        <is>
          <t>Grady</t>
        </is>
      </c>
      <c r="D202" s="192" t="inlineStr">
        <is>
          <t>https://discord.com/channels/191975109500731392/1212839710439776287/1296892654545535069</t>
        </is>
      </c>
      <c r="E202" s="173" t="n"/>
    </row>
    <row r="203" ht="14.25" customHeight="1" s="175">
      <c r="A203" s="267" t="inlineStr">
        <is>
          <t>Peter</t>
        </is>
      </c>
      <c r="B203" s="268" t="n">
        <v>2</v>
      </c>
      <c r="C203" s="269" t="inlineStr">
        <is>
          <t>Evan</t>
        </is>
      </c>
      <c r="D203" s="192" t="inlineStr">
        <is>
          <t>https://discord.com/channels/191975109500731392/1212839710439776287/1296897823375229111</t>
        </is>
      </c>
      <c r="E203" s="173" t="n"/>
    </row>
    <row r="204" ht="14.25" customHeight="1" s="175">
      <c r="A204" s="267" t="inlineStr">
        <is>
          <t>Tyler</t>
        </is>
      </c>
      <c r="B204" s="268" t="n">
        <v>2</v>
      </c>
      <c r="C204" s="269" t="inlineStr">
        <is>
          <t>Erick</t>
        </is>
      </c>
      <c r="D204" s="173" t="inlineStr">
        <is>
          <t>https://discord.com/channels/191975109500731392/1212839710439776287/1296920448038211675</t>
        </is>
      </c>
      <c r="E204" s="173" t="n"/>
    </row>
    <row r="205" ht="14.25" customHeight="1" s="175">
      <c r="A205" s="267" t="inlineStr">
        <is>
          <t>Ethan</t>
        </is>
      </c>
      <c r="B205" s="268" t="n">
        <v>2</v>
      </c>
      <c r="C205" s="269" t="inlineStr">
        <is>
          <t>Reuben</t>
        </is>
      </c>
      <c r="D205" s="173" t="inlineStr">
        <is>
          <t>https://discord.com/channels/191975109500731392/1212839710439776287/1296968677052125234</t>
        </is>
      </c>
      <c r="E205" s="173" t="n"/>
    </row>
    <row r="206" ht="14.25" customHeight="1" s="175">
      <c r="A206" s="267" t="inlineStr">
        <is>
          <t>Evan</t>
        </is>
      </c>
      <c r="B206" s="268" t="n">
        <v>2</v>
      </c>
      <c r="C206" s="269" t="inlineStr">
        <is>
          <t>Grady</t>
        </is>
      </c>
      <c r="D206" s="173" t="inlineStr">
        <is>
          <t>https://discord.com/channels/191975109500731392/1212839710439776287/1297978585549897780</t>
        </is>
      </c>
      <c r="E206" s="173" t="n"/>
    </row>
    <row r="207" ht="14.25" customHeight="1" s="175">
      <c r="A207" s="267" t="inlineStr">
        <is>
          <t>Evan</t>
        </is>
      </c>
      <c r="B207" s="268" t="n">
        <v>1</v>
      </c>
      <c r="C207" s="269" t="inlineStr">
        <is>
          <t>Maxine</t>
        </is>
      </c>
      <c r="D207" s="192" t="inlineStr">
        <is>
          <t>https://discord.com/channels/191975109500731392/1212839710439776287/1297981299432230923</t>
        </is>
      </c>
      <c r="E207" s="173" t="n"/>
    </row>
    <row r="208" ht="14.25" customHeight="1" s="175">
      <c r="A208" s="267" t="inlineStr">
        <is>
          <t>Maxine</t>
        </is>
      </c>
      <c r="B208" s="268" t="n">
        <v>1</v>
      </c>
      <c r="C208" s="269" t="inlineStr">
        <is>
          <t>Evan</t>
        </is>
      </c>
      <c r="D208" s="173" t="inlineStr">
        <is>
          <t>https://discord.com/channels/191975109500731392/1212839710439776287/1297981327802634344</t>
        </is>
      </c>
      <c r="E208" s="173" t="n"/>
    </row>
    <row r="209" ht="14.25" customHeight="1" s="175">
      <c r="A209" s="267" t="inlineStr">
        <is>
          <t>David</t>
        </is>
      </c>
      <c r="B209" s="268" t="n">
        <v>2</v>
      </c>
      <c r="C209" s="269" t="inlineStr">
        <is>
          <t>Ethan</t>
        </is>
      </c>
      <c r="D209" s="173" t="inlineStr">
        <is>
          <t>https://discord.com/channels/191975109500731392/1212839710439776287/1298313410978644029</t>
        </is>
      </c>
      <c r="E209" s="173" t="n"/>
    </row>
    <row r="210" ht="14.25" customHeight="1" s="175">
      <c r="A210" s="267" t="inlineStr">
        <is>
          <t>Maxine</t>
        </is>
      </c>
      <c r="B210" s="268" t="n">
        <v>2</v>
      </c>
      <c r="C210" s="269" t="inlineStr">
        <is>
          <t>Ethan</t>
        </is>
      </c>
      <c r="D210" s="173" t="inlineStr">
        <is>
          <t>https://discord.com/channels/191975109500731392/1212839710439776287/1298313615656484875</t>
        </is>
      </c>
      <c r="E210" s="173" t="n"/>
    </row>
    <row r="211" ht="14.25" customHeight="1" s="175">
      <c r="A211" s="267" t="inlineStr">
        <is>
          <t>Sam</t>
        </is>
      </c>
      <c r="B211" s="268" t="n">
        <v>1</v>
      </c>
      <c r="C211" s="269" t="inlineStr">
        <is>
          <t>Reuben</t>
        </is>
      </c>
      <c r="D211" s="173" t="inlineStr">
        <is>
          <t>https://discord.com/channels/191975109500731392/1212839710439776287/1298319294949621828</t>
        </is>
      </c>
      <c r="E211" s="173" t="n"/>
    </row>
    <row r="212" ht="14.25" customHeight="1" s="175">
      <c r="A212" s="267" t="inlineStr">
        <is>
          <t>Ethan</t>
        </is>
      </c>
      <c r="B212" s="268" t="n">
        <v>2</v>
      </c>
      <c r="C212" s="269" t="inlineStr">
        <is>
          <t>Reuben</t>
        </is>
      </c>
      <c r="D212" s="173" t="inlineStr">
        <is>
          <t>https://discord.com/channels/191975109500731392/1212839710439776287/1298342818225455194</t>
        </is>
      </c>
      <c r="E212" s="173" t="n"/>
    </row>
    <row r="213" ht="14.25" customHeight="1" s="175">
      <c r="A213" s="267" t="inlineStr">
        <is>
          <t>Erick</t>
        </is>
      </c>
      <c r="B213" s="268" t="n">
        <v>2</v>
      </c>
      <c r="C213" s="269" t="inlineStr">
        <is>
          <t>Reuben</t>
        </is>
      </c>
      <c r="D213" s="173" t="inlineStr">
        <is>
          <t>https://discord.com/channels/191975109500731392/1212839710439776287/1298387666299129907</t>
        </is>
      </c>
      <c r="E213" s="173" t="n"/>
    </row>
    <row r="214" ht="14.25" customHeight="1" s="175">
      <c r="A214" s="267" t="inlineStr">
        <is>
          <t>Erick</t>
        </is>
      </c>
      <c r="B214" s="268" t="n">
        <v>2</v>
      </c>
      <c r="C214" s="269" t="inlineStr">
        <is>
          <t>Tyler</t>
        </is>
      </c>
      <c r="D214" s="173" t="inlineStr">
        <is>
          <t>https://discord.com/channels/191975109500731392/1212839710439776287/1298387666299129907</t>
        </is>
      </c>
      <c r="E214" s="173" t="n"/>
    </row>
    <row r="215" ht="14.25" customHeight="1" s="175">
      <c r="A215" s="267" t="inlineStr">
        <is>
          <t>Ethan</t>
        </is>
      </c>
      <c r="B215" s="268" t="n">
        <v>2</v>
      </c>
      <c r="C215" s="269" t="inlineStr">
        <is>
          <t>Reuben</t>
        </is>
      </c>
      <c r="D215" s="173" t="inlineStr">
        <is>
          <t>https://discord.com/channels/191975109500731392/1212839710439776287/1298390473110454346</t>
        </is>
      </c>
      <c r="E215" s="173" t="n"/>
    </row>
    <row r="216" ht="14.25" customHeight="1" s="175">
      <c r="A216" s="267" t="inlineStr">
        <is>
          <t>Carter</t>
        </is>
      </c>
      <c r="B216" s="268" t="n">
        <v>2</v>
      </c>
      <c r="C216" s="269" t="inlineStr">
        <is>
          <t>Reuben</t>
        </is>
      </c>
      <c r="D216" s="173" t="inlineStr">
        <is>
          <t>https://discord.com/channels/191975109500731392/1212839710439776287/1298440005529768017</t>
        </is>
      </c>
      <c r="E216" s="173" t="n"/>
    </row>
    <row r="217" ht="14.25" customHeight="1" s="175">
      <c r="A217" s="267" t="inlineStr">
        <is>
          <t>David</t>
        </is>
      </c>
      <c r="B217" s="268" t="n">
        <v>2</v>
      </c>
      <c r="C217" s="269" t="inlineStr">
        <is>
          <t>Carter</t>
        </is>
      </c>
      <c r="D217" s="173" t="inlineStr">
        <is>
          <t>https://discord.com/channels/191975109500731392/1212839710439776287/1298441855142199297</t>
        </is>
      </c>
      <c r="E217" s="173" t="n">
        <v>0</v>
      </c>
    </row>
    <row r="218" ht="14.25" customHeight="1" s="175">
      <c r="A218" s="267" t="inlineStr">
        <is>
          <t>Carter</t>
        </is>
      </c>
      <c r="B218" s="268" t="n">
        <v>1</v>
      </c>
      <c r="C218" s="269" t="inlineStr">
        <is>
          <t>David</t>
        </is>
      </c>
      <c r="D218" s="173" t="inlineStr">
        <is>
          <t>https://discord.com/channels/191975109500731392/1212839710439776287/1298442470732071040</t>
        </is>
      </c>
    </row>
    <row r="219" ht="14.25" customHeight="1" s="175">
      <c r="A219" s="267" t="inlineStr">
        <is>
          <t>Evan</t>
        </is>
      </c>
      <c r="B219" s="268" t="n">
        <v>2</v>
      </c>
      <c r="C219" s="269" t="inlineStr">
        <is>
          <t>Grady</t>
        </is>
      </c>
      <c r="D219" s="173" t="inlineStr">
        <is>
          <t>https://discord.com/channels/191975109500731392/1212839710439776287/1298662491810828351</t>
        </is>
      </c>
    </row>
    <row r="220" ht="14.25" customHeight="1" s="175">
      <c r="A220" s="267" t="inlineStr">
        <is>
          <t>Peter</t>
        </is>
      </c>
      <c r="B220" s="268" t="n">
        <v>2</v>
      </c>
      <c r="C220" s="269" t="inlineStr">
        <is>
          <t>Reuben</t>
        </is>
      </c>
      <c r="D220" s="173" t="inlineStr">
        <is>
          <t>https://discord.com/channels/191975109500731392/1212839710439776287/1298662528141758545</t>
        </is>
      </c>
    </row>
    <row r="221" ht="14.25" customHeight="1" s="175">
      <c r="A221" s="267" t="inlineStr">
        <is>
          <t>David</t>
        </is>
      </c>
      <c r="B221" s="268" t="n">
        <v>1</v>
      </c>
      <c r="C221" s="269" t="inlineStr">
        <is>
          <t>Carter</t>
        </is>
      </c>
      <c r="D221" s="173" t="inlineStr">
        <is>
          <t>https://discord.com/channels/191975109500731392/1212839710439776287/1298692339421810709</t>
        </is>
      </c>
      <c r="E221" s="173" t="n">
        <v>1</v>
      </c>
    </row>
    <row r="222" ht="14.25" customHeight="1" s="175">
      <c r="A222" s="267" t="inlineStr">
        <is>
          <t>Carter</t>
        </is>
      </c>
      <c r="B222" s="268" t="n">
        <v>1</v>
      </c>
      <c r="C222" s="269" t="inlineStr">
        <is>
          <t>David</t>
        </is>
      </c>
      <c r="D222" s="173" t="inlineStr">
        <is>
          <t>https://discord.com/channels/191975109500731392/1212839710439776287/1298692382308565053</t>
        </is>
      </c>
    </row>
    <row r="223" ht="14.25" customHeight="1" s="175">
      <c r="A223" s="267" t="inlineStr">
        <is>
          <t>Ethan</t>
        </is>
      </c>
      <c r="B223" s="268" t="n">
        <v>2</v>
      </c>
      <c r="C223" s="269" t="inlineStr">
        <is>
          <t>Grady</t>
        </is>
      </c>
      <c r="D223" s="173" t="inlineStr">
        <is>
          <t>https://discord.com/channels/191975109500731392/1212839710439776287/1298692840171245670</t>
        </is>
      </c>
    </row>
    <row r="224" ht="14.25" customHeight="1" s="175">
      <c r="A224" s="267" t="inlineStr">
        <is>
          <t>Grady</t>
        </is>
      </c>
      <c r="B224" s="268" t="n">
        <v>2</v>
      </c>
      <c r="C224" s="269" t="inlineStr">
        <is>
          <t>Reuben</t>
        </is>
      </c>
      <c r="D224" s="192" t="inlineStr">
        <is>
          <t>https://discord.com/channels/191975109500731392/1212839710439776287/1298696788643020852</t>
        </is>
      </c>
    </row>
    <row r="225" ht="14.25" customHeight="1" s="175">
      <c r="A225" s="267" t="inlineStr">
        <is>
          <t>Sam</t>
        </is>
      </c>
      <c r="B225" s="268" t="n">
        <v>2</v>
      </c>
      <c r="C225" s="269" t="inlineStr">
        <is>
          <t>Grady</t>
        </is>
      </c>
      <c r="D225" s="173" t="inlineStr">
        <is>
          <t>https://discord.com/channels/191975109500731392/1212839710439776287/1298705969605378179</t>
        </is>
      </c>
    </row>
    <row r="226" ht="14.25" customHeight="1" s="175">
      <c r="A226" s="267" t="inlineStr">
        <is>
          <t>Ethan</t>
        </is>
      </c>
      <c r="B226" s="268" t="n">
        <v>1</v>
      </c>
      <c r="C226" s="269" t="inlineStr">
        <is>
          <t>Reuben</t>
        </is>
      </c>
      <c r="D226" s="173" t="inlineStr">
        <is>
          <t>https://discord.com/channels/191975109500731392/1212839710439776287/1298739083710955621</t>
        </is>
      </c>
    </row>
    <row r="227" ht="14.25" customHeight="1" s="175">
      <c r="A227" s="267" t="inlineStr">
        <is>
          <t>Ethan</t>
        </is>
      </c>
      <c r="B227" s="268" t="n">
        <v>1</v>
      </c>
      <c r="C227" s="269" t="inlineStr">
        <is>
          <t>Evan</t>
        </is>
      </c>
      <c r="D227" s="173" t="inlineStr">
        <is>
          <t>https://discord.com/channels/191975109500731392/1212839710439776287/1298770779873480706</t>
        </is>
      </c>
    </row>
    <row r="228" ht="14.25" customHeight="1" s="175">
      <c r="A228" s="267" t="inlineStr">
        <is>
          <t>Evan</t>
        </is>
      </c>
      <c r="B228" s="268" t="n">
        <v>1</v>
      </c>
      <c r="C228" s="269" t="inlineStr">
        <is>
          <t>Ethan</t>
        </is>
      </c>
      <c r="D228" s="173" t="inlineStr">
        <is>
          <t>https://discord.com/channels/191975109500731392/1212839710439776287/1298770822315511890</t>
        </is>
      </c>
    </row>
    <row r="229" ht="14.25" customHeight="1" s="175">
      <c r="A229" s="267" t="inlineStr">
        <is>
          <t>Peter</t>
        </is>
      </c>
      <c r="B229" s="268" t="n">
        <v>2</v>
      </c>
      <c r="C229" s="269" t="inlineStr">
        <is>
          <t>Reuben</t>
        </is>
      </c>
      <c r="D229" s="173" t="inlineStr">
        <is>
          <t>https://discord.com/channels/191975109500731392/1212839710439776287/1299019317358235690</t>
        </is>
      </c>
    </row>
    <row r="230" ht="14.25" customHeight="1" s="175">
      <c r="A230" s="267" t="inlineStr">
        <is>
          <t>David</t>
        </is>
      </c>
      <c r="B230" s="268" t="n">
        <v>2</v>
      </c>
      <c r="C230" s="269" t="inlineStr">
        <is>
          <t>Maxine</t>
        </is>
      </c>
      <c r="D230" s="173" t="inlineStr">
        <is>
          <t>https://discord.com/channels/191975109500731392/1212839710439776287/1299045270968864839</t>
        </is>
      </c>
    </row>
    <row r="231" ht="14.25" customHeight="1" s="175">
      <c r="A231" s="267" t="inlineStr">
        <is>
          <t>Maxine</t>
        </is>
      </c>
      <c r="B231" s="268" t="n">
        <v>1</v>
      </c>
      <c r="C231" s="269" t="inlineStr">
        <is>
          <t>David</t>
        </is>
      </c>
      <c r="D231" s="173" t="inlineStr">
        <is>
          <t>https://discord.com/channels/191975109500731392/1212839710439776287/1299045436115517471</t>
        </is>
      </c>
    </row>
    <row r="232" ht="14.25" customHeight="1" s="175">
      <c r="A232" s="267" t="inlineStr">
        <is>
          <t>Peter</t>
        </is>
      </c>
      <c r="B232" s="268" t="n">
        <v>2</v>
      </c>
      <c r="C232" s="269" t="inlineStr">
        <is>
          <t>Reuben</t>
        </is>
      </c>
      <c r="D232" s="173" t="inlineStr">
        <is>
          <t>https://discord.com/channels/191975109500731392/1212839710439776287/1299045445888114763</t>
        </is>
      </c>
    </row>
    <row r="233" ht="14.25" customHeight="1" s="175">
      <c r="A233" s="267" t="inlineStr">
        <is>
          <t>David</t>
        </is>
      </c>
      <c r="B233" s="268" t="n">
        <v>2</v>
      </c>
      <c r="C233" s="269" t="inlineStr">
        <is>
          <t>Ethan</t>
        </is>
      </c>
      <c r="D233" s="173" t="inlineStr">
        <is>
          <t>https://discord.com/channels/191975109500731392/1212839710439776287/1299046691739013120</t>
        </is>
      </c>
    </row>
    <row r="234" ht="14.25" customHeight="1" s="175">
      <c r="A234" s="267" t="inlineStr">
        <is>
          <t>David</t>
        </is>
      </c>
      <c r="B234" s="268" t="n">
        <v>1</v>
      </c>
      <c r="C234" s="269" t="inlineStr">
        <is>
          <t>Carter</t>
        </is>
      </c>
      <c r="D234" s="173" t="inlineStr">
        <is>
          <t>https://discord.com/channels/191975109500731392/1212839710439776287/1299052846703972396</t>
        </is>
      </c>
      <c r="E234" s="173" t="n">
        <v>0</v>
      </c>
    </row>
    <row r="235" ht="14.25" customHeight="1" s="175">
      <c r="A235" s="267" t="inlineStr">
        <is>
          <t>Carter</t>
        </is>
      </c>
      <c r="B235" s="268" t="n">
        <v>1</v>
      </c>
      <c r="C235" s="269" t="inlineStr">
        <is>
          <t>David</t>
        </is>
      </c>
      <c r="D235" s="173" t="inlineStr">
        <is>
          <t>https://discord.com/channels/191975109500731392/1212839710439776287/1299052890467602575</t>
        </is>
      </c>
    </row>
    <row r="236" ht="14.25" customHeight="1" s="175">
      <c r="A236" s="267" t="inlineStr">
        <is>
          <t>Sam</t>
        </is>
      </c>
      <c r="B236" s="268" t="n">
        <v>1</v>
      </c>
      <c r="C236" s="269" t="inlineStr">
        <is>
          <t>Cooper</t>
        </is>
      </c>
      <c r="D236" s="173" t="inlineStr">
        <is>
          <t>https://discord.com/channels/191975109500731392/1212839710439776287/1299113290332639245</t>
        </is>
      </c>
    </row>
    <row r="237" ht="14.25" customHeight="1" s="175">
      <c r="A237" s="267" t="inlineStr">
        <is>
          <t>Cooper</t>
        </is>
      </c>
      <c r="B237" s="268" t="n">
        <v>1</v>
      </c>
      <c r="C237" s="269" t="inlineStr">
        <is>
          <t>Sam</t>
        </is>
      </c>
      <c r="D237" s="173" t="inlineStr">
        <is>
          <t>https://discord.com/channels/191975109500731392/1212839710439776287/1299113654519861259</t>
        </is>
      </c>
    </row>
    <row r="238" ht="14.25" customHeight="1" s="175">
      <c r="A238" s="267" t="inlineStr">
        <is>
          <t>Evan</t>
        </is>
      </c>
      <c r="B238" s="268" t="n">
        <v>2</v>
      </c>
      <c r="C238" s="269" t="inlineStr">
        <is>
          <t>Ethan</t>
        </is>
      </c>
      <c r="D238" s="173" t="inlineStr">
        <is>
          <t>https://discord.com/channels/191975109500731392/1212839710439776287/1299129713008054345</t>
        </is>
      </c>
    </row>
    <row r="239" ht="14.25" customHeight="1" s="175">
      <c r="A239" s="267" t="inlineStr">
        <is>
          <t>David</t>
        </is>
      </c>
      <c r="B239" s="268" t="n">
        <v>1</v>
      </c>
      <c r="C239" s="269" t="inlineStr">
        <is>
          <t>Peter</t>
        </is>
      </c>
      <c r="D239" s="173" t="inlineStr">
        <is>
          <t>https://discord.com/channels/191975109500731392/1212839710439776287/1299137160464564245</t>
        </is>
      </c>
    </row>
    <row r="240" ht="14.25" customHeight="1" s="175">
      <c r="A240" s="267" t="inlineStr">
        <is>
          <t>Peter</t>
        </is>
      </c>
      <c r="B240" s="268" t="n">
        <v>1</v>
      </c>
      <c r="C240" s="269" t="inlineStr">
        <is>
          <t>David</t>
        </is>
      </c>
      <c r="D240" s="173" t="inlineStr">
        <is>
          <t>https://discord.com/channels/191975109500731392/1212839710439776287/1299137517307691068</t>
        </is>
      </c>
    </row>
    <row r="241" ht="14.25" customHeight="1" s="175">
      <c r="A241" s="267" t="inlineStr">
        <is>
          <t>Carter</t>
        </is>
      </c>
      <c r="B241" s="268" t="n">
        <v>2</v>
      </c>
      <c r="C241" s="269" t="inlineStr">
        <is>
          <t>Reuben</t>
        </is>
      </c>
      <c r="D241" s="173" t="inlineStr">
        <is>
          <t>https://discord.com/channels/191975109500731392/1212839710439776287/1299155094134198342</t>
        </is>
      </c>
    </row>
    <row r="242" ht="14.25" customHeight="1" s="175">
      <c r="A242" s="267" t="inlineStr">
        <is>
          <t>David</t>
        </is>
      </c>
      <c r="B242" s="268" t="n">
        <v>2</v>
      </c>
      <c r="C242" s="269" t="inlineStr">
        <is>
          <t>Reuben</t>
        </is>
      </c>
      <c r="D242" s="173" t="inlineStr">
        <is>
          <t>https://discord.com/channels/191975109500731392/1212839710439776287/1299385909531246673</t>
        </is>
      </c>
    </row>
    <row r="243" ht="14.25" customHeight="1" s="175">
      <c r="A243" s="267" t="inlineStr">
        <is>
          <t>Evan</t>
        </is>
      </c>
      <c r="B243" s="268" t="n">
        <v>1</v>
      </c>
      <c r="C243" s="269" t="inlineStr">
        <is>
          <t>Ethan</t>
        </is>
      </c>
      <c r="D243" s="173" t="inlineStr">
        <is>
          <t>https://discord.com/channels/191975109500731392/1212839710439776287/1299385959946780793</t>
        </is>
      </c>
    </row>
    <row r="244" ht="14.25" customHeight="1" s="175">
      <c r="A244" s="267" t="inlineStr">
        <is>
          <t>Ethan</t>
        </is>
      </c>
      <c r="B244" s="268" t="n">
        <v>1</v>
      </c>
      <c r="C244" s="269" t="inlineStr">
        <is>
          <t>Evan</t>
        </is>
      </c>
      <c r="D244" s="173" t="inlineStr">
        <is>
          <t>https://discord.com/channels/191975109500731392/1212839710439776287/1299386030197178398</t>
        </is>
      </c>
    </row>
    <row r="245" ht="14.25" customHeight="1" s="175">
      <c r="A245" s="267" t="inlineStr">
        <is>
          <t>David</t>
        </is>
      </c>
      <c r="B245" s="268" t="n">
        <v>2</v>
      </c>
      <c r="C245" s="269" t="inlineStr">
        <is>
          <t>Evan</t>
        </is>
      </c>
      <c r="D245" s="173" t="inlineStr">
        <is>
          <t>https://discord.com/channels/191975109500731392/1212839710439776287/1299386498159869992</t>
        </is>
      </c>
    </row>
    <row r="246" ht="14.25" customHeight="1" s="175">
      <c r="A246" s="267" t="inlineStr">
        <is>
          <t>David</t>
        </is>
      </c>
      <c r="B246" s="268" t="n">
        <v>1</v>
      </c>
      <c r="C246" s="269" t="inlineStr">
        <is>
          <t>Carter</t>
        </is>
      </c>
      <c r="D246" s="173" t="inlineStr">
        <is>
          <t>https://discord.com/channels/191975109500731392/1212839710439776287/1299544397939212330</t>
        </is>
      </c>
      <c r="E246" s="173" t="n">
        <v>0</v>
      </c>
    </row>
    <row r="247" ht="14.25" customHeight="1" s="175">
      <c r="A247" s="267" t="inlineStr">
        <is>
          <t>Carter</t>
        </is>
      </c>
      <c r="B247" s="268" t="n">
        <v>1</v>
      </c>
      <c r="C247" s="269" t="inlineStr">
        <is>
          <t>David</t>
        </is>
      </c>
      <c r="D247" s="173" t="inlineStr">
        <is>
          <t>https://discord.com/channels/191975109500731392/1212839710439776287/1299544439684988950</t>
        </is>
      </c>
    </row>
    <row r="248" ht="14.25" customHeight="1" s="175">
      <c r="A248" s="267" t="inlineStr">
        <is>
          <t>David</t>
        </is>
      </c>
      <c r="B248" s="268" t="n">
        <v>1</v>
      </c>
      <c r="C248" s="269" t="inlineStr">
        <is>
          <t>Grady</t>
        </is>
      </c>
      <c r="D248" s="173" t="inlineStr">
        <is>
          <t>https://discord.com/channels/191975109500731392/1212839710439776287/1299819106643738646</t>
        </is>
      </c>
    </row>
    <row r="249" ht="14.25" customHeight="1" s="175">
      <c r="A249" s="267" t="inlineStr">
        <is>
          <t>Tyler</t>
        </is>
      </c>
      <c r="B249" s="268" t="n">
        <v>2</v>
      </c>
      <c r="C249" s="269" t="inlineStr">
        <is>
          <t>Cooper</t>
        </is>
      </c>
      <c r="D249" s="173" t="inlineStr">
        <is>
          <t>https://discord.com/channels/191975109500731392/1212839710439776287/1300458488551575643</t>
        </is>
      </c>
    </row>
    <row r="250" ht="14.25" customHeight="1" s="175">
      <c r="A250" s="267" t="inlineStr">
        <is>
          <t>Carter</t>
        </is>
      </c>
      <c r="B250" s="268" t="n">
        <v>1</v>
      </c>
      <c r="C250" s="269" t="inlineStr">
        <is>
          <t>Tyler</t>
        </is>
      </c>
      <c r="D250" s="173" t="inlineStr">
        <is>
          <t>https://discord.com/channels/191975109500731392/1212839710439776287/1300459031445504021</t>
        </is>
      </c>
    </row>
    <row r="251" ht="14.25" customHeight="1" s="175">
      <c r="A251" s="267" t="inlineStr">
        <is>
          <t>Tyler</t>
        </is>
      </c>
      <c r="B251" s="268" t="n">
        <v>1</v>
      </c>
      <c r="C251" s="269" t="inlineStr">
        <is>
          <t>Carter</t>
        </is>
      </c>
      <c r="D251" s="173" t="inlineStr">
        <is>
          <t>https://discord.com/channels/191975109500731392/1212839710439776287/1300459137607532564</t>
        </is>
      </c>
      <c r="E251" s="173" t="n">
        <v>1</v>
      </c>
    </row>
    <row r="252" ht="14.25" customHeight="1" s="175">
      <c r="A252" s="267" t="inlineStr">
        <is>
          <t>David</t>
        </is>
      </c>
      <c r="B252" s="268" t="n">
        <v>2</v>
      </c>
      <c r="C252" s="269" t="inlineStr">
        <is>
          <t>Tyler</t>
        </is>
      </c>
      <c r="D252" s="173" t="inlineStr">
        <is>
          <t>https://discord.com/channels/191975109500731392/1212839710439776287/1300459176786657331</t>
        </is>
      </c>
    </row>
    <row r="253" ht="14.25" customHeight="1" s="175">
      <c r="A253" s="267" t="inlineStr">
        <is>
          <t>Sam</t>
        </is>
      </c>
      <c r="B253" s="268" t="n">
        <v>1</v>
      </c>
      <c r="C253" s="269" t="inlineStr">
        <is>
          <t>Peter</t>
        </is>
      </c>
      <c r="D253" s="173" t="inlineStr">
        <is>
          <t>https://discord.com/channels/191975109500731392/1212839710439776287/1300473966758199347</t>
        </is>
      </c>
    </row>
    <row r="254" ht="14.25" customHeight="1" s="175">
      <c r="A254" s="267" t="inlineStr">
        <is>
          <t>Peter</t>
        </is>
      </c>
      <c r="B254" s="268" t="n">
        <v>1</v>
      </c>
      <c r="C254" s="269" t="inlineStr">
        <is>
          <t>Sam</t>
        </is>
      </c>
      <c r="D254" s="173" t="inlineStr">
        <is>
          <t>https://discord.com/channels/191975109500731392/1212839710439776287/1300473990548291696</t>
        </is>
      </c>
    </row>
    <row r="255" ht="14.25" customHeight="1" s="175">
      <c r="A255" s="267" t="inlineStr">
        <is>
          <t>Grady</t>
        </is>
      </c>
      <c r="B255" s="268" t="n">
        <v>2</v>
      </c>
      <c r="C255" s="269" t="inlineStr">
        <is>
          <t>Reuben</t>
        </is>
      </c>
      <c r="D255" s="173" t="inlineStr">
        <is>
          <t>https://discord.com/channels/191975109500731392/1212839710439776287/1300507902179807436</t>
        </is>
      </c>
    </row>
    <row r="256" ht="14.25" customHeight="1" s="175">
      <c r="A256" s="267" t="inlineStr">
        <is>
          <t>Evan</t>
        </is>
      </c>
      <c r="B256" s="268" t="n">
        <v>2</v>
      </c>
      <c r="C256" s="269" t="inlineStr">
        <is>
          <t>Grady</t>
        </is>
      </c>
      <c r="D256" s="173" t="inlineStr">
        <is>
          <t>https://discord.com/channels/191975109500731392/1212839710439776287/1300516195090567219</t>
        </is>
      </c>
    </row>
    <row r="257" ht="14.25" customHeight="1" s="175">
      <c r="A257" s="267" t="inlineStr">
        <is>
          <t>Peter</t>
        </is>
      </c>
      <c r="B257" s="268" t="n">
        <v>2</v>
      </c>
      <c r="C257" s="269" t="inlineStr">
        <is>
          <t>Reuben</t>
        </is>
      </c>
      <c r="D257" s="173" t="inlineStr">
        <is>
          <t>https://discord.com/channels/191975109500731392/1212839710439776287/1300834232586866688</t>
        </is>
      </c>
    </row>
    <row r="258" ht="14.25" customHeight="1" s="175">
      <c r="A258" s="267" t="inlineStr">
        <is>
          <t>Jon</t>
        </is>
      </c>
      <c r="B258" s="268" t="n">
        <v>2</v>
      </c>
      <c r="C258" s="269" t="inlineStr">
        <is>
          <t>Carter</t>
        </is>
      </c>
      <c r="D258" s="173" t="inlineStr">
        <is>
          <t>https://discord.com/channels/191975109500731392/1212839710439776287/1300867076054843522</t>
        </is>
      </c>
    </row>
    <row r="259" ht="14.25" customHeight="1" s="175">
      <c r="A259" s="267" t="inlineStr">
        <is>
          <t>David</t>
        </is>
      </c>
      <c r="B259" s="268" t="n">
        <v>2</v>
      </c>
      <c r="C259" s="269" t="inlineStr">
        <is>
          <t>Ethan</t>
        </is>
      </c>
      <c r="D259" s="173" t="inlineStr">
        <is>
          <t>https://discord.com/channels/191975109500731392/1212839710439776287/1300882387923632219</t>
        </is>
      </c>
    </row>
    <row r="260" ht="14.25" customHeight="1" s="175">
      <c r="A260" s="267" t="inlineStr">
        <is>
          <t>Evan</t>
        </is>
      </c>
      <c r="B260" s="268" t="n">
        <v>1</v>
      </c>
      <c r="C260" s="269" t="inlineStr">
        <is>
          <t>Sam</t>
        </is>
      </c>
      <c r="D260" s="173" t="inlineStr">
        <is>
          <t>https://discord.com/channels/191975109500731392/1212839710439776287/1300896180347342848</t>
        </is>
      </c>
    </row>
    <row r="261" ht="14.25" customHeight="1" s="175">
      <c r="A261" s="267" t="inlineStr">
        <is>
          <t>Sam</t>
        </is>
      </c>
      <c r="B261" s="268" t="n">
        <v>1</v>
      </c>
      <c r="C261" s="269" t="inlineStr">
        <is>
          <t>Evan</t>
        </is>
      </c>
      <c r="D261" s="173" t="inlineStr">
        <is>
          <t>https://discord.com/channels/191975109500731392/1212839710439776287/1300896193584431184</t>
        </is>
      </c>
    </row>
    <row r="262" ht="14.25" customHeight="1" s="175">
      <c r="A262" s="267" t="inlineStr">
        <is>
          <t>Evan</t>
        </is>
      </c>
      <c r="B262" s="268" t="n">
        <v>1</v>
      </c>
      <c r="C262" s="269" t="inlineStr">
        <is>
          <t>David</t>
        </is>
      </c>
      <c r="D262" s="173" t="inlineStr">
        <is>
          <t>https://discord.com/channels/191975109500731392/1212839710439776287/1300896365609484341</t>
        </is>
      </c>
    </row>
    <row r="263" ht="14.25" customHeight="1" s="175">
      <c r="A263" s="267" t="inlineStr">
        <is>
          <t>David</t>
        </is>
      </c>
      <c r="B263" s="268" t="n">
        <v>1</v>
      </c>
      <c r="C263" s="269" t="inlineStr">
        <is>
          <t>Evan</t>
        </is>
      </c>
      <c r="D263" s="173" t="inlineStr">
        <is>
          <t>https://discord.com/channels/191975109500731392/1212839710439776287/1300896378377076836</t>
        </is>
      </c>
    </row>
    <row r="264" ht="14.25" customHeight="1" s="175">
      <c r="A264" s="267" t="inlineStr">
        <is>
          <t>Evan</t>
        </is>
      </c>
      <c r="B264" s="268" t="n">
        <v>2</v>
      </c>
      <c r="C264" s="269" t="inlineStr">
        <is>
          <t>Reuben</t>
        </is>
      </c>
      <c r="D264" s="173" t="inlineStr">
        <is>
          <t>https://discord.com/channels/191975109500731392/1212839710439776287/1300931014926798918</t>
        </is>
      </c>
    </row>
    <row r="265" ht="14.25" customHeight="1" s="175">
      <c r="A265" s="267" t="inlineStr">
        <is>
          <t>Evan</t>
        </is>
      </c>
      <c r="B265" s="268" t="n">
        <v>1</v>
      </c>
      <c r="C265" s="269" t="inlineStr">
        <is>
          <t>Ethan</t>
        </is>
      </c>
      <c r="D265" s="173" t="inlineStr">
        <is>
          <t>https://discord.com/channels/191975109500731392/1212839710439776287/1300931385921503415</t>
        </is>
      </c>
    </row>
    <row r="266" ht="14.25" customHeight="1" s="175">
      <c r="A266" s="267" t="inlineStr">
        <is>
          <t>Ethan</t>
        </is>
      </c>
      <c r="B266" s="268" t="n">
        <v>1</v>
      </c>
      <c r="C266" s="269" t="inlineStr">
        <is>
          <t>Evan</t>
        </is>
      </c>
      <c r="D266" s="173" t="inlineStr">
        <is>
          <t>https://discord.com/channels/191975109500731392/1212839710439776287/1300931427948564501</t>
        </is>
      </c>
    </row>
    <row r="267" ht="14.25" customHeight="1" s="175">
      <c r="A267" s="267" t="inlineStr">
        <is>
          <t>Ethan</t>
        </is>
      </c>
      <c r="B267" s="268" t="n">
        <v>2</v>
      </c>
      <c r="C267" s="269" t="inlineStr">
        <is>
          <t>Reuben</t>
        </is>
      </c>
      <c r="D267" s="173" t="inlineStr">
        <is>
          <t>https://discord.com/channels/191975109500731392/1212839710439776287/1300931638296969337</t>
        </is>
      </c>
    </row>
    <row r="268" ht="14.25" customHeight="1" s="175">
      <c r="A268" s="267" t="inlineStr">
        <is>
          <t>Carter</t>
        </is>
      </c>
      <c r="B268" s="268" t="n">
        <v>2</v>
      </c>
      <c r="C268" s="269" t="inlineStr">
        <is>
          <t>Evan</t>
        </is>
      </c>
      <c r="D268" s="173" t="inlineStr">
        <is>
          <t>https://discord.com/channels/191975109500731392/1212839710439776287/1300950301284765736</t>
        </is>
      </c>
    </row>
    <row r="269" ht="14.25" customHeight="1" s="175">
      <c r="A269" s="267" t="inlineStr">
        <is>
          <t>Ethan</t>
        </is>
      </c>
      <c r="B269" s="268" t="n">
        <v>2</v>
      </c>
      <c r="C269" s="269" t="inlineStr">
        <is>
          <t>Reuben</t>
        </is>
      </c>
      <c r="D269" s="173" t="inlineStr">
        <is>
          <t>https://discord.com/channels/191975109500731392/1212839710439776287/1300958985662238840</t>
        </is>
      </c>
    </row>
    <row r="270" ht="14.25" customHeight="1" s="175">
      <c r="A270" s="267" t="inlineStr">
        <is>
          <t>Evan</t>
        </is>
      </c>
      <c r="B270" s="268" t="n">
        <v>2</v>
      </c>
      <c r="C270" s="269" t="inlineStr">
        <is>
          <t>Reuben</t>
        </is>
      </c>
      <c r="D270" s="173" t="inlineStr">
        <is>
          <t>https://discord.com/channels/191975109500731392/1212839710439776287/1300969829297160324</t>
        </is>
      </c>
    </row>
    <row r="271" ht="14.25" customHeight="1" s="175">
      <c r="A271" s="267" t="inlineStr">
        <is>
          <t>Maxine</t>
        </is>
      </c>
      <c r="B271" s="268" t="n">
        <v>1</v>
      </c>
      <c r="C271" s="269" t="inlineStr">
        <is>
          <t>Evan</t>
        </is>
      </c>
      <c r="D271" s="173" t="inlineStr">
        <is>
          <t>https://discord.com/channels/191975109500731392/1212839710439776287/1301167966271836162</t>
        </is>
      </c>
    </row>
    <row r="272" ht="14.25" customHeight="1" s="175">
      <c r="A272" s="267" t="inlineStr">
        <is>
          <t>Evan</t>
        </is>
      </c>
      <c r="B272" s="268" t="n">
        <v>1</v>
      </c>
      <c r="C272" s="269" t="inlineStr">
        <is>
          <t>Maxine</t>
        </is>
      </c>
      <c r="D272" s="173" t="inlineStr">
        <is>
          <t>https://discord.com/channels/191975109500731392/1212839710439776287/1301167991135670354</t>
        </is>
      </c>
    </row>
    <row r="273" ht="14.25" customHeight="1" s="175">
      <c r="A273" s="267" t="inlineStr">
        <is>
          <t>Maxine</t>
        </is>
      </c>
      <c r="B273" s="268" t="n">
        <v>1</v>
      </c>
      <c r="C273" s="269" t="inlineStr">
        <is>
          <t>Grady</t>
        </is>
      </c>
      <c r="D273" s="173" t="inlineStr">
        <is>
          <t>https://discord.com/channels/191975109500731392/1212839710439776287/1301181076215042089</t>
        </is>
      </c>
    </row>
    <row r="274" ht="14.25" customHeight="1" s="175">
      <c r="A274" s="267" t="inlineStr">
        <is>
          <t>Sam</t>
        </is>
      </c>
      <c r="B274" s="268" t="n">
        <v>2</v>
      </c>
      <c r="C274" s="269" t="inlineStr">
        <is>
          <t>Grady</t>
        </is>
      </c>
      <c r="D274" s="173" t="inlineStr">
        <is>
          <t>https://discord.com/channels/191975109500731392/1212839710439776287/1301201046399619202</t>
        </is>
      </c>
    </row>
    <row r="275" ht="14.25" customHeight="1" s="175">
      <c r="A275" s="267" t="inlineStr">
        <is>
          <t>Carter</t>
        </is>
      </c>
      <c r="B275" s="268" t="n">
        <v>2</v>
      </c>
      <c r="C275" s="269" t="inlineStr">
        <is>
          <t>Sam</t>
        </is>
      </c>
      <c r="D275" s="173" t="inlineStr">
        <is>
          <t>https://discord.com/channels/191975109500731392/1212839710439776287/1301201233666900021</t>
        </is>
      </c>
    </row>
    <row r="276" ht="14.25" customHeight="1" s="175">
      <c r="A276" s="267" t="inlineStr">
        <is>
          <t>Sam</t>
        </is>
      </c>
      <c r="B276" s="268" t="n">
        <v>1</v>
      </c>
      <c r="C276" s="269" t="inlineStr">
        <is>
          <t>Peter</t>
        </is>
      </c>
      <c r="D276" s="173" t="inlineStr">
        <is>
          <t>https://discord.com/channels/191975109500731392/1212839710439776287/1301201564626714704</t>
        </is>
      </c>
    </row>
    <row r="277" ht="14.25" customHeight="1" s="175">
      <c r="A277" s="267" t="inlineStr">
        <is>
          <t>Peter</t>
        </is>
      </c>
      <c r="B277" s="268" t="n">
        <v>1</v>
      </c>
      <c r="C277" s="269" t="inlineStr">
        <is>
          <t>Sam</t>
        </is>
      </c>
      <c r="D277" s="173" t="inlineStr">
        <is>
          <t>https://discord.com/channels/191975109500731392/1212839710439776287/1301201599846154261</t>
        </is>
      </c>
    </row>
    <row r="278" ht="14.25" customHeight="1" s="175">
      <c r="A278" s="267" t="inlineStr">
        <is>
          <t>Peter</t>
        </is>
      </c>
      <c r="B278" s="268" t="n">
        <v>2</v>
      </c>
      <c r="C278" s="269" t="inlineStr">
        <is>
          <t>Grady</t>
        </is>
      </c>
      <c r="D278" s="173" t="inlineStr">
        <is>
          <t>https://discord.com/channels/191975109500731392/1212839710439776287/1301201599846154261</t>
        </is>
      </c>
    </row>
    <row r="279" ht="14.25" customHeight="1" s="175">
      <c r="A279" s="267" t="inlineStr">
        <is>
          <t>Carter</t>
        </is>
      </c>
      <c r="B279" s="268" t="n">
        <v>1</v>
      </c>
      <c r="C279" s="269" t="inlineStr">
        <is>
          <t>Reuben</t>
        </is>
      </c>
      <c r="D279" s="173" t="inlineStr">
        <is>
          <t>https://discord.com/channels/191975109500731392/1212839710439776287/1301231657218474105</t>
        </is>
      </c>
    </row>
    <row r="280" ht="14.25" customHeight="1" s="175">
      <c r="A280" s="267" t="inlineStr">
        <is>
          <t>Evan</t>
        </is>
      </c>
      <c r="B280" s="268" t="n">
        <v>1</v>
      </c>
      <c r="C280" s="269" t="inlineStr">
        <is>
          <t>Maxine</t>
        </is>
      </c>
      <c r="D280" s="173" t="inlineStr">
        <is>
          <t>https://discord.com/channels/191975109500731392/1212839710439776287/1301241300988989510</t>
        </is>
      </c>
    </row>
    <row r="281" ht="14.25" customHeight="1" s="175">
      <c r="A281" s="267" t="inlineStr">
        <is>
          <t>Maxine</t>
        </is>
      </c>
      <c r="B281" s="268" t="n">
        <v>2</v>
      </c>
      <c r="C281" s="269" t="inlineStr">
        <is>
          <t>Evan</t>
        </is>
      </c>
      <c r="D281" s="173" t="inlineStr">
        <is>
          <t>https://discord.com/channels/191975109500731392/1212839710439776287/1301241323596025986</t>
        </is>
      </c>
    </row>
    <row r="282" ht="14.25" customHeight="1" s="175">
      <c r="A282" s="267" t="inlineStr">
        <is>
          <t>Maxine</t>
        </is>
      </c>
      <c r="B282" s="268" t="n">
        <v>2</v>
      </c>
      <c r="C282" s="269" t="inlineStr">
        <is>
          <t>Grady</t>
        </is>
      </c>
      <c r="D282" s="173" t="inlineStr">
        <is>
          <t>https://discord.com/channels/191975109500731392/1212839710439776287/1301259164135325697</t>
        </is>
      </c>
    </row>
    <row r="283" ht="14.25" customHeight="1" s="175">
      <c r="A283" s="267" t="inlineStr">
        <is>
          <t>David</t>
        </is>
      </c>
      <c r="B283" s="268" t="n">
        <v>2</v>
      </c>
      <c r="C283" s="269" t="inlineStr">
        <is>
          <t>Maxine</t>
        </is>
      </c>
      <c r="D283" s="173" t="inlineStr">
        <is>
          <t>https://discord.com/channels/191975109500731392/1212839710439776287/1301264507984941182</t>
        </is>
      </c>
    </row>
    <row r="284" ht="14.25" customHeight="1" s="175">
      <c r="A284" s="267" t="inlineStr">
        <is>
          <t>Sam</t>
        </is>
      </c>
      <c r="B284" s="268" t="n">
        <v>2</v>
      </c>
      <c r="C284" s="269" t="inlineStr">
        <is>
          <t>Carter</t>
        </is>
      </c>
      <c r="D284" s="173" t="inlineStr">
        <is>
          <t>https://discord.com/channels/191975109500731392/1212839710439776287/1301290268015984680</t>
        </is>
      </c>
      <c r="E284" s="173" t="n">
        <v>0</v>
      </c>
    </row>
    <row r="285" ht="14.25" customHeight="1" s="175">
      <c r="A285" s="267" t="inlineStr">
        <is>
          <t>Ethan</t>
        </is>
      </c>
      <c r="B285" s="268" t="n">
        <v>2</v>
      </c>
      <c r="C285" s="269" t="inlineStr">
        <is>
          <t>Reuben</t>
        </is>
      </c>
      <c r="D285" s="173" t="inlineStr">
        <is>
          <t>https://discord.com/channels/191975109500731392/1212839710439776287/1301321427055808643</t>
        </is>
      </c>
    </row>
    <row r="286" ht="14.25" customHeight="1" s="175">
      <c r="A286" s="267" t="inlineStr">
        <is>
          <t>Peter</t>
        </is>
      </c>
      <c r="B286" s="268" t="n">
        <v>2</v>
      </c>
      <c r="C286" s="269" t="inlineStr">
        <is>
          <t>Carter</t>
        </is>
      </c>
      <c r="D286" s="173" t="inlineStr">
        <is>
          <t>https://discord.com/channels/191975109500731392/1212839710439776287/1301532860066431078</t>
        </is>
      </c>
      <c r="E286" s="173" t="n">
        <v>0</v>
      </c>
    </row>
    <row r="287" ht="14.25" customHeight="1" s="175">
      <c r="A287" s="267" t="inlineStr">
        <is>
          <t>Jon</t>
        </is>
      </c>
      <c r="B287" s="268" t="n">
        <v>1</v>
      </c>
      <c r="C287" s="269" t="inlineStr">
        <is>
          <t>Peter</t>
        </is>
      </c>
      <c r="D287" s="173" t="inlineStr">
        <is>
          <t>https://discord.com/channels/191975109500731392/1212839710439776287/1301582622199123978</t>
        </is>
      </c>
    </row>
    <row r="288" ht="14.25" customHeight="1" s="175">
      <c r="A288" s="267" t="inlineStr">
        <is>
          <t>Peter</t>
        </is>
      </c>
      <c r="B288" s="268" t="n">
        <v>2</v>
      </c>
      <c r="C288" s="269" t="inlineStr">
        <is>
          <t>Jon</t>
        </is>
      </c>
      <c r="D288" s="173" t="inlineStr">
        <is>
          <t>https://discord.com/channels/191975109500731392/1212839710439776287/1301582656395542560</t>
        </is>
      </c>
    </row>
    <row r="289" ht="14.25" customHeight="1" s="175">
      <c r="A289" s="267" t="inlineStr">
        <is>
          <t>Maxine</t>
        </is>
      </c>
      <c r="B289" s="268" t="n">
        <v>1</v>
      </c>
      <c r="C289" s="269" t="inlineStr">
        <is>
          <t>Carter</t>
        </is>
      </c>
      <c r="D289" s="173" t="inlineStr">
        <is>
          <t>https://discord.com/channels/191975109500731392/1212839710439776287/1301625862650859530</t>
        </is>
      </c>
      <c r="E289" s="173" t="n">
        <v>0</v>
      </c>
    </row>
    <row r="290" ht="14.25" customHeight="1" s="175">
      <c r="A290" s="267" t="inlineStr">
        <is>
          <t>Carter</t>
        </is>
      </c>
      <c r="B290" s="268" t="n">
        <v>1</v>
      </c>
      <c r="C290" s="269" t="inlineStr">
        <is>
          <t>Maxine</t>
        </is>
      </c>
      <c r="D290" s="173" t="inlineStr">
        <is>
          <t>https://discord.com/channels/191975109500731392/1212839710439776287/1301626006012039340</t>
        </is>
      </c>
    </row>
    <row r="291" ht="14.25" customHeight="1" s="175">
      <c r="A291" s="267" t="inlineStr">
        <is>
          <t>Evan</t>
        </is>
      </c>
      <c r="B291" s="268" t="n">
        <v>2</v>
      </c>
      <c r="C291" s="269" t="inlineStr">
        <is>
          <t>Reuben</t>
        </is>
      </c>
      <c r="D291" s="173" t="inlineStr">
        <is>
          <t>https://discord.com/channels/191975109500731392/1212839710439776287/1301627568478359602</t>
        </is>
      </c>
    </row>
    <row r="292" ht="14.25" customHeight="1" s="175">
      <c r="A292" s="267" t="inlineStr">
        <is>
          <t>Jon</t>
        </is>
      </c>
      <c r="B292" s="268" t="n">
        <v>2</v>
      </c>
      <c r="C292" s="269" t="inlineStr">
        <is>
          <t>Carter</t>
        </is>
      </c>
      <c r="D292" s="173" t="inlineStr">
        <is>
          <t>https://discord.com/channels/191975109500731392/1212839710439776287/1301627851375644714</t>
        </is>
      </c>
      <c r="E292" s="173" t="n">
        <v>0</v>
      </c>
    </row>
    <row r="293" ht="14.25" customHeight="1" s="175">
      <c r="A293" s="267" t="inlineStr">
        <is>
          <t>Jon</t>
        </is>
      </c>
      <c r="B293" s="268" t="n">
        <v>2</v>
      </c>
      <c r="C293" s="269" t="inlineStr">
        <is>
          <t>Erick</t>
        </is>
      </c>
      <c r="D293" s="173" t="inlineStr">
        <is>
          <t>https://discord.com/channels/191975109500731392/1212839710439776287/1301630013728096387</t>
        </is>
      </c>
    </row>
    <row r="294" ht="14.25" customHeight="1" s="175">
      <c r="A294" s="267" t="inlineStr">
        <is>
          <t>Sam</t>
        </is>
      </c>
      <c r="B294" s="268" t="n">
        <v>2</v>
      </c>
      <c r="C294" s="269" t="inlineStr">
        <is>
          <t>Carter</t>
        </is>
      </c>
      <c r="D294" s="173" t="inlineStr">
        <is>
          <t>https://discord.com/channels/191975109500731392/1212839710439776287/1301646003325374485</t>
        </is>
      </c>
      <c r="E294" s="173" t="n">
        <v>0</v>
      </c>
    </row>
    <row r="295" ht="14.25" customHeight="1" s="175">
      <c r="A295" s="267" t="inlineStr">
        <is>
          <t>Ethan</t>
        </is>
      </c>
      <c r="B295" s="268" t="n">
        <v>1</v>
      </c>
      <c r="C295" s="269" t="inlineStr">
        <is>
          <t>Carter</t>
        </is>
      </c>
      <c r="D295" s="173" t="inlineStr">
        <is>
          <t>https://discord.com/channels/191975109500731392/1212839710439776287/1301742297393664012</t>
        </is>
      </c>
      <c r="E295" s="173" t="n">
        <v>0</v>
      </c>
    </row>
    <row r="296" ht="14.25" customHeight="1" s="175">
      <c r="A296" s="267" t="inlineStr">
        <is>
          <t>Carter</t>
        </is>
      </c>
      <c r="B296" s="268" t="n">
        <v>1</v>
      </c>
      <c r="C296" s="269" t="inlineStr">
        <is>
          <t>Ethan</t>
        </is>
      </c>
      <c r="D296" s="173" t="inlineStr">
        <is>
          <t>https://discord.com/channels/191975109500731392/1212839710439776287/1301742331631763488</t>
        </is>
      </c>
    </row>
    <row r="297" ht="14.25" customHeight="1" s="175">
      <c r="A297" s="267" t="inlineStr">
        <is>
          <t>Jon</t>
        </is>
      </c>
      <c r="B297" s="268" t="n">
        <v>2</v>
      </c>
      <c r="C297" s="269" t="inlineStr">
        <is>
          <t>Ethan</t>
        </is>
      </c>
      <c r="D297" s="173" t="inlineStr">
        <is>
          <t>https://discord.com/channels/191975109500731392/1212839710439776287/1301919686220316757</t>
        </is>
      </c>
    </row>
    <row r="298" ht="14.25" customHeight="1" s="175">
      <c r="A298" s="267" t="inlineStr">
        <is>
          <t>Ethan</t>
        </is>
      </c>
      <c r="B298" s="268" t="n">
        <v>1</v>
      </c>
      <c r="C298" s="269" t="inlineStr">
        <is>
          <t>Jon</t>
        </is>
      </c>
      <c r="D298" s="173" t="inlineStr">
        <is>
          <t>https://discord.com/channels/191975109500731392/1212839710439776287/1301919699117805673</t>
        </is>
      </c>
    </row>
    <row r="299" ht="14.25" customHeight="1" s="175">
      <c r="A299" s="267" t="inlineStr">
        <is>
          <t>Ethan</t>
        </is>
      </c>
      <c r="B299" s="268" t="n">
        <v>2</v>
      </c>
      <c r="C299" s="269" t="inlineStr">
        <is>
          <t>Reuben</t>
        </is>
      </c>
      <c r="D299" s="173" t="inlineStr">
        <is>
          <t>https://discord.com/channels/191975109500731392/1212839710439776287/1301969881172021338</t>
        </is>
      </c>
    </row>
    <row r="300" ht="14.25" customHeight="1" s="175">
      <c r="A300" s="267" t="inlineStr">
        <is>
          <t>Evan</t>
        </is>
      </c>
      <c r="B300" s="268" t="n">
        <v>2</v>
      </c>
      <c r="C300" s="269" t="inlineStr">
        <is>
          <t>Cooper</t>
        </is>
      </c>
      <c r="D300" s="173" t="inlineStr">
        <is>
          <t>https://discord.com/channels/191975109500731392/1212839710439776287/1302373502787256392</t>
        </is>
      </c>
    </row>
    <row r="301" ht="14.25" customHeight="1" s="175">
      <c r="A301" s="267" t="inlineStr">
        <is>
          <t>Ethan</t>
        </is>
      </c>
      <c r="B301" s="268" t="n">
        <v>2</v>
      </c>
      <c r="C301" s="269" t="inlineStr">
        <is>
          <t>Evan</t>
        </is>
      </c>
      <c r="D301" s="173" t="inlineStr">
        <is>
          <t>https://discord.com/channels/191975109500731392/1212839710439776287/1302690184013549669</t>
        </is>
      </c>
    </row>
    <row r="302" ht="14.25" customHeight="1" s="175">
      <c r="A302" s="267" t="inlineStr">
        <is>
          <t>Evan</t>
        </is>
      </c>
      <c r="B302" s="268" t="n">
        <v>2</v>
      </c>
      <c r="C302" s="269" t="inlineStr">
        <is>
          <t>Ethan</t>
        </is>
      </c>
      <c r="D302" s="173" t="inlineStr">
        <is>
          <t>https://discord.com/channels/191975109500731392/1212839710439776287/1302698179560472596</t>
        </is>
      </c>
    </row>
    <row r="303" ht="14.25" customHeight="1" s="175">
      <c r="A303" s="267" t="inlineStr">
        <is>
          <t>David</t>
        </is>
      </c>
      <c r="B303" s="268" t="n">
        <v>2</v>
      </c>
      <c r="C303" s="269" t="inlineStr">
        <is>
          <t>Ethan</t>
        </is>
      </c>
      <c r="D303" s="173" t="inlineStr">
        <is>
          <t>https://discord.com/channels/191975109500731392/1212839710439776287/1302797557172408320</t>
        </is>
      </c>
    </row>
    <row r="304" ht="14.25" customHeight="1" s="175">
      <c r="A304" s="267" t="inlineStr">
        <is>
          <t>Ethan</t>
        </is>
      </c>
      <c r="B304" s="268" t="n">
        <v>1</v>
      </c>
      <c r="C304" s="269" t="inlineStr">
        <is>
          <t>David</t>
        </is>
      </c>
      <c r="D304" s="173" t="inlineStr">
        <is>
          <t>https://discord.com/channels/191975109500731392/1212839710439776287/1302797773501890652</t>
        </is>
      </c>
    </row>
    <row r="305" ht="14.25" customHeight="1" s="175">
      <c r="A305" s="267" t="inlineStr">
        <is>
          <t>Evan</t>
        </is>
      </c>
      <c r="B305" s="268" t="n">
        <v>2</v>
      </c>
      <c r="C305" s="269" t="inlineStr">
        <is>
          <t>Reuben</t>
        </is>
      </c>
      <c r="D305" s="173" t="inlineStr">
        <is>
          <t>https://discord.com/channels/191975109500731392/1212839710439776287/1302843267167162379</t>
        </is>
      </c>
    </row>
    <row r="306" ht="14.25" customHeight="1" s="175">
      <c r="A306" s="267" t="inlineStr">
        <is>
          <t>David</t>
        </is>
      </c>
      <c r="B306" s="268" t="n">
        <v>2</v>
      </c>
      <c r="C306" s="269" t="inlineStr">
        <is>
          <t>Grady</t>
        </is>
      </c>
      <c r="D306" s="173" t="inlineStr">
        <is>
          <t>https://discord.com/channels/191975109500731392/1212839710439776287/1303007868261236736</t>
        </is>
      </c>
    </row>
    <row r="307" ht="14.25" customHeight="1" s="175">
      <c r="A307" s="267" t="inlineStr">
        <is>
          <t>Sam</t>
        </is>
      </c>
      <c r="B307" s="268" t="n">
        <v>2</v>
      </c>
      <c r="C307" s="269" t="inlineStr">
        <is>
          <t>Carter</t>
        </is>
      </c>
      <c r="D307" s="173" t="inlineStr">
        <is>
          <t>https://discord.com/channels/191975109500731392/1212839710439776287/1303020809064939580</t>
        </is>
      </c>
      <c r="E307" s="173" t="n">
        <v>0</v>
      </c>
    </row>
    <row r="308" ht="14.25" customHeight="1" s="175">
      <c r="A308" s="267" t="inlineStr">
        <is>
          <t>Evan</t>
        </is>
      </c>
      <c r="B308" s="268" t="n">
        <v>2</v>
      </c>
      <c r="C308" s="269" t="inlineStr">
        <is>
          <t>Reuben</t>
        </is>
      </c>
      <c r="D308" s="192" t="inlineStr">
        <is>
          <t>https://discord.com/channels/191975109500731392/1212839710439776287/1303031486206840914</t>
        </is>
      </c>
    </row>
    <row r="309" ht="14.25" customHeight="1" s="175">
      <c r="A309" s="267" t="inlineStr">
        <is>
          <t>Maxine</t>
        </is>
      </c>
      <c r="B309" s="268" t="n">
        <v>1</v>
      </c>
      <c r="C309" s="269" t="inlineStr">
        <is>
          <t>Reuben</t>
        </is>
      </c>
      <c r="D309" s="173" t="inlineStr">
        <is>
          <t>https://discord.com/channels/191975109500731392/1212839710439776287/1303032055533277204</t>
        </is>
      </c>
    </row>
    <row r="310" ht="14.25" customHeight="1" s="175">
      <c r="A310" s="267" t="inlineStr">
        <is>
          <t>Evan</t>
        </is>
      </c>
      <c r="B310" s="268" t="n">
        <v>1</v>
      </c>
      <c r="C310" s="269" t="inlineStr">
        <is>
          <t>Grady</t>
        </is>
      </c>
      <c r="D310" s="173" t="inlineStr">
        <is>
          <t>https://discord.com/channels/191975109500731392/1212839710439776287/1303067172477734993</t>
        </is>
      </c>
    </row>
    <row r="311" ht="14.25" customHeight="1" s="175">
      <c r="A311" s="267" t="inlineStr">
        <is>
          <t>David</t>
        </is>
      </c>
      <c r="B311" s="268" t="n">
        <v>1</v>
      </c>
      <c r="C311" s="269" t="inlineStr">
        <is>
          <t>Ethan</t>
        </is>
      </c>
      <c r="D311" s="173" t="inlineStr">
        <is>
          <t>https://discord.com/channels/191975109500731392/1212839710439776287/1303105423943143425</t>
        </is>
      </c>
    </row>
    <row r="312" ht="14.25" customHeight="1" s="175">
      <c r="A312" s="267" t="inlineStr">
        <is>
          <t>Ethan</t>
        </is>
      </c>
      <c r="B312" s="268" t="n">
        <v>1</v>
      </c>
      <c r="C312" s="269" t="inlineStr">
        <is>
          <t>David</t>
        </is>
      </c>
      <c r="D312" s="173" t="inlineStr">
        <is>
          <t>https://discord.com/channels/191975109500731392/1212839710439776287/1303105483858509835</t>
        </is>
      </c>
    </row>
    <row r="313" ht="14.25" customHeight="1" s="175">
      <c r="A313" s="267" t="inlineStr">
        <is>
          <t>Tyler</t>
        </is>
      </c>
      <c r="B313" s="268" t="n">
        <v>1</v>
      </c>
      <c r="C313" s="269" t="inlineStr">
        <is>
          <t>Sam</t>
        </is>
      </c>
      <c r="D313" s="173" t="inlineStr">
        <is>
          <t>https://discord.com/channels/191975109500731392/1212839710439776287/1303122021475160114</t>
        </is>
      </c>
    </row>
    <row r="314" ht="14.25" customHeight="1" s="175">
      <c r="A314" s="267" t="inlineStr">
        <is>
          <t>Sam</t>
        </is>
      </c>
      <c r="B314" s="268" t="n">
        <v>1</v>
      </c>
      <c r="C314" s="269" t="inlineStr">
        <is>
          <t>Tyler</t>
        </is>
      </c>
      <c r="D314" s="173" t="inlineStr">
        <is>
          <t>https://discord.com/channels/191975109500731392/1212839710439776287/1303122029377097821</t>
        </is>
      </c>
    </row>
    <row r="315" ht="14.25" customHeight="1" s="175">
      <c r="A315" s="267" t="inlineStr">
        <is>
          <t>Tyler</t>
        </is>
      </c>
      <c r="B315" s="268" t="n">
        <v>2</v>
      </c>
      <c r="C315" s="269" t="inlineStr">
        <is>
          <t>Ethan</t>
        </is>
      </c>
      <c r="D315" s="173" t="inlineStr">
        <is>
          <t>https://discord.com/channels/191975109500731392/1212839710439776287/1303128647032635482</t>
        </is>
      </c>
    </row>
    <row r="316" ht="14.25" customHeight="1" s="175">
      <c r="A316" s="267" t="inlineStr">
        <is>
          <t>Peter</t>
        </is>
      </c>
      <c r="B316" s="268" t="n">
        <v>2</v>
      </c>
      <c r="C316" s="269" t="inlineStr">
        <is>
          <t>Carter</t>
        </is>
      </c>
      <c r="D316" s="173" t="inlineStr">
        <is>
          <t>https://discord.com/channels/191975109500731392/1212839710439776287/1303385540112027780</t>
        </is>
      </c>
      <c r="E316" s="173" t="n">
        <v>0</v>
      </c>
    </row>
    <row r="317" ht="14.25" customHeight="1" s="175">
      <c r="A317" s="267" t="inlineStr">
        <is>
          <t>Ethan</t>
        </is>
      </c>
      <c r="B317" s="268" t="n">
        <v>2</v>
      </c>
      <c r="C317" s="269" t="inlineStr">
        <is>
          <t>Carter</t>
        </is>
      </c>
      <c r="D317" s="173" t="inlineStr">
        <is>
          <t>https://discord.com/channels/191975109500731392/1212839710439776287/1303410789629296661</t>
        </is>
      </c>
      <c r="E317" s="173" t="n">
        <v>1</v>
      </c>
    </row>
    <row r="318" ht="14.25" customHeight="1" s="175">
      <c r="A318" s="267" t="inlineStr">
        <is>
          <t>Jon</t>
        </is>
      </c>
      <c r="B318" s="268" t="n">
        <v>2</v>
      </c>
      <c r="C318" s="269" t="inlineStr">
        <is>
          <t>Carter</t>
        </is>
      </c>
      <c r="D318" s="173" t="inlineStr">
        <is>
          <t>https://discord.com/channels/191975109500731392/1212839710439776287/1303415768654024867</t>
        </is>
      </c>
      <c r="E318" s="173" t="n">
        <v>1</v>
      </c>
    </row>
    <row r="319" ht="14.25" customHeight="1" s="175">
      <c r="A319" s="267" t="inlineStr">
        <is>
          <t>Sam</t>
        </is>
      </c>
      <c r="B319" s="268" t="n">
        <v>2</v>
      </c>
      <c r="C319" s="269" t="inlineStr">
        <is>
          <t>Erick</t>
        </is>
      </c>
      <c r="D319" s="173" t="inlineStr">
        <is>
          <t>https://discord.com/channels/191975109500731392/1212839710439776287/1303429920600490044</t>
        </is>
      </c>
    </row>
    <row r="320" ht="14.25" customHeight="1" s="175">
      <c r="A320" s="267" t="inlineStr">
        <is>
          <t>Sam</t>
        </is>
      </c>
      <c r="B320" s="268" t="n">
        <v>2</v>
      </c>
      <c r="C320" s="269" t="inlineStr">
        <is>
          <t>Jon</t>
        </is>
      </c>
      <c r="D320" s="173" t="inlineStr">
        <is>
          <t>https://discord.com/channels/191975109500731392/1212839710439776287/1303430346809020491</t>
        </is>
      </c>
    </row>
    <row r="321" ht="14.25" customHeight="1" s="175">
      <c r="A321" s="267" t="inlineStr">
        <is>
          <t>Evan</t>
        </is>
      </c>
      <c r="B321" s="268" t="n">
        <v>2</v>
      </c>
      <c r="C321" s="269" t="inlineStr">
        <is>
          <t>Reuben</t>
        </is>
      </c>
      <c r="D321" s="173" t="inlineStr">
        <is>
          <t>https://discord.com/channels/191975109500731392/1212839710439776287/1303752308647002214</t>
        </is>
      </c>
    </row>
    <row r="322" ht="14.25" customHeight="1" s="175">
      <c r="A322" s="267" t="inlineStr">
        <is>
          <t>Ethan</t>
        </is>
      </c>
      <c r="B322" s="268" t="n">
        <v>1</v>
      </c>
      <c r="C322" s="269" t="inlineStr">
        <is>
          <t>Carter</t>
        </is>
      </c>
      <c r="D322" s="173" t="inlineStr">
        <is>
          <t>https://discord.com/channels/191975109500731392/1212839710439776287/1303874643798523916</t>
        </is>
      </c>
      <c r="E322" s="173" t="n">
        <v>0</v>
      </c>
    </row>
    <row r="323" ht="14.25" customHeight="1" s="175">
      <c r="A323" s="267" t="inlineStr">
        <is>
          <t>Carter</t>
        </is>
      </c>
      <c r="B323" s="268" t="n">
        <v>1</v>
      </c>
      <c r="C323" s="269" t="inlineStr">
        <is>
          <t>Ethan</t>
        </is>
      </c>
      <c r="D323" s="173" t="inlineStr">
        <is>
          <t>https://discord.com/channels/191975109500731392/1212839710439776287/1303874643798523916</t>
        </is>
      </c>
    </row>
    <row r="324" ht="14.25" customHeight="1" s="175">
      <c r="A324" s="267" t="inlineStr">
        <is>
          <t>Ethan</t>
        </is>
      </c>
      <c r="B324" s="268" t="n">
        <v>2</v>
      </c>
      <c r="C324" s="269" t="inlineStr">
        <is>
          <t>Reuben</t>
        </is>
      </c>
      <c r="D324" s="173" t="inlineStr">
        <is>
          <t>https://discord.com/channels/191975109500731392/1212839710439776287/1304247656612364320</t>
        </is>
      </c>
    </row>
    <row r="325" ht="14.25" customHeight="1" s="175">
      <c r="A325" s="267" t="inlineStr">
        <is>
          <t>David</t>
        </is>
      </c>
      <c r="B325" s="268" t="n">
        <v>1</v>
      </c>
      <c r="C325" s="269" t="inlineStr">
        <is>
          <t>Evan</t>
        </is>
      </c>
      <c r="D325" s="173" t="inlineStr">
        <is>
          <t>https://discord.com/channels/191975109500731392/1212839710439776287/1304459504380936233</t>
        </is>
      </c>
    </row>
    <row r="326" ht="14.25" customHeight="1" s="175">
      <c r="A326" s="267" t="inlineStr">
        <is>
          <t>Evan</t>
        </is>
      </c>
      <c r="B326" s="268" t="n">
        <v>1</v>
      </c>
      <c r="C326" s="269" t="inlineStr">
        <is>
          <t>David</t>
        </is>
      </c>
      <c r="D326" s="173" t="inlineStr">
        <is>
          <t>https://discord.com/channels/191975109500731392/1212839710439776287/1304459592280969246</t>
        </is>
      </c>
    </row>
    <row r="327" ht="14.25" customHeight="1" s="175">
      <c r="A327" s="267" t="inlineStr">
        <is>
          <t>Grady</t>
        </is>
      </c>
      <c r="B327" s="268" t="n">
        <v>1</v>
      </c>
      <c r="C327" s="269" t="inlineStr">
        <is>
          <t>Tyler</t>
        </is>
      </c>
      <c r="D327" s="173" t="inlineStr">
        <is>
          <t>https://discord.com/channels/191975109500731392/1212839710439776287/1304534355435061260</t>
        </is>
      </c>
    </row>
    <row r="328" ht="14.25" customHeight="1" s="175">
      <c r="A328" s="267" t="inlineStr">
        <is>
          <t>Tyler</t>
        </is>
      </c>
      <c r="B328" s="268" t="n">
        <v>1</v>
      </c>
      <c r="C328" s="269" t="inlineStr">
        <is>
          <t>Grady</t>
        </is>
      </c>
      <c r="D328" s="173" t="inlineStr">
        <is>
          <t>https://discord.com/channels/191975109500731392/1212839710439776287/1304534744494510080</t>
        </is>
      </c>
    </row>
    <row r="329" ht="14.25" customHeight="1" s="175">
      <c r="A329" s="267" t="inlineStr">
        <is>
          <t>Sam</t>
        </is>
      </c>
      <c r="B329" s="268" t="n">
        <v>2</v>
      </c>
      <c r="C329" s="269" t="inlineStr">
        <is>
          <t>Grady</t>
        </is>
      </c>
      <c r="D329" s="173" t="inlineStr">
        <is>
          <t>https://discord.com/channels/191975109500731392/1212839710439776287/1305566241100140545</t>
        </is>
      </c>
    </row>
    <row r="330" ht="14.25" customHeight="1" s="175">
      <c r="A330" s="267" t="inlineStr">
        <is>
          <t>David</t>
        </is>
      </c>
      <c r="B330" s="268" t="n">
        <v>2</v>
      </c>
      <c r="C330" s="269" t="inlineStr">
        <is>
          <t>Carter</t>
        </is>
      </c>
      <c r="D330" s="173" t="inlineStr">
        <is>
          <t>https://discord.com/channels/191975109500731392/1212839710439776287/1305629130473214055</t>
        </is>
      </c>
      <c r="E330" s="173" t="n">
        <v>1</v>
      </c>
    </row>
    <row r="331" ht="14.25" customHeight="1" s="175">
      <c r="A331" s="267" t="inlineStr">
        <is>
          <t>Evan</t>
        </is>
      </c>
      <c r="B331" s="268" t="n">
        <v>1</v>
      </c>
      <c r="C331" s="269" t="inlineStr">
        <is>
          <t>Ethan</t>
        </is>
      </c>
      <c r="D331" s="173" t="inlineStr">
        <is>
          <t>https://discord.com/channels/191975109500731392/1212839710439776287/1305644540702494851</t>
        </is>
      </c>
    </row>
    <row r="332" ht="14.25" customHeight="1" s="175">
      <c r="A332" s="267" t="inlineStr">
        <is>
          <t>Ethan</t>
        </is>
      </c>
      <c r="B332" s="268" t="n">
        <v>1</v>
      </c>
      <c r="C332" s="269" t="inlineStr">
        <is>
          <t>Evan</t>
        </is>
      </c>
      <c r="D332" s="173" t="inlineStr">
        <is>
          <t>https://discord.com/channels/191975109500731392/1212839710439776287/1305644637977051196</t>
        </is>
      </c>
    </row>
    <row r="333" ht="14.25" customHeight="1" s="175">
      <c r="A333" s="267" t="inlineStr">
        <is>
          <t>David</t>
        </is>
      </c>
      <c r="B333" s="268" t="n">
        <v>1</v>
      </c>
      <c r="C333" s="269" t="inlineStr">
        <is>
          <t>Maxine</t>
        </is>
      </c>
      <c r="D333" s="173" t="inlineStr">
        <is>
          <t>https://discord.com/channels/191975109500731392/1212839710439776287/1305916213112606791</t>
        </is>
      </c>
    </row>
    <row r="334" ht="14.25" customHeight="1" s="175">
      <c r="A334" s="267" t="inlineStr">
        <is>
          <t>Maxine</t>
        </is>
      </c>
      <c r="B334" s="268" t="n">
        <v>1</v>
      </c>
      <c r="C334" s="269" t="inlineStr">
        <is>
          <t>David</t>
        </is>
      </c>
      <c r="D334" s="173" t="inlineStr">
        <is>
          <t>https://discord.com/channels/191975109500731392/1212839710439776287/1305916269425590292</t>
        </is>
      </c>
    </row>
    <row r="335" ht="14.25" customHeight="1" s="175">
      <c r="A335" s="267" t="inlineStr">
        <is>
          <t>Sam</t>
        </is>
      </c>
      <c r="B335" s="268" t="n">
        <v>2</v>
      </c>
      <c r="C335" s="269" t="inlineStr">
        <is>
          <t>Erick</t>
        </is>
      </c>
      <c r="D335" s="173" t="inlineStr">
        <is>
          <t>https://discord.com/channels/191975109500731392/1212839710439776287/1305991430577197189</t>
        </is>
      </c>
    </row>
    <row r="336" ht="14.25" customHeight="1" s="175">
      <c r="A336" s="267" t="inlineStr">
        <is>
          <t>Maxine</t>
        </is>
      </c>
      <c r="B336" s="268" t="n">
        <v>1</v>
      </c>
      <c r="C336" s="269" t="inlineStr">
        <is>
          <t>Evan</t>
        </is>
      </c>
      <c r="D336" s="173" t="inlineStr">
        <is>
          <t>https://discord.com/channels/191975109500731392/1212839710439776287/1306269682105585744</t>
        </is>
      </c>
    </row>
    <row r="337" ht="14.25" customHeight="1" s="175">
      <c r="A337" s="267" t="inlineStr">
        <is>
          <t>Evan</t>
        </is>
      </c>
      <c r="B337" s="268" t="n">
        <v>1</v>
      </c>
      <c r="C337" s="269" t="inlineStr">
        <is>
          <t>Maxine</t>
        </is>
      </c>
      <c r="D337" s="173" t="inlineStr">
        <is>
          <t>https://discord.com/channels/191975109500731392/1212839710439776287/1306269738594472048</t>
        </is>
      </c>
    </row>
    <row r="338" ht="14.25" customHeight="1" s="175">
      <c r="A338" s="267" t="inlineStr">
        <is>
          <t>David</t>
        </is>
      </c>
      <c r="B338" s="268" t="n">
        <v>1</v>
      </c>
      <c r="C338" s="269" t="inlineStr">
        <is>
          <t>Carter</t>
        </is>
      </c>
      <c r="D338" s="173" t="inlineStr">
        <is>
          <t>https://discord.com/channels/191975109500731392/1212839710439776287/1306286895415824486</t>
        </is>
      </c>
    </row>
    <row r="339" ht="14.25" customHeight="1" s="175">
      <c r="A339" s="267" t="inlineStr">
        <is>
          <t>Peter</t>
        </is>
      </c>
      <c r="B339" s="268" t="n">
        <v>2</v>
      </c>
      <c r="C339" s="269" t="inlineStr">
        <is>
          <t>Grady</t>
        </is>
      </c>
      <c r="D339" s="173" t="inlineStr">
        <is>
          <t>https://discord.com/channels/191975109500731392/1212839710439776287/1306291084233674812</t>
        </is>
      </c>
    </row>
    <row r="340" ht="14.25" customHeight="1" s="175">
      <c r="A340" s="267" t="inlineStr">
        <is>
          <t>Carter</t>
        </is>
      </c>
      <c r="B340" s="268" t="n">
        <v>2</v>
      </c>
      <c r="C340" s="269" t="inlineStr">
        <is>
          <t>David</t>
        </is>
      </c>
      <c r="D340" s="173" t="inlineStr">
        <is>
          <t>https://discord.com/channels/191975109500731392/1212839710439776287/1306320647663779951</t>
        </is>
      </c>
    </row>
    <row r="341" ht="14.25" customHeight="1" s="175">
      <c r="A341" s="267" t="inlineStr">
        <is>
          <t>Carter</t>
        </is>
      </c>
      <c r="B341" s="268" t="n">
        <v>2</v>
      </c>
      <c r="C341" s="269" t="inlineStr">
        <is>
          <t>Erick</t>
        </is>
      </c>
      <c r="D341" s="173" t="inlineStr">
        <is>
          <t>https://discord.com/channels/191975109500731392/1212839710439776287/1306321532456534077</t>
        </is>
      </c>
    </row>
    <row r="342" ht="14.25" customHeight="1" s="175">
      <c r="A342" s="267" t="inlineStr">
        <is>
          <t>David</t>
        </is>
      </c>
      <c r="B342" s="268" t="n">
        <v>2</v>
      </c>
      <c r="C342" s="269" t="inlineStr">
        <is>
          <t>Carter</t>
        </is>
      </c>
      <c r="D342" s="173" t="inlineStr">
        <is>
          <t>https://discord.com/channels/191975109500731392/1212839710439776287/1306322011169099806</t>
        </is>
      </c>
      <c r="E342" s="173" t="n">
        <v>0</v>
      </c>
    </row>
    <row r="343" ht="14.25" customHeight="1" s="175">
      <c r="A343" s="267" t="inlineStr">
        <is>
          <t>Erick</t>
        </is>
      </c>
      <c r="B343" s="268" t="n">
        <v>1</v>
      </c>
      <c r="C343" s="269" t="inlineStr">
        <is>
          <t>David</t>
        </is>
      </c>
      <c r="D343" s="173" t="inlineStr">
        <is>
          <t>https://discord.com/channels/191975109500731392/1212839710439776287/1306323790631796746</t>
        </is>
      </c>
    </row>
    <row r="344" ht="14.25" customHeight="1" s="175">
      <c r="A344" s="267" t="inlineStr">
        <is>
          <t>Erick</t>
        </is>
      </c>
      <c r="B344" s="268" t="n">
        <v>1</v>
      </c>
      <c r="C344" s="269" t="inlineStr">
        <is>
          <t>Carter</t>
        </is>
      </c>
      <c r="D344" s="173" t="inlineStr">
        <is>
          <t>https://discord.com/channels/191975109500731392/1212839710439776287/1306323790631796746</t>
        </is>
      </c>
    </row>
    <row r="345" ht="14.25" customHeight="1" s="175">
      <c r="A345" s="267" t="inlineStr">
        <is>
          <t>Grady</t>
        </is>
      </c>
      <c r="B345" s="268" t="n">
        <v>2</v>
      </c>
      <c r="C345" s="269" t="inlineStr">
        <is>
          <t>Reuben</t>
        </is>
      </c>
      <c r="D345" s="192" t="inlineStr">
        <is>
          <t>https://discord.com/channels/191975109500731392/1212839710439776287/1306325863213830194</t>
        </is>
      </c>
    </row>
    <row r="346" ht="14.25" customHeight="1" s="175">
      <c r="A346" s="267" t="inlineStr">
        <is>
          <t>Maxine</t>
        </is>
      </c>
      <c r="B346" s="268" t="n">
        <v>2</v>
      </c>
      <c r="C346" s="269" t="inlineStr">
        <is>
          <t>Grady</t>
        </is>
      </c>
      <c r="D346" s="173" t="inlineStr">
        <is>
          <t>https://discord.com/channels/191975109500731392/1212839710439776287/1306347646314876960</t>
        </is>
      </c>
    </row>
    <row r="347" ht="14.25" customHeight="1" s="175">
      <c r="A347" s="267" t="inlineStr">
        <is>
          <t>David</t>
        </is>
      </c>
      <c r="B347" s="268" t="n">
        <v>1</v>
      </c>
      <c r="C347" s="269" t="inlineStr">
        <is>
          <t>Grady</t>
        </is>
      </c>
      <c r="D347" s="173" t="inlineStr">
        <is>
          <t>https://discord.com/channels/191975109500731392/1212839710439776287/1306348424131641394</t>
        </is>
      </c>
    </row>
    <row r="348" ht="14.25" customHeight="1" s="175">
      <c r="A348" s="267" t="inlineStr">
        <is>
          <t>David</t>
        </is>
      </c>
      <c r="B348" s="268" t="n">
        <v>1</v>
      </c>
      <c r="C348" s="269" t="inlineStr">
        <is>
          <t>Maxine</t>
        </is>
      </c>
      <c r="D348" s="173" t="inlineStr">
        <is>
          <t>https://discord.com/channels/191975109500731392/1212839710439776287/1306647744668242045</t>
        </is>
      </c>
    </row>
    <row r="349" ht="14.25" customHeight="1" s="175">
      <c r="A349" s="267" t="inlineStr">
        <is>
          <t>Maxine</t>
        </is>
      </c>
      <c r="B349" s="268" t="n">
        <v>1</v>
      </c>
      <c r="C349" s="269" t="inlineStr">
        <is>
          <t>David</t>
        </is>
      </c>
      <c r="D349" s="173" t="inlineStr">
        <is>
          <t>https://discord.com/channels/191975109500731392/1212839710439776287/1306647855506657343</t>
        </is>
      </c>
    </row>
    <row r="350" ht="14.25" customHeight="1" s="175">
      <c r="A350" s="267" t="inlineStr">
        <is>
          <t>David</t>
        </is>
      </c>
      <c r="B350" s="268" t="n">
        <v>2</v>
      </c>
      <c r="C350" s="269" t="inlineStr">
        <is>
          <t>Maxine</t>
        </is>
      </c>
      <c r="D350" s="173" t="inlineStr">
        <is>
          <t>https://discord.com/channels/191975109500731392/1212839710439776287/1307003349559672863</t>
        </is>
      </c>
    </row>
    <row r="351" ht="14.25" customHeight="1" s="175">
      <c r="A351" s="267" t="inlineStr">
        <is>
          <t>Maxine</t>
        </is>
      </c>
      <c r="B351" s="268" t="n">
        <v>1</v>
      </c>
      <c r="C351" s="269" t="inlineStr">
        <is>
          <t>David</t>
        </is>
      </c>
      <c r="D351" s="173" t="inlineStr">
        <is>
          <t>https://discord.com/channels/191975109500731392/1212839710439776287/1307003512877613138</t>
        </is>
      </c>
    </row>
    <row r="352" ht="14.25" customHeight="1" s="175">
      <c r="A352" s="267" t="inlineStr">
        <is>
          <t>Ethan</t>
        </is>
      </c>
      <c r="B352" s="268" t="n">
        <v>2</v>
      </c>
      <c r="C352" s="269" t="inlineStr">
        <is>
          <t>Evan</t>
        </is>
      </c>
      <c r="D352" s="173" t="inlineStr">
        <is>
          <t>https://discord.com/channels/191975109500731392/1212839710439776287/1307012159531913257</t>
        </is>
      </c>
    </row>
    <row r="353" ht="14.25" customHeight="1" s="175">
      <c r="A353" s="267" t="inlineStr">
        <is>
          <t>Ethan</t>
        </is>
      </c>
      <c r="B353" s="268" t="n">
        <v>2</v>
      </c>
      <c r="C353" s="269" t="inlineStr">
        <is>
          <t>Sam</t>
        </is>
      </c>
      <c r="D353" s="173" t="inlineStr">
        <is>
          <t>https://discord.com/channels/191975109500731392/1212839710439776287/1307087908112568380</t>
        </is>
      </c>
    </row>
    <row r="354" ht="14.25" customHeight="1" s="175">
      <c r="A354" s="267" t="inlineStr">
        <is>
          <t>Sam</t>
        </is>
      </c>
      <c r="B354" s="268" t="n">
        <v>1</v>
      </c>
      <c r="C354" s="269" t="inlineStr">
        <is>
          <t>Ethan</t>
        </is>
      </c>
      <c r="D354" s="173" t="inlineStr">
        <is>
          <t>https://discord.com/channels/191975109500731392/1212839710439776287/1307088382123446464</t>
        </is>
      </c>
    </row>
    <row r="355" ht="14.25" customHeight="1" s="175">
      <c r="A355" s="267" t="inlineStr">
        <is>
          <t>David</t>
        </is>
      </c>
      <c r="B355" s="268" t="n">
        <v>2</v>
      </c>
      <c r="C355" s="269" t="inlineStr">
        <is>
          <t>Jon</t>
        </is>
      </c>
      <c r="D355" s="173" t="inlineStr">
        <is>
          <t>https://discord.com/channels/191975109500731392/1212839710439776287/1307405725676601464</t>
        </is>
      </c>
    </row>
    <row r="356" ht="14.25" customHeight="1" s="175">
      <c r="A356" s="267" t="inlineStr">
        <is>
          <t>Cooper</t>
        </is>
      </c>
      <c r="B356" s="268" t="n">
        <v>1</v>
      </c>
      <c r="C356" s="269" t="inlineStr">
        <is>
          <t>Jon</t>
        </is>
      </c>
      <c r="D356" s="173" t="inlineStr">
        <is>
          <t>https://discord.com/channels/191975109500731392/1212839710439776287/1307474919642366042</t>
        </is>
      </c>
    </row>
    <row r="357" ht="14.25" customHeight="1" s="175">
      <c r="A357" s="267" t="inlineStr">
        <is>
          <t>Ethan</t>
        </is>
      </c>
      <c r="B357" s="268" t="n">
        <v>2</v>
      </c>
      <c r="C357" s="269" t="inlineStr">
        <is>
          <t>Evan</t>
        </is>
      </c>
      <c r="D357" s="173" t="inlineStr">
        <is>
          <t>https://discord.com/channels/191975109500731392/1212839710439776287/1307765604966465546</t>
        </is>
      </c>
    </row>
    <row r="358" ht="14.25" customHeight="1" s="175">
      <c r="A358" s="267" t="inlineStr">
        <is>
          <t>Evan</t>
        </is>
      </c>
      <c r="B358" s="268" t="n">
        <v>1</v>
      </c>
      <c r="C358" s="269" t="inlineStr">
        <is>
          <t>Ethan</t>
        </is>
      </c>
      <c r="D358" s="173" t="inlineStr">
        <is>
          <t>https://discord.com/channels/191975109500731392/1212839710439776287/1307768734617833483</t>
        </is>
      </c>
    </row>
    <row r="359" ht="14.25" customHeight="1" s="175">
      <c r="A359" s="267" t="inlineStr">
        <is>
          <t>Evan</t>
        </is>
      </c>
      <c r="B359" s="268" t="n">
        <v>2</v>
      </c>
      <c r="C359" s="269" t="inlineStr">
        <is>
          <t>Carter</t>
        </is>
      </c>
      <c r="D359" s="173" t="inlineStr">
        <is>
          <t>https://discord.com/channels/191975109500731392/1212839710439776287/1307852452627742730</t>
        </is>
      </c>
    </row>
    <row r="360" ht="14.25" customHeight="1" s="175">
      <c r="A360" s="267" t="inlineStr">
        <is>
          <t>Carter</t>
        </is>
      </c>
      <c r="B360" s="268" t="n">
        <v>1</v>
      </c>
      <c r="C360" s="269" t="inlineStr">
        <is>
          <t>Evan</t>
        </is>
      </c>
      <c r="D360" s="173" t="inlineStr">
        <is>
          <t>https://discord.com/channels/191975109500731392/1212839710439776287/1307852883529568306</t>
        </is>
      </c>
    </row>
    <row r="361" ht="14.25" customHeight="1" s="175">
      <c r="A361" s="267" t="inlineStr">
        <is>
          <t>Ethan</t>
        </is>
      </c>
      <c r="B361" s="268" t="n">
        <v>2</v>
      </c>
      <c r="C361" s="269" t="inlineStr">
        <is>
          <t>Evan</t>
        </is>
      </c>
      <c r="D361" s="173" t="inlineStr">
        <is>
          <t>https://discord.com/channels/191975109500731392/1212839710439776287/1307853676982833152</t>
        </is>
      </c>
    </row>
    <row r="362" ht="14.25" customHeight="1" s="175">
      <c r="A362" s="267" t="inlineStr">
        <is>
          <t>Carter</t>
        </is>
      </c>
      <c r="B362" s="268" t="n">
        <v>2</v>
      </c>
      <c r="C362" s="269" t="inlineStr">
        <is>
          <t>Evan</t>
        </is>
      </c>
      <c r="D362" s="173" t="inlineStr">
        <is>
          <t>https://discord.com/channels/191975109500731392/1212839710439776287/1308082267284832397</t>
        </is>
      </c>
    </row>
    <row r="363" ht="14.25" customHeight="1" s="175">
      <c r="A363" s="267" t="inlineStr">
        <is>
          <t>Peter</t>
        </is>
      </c>
      <c r="B363" s="268" t="n">
        <v>2</v>
      </c>
      <c r="C363" s="269" t="inlineStr">
        <is>
          <t>Grady</t>
        </is>
      </c>
      <c r="D363" s="173" t="inlineStr">
        <is>
          <t>https://discord.com/channels/191975109500731392/1212839710439776287/1308102933140738151</t>
        </is>
      </c>
    </row>
    <row r="364" ht="14.25" customHeight="1" s="175">
      <c r="A364" s="267" t="inlineStr">
        <is>
          <t>Ethan</t>
        </is>
      </c>
      <c r="B364" s="268" t="n">
        <v>2</v>
      </c>
      <c r="C364" s="269" t="inlineStr">
        <is>
          <t>Evan</t>
        </is>
      </c>
      <c r="D364" s="173" t="inlineStr">
        <is>
          <t>https://discord.com/channels/191975109500731392/1212839710439776287/1308113966425182248</t>
        </is>
      </c>
    </row>
    <row r="365" ht="14.25" customHeight="1" s="175">
      <c r="A365" s="267" t="inlineStr">
        <is>
          <t>Jon</t>
        </is>
      </c>
      <c r="B365" s="268" t="n">
        <v>1</v>
      </c>
      <c r="C365" s="269" t="inlineStr">
        <is>
          <t>Cooper</t>
        </is>
      </c>
      <c r="D365" s="173" t="inlineStr">
        <is>
          <t>https://discord.com/channels/191975109500731392/1212839710439776287/1308121411226964082</t>
        </is>
      </c>
    </row>
    <row r="366" ht="14.25" customHeight="1" s="175">
      <c r="A366" s="267" t="inlineStr">
        <is>
          <t>Cooper</t>
        </is>
      </c>
      <c r="B366" s="268" t="n">
        <v>1</v>
      </c>
      <c r="C366" s="269" t="inlineStr">
        <is>
          <t>Jon</t>
        </is>
      </c>
      <c r="D366" s="173" t="inlineStr">
        <is>
          <t>https://discord.com/channels/191975109500731392/1212839710439776287/1308121535399067651</t>
        </is>
      </c>
    </row>
    <row r="367" ht="14.25" customHeight="1" s="175">
      <c r="A367" s="267" t="inlineStr">
        <is>
          <t>Sam</t>
        </is>
      </c>
      <c r="B367" s="268" t="n">
        <v>2</v>
      </c>
      <c r="C367" s="269" t="inlineStr">
        <is>
          <t>Cooper</t>
        </is>
      </c>
      <c r="D367" s="173" t="inlineStr">
        <is>
          <t>https://discord.com/channels/191975109500731392/1212839710439776287/1308124387198763048</t>
        </is>
      </c>
    </row>
    <row r="368" ht="14.25" customHeight="1" s="175">
      <c r="A368" s="267" t="inlineStr">
        <is>
          <t>Evan</t>
        </is>
      </c>
      <c r="B368" s="268" t="n">
        <v>1</v>
      </c>
      <c r="C368" s="269" t="inlineStr">
        <is>
          <t>Maxine</t>
        </is>
      </c>
      <c r="D368" s="173" t="inlineStr">
        <is>
          <t>https://discord.com/channels/191975109500731392/1212839710439776287/1308143286195720253</t>
        </is>
      </c>
    </row>
    <row r="369" ht="14.25" customHeight="1" s="175">
      <c r="A369" s="267" t="inlineStr">
        <is>
          <t>Maxine</t>
        </is>
      </c>
      <c r="B369" s="268" t="n">
        <v>2</v>
      </c>
      <c r="C369" s="269" t="inlineStr">
        <is>
          <t>Evan</t>
        </is>
      </c>
      <c r="D369" s="173" t="inlineStr">
        <is>
          <t>https://discord.com/channels/191975109500731392/1212839710439776287/1308143316772192276</t>
        </is>
      </c>
    </row>
    <row r="370" ht="14.25" customHeight="1" s="175">
      <c r="A370" s="267" t="inlineStr">
        <is>
          <t>Jon</t>
        </is>
      </c>
      <c r="B370" s="268" t="n">
        <v>1</v>
      </c>
      <c r="C370" s="269" t="inlineStr">
        <is>
          <t>Cooper</t>
        </is>
      </c>
      <c r="D370" s="173" t="inlineStr">
        <is>
          <t>https://discord.com/channels/191975109500731392/1212839710439776287/1308504076975345684</t>
        </is>
      </c>
    </row>
    <row r="371" ht="14.25" customHeight="1" s="175">
      <c r="A371" s="267" t="inlineStr">
        <is>
          <t>Jon</t>
        </is>
      </c>
      <c r="B371" s="268" t="n">
        <v>2</v>
      </c>
      <c r="C371" s="269" t="inlineStr">
        <is>
          <t>Grady</t>
        </is>
      </c>
      <c r="D371" s="173" t="inlineStr">
        <is>
          <t>https://discord.com/channels/191975109500731392/1212839710439776287/1308854195683852301</t>
        </is>
      </c>
    </row>
    <row r="372" ht="14.25" customHeight="1" s="175">
      <c r="A372" s="267" t="inlineStr">
        <is>
          <t>Ethan</t>
        </is>
      </c>
      <c r="B372" s="268" t="n">
        <v>2</v>
      </c>
      <c r="C372" s="269" t="inlineStr">
        <is>
          <t>Reuben</t>
        </is>
      </c>
      <c r="D372" s="173" t="inlineStr">
        <is>
          <t>https://discord.com/channels/191975109500731392/1212839710439776287/1308906961777201264</t>
        </is>
      </c>
    </row>
    <row r="373" ht="14.25" customHeight="1" s="175">
      <c r="A373" s="267" t="inlineStr">
        <is>
          <t>Ethan</t>
        </is>
      </c>
      <c r="B373" s="268" t="n">
        <v>2</v>
      </c>
      <c r="C373" s="269" t="inlineStr">
        <is>
          <t>Reuben</t>
        </is>
      </c>
      <c r="D373" s="173" t="inlineStr">
        <is>
          <t>https://discord.com/channels/191975109500731392/1212839710439776287/1308944897876689008</t>
        </is>
      </c>
    </row>
    <row r="374" ht="14.25" customHeight="1" s="175">
      <c r="A374" s="267" t="inlineStr">
        <is>
          <t>David</t>
        </is>
      </c>
      <c r="B374" s="268" t="n">
        <v>1</v>
      </c>
      <c r="C374" s="269" t="inlineStr">
        <is>
          <t>Maxine</t>
        </is>
      </c>
      <c r="D374" s="173" t="inlineStr">
        <is>
          <t>https://discord.com/channels/191975109500731392/1212839710439776287/1309266779520106639</t>
        </is>
      </c>
    </row>
    <row r="375" ht="14.25" customHeight="1" s="175">
      <c r="A375" s="267" t="inlineStr">
        <is>
          <t>Maxine</t>
        </is>
      </c>
      <c r="B375" s="268" t="n">
        <v>1</v>
      </c>
      <c r="C375" s="269" t="inlineStr">
        <is>
          <t>David</t>
        </is>
      </c>
      <c r="D375" s="173" t="inlineStr">
        <is>
          <t>https://discord.com/channels/191975109500731392/1212839710439776287/1309266850651312210</t>
        </is>
      </c>
    </row>
    <row r="376" ht="14.25" customHeight="1" s="175">
      <c r="A376" s="267" t="inlineStr">
        <is>
          <t>Ethan</t>
        </is>
      </c>
      <c r="B376" s="268" t="n">
        <v>2</v>
      </c>
      <c r="C376" s="269" t="inlineStr">
        <is>
          <t>Reuben</t>
        </is>
      </c>
      <c r="D376" s="173" t="inlineStr">
        <is>
          <t>https://discord.com/channels/191975109500731392/1212839710439776287/1309286635040669760</t>
        </is>
      </c>
    </row>
    <row r="377" ht="14.25" customHeight="1" s="175">
      <c r="A377" s="267" t="inlineStr">
        <is>
          <t>Carter</t>
        </is>
      </c>
      <c r="B377" s="268" t="n">
        <v>2</v>
      </c>
      <c r="C377" s="269" t="inlineStr">
        <is>
          <t>Tyler</t>
        </is>
      </c>
      <c r="D377" s="173" t="inlineStr">
        <is>
          <t>https://discord.com/channels/191975109500731392/1212839710439776287/1309298750392500224</t>
        </is>
      </c>
    </row>
    <row r="378" ht="14.25" customHeight="1" s="175">
      <c r="A378" s="267" t="inlineStr">
        <is>
          <t>Carter</t>
        </is>
      </c>
      <c r="B378" s="268" t="n">
        <v>2</v>
      </c>
      <c r="C378" s="269" t="inlineStr">
        <is>
          <t>Jon</t>
        </is>
      </c>
      <c r="D378" s="173" t="inlineStr">
        <is>
          <t>https://discord.com/channels/191975109500731392/1212839710439776287/1309555847516524585</t>
        </is>
      </c>
    </row>
    <row r="379" ht="14.25" customHeight="1" s="175">
      <c r="A379" s="267" t="inlineStr">
        <is>
          <t>Jon</t>
        </is>
      </c>
      <c r="B379" s="268" t="n">
        <v>2</v>
      </c>
      <c r="C379" s="269" t="inlineStr">
        <is>
          <t>Carter</t>
        </is>
      </c>
      <c r="D379" s="173" t="inlineStr">
        <is>
          <t>https://discord.com/channels/191975109500731392/1212839710439776287/1309556636158787696</t>
        </is>
      </c>
    </row>
    <row r="380" ht="14.25" customHeight="1" s="175">
      <c r="A380" s="267" t="inlineStr">
        <is>
          <t>Carter</t>
        </is>
      </c>
      <c r="B380" s="268" t="n">
        <v>2</v>
      </c>
      <c r="C380" s="269" t="inlineStr">
        <is>
          <t>David</t>
        </is>
      </c>
      <c r="D380" s="173" t="inlineStr">
        <is>
          <t>https://discord.com/channels/191975109500731392/1212839710439776287/1309558746346815488</t>
        </is>
      </c>
    </row>
    <row r="381" ht="14.25" customHeight="1" s="175">
      <c r="A381" s="267" t="inlineStr">
        <is>
          <t>David</t>
        </is>
      </c>
      <c r="B381" s="268" t="n">
        <v>1</v>
      </c>
      <c r="C381" s="269" t="inlineStr">
        <is>
          <t>Carter</t>
        </is>
      </c>
      <c r="D381" s="173" t="inlineStr">
        <is>
          <t>https://discord.com/channels/191975109500731392/1212839710439776287/1309559081740271716</t>
        </is>
      </c>
    </row>
    <row r="382" ht="14.25" customHeight="1" s="175">
      <c r="A382" s="267" t="inlineStr">
        <is>
          <t>Jon</t>
        </is>
      </c>
      <c r="B382" s="268" t="n">
        <v>1</v>
      </c>
      <c r="C382" s="269" t="inlineStr">
        <is>
          <t>Cooper</t>
        </is>
      </c>
      <c r="D382" s="173" t="inlineStr">
        <is>
          <t>https://discord.com/channels/191975109500731392/1212839710439776287/1309578429578088488</t>
        </is>
      </c>
    </row>
    <row r="383" ht="14.25" customHeight="1" s="175">
      <c r="A383" s="267" t="inlineStr">
        <is>
          <t>David</t>
        </is>
      </c>
      <c r="B383" s="268" t="n">
        <v>2</v>
      </c>
      <c r="C383" s="269" t="inlineStr">
        <is>
          <t>Carter</t>
        </is>
      </c>
      <c r="D383" s="173" t="inlineStr">
        <is>
          <t>https://discord.com/channels/191975109500731392/1212839710439776287/1309591299304853606</t>
        </is>
      </c>
    </row>
    <row r="384" ht="14.25" customHeight="1" s="175">
      <c r="A384" s="267" t="inlineStr">
        <is>
          <t>Carter</t>
        </is>
      </c>
      <c r="B384" s="268" t="n">
        <v>1</v>
      </c>
      <c r="C384" s="269" t="inlineStr">
        <is>
          <t>David</t>
        </is>
      </c>
      <c r="D384" s="173" t="inlineStr">
        <is>
          <t>https://discord.com/channels/191975109500731392/1212839710439776287/1309591449180045332</t>
        </is>
      </c>
    </row>
    <row r="385" ht="14.25" customHeight="1" s="175">
      <c r="A385" s="267" t="inlineStr">
        <is>
          <t>Ethan</t>
        </is>
      </c>
      <c r="B385" s="268" t="n">
        <v>2</v>
      </c>
      <c r="C385" s="269" t="inlineStr">
        <is>
          <t>Reuben</t>
        </is>
      </c>
      <c r="D385" s="173" t="inlineStr">
        <is>
          <t>https://discord.com/channels/191975109500731392/1212839710439776287/1309632194163118111</t>
        </is>
      </c>
    </row>
    <row r="386" ht="14.25" customHeight="1" s="175">
      <c r="A386" s="267" t="inlineStr">
        <is>
          <t>Carter</t>
        </is>
      </c>
      <c r="B386" s="268" t="n">
        <v>1</v>
      </c>
      <c r="C386" s="269" t="inlineStr">
        <is>
          <t>Sam</t>
        </is>
      </c>
      <c r="D386" s="173" t="inlineStr">
        <is>
          <t>https://discord.com/channels/191975109500731392/1212839710439776287/1310288988925333596</t>
        </is>
      </c>
    </row>
    <row r="387" ht="14.25" customHeight="1" s="175">
      <c r="A387" s="267" t="inlineStr">
        <is>
          <t>Sam</t>
        </is>
      </c>
      <c r="B387" s="268" t="n">
        <v>1</v>
      </c>
      <c r="C387" s="269" t="inlineStr">
        <is>
          <t>Carter</t>
        </is>
      </c>
      <c r="D387" s="173" t="inlineStr">
        <is>
          <t>https://discord.com/channels/191975109500731392/1212839710439776287/1310289007694970911</t>
        </is>
      </c>
    </row>
    <row r="388" ht="14.25" customHeight="1" s="175">
      <c r="A388" s="267" t="inlineStr">
        <is>
          <t>David</t>
        </is>
      </c>
      <c r="B388" s="268" t="n">
        <v>2</v>
      </c>
      <c r="C388" s="269" t="inlineStr">
        <is>
          <t>Carter</t>
        </is>
      </c>
      <c r="D388" s="173" t="inlineStr">
        <is>
          <t>https://discord.com/channels/191975109500731392/1212839710439776287/1310383929705894059</t>
        </is>
      </c>
    </row>
    <row r="389" ht="14.25" customHeight="1" s="175">
      <c r="A389" s="267" t="inlineStr">
        <is>
          <t>Carter</t>
        </is>
      </c>
      <c r="B389" s="268" t="n">
        <v>1</v>
      </c>
      <c r="C389" s="269" t="inlineStr">
        <is>
          <t>David</t>
        </is>
      </c>
      <c r="D389" s="173" t="inlineStr">
        <is>
          <t>https://discord.com/channels/191975109500731392/1212839710439776287/1310384039307513866</t>
        </is>
      </c>
    </row>
    <row r="390" ht="14.25" customHeight="1" s="175">
      <c r="A390" s="267" t="inlineStr">
        <is>
          <t>David</t>
        </is>
      </c>
      <c r="B390" s="268" t="n">
        <v>1</v>
      </c>
      <c r="C390" s="269" t="inlineStr">
        <is>
          <t>Maxine</t>
        </is>
      </c>
      <c r="D390" s="173" t="inlineStr">
        <is>
          <t>https://discord.com/channels/191975109500731392/1212839710439776287/1310386669328924743</t>
        </is>
      </c>
    </row>
    <row r="391" ht="14.25" customHeight="1" s="175">
      <c r="A391" s="267" t="inlineStr">
        <is>
          <t>Maxine</t>
        </is>
      </c>
      <c r="B391" s="268" t="n">
        <v>1</v>
      </c>
      <c r="C391" s="269" t="inlineStr">
        <is>
          <t>David</t>
        </is>
      </c>
      <c r="D391" s="173" t="inlineStr">
        <is>
          <t>https://discord.com/channels/191975109500731392/1212839710439776287/1310386702732361849</t>
        </is>
      </c>
    </row>
    <row r="392" ht="14.25" customHeight="1" s="175">
      <c r="A392" s="267" t="inlineStr">
        <is>
          <t>Maxine</t>
        </is>
      </c>
      <c r="B392" s="268" t="n">
        <v>1</v>
      </c>
      <c r="C392" s="269" t="inlineStr">
        <is>
          <t>Carter</t>
        </is>
      </c>
      <c r="D392" s="173" t="inlineStr">
        <is>
          <t>https://discord.com/channels/191975109500731392/1212839710439776287/1310386702732361849</t>
        </is>
      </c>
    </row>
    <row r="393" ht="14.25" customHeight="1" s="175">
      <c r="A393" s="267" t="inlineStr">
        <is>
          <t>Carter</t>
        </is>
      </c>
      <c r="B393" s="268" t="n">
        <v>1</v>
      </c>
      <c r="C393" s="269" t="inlineStr">
        <is>
          <t>Maxine</t>
        </is>
      </c>
      <c r="D393" s="173" t="inlineStr">
        <is>
          <t>https://discord.com/channels/191975109500731392/1212839710439776287/1310386713373179966</t>
        </is>
      </c>
    </row>
    <row r="394" ht="14.25" customHeight="1" s="175">
      <c r="A394" s="267" t="inlineStr">
        <is>
          <t>Sam</t>
        </is>
      </c>
      <c r="B394" s="268" t="n">
        <v>2</v>
      </c>
      <c r="C394" s="269" t="inlineStr">
        <is>
          <t>Evan</t>
        </is>
      </c>
      <c r="D394" s="173" t="inlineStr">
        <is>
          <t>https://discord.com/channels/191975109500731392/1212839710439776287/1310647810495877181</t>
        </is>
      </c>
    </row>
    <row r="395" ht="14.25" customHeight="1" s="175">
      <c r="A395" s="267" t="inlineStr">
        <is>
          <t>Erick</t>
        </is>
      </c>
      <c r="B395" s="268" t="n">
        <v>2</v>
      </c>
      <c r="C395" s="269" t="inlineStr">
        <is>
          <t>Reuben</t>
        </is>
      </c>
      <c r="D395" s="173" t="inlineStr">
        <is>
          <t>https://discord.com/channels/191975109500731392/1212839710439776287/1310755500517888103</t>
        </is>
      </c>
    </row>
    <row r="396" ht="14.25" customHeight="1" s="175">
      <c r="A396" s="267" t="inlineStr">
        <is>
          <t>Ethan</t>
        </is>
      </c>
      <c r="B396" s="268" t="n">
        <v>2</v>
      </c>
      <c r="C396" s="269" t="inlineStr">
        <is>
          <t>Evan</t>
        </is>
      </c>
      <c r="D396" s="173" t="inlineStr">
        <is>
          <t>https://discord.com/channels/191975109500731392/1212839710439776287/1311030514810880082</t>
        </is>
      </c>
    </row>
    <row r="397" ht="14.25" customHeight="1" s="175">
      <c r="A397" s="267" t="inlineStr">
        <is>
          <t>David</t>
        </is>
      </c>
      <c r="B397" s="268" t="n">
        <v>2</v>
      </c>
      <c r="C397" s="269" t="inlineStr">
        <is>
          <t>Evan</t>
        </is>
      </c>
      <c r="D397" s="173" t="inlineStr">
        <is>
          <t>https://discord.com/channels/191975109500731392/1212839710439776287/1311032210320654397</t>
        </is>
      </c>
    </row>
    <row r="398" ht="14.25" customHeight="1" s="175">
      <c r="A398" s="267" t="inlineStr">
        <is>
          <t>Jon</t>
        </is>
      </c>
      <c r="B398" s="268" t="n">
        <v>1</v>
      </c>
      <c r="C398" s="269" t="inlineStr">
        <is>
          <t>Evan</t>
        </is>
      </c>
      <c r="D398" s="173" t="inlineStr">
        <is>
          <t>https://discord.com/channels/191975109500731392/1212839710439776287/1311060693117698192</t>
        </is>
      </c>
    </row>
    <row r="399" ht="14.25" customHeight="1" s="175">
      <c r="A399" s="267" t="inlineStr">
        <is>
          <t>Evan</t>
        </is>
      </c>
      <c r="B399" s="268" t="n">
        <v>1</v>
      </c>
      <c r="C399" s="269" t="inlineStr">
        <is>
          <t>Jon</t>
        </is>
      </c>
      <c r="D399" s="173" t="inlineStr">
        <is>
          <t>https://discord.com/channels/191975109500731392/1212839710439776287/1311060735585161286</t>
        </is>
      </c>
    </row>
    <row r="400" ht="14.25" customHeight="1" s="175">
      <c r="A400" s="267" t="inlineStr">
        <is>
          <t>Ethan</t>
        </is>
      </c>
      <c r="B400" s="268" t="n">
        <v>2</v>
      </c>
      <c r="C400" s="269" t="inlineStr">
        <is>
          <t>Peter</t>
        </is>
      </c>
      <c r="D400" s="173" t="inlineStr">
        <is>
          <t>https://discord.com/channels/191975109500731392/1212839710439776287/1313173452471009412</t>
        </is>
      </c>
    </row>
    <row r="401" ht="14.25" customHeight="1" s="175">
      <c r="A401" s="267" t="inlineStr">
        <is>
          <t>Ethan</t>
        </is>
      </c>
      <c r="B401" s="268" t="n">
        <v>2</v>
      </c>
      <c r="C401" s="269" t="inlineStr">
        <is>
          <t>Evan</t>
        </is>
      </c>
      <c r="D401" s="173" t="inlineStr">
        <is>
          <t>https://discord.com/channels/191975109500731392/1212839710439776287/1313233013265666138</t>
        </is>
      </c>
    </row>
    <row r="402" ht="14.25" customHeight="1" s="175">
      <c r="A402" s="267" t="inlineStr">
        <is>
          <t>David</t>
        </is>
      </c>
      <c r="B402" s="268" t="n">
        <v>1</v>
      </c>
      <c r="C402" s="269" t="inlineStr">
        <is>
          <t>Ethan</t>
        </is>
      </c>
      <c r="D402" s="173" t="inlineStr">
        <is>
          <t>https://discord.com/channels/191975109500731392/1212839710439776287/1313252282225262672</t>
        </is>
      </c>
    </row>
    <row r="403" ht="14.25" customHeight="1" s="175">
      <c r="A403" s="267" t="inlineStr">
        <is>
          <t>Ethan</t>
        </is>
      </c>
      <c r="B403" s="268" t="n">
        <v>1</v>
      </c>
      <c r="C403" s="269" t="inlineStr">
        <is>
          <t>David</t>
        </is>
      </c>
      <c r="D403" s="173" t="inlineStr">
        <is>
          <t>https://discord.com/channels/191975109500731392/1212839710439776287/1313252325305090159</t>
        </is>
      </c>
    </row>
    <row r="404" ht="14.25" customHeight="1" s="175">
      <c r="A404" s="267" t="inlineStr">
        <is>
          <t>David</t>
        </is>
      </c>
      <c r="B404" s="268" t="n">
        <v>2</v>
      </c>
      <c r="C404" s="269" t="inlineStr">
        <is>
          <t>Reuben</t>
        </is>
      </c>
      <c r="D404" s="173" t="inlineStr">
        <is>
          <t>https://discord.com/channels/191975109500731392/1212839710439776287/1313257092437512223</t>
        </is>
      </c>
    </row>
    <row r="405" ht="14.25" customHeight="1" s="175">
      <c r="A405" s="267" t="inlineStr">
        <is>
          <t>David</t>
        </is>
      </c>
      <c r="B405" s="268" t="n">
        <v>2</v>
      </c>
      <c r="C405" s="269" t="inlineStr">
        <is>
          <t>Carter</t>
        </is>
      </c>
      <c r="D405" s="173" t="inlineStr">
        <is>
          <t>https://discord.com/channels/191975109500731392/1212839710439776287/1313265054287659049</t>
        </is>
      </c>
    </row>
    <row r="406" ht="14.25" customHeight="1" s="175">
      <c r="A406" s="267" t="inlineStr">
        <is>
          <t>David</t>
        </is>
      </c>
      <c r="B406" s="268" t="n">
        <v>2</v>
      </c>
      <c r="C406" s="269" t="inlineStr">
        <is>
          <t>Carter</t>
        </is>
      </c>
      <c r="D406" s="173" t="inlineStr">
        <is>
          <t>https://discord.com/channels/191975109500731392/1212839710439776287/1313573221735465011</t>
        </is>
      </c>
    </row>
    <row r="407" ht="14.25" customHeight="1" s="175">
      <c r="A407" s="267" t="inlineStr">
        <is>
          <t>Carter</t>
        </is>
      </c>
      <c r="B407" s="268" t="n">
        <v>1</v>
      </c>
      <c r="C407" s="269" t="inlineStr">
        <is>
          <t>David</t>
        </is>
      </c>
      <c r="D407" s="173" t="inlineStr">
        <is>
          <t>https://discord.com/channels/191975109500731392/1212839710439776287/1313573294737461252</t>
        </is>
      </c>
    </row>
    <row r="408" ht="14.25" customHeight="1" s="175">
      <c r="A408" s="267" t="inlineStr">
        <is>
          <t>David</t>
        </is>
      </c>
      <c r="B408" s="268" t="n">
        <v>1</v>
      </c>
      <c r="C408" s="269" t="inlineStr">
        <is>
          <t>Ethan</t>
        </is>
      </c>
      <c r="D408" s="173" t="inlineStr">
        <is>
          <t>https://discord.com/channels/191975109500731392/1212839710439776287/1313582823126470769</t>
        </is>
      </c>
    </row>
    <row r="409" ht="14.25" customHeight="1" s="175">
      <c r="A409" s="267" t="inlineStr">
        <is>
          <t>Ethan</t>
        </is>
      </c>
      <c r="B409" s="268" t="n">
        <v>2</v>
      </c>
      <c r="C409" s="269" t="inlineStr">
        <is>
          <t>David</t>
        </is>
      </c>
      <c r="D409" s="173" t="inlineStr">
        <is>
          <t>https://discord.com/channels/191975109500731392/1212839710439776287/1313582996934365185</t>
        </is>
      </c>
    </row>
    <row r="410" ht="14.25" customHeight="1" s="175">
      <c r="A410" s="267" t="inlineStr">
        <is>
          <t>Evan</t>
        </is>
      </c>
      <c r="B410" s="268" t="n">
        <v>2</v>
      </c>
      <c r="C410" s="269" t="inlineStr">
        <is>
          <t>Ethan</t>
        </is>
      </c>
      <c r="D410" s="173" t="inlineStr">
        <is>
          <t>https://discord.com/channels/191975109500731392/1212839710439776287/1313651624417431644</t>
        </is>
      </c>
    </row>
    <row r="411" ht="14.25" customHeight="1" s="175">
      <c r="A411" s="267" t="inlineStr">
        <is>
          <t>Ethan</t>
        </is>
      </c>
      <c r="B411" s="268" t="n">
        <v>1</v>
      </c>
      <c r="C411" s="269" t="inlineStr">
        <is>
          <t>Evan</t>
        </is>
      </c>
      <c r="D411" s="173" t="inlineStr">
        <is>
          <t>https://discord.com/channels/191975109500731392/1212839710439776287/1313652514222243842</t>
        </is>
      </c>
    </row>
    <row r="412" ht="14.25" customHeight="1" s="175">
      <c r="A412" s="267" t="inlineStr">
        <is>
          <t>David</t>
        </is>
      </c>
      <c r="B412" s="268" t="n">
        <v>1</v>
      </c>
      <c r="C412" s="269" t="inlineStr">
        <is>
          <t>Grady</t>
        </is>
      </c>
      <c r="D412" s="173" t="inlineStr">
        <is>
          <t>https://discord.com/channels/191975109500731392/1212839710439776287/1313880232931098706</t>
        </is>
      </c>
    </row>
    <row r="413" ht="14.25" customHeight="1" s="175">
      <c r="A413" s="267" t="inlineStr">
        <is>
          <t>Sam</t>
        </is>
      </c>
      <c r="B413" s="268" t="n">
        <v>2</v>
      </c>
      <c r="C413" s="269" t="inlineStr">
        <is>
          <t>Reuben</t>
        </is>
      </c>
      <c r="D413" s="173" t="inlineStr">
        <is>
          <t>https://discord.com/channels/191975109500731392/1212839710439776287/1313888013629132822</t>
        </is>
      </c>
    </row>
    <row r="414" ht="14.25" customHeight="1" s="175">
      <c r="A414" s="267" t="inlineStr">
        <is>
          <t>David</t>
        </is>
      </c>
      <c r="B414" s="268" t="n">
        <v>2</v>
      </c>
      <c r="C414" s="269" t="inlineStr">
        <is>
          <t>Evan</t>
        </is>
      </c>
      <c r="D414" s="173" t="inlineStr">
        <is>
          <t>https://discord.com/channels/191975109500731392/1212839710439776287/1313978787951546418</t>
        </is>
      </c>
    </row>
    <row r="415" ht="14.25" customHeight="1" s="175">
      <c r="A415" s="267" t="inlineStr">
        <is>
          <t>Evan</t>
        </is>
      </c>
      <c r="B415" s="268" t="n">
        <v>1</v>
      </c>
      <c r="C415" s="269" t="inlineStr">
        <is>
          <t>David</t>
        </is>
      </c>
      <c r="D415" s="173" t="inlineStr">
        <is>
          <t>https://discord.com/channels/191975109500731392/1212839710439776287/1313978885066588271</t>
        </is>
      </c>
    </row>
    <row r="416" ht="14.25" customHeight="1" s="175">
      <c r="A416" s="267" t="inlineStr">
        <is>
          <t>David</t>
        </is>
      </c>
      <c r="B416" s="268" t="n">
        <v>1</v>
      </c>
      <c r="C416" s="269" t="inlineStr">
        <is>
          <t>Ethan</t>
        </is>
      </c>
      <c r="D416" s="173" t="inlineStr">
        <is>
          <t>https://discord.com/channels/191975109500731392/1212839710439776287/1313979554393751704</t>
        </is>
      </c>
    </row>
    <row r="417" ht="14.25" customHeight="1" s="175">
      <c r="A417" s="267" t="inlineStr">
        <is>
          <t>Ethan</t>
        </is>
      </c>
      <c r="B417" s="268" t="n">
        <v>1</v>
      </c>
      <c r="C417" s="269" t="inlineStr">
        <is>
          <t>David</t>
        </is>
      </c>
      <c r="D417" s="173" t="inlineStr">
        <is>
          <t>https://discord.com/channels/191975109500731392/1212839710439776287/1313979668109594644</t>
        </is>
      </c>
    </row>
    <row r="418" ht="14.25" customHeight="1" s="175">
      <c r="A418" s="267" t="inlineStr">
        <is>
          <t>David</t>
        </is>
      </c>
      <c r="B418" s="268" t="n">
        <v>2</v>
      </c>
      <c r="C418" s="269" t="inlineStr">
        <is>
          <t>Maxine</t>
        </is>
      </c>
      <c r="D418" s="173" t="inlineStr">
        <is>
          <t>https://discord.com/channels/191975109500731392/1212839710439776287/1314256983800549419</t>
        </is>
      </c>
    </row>
    <row r="419" ht="14.25" customHeight="1" s="175">
      <c r="A419" s="267" t="inlineStr">
        <is>
          <t>Maxine</t>
        </is>
      </c>
      <c r="B419" s="268" t="n">
        <v>1</v>
      </c>
      <c r="C419" s="269" t="inlineStr">
        <is>
          <t>Tyler</t>
        </is>
      </c>
      <c r="D419" s="173" t="inlineStr">
        <is>
          <t>https://discord.com/channels/191975109500731392/1212839710439776287/1314257591911583755</t>
        </is>
      </c>
    </row>
    <row r="420" ht="14.25" customHeight="1" s="175">
      <c r="A420" s="267" t="inlineStr">
        <is>
          <t>Maxine</t>
        </is>
      </c>
      <c r="B420" s="268" t="n">
        <v>1</v>
      </c>
      <c r="C420" s="269" t="inlineStr">
        <is>
          <t>David</t>
        </is>
      </c>
      <c r="D420" s="173" t="inlineStr">
        <is>
          <t>https://discord.com/channels/191975109500731392/1212839710439776287/1314257814335520838</t>
        </is>
      </c>
    </row>
    <row r="421" ht="14.25" customHeight="1" s="175">
      <c r="A421" s="267" t="inlineStr">
        <is>
          <t>Ethan</t>
        </is>
      </c>
      <c r="B421" s="268" t="n">
        <v>2</v>
      </c>
      <c r="C421" s="269" t="inlineStr">
        <is>
          <t>Carter</t>
        </is>
      </c>
      <c r="D421" s="173" t="inlineStr">
        <is>
          <t>https://discord.com/channels/191975109500731392/1212839710439776287/1314717323059396648</t>
        </is>
      </c>
    </row>
    <row r="422" ht="14.25" customHeight="1" s="175">
      <c r="A422" s="267" t="inlineStr">
        <is>
          <t>Carter</t>
        </is>
      </c>
      <c r="B422" s="268" t="n">
        <v>1</v>
      </c>
      <c r="C422" s="269" t="inlineStr">
        <is>
          <t>Ethan</t>
        </is>
      </c>
      <c r="D422" s="173" t="inlineStr">
        <is>
          <t>https://discord.com/channels/191975109500731392/1212839710439776287/1314764613304193036</t>
        </is>
      </c>
    </row>
    <row r="423" ht="14.25" customHeight="1" s="175">
      <c r="A423" s="267" t="inlineStr">
        <is>
          <t>Ethan</t>
        </is>
      </c>
      <c r="B423" s="268" t="n">
        <v>1</v>
      </c>
      <c r="C423" s="269" t="inlineStr">
        <is>
          <t>Carter</t>
        </is>
      </c>
      <c r="D423" s="173" t="inlineStr">
        <is>
          <t>https://discord.com/channels/191975109500731392/1212839710439776287/1314764643943583804</t>
        </is>
      </c>
    </row>
    <row r="424" ht="14.25" customHeight="1" s="175">
      <c r="A424" s="267" t="inlineStr">
        <is>
          <t>Sam</t>
        </is>
      </c>
      <c r="B424" s="268" t="n">
        <v>2</v>
      </c>
      <c r="C424" s="269" t="inlineStr">
        <is>
          <t>Ethan</t>
        </is>
      </c>
      <c r="D424" s="173" t="inlineStr">
        <is>
          <t>https://discord.com/channels/191975109500731392/1212839710439776287/1314992864324882665</t>
        </is>
      </c>
    </row>
    <row r="425" ht="14.25" customHeight="1" s="175">
      <c r="A425" s="267" t="inlineStr">
        <is>
          <t>Ethan</t>
        </is>
      </c>
      <c r="B425" s="268" t="n">
        <v>1</v>
      </c>
      <c r="C425" s="269" t="inlineStr">
        <is>
          <t>Sam</t>
        </is>
      </c>
      <c r="D425" s="173" t="inlineStr">
        <is>
          <t>https://discord.com/channels/191975109500731392/1212839710439776287/1314993395613302925</t>
        </is>
      </c>
    </row>
    <row r="426" ht="14.25" customHeight="1" s="175">
      <c r="A426" s="267" t="inlineStr">
        <is>
          <t>David</t>
        </is>
      </c>
      <c r="B426" s="268" t="n">
        <v>2</v>
      </c>
      <c r="C426" s="269" t="inlineStr">
        <is>
          <t>Reuben</t>
        </is>
      </c>
      <c r="D426" s="173" t="inlineStr">
        <is>
          <t>https://discord.com/channels/191975109500731392/1212839710439776287/1315741543428128778</t>
        </is>
      </c>
    </row>
    <row r="427" ht="14.25" customHeight="1" s="175">
      <c r="A427" s="267" t="inlineStr">
        <is>
          <t>Tyler</t>
        </is>
      </c>
      <c r="B427" s="268" t="n">
        <v>2</v>
      </c>
      <c r="C427" s="269" t="inlineStr">
        <is>
          <t>Ethan</t>
        </is>
      </c>
      <c r="D427" s="173" t="inlineStr">
        <is>
          <t>https://discord.com/channels/191975109500731392/1212839710439776287/1315801234598395984</t>
        </is>
      </c>
    </row>
    <row r="428" ht="14.25" customHeight="1" s="175">
      <c r="A428" s="267" t="n"/>
      <c r="B428" s="268" t="n"/>
      <c r="C428" s="269" t="n"/>
    </row>
    <row r="429" ht="14.25" customHeight="1" s="175">
      <c r="A429" s="267" t="n"/>
      <c r="B429" s="268" t="n"/>
      <c r="C429" s="269" t="n"/>
    </row>
    <row r="430" ht="14.25" customHeight="1" s="175">
      <c r="A430" s="267" t="n"/>
      <c r="B430" s="268" t="n"/>
      <c r="C430" s="269" t="n"/>
    </row>
    <row r="431" ht="14.25" customHeight="1" s="175">
      <c r="A431" s="267" t="n"/>
      <c r="B431" s="268" t="n"/>
      <c r="C431" s="269" t="n"/>
    </row>
    <row r="432" ht="14.25" customHeight="1" s="175">
      <c r="A432" s="267" t="n"/>
      <c r="B432" s="268" t="n"/>
      <c r="C432" s="269" t="n"/>
    </row>
    <row r="433" ht="14.25" customHeight="1" s="175">
      <c r="A433" s="267" t="n"/>
      <c r="B433" s="268" t="n"/>
      <c r="C433" s="269" t="n"/>
    </row>
    <row r="434" ht="14.25" customHeight="1" s="175">
      <c r="A434" s="267" t="n"/>
      <c r="B434" s="268" t="n"/>
      <c r="C434" s="269" t="n"/>
    </row>
    <row r="435" ht="14.25" customHeight="1" s="175">
      <c r="A435" s="267" t="n"/>
      <c r="B435" s="268" t="n"/>
      <c r="C435" s="269" t="n"/>
    </row>
    <row r="436" ht="14.25" customHeight="1" s="175">
      <c r="A436" s="267" t="n"/>
      <c r="B436" s="268" t="n"/>
      <c r="C436" s="269" t="n"/>
    </row>
    <row r="437" ht="14.25" customHeight="1" s="175">
      <c r="A437" s="267" t="n"/>
      <c r="B437" s="268" t="n"/>
      <c r="C437" s="269" t="n"/>
    </row>
    <row r="438" ht="14.25" customHeight="1" s="175">
      <c r="A438" s="267" t="n"/>
      <c r="B438" s="268" t="n"/>
      <c r="C438" s="269" t="n"/>
    </row>
    <row r="439" ht="14.25" customHeight="1" s="175">
      <c r="A439" s="267" t="n"/>
      <c r="B439" s="268" t="n"/>
      <c r="C439" s="269" t="n"/>
    </row>
    <row r="440" ht="14.25" customHeight="1" s="175">
      <c r="A440" s="267" t="n"/>
      <c r="B440" s="268" t="n"/>
      <c r="C440" s="269" t="n"/>
    </row>
    <row r="441" ht="14.25" customHeight="1" s="175">
      <c r="A441" s="267" t="n"/>
      <c r="B441" s="268" t="n"/>
      <c r="C441" s="269" t="n"/>
    </row>
    <row r="442" ht="14.25" customHeight="1" s="175">
      <c r="A442" s="267" t="n"/>
      <c r="B442" s="268" t="n"/>
      <c r="C442" s="269" t="n"/>
    </row>
    <row r="443" ht="14.25" customHeight="1" s="175">
      <c r="A443" s="267" t="n"/>
      <c r="B443" s="268" t="n"/>
      <c r="C443" s="269" t="n"/>
    </row>
    <row r="444" ht="14.25" customHeight="1" s="175">
      <c r="A444" s="267" t="n"/>
      <c r="B444" s="268" t="n"/>
      <c r="C444" s="269" t="n"/>
    </row>
    <row r="445" ht="14.25" customHeight="1" s="175">
      <c r="A445" s="267" t="n"/>
      <c r="B445" s="268" t="n"/>
      <c r="C445" s="269" t="n"/>
    </row>
    <row r="446" ht="14.25" customHeight="1" s="175">
      <c r="A446" s="267" t="n"/>
      <c r="B446" s="268" t="n"/>
      <c r="C446" s="269" t="n"/>
    </row>
    <row r="447" ht="14.25" customHeight="1" s="175">
      <c r="A447" s="267" t="n"/>
      <c r="B447" s="268" t="n"/>
      <c r="C447" s="269" t="n"/>
    </row>
    <row r="448" ht="14.25" customHeight="1" s="175">
      <c r="A448" s="267" t="n"/>
      <c r="B448" s="268" t="n"/>
      <c r="C448" s="269" t="n"/>
    </row>
    <row r="449" ht="14.25" customHeight="1" s="175">
      <c r="A449" s="267" t="n"/>
      <c r="B449" s="268" t="n"/>
      <c r="C449" s="269" t="n"/>
    </row>
    <row r="450" ht="14.25" customHeight="1" s="175">
      <c r="A450" s="267" t="n"/>
      <c r="B450" s="268" t="n"/>
      <c r="C450" s="269" t="n"/>
    </row>
    <row r="451" ht="14.25" customHeight="1" s="175">
      <c r="A451" s="267" t="n"/>
      <c r="B451" s="268" t="n"/>
      <c r="C451" s="269" t="n"/>
    </row>
    <row r="452" ht="14.25" customHeight="1" s="175">
      <c r="A452" s="267" t="n"/>
      <c r="B452" s="268" t="n"/>
      <c r="C452" s="269" t="n"/>
    </row>
    <row r="453" ht="14.25" customHeight="1" s="175">
      <c r="A453" s="267" t="n"/>
      <c r="B453" s="268" t="n"/>
      <c r="C453" s="269" t="n"/>
    </row>
    <row r="454" ht="14.25" customHeight="1" s="175">
      <c r="A454" s="267" t="n"/>
      <c r="B454" s="268" t="n"/>
      <c r="C454" s="269" t="n"/>
    </row>
    <row r="455" ht="14.25" customHeight="1" s="175">
      <c r="A455" s="267" t="n"/>
      <c r="B455" s="268" t="n"/>
      <c r="C455" s="269" t="n"/>
    </row>
    <row r="456" ht="14.25" customHeight="1" s="175">
      <c r="A456" s="267" t="n"/>
      <c r="B456" s="268" t="n"/>
      <c r="C456" s="269" t="n"/>
    </row>
    <row r="457" ht="14.25" customHeight="1" s="175">
      <c r="A457" s="267" t="n"/>
      <c r="B457" s="268" t="n"/>
      <c r="C457" s="269" t="n"/>
    </row>
    <row r="458" ht="14.25" customHeight="1" s="175">
      <c r="A458" s="267" t="n"/>
      <c r="B458" s="268" t="n"/>
      <c r="C458" s="269" t="n"/>
    </row>
    <row r="459" ht="14.25" customHeight="1" s="175">
      <c r="A459" s="267" t="n"/>
      <c r="B459" s="268" t="n"/>
      <c r="C459" s="269" t="n"/>
    </row>
    <row r="460" ht="14.25" customHeight="1" s="175">
      <c r="A460" s="267" t="n"/>
      <c r="B460" s="268" t="n"/>
      <c r="C460" s="269" t="n"/>
    </row>
    <row r="461" ht="14.25" customHeight="1" s="175">
      <c r="A461" s="267" t="n"/>
      <c r="B461" s="268" t="n"/>
      <c r="C461" s="269" t="n"/>
    </row>
    <row r="462" ht="14.25" customHeight="1" s="175">
      <c r="A462" s="267" t="n"/>
      <c r="B462" s="268" t="n"/>
      <c r="C462" s="269" t="n"/>
    </row>
    <row r="463" ht="14.25" customHeight="1" s="175">
      <c r="A463" s="267" t="n"/>
      <c r="B463" s="268" t="n"/>
      <c r="C463" s="269" t="n"/>
    </row>
    <row r="464" ht="14.25" customHeight="1" s="175">
      <c r="A464" s="267" t="n"/>
      <c r="B464" s="268" t="n"/>
      <c r="C464" s="269" t="n"/>
    </row>
    <row r="465" ht="14.25" customHeight="1" s="175">
      <c r="A465" s="267" t="n"/>
      <c r="B465" s="268" t="n"/>
      <c r="C465" s="269" t="n"/>
    </row>
    <row r="466" ht="14.25" customHeight="1" s="175">
      <c r="A466" s="267" t="n"/>
      <c r="B466" s="268" t="n"/>
      <c r="C466" s="269" t="n"/>
    </row>
    <row r="467" ht="14.25" customHeight="1" s="175">
      <c r="A467" s="267" t="n"/>
      <c r="B467" s="268" t="n"/>
      <c r="C467" s="269" t="n"/>
    </row>
    <row r="468" ht="14.25" customHeight="1" s="175">
      <c r="A468" s="267" t="n"/>
      <c r="B468" s="268" t="n"/>
      <c r="C468" s="269" t="n"/>
    </row>
    <row r="469" ht="14.25" customHeight="1" s="175">
      <c r="A469" s="267" t="n"/>
      <c r="B469" s="268" t="n"/>
      <c r="C469" s="269" t="n"/>
    </row>
    <row r="470" ht="14.25" customHeight="1" s="175">
      <c r="A470" s="267" t="n"/>
      <c r="B470" s="268" t="n"/>
      <c r="C470" s="269" t="n"/>
    </row>
    <row r="471" ht="14.25" customHeight="1" s="175">
      <c r="A471" s="267" t="n"/>
      <c r="B471" s="268" t="n"/>
      <c r="C471" s="269" t="n"/>
    </row>
    <row r="472" ht="14.25" customHeight="1" s="175">
      <c r="A472" s="267" t="n"/>
      <c r="B472" s="268" t="n"/>
      <c r="C472" s="269" t="n"/>
    </row>
    <row r="473" ht="14.25" customHeight="1" s="175">
      <c r="A473" s="267" t="n"/>
      <c r="B473" s="268" t="n"/>
      <c r="C473" s="269" t="n"/>
    </row>
    <row r="474" ht="14.25" customHeight="1" s="175">
      <c r="A474" s="267" t="n"/>
      <c r="B474" s="268" t="n"/>
      <c r="C474" s="269" t="n"/>
    </row>
    <row r="475" ht="14.25" customHeight="1" s="175">
      <c r="A475" s="267" t="n"/>
      <c r="B475" s="268" t="n"/>
      <c r="C475" s="269" t="n"/>
    </row>
    <row r="476" ht="14.25" customHeight="1" s="175">
      <c r="A476" s="267" t="n"/>
      <c r="B476" s="268" t="n"/>
      <c r="C476" s="269" t="n"/>
    </row>
    <row r="477" ht="14.25" customHeight="1" s="175">
      <c r="A477" s="267" t="n"/>
      <c r="B477" s="268" t="n"/>
      <c r="C477" s="269" t="n"/>
    </row>
    <row r="478" ht="14.25" customHeight="1" s="175">
      <c r="A478" s="267" t="n"/>
      <c r="B478" s="268" t="n"/>
      <c r="C478" s="269" t="n"/>
    </row>
    <row r="479" ht="14.25" customHeight="1" s="175">
      <c r="A479" s="267" t="n"/>
      <c r="B479" s="268" t="n"/>
      <c r="C479" s="269" t="n"/>
    </row>
    <row r="480" ht="14.25" customHeight="1" s="175">
      <c r="A480" s="267" t="n"/>
      <c r="B480" s="268" t="n"/>
      <c r="C480" s="269" t="n"/>
    </row>
    <row r="481" ht="14.25" customHeight="1" s="175">
      <c r="A481" s="267" t="n"/>
      <c r="B481" s="268" t="n"/>
      <c r="C481" s="269" t="n"/>
    </row>
    <row r="482" ht="14.25" customHeight="1" s="175">
      <c r="A482" s="267" t="n"/>
      <c r="B482" s="268" t="n"/>
      <c r="C482" s="269" t="n"/>
    </row>
    <row r="483" ht="14.25" customHeight="1" s="175">
      <c r="A483" s="267" t="n"/>
      <c r="B483" s="268" t="n"/>
      <c r="C483" s="269" t="n"/>
    </row>
    <row r="484" ht="14.25" customHeight="1" s="175">
      <c r="A484" s="267" t="n"/>
      <c r="B484" s="268" t="n"/>
      <c r="C484" s="269" t="n"/>
    </row>
    <row r="485" ht="14.25" customHeight="1" s="175">
      <c r="A485" s="267" t="n"/>
      <c r="B485" s="268" t="n"/>
      <c r="C485" s="269" t="n"/>
    </row>
    <row r="486" ht="14.25" customHeight="1" s="175">
      <c r="A486" s="267" t="n"/>
      <c r="B486" s="268" t="n"/>
      <c r="C486" s="269" t="n"/>
    </row>
    <row r="487" ht="14.25" customHeight="1" s="175">
      <c r="A487" s="267" t="n"/>
      <c r="B487" s="268" t="n"/>
      <c r="C487" s="269" t="n"/>
    </row>
    <row r="488" ht="14.25" customHeight="1" s="175">
      <c r="A488" s="267" t="n"/>
      <c r="B488" s="268" t="n"/>
      <c r="C488" s="269" t="n"/>
    </row>
    <row r="489" ht="14.25" customHeight="1" s="175">
      <c r="A489" s="267" t="n"/>
      <c r="B489" s="268" t="n"/>
      <c r="C489" s="269" t="n"/>
    </row>
    <row r="490" ht="14.25" customHeight="1" s="175">
      <c r="A490" s="267" t="n"/>
      <c r="B490" s="268" t="n"/>
      <c r="C490" s="269" t="n"/>
    </row>
    <row r="491" ht="14.25" customHeight="1" s="175">
      <c r="A491" s="267" t="n"/>
      <c r="B491" s="268" t="n"/>
      <c r="C491" s="269" t="n"/>
    </row>
    <row r="492" ht="14.25" customHeight="1" s="175">
      <c r="A492" s="267" t="n"/>
      <c r="B492" s="268" t="n"/>
      <c r="C492" s="269" t="n"/>
    </row>
    <row r="493" ht="14.25" customHeight="1" s="175">
      <c r="A493" s="267" t="n"/>
      <c r="B493" s="268" t="n"/>
      <c r="C493" s="269" t="n"/>
    </row>
    <row r="494" ht="14.25" customHeight="1" s="175">
      <c r="A494" s="267" t="n"/>
      <c r="B494" s="268" t="n"/>
      <c r="C494" s="269" t="n"/>
    </row>
    <row r="495" ht="14.25" customHeight="1" s="175">
      <c r="A495" s="267" t="n"/>
      <c r="B495" s="268" t="n"/>
      <c r="C495" s="269" t="n"/>
    </row>
    <row r="496" ht="14.25" customHeight="1" s="175">
      <c r="A496" s="267" t="n"/>
      <c r="B496" s="268" t="n"/>
      <c r="C496" s="269" t="n"/>
    </row>
    <row r="497" ht="14.25" customHeight="1" s="175">
      <c r="A497" s="267" t="n"/>
      <c r="B497" s="268" t="n"/>
      <c r="C497" s="269" t="n"/>
    </row>
    <row r="498" ht="14.25" customHeight="1" s="175">
      <c r="A498" s="267" t="n"/>
      <c r="B498" s="268" t="n"/>
      <c r="C498" s="269" t="n"/>
    </row>
    <row r="499" ht="14.25" customHeight="1" s="175">
      <c r="A499" s="267" t="n"/>
      <c r="B499" s="268" t="n"/>
      <c r="C499" s="269" t="n"/>
    </row>
    <row r="500" ht="14.25" customHeight="1" s="175">
      <c r="A500" s="267" t="n"/>
      <c r="B500" s="268" t="n"/>
      <c r="C500" s="269" t="n"/>
    </row>
    <row r="501" ht="14.25" customHeight="1" s="175">
      <c r="A501" s="267" t="n"/>
      <c r="B501" s="268" t="n"/>
      <c r="C501" s="269" t="n"/>
    </row>
    <row r="502" ht="14.25" customHeight="1" s="175">
      <c r="A502" s="267" t="n"/>
      <c r="B502" s="268" t="n"/>
      <c r="C502" s="269" t="n"/>
    </row>
    <row r="503" ht="14.25" customHeight="1" s="175">
      <c r="A503" s="267" t="n"/>
      <c r="B503" s="268" t="n"/>
      <c r="C503" s="269" t="n"/>
    </row>
    <row r="504" ht="14.25" customHeight="1" s="175">
      <c r="A504" s="267" t="n"/>
      <c r="B504" s="268" t="n"/>
      <c r="C504" s="269" t="n"/>
    </row>
    <row r="505" ht="14.25" customHeight="1" s="175">
      <c r="A505" s="267" t="n"/>
      <c r="B505" s="268" t="n"/>
      <c r="C505" s="269" t="n"/>
    </row>
    <row r="506" ht="14.25" customHeight="1" s="175">
      <c r="A506" s="267" t="n"/>
      <c r="B506" s="268" t="n"/>
      <c r="C506" s="269" t="n"/>
    </row>
    <row r="507" ht="14.25" customHeight="1" s="175">
      <c r="A507" s="267" t="n"/>
      <c r="B507" s="268" t="n"/>
      <c r="C507" s="269" t="n"/>
    </row>
    <row r="508" ht="14.25" customHeight="1" s="175">
      <c r="A508" s="267" t="n"/>
      <c r="B508" s="268" t="n"/>
      <c r="C508" s="269" t="n"/>
    </row>
    <row r="509" ht="14.25" customHeight="1" s="175">
      <c r="A509" s="267" t="n"/>
      <c r="B509" s="268" t="n"/>
      <c r="C509" s="269" t="n"/>
    </row>
    <row r="510" ht="14.25" customHeight="1" s="175">
      <c r="A510" s="267" t="n"/>
      <c r="B510" s="268" t="n"/>
      <c r="C510" s="269" t="n"/>
    </row>
    <row r="511" ht="14.25" customHeight="1" s="175">
      <c r="A511" s="267" t="n"/>
      <c r="B511" s="268" t="n"/>
      <c r="C511" s="269" t="n"/>
    </row>
    <row r="512" ht="14.25" customHeight="1" s="175">
      <c r="A512" s="267" t="n"/>
      <c r="B512" s="268" t="n"/>
      <c r="C512" s="269" t="n"/>
    </row>
    <row r="513" ht="14.25" customHeight="1" s="175">
      <c r="A513" s="267" t="n"/>
      <c r="B513" s="268" t="n"/>
      <c r="C513" s="269" t="n"/>
    </row>
    <row r="514" ht="14.25" customHeight="1" s="175">
      <c r="A514" s="267" t="n"/>
      <c r="B514" s="268" t="n"/>
      <c r="C514" s="269" t="n"/>
    </row>
    <row r="515" ht="14.25" customHeight="1" s="175">
      <c r="A515" s="267" t="n"/>
      <c r="B515" s="268" t="n"/>
      <c r="C515" s="269" t="n"/>
    </row>
    <row r="516" ht="14.25" customHeight="1" s="175">
      <c r="A516" s="267" t="n"/>
      <c r="B516" s="268" t="n"/>
      <c r="C516" s="269" t="n"/>
    </row>
    <row r="517" ht="14.25" customHeight="1" s="175">
      <c r="A517" s="267" t="n"/>
      <c r="B517" s="268" t="n"/>
      <c r="C517" s="269" t="n"/>
    </row>
    <row r="518" ht="14.25" customHeight="1" s="175">
      <c r="A518" s="267" t="n"/>
      <c r="B518" s="268" t="n"/>
      <c r="C518" s="269" t="n"/>
    </row>
    <row r="519" ht="14.25" customHeight="1" s="175">
      <c r="A519" s="267" t="n"/>
      <c r="B519" s="268" t="n"/>
      <c r="C519" s="269" t="n"/>
    </row>
    <row r="520" ht="14.25" customHeight="1" s="175">
      <c r="A520" s="267" t="n"/>
      <c r="B520" s="268" t="n"/>
      <c r="C520" s="269" t="n"/>
    </row>
    <row r="521" ht="14.25" customHeight="1" s="175">
      <c r="A521" s="267" t="n"/>
      <c r="B521" s="268" t="n"/>
      <c r="C521" s="269" t="n"/>
    </row>
    <row r="522" ht="14.25" customHeight="1" s="175">
      <c r="A522" s="267" t="n"/>
      <c r="B522" s="268" t="n"/>
      <c r="C522" s="269" t="n"/>
    </row>
    <row r="523" ht="14.25" customHeight="1" s="175">
      <c r="A523" s="267" t="n"/>
      <c r="B523" s="268" t="n"/>
      <c r="C523" s="269" t="n"/>
    </row>
    <row r="524" ht="14.25" customHeight="1" s="175">
      <c r="A524" s="267" t="n"/>
      <c r="B524" s="268" t="n"/>
      <c r="C524" s="269" t="n"/>
    </row>
    <row r="525" ht="14.25" customHeight="1" s="175">
      <c r="A525" s="267" t="n"/>
      <c r="B525" s="268" t="n"/>
      <c r="C525" s="269" t="n"/>
    </row>
    <row r="526" ht="14.25" customHeight="1" s="175">
      <c r="A526" s="267" t="n"/>
      <c r="B526" s="268" t="n"/>
      <c r="C526" s="269" t="n"/>
    </row>
    <row r="527" ht="14.25" customHeight="1" s="175">
      <c r="A527" s="267" t="n"/>
      <c r="B527" s="268" t="n"/>
      <c r="C527" s="269" t="n"/>
    </row>
    <row r="528" ht="14.25" customHeight="1" s="175">
      <c r="A528" s="267" t="n"/>
      <c r="B528" s="268" t="n"/>
      <c r="C528" s="269" t="n"/>
    </row>
    <row r="529" ht="14.25" customHeight="1" s="175">
      <c r="A529" s="267" t="n"/>
      <c r="B529" s="268" t="n"/>
      <c r="C529" s="269" t="n"/>
    </row>
    <row r="530" ht="14.25" customHeight="1" s="175">
      <c r="A530" s="267" t="n"/>
      <c r="B530" s="268" t="n"/>
      <c r="C530" s="269" t="n"/>
    </row>
    <row r="531" ht="14.25" customHeight="1" s="175">
      <c r="A531" s="267" t="n"/>
      <c r="B531" s="268" t="n"/>
      <c r="C531" s="269" t="n"/>
    </row>
    <row r="532" ht="14.25" customHeight="1" s="175">
      <c r="A532" s="267" t="n"/>
      <c r="B532" s="268" t="n"/>
      <c r="C532" s="269" t="n"/>
    </row>
    <row r="533" ht="14.25" customHeight="1" s="175">
      <c r="A533" s="267" t="n"/>
      <c r="B533" s="268" t="n"/>
      <c r="C533" s="269" t="n"/>
    </row>
    <row r="534" ht="14.25" customHeight="1" s="175">
      <c r="A534" s="267" t="n"/>
      <c r="B534" s="268" t="n"/>
      <c r="C534" s="269" t="n"/>
    </row>
    <row r="535" ht="14.25" customHeight="1" s="175">
      <c r="A535" s="267" t="n"/>
      <c r="B535" s="268" t="n"/>
      <c r="C535" s="269" t="n"/>
    </row>
    <row r="536" ht="14.25" customHeight="1" s="175">
      <c r="A536" s="267" t="n"/>
      <c r="B536" s="268" t="n"/>
      <c r="C536" s="269" t="n"/>
    </row>
    <row r="537" ht="14.25" customHeight="1" s="175">
      <c r="A537" s="267" t="n"/>
      <c r="B537" s="268" t="n"/>
      <c r="C537" s="269" t="n"/>
    </row>
    <row r="538" ht="14.25" customHeight="1" s="175">
      <c r="A538" s="267" t="n"/>
      <c r="B538" s="268" t="n"/>
      <c r="C538" s="269" t="n"/>
    </row>
    <row r="539" ht="14.25" customHeight="1" s="175">
      <c r="A539" s="267" t="n"/>
      <c r="B539" s="268" t="n"/>
      <c r="C539" s="269" t="n"/>
    </row>
    <row r="540" ht="14.25" customHeight="1" s="175">
      <c r="A540" s="267" t="n"/>
      <c r="B540" s="268" t="n"/>
      <c r="C540" s="269" t="n"/>
    </row>
    <row r="541" ht="14.25" customHeight="1" s="175">
      <c r="A541" s="267" t="n"/>
      <c r="B541" s="268" t="n"/>
      <c r="C541" s="269" t="n"/>
    </row>
    <row r="542" ht="14.25" customHeight="1" s="175">
      <c r="A542" s="267" t="n"/>
      <c r="B542" s="268" t="n"/>
      <c r="C542" s="269" t="n"/>
    </row>
    <row r="543" ht="14.25" customHeight="1" s="175">
      <c r="A543" s="267" t="n"/>
      <c r="B543" s="268" t="n"/>
      <c r="C543" s="269" t="n"/>
    </row>
    <row r="544" ht="14.25" customHeight="1" s="175">
      <c r="A544" s="267" t="n"/>
      <c r="B544" s="268" t="n"/>
      <c r="C544" s="269" t="n"/>
    </row>
    <row r="545" ht="14.25" customHeight="1" s="175">
      <c r="A545" s="267" t="n"/>
      <c r="B545" s="268" t="n"/>
      <c r="C545" s="269" t="n"/>
    </row>
    <row r="546" ht="14.25" customHeight="1" s="175">
      <c r="A546" s="267" t="n"/>
      <c r="B546" s="268" t="n"/>
      <c r="C546" s="269" t="n"/>
    </row>
    <row r="547" ht="14.25" customHeight="1" s="175">
      <c r="A547" s="267" t="n"/>
      <c r="B547" s="268" t="n"/>
      <c r="C547" s="269" t="n"/>
    </row>
    <row r="548" ht="14.25" customHeight="1" s="175">
      <c r="A548" s="267" t="n"/>
      <c r="B548" s="268" t="n"/>
      <c r="C548" s="269" t="n"/>
    </row>
    <row r="549" ht="14.25" customHeight="1" s="175">
      <c r="A549" s="267" t="n"/>
      <c r="B549" s="268" t="n"/>
      <c r="C549" s="269" t="n"/>
    </row>
    <row r="550" ht="14.25" customHeight="1" s="175">
      <c r="A550" s="267" t="n"/>
      <c r="B550" s="268" t="n"/>
      <c r="C550" s="269" t="n"/>
    </row>
    <row r="551" ht="14.25" customHeight="1" s="175">
      <c r="A551" s="267" t="n"/>
      <c r="B551" s="268" t="n"/>
      <c r="C551" s="269" t="n"/>
    </row>
    <row r="552" ht="14.25" customHeight="1" s="175">
      <c r="A552" s="267" t="n"/>
      <c r="B552" s="268" t="n"/>
      <c r="C552" s="269" t="n"/>
    </row>
    <row r="553" ht="14.25" customHeight="1" s="175">
      <c r="A553" s="267" t="n"/>
      <c r="B553" s="268" t="n"/>
      <c r="C553" s="269" t="n"/>
    </row>
    <row r="554" ht="14.25" customHeight="1" s="175">
      <c r="A554" s="267" t="n"/>
      <c r="B554" s="268" t="n"/>
      <c r="C554" s="269" t="n"/>
    </row>
    <row r="555" ht="14.25" customHeight="1" s="175">
      <c r="A555" s="267" t="n"/>
      <c r="B555" s="268" t="n"/>
      <c r="C555" s="269" t="n"/>
    </row>
    <row r="556" ht="14.25" customHeight="1" s="175">
      <c r="A556" s="267" t="n"/>
      <c r="B556" s="268" t="n"/>
      <c r="C556" s="269" t="n"/>
    </row>
    <row r="557" ht="14.25" customHeight="1" s="175">
      <c r="A557" s="267" t="n"/>
      <c r="B557" s="268" t="n"/>
      <c r="C557" s="269" t="n"/>
    </row>
    <row r="558" ht="14.25" customHeight="1" s="175">
      <c r="A558" s="267" t="n"/>
      <c r="B558" s="268" t="n"/>
      <c r="C558" s="269" t="n"/>
    </row>
    <row r="559" ht="14.25" customHeight="1" s="175">
      <c r="A559" s="267" t="n"/>
      <c r="B559" s="268" t="n"/>
      <c r="C559" s="269" t="n"/>
    </row>
    <row r="560" ht="14.25" customHeight="1" s="175">
      <c r="A560" s="267" t="n"/>
      <c r="B560" s="268" t="n"/>
      <c r="C560" s="269" t="n"/>
    </row>
    <row r="561" ht="14.25" customHeight="1" s="175">
      <c r="A561" s="267" t="n"/>
      <c r="B561" s="268" t="n"/>
      <c r="C561" s="269" t="n"/>
    </row>
    <row r="562" ht="14.25" customHeight="1" s="175">
      <c r="A562" s="267" t="n"/>
      <c r="B562" s="268" t="n"/>
      <c r="C562" s="269" t="n"/>
    </row>
    <row r="563" ht="14.25" customHeight="1" s="175">
      <c r="A563" s="267" t="n"/>
      <c r="B563" s="268" t="n"/>
      <c r="C563" s="269" t="n"/>
    </row>
    <row r="564" ht="14.25" customHeight="1" s="175">
      <c r="A564" s="267" t="n"/>
      <c r="B564" s="268" t="n"/>
      <c r="C564" s="269" t="n"/>
    </row>
    <row r="565" ht="14.25" customHeight="1" s="175">
      <c r="A565" s="267" t="n"/>
      <c r="B565" s="268" t="n"/>
      <c r="C565" s="269" t="n"/>
    </row>
    <row r="566" ht="14.25" customHeight="1" s="175">
      <c r="A566" s="267" t="n"/>
      <c r="B566" s="268" t="n"/>
      <c r="C566" s="269" t="n"/>
    </row>
    <row r="567" ht="14.25" customHeight="1" s="175">
      <c r="A567" s="267" t="n"/>
      <c r="B567" s="268" t="n"/>
      <c r="C567" s="269" t="n"/>
    </row>
    <row r="568" ht="14.25" customHeight="1" s="175">
      <c r="A568" s="267" t="n"/>
      <c r="B568" s="268" t="n"/>
      <c r="C568" s="269" t="n"/>
    </row>
    <row r="569" ht="14.25" customHeight="1" s="175">
      <c r="A569" s="267" t="n"/>
      <c r="B569" s="268" t="n"/>
      <c r="C569" s="269" t="n"/>
    </row>
    <row r="570" ht="14.25" customHeight="1" s="175">
      <c r="A570" s="267" t="n"/>
      <c r="B570" s="268" t="n"/>
      <c r="C570" s="269" t="n"/>
    </row>
    <row r="571" ht="14.25" customHeight="1" s="175">
      <c r="A571" s="267" t="n"/>
      <c r="B571" s="268" t="n"/>
      <c r="C571" s="269" t="n"/>
    </row>
    <row r="572" ht="14.25" customHeight="1" s="175">
      <c r="A572" s="267" t="n"/>
      <c r="B572" s="268" t="n"/>
      <c r="C572" s="269" t="n"/>
    </row>
    <row r="573" ht="14.25" customHeight="1" s="175">
      <c r="A573" s="267" t="n"/>
      <c r="B573" s="268" t="n"/>
      <c r="C573" s="269" t="n"/>
    </row>
    <row r="574" ht="14.25" customHeight="1" s="175">
      <c r="A574" s="267" t="n"/>
      <c r="B574" s="268" t="n"/>
      <c r="C574" s="269" t="n"/>
    </row>
    <row r="575" ht="14.25" customHeight="1" s="175">
      <c r="A575" s="267" t="n"/>
      <c r="B575" s="268" t="n"/>
      <c r="C575" s="269" t="n"/>
    </row>
    <row r="576" ht="14.25" customHeight="1" s="175">
      <c r="A576" s="267" t="n"/>
      <c r="B576" s="268" t="n"/>
      <c r="C576" s="269" t="n"/>
    </row>
    <row r="577" ht="14.25" customHeight="1" s="175">
      <c r="A577" s="267" t="n"/>
      <c r="B577" s="268" t="n"/>
      <c r="C577" s="269" t="n"/>
    </row>
    <row r="578" ht="14.25" customHeight="1" s="175">
      <c r="A578" s="267" t="n"/>
      <c r="B578" s="268" t="n"/>
      <c r="C578" s="269" t="n"/>
    </row>
    <row r="579" ht="14.25" customHeight="1" s="175">
      <c r="A579" s="267" t="n"/>
      <c r="B579" s="268" t="n"/>
      <c r="C579" s="269" t="n"/>
    </row>
    <row r="580" ht="14.25" customHeight="1" s="175">
      <c r="A580" s="267" t="n"/>
      <c r="B580" s="268" t="n"/>
      <c r="C580" s="269" t="n"/>
    </row>
    <row r="581" ht="14.25" customHeight="1" s="175">
      <c r="A581" s="267" t="n"/>
      <c r="B581" s="268" t="n"/>
      <c r="C581" s="269" t="n"/>
    </row>
    <row r="582" ht="14.25" customHeight="1" s="175">
      <c r="A582" s="267" t="n"/>
      <c r="B582" s="268" t="n"/>
      <c r="C582" s="269" t="n"/>
    </row>
    <row r="583" ht="14.25" customHeight="1" s="175">
      <c r="A583" s="267" t="n"/>
      <c r="B583" s="268" t="n"/>
      <c r="C583" s="269" t="n"/>
    </row>
    <row r="584" ht="14.25" customHeight="1" s="175">
      <c r="A584" s="267" t="n"/>
      <c r="B584" s="268" t="n"/>
      <c r="C584" s="269" t="n"/>
    </row>
    <row r="585" ht="14.25" customHeight="1" s="175">
      <c r="A585" s="267" t="n"/>
      <c r="B585" s="268" t="n"/>
      <c r="C585" s="269" t="n"/>
    </row>
    <row r="586" ht="14.25" customHeight="1" s="175">
      <c r="A586" s="267" t="n"/>
      <c r="B586" s="268" t="n"/>
      <c r="C586" s="269" t="n"/>
    </row>
    <row r="587" ht="14.25" customHeight="1" s="175">
      <c r="A587" s="267" t="n"/>
      <c r="B587" s="268" t="n"/>
      <c r="C587" s="269" t="n"/>
    </row>
    <row r="588" ht="14.25" customHeight="1" s="175">
      <c r="A588" s="267" t="n"/>
      <c r="B588" s="268" t="n"/>
      <c r="C588" s="269" t="n"/>
    </row>
    <row r="589" ht="14.25" customHeight="1" s="175">
      <c r="A589" s="267" t="n"/>
      <c r="B589" s="268" t="n"/>
      <c r="C589" s="269" t="n"/>
    </row>
    <row r="590" ht="14.25" customHeight="1" s="175">
      <c r="A590" s="267" t="n"/>
      <c r="B590" s="268" t="n"/>
      <c r="C590" s="269" t="n"/>
    </row>
    <row r="591" ht="14.25" customHeight="1" s="175">
      <c r="A591" s="267" t="n"/>
      <c r="B591" s="268" t="n"/>
      <c r="C591" s="269" t="n"/>
    </row>
    <row r="592" ht="14.25" customHeight="1" s="175">
      <c r="A592" s="267" t="n"/>
      <c r="B592" s="268" t="n"/>
      <c r="C592" s="269" t="n"/>
    </row>
    <row r="593" ht="14.25" customHeight="1" s="175">
      <c r="A593" s="267" t="n"/>
      <c r="B593" s="268" t="n"/>
      <c r="C593" s="269" t="n"/>
    </row>
    <row r="594" ht="14.25" customHeight="1" s="175">
      <c r="A594" s="267" t="n"/>
      <c r="B594" s="268" t="n"/>
      <c r="C594" s="269" t="n"/>
    </row>
    <row r="595" ht="14.25" customHeight="1" s="175">
      <c r="A595" s="267" t="n"/>
      <c r="B595" s="268" t="n"/>
      <c r="C595" s="269" t="n"/>
    </row>
    <row r="596" ht="14.25" customHeight="1" s="175">
      <c r="A596" s="267" t="n"/>
      <c r="B596" s="268" t="n"/>
      <c r="C596" s="269" t="n"/>
    </row>
    <row r="597" ht="14.25" customHeight="1" s="175">
      <c r="A597" s="267" t="n"/>
      <c r="B597" s="268" t="n"/>
      <c r="C597" s="269" t="n"/>
    </row>
    <row r="598" ht="14.25" customHeight="1" s="175">
      <c r="A598" s="267" t="n"/>
      <c r="B598" s="268" t="n"/>
      <c r="C598" s="269" t="n"/>
    </row>
    <row r="599" ht="14.25" customHeight="1" s="175">
      <c r="A599" s="267" t="n"/>
      <c r="B599" s="268" t="n"/>
      <c r="C599" s="269" t="n"/>
    </row>
    <row r="600" ht="14.25" customHeight="1" s="175">
      <c r="A600" s="267" t="n"/>
      <c r="B600" s="268" t="n"/>
      <c r="C600" s="269" t="n"/>
    </row>
    <row r="601" ht="14.25" customHeight="1" s="175">
      <c r="A601" s="267" t="n"/>
      <c r="B601" s="268" t="n"/>
      <c r="C601" s="269" t="n"/>
    </row>
    <row r="602" ht="14.25" customHeight="1" s="175">
      <c r="A602" s="267" t="n"/>
      <c r="B602" s="268" t="n"/>
      <c r="C602" s="269" t="n"/>
    </row>
    <row r="603" ht="14.25" customHeight="1" s="175">
      <c r="A603" s="267" t="n"/>
      <c r="B603" s="268" t="n"/>
      <c r="C603" s="269" t="n"/>
    </row>
    <row r="604" ht="14.25" customHeight="1" s="175">
      <c r="A604" s="267" t="n"/>
      <c r="B604" s="268" t="n"/>
      <c r="C604" s="269" t="n"/>
    </row>
    <row r="605" ht="14.25" customHeight="1" s="175">
      <c r="A605" s="267" t="n"/>
      <c r="B605" s="268" t="n"/>
      <c r="C605" s="269" t="n"/>
    </row>
    <row r="606" ht="14.25" customHeight="1" s="175">
      <c r="A606" s="267" t="n"/>
      <c r="B606" s="268" t="n"/>
      <c r="C606" s="269" t="n"/>
    </row>
    <row r="607" ht="14.25" customHeight="1" s="175">
      <c r="A607" s="267" t="n"/>
      <c r="B607" s="268" t="n"/>
      <c r="C607" s="269" t="n"/>
    </row>
    <row r="608" ht="14.25" customHeight="1" s="175">
      <c r="A608" s="267" t="n"/>
      <c r="B608" s="268" t="n"/>
      <c r="C608" s="269" t="n"/>
    </row>
    <row r="609" ht="14.25" customHeight="1" s="175">
      <c r="A609" s="267" t="n"/>
      <c r="B609" s="268" t="n"/>
      <c r="C609" s="269" t="n"/>
    </row>
    <row r="610" ht="14.25" customHeight="1" s="175">
      <c r="A610" s="267" t="n"/>
      <c r="B610" s="268" t="n"/>
      <c r="C610" s="269" t="n"/>
    </row>
    <row r="611" ht="14.25" customHeight="1" s="175">
      <c r="A611" s="267" t="n"/>
      <c r="B611" s="268" t="n"/>
      <c r="C611" s="269" t="n"/>
    </row>
    <row r="612" ht="14.25" customHeight="1" s="175">
      <c r="A612" s="267" t="n"/>
      <c r="B612" s="268" t="n"/>
      <c r="C612" s="269" t="n"/>
    </row>
    <row r="613" ht="14.25" customHeight="1" s="175">
      <c r="A613" s="267" t="n"/>
      <c r="B613" s="268" t="n"/>
      <c r="C613" s="269" t="n"/>
    </row>
    <row r="614" ht="14.25" customHeight="1" s="175">
      <c r="A614" s="267" t="n"/>
      <c r="B614" s="268" t="n"/>
      <c r="C614" s="269" t="n"/>
    </row>
    <row r="615" ht="14.25" customHeight="1" s="175">
      <c r="A615" s="267" t="n"/>
      <c r="B615" s="268" t="n"/>
      <c r="C615" s="269" t="n"/>
    </row>
    <row r="616" ht="14.25" customHeight="1" s="175">
      <c r="A616" s="267" t="n"/>
      <c r="B616" s="268" t="n"/>
      <c r="C616" s="269" t="n"/>
    </row>
    <row r="617" ht="14.25" customHeight="1" s="175">
      <c r="A617" s="267" t="n"/>
      <c r="B617" s="268" t="n"/>
      <c r="C617" s="269" t="n"/>
    </row>
    <row r="618" ht="14.25" customHeight="1" s="175">
      <c r="A618" s="267" t="n"/>
      <c r="B618" s="268" t="n"/>
      <c r="C618" s="269" t="n"/>
    </row>
    <row r="619" ht="14.25" customHeight="1" s="175">
      <c r="A619" s="267" t="n"/>
      <c r="B619" s="268" t="n"/>
      <c r="C619" s="269" t="n"/>
    </row>
    <row r="620" ht="14.25" customHeight="1" s="175">
      <c r="A620" s="267" t="n"/>
      <c r="B620" s="268" t="n"/>
      <c r="C620" s="269" t="n"/>
    </row>
    <row r="621" ht="14.25" customHeight="1" s="175">
      <c r="A621" s="267" t="n"/>
      <c r="B621" s="268" t="n"/>
      <c r="C621" s="269" t="n"/>
    </row>
    <row r="622" ht="14.25" customHeight="1" s="175">
      <c r="A622" s="267" t="n"/>
      <c r="B622" s="268" t="n"/>
      <c r="C622" s="269" t="n"/>
    </row>
    <row r="623" ht="14.25" customHeight="1" s="175">
      <c r="A623" s="267" t="n"/>
      <c r="B623" s="268" t="n"/>
      <c r="C623" s="269" t="n"/>
    </row>
    <row r="624" ht="14.25" customHeight="1" s="175">
      <c r="A624" s="267" t="n"/>
      <c r="B624" s="268" t="n"/>
      <c r="C624" s="269" t="n"/>
    </row>
    <row r="625" ht="14.25" customHeight="1" s="175">
      <c r="A625" s="267" t="n"/>
      <c r="B625" s="268" t="n"/>
      <c r="C625" s="269" t="n"/>
    </row>
    <row r="626" ht="14.25" customHeight="1" s="175">
      <c r="A626" s="267" t="n"/>
      <c r="B626" s="268" t="n"/>
      <c r="C626" s="269" t="n"/>
    </row>
    <row r="627" ht="14.25" customHeight="1" s="175">
      <c r="A627" s="267" t="n"/>
      <c r="B627" s="268" t="n"/>
      <c r="C627" s="269" t="n"/>
    </row>
  </sheetData>
  <mergeCells count="5">
    <mergeCell ref="AI51:AQ51"/>
    <mergeCell ref="G1:P1"/>
    <mergeCell ref="G17:O17"/>
    <mergeCell ref="AI13:AR13"/>
    <mergeCell ref="R1:AF1"/>
  </mergeCells>
  <conditionalFormatting sqref="H19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9:J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9:L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9:M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9:N2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9:O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6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9:I23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9:L23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rank="0" priority="17" equalAverage="0" operator="greaterThan" aboveAverage="0" dxfId="0" text="" percent="0" bottom="0">
      <formula>1</formula>
    </cfRule>
  </conditionalFormatting>
  <conditionalFormatting sqref="H3:H15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5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5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5">
    <cfRule type="colorScale" priority="2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5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5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5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5"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5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8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2:H54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70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42:R54"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58:R70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8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8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L16:AL28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8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8"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O16:AO28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8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8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16:AR28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8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8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xmlns:r="http://schemas.openxmlformats.org/officeDocument/2006/relationships" ref="D224" display="https://discord.com/channels/191975109500731392/1212839710439776287/1298696788643020852" r:id="rId1"/>
    <hyperlink xmlns:r="http://schemas.openxmlformats.org/officeDocument/2006/relationships" ref="D345" display="https://discord.com/channels/191975109500731392/1212839710439776287/1306325863213830194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R1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54296875" defaultRowHeight="15" customHeight="1" zeroHeight="0" outlineLevelRow="0" outlineLevelCol="0"/>
  <cols>
    <col width="6.27" customWidth="1" style="173" min="1" max="1"/>
    <col width="6.18" customWidth="1" style="173" min="2" max="2"/>
    <col width="6.73" customWidth="1" style="173" min="3" max="3"/>
    <col width="6" customWidth="1" style="173" min="4" max="4"/>
    <col width="1.82" customWidth="1" style="173" min="5" max="5"/>
    <col hidden="1" width="4.82" customWidth="1" style="173" min="6" max="6"/>
    <col width="7.18" customWidth="1" style="173" min="7" max="7"/>
    <col width="6.73" customWidth="1" style="173" min="8" max="9"/>
    <col width="4.45" customWidth="1" style="173" min="10" max="10"/>
    <col width="9.18" customWidth="1" style="173" min="11" max="11"/>
    <col width="11.45" customWidth="1" style="173" min="12" max="12"/>
    <col width="6.45" customWidth="1" style="173" min="13" max="13"/>
    <col width="8" customWidth="1" style="173" min="14" max="14"/>
    <col width="10.45" customWidth="1" style="173" min="15" max="15"/>
    <col width="11.82" customWidth="1" style="173" min="16" max="16"/>
    <col width="7.18" customWidth="1" style="173" min="17" max="17"/>
    <col width="12.27" customWidth="1" style="173" min="18" max="18"/>
    <col width="6.45" customWidth="1" style="173" min="19" max="19"/>
    <col width="3.45" customWidth="1" style="173" min="20" max="20"/>
    <col width="5.73" customWidth="1" style="173" min="21" max="21"/>
    <col width="7.18" customWidth="1" style="173" min="22" max="22"/>
    <col width="4.45" customWidth="1" style="173" min="23" max="23"/>
    <col width="5" customWidth="1" style="173" min="24" max="24"/>
    <col width="4.82" customWidth="1" style="173" min="25" max="25"/>
    <col width="5.18" customWidth="1" style="173" min="26" max="26"/>
    <col width="6.82" customWidth="1" style="173" min="27" max="27"/>
    <col width="10.45" customWidth="1" style="173" min="28" max="28"/>
    <col width="6" customWidth="1" style="173" min="29" max="29"/>
    <col width="6.45" customWidth="1" style="173" min="30" max="30"/>
    <col width="10.73" customWidth="1" style="173" min="31" max="31"/>
    <col width="7.18" customWidth="1" style="173" min="32" max="32"/>
    <col width="7" customWidth="1" style="173" min="33" max="33"/>
    <col width="8.27" customWidth="1" style="173" min="34" max="34"/>
    <col width="6.45" customWidth="1" style="173" min="35" max="35"/>
    <col width="9.18" customWidth="1" style="173" min="36" max="36"/>
    <col width="13.27" customWidth="1" style="173" min="37" max="37"/>
    <col width="6.45" customWidth="1" style="173" min="38" max="38"/>
    <col width="8" customWidth="1" style="173" min="39" max="39"/>
    <col width="10.45" customWidth="1" style="173" min="40" max="40"/>
    <col width="11.82" customWidth="1" style="173" min="41" max="41"/>
    <col width="11.18" customWidth="1" style="173" min="42" max="42"/>
    <col width="7" customWidth="1" style="173" min="43" max="43"/>
    <col width="6.45" customWidth="1" style="173" min="44" max="44"/>
  </cols>
  <sheetData>
    <row r="1" ht="14.25" customHeight="1" s="175">
      <c r="A1" s="262" t="inlineStr">
        <is>
          <t>Sniper</t>
        </is>
      </c>
      <c r="B1" s="263" t="inlineStr">
        <is>
          <t>Points</t>
        </is>
      </c>
      <c r="C1" s="264" t="inlineStr">
        <is>
          <t>Snipee</t>
        </is>
      </c>
      <c r="D1" s="173" t="inlineStr">
        <is>
          <t>Link:</t>
        </is>
      </c>
      <c r="G1" s="179" t="inlineStr">
        <is>
          <t>Data by Person:</t>
        </is>
      </c>
      <c r="H1" s="180" t="n"/>
      <c r="I1" s="180" t="n"/>
      <c r="J1" s="180" t="n"/>
      <c r="K1" s="180" t="n"/>
      <c r="L1" s="180" t="n"/>
      <c r="M1" s="180" t="n"/>
      <c r="N1" s="180" t="n"/>
      <c r="O1" s="180" t="n"/>
      <c r="P1" s="181" t="n"/>
      <c r="Q1" s="182" t="n"/>
      <c r="R1" s="311" t="inlineStr">
        <is>
          <t>Kill and Death Points Pivot Table (kill points at right, death points at bottom)</t>
        </is>
      </c>
      <c r="S1" s="312" t="n"/>
      <c r="T1" s="312" t="n"/>
      <c r="U1" s="312" t="n"/>
      <c r="V1" s="312" t="n"/>
      <c r="W1" s="312" t="n"/>
      <c r="X1" s="312" t="n"/>
      <c r="Y1" s="312" t="n"/>
      <c r="Z1" s="312" t="n"/>
      <c r="AA1" s="312" t="n"/>
      <c r="AB1" s="313" t="n"/>
      <c r="AD1" s="240" t="inlineStr">
        <is>
          <t>Unique</t>
        </is>
      </c>
      <c r="AH1" s="179" t="inlineStr">
        <is>
          <t>Ties?</t>
        </is>
      </c>
      <c r="AI1" s="185" t="inlineStr">
        <is>
          <t>Name</t>
        </is>
      </c>
      <c r="AJ1" s="186" t="inlineStr">
        <is>
          <t>Value</t>
        </is>
      </c>
      <c r="AK1" s="187" t="inlineStr">
        <is>
          <t>Various Stats:</t>
        </is>
      </c>
      <c r="AL1" s="188" t="inlineStr">
        <is>
          <t>Value</t>
        </is>
      </c>
      <c r="AM1" s="185" t="inlineStr">
        <is>
          <t>Part</t>
        </is>
      </c>
      <c r="AN1" s="179" t="inlineStr">
        <is>
          <t>Ties?</t>
        </is>
      </c>
    </row>
    <row r="2" ht="14.25" customHeight="1" s="175">
      <c r="A2" s="267" t="inlineStr">
        <is>
          <t>Sam</t>
        </is>
      </c>
      <c r="B2" s="268" t="n">
        <v>2</v>
      </c>
      <c r="C2" s="269" t="inlineStr">
        <is>
          <t>Erick</t>
        </is>
      </c>
      <c r="D2" s="192" t="inlineStr">
        <is>
          <t>https://media.discordapp.net/attachments/1212839710439776287/1277352689910677635/IMG_9684.jpg?ex=66d8b865&amp;is=66d766e5&amp;hm=1f04f119402691c1c7c379953474404873dbc457ad84821a86985cf0d3239f08&amp;=&amp;format=webp&amp;width=657&amp;height=876</t>
        </is>
      </c>
      <c r="E2" s="173" t="n"/>
      <c r="F2" s="194" t="n"/>
      <c r="G2" s="226" t="inlineStr">
        <is>
          <t>Person:</t>
        </is>
      </c>
      <c r="H2" s="206" t="inlineStr">
        <is>
          <t>Kills</t>
        </is>
      </c>
      <c r="I2" s="206" t="inlineStr">
        <is>
          <t>Deaths</t>
        </is>
      </c>
      <c r="J2" s="206" t="inlineStr">
        <is>
          <t>KDR</t>
        </is>
      </c>
      <c r="K2" s="206" t="inlineStr">
        <is>
          <t>Kill Points</t>
        </is>
      </c>
      <c r="L2" s="206" t="inlineStr">
        <is>
          <t>Death Points</t>
        </is>
      </c>
      <c r="M2" s="206" t="inlineStr">
        <is>
          <t>KpDpR</t>
        </is>
      </c>
      <c r="N2" s="196" t="inlineStr">
        <is>
          <t>KPts/Kill</t>
        </is>
      </c>
      <c r="O2" s="196" t="inlineStr">
        <is>
          <t>DPts/Death</t>
        </is>
      </c>
      <c r="P2" s="227" t="inlineStr">
        <is>
          <t>Full Sweep %</t>
        </is>
      </c>
      <c r="Q2" s="182" t="n"/>
      <c r="R2" s="198" t="inlineStr">
        <is>
          <t>Sum of Points</t>
        </is>
      </c>
      <c r="S2" s="199" t="inlineStr">
        <is>
          <t>Snipee</t>
        </is>
      </c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1" t="n"/>
      <c r="AD2" s="240" t="inlineStr">
        <is>
          <t>Kill</t>
        </is>
      </c>
      <c r="AF2" s="240" t="n"/>
      <c r="AH2" s="203" t="n"/>
      <c r="AI2" s="204" t="n"/>
      <c r="AJ2" s="205">
        <f>COUNT(B$1:B$159)</f>
        <v/>
      </c>
      <c r="AK2" s="206" t="inlineStr">
        <is>
          <t>Total Snipes</t>
        </is>
      </c>
      <c r="AL2" s="205">
        <f>COUNT(B$1:B$159)</f>
        <v/>
      </c>
      <c r="AM2" s="203" t="n"/>
      <c r="AN2" s="203" t="n"/>
    </row>
    <row r="3" ht="14.25" customHeight="1" s="175">
      <c r="A3" s="267" t="inlineStr">
        <is>
          <t>Sam</t>
        </is>
      </c>
      <c r="B3" s="268" t="n">
        <v>2</v>
      </c>
      <c r="C3" s="269" t="inlineStr">
        <is>
          <t>Grady</t>
        </is>
      </c>
      <c r="D3" s="192" t="inlineStr">
        <is>
          <t>https://media.discordapp.net/attachments/1212839710439776287/1277678736518676593/IMG_9689.jpg?ex=66d8968c&amp;is=66d7450c&amp;hm=a11669997033ca54e9ba2a6fccf0585abccd20628527f4f86b4c6460975c62f1&amp;=&amp;format=webp&amp;width=657&amp;height=876</t>
        </is>
      </c>
      <c r="E3" s="173" t="n"/>
      <c r="F3" s="207" t="n"/>
      <c r="G3" s="208" t="inlineStr">
        <is>
          <t>Carter</t>
        </is>
      </c>
      <c r="H3" s="209">
        <f>COUNTIF($A:$A,G3)</f>
        <v/>
      </c>
      <c r="I3" s="209">
        <f>COUNTIF($C:$C,G3)</f>
        <v/>
      </c>
      <c r="J3" s="210">
        <f>IF(I3,H3/I3,H3)</f>
        <v/>
      </c>
      <c r="K3" s="209">
        <f>IFERROR(GETPIVOTDATA("Points",$R$2,"Sniper",G3),0)</f>
        <v/>
      </c>
      <c r="L3" s="209">
        <f>IFERROR(GETPIVOTDATA("Points",$R$2,"Snipee",G3),0)</f>
        <v/>
      </c>
      <c r="M3" s="299">
        <f>IF(L3,K3/L3,K3)</f>
        <v/>
      </c>
      <c r="N3" s="210">
        <f>IF(H3,K3/H3,0)</f>
        <v/>
      </c>
      <c r="O3" s="210">
        <f>IF(I3,L3/I3,0)</f>
        <v/>
      </c>
      <c r="P3" s="300">
        <f>IFERROR(VLOOKUP(G3,R:AD,13,FALSE())/9,0)</f>
        <v/>
      </c>
      <c r="Q3" s="182" t="n"/>
      <c r="R3" s="212" t="inlineStr">
        <is>
          <t>Sniper</t>
        </is>
      </c>
      <c r="S3" s="301" t="inlineStr">
        <is>
          <t>Carter</t>
        </is>
      </c>
      <c r="T3" s="302" t="inlineStr">
        <is>
          <t>Cooper</t>
        </is>
      </c>
      <c r="U3" s="302" t="inlineStr">
        <is>
          <t>David</t>
        </is>
      </c>
      <c r="V3" s="302" t="inlineStr">
        <is>
          <t>Erick</t>
        </is>
      </c>
      <c r="W3" s="302" t="inlineStr">
        <is>
          <t>Grady</t>
        </is>
      </c>
      <c r="X3" s="302" t="inlineStr">
        <is>
          <t>Jon</t>
        </is>
      </c>
      <c r="Y3" s="302" t="inlineStr">
        <is>
          <t>Peter</t>
        </is>
      </c>
      <c r="Z3" s="302" t="inlineStr">
        <is>
          <t>Sam</t>
        </is>
      </c>
      <c r="AA3" s="302" t="inlineStr">
        <is>
          <t>Tyler</t>
        </is>
      </c>
      <c r="AB3" s="214" t="inlineStr">
        <is>
          <t>Total Result</t>
        </is>
      </c>
      <c r="AD3" s="240" t="inlineStr">
        <is>
          <t>Count</t>
        </is>
      </c>
      <c r="AF3" s="240" t="n"/>
      <c r="AH3" s="203" t="n"/>
      <c r="AI3" s="203" t="n"/>
      <c r="AJ3" s="215">
        <f>GETPIVOTDATA("Points",$R$2)</f>
        <v/>
      </c>
      <c r="AK3" s="216" t="inlineStr">
        <is>
          <t>Total Points</t>
        </is>
      </c>
      <c r="AL3" s="215">
        <f>GETPIVOTDATA("Points",$R$2)</f>
        <v/>
      </c>
      <c r="AM3" s="203" t="n"/>
      <c r="AN3" s="203" t="n"/>
    </row>
    <row r="4" ht="14.25" customHeight="1" s="175">
      <c r="A4" s="267" t="inlineStr">
        <is>
          <t>David</t>
        </is>
      </c>
      <c r="B4" s="268" t="n">
        <v>1</v>
      </c>
      <c r="C4" s="269" t="inlineStr">
        <is>
          <t>Carter</t>
        </is>
      </c>
      <c r="D4" s="192" t="inlineStr">
        <is>
          <t>https://media.discordapp.net/attachments/1212839710439776287/1278367063504851005/IMG_0812.jpg?ex=66d8749a&amp;is=66d7231a&amp;hm=57547a3819aded153769ffd8af3cf7b760ec145af46b599fc15eb26a2d32abee&amp;=&amp;format=webp&amp;width=657&amp;height=876</t>
        </is>
      </c>
      <c r="E4" s="173" t="n">
        <v>1</v>
      </c>
      <c r="F4" s="207" t="n"/>
      <c r="G4" s="208" t="inlineStr">
        <is>
          <t>Grady</t>
        </is>
      </c>
      <c r="H4" s="209">
        <f>COUNTIF($A:$A,G4)</f>
        <v/>
      </c>
      <c r="I4" s="209">
        <f>COUNTIF($C:$C,G4)</f>
        <v/>
      </c>
      <c r="J4" s="210">
        <f>IF(I4,H4/I4,H4)</f>
        <v/>
      </c>
      <c r="K4" s="209">
        <f>IFERROR(GETPIVOTDATA("Points",$R$2,"Sniper",G4),0)</f>
        <v/>
      </c>
      <c r="L4" s="209">
        <f>IFERROR(GETPIVOTDATA("Points",$R$2,"Snipee",G4),0)</f>
        <v/>
      </c>
      <c r="M4" s="299">
        <f>IF(L4,K4/L4,K4)</f>
        <v/>
      </c>
      <c r="N4" s="210">
        <f>IF(H4,K4/H4,0)</f>
        <v/>
      </c>
      <c r="O4" s="210">
        <f>IF(I4,L4/I4,0)</f>
        <v/>
      </c>
      <c r="P4" s="300">
        <f>IFERROR(VLOOKUP(G4,R:AD,13,FALSE())/9,0)</f>
        <v/>
      </c>
      <c r="Q4" s="182" t="n"/>
      <c r="R4" s="303" t="inlineStr">
        <is>
          <t>Carter</t>
        </is>
      </c>
      <c r="S4" s="273" t="n"/>
      <c r="T4" s="274" t="n"/>
      <c r="U4" s="274" t="n">
        <v>8</v>
      </c>
      <c r="V4" s="274" t="n"/>
      <c r="W4" s="274" t="n"/>
      <c r="X4" s="274" t="n">
        <v>2</v>
      </c>
      <c r="Y4" s="274" t="n"/>
      <c r="Z4" s="274" t="n">
        <v>2</v>
      </c>
      <c r="AA4" s="275" t="n"/>
      <c r="AB4" s="276" t="n">
        <v>12</v>
      </c>
      <c r="AD4" s="240">
        <f>COUNT(S4:AC4)-1</f>
        <v/>
      </c>
      <c r="AF4" s="240" t="n"/>
      <c r="AH4" s="220">
        <f>COUNTIF(H3:H12,AJ4)</f>
        <v/>
      </c>
      <c r="AI4" s="221">
        <f>$G$23</f>
        <v/>
      </c>
      <c r="AJ4" s="215">
        <f>maxine(H3:H12)</f>
        <v/>
      </c>
      <c r="AK4" s="216" t="inlineStr">
        <is>
          <t>Most Kills</t>
        </is>
      </c>
      <c r="AL4" s="222">
        <f>maxine(H15:H18)</f>
        <v/>
      </c>
      <c r="AM4" s="223">
        <f>$G$68</f>
        <v/>
      </c>
      <c r="AN4" s="220">
        <f>COUNTIF(H15:H18,AL4)</f>
        <v/>
      </c>
    </row>
    <row r="5" ht="14.25" customHeight="1" s="175">
      <c r="A5" s="267" t="inlineStr">
        <is>
          <t>Sam</t>
        </is>
      </c>
      <c r="B5" s="268" t="n">
        <v>2</v>
      </c>
      <c r="C5" s="269" t="inlineStr">
        <is>
          <t>Carter</t>
        </is>
      </c>
      <c r="D5" s="192" t="inlineStr">
        <is>
          <t>https://media.discordapp.net/attachments/1212839710439776287/1278458508433428555/IMG_9700.jpg?ex=66d8c9c5&amp;is=66d77845&amp;hm=82b333d6203994e5578dd04b08e7110709ebd687029c1d50431459e413a90de4&amp;=&amp;format=webp&amp;width=657&amp;height=876</t>
        </is>
      </c>
      <c r="E5" s="173" t="n">
        <v>1</v>
      </c>
      <c r="F5" s="207" t="n"/>
      <c r="G5" s="208" t="inlineStr">
        <is>
          <t>Cooper</t>
        </is>
      </c>
      <c r="H5" s="209">
        <f>COUNTIF($A:$A,G5)</f>
        <v/>
      </c>
      <c r="I5" s="209">
        <f>COUNTIF($C:$C,G5)</f>
        <v/>
      </c>
      <c r="J5" s="210">
        <f>IF(I5,H5/I5,H5)</f>
        <v/>
      </c>
      <c r="K5" s="209">
        <f>IFERROR(GETPIVOTDATA("Points",$R$2,"Sniper",G5),0)</f>
        <v/>
      </c>
      <c r="L5" s="209">
        <f>IFERROR(GETPIVOTDATA("Points",$R$2,"Snipee",G5),0)</f>
        <v/>
      </c>
      <c r="M5" s="299">
        <f>IF(L5,K5/L5,K5)</f>
        <v/>
      </c>
      <c r="N5" s="210">
        <f>IF(H5,K5/H5,0)</f>
        <v/>
      </c>
      <c r="O5" s="210">
        <f>IF(I5,L5/I5,0)</f>
        <v/>
      </c>
      <c r="P5" s="300">
        <f>IFERROR(VLOOKUP(G5,R:AD,13,FALSE())/9,0)</f>
        <v/>
      </c>
      <c r="Q5" s="182" t="n"/>
      <c r="R5" s="304" t="inlineStr">
        <is>
          <t>David</t>
        </is>
      </c>
      <c r="S5" s="278" t="n">
        <v>9</v>
      </c>
      <c r="T5" s="279" t="n">
        <v>1</v>
      </c>
      <c r="U5" s="279" t="n"/>
      <c r="V5" s="279" t="n"/>
      <c r="W5" s="279" t="n">
        <v>2</v>
      </c>
      <c r="X5" s="279" t="n">
        <v>4</v>
      </c>
      <c r="Y5" s="279" t="n"/>
      <c r="Z5" s="279" t="n"/>
      <c r="AA5" s="280" t="n"/>
      <c r="AB5" s="281" t="n">
        <v>16</v>
      </c>
      <c r="AD5" s="240">
        <f>COUNT(S5:AC5)-1</f>
        <v/>
      </c>
      <c r="AF5" s="240" t="n"/>
      <c r="AH5" s="220">
        <f>COUNTIF(I3:I12,AJ5)</f>
        <v/>
      </c>
      <c r="AI5" s="221">
        <f>$G$37</f>
        <v/>
      </c>
      <c r="AJ5" s="215">
        <f>maxine(I3:I12)</f>
        <v/>
      </c>
      <c r="AK5" s="216" t="inlineStr">
        <is>
          <t>Most Deaths</t>
        </is>
      </c>
      <c r="AL5" s="222">
        <f>maxine(I15:I18)</f>
        <v/>
      </c>
      <c r="AM5" s="223">
        <f>$G$77</f>
        <v/>
      </c>
      <c r="AN5" s="220">
        <f>COUNTIF(I15:I18,AL5)</f>
        <v/>
      </c>
    </row>
    <row r="6" ht="14.25" customHeight="1" s="175">
      <c r="A6" s="267" t="inlineStr">
        <is>
          <t>Grady</t>
        </is>
      </c>
      <c r="B6" s="268" t="n">
        <v>1</v>
      </c>
      <c r="C6" s="269" t="inlineStr">
        <is>
          <t>Sam</t>
        </is>
      </c>
      <c r="D6" s="192" t="inlineStr">
        <is>
          <t>https://media.discordapp.net/attachments/1212839710439776287/1278734487240314950/IMG_3593.jpg?ex=66d8794b&amp;is=66d727cb&amp;hm=a40481608cfdca9cf9ec703b972faf3a8984f20beafa8a1aed60ff972219755f&amp;=&amp;format=webp&amp;width=915&amp;height=876</t>
        </is>
      </c>
      <c r="E6" s="173" t="n"/>
      <c r="F6" s="207" t="n"/>
      <c r="G6" s="208" t="inlineStr">
        <is>
          <t>Maxine</t>
        </is>
      </c>
      <c r="H6" s="209">
        <f>COUNTIF($A:$A,G6)</f>
        <v/>
      </c>
      <c r="I6" s="209">
        <f>COUNTIF($C:$C,G6)</f>
        <v/>
      </c>
      <c r="J6" s="210">
        <f>IF(I6,H6/I6,H6)</f>
        <v/>
      </c>
      <c r="K6" s="209">
        <f>IFERROR(GETPIVOTDATA("Points",$R$2,"Sniper",G6),0)</f>
        <v/>
      </c>
      <c r="L6" s="209">
        <f>IFERROR(GETPIVOTDATA("Points",$R$2,"Snipee",G6),0)</f>
        <v/>
      </c>
      <c r="M6" s="299">
        <f>IF(L6,K6/L6,K6)</f>
        <v/>
      </c>
      <c r="N6" s="210">
        <f>IF(H6,K6/H6,0)</f>
        <v/>
      </c>
      <c r="O6" s="210">
        <f>IF(I6,L6/I6,0)</f>
        <v/>
      </c>
      <c r="P6" s="300">
        <f>IFERROR(VLOOKUP(G6,R:AD,13,FALSE())/9,0)</f>
        <v/>
      </c>
      <c r="Q6" s="182" t="n"/>
      <c r="R6" s="304" t="inlineStr">
        <is>
          <t>Erick</t>
        </is>
      </c>
      <c r="S6" s="278" t="n"/>
      <c r="T6" s="279" t="n">
        <v>2</v>
      </c>
      <c r="U6" s="279" t="n"/>
      <c r="V6" s="279" t="n"/>
      <c r="W6" s="279" t="n"/>
      <c r="X6" s="279" t="n"/>
      <c r="Y6" s="279" t="n"/>
      <c r="Z6" s="279" t="n">
        <v>1</v>
      </c>
      <c r="AA6" s="280" t="n"/>
      <c r="AB6" s="281" t="n">
        <v>3</v>
      </c>
      <c r="AD6" s="240">
        <f>COUNT(S6:AC6)-1</f>
        <v/>
      </c>
      <c r="AF6" s="240" t="n"/>
      <c r="AH6" s="220">
        <f>COUNTIF(K3:K12,AJ6)</f>
        <v/>
      </c>
      <c r="AI6" s="221">
        <f>$Q$23</f>
        <v/>
      </c>
      <c r="AJ6" s="215">
        <f>maxine(K3:K12)</f>
        <v/>
      </c>
      <c r="AK6" s="216" t="inlineStr">
        <is>
          <t>Most Kill Pts</t>
        </is>
      </c>
      <c r="AL6" s="222">
        <f>maxine(K15:K18)</f>
        <v/>
      </c>
      <c r="AM6" s="223">
        <f>$Q$68</f>
        <v/>
      </c>
      <c r="AN6" s="220">
        <f>COUNTIF(K15:K18,AL6)</f>
        <v/>
      </c>
    </row>
    <row r="7" ht="14.25" customHeight="1" s="175">
      <c r="A7" s="267" t="inlineStr">
        <is>
          <t>Carter</t>
        </is>
      </c>
      <c r="B7" s="268" t="n">
        <v>2</v>
      </c>
      <c r="C7" s="269" t="inlineStr">
        <is>
          <t>David</t>
        </is>
      </c>
      <c r="D7" s="192" t="inlineStr">
        <is>
          <t>https://media.discordapp.net/attachments/1212839710439776287/1278753785367494759/IMG_5474.jpg?ex=66d88b44&amp;is=66d739c4&amp;hm=e03b370c9bb8c684a596f4e86f03627281065cb94e2887597bb98b0161e2228d&amp;=&amp;format=webp&amp;width=657&amp;height=876</t>
        </is>
      </c>
      <c r="E7" s="173" t="n"/>
      <c r="F7" s="207" t="n"/>
      <c r="G7" s="208" t="inlineStr">
        <is>
          <t>David</t>
        </is>
      </c>
      <c r="H7" s="209">
        <f>COUNTIF($A:$A,G7)</f>
        <v/>
      </c>
      <c r="I7" s="209">
        <f>COUNTIF($C:$C,G7)</f>
        <v/>
      </c>
      <c r="J7" s="210">
        <f>IF(I7,H7/I7,H7)</f>
        <v/>
      </c>
      <c r="K7" s="209">
        <f>IFERROR(GETPIVOTDATA("Points",$R$2,"Sniper",G7),0)</f>
        <v/>
      </c>
      <c r="L7" s="209">
        <f>IFERROR(GETPIVOTDATA("Points",$R$2,"Snipee",G7),0)</f>
        <v/>
      </c>
      <c r="M7" s="299">
        <f>IF(L7,K7/L7,K7)</f>
        <v/>
      </c>
      <c r="N7" s="210">
        <f>IF(H7,K7/H7,0)</f>
        <v/>
      </c>
      <c r="O7" s="210">
        <f>IF(I7,L7/I7,0)</f>
        <v/>
      </c>
      <c r="P7" s="300">
        <f>IFERROR(VLOOKUP(G7,R:AD,13,FALSE())/9,0)</f>
        <v/>
      </c>
      <c r="Q7" s="182" t="n"/>
      <c r="R7" s="304" t="inlineStr">
        <is>
          <t>Grady</t>
        </is>
      </c>
      <c r="S7" s="278" t="n"/>
      <c r="T7" s="279" t="n"/>
      <c r="U7" s="279" t="n"/>
      <c r="V7" s="279" t="n"/>
      <c r="W7" s="279" t="n"/>
      <c r="X7" s="279" t="n"/>
      <c r="Y7" s="279" t="n"/>
      <c r="Z7" s="279" t="n">
        <v>1</v>
      </c>
      <c r="AA7" s="280" t="n"/>
      <c r="AB7" s="281" t="n">
        <v>1</v>
      </c>
      <c r="AD7" s="240">
        <f>COUNT(S7:AC7)-1</f>
        <v/>
      </c>
      <c r="AF7" s="240" t="n"/>
      <c r="AH7" s="220">
        <f>COUNTIF(L3:L12,AJ7)</f>
        <v/>
      </c>
      <c r="AI7" s="221">
        <f>$Q$37</f>
        <v/>
      </c>
      <c r="AJ7" s="215">
        <f>maxine(L3:L12)</f>
        <v/>
      </c>
      <c r="AK7" s="216" t="inlineStr">
        <is>
          <t>Most Death Pts</t>
        </is>
      </c>
      <c r="AL7" s="222">
        <f>maxine(L15:L18)</f>
        <v/>
      </c>
      <c r="AM7" s="223">
        <f>$Q$77</f>
        <v/>
      </c>
      <c r="AN7" s="220">
        <f>COUNTIF(L15:L18,AL7)</f>
        <v/>
      </c>
    </row>
    <row r="8" ht="14.25" customHeight="1" s="175">
      <c r="A8" s="267" t="inlineStr">
        <is>
          <t>David</t>
        </is>
      </c>
      <c r="B8" s="268" t="n">
        <v>1</v>
      </c>
      <c r="C8" s="269" t="inlineStr">
        <is>
          <t>Carter</t>
        </is>
      </c>
      <c r="D8" s="192" t="inlineStr">
        <is>
          <t>https://media.discordapp.net/attachments/1212839710439776287/1278753593067049022/IMG_0819.jpg?ex=66d88b16&amp;is=66d73996&amp;hm=f4fe36faa51759a98e210d23c29870faa342786a30197879f765665efe17152f&amp;=&amp;format=webp&amp;width=657&amp;height=876</t>
        </is>
      </c>
      <c r="E8" s="173" t="n">
        <v>1</v>
      </c>
      <c r="F8" s="207" t="n"/>
      <c r="G8" s="208" t="inlineStr">
        <is>
          <t>Tyler</t>
        </is>
      </c>
      <c r="H8" s="209">
        <f>COUNTIF($A:$A,G8)</f>
        <v/>
      </c>
      <c r="I8" s="209">
        <f>COUNTIF($C:$C,G8)</f>
        <v/>
      </c>
      <c r="J8" s="210">
        <f>IF(I8,H8/I8,H8)</f>
        <v/>
      </c>
      <c r="K8" s="209">
        <f>IFERROR(GETPIVOTDATA("Points",$R$2,"Sniper",G8),0)</f>
        <v/>
      </c>
      <c r="L8" s="209">
        <f>IFERROR(GETPIVOTDATA("Points",$R$2,"Snipee",G8),0)</f>
        <v/>
      </c>
      <c r="M8" s="299">
        <f>IF(L8,K8/L8,K8)</f>
        <v/>
      </c>
      <c r="N8" s="210">
        <f>IF(H8,K8/H8,0)</f>
        <v/>
      </c>
      <c r="O8" s="210">
        <f>IF(I8,L8/I8,0)</f>
        <v/>
      </c>
      <c r="P8" s="300">
        <f>IFERROR(VLOOKUP(G8,R:AD,13,FALSE())/9,0)</f>
        <v/>
      </c>
      <c r="Q8" s="182" t="n"/>
      <c r="R8" s="304" t="inlineStr">
        <is>
          <t>Jon</t>
        </is>
      </c>
      <c r="S8" s="278" t="n">
        <v>1</v>
      </c>
      <c r="T8" s="279" t="n"/>
      <c r="U8" s="279" t="n">
        <v>2</v>
      </c>
      <c r="V8" s="279" t="n"/>
      <c r="W8" s="279" t="n"/>
      <c r="X8" s="279" t="n"/>
      <c r="Y8" s="279" t="n"/>
      <c r="Z8" s="279" t="n"/>
      <c r="AA8" s="280" t="n"/>
      <c r="AB8" s="281" t="n">
        <v>3</v>
      </c>
      <c r="AD8" s="240">
        <f>COUNT(S8:AC8)-1</f>
        <v/>
      </c>
      <c r="AF8" s="240" t="n"/>
      <c r="AH8" s="220">
        <f>COUNTIF(J3:J12,AJ8)</f>
        <v/>
      </c>
      <c r="AI8" s="225">
        <f>$G$51</f>
        <v/>
      </c>
      <c r="AJ8" s="222">
        <f>maxine(J3:J12)</f>
        <v/>
      </c>
      <c r="AK8" s="216" t="inlineStr">
        <is>
          <t>Best KDR</t>
        </is>
      </c>
      <c r="AL8" s="222">
        <f>maxine(J15:J18)</f>
        <v/>
      </c>
      <c r="AM8" s="223">
        <f>$G$86</f>
        <v/>
      </c>
      <c r="AN8" s="220">
        <f>COUNTIF(J15:J18,AL8)</f>
        <v/>
      </c>
    </row>
    <row r="9" ht="14.25" customHeight="1" s="175">
      <c r="A9" s="267" t="inlineStr">
        <is>
          <t>David</t>
        </is>
      </c>
      <c r="B9" s="268" t="n">
        <v>1</v>
      </c>
      <c r="C9" s="269" t="inlineStr">
        <is>
          <t>Cooper</t>
        </is>
      </c>
      <c r="D9" s="192" t="inlineStr">
        <is>
          <t>https://media.discordapp.net/attachments/1212839710439776287/1279106776695836714/IMG_0843.jpg?ex=66d88284&amp;is=66d73104&amp;hm=010b512e8223a54b5a1d81d227cc367b6c3fef75279ecae536541c3e65712252&amp;=&amp;format=webp&amp;width=657&amp;height=876</t>
        </is>
      </c>
      <c r="E9" s="173" t="n"/>
      <c r="F9" s="192" t="n"/>
      <c r="G9" s="208" t="inlineStr">
        <is>
          <t>Sam</t>
        </is>
      </c>
      <c r="H9" s="209">
        <f>COUNTIF($A:$A,G9)</f>
        <v/>
      </c>
      <c r="I9" s="209">
        <f>COUNTIF($C:$C,G9)</f>
        <v/>
      </c>
      <c r="J9" s="210">
        <f>IF(I9,H9/I9,H9)</f>
        <v/>
      </c>
      <c r="K9" s="209">
        <f>IFERROR(GETPIVOTDATA("Points",$R$2,"Sniper",G9),0)</f>
        <v/>
      </c>
      <c r="L9" s="209">
        <f>IFERROR(GETPIVOTDATA("Points",$R$2,"Snipee",G9),0)</f>
        <v/>
      </c>
      <c r="M9" s="299">
        <f>IF(L9,K9/L9,K9)</f>
        <v/>
      </c>
      <c r="N9" s="210">
        <f>IF(H9,K9/H9,0)</f>
        <v/>
      </c>
      <c r="O9" s="210">
        <f>IF(I9,L9/I9,0)</f>
        <v/>
      </c>
      <c r="P9" s="300">
        <f>IFERROR(VLOOKUP(G9,R:AD,13,FALSE())/9,0)</f>
        <v/>
      </c>
      <c r="Q9" s="182" t="n"/>
      <c r="R9" s="304" t="inlineStr">
        <is>
          <t>Peter</t>
        </is>
      </c>
      <c r="S9" s="278" t="n">
        <v>4</v>
      </c>
      <c r="T9" s="279" t="n"/>
      <c r="U9" s="279" t="n"/>
      <c r="V9" s="279" t="n"/>
      <c r="W9" s="279" t="n">
        <v>2</v>
      </c>
      <c r="X9" s="279" t="n"/>
      <c r="Y9" s="279" t="n"/>
      <c r="Z9" s="279" t="n">
        <v>2</v>
      </c>
      <c r="AA9" s="280" t="n">
        <v>2</v>
      </c>
      <c r="AB9" s="281" t="n">
        <v>10</v>
      </c>
      <c r="AD9" s="240">
        <f>COUNT(S9:AC9)-1</f>
        <v/>
      </c>
      <c r="AF9" s="240" t="n"/>
      <c r="AH9" s="220">
        <f>COUNTIF(J3:J12,AJ9)</f>
        <v/>
      </c>
      <c r="AI9" s="225">
        <f>$G$60</f>
        <v/>
      </c>
      <c r="AJ9" s="222">
        <f>MIN(J3:J12)</f>
        <v/>
      </c>
      <c r="AK9" s="216" t="inlineStr">
        <is>
          <t>Worst KDR</t>
        </is>
      </c>
      <c r="AL9" s="222">
        <f>MIN(J15:J18)</f>
        <v/>
      </c>
      <c r="AM9" s="223">
        <f>$G$83</f>
        <v/>
      </c>
      <c r="AN9" s="220">
        <f>COUNTIF(J15:J18,AL9)</f>
        <v/>
      </c>
    </row>
    <row r="10" ht="14.25" customHeight="1" s="175">
      <c r="A10" s="267" t="inlineStr">
        <is>
          <t>David</t>
        </is>
      </c>
      <c r="B10" s="268" t="n">
        <v>2</v>
      </c>
      <c r="C10" s="269" t="inlineStr">
        <is>
          <t>Grady</t>
        </is>
      </c>
      <c r="D10" s="192" t="inlineStr">
        <is>
          <t>https://media.discordapp.net/attachments/1212839710439776287/1279107376691150948/IMG_0844.jpg?ex=66d88313&amp;is=66d73193&amp;hm=66e41315e43a774944f74c29dc23dddfe5e09cc7c23ca3ce40f6209b654a0479&amp;=&amp;format=webp&amp;width=1168&amp;height=876</t>
        </is>
      </c>
      <c r="E10" s="173" t="n"/>
      <c r="F10" s="192" t="n"/>
      <c r="G10" s="208" t="inlineStr">
        <is>
          <t>Erick</t>
        </is>
      </c>
      <c r="H10" s="209">
        <f>COUNTIF($A:$A,G10)</f>
        <v/>
      </c>
      <c r="I10" s="209">
        <f>COUNTIF($C:$C,G10)</f>
        <v/>
      </c>
      <c r="J10" s="210">
        <f>IF(I10,H10/I10,H10)</f>
        <v/>
      </c>
      <c r="K10" s="209">
        <f>IFERROR(GETPIVOTDATA("Points",$R$2,"Sniper",G10),0)</f>
        <v/>
      </c>
      <c r="L10" s="209">
        <f>IFERROR(GETPIVOTDATA("Points",$R$2,"Snipee",G10),0)</f>
        <v/>
      </c>
      <c r="M10" s="299">
        <f>IF(L10,K10/L10,K10)</f>
        <v/>
      </c>
      <c r="N10" s="210">
        <f>IF(H10,K10/H10,0)</f>
        <v/>
      </c>
      <c r="O10" s="210">
        <f>IF(I10,L10/I10,0)</f>
        <v/>
      </c>
      <c r="P10" s="300">
        <f>IFERROR(VLOOKUP(G10,R:AD,13,FALSE())/9,0)</f>
        <v/>
      </c>
      <c r="Q10" s="182" t="n"/>
      <c r="R10" s="304" t="inlineStr">
        <is>
          <t>Sam</t>
        </is>
      </c>
      <c r="S10" s="282" t="n">
        <v>2</v>
      </c>
      <c r="T10" s="283" t="n"/>
      <c r="U10" s="283" t="n"/>
      <c r="V10" s="283" t="n">
        <v>3</v>
      </c>
      <c r="W10" s="283" t="n">
        <v>8</v>
      </c>
      <c r="X10" s="283" t="n">
        <v>6</v>
      </c>
      <c r="Y10" s="283" t="n">
        <v>2</v>
      </c>
      <c r="Z10" s="283" t="n"/>
      <c r="AA10" s="284" t="n">
        <v>2</v>
      </c>
      <c r="AB10" s="285" t="n">
        <v>23</v>
      </c>
      <c r="AD10" s="240">
        <f>COUNT(S10:AC10)-1</f>
        <v/>
      </c>
      <c r="AF10" s="240" t="n"/>
      <c r="AH10" s="220">
        <f>COUNTIF(M3:M12,AJ10)</f>
        <v/>
      </c>
      <c r="AI10" s="225">
        <f>$Q$51</f>
        <v/>
      </c>
      <c r="AJ10" s="222">
        <f>maxine(M3:M12)</f>
        <v/>
      </c>
      <c r="AK10" s="216" t="inlineStr">
        <is>
          <t>Best KpDpR</t>
        </is>
      </c>
      <c r="AL10" s="222">
        <f>maxine(M15:M18)</f>
        <v/>
      </c>
      <c r="AM10" s="223">
        <f>$Q$86</f>
        <v/>
      </c>
      <c r="AN10" s="220">
        <f>COUNTIF(M15:M18,AL10)</f>
        <v/>
      </c>
    </row>
    <row r="11" ht="14.25" customHeight="1" s="175">
      <c r="A11" s="267" t="inlineStr">
        <is>
          <t>David</t>
        </is>
      </c>
      <c r="B11" s="268" t="n">
        <v>2</v>
      </c>
      <c r="C11" s="269" t="inlineStr">
        <is>
          <t>Jon</t>
        </is>
      </c>
      <c r="D11" s="192" t="inlineStr">
        <is>
          <t>https://media.discordapp.net/attachments/1212839710439776287/1280577132384358520/IMG_0872.jpg?ex=66d895e4&amp;is=66d74464&amp;hm=1130131adc8d5ba29e822f1ca87db1d7063aebf23c6e12e41ebebfcd9d2c63cb&amp;=&amp;format=webp&amp;width=657&amp;height=876</t>
        </is>
      </c>
      <c r="E11" s="173" t="n"/>
      <c r="F11" s="207" t="n"/>
      <c r="G11" s="208" t="inlineStr">
        <is>
          <t>Peter</t>
        </is>
      </c>
      <c r="H11" s="209">
        <f>COUNTIF($A:$A,G11)</f>
        <v/>
      </c>
      <c r="I11" s="209">
        <f>COUNTIF($C:$C,G11)</f>
        <v/>
      </c>
      <c r="J11" s="210">
        <f>IF(I11,H11/I11,H11)</f>
        <v/>
      </c>
      <c r="K11" s="209">
        <f>IFERROR(GETPIVOTDATA("Points",$R$2,"Sniper",G11),0)</f>
        <v/>
      </c>
      <c r="L11" s="209">
        <f>IFERROR(GETPIVOTDATA("Points",$R$2,"Snipee",G11),0)</f>
        <v/>
      </c>
      <c r="M11" s="299">
        <f>IF(L11,K11/L11,K11)</f>
        <v/>
      </c>
      <c r="N11" s="210">
        <f>IF(H11,K11/H11,0)</f>
        <v/>
      </c>
      <c r="O11" s="210">
        <f>IF(I11,L11/I11,0)</f>
        <v/>
      </c>
      <c r="P11" s="300">
        <f>IFERROR(VLOOKUP(G11,R:AD,13,FALSE())/9,0)</f>
        <v/>
      </c>
      <c r="Q11" s="182" t="n"/>
      <c r="R11" s="237" t="inlineStr">
        <is>
          <t>Total Result</t>
        </is>
      </c>
      <c r="S11" s="286" t="n">
        <v>16</v>
      </c>
      <c r="T11" s="287" t="n">
        <v>3</v>
      </c>
      <c r="U11" s="287" t="n">
        <v>10</v>
      </c>
      <c r="V11" s="287" t="n">
        <v>3</v>
      </c>
      <c r="W11" s="287" t="n">
        <v>12</v>
      </c>
      <c r="X11" s="287" t="n">
        <v>12</v>
      </c>
      <c r="Y11" s="287" t="n">
        <v>2</v>
      </c>
      <c r="Z11" s="287" t="n">
        <v>6</v>
      </c>
      <c r="AA11" s="288" t="n">
        <v>4</v>
      </c>
      <c r="AB11" s="239" t="n">
        <v>68</v>
      </c>
      <c r="AD11" s="240">
        <f>COUNT(S11:AC11)-1</f>
        <v/>
      </c>
      <c r="AF11" s="240" t="n"/>
      <c r="AH11" s="220">
        <f>COUNTIF(M3:M12,AJ11)-1</f>
        <v/>
      </c>
      <c r="AI11" s="225">
        <f>$Q$60</f>
        <v/>
      </c>
      <c r="AJ11" s="222">
        <f>MIN(M3:M12)</f>
        <v/>
      </c>
      <c r="AK11" s="216" t="inlineStr">
        <is>
          <t>Worst KpDpR</t>
        </is>
      </c>
      <c r="AL11" s="222">
        <f>MIN(M15:M18)</f>
        <v/>
      </c>
      <c r="AM11" s="223">
        <f>$Q$83</f>
        <v/>
      </c>
      <c r="AN11" s="220">
        <f>COUNTIF(M15:M18,AL11)</f>
        <v/>
      </c>
    </row>
    <row r="12" ht="14.25" customHeight="1" s="175">
      <c r="A12" s="267" t="inlineStr">
        <is>
          <t>Maxine</t>
        </is>
      </c>
      <c r="B12" s="268" t="n">
        <v>1</v>
      </c>
      <c r="C12" s="269" t="inlineStr">
        <is>
          <t>Jon</t>
        </is>
      </c>
      <c r="D12" s="192" t="inlineStr">
        <is>
          <t>https://media.discordapp.net/attachments/1212839710439776287/1280579388139901020/IMG_9966.jpg?ex=66d897fe&amp;is=66d7467e&amp;hm=73c302d02f6ee1de7338c13995ca8d1dde9cab3f88602347cbf4fe213c5c6d17&amp;=&amp;format=webp&amp;width=657&amp;height=876</t>
        </is>
      </c>
      <c r="E12" s="173" t="n"/>
      <c r="F12" s="207" t="n"/>
      <c r="G12" s="314" t="inlineStr">
        <is>
          <t>Jon</t>
        </is>
      </c>
      <c r="H12" s="209">
        <f>COUNTIF($A:$A,G12)</f>
        <v/>
      </c>
      <c r="I12" s="209">
        <f>COUNTIF($C:$C,G12)</f>
        <v/>
      </c>
      <c r="J12" s="210">
        <f>IF(I12,H12/I12,H12)</f>
        <v/>
      </c>
      <c r="K12" s="209">
        <f>IFERROR(GETPIVOTDATA("Points",$R$2,"Sniper",G12),0)</f>
        <v/>
      </c>
      <c r="L12" s="209">
        <f>IFERROR(GETPIVOTDATA("Points",$R$2,"Snipee",G12),0)</f>
        <v/>
      </c>
      <c r="M12" s="299">
        <f>IF(L12,K12/L12,K12)</f>
        <v/>
      </c>
      <c r="N12" s="210">
        <f>IF(H12,K12/H12,0)</f>
        <v/>
      </c>
      <c r="O12" s="210">
        <f>IF(I12,L12/I12,0)</f>
        <v/>
      </c>
      <c r="P12" s="300">
        <f>IFERROR(VLOOKUP(G12,R:AD,13,FALSE())/9,0)</f>
        <v/>
      </c>
      <c r="Q12" s="182" t="n"/>
      <c r="AD12" s="240">
        <f>COUNT(S12:AC12)-1</f>
        <v/>
      </c>
      <c r="AF12" s="240" t="n"/>
      <c r="AG12" s="246" t="n"/>
    </row>
    <row r="13" ht="14.25" customHeight="1" s="175">
      <c r="A13" s="267" t="inlineStr">
        <is>
          <t>Sam</t>
        </is>
      </c>
      <c r="B13" s="268" t="n">
        <v>1</v>
      </c>
      <c r="C13" s="269" t="inlineStr">
        <is>
          <t>Erick</t>
        </is>
      </c>
      <c r="D13" s="192" t="inlineStr">
        <is>
          <t>https://media.discordapp.net/attachments/1212839710439776287/1280605895658831975/IMG_9752.jpg?ex=66d8b0ae&amp;is=66d75f2e&amp;hm=d94495abcb20d45a16577c43eae7d0f324a051516c3569c38e775301f8fab5f2&amp;=&amp;format=webp&amp;width=657&amp;height=876</t>
        </is>
      </c>
      <c r="E13" s="173" t="n"/>
      <c r="F13" s="207" t="n"/>
      <c r="G13" s="179" t="inlineStr">
        <is>
          <t>Data By Voice Part (average/person):</t>
        </is>
      </c>
      <c r="H13" s="180" t="n"/>
      <c r="I13" s="180" t="n"/>
      <c r="J13" s="180" t="n"/>
      <c r="K13" s="180" t="n"/>
      <c r="L13" s="180" t="n"/>
      <c r="M13" s="180" t="n"/>
      <c r="N13" s="180" t="n"/>
      <c r="O13" s="181" t="n"/>
      <c r="Q13" s="182" t="n"/>
      <c r="AD13" s="240">
        <f>COUNT(S13:AC13)-1</f>
        <v/>
      </c>
      <c r="AF13" s="240" t="n"/>
      <c r="AG13" s="246" t="n"/>
    </row>
    <row r="14" ht="14.25" customHeight="1" s="175">
      <c r="A14" s="267" t="inlineStr">
        <is>
          <t>Erick</t>
        </is>
      </c>
      <c r="B14" s="268" t="n">
        <v>1</v>
      </c>
      <c r="C14" s="269" t="inlineStr">
        <is>
          <t>Sam</t>
        </is>
      </c>
      <c r="D14" s="192" t="inlineStr">
        <is>
          <t>https://media.discordapp.net/attachments/1212839710439776287/1280605974172008592/IMG_6209.jpg?ex=66d8b0c0&amp;is=66d75f40&amp;hm=48bd9fde8e4c7c1c64acdec60431c7a7e545a04bb07f6dced21315e9b629e4cb&amp;=&amp;format=webp&amp;width=657&amp;height=876</t>
        </is>
      </c>
      <c r="E14" s="173" t="n"/>
      <c r="F14" s="207" t="n"/>
      <c r="G14" s="226" t="inlineStr">
        <is>
          <t>Part:</t>
        </is>
      </c>
      <c r="H14" s="206" t="inlineStr">
        <is>
          <t>Kills</t>
        </is>
      </c>
      <c r="I14" s="206" t="inlineStr">
        <is>
          <t>Deaths</t>
        </is>
      </c>
      <c r="J14" s="206" t="inlineStr">
        <is>
          <t>KDR</t>
        </is>
      </c>
      <c r="K14" s="206" t="inlineStr">
        <is>
          <t>Kill Points</t>
        </is>
      </c>
      <c r="L14" s="206" t="inlineStr">
        <is>
          <t>Death Points</t>
        </is>
      </c>
      <c r="M14" s="206" t="inlineStr">
        <is>
          <t>KpDpR</t>
        </is>
      </c>
      <c r="N14" s="196" t="inlineStr">
        <is>
          <t>KPts/Kill</t>
        </is>
      </c>
      <c r="O14" s="206" t="inlineStr">
        <is>
          <t>DPts/Death</t>
        </is>
      </c>
      <c r="Q14" s="182" t="n"/>
      <c r="AG14" s="246" t="n"/>
    </row>
    <row r="15" ht="14.25" customHeight="1" s="175">
      <c r="A15" s="267" t="inlineStr">
        <is>
          <t>Sam</t>
        </is>
      </c>
      <c r="B15" s="268" t="n">
        <v>2</v>
      </c>
      <c r="C15" s="269" t="inlineStr">
        <is>
          <t>Peter</t>
        </is>
      </c>
      <c r="D15" s="192" t="inlineStr">
        <is>
          <t>https://media.discordapp.net/attachments/1212839710439776287/1280630187544936488/IMG_9753.jpg?ex=66d8c74d&amp;is=66d775cd&amp;hm=90d2b7948f8d2b7a17f0a4cad33d5d8a3d2975dfd6330d612e1605695cb691b2&amp;=&amp;format=webp&amp;width=657&amp;height=876</t>
        </is>
      </c>
      <c r="E15" s="173" t="n"/>
      <c r="F15" s="207" t="n"/>
      <c r="G15" s="208" t="inlineStr">
        <is>
          <t>Tenors</t>
        </is>
      </c>
      <c r="H15" s="241">
        <f>SUM(H3:H4)/COUNT(H3:H4)</f>
        <v/>
      </c>
      <c r="I15" s="241">
        <f>SUM(I3:I4)/COUNT(I3:I4)</f>
        <v/>
      </c>
      <c r="J15" s="242">
        <f>IF(I15,H15/I15,H15)</f>
        <v/>
      </c>
      <c r="K15" s="241">
        <f>SUM(K3:K4)/COUNT(K3:K4)</f>
        <v/>
      </c>
      <c r="L15" s="241">
        <f>SUM(L3:L4)/COUNT(L3:L4)</f>
        <v/>
      </c>
      <c r="M15" s="242">
        <f>IF(L15,K15/L15,K15)</f>
        <v/>
      </c>
      <c r="N15" s="243">
        <f>IF(H15,K15/H15,0)</f>
        <v/>
      </c>
      <c r="O15" s="244">
        <f>IF(I15,L15/I15,0)</f>
        <v/>
      </c>
      <c r="Q15" s="182" t="n"/>
      <c r="AG15" s="315" t="n"/>
    </row>
    <row r="16" ht="14.25" customHeight="1" s="175">
      <c r="A16" s="267" t="inlineStr">
        <is>
          <t>Sam</t>
        </is>
      </c>
      <c r="B16" s="268" t="n">
        <v>2</v>
      </c>
      <c r="C16" s="269" t="inlineStr">
        <is>
          <t>Tyler</t>
        </is>
      </c>
      <c r="D16" s="192" t="inlineStr">
        <is>
          <t>https://media.discordapp.net/attachments/1212839710439776287/1280630187544936488/IMG_9753.jpg?ex=66d8c74d&amp;is=66d775cd&amp;hm=90d2b7948f8d2b7a17f0a4cad33d5d8a3d2975dfd6330d612e1605695cb691b2&amp;=&amp;format=webp&amp;width=657&amp;height=876</t>
        </is>
      </c>
      <c r="E16" s="173" t="n"/>
      <c r="F16" s="207" t="n"/>
      <c r="G16" s="208" t="inlineStr">
        <is>
          <t>Leads</t>
        </is>
      </c>
      <c r="H16" s="241">
        <f>SUM(H5:H7)/COUNT(H5:H7)</f>
        <v/>
      </c>
      <c r="I16" s="241">
        <f>SUM(I5:I7)/COUNT(I5:I7)</f>
        <v/>
      </c>
      <c r="J16" s="242">
        <f>IF(I16,H16/I16,H16)</f>
        <v/>
      </c>
      <c r="K16" s="241">
        <f>SUM(K5:K7)/COUNT(K5:K7)</f>
        <v/>
      </c>
      <c r="L16" s="241">
        <f>SUM(L5:L7)/COUNT(L5:L7)</f>
        <v/>
      </c>
      <c r="M16" s="242">
        <f>IF(L16,K16/L16,K16)</f>
        <v/>
      </c>
      <c r="N16" s="243">
        <f>IF(H16,K16/H16,0)</f>
        <v/>
      </c>
      <c r="O16" s="244">
        <f>IF(I16,L16/I16,0)</f>
        <v/>
      </c>
      <c r="Q16" s="232" t="n"/>
      <c r="AG16" s="246" t="n"/>
      <c r="AK16" s="260" t="n"/>
    </row>
    <row r="17" ht="14.25" customHeight="1" s="175">
      <c r="A17" s="267" t="inlineStr">
        <is>
          <t>Peter</t>
        </is>
      </c>
      <c r="B17" s="268" t="n">
        <v>2</v>
      </c>
      <c r="C17" s="269" t="inlineStr">
        <is>
          <t>Tyler</t>
        </is>
      </c>
      <c r="D17" s="192" t="inlineStr">
        <is>
          <t>https://media.discordapp.net/attachments/1212839710439776287/1280630326091059260/PXL_20240903_204639273.jpg?ex=66d8c76e&amp;is=66d775ee&amp;hm=65a8ae2788e22f89af6a777799657322196b90324a1b781cc1c71abde196f3ef&amp;=&amp;format=webp&amp;width=492&amp;height=874</t>
        </is>
      </c>
      <c r="E17" s="173" t="n"/>
      <c r="F17" s="207" t="n"/>
      <c r="G17" s="208" t="inlineStr">
        <is>
          <t>Baris</t>
        </is>
      </c>
      <c r="H17" s="241">
        <f>SUM(H8:H9)/COUNT(H8:H9)</f>
        <v/>
      </c>
      <c r="I17" s="241">
        <f>SUM(I8:I9)/COUNT(I8:I9)</f>
        <v/>
      </c>
      <c r="J17" s="242">
        <f>IF(I17,H17/I17,H17)</f>
        <v/>
      </c>
      <c r="K17" s="241">
        <f>SUM(K8:K9)/COUNT(K8:K9)</f>
        <v/>
      </c>
      <c r="L17" s="241">
        <f>SUM(L8:L9)/COUNT(L8:L9)</f>
        <v/>
      </c>
      <c r="M17" s="242">
        <f>IF(L17,K17/L17,K17)</f>
        <v/>
      </c>
      <c r="N17" s="243">
        <f>IF(H17,K17/H17,0)</f>
        <v/>
      </c>
      <c r="O17" s="244">
        <f>IF(I17,L17/I17,0)</f>
        <v/>
      </c>
      <c r="R17" s="192" t="n"/>
      <c r="S17" s="245" t="n"/>
    </row>
    <row r="18" ht="14.25" customHeight="1" s="175">
      <c r="A18" s="267" t="inlineStr">
        <is>
          <t>Carter</t>
        </is>
      </c>
      <c r="B18" s="268" t="n">
        <v>1</v>
      </c>
      <c r="C18" s="269" t="inlineStr">
        <is>
          <t>David</t>
        </is>
      </c>
      <c r="D18" s="192" t="inlineStr">
        <is>
          <t>https://media.discordapp.net/attachments/1212839710439776287/1280904760328982630/image.jpg?ex=66d9c704&amp;is=66d87584&amp;hm=cba73453ebae8a9e51455943096591d0274c7f4f90193e0bbbc93150b6d3fe3b&amp;=&amp;format=webp&amp;width=657&amp;height=876</t>
        </is>
      </c>
      <c r="E18" s="173" t="n"/>
      <c r="F18" s="207" t="n"/>
      <c r="G18" s="208" t="inlineStr">
        <is>
          <t>Basses</t>
        </is>
      </c>
      <c r="H18" s="241">
        <f>SUM(H10:H12)/COUNT(H10:H12)</f>
        <v/>
      </c>
      <c r="I18" s="241">
        <f>SUM(I10:I12)/COUNT(I10:I12)</f>
        <v/>
      </c>
      <c r="J18" s="242">
        <f>IF(I18,H18/I18,H18)</f>
        <v/>
      </c>
      <c r="K18" s="241">
        <f>SUM(K10:K12)/COUNT(K10:K12)</f>
        <v/>
      </c>
      <c r="L18" s="241">
        <f>SUM(L10:L12)/COUNT(L10:L12)</f>
        <v/>
      </c>
      <c r="M18" s="242">
        <f>IF(L18,K18/L18,K18)</f>
        <v/>
      </c>
      <c r="N18" s="243">
        <f>IF(H18,K18/H18,0)</f>
        <v/>
      </c>
      <c r="O18" s="244">
        <f>IF(I18,L18/I18,0)</f>
        <v/>
      </c>
      <c r="S18" s="245" t="n"/>
      <c r="AF18" s="316" t="inlineStr">
        <is>
          <t>MATRIX</t>
        </is>
      </c>
      <c r="AG18" s="317" t="inlineStr">
        <is>
          <t>Kills</t>
        </is>
      </c>
      <c r="AH18" s="317" t="inlineStr">
        <is>
          <t>Deaths</t>
        </is>
      </c>
      <c r="AI18" s="317" t="inlineStr">
        <is>
          <t>KDR</t>
        </is>
      </c>
      <c r="AJ18" s="317" t="inlineStr">
        <is>
          <t>Kill Points</t>
        </is>
      </c>
      <c r="AK18" s="317" t="inlineStr">
        <is>
          <t>Death Points</t>
        </is>
      </c>
      <c r="AL18" s="317" t="inlineStr">
        <is>
          <t>KpDpR</t>
        </is>
      </c>
      <c r="AM18" s="317" t="inlineStr">
        <is>
          <t>KPts/Kill</t>
        </is>
      </c>
      <c r="AN18" s="317" t="inlineStr">
        <is>
          <t>DPts/Death</t>
        </is>
      </c>
      <c r="AO18" s="317" t="inlineStr">
        <is>
          <t>Full Sweep %</t>
        </is>
      </c>
      <c r="AP18" s="317" t="inlineStr">
        <is>
          <t>Involvement</t>
        </is>
      </c>
    </row>
    <row r="19" ht="14.25" customHeight="1" s="175">
      <c r="A19" s="267" t="inlineStr">
        <is>
          <t>David</t>
        </is>
      </c>
      <c r="B19" s="268" t="n">
        <v>1</v>
      </c>
      <c r="C19" s="269" t="inlineStr">
        <is>
          <t>Carter</t>
        </is>
      </c>
      <c r="D19" s="192" t="inlineStr">
        <is>
          <t>https://media.discordapp.net/attachments/1212839710439776287/1280904799382011994/IMG_0888.jpg?ex=66d9c70e&amp;is=66d8758e&amp;hm=af14c120eff3cd3fd3d7bcdedc4fb4dac0ebd45a4b5f26e2b96cc091f4bf7a46&amp;=&amp;format=webp&amp;width=657&amp;height=876</t>
        </is>
      </c>
      <c r="E19" s="173" t="n">
        <v>0</v>
      </c>
      <c r="F19" s="207" t="n"/>
      <c r="Q19" s="245" t="n"/>
      <c r="R19" s="289" t="inlineStr">
        <is>
          <t>Carter</t>
        </is>
      </c>
      <c r="S19" s="215" t="inlineStr">
        <is>
          <t>Total</t>
        </is>
      </c>
      <c r="T19" s="290" t="inlineStr">
        <is>
          <t>Yes</t>
        </is>
      </c>
      <c r="U19" s="291" t="inlineStr">
        <is>
          <t>No</t>
        </is>
      </c>
      <c r="V19" s="292" t="inlineStr">
        <is>
          <t>Ratio</t>
        </is>
      </c>
      <c r="AF19" s="318" t="inlineStr">
        <is>
          <t>Weight:</t>
        </is>
      </c>
      <c r="AG19" s="229" t="n">
        <v>7.5</v>
      </c>
      <c r="AH19" s="230" t="n">
        <v>-6</v>
      </c>
      <c r="AI19" s="230" t="n">
        <v>25</v>
      </c>
      <c r="AJ19" s="230" t="n">
        <v>8.5</v>
      </c>
      <c r="AK19" s="230" t="n">
        <v>-6.5</v>
      </c>
      <c r="AL19" s="230" t="n">
        <v>25</v>
      </c>
      <c r="AM19" s="230" t="n">
        <v>20</v>
      </c>
      <c r="AN19" s="230" t="n">
        <v>-20</v>
      </c>
      <c r="AO19" s="206" t="n">
        <v>100</v>
      </c>
      <c r="AP19" s="230" t="n">
        <v>4</v>
      </c>
      <c r="AQ19" s="220" t="inlineStr">
        <is>
          <t>Totals:</t>
        </is>
      </c>
      <c r="AR19" s="319" t="inlineStr">
        <is>
          <t>Award:</t>
        </is>
      </c>
    </row>
    <row r="20" ht="14.25" customHeight="1" s="175">
      <c r="A20" s="267" t="inlineStr">
        <is>
          <t>Sam</t>
        </is>
      </c>
      <c r="B20" s="268" t="n">
        <v>2</v>
      </c>
      <c r="C20" s="269" t="inlineStr">
        <is>
          <t>Grady</t>
        </is>
      </c>
      <c r="D20" s="192" t="inlineStr">
        <is>
          <t>https://media.discordapp.net/attachments/1212839710439776287/1280906666250076182/IMG_9755.jpg?ex=66d9c8cb&amp;is=66d8774b&amp;hm=e94195946302b35c2eaead8e00f8cb09510aea8175389518142a979a265556dd&amp;=&amp;format=webp&amp;width=657&amp;height=876</t>
        </is>
      </c>
      <c r="E20" s="173" t="n"/>
      <c r="F20" s="207" t="n"/>
      <c r="Q20" s="245" t="n"/>
      <c r="R20" s="221" t="inlineStr">
        <is>
          <t>Asriel Data:</t>
        </is>
      </c>
      <c r="S20" s="215">
        <f>COUNT(E:E)</f>
        <v/>
      </c>
      <c r="T20" s="290">
        <f>COUNTIF(E:E,1)</f>
        <v/>
      </c>
      <c r="U20" s="291">
        <f>S20-T20</f>
        <v/>
      </c>
      <c r="V20" s="293">
        <f>T20/S20</f>
        <v/>
      </c>
      <c r="AF20" s="318" t="inlineStr">
        <is>
          <t>Carter</t>
        </is>
      </c>
      <c r="AG20" s="210">
        <f>H3*$AG$19</f>
        <v/>
      </c>
      <c r="AH20" s="210">
        <f>I3*$AH$19</f>
        <v/>
      </c>
      <c r="AI20" s="210">
        <f>J3*$AI$19</f>
        <v/>
      </c>
      <c r="AJ20" s="210">
        <f>K3*$AJ$19</f>
        <v/>
      </c>
      <c r="AK20" s="210">
        <f>L3*$AK$19</f>
        <v/>
      </c>
      <c r="AL20" s="210">
        <f>M3*$AL$19</f>
        <v/>
      </c>
      <c r="AM20" s="210">
        <f>N3*$AM$19</f>
        <v/>
      </c>
      <c r="AN20" s="210">
        <f>O3*$AN$19</f>
        <v/>
      </c>
      <c r="AO20" s="320">
        <f>P3*100</f>
        <v/>
      </c>
      <c r="AP20" s="210">
        <f>SUM(H3:I3)*$AP$19</f>
        <v/>
      </c>
      <c r="AQ20" s="251">
        <f>SUM(AG20:AP20)</f>
        <v/>
      </c>
      <c r="AR20" s="319" t="n"/>
    </row>
    <row r="21" ht="14.25" customHeight="1" s="175">
      <c r="A21" s="267" t="inlineStr">
        <is>
          <t>Maxine</t>
        </is>
      </c>
      <c r="B21" s="268" t="n">
        <v>2</v>
      </c>
      <c r="C21" s="269" t="inlineStr">
        <is>
          <t>Jon</t>
        </is>
      </c>
      <c r="D21" s="192" t="inlineStr">
        <is>
          <t>https://media.discordapp.net/attachments/1212839710439776287/1280916301723865118/IMG_0024.jpg?ex=66d9d1c4&amp;is=66d88044&amp;hm=b75ac0c4a302721e8e3a8ce2eda33b33fc7232283ce9ff9b0fd16a87dd2159c9&amp;=&amp;format=webp&amp;width=657&amp;height=876</t>
        </is>
      </c>
      <c r="E21" s="173" t="n"/>
      <c r="F21" s="207" t="n"/>
      <c r="J21" s="246" t="n"/>
      <c r="K21" s="246" t="n"/>
      <c r="L21" s="246" t="n"/>
      <c r="M21" s="260" t="n"/>
      <c r="N21" s="260" t="n"/>
      <c r="O21" s="260" t="n"/>
      <c r="P21" s="260" t="n"/>
      <c r="Q21" s="182" t="n"/>
      <c r="AF21" s="318" t="inlineStr">
        <is>
          <t>Grady</t>
        </is>
      </c>
      <c r="AG21" s="210">
        <f>H4*$AG$19</f>
        <v/>
      </c>
      <c r="AH21" s="210">
        <f>I4*$AH$19</f>
        <v/>
      </c>
      <c r="AI21" s="210">
        <f>J4*$AI$19</f>
        <v/>
      </c>
      <c r="AJ21" s="210">
        <f>K4*$AJ$19</f>
        <v/>
      </c>
      <c r="AK21" s="210">
        <f>L4*$AK$19</f>
        <v/>
      </c>
      <c r="AL21" s="210">
        <f>M4*$AL$19</f>
        <v/>
      </c>
      <c r="AM21" s="210">
        <f>N4*$AM$19</f>
        <v/>
      </c>
      <c r="AN21" s="210">
        <f>O4*$AN$19</f>
        <v/>
      </c>
      <c r="AO21" s="320">
        <f>P4*100</f>
        <v/>
      </c>
      <c r="AP21" s="210">
        <f>SUM(H4:I4)*$AP$19</f>
        <v/>
      </c>
      <c r="AQ21" s="251">
        <f>SUM(AG21:AP21)</f>
        <v/>
      </c>
      <c r="AR21" s="319" t="n"/>
    </row>
    <row r="22" ht="14.25" customHeight="1" s="175">
      <c r="A22" s="267" t="inlineStr">
        <is>
          <t>Maxine</t>
        </is>
      </c>
      <c r="B22" s="268" t="n">
        <v>2</v>
      </c>
      <c r="C22" s="269" t="inlineStr">
        <is>
          <t>Peter</t>
        </is>
      </c>
      <c r="D22" s="192" t="inlineStr">
        <is>
          <t>https://media.discordapp.net/attachments/1212839710439776287/1280949676497174639/IMG_0029.jpg?ex=66d9f0d9&amp;is=66d89f59&amp;hm=9536c6c2071867f78706d4a44cc19e60cbbe0145ca9d73d99bad928264e9fbd8&amp;=&amp;format=webp&amp;width=657&amp;height=876</t>
        </is>
      </c>
      <c r="E22" s="173" t="n"/>
      <c r="F22" s="192" t="n"/>
      <c r="G22" s="318" t="inlineStr">
        <is>
          <t>Person:</t>
        </is>
      </c>
      <c r="H22" s="216" t="inlineStr">
        <is>
          <t>Kills</t>
        </is>
      </c>
      <c r="J22" s="246" t="n"/>
      <c r="K22" s="246" t="n"/>
      <c r="L22" s="246" t="n"/>
      <c r="M22" s="260" t="n"/>
      <c r="N22" s="260" t="n"/>
      <c r="O22" s="260" t="n"/>
      <c r="Q22" s="318" t="inlineStr">
        <is>
          <t>Person:</t>
        </is>
      </c>
      <c r="R22" s="216" t="inlineStr">
        <is>
          <t>Kill Points</t>
        </is>
      </c>
      <c r="AF22" s="318" t="inlineStr">
        <is>
          <t>Cooper</t>
        </is>
      </c>
      <c r="AG22" s="210">
        <f>H5*$AG$19</f>
        <v/>
      </c>
      <c r="AH22" s="210">
        <f>I5*$AH$19</f>
        <v/>
      </c>
      <c r="AI22" s="210">
        <f>J5*$AI$19</f>
        <v/>
      </c>
      <c r="AJ22" s="210">
        <f>K5*$AJ$19</f>
        <v/>
      </c>
      <c r="AK22" s="210">
        <f>L5*$AK$19</f>
        <v/>
      </c>
      <c r="AL22" s="210">
        <f>M5*$AL$19</f>
        <v/>
      </c>
      <c r="AM22" s="210">
        <f>N5*$AM$19</f>
        <v/>
      </c>
      <c r="AN22" s="210">
        <f>O5*$AN$19</f>
        <v/>
      </c>
      <c r="AO22" s="320">
        <f>P5*100</f>
        <v/>
      </c>
      <c r="AP22" s="210">
        <f>SUM(H5:I5)*$AP$19</f>
        <v/>
      </c>
      <c r="AQ22" s="251">
        <f>SUM(AG22:AP22)</f>
        <v/>
      </c>
      <c r="AR22" s="319" t="n"/>
    </row>
    <row r="23" ht="14.25" customHeight="1" s="175">
      <c r="A23" s="267" t="inlineStr">
        <is>
          <t>Maxine</t>
        </is>
      </c>
      <c r="B23" s="268" t="n">
        <v>2</v>
      </c>
      <c r="C23" s="269" t="inlineStr">
        <is>
          <t>Erick</t>
        </is>
      </c>
      <c r="D23" s="192" t="inlineStr">
        <is>
          <t>https://media.discordapp.net/attachments/1212839710439776287/1280949677205880893/IMG_0031.jpg?ex=66d9f0d9&amp;is=66d89f59&amp;hm=95c63ae3123fbba409cf3f1b3a39e042671a7883f86273b1d968360625784a42&amp;=&amp;format=webp&amp;width=657&amp;height=876</t>
        </is>
      </c>
      <c r="E23" s="173" t="n"/>
      <c r="F23" s="207" t="n"/>
      <c r="G23" s="318" t="inlineStr">
        <is>
          <t>David</t>
        </is>
      </c>
      <c r="H23" s="321">
        <f>$H$7</f>
        <v/>
      </c>
      <c r="J23" s="246" t="n"/>
      <c r="K23" s="246" t="n"/>
      <c r="L23" s="246" t="n"/>
      <c r="M23" s="260" t="n"/>
      <c r="N23" s="260" t="n"/>
      <c r="O23" s="260" t="n"/>
      <c r="Q23" s="318" t="inlineStr">
        <is>
          <t>Sam</t>
        </is>
      </c>
      <c r="R23" s="290">
        <f>$K$9</f>
        <v/>
      </c>
      <c r="AF23" s="318" t="inlineStr">
        <is>
          <t>Maxine</t>
        </is>
      </c>
      <c r="AG23" s="210">
        <f>H6*$AG$19</f>
        <v/>
      </c>
      <c r="AH23" s="210">
        <f>I6*$AH$19</f>
        <v/>
      </c>
      <c r="AI23" s="210">
        <f>J6*$AI$19</f>
        <v/>
      </c>
      <c r="AJ23" s="210">
        <f>K6*$AJ$19</f>
        <v/>
      </c>
      <c r="AK23" s="210">
        <f>L6*$AK$19</f>
        <v/>
      </c>
      <c r="AL23" s="210">
        <f>M6*$AL$19</f>
        <v/>
      </c>
      <c r="AM23" s="210">
        <f>N6*$AM$19</f>
        <v/>
      </c>
      <c r="AN23" s="210">
        <f>O6*$AN$19</f>
        <v/>
      </c>
      <c r="AO23" s="320">
        <f>P6*100</f>
        <v/>
      </c>
      <c r="AP23" s="210">
        <f>SUM(H6:I6)*$AP$19</f>
        <v/>
      </c>
      <c r="AQ23" s="251">
        <f>SUM(AG23:AP23)</f>
        <v/>
      </c>
      <c r="AR23" s="319" t="n"/>
    </row>
    <row r="24" ht="14.25" customHeight="1" s="175">
      <c r="A24" s="267" t="inlineStr">
        <is>
          <t>Carter</t>
        </is>
      </c>
      <c r="B24" s="268" t="n">
        <v>2</v>
      </c>
      <c r="C24" s="269" t="inlineStr">
        <is>
          <t>David</t>
        </is>
      </c>
      <c r="D24" s="192" t="inlineStr">
        <is>
          <t>https://media.discordapp.net/attachments/1212839710439776287/1281017660481601622/6011E0D7-56D7-4C16-996D-1C335FB7A821.jpg?ex=66e01eea&amp;is=66decd6a&amp;hm=498f8d5c3c9633d3e8adefdae6800e3e2d5dff02d55f615022603c1567f25c98&amp;=&amp;format=webp&amp;width=657&amp;height=876</t>
        </is>
      </c>
      <c r="E24" s="173" t="n"/>
      <c r="F24" s="192" t="n"/>
      <c r="G24" s="318" t="inlineStr">
        <is>
          <t>Sam</t>
        </is>
      </c>
      <c r="H24" s="321">
        <f>$H$9</f>
        <v/>
      </c>
      <c r="J24" s="246" t="n"/>
      <c r="K24" s="246" t="n"/>
      <c r="L24" s="246" t="n"/>
      <c r="M24" s="260" t="n"/>
      <c r="N24" s="260" t="n"/>
      <c r="O24" s="260" t="n"/>
      <c r="Q24" s="318" t="inlineStr">
        <is>
          <t>David</t>
        </is>
      </c>
      <c r="R24" s="290">
        <f>$K$7</f>
        <v/>
      </c>
      <c r="T24" s="246" t="n"/>
      <c r="U24" s="246" t="n"/>
      <c r="V24" s="246" t="n"/>
      <c r="W24" s="246" t="n"/>
      <c r="X24" s="246" t="n"/>
      <c r="Y24" s="246" t="n"/>
      <c r="Z24" s="246" t="n"/>
      <c r="AA24" s="246" t="n"/>
      <c r="AB24" s="246" t="n"/>
      <c r="AC24" s="246" t="n"/>
      <c r="AD24" s="246" t="n"/>
      <c r="AF24" s="318" t="inlineStr">
        <is>
          <t>David</t>
        </is>
      </c>
      <c r="AG24" s="210">
        <f>H7*$AG$19</f>
        <v/>
      </c>
      <c r="AH24" s="210">
        <f>I7*$AH$19</f>
        <v/>
      </c>
      <c r="AI24" s="210">
        <f>J7*$AI$19</f>
        <v/>
      </c>
      <c r="AJ24" s="210">
        <f>K7*$AJ$19</f>
        <v/>
      </c>
      <c r="AK24" s="210">
        <f>L7*$AK$19</f>
        <v/>
      </c>
      <c r="AL24" s="210">
        <f>M7*$AL$19</f>
        <v/>
      </c>
      <c r="AM24" s="210">
        <f>N7*$AM$19</f>
        <v/>
      </c>
      <c r="AN24" s="210">
        <f>O7*$AN$19</f>
        <v/>
      </c>
      <c r="AO24" s="320">
        <f>P7*100</f>
        <v/>
      </c>
      <c r="AP24" s="210">
        <f>SUM(H7:I7)*$AP$19</f>
        <v/>
      </c>
      <c r="AQ24" s="251">
        <f>SUM(AG24:AP24)</f>
        <v/>
      </c>
      <c r="AR24" s="319" t="n"/>
    </row>
    <row r="25" ht="14.25" customHeight="1" s="175">
      <c r="A25" s="267" t="inlineStr">
        <is>
          <t>Sam</t>
        </is>
      </c>
      <c r="B25" s="268" t="n">
        <v>2</v>
      </c>
      <c r="C25" s="269" t="inlineStr">
        <is>
          <t>Jon</t>
        </is>
      </c>
      <c r="D25" s="192" t="inlineStr">
        <is>
          <t>https://media.discordapp.net/attachments/1212839710439776287/1281021962260451339/IMG_9758.jpg?ex=66e022ec&amp;is=66ded16c&amp;hm=83a7b63cf6146f6c88438bf3ac2642b7b5f29a7e5c3fbb847082bb49173c4728&amp;=&amp;format=webp&amp;width=657&amp;height=876</t>
        </is>
      </c>
      <c r="E25" s="173" t="n"/>
      <c r="F25" s="207" t="n"/>
      <c r="G25" s="318" t="inlineStr">
        <is>
          <t>Carter</t>
        </is>
      </c>
      <c r="H25" s="321">
        <f>$H$3</f>
        <v/>
      </c>
      <c r="J25" s="246" t="n"/>
      <c r="K25" s="246" t="n"/>
      <c r="L25" s="246" t="n"/>
      <c r="M25" s="260" t="n"/>
      <c r="N25" s="260" t="n"/>
      <c r="O25" s="260" t="n"/>
      <c r="Q25" s="318" t="inlineStr">
        <is>
          <t>Carter</t>
        </is>
      </c>
      <c r="R25" s="290">
        <f>$K$3</f>
        <v/>
      </c>
      <c r="T25" s="246" t="n"/>
      <c r="U25" s="246" t="n"/>
      <c r="V25" s="246" t="n"/>
      <c r="W25" s="246" t="n"/>
      <c r="X25" s="246" t="n"/>
      <c r="Y25" s="246" t="n"/>
      <c r="Z25" s="246" t="n"/>
      <c r="AA25" s="246" t="n"/>
      <c r="AB25" s="246" t="n"/>
      <c r="AC25" s="246" t="n"/>
      <c r="AD25" s="246" t="n"/>
      <c r="AF25" s="318" t="inlineStr">
        <is>
          <t>Tyler</t>
        </is>
      </c>
      <c r="AG25" s="210">
        <f>H8*$AG$19</f>
        <v/>
      </c>
      <c r="AH25" s="210">
        <f>I8*$AH$19</f>
        <v/>
      </c>
      <c r="AI25" s="210">
        <f>J8*$AI$19</f>
        <v/>
      </c>
      <c r="AJ25" s="210">
        <f>K8*$AJ$19</f>
        <v/>
      </c>
      <c r="AK25" s="210">
        <f>L8*$AK$19</f>
        <v/>
      </c>
      <c r="AL25" s="210">
        <f>M8*$AL$19</f>
        <v/>
      </c>
      <c r="AM25" s="210">
        <f>N8*$AM$19</f>
        <v/>
      </c>
      <c r="AN25" s="210">
        <f>O8*$AN$19</f>
        <v/>
      </c>
      <c r="AO25" s="320">
        <f>P8*100</f>
        <v/>
      </c>
      <c r="AP25" s="210">
        <f>SUM(H8:I8)*$AP$19</f>
        <v/>
      </c>
      <c r="AQ25" s="251">
        <f>SUM(AG25:AP25)</f>
        <v/>
      </c>
      <c r="AR25" s="319" t="n"/>
    </row>
    <row r="26" ht="14.25" customHeight="1" s="175">
      <c r="A26" s="267" t="inlineStr">
        <is>
          <t>Sam</t>
        </is>
      </c>
      <c r="B26" s="268" t="n">
        <v>2</v>
      </c>
      <c r="C26" s="269" t="inlineStr">
        <is>
          <t>Jon</t>
        </is>
      </c>
      <c r="D26" s="192" t="inlineStr">
        <is>
          <t>https://media.discordapp.net/attachments/1212839710439776287/1281273353717551214/IMG_9761.jpg?ex=66e0644c&amp;is=66df12cc&amp;hm=3810ed2172daec7b4e2c440c4a5aa966b61380497260b406c63c1a10f29f3e67&amp;=&amp;format=webp&amp;width=657&amp;height=876</t>
        </is>
      </c>
      <c r="E26" s="173" t="n"/>
      <c r="F26" s="207" t="n"/>
      <c r="G26" s="318" t="inlineStr">
        <is>
          <t>Maxine</t>
        </is>
      </c>
      <c r="H26" s="321">
        <f>$H$6</f>
        <v/>
      </c>
      <c r="J26" s="246" t="n"/>
      <c r="K26" s="246" t="n"/>
      <c r="L26" s="246" t="n"/>
      <c r="M26" s="260" t="n"/>
      <c r="N26" s="260" t="n"/>
      <c r="O26" s="260" t="n"/>
      <c r="Q26" s="318" t="inlineStr">
        <is>
          <t>Peter</t>
        </is>
      </c>
      <c r="R26" s="290">
        <f>$K$11</f>
        <v/>
      </c>
      <c r="T26" s="246" t="n"/>
      <c r="U26" s="246" t="n"/>
      <c r="V26" s="246" t="n"/>
      <c r="W26" s="246" t="n"/>
      <c r="X26" s="246" t="n"/>
      <c r="Y26" s="246" t="n"/>
      <c r="Z26" s="246" t="n"/>
      <c r="AA26" s="246" t="n"/>
      <c r="AB26" s="246" t="n"/>
      <c r="AC26" s="246" t="n"/>
      <c r="AD26" s="246" t="n"/>
      <c r="AF26" s="318" t="inlineStr">
        <is>
          <t>Sam</t>
        </is>
      </c>
      <c r="AG26" s="210">
        <f>H9*$AG$19</f>
        <v/>
      </c>
      <c r="AH26" s="210">
        <f>I9*$AH$19</f>
        <v/>
      </c>
      <c r="AI26" s="210">
        <f>J9*$AI$19</f>
        <v/>
      </c>
      <c r="AJ26" s="210">
        <f>K9*$AJ$19</f>
        <v/>
      </c>
      <c r="AK26" s="210">
        <f>L9*$AK$19</f>
        <v/>
      </c>
      <c r="AL26" s="210">
        <f>M9*$AL$19</f>
        <v/>
      </c>
      <c r="AM26" s="210">
        <f>N9*$AM$19</f>
        <v/>
      </c>
      <c r="AN26" s="210">
        <f>O9*$AN$19</f>
        <v/>
      </c>
      <c r="AO26" s="320">
        <f>P9*100</f>
        <v/>
      </c>
      <c r="AP26" s="210">
        <f>SUM(H9:I9)*$AP$19</f>
        <v/>
      </c>
      <c r="AQ26" s="251">
        <f>SUM(AG26:AP26)</f>
        <v/>
      </c>
      <c r="AR26" s="319" t="n"/>
    </row>
    <row r="27" ht="14.25" customHeight="1" s="175">
      <c r="A27" s="267" t="inlineStr">
        <is>
          <t>Peter</t>
        </is>
      </c>
      <c r="B27" s="268" t="n">
        <v>2</v>
      </c>
      <c r="C27" s="269" t="inlineStr">
        <is>
          <t>Carter</t>
        </is>
      </c>
      <c r="D27" s="192" t="inlineStr">
        <is>
          <t>https://media.discordapp.net/attachments/1212839710439776287/1281288238845399141/PXL_20240905_162109539.jpg?ex=66e07229&amp;is=66df20a9&amp;hm=8470c5ab0bb304c517e2106c13f83ce51bdb512f8ab42580251b97e9160ab88d&amp;=&amp;format=webp&amp;width=492&amp;height=874</t>
        </is>
      </c>
      <c r="E27" s="173" t="n">
        <v>1</v>
      </c>
      <c r="F27" s="192" t="n"/>
      <c r="G27" s="318" t="inlineStr">
        <is>
          <t>Peter</t>
        </is>
      </c>
      <c r="H27" s="321">
        <f>$H$11</f>
        <v/>
      </c>
      <c r="J27" s="246" t="n"/>
      <c r="K27" s="246" t="n"/>
      <c r="L27" s="246" t="n"/>
      <c r="M27" s="260" t="n"/>
      <c r="N27" s="260" t="n"/>
      <c r="O27" s="260" t="n"/>
      <c r="Q27" s="318" t="inlineStr">
        <is>
          <t>Maxine</t>
        </is>
      </c>
      <c r="R27" s="290">
        <f>$K$6</f>
        <v/>
      </c>
      <c r="T27" s="246" t="n"/>
      <c r="U27" s="246" t="n"/>
      <c r="V27" s="246" t="n"/>
      <c r="W27" s="246" t="n"/>
      <c r="X27" s="246" t="n"/>
      <c r="Y27" s="246" t="n"/>
      <c r="Z27" s="246" t="n"/>
      <c r="AA27" s="246" t="n"/>
      <c r="AB27" s="246" t="n"/>
      <c r="AC27" s="246" t="n"/>
      <c r="AD27" s="246" t="n"/>
      <c r="AF27" s="318" t="inlineStr">
        <is>
          <t>Erick</t>
        </is>
      </c>
      <c r="AG27" s="210">
        <f>H10*$AG$19</f>
        <v/>
      </c>
      <c r="AH27" s="210">
        <f>I10*$AH$19</f>
        <v/>
      </c>
      <c r="AI27" s="210">
        <f>J10*$AI$19</f>
        <v/>
      </c>
      <c r="AJ27" s="210">
        <f>K10*$AJ$19</f>
        <v/>
      </c>
      <c r="AK27" s="210">
        <f>L10*$AK$19</f>
        <v/>
      </c>
      <c r="AL27" s="210">
        <f>M10*$AL$19</f>
        <v/>
      </c>
      <c r="AM27" s="210">
        <f>N10*$AM$19</f>
        <v/>
      </c>
      <c r="AN27" s="210">
        <f>O10*$AN$19</f>
        <v/>
      </c>
      <c r="AO27" s="320">
        <f>P10*100</f>
        <v/>
      </c>
      <c r="AP27" s="210">
        <f>SUM(H10:I10)*$AP$19</f>
        <v/>
      </c>
      <c r="AQ27" s="251">
        <f>SUM(AG27:AP27)</f>
        <v/>
      </c>
      <c r="AR27" s="319" t="n"/>
    </row>
    <row r="28" ht="14.25" customHeight="1" s="175">
      <c r="A28" s="267" t="inlineStr">
        <is>
          <t>Erick</t>
        </is>
      </c>
      <c r="B28" s="268" t="n">
        <v>2</v>
      </c>
      <c r="C28" s="269" t="inlineStr">
        <is>
          <t>Cooper</t>
        </is>
      </c>
      <c r="D28" s="192" t="inlineStr">
        <is>
          <t>https://media.discordapp.net/attachments/1212839710439776287/1282083076163240027/IMG_6245.jpg?ex=66e00aa9&amp;is=66deb929&amp;hm=d42a28dacaac4c05bf07b794186f748d300585ac2c95495f0911166ab4d84212&amp;=&amp;format=webp&amp;width=657&amp;height=876</t>
        </is>
      </c>
      <c r="E28" s="173" t="n"/>
      <c r="F28" s="207" t="n"/>
      <c r="G28" s="318" t="inlineStr">
        <is>
          <t>Erick</t>
        </is>
      </c>
      <c r="H28" s="321">
        <f>$H$10</f>
        <v/>
      </c>
      <c r="J28" s="246" t="n"/>
      <c r="K28" s="246" t="n"/>
      <c r="L28" s="246" t="n"/>
      <c r="M28" s="260" t="n"/>
      <c r="N28" s="260" t="n"/>
      <c r="O28" s="260" t="n"/>
      <c r="Q28" s="318" t="inlineStr">
        <is>
          <t>Erick</t>
        </is>
      </c>
      <c r="R28" s="290">
        <f>$K$10</f>
        <v/>
      </c>
      <c r="T28" s="246" t="n"/>
      <c r="U28" s="246" t="n"/>
      <c r="V28" s="246" t="n"/>
      <c r="W28" s="246" t="n"/>
      <c r="X28" s="246" t="n"/>
      <c r="Y28" s="246" t="n"/>
      <c r="Z28" s="246" t="n"/>
      <c r="AA28" s="246" t="n"/>
      <c r="AB28" s="246" t="n"/>
      <c r="AC28" s="246" t="n"/>
      <c r="AD28" s="246" t="n"/>
      <c r="AF28" s="318" t="inlineStr">
        <is>
          <t>Peter</t>
        </is>
      </c>
      <c r="AG28" s="210">
        <f>H11*$AG$19</f>
        <v/>
      </c>
      <c r="AH28" s="210">
        <f>I11*$AH$19</f>
        <v/>
      </c>
      <c r="AI28" s="210">
        <f>J11*$AI$19</f>
        <v/>
      </c>
      <c r="AJ28" s="210">
        <f>K11*$AJ$19</f>
        <v/>
      </c>
      <c r="AK28" s="210">
        <f>L11*$AK$19</f>
        <v/>
      </c>
      <c r="AL28" s="210">
        <f>M11*$AL$19</f>
        <v/>
      </c>
      <c r="AM28" s="210">
        <f>N11*$AM$19</f>
        <v/>
      </c>
      <c r="AN28" s="210">
        <f>O11*$AN$19</f>
        <v/>
      </c>
      <c r="AO28" s="320">
        <f>P11*100</f>
        <v/>
      </c>
      <c r="AP28" s="210">
        <f>SUM(H11:I11)*$AP$19</f>
        <v/>
      </c>
      <c r="AQ28" s="251">
        <f>SUM(AG28:AP28)</f>
        <v/>
      </c>
      <c r="AR28" s="319" t="n"/>
    </row>
    <row r="29" ht="14.25" customHeight="1" s="175">
      <c r="A29" s="267" t="inlineStr">
        <is>
          <t>Peter</t>
        </is>
      </c>
      <c r="B29" s="268" t="n">
        <v>2</v>
      </c>
      <c r="C29" s="269" t="inlineStr">
        <is>
          <t>Sam</t>
        </is>
      </c>
      <c r="D29" s="192" t="inlineStr">
        <is>
          <t>https://media.discordapp.net/attachments/1212839710439776287/1282720914332582031/PXL_20240909_1513352522.jpg?ex=66e06271&amp;is=66df10f1&amp;hm=b2cdb44f4395a96d4ec22a541140c9ce28dcff9e81adca04046511c7b9ee6b36&amp;=&amp;format=webp&amp;width=492&amp;height=874</t>
        </is>
      </c>
      <c r="E29" s="173" t="n"/>
      <c r="F29" s="192" t="n"/>
      <c r="G29" s="318" t="inlineStr">
        <is>
          <t>Jon</t>
        </is>
      </c>
      <c r="H29" s="321">
        <f>$H$12</f>
        <v/>
      </c>
      <c r="J29" s="246" t="n"/>
      <c r="K29" s="246" t="n"/>
      <c r="L29" s="246" t="n"/>
      <c r="M29" s="260" t="n"/>
      <c r="N29" s="260" t="n"/>
      <c r="O29" s="260" t="n"/>
      <c r="Q29" s="318" t="inlineStr">
        <is>
          <t>Jon</t>
        </is>
      </c>
      <c r="R29" s="290">
        <f>$K$12</f>
        <v/>
      </c>
      <c r="T29" s="246" t="n"/>
      <c r="U29" s="246" t="n"/>
      <c r="V29" s="246" t="n"/>
      <c r="W29" s="246" t="n"/>
      <c r="X29" s="246" t="n"/>
      <c r="Y29" s="246" t="n"/>
      <c r="Z29" s="246" t="n"/>
      <c r="AA29" s="246" t="n"/>
      <c r="AB29" s="246" t="n"/>
      <c r="AC29" s="246" t="n"/>
      <c r="AD29" s="246" t="n"/>
      <c r="AF29" s="318" t="inlineStr">
        <is>
          <t>Jon</t>
        </is>
      </c>
      <c r="AG29" s="210">
        <f>H12*$AG$19</f>
        <v/>
      </c>
      <c r="AH29" s="210">
        <f>I12*$AH$19</f>
        <v/>
      </c>
      <c r="AI29" s="210">
        <f>J12*$AI$19</f>
        <v/>
      </c>
      <c r="AJ29" s="210">
        <f>K12*$AJ$19</f>
        <v/>
      </c>
      <c r="AK29" s="210">
        <f>L12*$AK$19</f>
        <v/>
      </c>
      <c r="AL29" s="210">
        <f>M12*$AL$19</f>
        <v/>
      </c>
      <c r="AM29" s="210">
        <f>N12*$AM$19</f>
        <v/>
      </c>
      <c r="AN29" s="210">
        <f>O12*$AN$19</f>
        <v/>
      </c>
      <c r="AO29" s="320">
        <f>P12*100</f>
        <v/>
      </c>
      <c r="AP29" s="210">
        <f>SUM(H12:I12)*$AP$19</f>
        <v/>
      </c>
      <c r="AQ29" s="251">
        <f>SUM(AG29:AP29)</f>
        <v/>
      </c>
      <c r="AR29" s="319" t="n"/>
    </row>
    <row r="30" ht="14.25" customHeight="1" s="175">
      <c r="A30" s="267" t="inlineStr">
        <is>
          <t>Sam</t>
        </is>
      </c>
      <c r="B30" s="268" t="n">
        <v>2</v>
      </c>
      <c r="C30" s="269" t="inlineStr">
        <is>
          <t>Grady</t>
        </is>
      </c>
      <c r="D30" s="192" t="inlineStr">
        <is>
          <t>https://media.discordapp.net/attachments/1212839710439776287/1282745595345240207/IMG_9781.jpg?ex=66e0796e&amp;is=66df27ee&amp;hm=da964e0128b0e77eb97a447f18ab5f856ca93640a489e27eb8e73a35362471b4&amp;=&amp;format=webp&amp;width=657&amp;height=876</t>
        </is>
      </c>
      <c r="E30" s="173" t="n"/>
      <c r="F30" s="207" t="n"/>
      <c r="G30" s="318" t="inlineStr">
        <is>
          <t>Grady</t>
        </is>
      </c>
      <c r="H30" s="321">
        <f>$H$4</f>
        <v/>
      </c>
      <c r="J30" s="246" t="n"/>
      <c r="K30" s="246" t="n"/>
      <c r="L30" s="246" t="n"/>
      <c r="M30" s="260" t="n"/>
      <c r="N30" s="260" t="n"/>
      <c r="O30" s="260" t="n"/>
      <c r="Q30" s="318" t="inlineStr">
        <is>
          <t>Grady</t>
        </is>
      </c>
      <c r="R30" s="290">
        <f>$K$4</f>
        <v/>
      </c>
      <c r="T30" s="246" t="n"/>
      <c r="U30" s="246" t="n"/>
      <c r="V30" s="246" t="n"/>
      <c r="W30" s="246" t="n"/>
      <c r="X30" s="246" t="n"/>
      <c r="Y30" s="246" t="n"/>
      <c r="Z30" s="246" t="n"/>
      <c r="AA30" s="246" t="n"/>
      <c r="AB30" s="246" t="n"/>
      <c r="AC30" s="246" t="n"/>
      <c r="AD30" s="246" t="n"/>
    </row>
    <row r="31" ht="14.25" customHeight="1" s="175">
      <c r="A31" s="267" t="inlineStr">
        <is>
          <t>Carter</t>
        </is>
      </c>
      <c r="B31" s="268" t="n">
        <v>1</v>
      </c>
      <c r="C31" s="269" t="inlineStr">
        <is>
          <t>David</t>
        </is>
      </c>
      <c r="D31" s="192" t="inlineStr">
        <is>
          <t>https://media.discordapp.net/attachments/1212839710439776287/1282747756225630288/image.jpg?ex=66e07b71&amp;is=66df29f1&amp;hm=a0f96c6e96335b4f9dd4ef4c06a359f8d87ecf605692ec41487652c6c43b02f3&amp;=&amp;format=webp&amp;width=657&amp;height=876</t>
        </is>
      </c>
      <c r="E31" s="173" t="n"/>
      <c r="F31" s="207" t="n"/>
      <c r="G31" s="318" t="inlineStr">
        <is>
          <t>Cooper</t>
        </is>
      </c>
      <c r="H31" s="321">
        <f>$H$5</f>
        <v/>
      </c>
      <c r="J31" s="246" t="n"/>
      <c r="K31" s="246" t="n"/>
      <c r="L31" s="246" t="n"/>
      <c r="M31" s="260" t="n"/>
      <c r="N31" s="260" t="n"/>
      <c r="O31" s="260" t="n"/>
      <c r="Q31" s="318" t="inlineStr">
        <is>
          <t>Tyler</t>
        </is>
      </c>
      <c r="R31" s="290">
        <f>$K$8</f>
        <v/>
      </c>
      <c r="T31" s="246" t="n"/>
      <c r="U31" s="246" t="n"/>
      <c r="V31" s="246" t="n"/>
      <c r="W31" s="246" t="n"/>
      <c r="X31" s="246" t="n"/>
      <c r="Y31" s="246" t="n"/>
      <c r="Z31" s="246" t="n"/>
      <c r="AA31" s="246" t="n"/>
      <c r="AB31" s="246" t="n"/>
      <c r="AC31" s="246" t="n"/>
    </row>
    <row r="32" ht="14.25" customHeight="1" s="175">
      <c r="A32" s="267" t="inlineStr">
        <is>
          <t>David</t>
        </is>
      </c>
      <c r="B32" s="268" t="n">
        <v>1</v>
      </c>
      <c r="C32" s="269" t="inlineStr">
        <is>
          <t>Carter</t>
        </is>
      </c>
      <c r="D32" s="192" t="inlineStr">
        <is>
          <t>https://media.discordapp.net/attachments/1212839710439776287/1282747813091872940/IMG_0906.jpg?ex=66e07b7e&amp;is=66df29fe&amp;hm=737ee5eb3d8d7b01f28adbf80d3b8a9df356ff9434cc8946f46a379b12b2d942&amp;=&amp;format=webp&amp;width=657&amp;height=876</t>
        </is>
      </c>
      <c r="E32" s="173" t="n">
        <v>1</v>
      </c>
      <c r="F32" s="207" t="n"/>
      <c r="G32" s="318" t="inlineStr">
        <is>
          <t>Tyler</t>
        </is>
      </c>
      <c r="H32" s="321">
        <f>$H$8</f>
        <v/>
      </c>
      <c r="J32" s="246" t="n"/>
      <c r="K32" s="246" t="n"/>
      <c r="L32" s="246" t="n"/>
      <c r="M32" s="260" t="n"/>
      <c r="N32" s="260" t="n"/>
      <c r="O32" s="260" t="n"/>
      <c r="Q32" s="318" t="inlineStr">
        <is>
          <t>Cooper</t>
        </is>
      </c>
      <c r="R32" s="290">
        <f>$K$5</f>
        <v/>
      </c>
      <c r="T32" s="246" t="n"/>
      <c r="U32" s="246" t="n"/>
      <c r="V32" s="246" t="n"/>
      <c r="W32" s="246" t="n"/>
      <c r="X32" s="246" t="n"/>
      <c r="Y32" s="246" t="n"/>
      <c r="Z32" s="246" t="n"/>
      <c r="AA32" s="246" t="n"/>
      <c r="AB32" s="246" t="n"/>
      <c r="AC32" s="246" t="n"/>
      <c r="AD32" s="246" t="n"/>
      <c r="AF32" s="246" t="n"/>
      <c r="AG32" s="246" t="n"/>
      <c r="AH32" s="246" t="n"/>
    </row>
    <row r="33" ht="14.25" customHeight="1" s="175">
      <c r="A33" s="267" t="inlineStr">
        <is>
          <t>David</t>
        </is>
      </c>
      <c r="B33" s="268" t="n">
        <v>1</v>
      </c>
      <c r="C33" s="269" t="inlineStr">
        <is>
          <t>Jon</t>
        </is>
      </c>
      <c r="D33" s="192" t="inlineStr">
        <is>
          <t>https://media.discordapp.net/attachments/1212839710439776287/1282754419263406183/IMG_0907.jpg?ex=66e081a5&amp;is=66df3025&amp;hm=a0a27f4c773019c06cc5ab5e52950030f825b859e7772789925650e143b6d742&amp;=&amp;format=webp&amp;width=657&amp;height=876</t>
        </is>
      </c>
      <c r="E33" s="173" t="n"/>
      <c r="F33" s="207" t="n"/>
      <c r="J33" s="246" t="n"/>
      <c r="K33" s="246" t="n"/>
      <c r="L33" s="246" t="n"/>
      <c r="M33" s="260" t="n"/>
      <c r="N33" s="260" t="n"/>
      <c r="O33" s="260" t="n"/>
      <c r="T33" s="246" t="n"/>
      <c r="U33" s="246" t="n"/>
      <c r="V33" s="246" t="n"/>
      <c r="W33" s="246" t="n"/>
      <c r="X33" s="246" t="n"/>
      <c r="Y33" s="246" t="n"/>
      <c r="Z33" s="246" t="n"/>
      <c r="AA33" s="246" t="n"/>
      <c r="AB33" s="246" t="n"/>
      <c r="AC33" s="246" t="n"/>
      <c r="AD33" s="246" t="n"/>
      <c r="AF33" s="248" t="inlineStr">
        <is>
          <t>Name</t>
        </is>
      </c>
      <c r="AG33" s="249" t="inlineStr">
        <is>
          <t>Score</t>
        </is>
      </c>
      <c r="AH33" s="249" t="inlineStr">
        <is>
          <t>Adjusted</t>
        </is>
      </c>
      <c r="AI33" s="246" t="n"/>
    </row>
    <row r="34" ht="14.25" customHeight="1" s="175">
      <c r="A34" s="267" t="inlineStr">
        <is>
          <t>Maxine</t>
        </is>
      </c>
      <c r="B34" s="268" t="n">
        <v>2</v>
      </c>
      <c r="C34" s="269" t="inlineStr">
        <is>
          <t>Jon</t>
        </is>
      </c>
      <c r="D34" s="192" t="inlineStr">
        <is>
          <t>https://media.discordapp.net/attachments/1212839710439776287/1282755803501170879/IMG_0113.jpg?ex=66e082f0&amp;is=66df3170&amp;hm=737ce410b7fc698a1fefd89455bc95977f51bc4e762e62fec4bc68b4b213e69a&amp;=&amp;format=webp&amp;width=657&amp;height=876</t>
        </is>
      </c>
      <c r="E34" s="173" t="n"/>
      <c r="F34" s="207" t="n"/>
      <c r="J34" s="246" t="n"/>
      <c r="K34" s="246" t="n"/>
      <c r="L34" s="246" t="n"/>
      <c r="M34" s="260" t="n"/>
      <c r="N34" s="260" t="n"/>
      <c r="O34" s="260" t="n"/>
      <c r="T34" s="246" t="n"/>
      <c r="U34" s="246" t="n"/>
      <c r="V34" s="246" t="n"/>
      <c r="W34" s="246" t="n"/>
      <c r="X34" s="246" t="n"/>
      <c r="Y34" s="246" t="n"/>
      <c r="Z34" s="246" t="n"/>
      <c r="AA34" s="246" t="n"/>
      <c r="AB34" s="246" t="n"/>
      <c r="AC34" s="246" t="n"/>
      <c r="AD34" s="246" t="n"/>
      <c r="AF34" s="318" t="inlineStr">
        <is>
          <t>Maxine</t>
        </is>
      </c>
      <c r="AG34" s="251">
        <f>$AQ$23</f>
        <v/>
      </c>
      <c r="AH34" s="251">
        <f>AG34-($AG$43)</f>
        <v/>
      </c>
      <c r="AI34" s="173" t="n">
        <v>1</v>
      </c>
    </row>
    <row r="35" ht="14.25" customHeight="1" s="175">
      <c r="A35" s="267" t="inlineStr">
        <is>
          <t>David</t>
        </is>
      </c>
      <c r="B35" s="268" t="n">
        <v>1</v>
      </c>
      <c r="C35" s="269" t="inlineStr">
        <is>
          <t>Carter</t>
        </is>
      </c>
      <c r="D35" s="192" t="inlineStr">
        <is>
          <t>https://media.discordapp.net/attachments/1212839710439776287/1282762630439899228/IMG_0908.jpg?ex=66e47dcb&amp;is=66e32c4b&amp;hm=32bb1b8402c99cffc01a9ef7653a61c4c9c606cee5e840213f50c96e9ee701f1&amp;=&amp;format=webp&amp;width=657&amp;height=876</t>
        </is>
      </c>
      <c r="E35" s="173" t="n">
        <v>1</v>
      </c>
      <c r="F35" s="192" t="n"/>
      <c r="J35" s="246" t="n"/>
      <c r="K35" s="246" t="n"/>
      <c r="L35" s="246" t="n"/>
      <c r="M35" s="260" t="n"/>
      <c r="N35" s="260" t="n"/>
      <c r="O35" s="260" t="n"/>
      <c r="P35" s="260" t="n"/>
      <c r="Q35" s="182" t="n"/>
      <c r="T35" s="246" t="n"/>
      <c r="U35" s="246" t="n"/>
      <c r="V35" s="246" t="n"/>
      <c r="W35" s="246" t="n"/>
      <c r="X35" s="246" t="n"/>
      <c r="Y35" s="246" t="n"/>
      <c r="Z35" s="246" t="n"/>
      <c r="AA35" s="246" t="n"/>
      <c r="AB35" s="246" t="n"/>
      <c r="AC35" s="246" t="n"/>
      <c r="AD35" s="246" t="n"/>
      <c r="AF35" s="318" t="inlineStr">
        <is>
          <t>Sam</t>
        </is>
      </c>
      <c r="AG35" s="251">
        <f>$AQ$26</f>
        <v/>
      </c>
      <c r="AH35" s="251">
        <f>AG35-($AG$43)</f>
        <v/>
      </c>
      <c r="AI35" s="173" t="n">
        <v>2</v>
      </c>
    </row>
    <row r="36" ht="14.25" customHeight="1" s="175">
      <c r="A36" s="267" t="inlineStr">
        <is>
          <t>Peter</t>
        </is>
      </c>
      <c r="B36" s="268" t="n">
        <v>2</v>
      </c>
      <c r="C36" s="269" t="inlineStr">
        <is>
          <t>Grady</t>
        </is>
      </c>
      <c r="D36" s="192" t="inlineStr">
        <is>
          <t>https://media.discordapp.net/attachments/1212839710439776287/1283455781148164116/PXL_20240911_155058535.jpg?ex=66e46057&amp;is=66e30ed7&amp;hm=c12f6d3a7fa965997c1b541cad7094438b4e8242923061cb93237db352647687&amp;=&amp;format=webp&amp;width=492&amp;height=874</t>
        </is>
      </c>
      <c r="E36" s="173" t="n"/>
      <c r="F36" s="207" t="n"/>
      <c r="G36" s="318" t="inlineStr">
        <is>
          <t>Person:</t>
        </is>
      </c>
      <c r="H36" s="216" t="inlineStr">
        <is>
          <t>Deaths</t>
        </is>
      </c>
      <c r="J36" s="246" t="n"/>
      <c r="K36" s="246" t="n"/>
      <c r="L36" s="246" t="n"/>
      <c r="M36" s="260" t="n"/>
      <c r="N36" s="260" t="n"/>
      <c r="O36" s="260" t="n"/>
      <c r="Q36" s="318" t="inlineStr">
        <is>
          <t>Person:</t>
        </is>
      </c>
      <c r="R36" s="216" t="inlineStr">
        <is>
          <t>Death Points</t>
        </is>
      </c>
      <c r="T36" s="246" t="n"/>
      <c r="U36" s="246" t="n"/>
      <c r="V36" s="246" t="n"/>
      <c r="W36" s="246" t="n"/>
      <c r="X36" s="246" t="n"/>
      <c r="Y36" s="246" t="n"/>
      <c r="Z36" s="246" t="n"/>
      <c r="AA36" s="246" t="n"/>
      <c r="AB36" s="246" t="n"/>
      <c r="AC36" s="246" t="n"/>
      <c r="AD36" s="246" t="n"/>
      <c r="AF36" s="318" t="inlineStr">
        <is>
          <t>David</t>
        </is>
      </c>
      <c r="AG36" s="251">
        <f>$AQ$24</f>
        <v/>
      </c>
      <c r="AH36" s="251">
        <f>AG36-($AG$43)</f>
        <v/>
      </c>
      <c r="AI36" s="173" t="n">
        <v>3</v>
      </c>
    </row>
    <row r="37" ht="14.25" customHeight="1" s="175">
      <c r="A37" s="267" t="inlineStr">
        <is>
          <t>Sam</t>
        </is>
      </c>
      <c r="B37" s="268" t="n">
        <v>2</v>
      </c>
      <c r="C37" s="269" t="inlineStr">
        <is>
          <t>Grady</t>
        </is>
      </c>
      <c r="D37" s="192" t="inlineStr">
        <is>
          <t>https://media.discordapp.net/attachments/1212839710439776287/1283501454258212944/IMG_9785.jpg?ex=66e48ae0&amp;is=66e33960&amp;hm=5e8339fe8485b1cf6dfe92e5cbbb183baa739119fedf006cd8231f0982b0c370&amp;=&amp;format=webp&amp;width=657&amp;height=876</t>
        </is>
      </c>
      <c r="E37" s="173" t="n"/>
      <c r="F37" s="192" t="n"/>
      <c r="G37" s="318" t="inlineStr">
        <is>
          <t>Carter</t>
        </is>
      </c>
      <c r="H37" s="291">
        <f>$I$3</f>
        <v/>
      </c>
      <c r="J37" s="246" t="n"/>
      <c r="K37" s="246" t="n"/>
      <c r="L37" s="246" t="n"/>
      <c r="M37" s="260" t="n"/>
      <c r="N37" s="260" t="n"/>
      <c r="O37" s="260" t="n"/>
      <c r="Q37" s="318" t="inlineStr">
        <is>
          <t>Jon</t>
        </is>
      </c>
      <c r="R37" s="291">
        <f>$L$12</f>
        <v/>
      </c>
      <c r="T37" s="246" t="n"/>
      <c r="U37" s="246" t="n"/>
      <c r="V37" s="246" t="n"/>
      <c r="W37" s="246" t="n"/>
      <c r="X37" s="246" t="n"/>
      <c r="Y37" s="246" t="n"/>
      <c r="Z37" s="246" t="n"/>
      <c r="AA37" s="246" t="n"/>
      <c r="AB37" s="246" t="n"/>
      <c r="AC37" s="246" t="n"/>
      <c r="AD37" s="246" t="n"/>
      <c r="AF37" s="318" t="inlineStr">
        <is>
          <t>Peter</t>
        </is>
      </c>
      <c r="AG37" s="251">
        <f>$AQ$28</f>
        <v/>
      </c>
      <c r="AH37" s="251">
        <f>AG37-($AG$43)</f>
        <v/>
      </c>
      <c r="AI37" s="173" t="n">
        <v>4</v>
      </c>
    </row>
    <row r="38" ht="14.25" customHeight="1" s="175">
      <c r="A38" s="267" t="inlineStr">
        <is>
          <t>Carter</t>
        </is>
      </c>
      <c r="B38" s="268" t="n">
        <v>2</v>
      </c>
      <c r="C38" s="269" t="inlineStr">
        <is>
          <t>Sam</t>
        </is>
      </c>
      <c r="D38" s="192" t="inlineStr">
        <is>
          <t>https://media.discordapp.net/attachments/1212839710439776287/1283533540964958279/IMG_5655.jpg?ex=66e40003&amp;is=66e2ae83&amp;hm=95cb63f6908820d9dc759eed0fb808a4fe869461a7b5ca615c5ae9364fd96d1b&amp;=&amp;format=webp&amp;width=657&amp;height=876</t>
        </is>
      </c>
      <c r="E38" s="173" t="n"/>
      <c r="F38" s="207" t="n"/>
      <c r="G38" s="318" t="inlineStr">
        <is>
          <t>Jon</t>
        </is>
      </c>
      <c r="H38" s="291">
        <f>$I$12</f>
        <v/>
      </c>
      <c r="J38" s="246" t="n"/>
      <c r="K38" s="246" t="n"/>
      <c r="L38" s="246" t="n"/>
      <c r="M38" s="260" t="n"/>
      <c r="N38" s="260" t="n"/>
      <c r="O38" s="260" t="n"/>
      <c r="Q38" s="318" t="inlineStr">
        <is>
          <t>Carter</t>
        </is>
      </c>
      <c r="R38" s="291">
        <f>$L$3</f>
        <v/>
      </c>
      <c r="T38" s="246" t="n"/>
      <c r="U38" s="246" t="n"/>
      <c r="V38" s="246" t="n"/>
      <c r="W38" s="246" t="n"/>
      <c r="X38" s="246" t="n"/>
      <c r="Y38" s="246" t="n"/>
      <c r="Z38" s="246" t="n"/>
      <c r="AA38" s="246" t="n"/>
      <c r="AB38" s="246" t="n"/>
      <c r="AC38" s="246" t="n"/>
      <c r="AD38" s="246" t="n"/>
      <c r="AF38" s="318" t="inlineStr">
        <is>
          <t>Carter</t>
        </is>
      </c>
      <c r="AG38" s="251">
        <f>$AQ$20</f>
        <v/>
      </c>
      <c r="AH38" s="251">
        <f>AG38-($AG$43)</f>
        <v/>
      </c>
      <c r="AI38" s="173" t="n">
        <v>5</v>
      </c>
    </row>
    <row r="39" ht="14.25" customHeight="1" s="175">
      <c r="A39" s="267" t="inlineStr">
        <is>
          <t>Jon</t>
        </is>
      </c>
      <c r="B39" s="268" t="n">
        <v>2</v>
      </c>
      <c r="C39" s="269" t="inlineStr">
        <is>
          <t>David</t>
        </is>
      </c>
      <c r="D39" s="192" t="inlineStr">
        <is>
          <t>https://media.discordapp.net/attachments/1212839710439776287/1283843454975348737/20240912_133453.jpg?ex=66e477e4&amp;is=66e32664&amp;hm=13384f356856b2409880f16f0181add6cb98a76ab905dd9cb41408f2c2bed0a6&amp;=&amp;format=webp&amp;width=1168&amp;height=876</t>
        </is>
      </c>
      <c r="E39" s="173" t="n"/>
      <c r="F39" s="207" t="n"/>
      <c r="G39" s="318" t="inlineStr">
        <is>
          <t>David</t>
        </is>
      </c>
      <c r="H39" s="291">
        <f>$I$7</f>
        <v/>
      </c>
      <c r="J39" s="246" t="n"/>
      <c r="K39" s="246" t="n"/>
      <c r="L39" s="246" t="n"/>
      <c r="M39" s="260" t="n"/>
      <c r="N39" s="260" t="n"/>
      <c r="O39" s="260" t="n"/>
      <c r="Q39" s="318" t="inlineStr">
        <is>
          <t>Grady</t>
        </is>
      </c>
      <c r="R39" s="291">
        <f>$L$4</f>
        <v/>
      </c>
      <c r="T39" s="246" t="n"/>
      <c r="U39" s="246" t="n"/>
      <c r="V39" s="246" t="n"/>
      <c r="W39" s="246" t="n"/>
      <c r="X39" s="246" t="n"/>
      <c r="Y39" s="246" t="n"/>
      <c r="Z39" s="246" t="n"/>
      <c r="AA39" s="246" t="n"/>
      <c r="AB39" s="246" t="n"/>
      <c r="AC39" s="246" t="n"/>
      <c r="AD39" s="246" t="n"/>
      <c r="AF39" s="318" t="inlineStr">
        <is>
          <t>Erick</t>
        </is>
      </c>
      <c r="AG39" s="251">
        <f>$AQ$27</f>
        <v/>
      </c>
      <c r="AH39" s="251">
        <f>AG39-($AG$43)</f>
        <v/>
      </c>
      <c r="AI39" s="173" t="n">
        <v>6</v>
      </c>
    </row>
    <row r="40" ht="14.25" customHeight="1" s="175">
      <c r="A40" s="267" t="inlineStr">
        <is>
          <t>David</t>
        </is>
      </c>
      <c r="B40" s="268" t="n">
        <v>1</v>
      </c>
      <c r="C40" s="269" t="inlineStr">
        <is>
          <t>Jon</t>
        </is>
      </c>
      <c r="D40" s="192" t="inlineStr">
        <is>
          <t>https://media.discordapp.net/attachments/1212839710439776287/1283843643538411561/IMG_0920.jpg?ex=66e47811&amp;is=66e32691&amp;hm=882424e9b8565bd98315bed01491f7b281fedfcf70cf99281bd834cf41cd9878&amp;=&amp;format=webp&amp;width=657&amp;height=876</t>
        </is>
      </c>
      <c r="E40" s="173" t="n"/>
      <c r="F40" s="207" t="n"/>
      <c r="G40" s="318" t="inlineStr">
        <is>
          <t>Grady</t>
        </is>
      </c>
      <c r="H40" s="291">
        <f>$I$4</f>
        <v/>
      </c>
      <c r="J40" s="246" t="n"/>
      <c r="K40" s="246" t="n"/>
      <c r="L40" s="246" t="n"/>
      <c r="M40" s="260" t="n"/>
      <c r="N40" s="260" t="n"/>
      <c r="O40" s="260" t="n"/>
      <c r="Q40" s="318" t="inlineStr">
        <is>
          <t>David</t>
        </is>
      </c>
      <c r="R40" s="291">
        <f>$L$7</f>
        <v/>
      </c>
      <c r="T40" s="246" t="n"/>
      <c r="U40" s="246" t="n"/>
      <c r="V40" s="246" t="n"/>
      <c r="W40" s="246" t="n"/>
      <c r="X40" s="246" t="n"/>
      <c r="Y40" s="246" t="n"/>
      <c r="Z40" s="246" t="n"/>
      <c r="AA40" s="246" t="n"/>
      <c r="AB40" s="246" t="n"/>
      <c r="AC40" s="246" t="n"/>
      <c r="AD40" s="246" t="n"/>
      <c r="AF40" s="318" t="inlineStr">
        <is>
          <t>Cooper</t>
        </is>
      </c>
      <c r="AG40" s="251">
        <f>$AQ$22</f>
        <v/>
      </c>
      <c r="AH40" s="251">
        <f>AG40-($AG$43)</f>
        <v/>
      </c>
      <c r="AI40" s="173" t="n">
        <v>7</v>
      </c>
    </row>
    <row r="41" ht="14.25" customHeight="1" s="175">
      <c r="A41" s="267" t="inlineStr">
        <is>
          <t>David</t>
        </is>
      </c>
      <c r="B41" s="268" t="n">
        <v>2</v>
      </c>
      <c r="C41" s="269" t="inlineStr">
        <is>
          <t>Carter</t>
        </is>
      </c>
      <c r="D41" s="192" t="inlineStr">
        <is>
          <t>https://media.discordapp.net/attachments/1212839710439776287/1283849948168847391/IMG_0921.jpg?ex=66e47df0&amp;is=66e32c70&amp;hm=27e1226a7895f63b4242f14df4106adb90ac201eff723823d32441119d155966&amp;=&amp;format=webp&amp;width=657&amp;height=876</t>
        </is>
      </c>
      <c r="E41" s="173" t="n">
        <v>1</v>
      </c>
      <c r="F41" s="192" t="n"/>
      <c r="G41" s="318" t="inlineStr">
        <is>
          <t>Sam</t>
        </is>
      </c>
      <c r="H41" s="291">
        <f>$I$9</f>
        <v/>
      </c>
      <c r="J41" s="246" t="n"/>
      <c r="K41" s="246" t="n"/>
      <c r="L41" s="246" t="n"/>
      <c r="M41" s="260" t="n"/>
      <c r="N41" s="260" t="n"/>
      <c r="O41" s="260" t="n"/>
      <c r="Q41" s="318" t="inlineStr">
        <is>
          <t>Sam</t>
        </is>
      </c>
      <c r="R41" s="291">
        <f>$L$9</f>
        <v/>
      </c>
      <c r="T41" s="246" t="n"/>
      <c r="U41" s="246" t="n"/>
      <c r="V41" s="246" t="n"/>
      <c r="W41" s="246" t="n"/>
      <c r="X41" s="246" t="n"/>
      <c r="Y41" s="246" t="n"/>
      <c r="Z41" s="246" t="n"/>
      <c r="AA41" s="246" t="n"/>
      <c r="AB41" s="246" t="n"/>
      <c r="AC41" s="246" t="n"/>
      <c r="AD41" s="246" t="n"/>
      <c r="AF41" s="318" t="inlineStr">
        <is>
          <t>Jon</t>
        </is>
      </c>
      <c r="AG41" s="251">
        <f>$AQ$29</f>
        <v/>
      </c>
      <c r="AH41" s="251">
        <f>AG41-($AG$43)</f>
        <v/>
      </c>
      <c r="AI41" s="173" t="n">
        <v>8</v>
      </c>
    </row>
    <row r="42" ht="14.25" customHeight="1" s="175">
      <c r="A42" s="267" t="inlineStr">
        <is>
          <t>Peter</t>
        </is>
      </c>
      <c r="B42" s="268" t="n">
        <v>2</v>
      </c>
      <c r="C42" s="269" t="inlineStr">
        <is>
          <t>Carter</t>
        </is>
      </c>
      <c r="D42" s="192" t="inlineStr">
        <is>
          <t>https://media.discordapp.net/attachments/1212839710439776287/1283852063020810250/PXL_20240912_180905725.jpg?ex=66e47fe8&amp;is=66e32e68&amp;hm=9ac3c0083feed6ddf85d299bb5bb457c8988c3790da62d9403d173c148227141&amp;=&amp;format=webp&amp;width=492&amp;height=874</t>
        </is>
      </c>
      <c r="E42" s="173" t="n">
        <v>1</v>
      </c>
      <c r="F42" s="207" t="n"/>
      <c r="G42" s="318" t="inlineStr">
        <is>
          <t>Erick</t>
        </is>
      </c>
      <c r="H42" s="291">
        <f>$I$10</f>
        <v/>
      </c>
      <c r="J42" s="246" t="n"/>
      <c r="K42" s="246" t="n"/>
      <c r="L42" s="246" t="n"/>
      <c r="M42" s="260" t="n"/>
      <c r="N42" s="260" t="n"/>
      <c r="O42" s="260" t="n"/>
      <c r="Q42" s="318" t="inlineStr">
        <is>
          <t>Erick</t>
        </is>
      </c>
      <c r="R42" s="291">
        <f>$L$10</f>
        <v/>
      </c>
      <c r="T42" s="246" t="n"/>
      <c r="U42" s="246" t="n"/>
      <c r="V42" s="246" t="n"/>
      <c r="W42" s="246" t="n"/>
      <c r="X42" s="246" t="n"/>
      <c r="Y42" s="246" t="n"/>
      <c r="Z42" s="246" t="n"/>
      <c r="AA42" s="246" t="n"/>
      <c r="AB42" s="246" t="n"/>
      <c r="AC42" s="246" t="n"/>
      <c r="AD42" s="246" t="n"/>
      <c r="AF42" s="318" t="inlineStr">
        <is>
          <t>Tyler</t>
        </is>
      </c>
      <c r="AG42" s="251">
        <f>$AQ$25</f>
        <v/>
      </c>
      <c r="AH42" s="251">
        <f>AG42-($AG$43)</f>
        <v/>
      </c>
      <c r="AI42" s="173" t="n">
        <v>9</v>
      </c>
    </row>
    <row r="43" ht="14.25" customHeight="1" s="175">
      <c r="A43" s="267" t="inlineStr">
        <is>
          <t>David</t>
        </is>
      </c>
      <c r="B43" s="268" t="n">
        <v>1</v>
      </c>
      <c r="C43" s="269" t="inlineStr">
        <is>
          <t>Carter</t>
        </is>
      </c>
      <c r="D43" s="192" t="inlineStr">
        <is>
          <t>https://media.discordapp.net/attachments/1212839710439776287/1283872800414892108/IMG_0922.jpg?ex=66e49338&amp;is=66e341b8&amp;hm=90f1579e96845b0ad80d2b76d88a3681b25d295d378e3b5f3f2247c7f0aa55ba&amp;=&amp;format=webp&amp;width=1168&amp;height=876</t>
        </is>
      </c>
      <c r="E43" s="173" t="n">
        <v>1</v>
      </c>
      <c r="F43" s="207" t="n"/>
      <c r="G43" s="318" t="inlineStr">
        <is>
          <t>Tyler</t>
        </is>
      </c>
      <c r="H43" s="291">
        <f>$I$8</f>
        <v/>
      </c>
      <c r="J43" s="246" t="n"/>
      <c r="K43" s="246" t="n"/>
      <c r="L43" s="246" t="n"/>
      <c r="M43" s="260" t="n"/>
      <c r="N43" s="260" t="n"/>
      <c r="O43" s="260" t="n"/>
      <c r="Q43" s="318" t="inlineStr">
        <is>
          <t>Tyler</t>
        </is>
      </c>
      <c r="R43" s="291">
        <f>$L$8</f>
        <v/>
      </c>
      <c r="T43" s="246" t="n"/>
      <c r="U43" s="246" t="n"/>
      <c r="V43" s="246" t="n"/>
      <c r="W43" s="246" t="n"/>
      <c r="X43" s="246" t="n"/>
      <c r="Y43" s="246" t="n"/>
      <c r="Z43" s="246" t="n"/>
      <c r="AA43" s="246" t="n"/>
      <c r="AB43" s="246" t="n"/>
      <c r="AC43" s="246" t="n"/>
      <c r="AD43" s="246" t="n"/>
      <c r="AF43" s="318" t="inlineStr">
        <is>
          <t>Grady</t>
        </is>
      </c>
      <c r="AG43" s="251">
        <f>$AQ$21</f>
        <v/>
      </c>
      <c r="AH43" s="251">
        <f>AG43-($AG$43)</f>
        <v/>
      </c>
      <c r="AI43" s="173" t="n">
        <v>10</v>
      </c>
    </row>
    <row r="44" ht="14.25" customHeight="1" s="175">
      <c r="A44" s="267" t="inlineStr">
        <is>
          <t>Carter</t>
        </is>
      </c>
      <c r="B44" s="268" t="n">
        <v>1</v>
      </c>
      <c r="C44" s="269" t="inlineStr">
        <is>
          <t>David</t>
        </is>
      </c>
      <c r="D44" s="192" t="inlineStr">
        <is>
          <t>https://media.discordapp.net/attachments/1212839710439776287/1283872916475215912/65EB0CCE-33C6-48A6-AE5E-E6DACDD833EF.jpg?ex=66e49354&amp;is=66e341d4&amp;hm=5bae8bdd199e9770d26eac89b84157813bef5ee5af3a0f2d9aed68f15577b522&amp;=&amp;format=webp&amp;width=657&amp;height=876</t>
        </is>
      </c>
      <c r="E44" s="173" t="n"/>
      <c r="F44" s="207" t="n"/>
      <c r="G44" s="318" t="inlineStr">
        <is>
          <t>Peter</t>
        </is>
      </c>
      <c r="H44" s="291">
        <f>$I$11</f>
        <v/>
      </c>
      <c r="J44" s="246" t="n"/>
      <c r="K44" s="246" t="n"/>
      <c r="L44" s="246" t="n"/>
      <c r="M44" s="260" t="n"/>
      <c r="N44" s="260" t="n"/>
      <c r="O44" s="260" t="n"/>
      <c r="Q44" s="318" t="inlineStr">
        <is>
          <t>Peter</t>
        </is>
      </c>
      <c r="R44" s="291">
        <f>$L$11</f>
        <v/>
      </c>
      <c r="T44" s="246" t="n"/>
      <c r="U44" s="246" t="n"/>
      <c r="V44" s="246" t="n"/>
      <c r="W44" s="246" t="n"/>
      <c r="X44" s="246" t="n"/>
      <c r="Y44" s="246" t="n"/>
      <c r="Z44" s="246" t="n"/>
      <c r="AA44" s="246" t="n"/>
      <c r="AB44" s="246" t="n"/>
      <c r="AC44" s="246" t="n"/>
      <c r="AD44" s="246" t="n"/>
    </row>
    <row r="45" ht="14.25" customHeight="1" s="175">
      <c r="A45" s="267" t="inlineStr">
        <is>
          <t>Carter</t>
        </is>
      </c>
      <c r="B45" s="268" t="n">
        <v>2</v>
      </c>
      <c r="C45" s="269" t="inlineStr">
        <is>
          <t>Jon</t>
        </is>
      </c>
      <c r="D45" s="192" t="inlineStr">
        <is>
          <t>https://media.discordapp.net/attachments/1212839710439776287/1284206593042419743/IMG_5671.jpg?ex=66e5ca17&amp;is=66e47897&amp;hm=ee7c1ead33ea9fa6b6fbfb33ee7588c647f14217b54b00179195b531ddf50dd4&amp;=&amp;format=webp&amp;width=657&amp;height=876</t>
        </is>
      </c>
      <c r="E45" s="173" t="n"/>
      <c r="F45" s="192" t="n"/>
      <c r="G45" s="318" t="inlineStr">
        <is>
          <t>Cooper</t>
        </is>
      </c>
      <c r="H45" s="291">
        <f>$I$5</f>
        <v/>
      </c>
      <c r="J45" s="246" t="n"/>
      <c r="K45" s="246" t="n"/>
      <c r="L45" s="246" t="n"/>
      <c r="M45" s="260" t="n"/>
      <c r="N45" s="260" t="n"/>
      <c r="O45" s="260" t="n"/>
      <c r="Q45" s="318" t="inlineStr">
        <is>
          <t>Cooper</t>
        </is>
      </c>
      <c r="R45" s="291">
        <f>$L$5</f>
        <v/>
      </c>
      <c r="T45" s="246" t="n"/>
      <c r="U45" s="246" t="n"/>
      <c r="V45" s="246" t="n"/>
      <c r="W45" s="246" t="n"/>
      <c r="X45" s="246" t="n"/>
      <c r="Y45" s="246" t="n"/>
      <c r="Z45" s="246" t="n"/>
      <c r="AA45" s="246" t="n"/>
      <c r="AB45" s="246" t="n"/>
      <c r="AC45" s="246" t="n"/>
      <c r="AD45" s="246" t="n"/>
    </row>
    <row r="46" ht="14.25" customHeight="1" s="175">
      <c r="A46" s="267" t="inlineStr">
        <is>
          <t>Jon</t>
        </is>
      </c>
      <c r="B46" s="268" t="n">
        <v>1</v>
      </c>
      <c r="C46" s="269" t="inlineStr">
        <is>
          <t>Carter</t>
        </is>
      </c>
      <c r="D46" s="192" t="inlineStr">
        <is>
          <t>https://media.discordapp.net/attachments/1212839710439776287/1284206473274069073/20240913_133733.jpg?ex=66e5c9fa&amp;is=66e4787a&amp;hm=e34ca0a1a2ca5462fb5519f08ac1ede1271d39c37c6447530dae553098ad3526&amp;=&amp;format=webp&amp;width=657&amp;height=876</t>
        </is>
      </c>
      <c r="E46" s="173" t="n">
        <v>0</v>
      </c>
      <c r="F46" s="207" t="n"/>
      <c r="G46" s="318" t="inlineStr">
        <is>
          <t>Maxine</t>
        </is>
      </c>
      <c r="H46" s="291">
        <f>$I$6</f>
        <v/>
      </c>
      <c r="J46" s="246" t="n"/>
      <c r="K46" s="246" t="n"/>
      <c r="L46" s="246" t="n"/>
      <c r="M46" s="260" t="n"/>
      <c r="N46" s="260" t="n"/>
      <c r="O46" s="260" t="n"/>
      <c r="Q46" s="318" t="inlineStr">
        <is>
          <t>Maxine</t>
        </is>
      </c>
      <c r="R46" s="291">
        <f>$L$6</f>
        <v/>
      </c>
      <c r="T46" s="246" t="n"/>
      <c r="U46" s="246" t="n"/>
      <c r="V46" s="246" t="n"/>
      <c r="W46" s="246" t="n"/>
      <c r="X46" s="246" t="n"/>
      <c r="Y46" s="246" t="n"/>
      <c r="Z46" s="246" t="n"/>
      <c r="AA46" s="246" t="n"/>
      <c r="AB46" s="246" t="n"/>
      <c r="AC46" s="246" t="n"/>
      <c r="AD46" s="246" t="n"/>
      <c r="AF46" s="246" t="n"/>
      <c r="AG46" s="246" t="n"/>
      <c r="AH46" s="246" t="n"/>
    </row>
    <row r="47" ht="14.25" customHeight="1" s="175">
      <c r="A47" s="267" t="inlineStr">
        <is>
          <t>David</t>
        </is>
      </c>
      <c r="B47" s="268" t="n">
        <v>1</v>
      </c>
      <c r="C47" s="269" t="inlineStr">
        <is>
          <t>Carter</t>
        </is>
      </c>
      <c r="D47" s="192" t="inlineStr">
        <is>
          <t>https://media.discordapp.net/attachments/1212839710439776287/1284208928892125194/IMG_0927.jpg?ex=66e5cc44&amp;is=66e47ac4&amp;hm=6f87c1bc770c0ada4da7320aad068279bcc24330dd0e774325a20c4bd87fa4bf&amp;=&amp;format=webp&amp;width=394&amp;height=525</t>
        </is>
      </c>
      <c r="E47" s="173" t="n">
        <v>0</v>
      </c>
      <c r="F47" s="207" t="n"/>
      <c r="J47" s="246" t="n"/>
      <c r="K47" s="246" t="n"/>
      <c r="L47" s="246" t="n"/>
      <c r="M47" s="260" t="n"/>
      <c r="N47" s="260" t="n"/>
      <c r="O47" s="260" t="n"/>
      <c r="T47" s="246" t="n"/>
      <c r="U47" s="246" t="n"/>
      <c r="V47" s="246" t="n"/>
      <c r="W47" s="246" t="n"/>
      <c r="X47" s="246" t="n"/>
      <c r="Y47" s="246" t="n"/>
      <c r="Z47" s="246" t="n"/>
      <c r="AA47" s="246" t="n"/>
      <c r="AB47" s="246" t="n"/>
      <c r="AC47" s="246" t="n"/>
      <c r="AD47" s="246" t="n"/>
      <c r="AF47" s="246" t="n"/>
      <c r="AG47" s="246" t="n"/>
      <c r="AH47" s="246" t="n"/>
    </row>
    <row r="48" ht="14.25" customHeight="1" s="175">
      <c r="A48" s="267" t="inlineStr">
        <is>
          <t>Carter</t>
        </is>
      </c>
      <c r="B48" s="268" t="n">
        <v>1</v>
      </c>
      <c r="C48" s="269" t="inlineStr">
        <is>
          <t>David</t>
        </is>
      </c>
      <c r="D48" s="192" t="inlineStr">
        <is>
          <t>https://media.discordapp.net/attachments/1212839710439776287/1284209185575276574/F47ECE56-F318-4BFF-B7EE-F580DE7EC85B.jpg?ex=66e5cc81&amp;is=66e47b01&amp;hm=f34f017c4bac363c0048aa122eec58f7c091106b40811f5fbe17e7f0ab3de082&amp;=&amp;format=webp&amp;width=394&amp;height=525</t>
        </is>
      </c>
      <c r="E48" s="173" t="n"/>
      <c r="F48" s="207" t="n"/>
      <c r="J48" s="246" t="n"/>
      <c r="K48" s="246" t="n"/>
      <c r="L48" s="246" t="n"/>
      <c r="M48" s="260" t="n"/>
      <c r="N48" s="260" t="n"/>
      <c r="O48" s="260" t="n"/>
      <c r="T48" s="246" t="n"/>
      <c r="U48" s="246" t="n"/>
      <c r="V48" s="246" t="n"/>
      <c r="W48" s="246" t="n"/>
      <c r="X48" s="246" t="n"/>
      <c r="Y48" s="246" t="n"/>
      <c r="Z48" s="246" t="n"/>
      <c r="AA48" s="246" t="n"/>
      <c r="AB48" s="246" t="n"/>
      <c r="AC48" s="246" t="n"/>
      <c r="AD48" s="246" t="n"/>
      <c r="AF48" s="246" t="n"/>
      <c r="AG48" s="246" t="n"/>
      <c r="AH48" s="246" t="n"/>
    </row>
    <row r="49" ht="14.25" customHeight="1" s="175">
      <c r="A49" s="267" t="inlineStr">
        <is>
          <t>Sam</t>
        </is>
      </c>
      <c r="B49" s="268" t="n">
        <v>2</v>
      </c>
      <c r="C49" s="269" t="inlineStr">
        <is>
          <t>Jon</t>
        </is>
      </c>
      <c r="D49" s="192" t="inlineStr">
        <is>
          <t>https://media.discordapp.net/attachments/1212839710439776287/1284245010111271014/IMG_9792.jpg?ex=66e9399e&amp;is=66e7e81e&amp;hm=e50e875a4769266af805aff5336b77f9d79bf01d466de121021e9280de1b64f7&amp;=&amp;format=webp&amp;width=657&amp;height=876</t>
        </is>
      </c>
      <c r="E49" s="173" t="n"/>
      <c r="F49" s="207" t="n"/>
      <c r="J49" s="246" t="n"/>
      <c r="K49" s="246" t="n"/>
      <c r="L49" s="246" t="n"/>
      <c r="M49" s="260" t="n"/>
      <c r="N49" s="260" t="n"/>
      <c r="O49" s="260" t="n"/>
      <c r="P49" s="260" t="n"/>
      <c r="Q49" s="182" t="n"/>
      <c r="T49" s="246" t="n"/>
      <c r="U49" s="246" t="n"/>
      <c r="V49" s="246" t="n"/>
      <c r="W49" s="246" t="n"/>
      <c r="X49" s="246" t="n"/>
      <c r="Y49" s="246" t="n"/>
      <c r="Z49" s="246" t="n"/>
      <c r="AA49" s="246" t="n"/>
      <c r="AB49" s="246" t="n"/>
      <c r="AC49" s="246" t="n"/>
      <c r="AD49" s="246" t="n"/>
      <c r="AF49" s="246" t="n"/>
      <c r="AG49" s="246" t="n"/>
      <c r="AH49" s="246" t="n"/>
    </row>
    <row r="50" ht="14.25" customHeight="1" s="175">
      <c r="D50" s="192" t="n"/>
      <c r="E50" s="173" t="n"/>
      <c r="F50" s="207" t="n"/>
      <c r="G50" s="318" t="inlineStr">
        <is>
          <t>Person:</t>
        </is>
      </c>
      <c r="H50" s="216" t="inlineStr">
        <is>
          <t>KDR</t>
        </is>
      </c>
      <c r="J50" s="246" t="n"/>
      <c r="K50" s="246" t="n"/>
      <c r="L50" s="246" t="n"/>
      <c r="M50" s="260" t="n"/>
      <c r="N50" s="260" t="n"/>
      <c r="O50" s="260" t="n"/>
      <c r="Q50" s="318" t="inlineStr">
        <is>
          <t>Person:</t>
        </is>
      </c>
      <c r="R50" s="216" t="inlineStr">
        <is>
          <t>KpDpR</t>
        </is>
      </c>
      <c r="T50" s="246" t="n"/>
      <c r="U50" s="246" t="n"/>
      <c r="V50" s="246" t="n"/>
      <c r="W50" s="246" t="n"/>
      <c r="X50" s="246" t="n"/>
      <c r="Y50" s="246" t="n"/>
      <c r="Z50" s="246" t="n"/>
      <c r="AA50" s="246" t="n"/>
      <c r="AB50" s="246" t="n"/>
      <c r="AC50" s="246" t="n"/>
      <c r="AD50" s="246" t="n"/>
      <c r="AF50" s="246" t="n"/>
      <c r="AG50" s="246" t="n"/>
      <c r="AH50" s="246" t="n"/>
    </row>
    <row r="51" ht="14.25" customHeight="1" s="175">
      <c r="D51" s="192" t="n"/>
      <c r="E51" s="173" t="n"/>
      <c r="F51" s="207" t="n"/>
      <c r="G51" s="318" t="inlineStr">
        <is>
          <t>Maxine</t>
        </is>
      </c>
      <c r="H51" s="322">
        <f>$J$6</f>
        <v/>
      </c>
      <c r="J51" s="246" t="n"/>
      <c r="K51" s="246" t="n"/>
      <c r="L51" s="246" t="n"/>
      <c r="M51" s="260" t="n"/>
      <c r="N51" s="260" t="n"/>
      <c r="O51" s="260" t="n"/>
      <c r="Q51" s="318" t="inlineStr">
        <is>
          <t>Maxine</t>
        </is>
      </c>
      <c r="R51" s="322">
        <f>$M$6</f>
        <v/>
      </c>
      <c r="T51" s="246" t="n"/>
      <c r="U51" s="246" t="n"/>
      <c r="V51" s="246" t="n"/>
      <c r="W51" s="246" t="n"/>
      <c r="X51" s="246" t="n"/>
      <c r="Y51" s="246" t="n"/>
      <c r="Z51" s="246" t="n"/>
      <c r="AA51" s="246" t="n"/>
      <c r="AB51" s="246" t="n"/>
      <c r="AC51" s="246" t="n"/>
      <c r="AD51" s="246" t="n"/>
      <c r="AF51" s="246" t="n"/>
      <c r="AG51" s="246" t="n"/>
      <c r="AH51" s="246" t="n"/>
    </row>
    <row r="52" ht="14.25" customHeight="1" s="175">
      <c r="F52" s="207" t="n"/>
      <c r="G52" s="318" t="inlineStr">
        <is>
          <t>Sam</t>
        </is>
      </c>
      <c r="H52" s="322">
        <f>$J$9</f>
        <v/>
      </c>
      <c r="J52" s="246" t="n"/>
      <c r="K52" s="246" t="n"/>
      <c r="L52" s="246" t="n"/>
      <c r="M52" s="260" t="n"/>
      <c r="N52" s="260" t="n"/>
      <c r="O52" s="260" t="n"/>
      <c r="Q52" s="318" t="inlineStr">
        <is>
          <t>Sam</t>
        </is>
      </c>
      <c r="R52" s="322">
        <f>$M$9</f>
        <v/>
      </c>
      <c r="T52" s="246" t="n"/>
      <c r="U52" s="246" t="n"/>
      <c r="V52" s="246" t="n"/>
      <c r="W52" s="246" t="n"/>
      <c r="X52" s="246" t="n"/>
      <c r="Y52" s="246" t="n"/>
      <c r="Z52" s="246" t="n"/>
      <c r="AA52" s="246" t="n"/>
      <c r="AB52" s="246" t="n"/>
      <c r="AC52" s="246" t="n"/>
      <c r="AD52" s="246" t="n"/>
      <c r="AF52" s="220" t="inlineStr">
        <is>
          <t>MATRIX</t>
        </is>
      </c>
      <c r="AG52" s="317" t="inlineStr">
        <is>
          <t>Kills</t>
        </is>
      </c>
      <c r="AH52" s="317" t="inlineStr">
        <is>
          <t>Deaths</t>
        </is>
      </c>
      <c r="AI52" s="317" t="inlineStr">
        <is>
          <t>KDR</t>
        </is>
      </c>
      <c r="AJ52" s="317" t="inlineStr">
        <is>
          <t>Kill Points</t>
        </is>
      </c>
      <c r="AK52" s="317" t="inlineStr">
        <is>
          <t>Death Points</t>
        </is>
      </c>
      <c r="AL52" s="317" t="inlineStr">
        <is>
          <t>KpDpR</t>
        </is>
      </c>
      <c r="AM52" s="317" t="inlineStr">
        <is>
          <t>KPts/Kill</t>
        </is>
      </c>
      <c r="AN52" s="317" t="inlineStr">
        <is>
          <t>DPts/Death</t>
        </is>
      </c>
      <c r="AO52" s="317" t="inlineStr">
        <is>
          <t>Involvement</t>
        </is>
      </c>
    </row>
    <row r="53" ht="14.25" customHeight="1" s="175">
      <c r="F53" s="207" t="n"/>
      <c r="G53" s="318" t="inlineStr">
        <is>
          <t>Peter</t>
        </is>
      </c>
      <c r="H53" s="322">
        <f>$J$11</f>
        <v/>
      </c>
      <c r="J53" s="246" t="n"/>
      <c r="K53" s="246" t="n"/>
      <c r="L53" s="246" t="n"/>
      <c r="M53" s="260" t="n"/>
      <c r="N53" s="260" t="n"/>
      <c r="O53" s="260" t="n"/>
      <c r="Q53" s="318" t="inlineStr">
        <is>
          <t>Peter</t>
        </is>
      </c>
      <c r="R53" s="322">
        <f>$M$11</f>
        <v/>
      </c>
      <c r="T53" s="246" t="n"/>
      <c r="U53" s="246" t="n"/>
      <c r="V53" s="246" t="n"/>
      <c r="W53" s="246" t="n"/>
      <c r="X53" s="246" t="n"/>
      <c r="Y53" s="246" t="n"/>
      <c r="Z53" s="246" t="n"/>
      <c r="AA53" s="246" t="n"/>
      <c r="AB53" s="246" t="n"/>
      <c r="AC53" s="246" t="n"/>
      <c r="AD53" s="246" t="n"/>
      <c r="AF53" s="208" t="inlineStr">
        <is>
          <t>Weight:</t>
        </is>
      </c>
      <c r="AG53" s="230">
        <f>(20+18+16+4+5+6)/9</f>
        <v/>
      </c>
      <c r="AH53" s="230">
        <f>-(9+5+6+7+8+9+10)/9</f>
        <v/>
      </c>
      <c r="AI53" s="230">
        <f>4*(3+15+6+14+9+10)/9</f>
        <v/>
      </c>
      <c r="AJ53" s="230">
        <f>(30+9+24+7+1)/9</f>
        <v/>
      </c>
      <c r="AK53" s="230">
        <f>-(3+15+14+8+18)/9</f>
        <v/>
      </c>
      <c r="AL53" s="230">
        <f>4*(10+18+8+12+6)/9</f>
        <v/>
      </c>
      <c r="AM53" s="230">
        <f>5*(35+14)/9</f>
        <v/>
      </c>
      <c r="AN53" s="230">
        <f>-5*(1+4+3+4+10+7+9)/9</f>
        <v/>
      </c>
      <c r="AO53" s="230" t="n">
        <v>4</v>
      </c>
      <c r="AP53" s="220" t="inlineStr">
        <is>
          <t>Totals</t>
        </is>
      </c>
    </row>
    <row r="54" ht="14.25" customHeight="1" s="175">
      <c r="F54" s="207" t="n"/>
      <c r="G54" s="318" t="inlineStr">
        <is>
          <t>David</t>
        </is>
      </c>
      <c r="H54" s="322">
        <f>$J$7</f>
        <v/>
      </c>
      <c r="J54" s="246" t="n"/>
      <c r="K54" s="246" t="n"/>
      <c r="L54" s="246" t="n"/>
      <c r="M54" s="260" t="n"/>
      <c r="N54" s="260" t="n"/>
      <c r="O54" s="260" t="n"/>
      <c r="Q54" s="318" t="inlineStr">
        <is>
          <t>David</t>
        </is>
      </c>
      <c r="R54" s="322">
        <f>$M$7</f>
        <v/>
      </c>
      <c r="T54" s="246" t="n"/>
      <c r="U54" s="246" t="n"/>
      <c r="V54" s="246" t="n"/>
      <c r="W54" s="246" t="n"/>
      <c r="X54" s="246" t="n"/>
      <c r="Y54" s="246" t="n"/>
      <c r="Z54" s="246" t="n"/>
      <c r="AA54" s="246" t="n"/>
      <c r="AB54" s="246" t="n"/>
      <c r="AC54" s="246" t="n"/>
      <c r="AD54" s="246" t="n"/>
      <c r="AF54" s="226" t="inlineStr">
        <is>
          <t>Tenors</t>
        </is>
      </c>
      <c r="AG54" s="210">
        <f>$AG$53*H15</f>
        <v/>
      </c>
      <c r="AH54" s="210">
        <f>$AH$53*I15</f>
        <v/>
      </c>
      <c r="AI54" s="210">
        <f>$AI$53*J15</f>
        <v/>
      </c>
      <c r="AJ54" s="210">
        <f>$AJ$53*K15</f>
        <v/>
      </c>
      <c r="AK54" s="210">
        <f>$AK$53*L15</f>
        <v/>
      </c>
      <c r="AL54" s="210">
        <f>$AL$53*M15</f>
        <v/>
      </c>
      <c r="AM54" s="210">
        <f>$AM$53*N15</f>
        <v/>
      </c>
      <c r="AN54" s="210">
        <f>$AN$53*O15</f>
        <v/>
      </c>
      <c r="AO54" s="210">
        <f>SUM(H15:I15)*$AO$53</f>
        <v/>
      </c>
      <c r="AP54" s="210">
        <f>SUM(AG54:AO54)</f>
        <v/>
      </c>
    </row>
    <row r="55" ht="14.25" customHeight="1" s="175">
      <c r="F55" s="207" t="n"/>
      <c r="G55" s="318" t="inlineStr">
        <is>
          <t>Erick</t>
        </is>
      </c>
      <c r="H55" s="322">
        <f>$J$10</f>
        <v/>
      </c>
      <c r="J55" s="246" t="n"/>
      <c r="K55" s="246" t="n"/>
      <c r="L55" s="246" t="n"/>
      <c r="M55" s="260" t="n"/>
      <c r="N55" s="260" t="n"/>
      <c r="O55" s="260" t="n"/>
      <c r="Q55" s="318" t="inlineStr">
        <is>
          <t>Carter</t>
        </is>
      </c>
      <c r="R55" s="322">
        <f>$M$3</f>
        <v/>
      </c>
      <c r="T55" s="246" t="n"/>
      <c r="U55" s="246" t="n"/>
      <c r="V55" s="246" t="n"/>
      <c r="W55" s="246" t="n"/>
      <c r="X55" s="246" t="n"/>
      <c r="Y55" s="246" t="n"/>
      <c r="Z55" s="246" t="n"/>
      <c r="AA55" s="246" t="n"/>
      <c r="AB55" s="246" t="n"/>
      <c r="AC55" s="246" t="n"/>
      <c r="AD55" s="246" t="n"/>
      <c r="AF55" s="208" t="inlineStr">
        <is>
          <t>Leads</t>
        </is>
      </c>
      <c r="AG55" s="210">
        <f>$AG$53*H16</f>
        <v/>
      </c>
      <c r="AH55" s="210">
        <f>$AH$53*I16</f>
        <v/>
      </c>
      <c r="AI55" s="210">
        <f>$AI$53*J16</f>
        <v/>
      </c>
      <c r="AJ55" s="210">
        <f>$AJ$53*K16</f>
        <v/>
      </c>
      <c r="AK55" s="210">
        <f>$AK$53*L16</f>
        <v/>
      </c>
      <c r="AL55" s="210">
        <f>$AL$53*M16</f>
        <v/>
      </c>
      <c r="AM55" s="210">
        <f>$AM$53*N16</f>
        <v/>
      </c>
      <c r="AN55" s="210">
        <f>$AN$53*O16</f>
        <v/>
      </c>
      <c r="AO55" s="210">
        <f>SUM(H16:I16)*$AO$53</f>
        <v/>
      </c>
      <c r="AP55" s="210">
        <f>SUM(AG55:AO55)</f>
        <v/>
      </c>
    </row>
    <row r="56" ht="14.25" customHeight="1" s="175">
      <c r="F56" s="207" t="n"/>
      <c r="G56" s="318" t="inlineStr">
        <is>
          <t>Carter</t>
        </is>
      </c>
      <c r="H56" s="322">
        <f>$J$3</f>
        <v/>
      </c>
      <c r="J56" s="246" t="n"/>
      <c r="K56" s="246" t="n"/>
      <c r="L56" s="246" t="n"/>
      <c r="M56" s="260" t="n"/>
      <c r="N56" s="260" t="n"/>
      <c r="O56" s="260" t="n"/>
      <c r="Q56" s="318" t="inlineStr">
        <is>
          <t>Erick</t>
        </is>
      </c>
      <c r="R56" s="322">
        <f>$M$10</f>
        <v/>
      </c>
      <c r="T56" s="246" t="n"/>
      <c r="U56" s="246" t="n"/>
      <c r="V56" s="246" t="n"/>
      <c r="W56" s="246" t="n"/>
      <c r="X56" s="246" t="n"/>
      <c r="Y56" s="246" t="n"/>
      <c r="Z56" s="246" t="n"/>
      <c r="AA56" s="246" t="n"/>
      <c r="AB56" s="246" t="n"/>
      <c r="AC56" s="246" t="n"/>
      <c r="AD56" s="246" t="n"/>
      <c r="AF56" s="208" t="inlineStr">
        <is>
          <t>Baris</t>
        </is>
      </c>
      <c r="AG56" s="210">
        <f>$AG$53*H17</f>
        <v/>
      </c>
      <c r="AH56" s="210">
        <f>$AH$53*I17</f>
        <v/>
      </c>
      <c r="AI56" s="210">
        <f>$AI$53*J17</f>
        <v/>
      </c>
      <c r="AJ56" s="210">
        <f>$AJ$53*K17</f>
        <v/>
      </c>
      <c r="AK56" s="210">
        <f>$AK$53*L17</f>
        <v/>
      </c>
      <c r="AL56" s="210">
        <f>$AL$53*M17</f>
        <v/>
      </c>
      <c r="AM56" s="210">
        <f>$AM$53*N17</f>
        <v/>
      </c>
      <c r="AN56" s="210">
        <f>$AN$53*O17</f>
        <v/>
      </c>
      <c r="AO56" s="210">
        <f>SUM(H17:I17)*$AO$53</f>
        <v/>
      </c>
      <c r="AP56" s="210">
        <f>SUM(AG56:AO56)</f>
        <v/>
      </c>
    </row>
    <row r="57" ht="14.25" customHeight="1" s="175">
      <c r="F57" s="207" t="n"/>
      <c r="G57" s="318" t="inlineStr">
        <is>
          <t>Jon</t>
        </is>
      </c>
      <c r="H57" s="322">
        <f>$J$12</f>
        <v/>
      </c>
      <c r="J57" s="246" t="n"/>
      <c r="K57" s="246" t="n"/>
      <c r="L57" s="246" t="n"/>
      <c r="M57" s="260" t="n"/>
      <c r="N57" s="260" t="n"/>
      <c r="O57" s="260" t="n"/>
      <c r="Q57" s="318" t="inlineStr">
        <is>
          <t>Jon</t>
        </is>
      </c>
      <c r="R57" s="322">
        <f>$M$12</f>
        <v/>
      </c>
      <c r="T57" s="246" t="n"/>
      <c r="U57" s="246" t="n"/>
      <c r="V57" s="246" t="n"/>
      <c r="W57" s="246" t="n"/>
      <c r="X57" s="246" t="n"/>
      <c r="Y57" s="246" t="n"/>
      <c r="Z57" s="246" t="n"/>
      <c r="AA57" s="246" t="n"/>
      <c r="AB57" s="246" t="n"/>
      <c r="AC57" s="246" t="n"/>
      <c r="AD57" s="246" t="n"/>
      <c r="AF57" s="208" t="inlineStr">
        <is>
          <t>Basses</t>
        </is>
      </c>
      <c r="AG57" s="210">
        <f>$AG$53*H18</f>
        <v/>
      </c>
      <c r="AH57" s="210">
        <f>$AH$53*I18</f>
        <v/>
      </c>
      <c r="AI57" s="210">
        <f>$AI$53*J18</f>
        <v/>
      </c>
      <c r="AJ57" s="210">
        <f>$AJ$53*K18</f>
        <v/>
      </c>
      <c r="AK57" s="210">
        <f>$AK$53*L18</f>
        <v/>
      </c>
      <c r="AL57" s="210">
        <f>$AL$53*M18</f>
        <v/>
      </c>
      <c r="AM57" s="210">
        <f>$AM$53*N18</f>
        <v/>
      </c>
      <c r="AN57" s="210">
        <f>$AN$53*O18</f>
        <v/>
      </c>
      <c r="AO57" s="210">
        <f>SUM(H18:I18)*$AO$53</f>
        <v/>
      </c>
      <c r="AP57" s="210">
        <f>SUM(AG57:AO57)</f>
        <v/>
      </c>
    </row>
    <row r="58" ht="14.25" customHeight="1" s="175">
      <c r="F58" s="207" t="n"/>
      <c r="G58" s="318" t="inlineStr">
        <is>
          <t>Grady</t>
        </is>
      </c>
      <c r="H58" s="322">
        <f>$J$4</f>
        <v/>
      </c>
      <c r="J58" s="246" t="n"/>
      <c r="K58" s="246" t="n"/>
      <c r="L58" s="246" t="n"/>
      <c r="M58" s="260" t="n"/>
      <c r="N58" s="260" t="n"/>
      <c r="O58" s="260" t="n"/>
      <c r="Q58" s="318" t="inlineStr">
        <is>
          <t>Grady</t>
        </is>
      </c>
      <c r="R58" s="322">
        <f>$M$4</f>
        <v/>
      </c>
      <c r="T58" s="246" t="n"/>
      <c r="U58" s="246" t="n"/>
      <c r="V58" s="246" t="n"/>
      <c r="W58" s="246" t="n"/>
      <c r="X58" s="246" t="n"/>
      <c r="Y58" s="246" t="n"/>
      <c r="Z58" s="246" t="n"/>
      <c r="AA58" s="246" t="n"/>
      <c r="AB58" s="246" t="n"/>
      <c r="AC58" s="246" t="n"/>
      <c r="AD58" s="246" t="n"/>
    </row>
    <row r="59" ht="14.25" customHeight="1" s="175">
      <c r="F59" s="207" t="n"/>
      <c r="G59" s="318" t="inlineStr">
        <is>
          <t>Cooper</t>
        </is>
      </c>
      <c r="H59" s="322">
        <f>$J$5</f>
        <v/>
      </c>
      <c r="J59" s="246" t="n"/>
      <c r="K59" s="246" t="n"/>
      <c r="L59" s="246" t="n"/>
      <c r="M59" s="260" t="n"/>
      <c r="N59" s="260" t="n"/>
      <c r="O59" s="260" t="n"/>
      <c r="Q59" s="318" t="inlineStr">
        <is>
          <t>Cooper</t>
        </is>
      </c>
      <c r="R59" s="322">
        <f>$M$5</f>
        <v/>
      </c>
      <c r="T59" s="246" t="n"/>
      <c r="U59" s="246" t="n"/>
      <c r="V59" s="246" t="n"/>
      <c r="W59" s="246" t="n"/>
      <c r="X59" s="246" t="n"/>
      <c r="Y59" s="246" t="n"/>
      <c r="Z59" s="246" t="n"/>
      <c r="AA59" s="246" t="n"/>
      <c r="AB59" s="246" t="n"/>
      <c r="AC59" s="246" t="n"/>
      <c r="AD59" s="246" t="n"/>
      <c r="AF59" s="248" t="inlineStr">
        <is>
          <t>Part</t>
        </is>
      </c>
      <c r="AG59" s="249" t="inlineStr">
        <is>
          <t>Score</t>
        </is>
      </c>
      <c r="AH59" s="249" t="inlineStr">
        <is>
          <t>Adjusted</t>
        </is>
      </c>
    </row>
    <row r="60" ht="14.25" customHeight="1" s="175">
      <c r="F60" s="207" t="n"/>
      <c r="G60" s="318" t="inlineStr">
        <is>
          <t>Tyler</t>
        </is>
      </c>
      <c r="H60" s="322">
        <f>$J$8</f>
        <v/>
      </c>
      <c r="J60" s="246" t="n"/>
      <c r="K60" s="246" t="n"/>
      <c r="L60" s="246" t="n"/>
      <c r="M60" s="260" t="n"/>
      <c r="N60" s="260" t="n"/>
      <c r="O60" s="260" t="n"/>
      <c r="Q60" s="318" t="inlineStr">
        <is>
          <t>Tyler</t>
        </is>
      </c>
      <c r="R60" s="322">
        <f>$M$8</f>
        <v/>
      </c>
      <c r="T60" s="246" t="n"/>
      <c r="U60" s="246" t="n"/>
      <c r="V60" s="246" t="n"/>
      <c r="W60" s="246" t="n"/>
      <c r="X60" s="246" t="n"/>
      <c r="Y60" s="246" t="n"/>
      <c r="Z60" s="246" t="n"/>
      <c r="AA60" s="246" t="n"/>
      <c r="AB60" s="246" t="n"/>
      <c r="AC60" s="246" t="n"/>
      <c r="AD60" s="246" t="n"/>
      <c r="AF60" s="226" t="inlineStr">
        <is>
          <t>Baris</t>
        </is>
      </c>
      <c r="AG60" s="251">
        <f>$AP$56</f>
        <v/>
      </c>
      <c r="AH60" s="251">
        <f>AG60-($AG$63)</f>
        <v/>
      </c>
    </row>
    <row r="61" ht="14.25" customHeight="1" s="175">
      <c r="F61" s="192" t="n"/>
      <c r="J61" s="246" t="n"/>
      <c r="K61" s="246" t="n"/>
      <c r="L61" s="246" t="n"/>
      <c r="M61" s="260" t="n"/>
      <c r="N61" s="260" t="n"/>
      <c r="O61" s="260" t="n"/>
      <c r="T61" s="246" t="n"/>
      <c r="U61" s="246" t="n"/>
      <c r="V61" s="246" t="n"/>
      <c r="W61" s="246" t="n"/>
      <c r="X61" s="246" t="n"/>
      <c r="Y61" s="246" t="n"/>
      <c r="Z61" s="246" t="n"/>
      <c r="AA61" s="246" t="n"/>
      <c r="AB61" s="246" t="n"/>
      <c r="AC61" s="246" t="n"/>
      <c r="AD61" s="246" t="n"/>
      <c r="AF61" s="208" t="inlineStr">
        <is>
          <t>Leads</t>
        </is>
      </c>
      <c r="AG61" s="251">
        <f>$AP$55</f>
        <v/>
      </c>
      <c r="AH61" s="251">
        <f>AG61-($AG$63)</f>
        <v/>
      </c>
    </row>
    <row r="62" ht="14.25" customHeight="1" s="175">
      <c r="F62" s="207" t="n"/>
      <c r="J62" s="246" t="n"/>
      <c r="K62" s="246" t="n"/>
      <c r="L62" s="246" t="n"/>
      <c r="M62" s="260" t="n"/>
      <c r="N62" s="260" t="n"/>
      <c r="O62" s="260" t="n"/>
      <c r="T62" s="246" t="n"/>
      <c r="U62" s="246" t="n"/>
      <c r="V62" s="246" t="n"/>
      <c r="W62" s="246" t="n"/>
      <c r="X62" s="246" t="n"/>
      <c r="Y62" s="246" t="n"/>
      <c r="Z62" s="246" t="n"/>
      <c r="AA62" s="246" t="n"/>
      <c r="AB62" s="246" t="n"/>
      <c r="AC62" s="246" t="n"/>
      <c r="AD62" s="246" t="n"/>
      <c r="AF62" s="208" t="inlineStr">
        <is>
          <t>Basses</t>
        </is>
      </c>
      <c r="AG62" s="251">
        <f>$AP$57</f>
        <v/>
      </c>
      <c r="AH62" s="251">
        <f>AG62-($AG$63)</f>
        <v/>
      </c>
    </row>
    <row r="63" ht="14.25" customHeight="1" s="175">
      <c r="F63" s="207" t="n"/>
      <c r="J63" s="246" t="n"/>
      <c r="K63" s="246" t="n"/>
      <c r="L63" s="246" t="n"/>
      <c r="M63" s="260" t="n"/>
      <c r="N63" s="260" t="n"/>
      <c r="O63" s="260" t="n"/>
      <c r="P63" s="260" t="n"/>
      <c r="Q63" s="182" t="n"/>
      <c r="T63" s="246" t="n"/>
      <c r="U63" s="246" t="n"/>
      <c r="V63" s="246" t="n"/>
      <c r="W63" s="246" t="n"/>
      <c r="X63" s="246" t="n"/>
      <c r="Y63" s="246" t="n"/>
      <c r="Z63" s="246" t="n"/>
      <c r="AA63" s="246" t="n"/>
      <c r="AB63" s="246" t="n"/>
      <c r="AC63" s="246" t="n"/>
      <c r="AD63" s="246" t="n"/>
      <c r="AF63" s="208" t="inlineStr">
        <is>
          <t>Tenors</t>
        </is>
      </c>
      <c r="AG63" s="251">
        <f>$AP$54</f>
        <v/>
      </c>
      <c r="AH63" s="251">
        <f>AG63-($AG$63)</f>
        <v/>
      </c>
    </row>
    <row r="64" ht="14.25" customHeight="1" s="175">
      <c r="F64" s="207" t="n"/>
      <c r="G64" s="318" t="inlineStr">
        <is>
          <t>Part:</t>
        </is>
      </c>
      <c r="H64" s="216" t="inlineStr">
        <is>
          <t>Kills</t>
        </is>
      </c>
      <c r="J64" s="246" t="n"/>
      <c r="K64" s="246" t="n"/>
      <c r="L64" s="246" t="n"/>
      <c r="M64" s="260" t="n"/>
      <c r="N64" s="260" t="n"/>
      <c r="O64" s="260" t="n"/>
      <c r="Q64" s="318" t="inlineStr">
        <is>
          <t>Part:</t>
        </is>
      </c>
      <c r="R64" s="216" t="inlineStr">
        <is>
          <t>Kill Points</t>
        </is>
      </c>
      <c r="T64" s="246" t="n"/>
      <c r="U64" s="246" t="n"/>
      <c r="V64" s="246" t="n"/>
      <c r="W64" s="246" t="n"/>
      <c r="X64" s="246" t="n"/>
      <c r="Y64" s="246" t="n"/>
      <c r="Z64" s="246" t="n"/>
      <c r="AA64" s="246" t="n"/>
      <c r="AB64" s="246" t="n"/>
      <c r="AC64" s="246" t="n"/>
      <c r="AD64" s="246" t="n"/>
    </row>
    <row r="65" ht="14.25" customHeight="1" s="175">
      <c r="F65" s="207" t="n"/>
      <c r="G65" s="318" t="inlineStr">
        <is>
          <t>Basses</t>
        </is>
      </c>
      <c r="H65" s="243">
        <f>$H$18</f>
        <v/>
      </c>
      <c r="J65" s="246" t="n"/>
      <c r="K65" s="246" t="n"/>
      <c r="L65" s="246" t="n"/>
      <c r="M65" s="260" t="n"/>
      <c r="N65" s="260" t="n"/>
      <c r="O65" s="260" t="n"/>
      <c r="Q65" s="318" t="inlineStr">
        <is>
          <t>Basses</t>
        </is>
      </c>
      <c r="R65" s="323">
        <f>$K$18</f>
        <v/>
      </c>
      <c r="T65" s="246" t="n"/>
      <c r="U65" s="246" t="n"/>
      <c r="V65" s="246" t="n"/>
      <c r="W65" s="246" t="n"/>
      <c r="X65" s="246" t="n"/>
      <c r="Y65" s="246" t="n"/>
      <c r="Z65" s="246" t="n"/>
      <c r="AA65" s="246" t="n"/>
      <c r="AB65" s="246" t="n"/>
      <c r="AC65" s="246" t="n"/>
      <c r="AD65" s="246" t="n"/>
    </row>
    <row r="66" ht="14.25" customHeight="1" s="175">
      <c r="F66" s="207" t="n"/>
      <c r="G66" s="318" t="inlineStr">
        <is>
          <t>Tenors</t>
        </is>
      </c>
      <c r="H66" s="243">
        <f>$H$15</f>
        <v/>
      </c>
      <c r="J66" s="246" t="n"/>
      <c r="K66" s="246" t="n"/>
      <c r="L66" s="246" t="n"/>
      <c r="M66" s="260" t="n"/>
      <c r="N66" s="260" t="n"/>
      <c r="O66" s="260" t="n"/>
      <c r="Q66" s="318" t="inlineStr">
        <is>
          <t>Tenors</t>
        </is>
      </c>
      <c r="R66" s="323">
        <f>$K$15</f>
        <v/>
      </c>
      <c r="T66" s="246" t="n"/>
      <c r="U66" s="246" t="n"/>
      <c r="V66" s="246" t="n"/>
      <c r="W66" s="246" t="n"/>
      <c r="X66" s="246" t="n"/>
      <c r="Y66" s="246" t="n"/>
      <c r="Z66" s="246" t="n"/>
      <c r="AA66" s="246" t="n"/>
      <c r="AB66" s="246" t="n"/>
      <c r="AC66" s="246" t="n"/>
      <c r="AD66" s="246" t="n"/>
    </row>
    <row r="67" ht="14.25" customHeight="1" s="175">
      <c r="F67" s="207" t="n"/>
      <c r="G67" s="318" t="inlineStr">
        <is>
          <t>Baris</t>
        </is>
      </c>
      <c r="H67" s="243">
        <f>$H$17</f>
        <v/>
      </c>
      <c r="J67" s="246" t="n"/>
      <c r="K67" s="246" t="n"/>
      <c r="L67" s="246" t="n"/>
      <c r="M67" s="260" t="n"/>
      <c r="N67" s="260" t="n"/>
      <c r="O67" s="260" t="n"/>
      <c r="Q67" s="318" t="inlineStr">
        <is>
          <t>Leads</t>
        </is>
      </c>
      <c r="R67" s="323">
        <f>$K$16</f>
        <v/>
      </c>
      <c r="T67" s="246" t="n"/>
      <c r="U67" s="246" t="n"/>
      <c r="V67" s="246" t="n"/>
      <c r="W67" s="246" t="n"/>
      <c r="X67" s="246" t="n"/>
      <c r="Y67" s="246" t="n"/>
      <c r="Z67" s="246" t="n"/>
      <c r="AA67" s="246" t="n"/>
      <c r="AB67" s="246" t="n"/>
      <c r="AC67" s="246" t="n"/>
      <c r="AD67" s="246" t="n"/>
    </row>
    <row r="68" ht="14.25" customHeight="1" s="175">
      <c r="F68" s="207" t="n"/>
      <c r="G68" s="318" t="inlineStr">
        <is>
          <t>Leads</t>
        </is>
      </c>
      <c r="H68" s="243">
        <f>$H$16</f>
        <v/>
      </c>
      <c r="J68" s="246" t="n"/>
      <c r="K68" s="246" t="n"/>
      <c r="L68" s="246" t="n"/>
      <c r="M68" s="260" t="n"/>
      <c r="N68" s="260" t="n"/>
      <c r="O68" s="260" t="n"/>
      <c r="Q68" s="318" t="inlineStr">
        <is>
          <t>Baris</t>
        </is>
      </c>
      <c r="R68" s="323">
        <f>$K$17</f>
        <v/>
      </c>
      <c r="T68" s="246" t="n"/>
      <c r="U68" s="246" t="n"/>
      <c r="V68" s="246" t="n"/>
      <c r="W68" s="246" t="n"/>
      <c r="X68" s="246" t="n"/>
      <c r="Y68" s="246" t="n"/>
      <c r="Z68" s="246" t="n"/>
      <c r="AA68" s="246" t="n"/>
      <c r="AB68" s="246" t="n"/>
      <c r="AC68" s="246" t="n"/>
      <c r="AD68" s="246" t="n"/>
      <c r="AF68" s="246" t="n"/>
      <c r="AG68" s="246" t="n"/>
      <c r="AH68" s="246" t="n"/>
    </row>
    <row r="69" ht="14.25" customHeight="1" s="175">
      <c r="F69" s="207" t="n"/>
      <c r="J69" s="246" t="n"/>
      <c r="K69" s="246" t="n"/>
      <c r="L69" s="246" t="n"/>
      <c r="M69" s="260" t="n"/>
      <c r="N69" s="260" t="n"/>
      <c r="O69" s="260" t="n"/>
      <c r="P69" s="260" t="n"/>
      <c r="Q69" s="182" t="n"/>
      <c r="T69" s="246" t="n"/>
      <c r="U69" s="246" t="n"/>
      <c r="V69" s="246" t="n"/>
      <c r="W69" s="246" t="n"/>
      <c r="X69" s="246" t="n"/>
      <c r="Y69" s="246" t="n"/>
      <c r="Z69" s="246" t="n"/>
      <c r="AA69" s="246" t="n"/>
      <c r="AB69" s="246" t="n"/>
      <c r="AC69" s="246" t="n"/>
      <c r="AD69" s="246" t="n"/>
      <c r="AF69" s="246" t="n"/>
      <c r="AG69" s="246" t="n"/>
      <c r="AH69" s="246" t="n"/>
    </row>
    <row r="70" ht="14.25" customHeight="1" s="175">
      <c r="F70" s="207" t="n"/>
      <c r="J70" s="246" t="n"/>
      <c r="K70" s="246" t="n"/>
      <c r="L70" s="246" t="n"/>
      <c r="M70" s="260" t="n"/>
      <c r="N70" s="260" t="n"/>
      <c r="O70" s="260" t="n"/>
      <c r="P70" s="260" t="n"/>
      <c r="Q70" s="182" t="n"/>
      <c r="T70" s="246" t="n"/>
      <c r="U70" s="246" t="n"/>
      <c r="V70" s="246" t="n"/>
      <c r="W70" s="246" t="n"/>
      <c r="X70" s="246" t="n"/>
      <c r="Y70" s="246" t="n"/>
      <c r="Z70" s="246" t="n"/>
      <c r="AA70" s="246" t="n"/>
      <c r="AB70" s="246" t="n"/>
      <c r="AC70" s="246" t="n"/>
      <c r="AD70" s="246" t="n"/>
      <c r="AF70" s="246" t="n"/>
      <c r="AG70" s="246" t="n"/>
      <c r="AH70" s="246" t="n"/>
    </row>
    <row r="71" ht="14.25" customHeight="1" s="175">
      <c r="F71" s="192" t="n"/>
      <c r="J71" s="246" t="n"/>
      <c r="K71" s="246" t="n"/>
      <c r="L71" s="246" t="n"/>
      <c r="M71" s="260" t="n"/>
      <c r="N71" s="260" t="n"/>
      <c r="O71" s="260" t="n"/>
      <c r="P71" s="260" t="n"/>
      <c r="Q71" s="182" t="n"/>
      <c r="T71" s="246" t="n"/>
      <c r="U71" s="246" t="n"/>
      <c r="V71" s="246" t="n"/>
      <c r="W71" s="246" t="n"/>
      <c r="X71" s="246" t="n"/>
      <c r="Y71" s="246" t="n"/>
      <c r="Z71" s="246" t="n"/>
      <c r="AA71" s="246" t="n"/>
      <c r="AB71" s="246" t="n"/>
      <c r="AC71" s="246" t="n"/>
      <c r="AD71" s="246" t="n"/>
      <c r="AF71" s="246" t="n"/>
      <c r="AG71" s="246" t="n"/>
      <c r="AH71" s="246" t="n"/>
    </row>
    <row r="72" ht="14.25" customHeight="1" s="175">
      <c r="F72" s="207" t="n"/>
      <c r="J72" s="246" t="n"/>
      <c r="K72" s="246" t="n"/>
      <c r="L72" s="246" t="n"/>
      <c r="M72" s="260" t="n"/>
      <c r="N72" s="260" t="n"/>
      <c r="O72" s="260" t="n"/>
      <c r="P72" s="260" t="n"/>
      <c r="Q72" s="182" t="n"/>
      <c r="T72" s="246" t="n"/>
      <c r="U72" s="246" t="n"/>
      <c r="V72" s="246" t="n"/>
      <c r="W72" s="246" t="n"/>
      <c r="X72" s="246" t="n"/>
      <c r="Y72" s="246" t="n"/>
      <c r="Z72" s="246" t="n"/>
      <c r="AA72" s="246" t="n"/>
      <c r="AB72" s="246" t="n"/>
      <c r="AC72" s="246" t="n"/>
      <c r="AD72" s="246" t="n"/>
      <c r="AG72" s="246" t="n"/>
      <c r="AH72" s="246" t="n"/>
    </row>
    <row r="73" ht="14.25" customHeight="1" s="175">
      <c r="F73" s="207" t="n"/>
      <c r="G73" s="318" t="inlineStr">
        <is>
          <t>Part:</t>
        </is>
      </c>
      <c r="H73" s="216" t="inlineStr">
        <is>
          <t>Deaths</t>
        </is>
      </c>
      <c r="J73" s="246" t="n"/>
      <c r="K73" s="246" t="n"/>
      <c r="L73" s="246" t="n"/>
      <c r="M73" s="260" t="n"/>
      <c r="N73" s="260" t="n"/>
      <c r="O73" s="260" t="n"/>
      <c r="Q73" s="318" t="inlineStr">
        <is>
          <t>Part:</t>
        </is>
      </c>
      <c r="R73" s="216" t="inlineStr">
        <is>
          <t>Death Points</t>
        </is>
      </c>
      <c r="T73" s="246" t="n"/>
      <c r="U73" s="246" t="n"/>
      <c r="V73" s="246" t="n"/>
      <c r="W73" s="246" t="n"/>
      <c r="X73" s="246" t="n"/>
      <c r="Y73" s="246" t="n"/>
      <c r="Z73" s="246" t="n"/>
      <c r="AA73" s="246" t="n"/>
      <c r="AB73" s="246" t="n"/>
      <c r="AC73" s="246" t="n"/>
      <c r="AD73" s="246" t="n"/>
      <c r="AF73" s="246" t="n"/>
      <c r="AG73" s="246" t="n"/>
      <c r="AH73" s="246" t="n"/>
    </row>
    <row r="74" ht="14.25" customHeight="1" s="175">
      <c r="F74" s="207" t="n"/>
      <c r="G74" s="318" t="inlineStr">
        <is>
          <t>Leads</t>
        </is>
      </c>
      <c r="H74" s="244">
        <f>$I$16</f>
        <v/>
      </c>
      <c r="J74" s="246" t="n"/>
      <c r="K74" s="246" t="n"/>
      <c r="L74" s="246" t="n"/>
      <c r="M74" s="260" t="n"/>
      <c r="N74" s="260" t="n"/>
      <c r="O74" s="260" t="n"/>
      <c r="Q74" s="318" t="inlineStr">
        <is>
          <t>Leads</t>
        </is>
      </c>
      <c r="R74" s="244">
        <f>$L$16</f>
        <v/>
      </c>
      <c r="T74" s="246" t="n"/>
      <c r="U74" s="246" t="n"/>
      <c r="V74" s="246" t="n"/>
      <c r="W74" s="246" t="n"/>
      <c r="X74" s="246" t="n"/>
      <c r="Y74" s="246" t="n"/>
      <c r="Z74" s="246" t="n"/>
      <c r="AA74" s="246" t="n"/>
      <c r="AB74" s="246" t="n"/>
      <c r="AC74" s="246" t="n"/>
      <c r="AD74" s="246" t="n"/>
      <c r="AE74" s="246" t="n"/>
      <c r="AF74" s="246" t="n"/>
      <c r="AG74" s="246" t="n"/>
      <c r="AH74" s="246" t="n"/>
    </row>
    <row r="75" ht="14.25" customHeight="1" s="175">
      <c r="F75" s="207" t="n"/>
      <c r="G75" s="318" t="inlineStr">
        <is>
          <t>Baris</t>
        </is>
      </c>
      <c r="H75" s="244">
        <f>$I$17</f>
        <v/>
      </c>
      <c r="J75" s="246" t="n"/>
      <c r="K75" s="246" t="n"/>
      <c r="L75" s="246" t="n"/>
      <c r="M75" s="260" t="n"/>
      <c r="N75" s="260" t="n"/>
      <c r="O75" s="260" t="n"/>
      <c r="Q75" s="318" t="inlineStr">
        <is>
          <t>Baris</t>
        </is>
      </c>
      <c r="R75" s="244">
        <f>$L$17</f>
        <v/>
      </c>
      <c r="T75" s="246" t="n"/>
      <c r="U75" s="246" t="n"/>
      <c r="V75" s="246" t="n"/>
      <c r="W75" s="246" t="n"/>
      <c r="X75" s="246" t="n"/>
      <c r="Y75" s="246" t="n"/>
      <c r="Z75" s="246" t="n"/>
      <c r="AA75" s="246" t="n"/>
      <c r="AB75" s="246" t="n"/>
      <c r="AC75" s="246" t="n"/>
      <c r="AD75" s="246" t="n"/>
      <c r="AE75" s="246" t="n"/>
      <c r="AF75" s="246" t="n"/>
      <c r="AG75" s="246" t="n"/>
    </row>
    <row r="76" ht="14.25" customHeight="1" s="175">
      <c r="F76" s="207" t="n"/>
      <c r="G76" s="318" t="inlineStr">
        <is>
          <t>Basses</t>
        </is>
      </c>
      <c r="H76" s="244">
        <f>$I$18</f>
        <v/>
      </c>
      <c r="J76" s="246" t="n"/>
      <c r="K76" s="246" t="n"/>
      <c r="L76" s="246" t="n"/>
      <c r="M76" s="260" t="n"/>
      <c r="N76" s="260" t="n"/>
      <c r="O76" s="260" t="n"/>
      <c r="Q76" s="318" t="inlineStr">
        <is>
          <t>Basses</t>
        </is>
      </c>
      <c r="R76" s="244">
        <f>$L$18</f>
        <v/>
      </c>
      <c r="T76" s="246" t="n"/>
      <c r="U76" s="246" t="n"/>
      <c r="V76" s="246" t="n"/>
      <c r="W76" s="246" t="n"/>
      <c r="X76" s="246" t="n"/>
      <c r="Y76" s="246" t="n"/>
      <c r="Z76" s="246" t="n"/>
      <c r="AA76" s="246" t="n"/>
      <c r="AB76" s="246" t="n"/>
      <c r="AC76" s="246" t="n"/>
      <c r="AD76" s="246" t="n"/>
      <c r="AE76" s="246" t="n"/>
      <c r="AF76" s="246" t="n"/>
      <c r="AG76" s="246" t="n"/>
    </row>
    <row r="77" ht="14.25" customHeight="1" s="175">
      <c r="F77" s="207" t="n"/>
      <c r="G77" s="318" t="inlineStr">
        <is>
          <t>Tenors</t>
        </is>
      </c>
      <c r="H77" s="244">
        <f>$I$15</f>
        <v/>
      </c>
      <c r="J77" s="246" t="n"/>
      <c r="K77" s="246" t="n"/>
      <c r="L77" s="246" t="n"/>
      <c r="M77" s="260" t="n"/>
      <c r="N77" s="260" t="n"/>
      <c r="O77" s="260" t="n"/>
      <c r="Q77" s="318" t="inlineStr">
        <is>
          <t>Tenors</t>
        </is>
      </c>
      <c r="R77" s="244">
        <f>$L$15</f>
        <v/>
      </c>
      <c r="T77" s="246" t="n"/>
      <c r="U77" s="246" t="n"/>
      <c r="V77" s="246" t="n"/>
      <c r="W77" s="246" t="n"/>
      <c r="X77" s="246" t="n"/>
      <c r="Y77" s="246" t="n"/>
      <c r="Z77" s="246" t="n"/>
      <c r="AA77" s="246" t="n"/>
      <c r="AB77" s="246" t="n"/>
      <c r="AC77" s="246" t="n"/>
      <c r="AD77" s="246" t="n"/>
      <c r="AE77" s="246" t="n"/>
      <c r="AF77" s="246" t="n"/>
      <c r="AG77" s="246" t="n"/>
    </row>
    <row r="78" ht="14.25" customHeight="1" s="175">
      <c r="F78" s="207" t="n"/>
      <c r="J78" s="246" t="n"/>
      <c r="K78" s="246" t="n"/>
      <c r="L78" s="246" t="n"/>
      <c r="M78" s="260" t="n"/>
      <c r="N78" s="260" t="n"/>
      <c r="O78" s="260" t="n"/>
      <c r="P78" s="260" t="n"/>
      <c r="Q78" s="182" t="n"/>
      <c r="T78" s="246" t="n"/>
      <c r="U78" s="246" t="n"/>
      <c r="V78" s="246" t="n"/>
      <c r="W78" s="246" t="n"/>
      <c r="X78" s="246" t="n"/>
      <c r="Y78" s="246" t="n"/>
      <c r="Z78" s="246" t="n"/>
      <c r="AA78" s="246" t="n"/>
      <c r="AB78" s="246" t="n"/>
      <c r="AC78" s="246" t="n"/>
      <c r="AD78" s="246" t="n"/>
      <c r="AE78" s="246" t="n"/>
      <c r="AF78" s="246" t="n"/>
      <c r="AG78" s="246" t="n"/>
    </row>
    <row r="79" ht="14.25" customHeight="1" s="175">
      <c r="F79" s="207" t="n"/>
      <c r="J79" s="246" t="n"/>
      <c r="K79" s="246" t="n"/>
      <c r="L79" s="246" t="n"/>
      <c r="M79" s="260" t="n"/>
      <c r="N79" s="260" t="n"/>
      <c r="O79" s="260" t="n"/>
      <c r="P79" s="260" t="n"/>
      <c r="Q79" s="182" t="n"/>
      <c r="T79" s="246" t="n"/>
      <c r="U79" s="246" t="n"/>
      <c r="V79" s="246" t="n"/>
      <c r="W79" s="246" t="n"/>
      <c r="X79" s="246" t="n"/>
      <c r="Y79" s="246" t="n"/>
      <c r="Z79" s="246" t="n"/>
      <c r="AA79" s="246" t="n"/>
      <c r="AB79" s="246" t="n"/>
      <c r="AC79" s="246" t="n"/>
      <c r="AD79" s="246" t="n"/>
      <c r="AE79" s="246" t="n"/>
      <c r="AF79" s="246" t="n"/>
      <c r="AG79" s="246" t="n"/>
    </row>
    <row r="80" ht="14.25" customHeight="1" s="175">
      <c r="F80" s="207" t="n"/>
      <c r="J80" s="246" t="n"/>
      <c r="K80" s="246" t="n"/>
      <c r="L80" s="246" t="n"/>
      <c r="M80" s="260" t="n"/>
      <c r="N80" s="260" t="n"/>
      <c r="O80" s="260" t="n"/>
      <c r="P80" s="260" t="n"/>
      <c r="Q80" s="182" t="n"/>
      <c r="T80" s="246" t="n"/>
      <c r="U80" s="246" t="n"/>
      <c r="V80" s="246" t="n"/>
      <c r="W80" s="246" t="n"/>
      <c r="X80" s="246" t="n"/>
      <c r="Y80" s="246" t="n"/>
      <c r="Z80" s="246" t="n"/>
      <c r="AA80" s="246" t="n"/>
      <c r="AB80" s="246" t="n"/>
      <c r="AC80" s="246" t="n"/>
      <c r="AD80" s="246" t="n"/>
      <c r="AE80" s="246" t="n"/>
      <c r="AF80" s="246" t="n"/>
      <c r="AG80" s="246" t="n"/>
    </row>
    <row r="81" ht="14.25" customHeight="1" s="175">
      <c r="F81" s="192" t="n"/>
      <c r="J81" s="246" t="n"/>
      <c r="K81" s="246" t="n"/>
      <c r="L81" s="246" t="n"/>
      <c r="M81" s="260" t="n"/>
      <c r="N81" s="260" t="n"/>
      <c r="O81" s="260" t="n"/>
      <c r="P81" s="260" t="n"/>
      <c r="Q81" s="182" t="n"/>
      <c r="T81" s="246" t="n"/>
      <c r="U81" s="246" t="n"/>
      <c r="V81" s="246" t="n"/>
      <c r="W81" s="246" t="n"/>
      <c r="X81" s="246" t="n"/>
      <c r="Y81" s="246" t="n"/>
      <c r="Z81" s="246" t="n"/>
      <c r="AA81" s="246" t="n"/>
      <c r="AB81" s="246" t="n"/>
      <c r="AC81" s="246" t="n"/>
      <c r="AD81" s="246" t="n"/>
      <c r="AE81" s="246" t="n"/>
      <c r="AF81" s="246" t="n"/>
      <c r="AG81" s="246" t="n"/>
    </row>
    <row r="82" ht="14.25" customHeight="1" s="175">
      <c r="F82" s="207" t="n"/>
      <c r="G82" s="318" t="inlineStr">
        <is>
          <t>Part:</t>
        </is>
      </c>
      <c r="H82" s="216" t="inlineStr">
        <is>
          <t>KDR</t>
        </is>
      </c>
      <c r="J82" s="246" t="n"/>
      <c r="K82" s="246" t="n"/>
      <c r="L82" s="246" t="n"/>
      <c r="M82" s="260" t="n"/>
      <c r="N82" s="260" t="n"/>
      <c r="O82" s="260" t="n"/>
      <c r="Q82" s="318" t="inlineStr">
        <is>
          <t>Part:</t>
        </is>
      </c>
      <c r="R82" s="216" t="inlineStr">
        <is>
          <t>KpDpR</t>
        </is>
      </c>
      <c r="T82" s="246" t="n"/>
      <c r="U82" s="246" t="n"/>
      <c r="V82" s="246" t="n"/>
      <c r="W82" s="246" t="n"/>
      <c r="X82" s="246" t="n"/>
      <c r="Y82" s="246" t="n"/>
      <c r="Z82" s="246" t="n"/>
      <c r="AA82" s="246" t="n"/>
      <c r="AB82" s="246" t="n"/>
      <c r="AC82" s="246" t="n"/>
      <c r="AD82" s="246" t="n"/>
      <c r="AE82" s="246" t="n"/>
      <c r="AF82" s="246" t="n"/>
      <c r="AG82" s="246" t="n"/>
    </row>
    <row r="83" ht="14.25" customHeight="1" s="175">
      <c r="F83" s="207" t="n"/>
      <c r="G83" s="318" t="inlineStr">
        <is>
          <t>Tenors</t>
        </is>
      </c>
      <c r="H83" s="322">
        <f>$J$15</f>
        <v/>
      </c>
      <c r="J83" s="246" t="n"/>
      <c r="K83" s="246" t="n"/>
      <c r="L83" s="246" t="n"/>
      <c r="M83" s="260" t="n"/>
      <c r="N83" s="260" t="n"/>
      <c r="O83" s="260" t="n"/>
      <c r="Q83" s="318" t="inlineStr">
        <is>
          <t>Tenors</t>
        </is>
      </c>
      <c r="R83" s="322">
        <f>$M$15</f>
        <v/>
      </c>
      <c r="T83" s="246" t="n"/>
      <c r="U83" s="246" t="n"/>
      <c r="V83" s="246" t="n"/>
      <c r="W83" s="246" t="n"/>
      <c r="X83" s="246" t="n"/>
      <c r="Y83" s="246" t="n"/>
      <c r="Z83" s="246" t="n"/>
      <c r="AA83" s="246" t="n"/>
      <c r="AB83" s="246" t="n"/>
      <c r="AC83" s="246" t="n"/>
      <c r="AD83" s="246" t="n"/>
      <c r="AE83" s="246" t="n"/>
      <c r="AF83" s="246" t="n"/>
      <c r="AG83" s="246" t="n"/>
    </row>
    <row r="84" ht="14.25" customHeight="1" s="175">
      <c r="F84" s="207" t="n"/>
      <c r="G84" s="318" t="inlineStr">
        <is>
          <t>Basses</t>
        </is>
      </c>
      <c r="H84" s="322">
        <f>$J$18</f>
        <v/>
      </c>
      <c r="J84" s="246" t="n"/>
      <c r="K84" s="246" t="n"/>
      <c r="L84" s="246" t="n"/>
      <c r="M84" s="260" t="n"/>
      <c r="N84" s="260" t="n"/>
      <c r="O84" s="260" t="n"/>
      <c r="Q84" s="318" t="inlineStr">
        <is>
          <t>Basses</t>
        </is>
      </c>
      <c r="R84" s="322">
        <f>$M$18</f>
        <v/>
      </c>
      <c r="T84" s="246" t="n"/>
      <c r="U84" s="246" t="n"/>
      <c r="V84" s="246" t="n"/>
      <c r="W84" s="246" t="n"/>
      <c r="X84" s="246" t="n"/>
      <c r="Y84" s="246" t="n"/>
      <c r="Z84" s="246" t="n"/>
      <c r="AA84" s="246" t="n"/>
      <c r="AB84" s="246" t="n"/>
      <c r="AC84" s="246" t="n"/>
      <c r="AD84" s="246" t="n"/>
      <c r="AE84" s="246" t="n"/>
      <c r="AF84" s="246" t="n"/>
      <c r="AG84" s="246" t="n"/>
    </row>
    <row r="85" ht="14.25" customHeight="1" s="175">
      <c r="F85" s="207" t="n"/>
      <c r="G85" s="318" t="inlineStr">
        <is>
          <t>Baris</t>
        </is>
      </c>
      <c r="H85" s="322">
        <f>$J$17</f>
        <v/>
      </c>
      <c r="J85" s="246" t="n"/>
      <c r="K85" s="246" t="n"/>
      <c r="L85" s="246" t="n"/>
      <c r="M85" s="260" t="n"/>
      <c r="N85" s="260" t="n"/>
      <c r="O85" s="260" t="n"/>
      <c r="Q85" s="318" t="inlineStr">
        <is>
          <t>Leads</t>
        </is>
      </c>
      <c r="R85" s="322">
        <f>$M$16</f>
        <v/>
      </c>
      <c r="T85" s="246" t="n"/>
      <c r="U85" s="246" t="n"/>
      <c r="V85" s="246" t="n"/>
      <c r="W85" s="246" t="n"/>
      <c r="X85" s="246" t="n"/>
      <c r="Y85" s="246" t="n"/>
      <c r="Z85" s="246" t="n"/>
      <c r="AA85" s="246" t="n"/>
      <c r="AB85" s="246" t="n"/>
      <c r="AC85" s="246" t="n"/>
      <c r="AD85" s="246" t="n"/>
      <c r="AE85" s="246" t="n"/>
      <c r="AF85" s="246" t="n"/>
      <c r="AG85" s="246" t="n"/>
      <c r="AJ85" s="246" t="n"/>
      <c r="AK85" s="260" t="n"/>
    </row>
    <row r="86" ht="14.25" customHeight="1" s="175">
      <c r="F86" s="207" t="n"/>
      <c r="G86" s="318" t="inlineStr">
        <is>
          <t>Leads</t>
        </is>
      </c>
      <c r="H86" s="322">
        <f>$J$16</f>
        <v/>
      </c>
      <c r="J86" s="246" t="n"/>
      <c r="K86" s="246" t="n"/>
      <c r="L86" s="246" t="n"/>
      <c r="M86" s="260" t="n"/>
      <c r="N86" s="260" t="n"/>
      <c r="O86" s="260" t="n"/>
      <c r="Q86" s="318" t="inlineStr">
        <is>
          <t>Baris</t>
        </is>
      </c>
      <c r="R86" s="322">
        <f>$M$17</f>
        <v/>
      </c>
      <c r="T86" s="246" t="n"/>
      <c r="U86" s="246" t="n"/>
      <c r="V86" s="246" t="n"/>
      <c r="W86" s="246" t="n"/>
      <c r="X86" s="246" t="n"/>
      <c r="Y86" s="246" t="n"/>
      <c r="Z86" s="246" t="n"/>
      <c r="AA86" s="246" t="n"/>
      <c r="AB86" s="246" t="n"/>
      <c r="AC86" s="246" t="n"/>
      <c r="AD86" s="246" t="n"/>
      <c r="AE86" s="246" t="n"/>
      <c r="AF86" s="246" t="n"/>
      <c r="AG86" s="246" t="n"/>
      <c r="AJ86" s="246" t="n"/>
      <c r="AK86" s="260" t="n"/>
    </row>
    <row r="87" ht="14.25" customHeight="1" s="175">
      <c r="F87" s="207" t="n"/>
      <c r="J87" s="246" t="n"/>
      <c r="K87" s="246" t="n"/>
      <c r="L87" s="246" t="n"/>
      <c r="M87" s="260" t="n"/>
      <c r="N87" s="260" t="n"/>
      <c r="O87" s="260" t="n"/>
      <c r="P87" s="260" t="n"/>
      <c r="Q87" s="182" t="n"/>
      <c r="T87" s="246" t="n"/>
      <c r="U87" s="246" t="n"/>
      <c r="V87" s="246" t="n"/>
      <c r="W87" s="246" t="n"/>
      <c r="X87" s="246" t="n"/>
      <c r="Y87" s="246" t="n"/>
      <c r="Z87" s="246" t="n"/>
      <c r="AA87" s="246" t="n"/>
      <c r="AB87" s="246" t="n"/>
      <c r="AC87" s="246" t="n"/>
      <c r="AD87" s="246" t="n"/>
      <c r="AE87" s="246" t="n"/>
      <c r="AF87" s="246" t="n"/>
      <c r="AG87" s="246" t="n"/>
      <c r="AJ87" s="246" t="n"/>
      <c r="AK87" s="260" t="n"/>
    </row>
    <row r="88" ht="14.25" customHeight="1" s="175">
      <c r="F88" s="207" t="n"/>
      <c r="J88" s="246" t="n"/>
      <c r="K88" s="246" t="n"/>
      <c r="L88" s="246" t="n"/>
      <c r="M88" s="260" t="n"/>
      <c r="N88" s="260" t="n"/>
      <c r="O88" s="260" t="n"/>
      <c r="P88" s="260" t="n"/>
      <c r="Q88" s="182" t="n"/>
      <c r="T88" s="246" t="n"/>
      <c r="U88" s="246" t="n"/>
      <c r="V88" s="246" t="n"/>
      <c r="W88" s="246" t="n"/>
      <c r="X88" s="246" t="n"/>
      <c r="Y88" s="246" t="n"/>
      <c r="Z88" s="246" t="n"/>
      <c r="AA88" s="246" t="n"/>
      <c r="AB88" s="246" t="n"/>
      <c r="AC88" s="246" t="n"/>
      <c r="AD88" s="246" t="n"/>
      <c r="AE88" s="246" t="n"/>
      <c r="AF88" s="246" t="n"/>
      <c r="AG88" s="246" t="n"/>
      <c r="AJ88" s="246" t="n"/>
      <c r="AK88" s="260" t="n"/>
    </row>
    <row r="89" ht="14.25" customHeight="1" s="175">
      <c r="F89" s="207" t="n"/>
      <c r="J89" s="246" t="n"/>
      <c r="K89" s="246" t="n"/>
      <c r="L89" s="246" t="n"/>
      <c r="M89" s="260" t="n"/>
      <c r="N89" s="260" t="n"/>
      <c r="O89" s="260" t="n"/>
      <c r="P89" s="260" t="n"/>
      <c r="Q89" s="182" t="n"/>
      <c r="T89" s="246" t="n"/>
      <c r="U89" s="246" t="n"/>
      <c r="V89" s="246" t="n"/>
      <c r="W89" s="246" t="n"/>
      <c r="X89" s="246" t="n"/>
      <c r="Y89" s="246" t="n"/>
      <c r="Z89" s="246" t="n"/>
      <c r="AA89" s="246" t="n"/>
      <c r="AB89" s="246" t="n"/>
      <c r="AC89" s="246" t="n"/>
      <c r="AD89" s="246" t="n"/>
      <c r="AE89" s="246" t="n"/>
      <c r="AF89" s="246" t="n"/>
      <c r="AG89" s="246" t="n"/>
      <c r="AJ89" s="246" t="n"/>
      <c r="AK89" s="260" t="n"/>
    </row>
    <row r="90" ht="14.25" customHeight="1" s="175">
      <c r="F90" s="207" t="n"/>
      <c r="J90" s="246" t="n"/>
      <c r="K90" s="246" t="n"/>
      <c r="L90" s="246" t="n"/>
      <c r="M90" s="260" t="n"/>
      <c r="N90" s="260" t="n"/>
      <c r="O90" s="260" t="n"/>
      <c r="P90" s="260" t="n"/>
      <c r="Q90" s="182" t="n"/>
      <c r="T90" s="246" t="n"/>
      <c r="U90" s="246" t="n"/>
      <c r="V90" s="246" t="n"/>
      <c r="W90" s="246" t="n"/>
      <c r="X90" s="246" t="n"/>
      <c r="Y90" s="246" t="n"/>
      <c r="Z90" s="246" t="n"/>
      <c r="AA90" s="246" t="n"/>
      <c r="AB90" s="246" t="n"/>
      <c r="AC90" s="246" t="n"/>
      <c r="AD90" s="246" t="n"/>
      <c r="AE90" s="246" t="n"/>
      <c r="AF90" s="246" t="n"/>
      <c r="AG90" s="246" t="n"/>
      <c r="AJ90" s="246" t="n"/>
      <c r="AK90" s="260" t="n"/>
    </row>
    <row r="91" ht="14.25" customHeight="1" s="175">
      <c r="F91" s="207" t="n"/>
      <c r="J91" s="246" t="n"/>
      <c r="K91" s="246" t="n"/>
      <c r="L91" s="246" t="n"/>
      <c r="M91" s="260" t="n"/>
      <c r="N91" s="260" t="n"/>
      <c r="O91" s="260" t="n"/>
      <c r="P91" s="260" t="n"/>
      <c r="Q91" s="182" t="n"/>
      <c r="T91" s="246" t="n"/>
      <c r="U91" s="246" t="n"/>
      <c r="V91" s="246" t="n"/>
      <c r="W91" s="246" t="n"/>
      <c r="X91" s="246" t="n"/>
      <c r="Y91" s="246" t="n"/>
      <c r="Z91" s="246" t="n"/>
      <c r="AA91" s="246" t="n"/>
      <c r="AB91" s="246" t="n"/>
      <c r="AC91" s="246" t="n"/>
      <c r="AD91" s="246" t="n"/>
      <c r="AE91" s="246" t="n"/>
      <c r="AF91" s="246" t="n"/>
      <c r="AG91" s="246" t="n"/>
      <c r="AJ91" s="246" t="n"/>
      <c r="AK91" s="260" t="n"/>
    </row>
    <row r="92" ht="14.25" customHeight="1" s="175">
      <c r="F92" s="207" t="n"/>
      <c r="J92" s="246" t="n"/>
      <c r="K92" s="246" t="n"/>
      <c r="L92" s="246" t="n"/>
      <c r="M92" s="260" t="n"/>
      <c r="N92" s="260" t="n"/>
      <c r="O92" s="260" t="n"/>
      <c r="P92" s="260" t="n"/>
      <c r="Q92" s="182" t="n"/>
      <c r="T92" s="246" t="n"/>
      <c r="U92" s="246" t="n"/>
      <c r="V92" s="246" t="n"/>
      <c r="W92" s="246" t="n"/>
      <c r="X92" s="246" t="n"/>
      <c r="Y92" s="246" t="n"/>
      <c r="Z92" s="246" t="n"/>
      <c r="AA92" s="246" t="n"/>
      <c r="AB92" s="246" t="n"/>
      <c r="AC92" s="246" t="n"/>
      <c r="AD92" s="246" t="n"/>
      <c r="AE92" s="246" t="n"/>
      <c r="AF92" s="246" t="n"/>
      <c r="AG92" s="246" t="n"/>
      <c r="AJ92" s="246" t="n"/>
      <c r="AK92" s="260" t="n"/>
    </row>
    <row r="93" ht="14.25" customHeight="1" s="175">
      <c r="F93" s="207" t="n"/>
      <c r="J93" s="246" t="n"/>
      <c r="K93" s="246" t="n"/>
      <c r="L93" s="246" t="n"/>
      <c r="M93" s="260" t="n"/>
      <c r="N93" s="260" t="n"/>
      <c r="O93" s="260" t="n"/>
      <c r="P93" s="260" t="n"/>
      <c r="Q93" s="182" t="n"/>
      <c r="T93" s="246" t="n"/>
      <c r="U93" s="246" t="n"/>
      <c r="V93" s="246" t="n"/>
      <c r="W93" s="246" t="n"/>
      <c r="X93" s="246" t="n"/>
      <c r="Y93" s="246" t="n"/>
      <c r="Z93" s="246" t="n"/>
      <c r="AA93" s="246" t="n"/>
      <c r="AB93" s="246" t="n"/>
      <c r="AC93" s="246" t="n"/>
      <c r="AD93" s="246" t="n"/>
      <c r="AE93" s="246" t="n"/>
      <c r="AF93" s="246" t="n"/>
      <c r="AG93" s="246" t="n"/>
      <c r="AJ93" s="246" t="n"/>
      <c r="AK93" s="260" t="n"/>
    </row>
    <row r="94" ht="14.25" customHeight="1" s="175">
      <c r="F94" s="207" t="n"/>
      <c r="J94" s="246" t="n"/>
      <c r="K94" s="246" t="n"/>
      <c r="L94" s="246" t="n"/>
      <c r="M94" s="260" t="n"/>
      <c r="N94" s="260" t="n"/>
      <c r="O94" s="260" t="n"/>
      <c r="P94" s="260" t="n"/>
      <c r="Q94" s="182" t="n"/>
      <c r="T94" s="246" t="n"/>
      <c r="U94" s="246" t="n"/>
      <c r="V94" s="246" t="n"/>
      <c r="W94" s="246" t="n"/>
      <c r="X94" s="246" t="n"/>
      <c r="Y94" s="246" t="n"/>
      <c r="Z94" s="246" t="n"/>
      <c r="AA94" s="246" t="n"/>
      <c r="AB94" s="246" t="n"/>
      <c r="AC94" s="246" t="n"/>
      <c r="AD94" s="246" t="n"/>
      <c r="AE94" s="246" t="n"/>
      <c r="AF94" s="246" t="n"/>
      <c r="AG94" s="246" t="n"/>
      <c r="AJ94" s="246" t="n"/>
      <c r="AK94" s="260" t="n"/>
    </row>
    <row r="95" ht="14.25" customHeight="1" s="175">
      <c r="F95" s="207" t="n"/>
      <c r="J95" s="246" t="n"/>
      <c r="K95" s="246" t="n"/>
      <c r="L95" s="246" t="n"/>
      <c r="M95" s="260" t="n"/>
      <c r="N95" s="260" t="n"/>
      <c r="O95" s="260" t="n"/>
      <c r="P95" s="260" t="n"/>
      <c r="Q95" s="182" t="n"/>
      <c r="T95" s="246" t="n"/>
      <c r="U95" s="246" t="n"/>
      <c r="V95" s="246" t="n"/>
      <c r="W95" s="246" t="n"/>
      <c r="X95" s="246" t="n"/>
      <c r="Y95" s="246" t="n"/>
      <c r="Z95" s="246" t="n"/>
      <c r="AA95" s="246" t="n"/>
      <c r="AB95" s="246" t="n"/>
      <c r="AC95" s="246" t="n"/>
      <c r="AD95" s="246" t="n"/>
      <c r="AE95" s="246" t="n"/>
      <c r="AF95" s="246" t="n"/>
      <c r="AG95" s="246" t="n"/>
      <c r="AJ95" s="246" t="n"/>
      <c r="AK95" s="260" t="n"/>
    </row>
    <row r="96" ht="14.25" customHeight="1" s="175">
      <c r="F96" s="207" t="n"/>
      <c r="J96" s="246" t="n"/>
      <c r="K96" s="246" t="n"/>
      <c r="L96" s="246" t="n"/>
      <c r="M96" s="260" t="n"/>
      <c r="N96" s="260" t="n"/>
      <c r="O96" s="260" t="n"/>
      <c r="P96" s="260" t="n"/>
      <c r="Q96" s="182" t="n"/>
      <c r="T96" s="246" t="n"/>
      <c r="U96" s="246" t="n"/>
      <c r="V96" s="246" t="n"/>
      <c r="W96" s="246" t="n"/>
      <c r="X96" s="246" t="n"/>
      <c r="Y96" s="246" t="n"/>
      <c r="Z96" s="246" t="n"/>
      <c r="AA96" s="246" t="n"/>
      <c r="AB96" s="246" t="n"/>
      <c r="AC96" s="246" t="n"/>
      <c r="AD96" s="246" t="n"/>
      <c r="AE96" s="246" t="n"/>
      <c r="AF96" s="246" t="n"/>
      <c r="AG96" s="246" t="n"/>
      <c r="AJ96" s="246" t="n"/>
      <c r="AK96" s="260" t="n"/>
    </row>
    <row r="97" ht="14.25" customHeight="1" s="175">
      <c r="F97" s="207" t="n"/>
      <c r="J97" s="246" t="n"/>
      <c r="K97" s="246" t="n"/>
      <c r="L97" s="246" t="n"/>
      <c r="M97" s="260" t="n"/>
      <c r="N97" s="260" t="n"/>
      <c r="O97" s="260" t="n"/>
      <c r="P97" s="260" t="n"/>
      <c r="Q97" s="182" t="n"/>
      <c r="T97" s="246" t="n"/>
      <c r="U97" s="246" t="n"/>
      <c r="V97" s="246" t="n"/>
      <c r="W97" s="246" t="n"/>
      <c r="X97" s="246" t="n"/>
      <c r="Y97" s="246" t="n"/>
      <c r="Z97" s="246" t="n"/>
      <c r="AA97" s="246" t="n"/>
      <c r="AB97" s="246" t="n"/>
      <c r="AC97" s="246" t="n"/>
      <c r="AD97" s="246" t="n"/>
      <c r="AE97" s="246" t="n"/>
      <c r="AF97" s="246" t="n"/>
      <c r="AG97" s="246" t="n"/>
      <c r="AJ97" s="246" t="n"/>
      <c r="AK97" s="260" t="n"/>
    </row>
    <row r="98" ht="14.25" customHeight="1" s="175">
      <c r="F98" s="207" t="n"/>
      <c r="J98" s="246" t="n"/>
      <c r="K98" s="246" t="n"/>
      <c r="L98" s="246" t="n"/>
      <c r="M98" s="260" t="n"/>
      <c r="N98" s="260" t="n"/>
      <c r="O98" s="260" t="n"/>
      <c r="P98" s="260" t="n"/>
      <c r="Q98" s="182" t="n"/>
      <c r="T98" s="246" t="n"/>
      <c r="U98" s="246" t="n"/>
      <c r="V98" s="246" t="n"/>
      <c r="W98" s="246" t="n"/>
      <c r="X98" s="246" t="n"/>
      <c r="Y98" s="246" t="n"/>
      <c r="Z98" s="246" t="n"/>
      <c r="AA98" s="246" t="n"/>
      <c r="AB98" s="246" t="n"/>
      <c r="AC98" s="246" t="n"/>
      <c r="AD98" s="246" t="n"/>
      <c r="AE98" s="246" t="n"/>
      <c r="AF98" s="246" t="n"/>
      <c r="AG98" s="246" t="n"/>
      <c r="AJ98" s="246" t="n"/>
      <c r="AK98" s="260" t="n"/>
    </row>
    <row r="99" ht="14.25" customHeight="1" s="175">
      <c r="F99" s="207" t="n"/>
      <c r="J99" s="246" t="n"/>
      <c r="K99" s="246" t="n"/>
      <c r="L99" s="246" t="n"/>
      <c r="M99" s="260" t="n"/>
      <c r="N99" s="260" t="n"/>
      <c r="O99" s="260" t="n"/>
      <c r="P99" s="260" t="n"/>
      <c r="Q99" s="182" t="n"/>
      <c r="T99" s="246" t="n"/>
      <c r="U99" s="246" t="n"/>
      <c r="V99" s="246" t="n"/>
      <c r="W99" s="246" t="n"/>
      <c r="X99" s="246" t="n"/>
      <c r="Y99" s="246" t="n"/>
      <c r="Z99" s="246" t="n"/>
      <c r="AA99" s="246" t="n"/>
      <c r="AB99" s="246" t="n"/>
      <c r="AC99" s="246" t="n"/>
      <c r="AD99" s="246" t="n"/>
      <c r="AE99" s="246" t="n"/>
      <c r="AF99" s="246" t="n"/>
      <c r="AG99" s="246" t="n"/>
      <c r="AJ99" s="246" t="n"/>
      <c r="AK99" s="260" t="n"/>
    </row>
    <row r="100" ht="14.25" customHeight="1" s="175">
      <c r="F100" s="207" t="n"/>
      <c r="J100" s="246" t="n"/>
      <c r="K100" s="246" t="n"/>
      <c r="L100" s="246" t="n"/>
      <c r="M100" s="260" t="n"/>
      <c r="N100" s="260" t="n"/>
      <c r="O100" s="260" t="n"/>
      <c r="P100" s="260" t="n"/>
      <c r="Q100" s="182" t="n"/>
      <c r="T100" s="246" t="n"/>
      <c r="U100" s="246" t="n"/>
      <c r="V100" s="246" t="n"/>
      <c r="W100" s="246" t="n"/>
      <c r="X100" s="246" t="n"/>
      <c r="Y100" s="246" t="n"/>
      <c r="Z100" s="246" t="n"/>
      <c r="AA100" s="246" t="n"/>
      <c r="AB100" s="246" t="n"/>
      <c r="AC100" s="246" t="n"/>
      <c r="AD100" s="246" t="n"/>
      <c r="AE100" s="246" t="n"/>
      <c r="AF100" s="246" t="n"/>
      <c r="AG100" s="246" t="n"/>
      <c r="AJ100" s="246" t="n"/>
      <c r="AK100" s="260" t="n"/>
    </row>
    <row r="101" ht="14.25" customHeight="1" s="175">
      <c r="F101" s="207" t="n"/>
      <c r="J101" s="246" t="n"/>
      <c r="K101" s="246" t="n"/>
      <c r="L101" s="246" t="n"/>
      <c r="M101" s="260" t="n"/>
      <c r="N101" s="260" t="n"/>
      <c r="O101" s="260" t="n"/>
      <c r="P101" s="260" t="n"/>
      <c r="Q101" s="182" t="n"/>
      <c r="T101" s="246" t="n"/>
      <c r="U101" s="246" t="n"/>
      <c r="V101" s="246" t="n"/>
      <c r="W101" s="246" t="n"/>
      <c r="X101" s="246" t="n"/>
      <c r="Y101" s="246" t="n"/>
      <c r="Z101" s="246" t="n"/>
      <c r="AA101" s="246" t="n"/>
      <c r="AB101" s="246" t="n"/>
      <c r="AC101" s="246" t="n"/>
      <c r="AD101" s="246" t="n"/>
      <c r="AE101" s="246" t="n"/>
      <c r="AF101" s="246" t="n"/>
      <c r="AG101" s="246" t="n"/>
      <c r="AJ101" s="246" t="n"/>
      <c r="AK101" s="260" t="n"/>
    </row>
    <row r="102" ht="14.25" customHeight="1" s="175">
      <c r="F102" s="207" t="n"/>
      <c r="J102" s="246" t="n"/>
      <c r="K102" s="246" t="n"/>
      <c r="L102" s="246" t="n"/>
      <c r="M102" s="260" t="n"/>
      <c r="N102" s="260" t="n"/>
      <c r="O102" s="260" t="n"/>
      <c r="P102" s="260" t="n"/>
      <c r="Q102" s="182" t="n"/>
      <c r="T102" s="246" t="n"/>
      <c r="U102" s="246" t="n"/>
      <c r="V102" s="246" t="n"/>
      <c r="W102" s="246" t="n"/>
      <c r="X102" s="246" t="n"/>
      <c r="Y102" s="246" t="n"/>
      <c r="Z102" s="246" t="n"/>
      <c r="AA102" s="246" t="n"/>
      <c r="AB102" s="246" t="n"/>
      <c r="AC102" s="246" t="n"/>
      <c r="AD102" s="246" t="n"/>
      <c r="AE102" s="246" t="n"/>
      <c r="AF102" s="246" t="n"/>
      <c r="AG102" s="246" t="n"/>
      <c r="AJ102" s="246" t="n"/>
      <c r="AK102" s="260" t="n"/>
    </row>
    <row r="103" ht="14.25" customHeight="1" s="175">
      <c r="F103" s="207" t="n"/>
      <c r="J103" s="246" t="n"/>
      <c r="K103" s="246" t="n"/>
      <c r="L103" s="246" t="n"/>
      <c r="M103" s="260" t="n"/>
      <c r="N103" s="260" t="n"/>
      <c r="O103" s="260" t="n"/>
      <c r="P103" s="260" t="n"/>
      <c r="Q103" s="182" t="n"/>
      <c r="T103" s="246" t="n"/>
      <c r="U103" s="246" t="n"/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E103" s="246" t="n"/>
      <c r="AF103" s="246" t="n"/>
      <c r="AG103" s="246" t="n"/>
      <c r="AJ103" s="246" t="n"/>
      <c r="AK103" s="260" t="n"/>
    </row>
    <row r="104" ht="14.25" customHeight="1" s="175">
      <c r="F104" s="207" t="n"/>
      <c r="J104" s="246" t="n"/>
      <c r="K104" s="246" t="n"/>
      <c r="L104" s="246" t="n"/>
      <c r="M104" s="260" t="n"/>
      <c r="N104" s="260" t="n"/>
      <c r="O104" s="260" t="n"/>
      <c r="P104" s="260" t="n"/>
      <c r="Q104" s="182" t="n"/>
      <c r="T104" s="246" t="n"/>
      <c r="U104" s="246" t="n"/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E104" s="246" t="n"/>
      <c r="AF104" s="246" t="n"/>
      <c r="AG104" s="246" t="n"/>
      <c r="AJ104" s="246" t="n"/>
      <c r="AK104" s="260" t="n"/>
    </row>
    <row r="105" ht="14.25" customHeight="1" s="175">
      <c r="F105" s="207" t="n"/>
      <c r="J105" s="246" t="n"/>
      <c r="K105" s="246" t="n"/>
      <c r="L105" s="246" t="n"/>
      <c r="M105" s="260" t="n"/>
      <c r="N105" s="260" t="n"/>
      <c r="O105" s="260" t="n"/>
      <c r="P105" s="260" t="n"/>
      <c r="Q105" s="182" t="n"/>
      <c r="T105" s="246" t="n"/>
      <c r="U105" s="246" t="n"/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E105" s="246" t="n"/>
      <c r="AF105" s="246" t="n"/>
      <c r="AG105" s="246" t="n"/>
      <c r="AJ105" s="246" t="n"/>
      <c r="AK105" s="260" t="n"/>
    </row>
    <row r="106" ht="14.25" customHeight="1" s="175">
      <c r="F106" s="207" t="n"/>
      <c r="J106" s="246" t="n"/>
      <c r="K106" s="246" t="n"/>
      <c r="L106" s="246" t="n"/>
      <c r="M106" s="260" t="n"/>
      <c r="N106" s="260" t="n"/>
      <c r="O106" s="260" t="n"/>
      <c r="P106" s="260" t="n"/>
      <c r="Q106" s="182" t="n"/>
      <c r="T106" s="246" t="n"/>
      <c r="U106" s="246" t="n"/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E106" s="246" t="n"/>
      <c r="AF106" s="246" t="n"/>
      <c r="AG106" s="246" t="n"/>
      <c r="AJ106" s="246" t="n"/>
      <c r="AK106" s="260" t="n"/>
    </row>
    <row r="107" ht="14.25" customHeight="1" s="175">
      <c r="F107" s="207" t="n"/>
      <c r="J107" s="246" t="n"/>
      <c r="K107" s="246" t="n"/>
      <c r="L107" s="246" t="n"/>
      <c r="M107" s="260" t="n"/>
      <c r="N107" s="260" t="n"/>
      <c r="O107" s="260" t="n"/>
      <c r="P107" s="260" t="n"/>
      <c r="Q107" s="182" t="n"/>
      <c r="T107" s="246" t="n"/>
      <c r="U107" s="246" t="n"/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E107" s="246" t="n"/>
      <c r="AF107" s="246" t="n"/>
      <c r="AG107" s="246" t="n"/>
      <c r="AJ107" s="246" t="n"/>
      <c r="AK107" s="260" t="n"/>
    </row>
    <row r="108" ht="14.25" customHeight="1" s="175">
      <c r="F108" s="207" t="n"/>
      <c r="J108" s="246" t="n"/>
      <c r="K108" s="246" t="n"/>
      <c r="L108" s="246" t="n"/>
      <c r="M108" s="260" t="n"/>
      <c r="N108" s="260" t="n"/>
      <c r="O108" s="260" t="n"/>
      <c r="P108" s="260" t="n"/>
      <c r="Q108" s="182" t="n"/>
      <c r="T108" s="246" t="n"/>
      <c r="U108" s="246" t="n"/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E108" s="246" t="n"/>
      <c r="AF108" s="246" t="n"/>
      <c r="AG108" s="246" t="n"/>
      <c r="AJ108" s="246" t="n"/>
      <c r="AK108" s="260" t="n"/>
    </row>
    <row r="109" ht="14.25" customHeight="1" s="175">
      <c r="F109" s="207" t="n"/>
      <c r="J109" s="246" t="n"/>
      <c r="K109" s="246" t="n"/>
      <c r="L109" s="246" t="n"/>
      <c r="M109" s="260" t="n"/>
      <c r="N109" s="260" t="n"/>
      <c r="O109" s="260" t="n"/>
      <c r="P109" s="260" t="n"/>
      <c r="Q109" s="182" t="n"/>
      <c r="T109" s="246" t="n"/>
      <c r="U109" s="246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G109" s="246" t="n"/>
      <c r="AJ109" s="246" t="n"/>
      <c r="AK109" s="260" t="n"/>
    </row>
    <row r="110" ht="14.25" customHeight="1" s="175">
      <c r="F110" s="207" t="n"/>
      <c r="J110" s="246" t="n"/>
      <c r="K110" s="246" t="n"/>
      <c r="L110" s="246" t="n"/>
      <c r="M110" s="260" t="n"/>
      <c r="N110" s="260" t="n"/>
      <c r="O110" s="260" t="n"/>
      <c r="P110" s="260" t="n"/>
      <c r="Q110" s="182" t="n"/>
      <c r="T110" s="246" t="n"/>
      <c r="U110" s="246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G110" s="246" t="n"/>
      <c r="AJ110" s="246" t="n"/>
      <c r="AK110" s="260" t="n"/>
    </row>
    <row r="111" ht="14.25" customHeight="1" s="175">
      <c r="F111" s="207" t="n"/>
      <c r="J111" s="246" t="n"/>
      <c r="K111" s="246" t="n"/>
      <c r="L111" s="246" t="n"/>
      <c r="M111" s="260" t="n"/>
      <c r="N111" s="260" t="n"/>
      <c r="O111" s="260" t="n"/>
      <c r="P111" s="260" t="n"/>
      <c r="Q111" s="182" t="n"/>
      <c r="T111" s="246" t="n"/>
      <c r="U111" s="246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G111" s="246" t="n"/>
      <c r="AJ111" s="246" t="n"/>
      <c r="AK111" s="260" t="n"/>
    </row>
    <row r="112" ht="14.25" customHeight="1" s="175">
      <c r="F112" s="207" t="n"/>
      <c r="J112" s="246" t="n"/>
      <c r="K112" s="246" t="n"/>
      <c r="L112" s="246" t="n"/>
      <c r="M112" s="260" t="n"/>
      <c r="N112" s="260" t="n"/>
      <c r="O112" s="260" t="n"/>
      <c r="P112" s="260" t="n"/>
      <c r="Q112" s="182" t="n"/>
      <c r="T112" s="246" t="n"/>
      <c r="U112" s="246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G112" s="246" t="n"/>
      <c r="AJ112" s="246" t="n"/>
      <c r="AK112" s="260" t="n"/>
    </row>
    <row r="113" ht="14.25" customHeight="1" s="175">
      <c r="F113" s="207" t="n"/>
      <c r="J113" s="246" t="n"/>
      <c r="K113" s="246" t="n"/>
      <c r="L113" s="246" t="n"/>
      <c r="M113" s="260" t="n"/>
      <c r="N113" s="260" t="n"/>
      <c r="O113" s="260" t="n"/>
      <c r="P113" s="260" t="n"/>
      <c r="Q113" s="182" t="n"/>
      <c r="T113" s="246" t="n"/>
      <c r="U113" s="246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G113" s="246" t="n"/>
      <c r="AJ113" s="246" t="n"/>
      <c r="AK113" s="260" t="n"/>
    </row>
    <row r="114" ht="14.25" customHeight="1" s="175">
      <c r="F114" s="207" t="n"/>
      <c r="J114" s="246" t="n"/>
      <c r="K114" s="246" t="n"/>
      <c r="L114" s="246" t="n"/>
      <c r="M114" s="260" t="n"/>
      <c r="N114" s="260" t="n"/>
      <c r="O114" s="260" t="n"/>
      <c r="P114" s="260" t="n"/>
      <c r="Q114" s="182" t="n"/>
      <c r="T114" s="246" t="n"/>
      <c r="U114" s="246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G114" s="246" t="n"/>
      <c r="AJ114" s="246" t="n"/>
      <c r="AK114" s="260" t="n"/>
    </row>
    <row r="115" ht="14.25" customHeight="1" s="175">
      <c r="F115" s="207" t="n"/>
      <c r="J115" s="246" t="n"/>
      <c r="K115" s="246" t="n"/>
      <c r="L115" s="246" t="n"/>
      <c r="M115" s="260" t="n"/>
      <c r="N115" s="260" t="n"/>
      <c r="O115" s="260" t="n"/>
      <c r="P115" s="260" t="n"/>
      <c r="Q115" s="182" t="n"/>
      <c r="T115" s="246" t="n"/>
      <c r="U115" s="246" t="n"/>
      <c r="V115" s="246" t="n"/>
      <c r="W115" s="246" t="n"/>
      <c r="X115" s="246" t="n"/>
      <c r="Y115" s="246" t="n"/>
      <c r="Z115" s="246" t="n"/>
      <c r="AA115" s="246" t="n"/>
      <c r="AB115" s="246" t="n"/>
      <c r="AC115" s="246" t="n"/>
      <c r="AD115" s="246" t="n"/>
      <c r="AE115" s="246" t="n"/>
      <c r="AF115" s="246" t="n"/>
      <c r="AG115" s="246" t="n"/>
      <c r="AJ115" s="246" t="n"/>
      <c r="AK115" s="260" t="n"/>
    </row>
    <row r="116" ht="14.25" customHeight="1" s="175">
      <c r="F116" s="207" t="n"/>
      <c r="J116" s="246" t="n"/>
      <c r="K116" s="246" t="n"/>
      <c r="L116" s="246" t="n"/>
      <c r="M116" s="260" t="n"/>
      <c r="N116" s="260" t="n"/>
      <c r="O116" s="260" t="n"/>
      <c r="P116" s="260" t="n"/>
      <c r="Q116" s="182" t="n"/>
      <c r="T116" s="246" t="n"/>
      <c r="U116" s="246" t="n"/>
      <c r="V116" s="246" t="n"/>
      <c r="W116" s="246" t="n"/>
      <c r="X116" s="246" t="n"/>
      <c r="Y116" s="246" t="n"/>
      <c r="Z116" s="246" t="n"/>
      <c r="AA116" s="246" t="n"/>
      <c r="AB116" s="246" t="n"/>
      <c r="AC116" s="246" t="n"/>
      <c r="AD116" s="246" t="n"/>
      <c r="AE116" s="246" t="n"/>
      <c r="AF116" s="246" t="n"/>
      <c r="AG116" s="246" t="n"/>
      <c r="AJ116" s="246" t="n"/>
      <c r="AK116" s="260" t="n"/>
    </row>
    <row r="117" ht="14.25" customHeight="1" s="175">
      <c r="F117" s="207" t="n"/>
      <c r="J117" s="246" t="n"/>
      <c r="K117" s="246" t="n"/>
      <c r="L117" s="246" t="n"/>
      <c r="M117" s="260" t="n"/>
      <c r="N117" s="260" t="n"/>
      <c r="O117" s="260" t="n"/>
      <c r="P117" s="260" t="n"/>
      <c r="Q117" s="182" t="n"/>
      <c r="T117" s="246" t="n"/>
      <c r="U117" s="246" t="n"/>
      <c r="V117" s="246" t="n"/>
      <c r="W117" s="246" t="n"/>
      <c r="X117" s="246" t="n"/>
      <c r="Y117" s="246" t="n"/>
      <c r="Z117" s="246" t="n"/>
      <c r="AA117" s="246" t="n"/>
      <c r="AB117" s="246" t="n"/>
      <c r="AC117" s="246" t="n"/>
      <c r="AD117" s="246" t="n"/>
      <c r="AE117" s="246" t="n"/>
      <c r="AF117" s="246" t="n"/>
      <c r="AG117" s="246" t="n"/>
      <c r="AJ117" s="246" t="n"/>
      <c r="AK117" s="260" t="n"/>
    </row>
    <row r="118" ht="14.25" customHeight="1" s="175">
      <c r="F118" s="207" t="n"/>
      <c r="J118" s="246" t="n"/>
      <c r="K118" s="246" t="n"/>
      <c r="L118" s="246" t="n"/>
      <c r="M118" s="260" t="n"/>
      <c r="N118" s="260" t="n"/>
      <c r="O118" s="260" t="n"/>
      <c r="P118" s="260" t="n"/>
      <c r="Q118" s="182" t="n"/>
      <c r="T118" s="246" t="n"/>
      <c r="U118" s="246" t="n"/>
      <c r="V118" s="246" t="n"/>
      <c r="W118" s="246" t="n"/>
      <c r="X118" s="246" t="n"/>
      <c r="Y118" s="246" t="n"/>
      <c r="Z118" s="246" t="n"/>
      <c r="AA118" s="246" t="n"/>
      <c r="AB118" s="246" t="n"/>
      <c r="AC118" s="246" t="n"/>
      <c r="AD118" s="246" t="n"/>
      <c r="AE118" s="246" t="n"/>
      <c r="AF118" s="246" t="n"/>
      <c r="AG118" s="246" t="n"/>
      <c r="AJ118" s="246" t="n"/>
      <c r="AK118" s="260" t="n"/>
    </row>
    <row r="119" ht="14.25" customHeight="1" s="175">
      <c r="F119" s="207" t="n"/>
      <c r="J119" s="246" t="n"/>
      <c r="K119" s="246" t="n"/>
      <c r="L119" s="246" t="n"/>
      <c r="M119" s="260" t="n"/>
      <c r="N119" s="260" t="n"/>
      <c r="O119" s="260" t="n"/>
      <c r="P119" s="260" t="n"/>
      <c r="Q119" s="182" t="n"/>
      <c r="T119" s="246" t="n"/>
      <c r="U119" s="246" t="n"/>
      <c r="V119" s="246" t="n"/>
      <c r="W119" s="246" t="n"/>
      <c r="X119" s="246" t="n"/>
      <c r="Y119" s="246" t="n"/>
      <c r="Z119" s="246" t="n"/>
      <c r="AA119" s="246" t="n"/>
      <c r="AB119" s="246" t="n"/>
      <c r="AC119" s="246" t="n"/>
      <c r="AD119" s="246" t="n"/>
      <c r="AE119" s="246" t="n"/>
      <c r="AF119" s="246" t="n"/>
      <c r="AG119" s="246" t="n"/>
      <c r="AJ119" s="246" t="n"/>
      <c r="AK119" s="260" t="n"/>
    </row>
    <row r="120" ht="14.25" customHeight="1" s="175">
      <c r="F120" s="207" t="n"/>
      <c r="J120" s="246" t="n"/>
      <c r="K120" s="246" t="n"/>
      <c r="L120" s="246" t="n"/>
      <c r="M120" s="260" t="n"/>
      <c r="N120" s="260" t="n"/>
      <c r="O120" s="260" t="n"/>
      <c r="P120" s="260" t="n"/>
      <c r="Q120" s="182" t="n"/>
      <c r="T120" s="246" t="n"/>
      <c r="U120" s="246" t="n"/>
      <c r="V120" s="246" t="n"/>
      <c r="W120" s="246" t="n"/>
      <c r="X120" s="246" t="n"/>
      <c r="Y120" s="246" t="n"/>
      <c r="Z120" s="246" t="n"/>
      <c r="AA120" s="246" t="n"/>
      <c r="AB120" s="246" t="n"/>
      <c r="AC120" s="246" t="n"/>
      <c r="AD120" s="246" t="n"/>
      <c r="AE120" s="246" t="n"/>
      <c r="AF120" s="246" t="n"/>
      <c r="AG120" s="246" t="n"/>
      <c r="AJ120" s="246" t="n"/>
      <c r="AK120" s="260" t="n"/>
    </row>
    <row r="121" ht="14.25" customHeight="1" s="175">
      <c r="F121" s="207" t="n"/>
      <c r="J121" s="246" t="n"/>
      <c r="K121" s="246" t="n"/>
      <c r="L121" s="246" t="n"/>
      <c r="M121" s="260" t="n"/>
      <c r="N121" s="260" t="n"/>
      <c r="O121" s="260" t="n"/>
      <c r="P121" s="260" t="n"/>
      <c r="Q121" s="182" t="n"/>
      <c r="T121" s="246" t="n"/>
      <c r="U121" s="246" t="n"/>
      <c r="V121" s="246" t="n"/>
      <c r="W121" s="246" t="n"/>
      <c r="X121" s="246" t="n"/>
      <c r="Y121" s="246" t="n"/>
      <c r="Z121" s="246" t="n"/>
      <c r="AA121" s="246" t="n"/>
      <c r="AB121" s="246" t="n"/>
      <c r="AC121" s="246" t="n"/>
      <c r="AD121" s="246" t="n"/>
      <c r="AE121" s="246" t="n"/>
      <c r="AF121" s="246" t="n"/>
      <c r="AG121" s="246" t="n"/>
      <c r="AJ121" s="246" t="n"/>
      <c r="AK121" s="260" t="n"/>
    </row>
    <row r="122" ht="14.25" customHeight="1" s="175">
      <c r="F122" s="207" t="n"/>
      <c r="J122" s="246" t="n"/>
      <c r="K122" s="246" t="n"/>
      <c r="L122" s="246" t="n"/>
      <c r="M122" s="260" t="n"/>
      <c r="N122" s="260" t="n"/>
      <c r="O122" s="260" t="n"/>
      <c r="P122" s="260" t="n"/>
      <c r="Q122" s="182" t="n"/>
      <c r="T122" s="246" t="n"/>
      <c r="U122" s="246" t="n"/>
      <c r="V122" s="246" t="n"/>
      <c r="W122" s="246" t="n"/>
      <c r="X122" s="246" t="n"/>
      <c r="Y122" s="246" t="n"/>
      <c r="Z122" s="246" t="n"/>
      <c r="AA122" s="246" t="n"/>
      <c r="AB122" s="246" t="n"/>
      <c r="AC122" s="246" t="n"/>
      <c r="AD122" s="246" t="n"/>
      <c r="AE122" s="246" t="n"/>
      <c r="AF122" s="246" t="n"/>
      <c r="AG122" s="246" t="n"/>
      <c r="AJ122" s="246" t="n"/>
      <c r="AK122" s="260" t="n"/>
    </row>
    <row r="123" ht="14.25" customHeight="1" s="175">
      <c r="F123" s="207" t="n"/>
      <c r="J123" s="246" t="n"/>
      <c r="K123" s="246" t="n"/>
      <c r="L123" s="246" t="n"/>
      <c r="M123" s="260" t="n"/>
      <c r="N123" s="260" t="n"/>
      <c r="O123" s="260" t="n"/>
      <c r="P123" s="260" t="n"/>
      <c r="Q123" s="182" t="n"/>
      <c r="T123" s="246" t="n"/>
      <c r="U123" s="246" t="n"/>
      <c r="V123" s="246" t="n"/>
      <c r="W123" s="246" t="n"/>
      <c r="X123" s="246" t="n"/>
      <c r="Y123" s="246" t="n"/>
      <c r="Z123" s="246" t="n"/>
      <c r="AA123" s="246" t="n"/>
      <c r="AB123" s="246" t="n"/>
      <c r="AC123" s="246" t="n"/>
      <c r="AD123" s="246" t="n"/>
      <c r="AE123" s="246" t="n"/>
      <c r="AF123" s="246" t="n"/>
      <c r="AG123" s="246" t="n"/>
      <c r="AJ123" s="246" t="n"/>
      <c r="AK123" s="260" t="n"/>
    </row>
    <row r="124" ht="14.25" customHeight="1" s="175">
      <c r="F124" s="207" t="n"/>
      <c r="J124" s="246" t="n"/>
      <c r="K124" s="246" t="n"/>
      <c r="L124" s="246" t="n"/>
      <c r="M124" s="260" t="n"/>
      <c r="N124" s="260" t="n"/>
      <c r="O124" s="260" t="n"/>
      <c r="P124" s="260" t="n"/>
      <c r="Q124" s="182" t="n"/>
      <c r="T124" s="246" t="n"/>
      <c r="U124" s="246" t="n"/>
      <c r="V124" s="246" t="n"/>
      <c r="W124" s="246" t="n"/>
      <c r="X124" s="246" t="n"/>
      <c r="Y124" s="246" t="n"/>
      <c r="Z124" s="246" t="n"/>
      <c r="AA124" s="246" t="n"/>
      <c r="AB124" s="246" t="n"/>
      <c r="AC124" s="246" t="n"/>
      <c r="AD124" s="246" t="n"/>
      <c r="AE124" s="246" t="n"/>
      <c r="AF124" s="246" t="n"/>
      <c r="AG124" s="246" t="n"/>
      <c r="AJ124" s="246" t="n"/>
      <c r="AK124" s="260" t="n"/>
    </row>
    <row r="125" ht="14.25" customHeight="1" s="175">
      <c r="F125" s="207" t="n"/>
      <c r="J125" s="246" t="n"/>
      <c r="K125" s="246" t="n"/>
      <c r="L125" s="246" t="n"/>
      <c r="M125" s="260" t="n"/>
      <c r="N125" s="260" t="n"/>
      <c r="O125" s="260" t="n"/>
      <c r="P125" s="260" t="n"/>
      <c r="Q125" s="182" t="n"/>
      <c r="T125" s="246" t="n"/>
      <c r="U125" s="246" t="n"/>
      <c r="V125" s="246" t="n"/>
      <c r="W125" s="246" t="n"/>
      <c r="X125" s="246" t="n"/>
      <c r="Y125" s="246" t="n"/>
      <c r="Z125" s="246" t="n"/>
      <c r="AA125" s="246" t="n"/>
      <c r="AB125" s="246" t="n"/>
      <c r="AC125" s="246" t="n"/>
      <c r="AD125" s="246" t="n"/>
      <c r="AE125" s="246" t="n"/>
      <c r="AF125" s="246" t="n"/>
      <c r="AG125" s="246" t="n"/>
      <c r="AJ125" s="246" t="n"/>
      <c r="AK125" s="260" t="n"/>
    </row>
    <row r="126" ht="14.25" customHeight="1" s="175">
      <c r="F126" s="207" t="n"/>
    </row>
    <row r="127" ht="14.25" customHeight="1" s="175">
      <c r="F127" s="207" t="n"/>
    </row>
    <row r="128" ht="14.25" customHeight="1" s="175">
      <c r="F128" s="207" t="n"/>
    </row>
    <row r="129" ht="14.25" customHeight="1" s="175">
      <c r="F129" s="207" t="n"/>
    </row>
    <row r="130" ht="14.25" customHeight="1" s="175">
      <c r="F130" s="207" t="n"/>
    </row>
    <row r="131" ht="14.25" customHeight="1" s="175">
      <c r="F131" s="207" t="n"/>
    </row>
    <row r="132" ht="14.25" customHeight="1" s="175">
      <c r="F132" s="207" t="n"/>
    </row>
    <row r="133" ht="14.25" customHeight="1" s="175">
      <c r="F133" s="207" t="n"/>
    </row>
    <row r="134" ht="14.25" customHeight="1" s="175">
      <c r="F134" s="207" t="n"/>
    </row>
    <row r="135" ht="14.25" customHeight="1" s="175">
      <c r="F135" s="207" t="n"/>
    </row>
    <row r="136" ht="14.25" customHeight="1" s="175">
      <c r="F136" s="207" t="n"/>
    </row>
    <row r="137" ht="14.25" customHeight="1" s="175">
      <c r="F137" s="207" t="n"/>
    </row>
    <row r="138" ht="14.25" customHeight="1" s="175">
      <c r="F138" s="207" t="n"/>
    </row>
    <row r="139" ht="14.25" customHeight="1" s="175">
      <c r="F139" s="207" t="n"/>
    </row>
    <row r="140" ht="14.25" customHeight="1" s="175">
      <c r="F140" s="207" t="n"/>
    </row>
    <row r="141" ht="14.25" customHeight="1" s="175">
      <c r="F141" s="207" t="n"/>
    </row>
    <row r="142" ht="14.25" customHeight="1" s="175">
      <c r="F142" s="207" t="n"/>
    </row>
    <row r="143" ht="14.25" customHeight="1" s="175">
      <c r="F143" s="207" t="n"/>
    </row>
    <row r="144" ht="14.25" customHeight="1" s="175">
      <c r="F144" s="207" t="n"/>
    </row>
    <row r="145" ht="14.25" customHeight="1" s="175">
      <c r="F145" s="207" t="n"/>
    </row>
    <row r="146" ht="14.25" customHeight="1" s="175">
      <c r="F146" s="207" t="n"/>
    </row>
    <row r="147" ht="14.25" customHeight="1" s="175">
      <c r="F147" s="207" t="n"/>
    </row>
    <row r="148" ht="14.25" customHeight="1" s="175">
      <c r="F148" s="207" t="n"/>
    </row>
    <row r="149" ht="14.25" customHeight="1" s="175">
      <c r="F149" s="207" t="n"/>
    </row>
    <row r="150" ht="14.25" customHeight="1" s="175">
      <c r="F150" s="207" t="n"/>
    </row>
    <row r="151" ht="14.25" customHeight="1" s="175">
      <c r="F151" s="207" t="n"/>
    </row>
    <row r="152" ht="14.25" customHeight="1" s="175">
      <c r="F152" s="207" t="n"/>
    </row>
    <row r="153" ht="14.25" customHeight="1" s="175">
      <c r="F153" s="207" t="n"/>
    </row>
    <row r="154" ht="14.25" customHeight="1" s="175">
      <c r="F154" s="207" t="n"/>
    </row>
    <row r="155" ht="14.25" customHeight="1" s="175">
      <c r="F155" s="207" t="n"/>
    </row>
    <row r="156" ht="14.25" customHeight="1" s="175">
      <c r="F156" s="207" t="n"/>
    </row>
    <row r="157" ht="14.25" customHeight="1" s="175">
      <c r="F157" s="207" t="n"/>
    </row>
    <row r="158" ht="14.25" customHeight="1" s="175">
      <c r="F158" s="207" t="n"/>
    </row>
    <row r="159" ht="14.25" customHeight="1" s="175">
      <c r="F159" s="207" t="n"/>
    </row>
    <row r="160" ht="14.25" customHeight="1" s="175"/>
    <row r="161" ht="14.25" customHeight="1" s="175"/>
    <row r="162" ht="14.25" customHeight="1" s="175"/>
    <row r="163" ht="14.25" customHeight="1" s="175"/>
    <row r="164" ht="14.25" customHeight="1" s="175"/>
    <row r="165" ht="14.25" customHeight="1" s="175"/>
    <row r="166" ht="14.25" customHeight="1" s="175"/>
    <row r="167" ht="14.25" customHeight="1" s="175"/>
    <row r="168" ht="14.25" customHeight="1" s="175"/>
    <row r="169" ht="14.25" customHeight="1" s="175"/>
    <row r="170" ht="14.25" customHeight="1" s="175"/>
    <row r="171" ht="14.25" customHeight="1" s="175"/>
    <row r="172" ht="14.25" customHeight="1" s="175"/>
    <row r="173" ht="14.25" customHeight="1" s="175"/>
    <row r="174" ht="14.25" customHeight="1" s="175"/>
    <row r="175" ht="14.25" customHeight="1" s="175"/>
    <row r="176" ht="14.25" customHeight="1" s="175"/>
    <row r="177" ht="14.25" customHeight="1" s="175"/>
    <row r="178" ht="14.25" customHeight="1" s="175"/>
    <row r="179" ht="14.25" customHeight="1" s="175"/>
    <row r="180" ht="14.25" customHeight="1" s="175"/>
    <row r="181" ht="14.25" customHeight="1" s="175"/>
    <row r="182" ht="14.25" customHeight="1" s="175"/>
    <row r="183" ht="14.25" customHeight="1" s="175"/>
    <row r="184" ht="14.25" customHeight="1" s="175"/>
    <row r="185" ht="14.25" customHeight="1" s="175"/>
    <row r="186" ht="14.25" customHeight="1" s="175"/>
    <row r="187" ht="14.25" customHeight="1" s="175"/>
    <row r="188" ht="14.25" customHeight="1" s="175"/>
    <row r="189" ht="14.25" customHeight="1" s="175"/>
    <row r="190" ht="14.25" customHeight="1" s="175"/>
    <row r="191" ht="14.25" customHeight="1" s="175"/>
    <row r="192" ht="14.25" customHeight="1" s="175"/>
    <row r="193" ht="14.25" customHeight="1" s="175"/>
    <row r="194" ht="14.25" customHeight="1" s="175"/>
    <row r="195" ht="14.25" customHeight="1" s="175"/>
    <row r="196" ht="14.25" customHeight="1" s="175"/>
    <row r="197" ht="14.25" customHeight="1" s="175"/>
    <row r="198" ht="14.25" customHeight="1" s="175"/>
    <row r="199" ht="14.25" customHeight="1" s="175"/>
    <row r="200" ht="14.25" customHeight="1" s="175"/>
    <row r="201" ht="14.25" customHeight="1" s="175"/>
    <row r="202" ht="14.25" customHeight="1" s="175"/>
    <row r="203" ht="14.25" customHeight="1" s="175"/>
    <row r="204" ht="14.25" customHeight="1" s="175"/>
    <row r="205" ht="14.25" customHeight="1" s="175"/>
    <row r="206" ht="14.25" customHeight="1" s="175"/>
    <row r="207" ht="14.25" customHeight="1" s="175"/>
    <row r="208" ht="14.25" customHeight="1" s="175"/>
    <row r="209" ht="14.25" customHeight="1" s="175"/>
    <row r="210" ht="14.25" customHeight="1" s="175"/>
    <row r="211" ht="14.25" customHeight="1" s="175"/>
    <row r="212" ht="14.25" customHeight="1" s="175"/>
    <row r="213" ht="14.25" customHeight="1" s="175"/>
    <row r="214" ht="14.25" customHeight="1" s="175"/>
    <row r="215" ht="14.25" customHeight="1" s="175"/>
    <row r="216" ht="14.25" customHeight="1" s="175"/>
    <row r="217" ht="14.25" customHeight="1" s="175"/>
    <row r="218" ht="14.25" customHeight="1" s="175"/>
    <row r="219" ht="14.25" customHeight="1" s="175"/>
    <row r="220" ht="14.25" customHeight="1" s="175"/>
    <row r="221" ht="14.25" customHeight="1" s="175"/>
    <row r="222" ht="14.25" customHeight="1" s="175"/>
    <row r="223" ht="14.25" customHeight="1" s="175"/>
    <row r="224" ht="14.25" customHeight="1" s="175"/>
    <row r="225" ht="14.25" customHeight="1" s="175"/>
    <row r="226" ht="14.25" customHeight="1" s="175"/>
    <row r="227" ht="14.25" customHeight="1" s="175"/>
    <row r="228" ht="14.25" customHeight="1" s="175"/>
    <row r="229" ht="14.25" customHeight="1" s="175"/>
    <row r="230" ht="14.25" customHeight="1" s="175"/>
    <row r="231" ht="14.25" customHeight="1" s="175"/>
    <row r="232" ht="14.25" customHeight="1" s="175"/>
    <row r="233" ht="14.25" customHeight="1" s="175"/>
    <row r="234" ht="14.25" customHeight="1" s="175"/>
    <row r="235" ht="14.25" customHeight="1" s="175"/>
    <row r="236" ht="14.25" customHeight="1" s="175"/>
    <row r="237" ht="14.25" customHeight="1" s="175"/>
    <row r="238" ht="14.25" customHeight="1" s="175"/>
    <row r="239" ht="14.25" customHeight="1" s="175"/>
    <row r="240" ht="14.25" customHeight="1" s="175"/>
    <row r="241" ht="14.25" customHeight="1" s="175"/>
    <row r="242" ht="14.25" customHeight="1" s="175"/>
    <row r="243" ht="14.25" customHeight="1" s="175"/>
    <row r="244" ht="14.25" customHeight="1" s="175"/>
    <row r="245" ht="14.25" customHeight="1" s="175"/>
    <row r="246" ht="14.25" customHeight="1" s="175"/>
    <row r="247" ht="14.25" customHeight="1" s="175"/>
    <row r="248" ht="14.25" customHeight="1" s="175"/>
    <row r="249" ht="14.25" customHeight="1" s="175"/>
    <row r="250" ht="14.25" customHeight="1" s="175"/>
    <row r="251" ht="14.25" customHeight="1" s="175"/>
    <row r="252" ht="14.25" customHeight="1" s="175"/>
    <row r="253" ht="14.25" customHeight="1" s="175"/>
    <row r="254" ht="14.25" customHeight="1" s="175"/>
    <row r="255" ht="14.25" customHeight="1" s="175"/>
    <row r="256" ht="14.25" customHeight="1" s="175"/>
    <row r="257" ht="14.25" customHeight="1" s="175"/>
    <row r="258" ht="14.25" customHeight="1" s="175"/>
    <row r="259" ht="14.25" customHeight="1" s="175"/>
    <row r="260" ht="14.25" customHeight="1" s="175"/>
    <row r="261" ht="14.25" customHeight="1" s="175"/>
    <row r="262" ht="14.25" customHeight="1" s="175"/>
    <row r="263" ht="14.25" customHeight="1" s="175"/>
    <row r="264" ht="14.25" customHeight="1" s="175"/>
    <row r="265" ht="14.25" customHeight="1" s="175"/>
    <row r="266" ht="14.25" customHeight="1" s="175"/>
    <row r="267" ht="14.25" customHeight="1" s="175"/>
    <row r="268" ht="14.25" customHeight="1" s="175"/>
    <row r="269" ht="14.25" customHeight="1" s="175"/>
    <row r="270" ht="14.25" customHeight="1" s="175"/>
    <row r="271" ht="14.25" customHeight="1" s="175"/>
    <row r="272" ht="14.25" customHeight="1" s="175"/>
    <row r="273" ht="14.25" customHeight="1" s="175"/>
    <row r="274" ht="14.25" customHeight="1" s="175"/>
    <row r="275" ht="14.25" customHeight="1" s="175"/>
    <row r="276" ht="14.25" customHeight="1" s="175"/>
    <row r="277" ht="14.25" customHeight="1" s="175"/>
    <row r="278" ht="14.25" customHeight="1" s="175"/>
    <row r="279" ht="14.25" customHeight="1" s="175"/>
    <row r="280" ht="14.25" customHeight="1" s="175"/>
    <row r="281" ht="14.25" customHeight="1" s="175"/>
    <row r="282" ht="14.25" customHeight="1" s="175"/>
    <row r="283" ht="14.25" customHeight="1" s="175"/>
    <row r="284" ht="14.25" customHeight="1" s="175"/>
    <row r="285" ht="14.25" customHeight="1" s="175"/>
    <row r="286" ht="14.25" customHeight="1" s="175"/>
    <row r="287" ht="15.75" customHeight="1" s="175"/>
    <row r="288" ht="15.75" customHeight="1" s="175"/>
    <row r="289" ht="15.75" customHeight="1" s="175"/>
    <row r="290" ht="15.75" customHeight="1" s="175"/>
    <row r="291" ht="15.75" customHeight="1" s="175"/>
    <row r="292" ht="15.75" customHeight="1" s="175"/>
    <row r="293" ht="15.75" customHeight="1" s="175"/>
    <row r="294" ht="15.75" customHeight="1" s="175"/>
    <row r="295" ht="15.75" customHeight="1" s="175"/>
    <row r="296" ht="15.75" customHeight="1" s="175"/>
    <row r="297" ht="15.75" customHeight="1" s="175"/>
    <row r="298" ht="15.75" customHeight="1" s="175"/>
    <row r="299" ht="15.75" customHeight="1" s="175"/>
    <row r="300" ht="15.75" customHeight="1" s="175"/>
    <row r="301" ht="15.75" customHeight="1" s="175"/>
    <row r="302" ht="15.75" customHeight="1" s="175"/>
    <row r="303" ht="15.75" customHeight="1" s="175"/>
    <row r="304" ht="15.75" customHeight="1" s="175"/>
    <row r="305" ht="15.75" customHeight="1" s="175"/>
    <row r="306" ht="15.75" customHeight="1" s="175"/>
    <row r="307" ht="15.75" customHeight="1" s="175"/>
    <row r="308" ht="15.75" customHeight="1" s="175"/>
    <row r="309" ht="15.75" customHeight="1" s="175"/>
    <row r="310" ht="15.75" customHeight="1" s="175"/>
    <row r="311" ht="15.75" customHeight="1" s="175"/>
    <row r="312" ht="15.75" customHeight="1" s="175"/>
    <row r="313" ht="15.75" customHeight="1" s="175"/>
    <row r="314" ht="15.75" customHeight="1" s="175"/>
    <row r="315" ht="15.75" customHeight="1" s="175"/>
    <row r="316" ht="15.75" customHeight="1" s="175"/>
    <row r="317" ht="15.75" customHeight="1" s="175"/>
    <row r="318" ht="15.75" customHeight="1" s="175"/>
    <row r="319" ht="15.75" customHeight="1" s="175"/>
    <row r="320" ht="15.75" customHeight="1" s="175"/>
    <row r="321" ht="15.75" customHeight="1" s="175"/>
    <row r="322" ht="15.75" customHeight="1" s="175"/>
    <row r="323" ht="15.75" customHeight="1" s="175"/>
    <row r="324" ht="15.75" customHeight="1" s="175"/>
    <row r="325" ht="15.75" customHeight="1" s="175"/>
    <row r="326" ht="15.75" customHeight="1" s="175"/>
    <row r="327" ht="15.75" customHeight="1" s="175"/>
    <row r="328" ht="15.75" customHeight="1" s="175"/>
    <row r="329" ht="15.75" customHeight="1" s="175"/>
    <row r="330" ht="15.75" customHeight="1" s="175"/>
    <row r="331" ht="15.75" customHeight="1" s="175"/>
    <row r="332" ht="15.75" customHeight="1" s="175"/>
    <row r="333" ht="15.75" customHeight="1" s="175"/>
    <row r="334" ht="15.75" customHeight="1" s="175"/>
    <row r="335" ht="15.75" customHeight="1" s="175"/>
    <row r="336" ht="15.75" customHeight="1" s="175"/>
    <row r="337" ht="15.75" customHeight="1" s="175"/>
    <row r="338" ht="15.75" customHeight="1" s="175"/>
    <row r="339" ht="15.75" customHeight="1" s="175"/>
    <row r="340" ht="15.75" customHeight="1" s="175"/>
    <row r="341" ht="15.75" customHeight="1" s="175"/>
    <row r="342" ht="15.75" customHeight="1" s="175"/>
    <row r="343" ht="15.75" customHeight="1" s="175"/>
    <row r="344" ht="15.75" customHeight="1" s="175"/>
    <row r="345" ht="15.75" customHeight="1" s="175"/>
    <row r="346" ht="15.75" customHeight="1" s="175"/>
    <row r="347" ht="15.75" customHeight="1" s="175"/>
    <row r="348" ht="15.75" customHeight="1" s="175"/>
    <row r="349" ht="15.75" customHeight="1" s="175"/>
    <row r="350" ht="15.75" customHeight="1" s="175"/>
    <row r="351" ht="15.75" customHeight="1" s="175"/>
    <row r="352" ht="15.75" customHeight="1" s="175"/>
    <row r="353" ht="15.75" customHeight="1" s="175"/>
    <row r="354" ht="15.75" customHeight="1" s="175"/>
    <row r="355" ht="15.75" customHeight="1" s="175"/>
    <row r="356" ht="15.75" customHeight="1" s="175"/>
    <row r="357" ht="15.75" customHeight="1" s="175"/>
    <row r="358" ht="15.75" customHeight="1" s="175"/>
    <row r="359" ht="15.75" customHeight="1" s="175"/>
    <row r="360" ht="15.75" customHeight="1" s="175"/>
    <row r="361" ht="15.75" customHeight="1" s="175"/>
    <row r="362" ht="15.75" customHeight="1" s="175"/>
    <row r="363" ht="15.75" customHeight="1" s="175"/>
    <row r="364" ht="15.75" customHeight="1" s="175"/>
    <row r="365" ht="15.75" customHeight="1" s="175"/>
    <row r="366" ht="15.75" customHeight="1" s="175"/>
    <row r="367" ht="15.75" customHeight="1" s="175"/>
    <row r="368" ht="15.75" customHeight="1" s="175"/>
    <row r="369" ht="15.75" customHeight="1" s="175"/>
    <row r="370" ht="15.75" customHeight="1" s="175"/>
    <row r="371" ht="15.75" customHeight="1" s="175"/>
    <row r="372" ht="15.75" customHeight="1" s="175"/>
    <row r="373" ht="15.75" customHeight="1" s="175"/>
    <row r="374" ht="15.75" customHeight="1" s="175"/>
    <row r="375" ht="15.75" customHeight="1" s="175"/>
    <row r="376" ht="15.75" customHeight="1" s="175"/>
    <row r="377" ht="15.75" customHeight="1" s="175"/>
    <row r="378" ht="15.75" customHeight="1" s="175"/>
    <row r="379" ht="15.75" customHeight="1" s="175"/>
    <row r="380" ht="15.75" customHeight="1" s="175"/>
    <row r="381" ht="15.75" customHeight="1" s="175"/>
    <row r="382" ht="15.75" customHeight="1" s="175"/>
    <row r="383" ht="15.75" customHeight="1" s="175"/>
    <row r="384" ht="15.75" customHeight="1" s="175"/>
    <row r="385" ht="15.75" customHeight="1" s="175"/>
    <row r="386" ht="15.75" customHeight="1" s="175"/>
    <row r="387" ht="15.75" customHeight="1" s="175"/>
    <row r="388" ht="15.75" customHeight="1" s="175"/>
    <row r="389" ht="15.75" customHeight="1" s="175"/>
    <row r="390" ht="15.75" customHeight="1" s="175"/>
    <row r="391" ht="15.75" customHeight="1" s="175"/>
    <row r="392" ht="15.75" customHeight="1" s="175"/>
    <row r="393" ht="15.75" customHeight="1" s="175"/>
    <row r="394" ht="15.75" customHeight="1" s="175"/>
    <row r="395" ht="15.75" customHeight="1" s="175"/>
    <row r="396" ht="15.75" customHeight="1" s="175"/>
    <row r="397" ht="15.75" customHeight="1" s="175"/>
    <row r="398" ht="15.75" customHeight="1" s="175"/>
    <row r="399" ht="15.75" customHeight="1" s="175"/>
    <row r="400" ht="15.75" customHeight="1" s="175"/>
    <row r="401" ht="15.75" customHeight="1" s="175"/>
    <row r="402" ht="15.75" customHeight="1" s="175"/>
    <row r="403" ht="15.75" customHeight="1" s="175"/>
    <row r="404" ht="15.75" customHeight="1" s="175"/>
    <row r="405" ht="15.75" customHeight="1" s="175"/>
    <row r="406" ht="15.75" customHeight="1" s="175"/>
    <row r="407" ht="15.75" customHeight="1" s="175"/>
    <row r="408" ht="15.75" customHeight="1" s="175"/>
    <row r="409" ht="15.75" customHeight="1" s="175"/>
    <row r="410" ht="15.75" customHeight="1" s="175"/>
    <row r="411" ht="15.75" customHeight="1" s="175"/>
    <row r="412" ht="15.75" customHeight="1" s="175"/>
    <row r="413" ht="15.75" customHeight="1" s="175"/>
    <row r="414" ht="15.75" customHeight="1" s="175"/>
    <row r="415" ht="15.75" customHeight="1" s="175"/>
    <row r="416" ht="15.75" customHeight="1" s="175"/>
    <row r="417" ht="15.75" customHeight="1" s="175"/>
    <row r="418" ht="15.75" customHeight="1" s="175"/>
    <row r="419" ht="15.75" customHeight="1" s="175"/>
    <row r="420" ht="15.75" customHeight="1" s="175"/>
    <row r="421" ht="15.75" customHeight="1" s="175"/>
    <row r="422" ht="15.75" customHeight="1" s="175"/>
    <row r="423" ht="15.75" customHeight="1" s="175"/>
    <row r="424" ht="15.75" customHeight="1" s="175"/>
    <row r="425" ht="15.75" customHeight="1" s="175"/>
    <row r="426" ht="15.75" customHeight="1" s="175"/>
    <row r="427" ht="15.75" customHeight="1" s="175"/>
    <row r="428" ht="15.75" customHeight="1" s="175"/>
    <row r="429" ht="15.75" customHeight="1" s="175"/>
    <row r="430" ht="15.75" customHeight="1" s="175"/>
    <row r="431" ht="15.75" customHeight="1" s="175"/>
    <row r="432" ht="15.75" customHeight="1" s="175"/>
    <row r="433" ht="15.75" customHeight="1" s="175"/>
    <row r="434" ht="15.75" customHeight="1" s="175"/>
    <row r="435" ht="15.75" customHeight="1" s="175"/>
    <row r="436" ht="15.75" customHeight="1" s="175"/>
    <row r="437" ht="15.75" customHeight="1" s="175"/>
    <row r="438" ht="15.75" customHeight="1" s="175"/>
    <row r="439" ht="15.75" customHeight="1" s="175"/>
    <row r="440" ht="15.75" customHeight="1" s="175"/>
    <row r="441" ht="15.75" customHeight="1" s="175"/>
    <row r="442" ht="15.75" customHeight="1" s="175"/>
    <row r="443" ht="15.75" customHeight="1" s="175"/>
    <row r="444" ht="15.75" customHeight="1" s="175"/>
    <row r="445" ht="15.75" customHeight="1" s="175"/>
    <row r="446" ht="15.75" customHeight="1" s="175"/>
    <row r="447" ht="15.75" customHeight="1" s="175"/>
    <row r="448" ht="15.75" customHeight="1" s="175"/>
    <row r="449" ht="15.75" customHeight="1" s="175"/>
    <row r="450" ht="15.75" customHeight="1" s="175"/>
    <row r="451" ht="15.75" customHeight="1" s="175"/>
    <row r="452" ht="15.75" customHeight="1" s="175"/>
    <row r="453" ht="15.75" customHeight="1" s="175"/>
    <row r="454" ht="15.75" customHeight="1" s="175"/>
    <row r="455" ht="15.75" customHeight="1" s="175"/>
    <row r="456" ht="15.75" customHeight="1" s="175"/>
    <row r="457" ht="15.75" customHeight="1" s="175"/>
    <row r="458" ht="15.75" customHeight="1" s="175"/>
    <row r="459" ht="15.75" customHeight="1" s="175"/>
    <row r="460" ht="15.75" customHeight="1" s="175"/>
    <row r="461" ht="15.75" customHeight="1" s="175"/>
    <row r="462" ht="15.75" customHeight="1" s="175"/>
    <row r="463" ht="15.75" customHeight="1" s="175"/>
    <row r="464" ht="15.75" customHeight="1" s="175"/>
    <row r="465" ht="15.75" customHeight="1" s="175"/>
    <row r="466" ht="15.75" customHeight="1" s="175"/>
    <row r="467" ht="15.75" customHeight="1" s="175"/>
    <row r="468" ht="15.75" customHeight="1" s="175"/>
    <row r="469" ht="15.75" customHeight="1" s="175"/>
    <row r="470" ht="15.75" customHeight="1" s="175"/>
    <row r="471" ht="15.75" customHeight="1" s="175"/>
    <row r="472" ht="15.75" customHeight="1" s="175"/>
    <row r="473" ht="15.75" customHeight="1" s="175"/>
    <row r="474" ht="15.75" customHeight="1" s="175"/>
    <row r="475" ht="15.75" customHeight="1" s="175"/>
    <row r="476" ht="15.75" customHeight="1" s="175"/>
    <row r="477" ht="15.75" customHeight="1" s="175"/>
    <row r="478" ht="15.75" customHeight="1" s="175"/>
    <row r="479" ht="15.75" customHeight="1" s="175"/>
    <row r="480" ht="15.75" customHeight="1" s="175"/>
    <row r="481" ht="15.75" customHeight="1" s="175"/>
    <row r="482" ht="15.75" customHeight="1" s="175"/>
    <row r="483" ht="15.75" customHeight="1" s="175"/>
    <row r="484" ht="15.75" customHeight="1" s="175"/>
    <row r="485" ht="15.75" customHeight="1" s="175"/>
    <row r="486" ht="15.75" customHeight="1" s="175"/>
    <row r="487" ht="15.75" customHeight="1" s="175"/>
    <row r="488" ht="15.75" customHeight="1" s="175"/>
    <row r="489" ht="15.75" customHeight="1" s="175"/>
    <row r="490" ht="15.75" customHeight="1" s="175"/>
    <row r="491" ht="15.75" customHeight="1" s="175"/>
    <row r="492" ht="15.75" customHeight="1" s="175"/>
    <row r="493" ht="15.75" customHeight="1" s="175"/>
    <row r="494" ht="15.75" customHeight="1" s="175"/>
    <row r="495" ht="15.75" customHeight="1" s="175"/>
    <row r="496" ht="15.75" customHeight="1" s="175"/>
    <row r="497" ht="15.75" customHeight="1" s="175"/>
    <row r="498" ht="15.75" customHeight="1" s="175"/>
    <row r="499" ht="15.75" customHeight="1" s="175"/>
    <row r="500" ht="15.75" customHeight="1" s="175"/>
    <row r="501" ht="15.75" customHeight="1" s="175"/>
    <row r="502" ht="15.75" customHeight="1" s="175"/>
    <row r="503" ht="15.75" customHeight="1" s="175"/>
    <row r="504" ht="15.75" customHeight="1" s="175"/>
    <row r="505" ht="15.75" customHeight="1" s="175"/>
    <row r="506" ht="15.75" customHeight="1" s="175"/>
    <row r="507" ht="15.75" customHeight="1" s="175"/>
    <row r="508" ht="15.75" customHeight="1" s="175"/>
    <row r="509" ht="15.75" customHeight="1" s="175"/>
    <row r="510" ht="15.75" customHeight="1" s="175"/>
    <row r="511" ht="15.75" customHeight="1" s="175"/>
    <row r="512" ht="15.75" customHeight="1" s="175"/>
    <row r="513" ht="15.75" customHeight="1" s="175"/>
    <row r="514" ht="15.75" customHeight="1" s="175"/>
    <row r="515" ht="15.75" customHeight="1" s="175"/>
    <row r="516" ht="15.75" customHeight="1" s="175"/>
    <row r="517" ht="15.75" customHeight="1" s="175"/>
    <row r="518" ht="15.75" customHeight="1" s="175"/>
    <row r="519" ht="15.75" customHeight="1" s="175"/>
    <row r="520" ht="15.75" customHeight="1" s="175"/>
    <row r="521" ht="15.75" customHeight="1" s="175"/>
    <row r="522" ht="15.75" customHeight="1" s="175"/>
    <row r="523" ht="15.75" customHeight="1" s="175"/>
    <row r="524" ht="15.75" customHeight="1" s="175"/>
    <row r="525" ht="15.75" customHeight="1" s="175"/>
    <row r="526" ht="15.75" customHeight="1" s="175"/>
    <row r="527" ht="15.75" customHeight="1" s="175"/>
    <row r="528" ht="15.75" customHeight="1" s="175"/>
    <row r="529" ht="15.75" customHeight="1" s="175"/>
    <row r="530" ht="15.75" customHeight="1" s="175"/>
    <row r="531" ht="15.75" customHeight="1" s="175"/>
    <row r="532" ht="15.75" customHeight="1" s="175"/>
    <row r="533" ht="15.75" customHeight="1" s="175"/>
    <row r="534" ht="15.75" customHeight="1" s="175"/>
    <row r="535" ht="15.75" customHeight="1" s="175"/>
    <row r="536" ht="15.75" customHeight="1" s="175"/>
    <row r="537" ht="15.75" customHeight="1" s="175"/>
    <row r="538" ht="15.75" customHeight="1" s="175"/>
    <row r="539" ht="15.75" customHeight="1" s="175"/>
    <row r="540" ht="15.75" customHeight="1" s="175"/>
    <row r="541" ht="15.75" customHeight="1" s="175"/>
    <row r="542" ht="15.75" customHeight="1" s="175"/>
    <row r="543" ht="15.75" customHeight="1" s="175"/>
    <row r="544" ht="15.75" customHeight="1" s="175"/>
    <row r="545" ht="15.75" customHeight="1" s="175"/>
    <row r="546" ht="15.75" customHeight="1" s="175"/>
    <row r="547" ht="15.75" customHeight="1" s="175"/>
    <row r="548" ht="15.75" customHeight="1" s="175"/>
    <row r="549" ht="15.75" customHeight="1" s="175"/>
    <row r="550" ht="15.75" customHeight="1" s="175"/>
    <row r="551" ht="15.75" customHeight="1" s="175"/>
    <row r="552" ht="15.75" customHeight="1" s="175"/>
    <row r="553" ht="15.75" customHeight="1" s="175"/>
    <row r="554" ht="15.75" customHeight="1" s="175"/>
    <row r="555" ht="15.75" customHeight="1" s="175"/>
    <row r="556" ht="15.75" customHeight="1" s="175"/>
    <row r="557" ht="15.75" customHeight="1" s="175"/>
    <row r="558" ht="15.75" customHeight="1" s="175"/>
    <row r="559" ht="15.75" customHeight="1" s="175"/>
    <row r="560" ht="15.75" customHeight="1" s="175"/>
    <row r="561" ht="15.75" customHeight="1" s="175"/>
    <row r="562" ht="15.75" customHeight="1" s="175"/>
    <row r="563" ht="15.75" customHeight="1" s="175"/>
    <row r="564" ht="15.75" customHeight="1" s="175"/>
    <row r="565" ht="15.75" customHeight="1" s="175"/>
    <row r="566" ht="15.75" customHeight="1" s="175"/>
    <row r="567" ht="15.75" customHeight="1" s="175"/>
    <row r="568" ht="15.75" customHeight="1" s="175"/>
    <row r="569" ht="15.75" customHeight="1" s="175"/>
    <row r="570" ht="15.75" customHeight="1" s="175"/>
    <row r="571" ht="15.75" customHeight="1" s="175"/>
    <row r="572" ht="15.75" customHeight="1" s="175"/>
    <row r="573" ht="15.75" customHeight="1" s="175"/>
    <row r="574" ht="15.75" customHeight="1" s="175"/>
    <row r="575" ht="15.75" customHeight="1" s="175"/>
    <row r="576" ht="15.75" customHeight="1" s="175"/>
    <row r="577" ht="15.75" customHeight="1" s="175"/>
    <row r="578" ht="15.75" customHeight="1" s="175"/>
    <row r="579" ht="15.75" customHeight="1" s="175"/>
    <row r="580" ht="15.75" customHeight="1" s="175"/>
    <row r="581" ht="15.75" customHeight="1" s="175"/>
    <row r="582" ht="15.75" customHeight="1" s="175"/>
    <row r="583" ht="15.75" customHeight="1" s="175"/>
    <row r="584" ht="15.75" customHeight="1" s="175"/>
    <row r="585" ht="15.75" customHeight="1" s="175"/>
    <row r="586" ht="15.75" customHeight="1" s="175"/>
    <row r="587" ht="15.75" customHeight="1" s="175"/>
    <row r="588" ht="15.75" customHeight="1" s="175"/>
    <row r="589" ht="15.75" customHeight="1" s="175"/>
    <row r="590" ht="15.75" customHeight="1" s="175"/>
    <row r="591" ht="15.75" customHeight="1" s="175"/>
    <row r="592" ht="15.75" customHeight="1" s="175"/>
    <row r="593" ht="15.75" customHeight="1" s="175"/>
    <row r="594" ht="15.75" customHeight="1" s="175"/>
    <row r="595" ht="15.75" customHeight="1" s="175"/>
    <row r="596" ht="15.75" customHeight="1" s="175"/>
    <row r="597" ht="15.75" customHeight="1" s="175"/>
    <row r="598" ht="15.75" customHeight="1" s="175"/>
    <row r="599" ht="15.75" customHeight="1" s="175"/>
    <row r="600" ht="15.75" customHeight="1" s="175"/>
    <row r="601" ht="15.75" customHeight="1" s="175"/>
    <row r="602" ht="15.75" customHeight="1" s="175"/>
    <row r="603" ht="15.75" customHeight="1" s="175"/>
    <row r="604" ht="15.75" customHeight="1" s="175"/>
    <row r="605" ht="15.75" customHeight="1" s="175"/>
    <row r="606" ht="15.75" customHeight="1" s="175"/>
    <row r="607" ht="15.75" customHeight="1" s="175"/>
    <row r="608" ht="15.75" customHeight="1" s="175"/>
    <row r="609" ht="15.75" customHeight="1" s="175"/>
    <row r="610" ht="15.75" customHeight="1" s="175"/>
    <row r="611" ht="15.75" customHeight="1" s="175"/>
    <row r="612" ht="15.75" customHeight="1" s="175"/>
    <row r="613" ht="15.75" customHeight="1" s="175"/>
    <row r="614" ht="15.75" customHeight="1" s="175"/>
    <row r="615" ht="15.75" customHeight="1" s="175"/>
    <row r="616" ht="15.75" customHeight="1" s="175"/>
    <row r="617" ht="15.75" customHeight="1" s="175"/>
    <row r="618" ht="15.75" customHeight="1" s="175"/>
    <row r="619" ht="15.75" customHeight="1" s="175"/>
    <row r="620" ht="15.75" customHeight="1" s="175"/>
    <row r="621" ht="15.75" customHeight="1" s="175"/>
    <row r="622" ht="15.75" customHeight="1" s="175"/>
    <row r="623" ht="15.75" customHeight="1" s="175"/>
    <row r="624" ht="15.75" customHeight="1" s="175"/>
    <row r="625" ht="15.75" customHeight="1" s="175"/>
    <row r="626" ht="15.75" customHeight="1" s="175"/>
    <row r="627" ht="15.75" customHeight="1" s="175"/>
    <row r="628" ht="15.75" customHeight="1" s="175"/>
    <row r="629" ht="15.75" customHeight="1" s="175"/>
    <row r="630" ht="15.75" customHeight="1" s="175"/>
    <row r="631" ht="15.75" customHeight="1" s="175"/>
    <row r="632" ht="15.75" customHeight="1" s="175"/>
    <row r="633" ht="15.75" customHeight="1" s="175"/>
    <row r="634" ht="15.75" customHeight="1" s="175"/>
    <row r="635" ht="15.75" customHeight="1" s="175"/>
    <row r="636" ht="15.75" customHeight="1" s="175"/>
    <row r="637" ht="15.75" customHeight="1" s="175"/>
    <row r="638" ht="15.75" customHeight="1" s="175"/>
    <row r="639" ht="15.75" customHeight="1" s="175"/>
    <row r="640" ht="15.75" customHeight="1" s="175"/>
    <row r="641" ht="15.75" customHeight="1" s="175"/>
    <row r="642" ht="15.75" customHeight="1" s="175"/>
    <row r="643" ht="15.75" customHeight="1" s="175"/>
    <row r="644" ht="15.75" customHeight="1" s="175"/>
    <row r="645" ht="15.75" customHeight="1" s="175"/>
    <row r="646" ht="15.75" customHeight="1" s="175"/>
    <row r="647" ht="15.75" customHeight="1" s="175"/>
    <row r="648" ht="15.75" customHeight="1" s="175"/>
    <row r="649" ht="15.75" customHeight="1" s="175"/>
    <row r="650" ht="15.75" customHeight="1" s="175"/>
    <row r="651" ht="15.75" customHeight="1" s="175"/>
    <row r="652" ht="15.75" customHeight="1" s="175"/>
    <row r="653" ht="15.75" customHeight="1" s="175"/>
    <row r="654" ht="15.75" customHeight="1" s="175"/>
    <row r="655" ht="15.75" customHeight="1" s="175"/>
    <row r="656" ht="15.75" customHeight="1" s="175"/>
    <row r="657" ht="15.75" customHeight="1" s="175"/>
    <row r="658" ht="15.75" customHeight="1" s="175"/>
    <row r="659" ht="15.75" customHeight="1" s="175"/>
    <row r="660" ht="15.75" customHeight="1" s="175"/>
    <row r="661" ht="15.75" customHeight="1" s="175"/>
    <row r="662" ht="15.75" customHeight="1" s="175"/>
    <row r="663" ht="15.75" customHeight="1" s="175"/>
    <row r="664" ht="15.75" customHeight="1" s="175"/>
    <row r="665" ht="15.75" customHeight="1" s="175"/>
    <row r="666" ht="15.75" customHeight="1" s="175"/>
    <row r="667" ht="15.75" customHeight="1" s="175"/>
    <row r="668" ht="15.75" customHeight="1" s="175"/>
    <row r="669" ht="15.75" customHeight="1" s="175"/>
    <row r="670" ht="15.75" customHeight="1" s="175"/>
    <row r="671" ht="15.75" customHeight="1" s="175"/>
    <row r="672" ht="15.75" customHeight="1" s="175"/>
    <row r="673" ht="15.75" customHeight="1" s="175"/>
    <row r="674" ht="15.75" customHeight="1" s="175"/>
    <row r="675" ht="15.75" customHeight="1" s="175"/>
    <row r="676" ht="15.75" customHeight="1" s="175"/>
    <row r="677" ht="15.75" customHeight="1" s="175"/>
    <row r="678" ht="15.75" customHeight="1" s="175"/>
    <row r="679" ht="15.75" customHeight="1" s="175"/>
    <row r="680" ht="15.75" customHeight="1" s="175"/>
    <row r="681" ht="15.75" customHeight="1" s="175"/>
    <row r="682" ht="15.75" customHeight="1" s="175"/>
    <row r="683" ht="15.75" customHeight="1" s="175"/>
    <row r="684" ht="15.75" customHeight="1" s="175"/>
    <row r="685" ht="15.75" customHeight="1" s="175"/>
    <row r="686" ht="15.75" customHeight="1" s="175"/>
    <row r="687" ht="15.75" customHeight="1" s="175"/>
    <row r="688" ht="15.75" customHeight="1" s="175"/>
    <row r="689" ht="15.75" customHeight="1" s="175"/>
    <row r="690" ht="15.75" customHeight="1" s="175"/>
    <row r="691" ht="15.75" customHeight="1" s="175"/>
    <row r="692" ht="15.75" customHeight="1" s="175"/>
    <row r="693" ht="15.75" customHeight="1" s="175"/>
    <row r="694" ht="15.75" customHeight="1" s="175"/>
    <row r="695" ht="15.75" customHeight="1" s="175"/>
    <row r="696" ht="15.75" customHeight="1" s="175"/>
    <row r="697" ht="15.75" customHeight="1" s="175"/>
    <row r="698" ht="15.75" customHeight="1" s="175"/>
    <row r="699" ht="15.75" customHeight="1" s="175"/>
    <row r="700" ht="15.75" customHeight="1" s="175"/>
    <row r="701" ht="15.75" customHeight="1" s="175"/>
    <row r="702" ht="15.75" customHeight="1" s="175"/>
    <row r="703" ht="15.75" customHeight="1" s="175"/>
    <row r="704" ht="15.75" customHeight="1" s="175"/>
    <row r="705" ht="15.75" customHeight="1" s="175"/>
    <row r="706" ht="15.75" customHeight="1" s="175"/>
    <row r="707" ht="15.75" customHeight="1" s="175"/>
    <row r="708" ht="15.75" customHeight="1" s="175"/>
    <row r="709" ht="15.75" customHeight="1" s="175"/>
    <row r="710" ht="15.75" customHeight="1" s="175"/>
    <row r="711" ht="15.75" customHeight="1" s="175"/>
    <row r="712" ht="15.75" customHeight="1" s="175"/>
    <row r="713" ht="15.75" customHeight="1" s="175"/>
    <row r="714" ht="15.75" customHeight="1" s="175"/>
    <row r="715" ht="15.75" customHeight="1" s="175"/>
    <row r="716" ht="15.75" customHeight="1" s="175"/>
    <row r="717" ht="15.75" customHeight="1" s="175"/>
    <row r="718" ht="15.75" customHeight="1" s="175"/>
    <row r="719" ht="15.75" customHeight="1" s="175"/>
    <row r="720" ht="15.75" customHeight="1" s="175"/>
    <row r="721" ht="15.75" customHeight="1" s="175"/>
    <row r="722" ht="15.75" customHeight="1" s="175"/>
    <row r="723" ht="15.75" customHeight="1" s="175"/>
    <row r="724" ht="15.75" customHeight="1" s="175"/>
    <row r="725" ht="15.75" customHeight="1" s="175"/>
    <row r="726" ht="15.75" customHeight="1" s="175"/>
    <row r="727" ht="15.75" customHeight="1" s="175"/>
    <row r="728" ht="15.75" customHeight="1" s="175"/>
    <row r="729" ht="15.75" customHeight="1" s="175"/>
    <row r="730" ht="15.75" customHeight="1" s="175"/>
    <row r="731" ht="15.75" customHeight="1" s="175"/>
    <row r="732" ht="15.75" customHeight="1" s="175"/>
    <row r="733" ht="15.75" customHeight="1" s="175"/>
    <row r="734" ht="15.75" customHeight="1" s="175"/>
    <row r="735" ht="15.75" customHeight="1" s="175"/>
    <row r="736" ht="15.75" customHeight="1" s="175"/>
    <row r="737" ht="15.75" customHeight="1" s="175"/>
    <row r="738" ht="15.75" customHeight="1" s="175"/>
    <row r="739" ht="15.75" customHeight="1" s="175"/>
    <row r="740" ht="15.75" customHeight="1" s="175"/>
    <row r="741" ht="15.75" customHeight="1" s="175"/>
    <row r="742" ht="15.75" customHeight="1" s="175"/>
    <row r="743" ht="15.75" customHeight="1" s="175"/>
    <row r="744" ht="15.75" customHeight="1" s="175"/>
    <row r="745" ht="15.75" customHeight="1" s="175"/>
    <row r="746" ht="15.75" customHeight="1" s="175"/>
    <row r="747" ht="15.75" customHeight="1" s="175"/>
    <row r="748" ht="15.75" customHeight="1" s="175"/>
    <row r="749" ht="15.75" customHeight="1" s="175"/>
    <row r="750" ht="15.75" customHeight="1" s="175"/>
    <row r="751" ht="15.75" customHeight="1" s="175"/>
    <row r="752" ht="15.75" customHeight="1" s="175"/>
    <row r="753" ht="15.75" customHeight="1" s="175"/>
    <row r="754" ht="15.75" customHeight="1" s="175"/>
    <row r="755" ht="15.75" customHeight="1" s="175"/>
    <row r="756" ht="15.75" customHeight="1" s="175"/>
    <row r="757" ht="15.75" customHeight="1" s="175"/>
    <row r="758" ht="15.75" customHeight="1" s="175"/>
    <row r="759" ht="15.75" customHeight="1" s="175"/>
    <row r="760" ht="15.75" customHeight="1" s="175"/>
    <row r="761" ht="15.75" customHeight="1" s="175"/>
    <row r="762" ht="15.75" customHeight="1" s="175"/>
    <row r="763" ht="15.75" customHeight="1" s="175"/>
    <row r="764" ht="15.75" customHeight="1" s="175"/>
    <row r="765" ht="15.75" customHeight="1" s="175"/>
    <row r="766" ht="15.75" customHeight="1" s="175"/>
    <row r="767" ht="15.75" customHeight="1" s="175"/>
    <row r="768" ht="15.75" customHeight="1" s="175"/>
    <row r="769" ht="15.75" customHeight="1" s="175"/>
    <row r="770" ht="15.75" customHeight="1" s="175"/>
    <row r="771" ht="15.75" customHeight="1" s="175"/>
    <row r="772" ht="15.75" customHeight="1" s="175"/>
    <row r="773" ht="15.75" customHeight="1" s="175"/>
    <row r="774" ht="15.75" customHeight="1" s="175"/>
    <row r="775" ht="15.75" customHeight="1" s="175"/>
    <row r="776" ht="15.75" customHeight="1" s="175"/>
    <row r="777" ht="15.75" customHeight="1" s="175"/>
    <row r="778" ht="15.75" customHeight="1" s="175"/>
    <row r="779" ht="15.75" customHeight="1" s="175"/>
    <row r="780" ht="15.75" customHeight="1" s="175"/>
    <row r="781" ht="15.75" customHeight="1" s="175"/>
    <row r="782" ht="15.75" customHeight="1" s="175"/>
    <row r="783" ht="15.75" customHeight="1" s="175"/>
    <row r="784" ht="15.75" customHeight="1" s="175"/>
    <row r="785" ht="15.75" customHeight="1" s="175"/>
    <row r="786" ht="15.75" customHeight="1" s="175"/>
    <row r="787" ht="15.75" customHeight="1" s="175"/>
    <row r="788" ht="15.75" customHeight="1" s="175"/>
    <row r="789" ht="15.75" customHeight="1" s="175"/>
    <row r="790" ht="15.75" customHeight="1" s="175"/>
    <row r="791" ht="15.75" customHeight="1" s="175"/>
    <row r="792" ht="15.75" customHeight="1" s="175"/>
    <row r="793" ht="15.75" customHeight="1" s="175"/>
    <row r="794" ht="15.75" customHeight="1" s="175"/>
    <row r="795" ht="15.75" customHeight="1" s="175"/>
    <row r="796" ht="15.75" customHeight="1" s="175"/>
    <row r="797" ht="15.75" customHeight="1" s="175"/>
    <row r="798" ht="15.75" customHeight="1" s="175"/>
    <row r="799" ht="15.75" customHeight="1" s="175"/>
    <row r="800" ht="15.75" customHeight="1" s="175"/>
    <row r="801" ht="15.75" customHeight="1" s="175"/>
    <row r="802" ht="15.75" customHeight="1" s="175"/>
    <row r="803" ht="15.75" customHeight="1" s="175"/>
    <row r="804" ht="15.75" customHeight="1" s="175"/>
    <row r="805" ht="15.75" customHeight="1" s="175"/>
    <row r="806" ht="15.75" customHeight="1" s="175"/>
    <row r="807" ht="15.75" customHeight="1" s="175"/>
    <row r="808" ht="15.75" customHeight="1" s="175"/>
    <row r="809" ht="15.75" customHeight="1" s="175"/>
    <row r="810" ht="15.75" customHeight="1" s="175"/>
    <row r="811" ht="15.75" customHeight="1" s="175"/>
    <row r="812" ht="15.75" customHeight="1" s="175"/>
    <row r="813" ht="15.75" customHeight="1" s="175"/>
    <row r="814" ht="15.75" customHeight="1" s="175"/>
    <row r="815" ht="15.75" customHeight="1" s="175"/>
    <row r="816" ht="15.75" customHeight="1" s="175"/>
    <row r="817" ht="15.75" customHeight="1" s="175"/>
    <row r="818" ht="15.75" customHeight="1" s="175"/>
    <row r="819" ht="15.75" customHeight="1" s="175"/>
    <row r="820" ht="15.75" customHeight="1" s="175"/>
    <row r="821" ht="15.75" customHeight="1" s="175"/>
    <row r="822" ht="15.75" customHeight="1" s="175"/>
    <row r="823" ht="15.75" customHeight="1" s="175"/>
    <row r="824" ht="15.75" customHeight="1" s="175"/>
    <row r="825" ht="15.75" customHeight="1" s="175"/>
    <row r="826" ht="15.75" customHeight="1" s="175"/>
    <row r="827" ht="15.75" customHeight="1" s="175"/>
    <row r="828" ht="15.75" customHeight="1" s="175"/>
    <row r="829" ht="15.75" customHeight="1" s="175"/>
    <row r="830" ht="15.75" customHeight="1" s="175"/>
    <row r="831" ht="15.75" customHeight="1" s="175"/>
    <row r="832" ht="15.75" customHeight="1" s="175"/>
    <row r="833" ht="15.75" customHeight="1" s="175"/>
    <row r="834" ht="15.75" customHeight="1" s="175"/>
    <row r="835" ht="15.75" customHeight="1" s="175"/>
    <row r="836" ht="15.75" customHeight="1" s="175"/>
    <row r="837" ht="15.75" customHeight="1" s="175"/>
    <row r="838" ht="15.75" customHeight="1" s="175"/>
    <row r="839" ht="15.75" customHeight="1" s="175"/>
    <row r="840" ht="15.75" customHeight="1" s="175"/>
    <row r="841" ht="15.75" customHeight="1" s="175"/>
    <row r="842" ht="15.75" customHeight="1" s="175"/>
    <row r="843" ht="15.75" customHeight="1" s="175"/>
    <row r="844" ht="15.75" customHeight="1" s="175"/>
    <row r="845" ht="15.75" customHeight="1" s="175"/>
    <row r="846" ht="15.75" customHeight="1" s="175"/>
    <row r="847" ht="15.75" customHeight="1" s="175"/>
    <row r="848" ht="15.75" customHeight="1" s="175"/>
    <row r="849" ht="15.75" customHeight="1" s="175"/>
    <row r="850" ht="15.75" customHeight="1" s="175"/>
    <row r="851" ht="15.75" customHeight="1" s="175"/>
    <row r="852" ht="15.75" customHeight="1" s="175"/>
    <row r="853" ht="15.75" customHeight="1" s="175"/>
    <row r="854" ht="15.75" customHeight="1" s="175"/>
    <row r="855" ht="15.75" customHeight="1" s="175"/>
    <row r="856" ht="15.75" customHeight="1" s="175"/>
    <row r="857" ht="15.75" customHeight="1" s="175"/>
    <row r="858" ht="15.75" customHeight="1" s="175"/>
    <row r="859" ht="15.75" customHeight="1" s="175"/>
    <row r="860" ht="15.75" customHeight="1" s="175"/>
    <row r="861" ht="15.75" customHeight="1" s="175"/>
    <row r="862" ht="15.75" customHeight="1" s="175"/>
    <row r="863" ht="15.75" customHeight="1" s="175"/>
    <row r="864" ht="15.75" customHeight="1" s="175"/>
    <row r="865" ht="15.75" customHeight="1" s="175"/>
    <row r="866" ht="15.75" customHeight="1" s="175"/>
    <row r="867" ht="15.75" customHeight="1" s="175"/>
    <row r="868" ht="15.75" customHeight="1" s="175"/>
    <row r="869" ht="15.75" customHeight="1" s="175"/>
    <row r="870" ht="15.75" customHeight="1" s="175"/>
    <row r="871" ht="15.75" customHeight="1" s="175"/>
    <row r="872" ht="15.75" customHeight="1" s="175"/>
    <row r="873" ht="15.75" customHeight="1" s="175"/>
    <row r="874" ht="15.75" customHeight="1" s="175"/>
    <row r="875" ht="15.75" customHeight="1" s="175"/>
    <row r="876" ht="15.75" customHeight="1" s="175"/>
    <row r="877" ht="15.75" customHeight="1" s="175"/>
    <row r="878" ht="15.75" customHeight="1" s="175"/>
    <row r="879" ht="15.75" customHeight="1" s="175"/>
    <row r="880" ht="15.75" customHeight="1" s="175"/>
    <row r="881" ht="15.75" customHeight="1" s="175"/>
    <row r="882" ht="15.75" customHeight="1" s="175"/>
    <row r="883" ht="15.75" customHeight="1" s="175"/>
    <row r="884" ht="15.75" customHeight="1" s="175"/>
    <row r="885" ht="15.75" customHeight="1" s="175"/>
    <row r="886" ht="15.75" customHeight="1" s="175"/>
    <row r="887" ht="15.75" customHeight="1" s="175"/>
    <row r="888" ht="15.75" customHeight="1" s="175"/>
    <row r="889" ht="15.75" customHeight="1" s="175"/>
    <row r="890" ht="15.75" customHeight="1" s="175"/>
    <row r="891" ht="15.75" customHeight="1" s="175"/>
    <row r="892" ht="15.75" customHeight="1" s="175"/>
    <row r="893" ht="15.75" customHeight="1" s="175"/>
    <row r="894" ht="15.75" customHeight="1" s="175"/>
    <row r="895" ht="15.75" customHeight="1" s="175"/>
    <row r="896" ht="15.75" customHeight="1" s="175"/>
    <row r="897" ht="15.75" customHeight="1" s="175"/>
    <row r="898" ht="15.75" customHeight="1" s="175"/>
    <row r="899" ht="15.75" customHeight="1" s="175"/>
    <row r="900" ht="15.75" customHeight="1" s="175"/>
    <row r="901" ht="15.75" customHeight="1" s="175"/>
    <row r="902" ht="15.75" customHeight="1" s="175"/>
    <row r="903" ht="15.75" customHeight="1" s="175"/>
    <row r="904" ht="15.75" customHeight="1" s="175"/>
    <row r="905" ht="15.75" customHeight="1" s="175"/>
    <row r="906" ht="15.75" customHeight="1" s="175"/>
    <row r="907" ht="15.75" customHeight="1" s="175"/>
    <row r="908" ht="15.75" customHeight="1" s="175"/>
    <row r="909" ht="15.75" customHeight="1" s="175"/>
    <row r="910" ht="15.75" customHeight="1" s="175"/>
    <row r="911" ht="15.75" customHeight="1" s="175"/>
    <row r="912" ht="15.75" customHeight="1" s="175"/>
    <row r="913" ht="15.75" customHeight="1" s="175"/>
    <row r="914" ht="15.75" customHeight="1" s="175"/>
    <row r="915" ht="15.75" customHeight="1" s="175"/>
    <row r="916" ht="15.75" customHeight="1" s="175"/>
    <row r="917" ht="15.75" customHeight="1" s="175"/>
    <row r="918" ht="15.75" customHeight="1" s="175"/>
    <row r="919" ht="15.75" customHeight="1" s="175"/>
    <row r="920" ht="15.75" customHeight="1" s="175"/>
    <row r="921" ht="15.75" customHeight="1" s="175"/>
    <row r="922" ht="15.75" customHeight="1" s="175"/>
    <row r="923" ht="15.75" customHeight="1" s="175"/>
    <row r="924" ht="15.75" customHeight="1" s="175"/>
    <row r="925" ht="15.75" customHeight="1" s="175"/>
    <row r="926" ht="15.75" customHeight="1" s="175"/>
    <row r="927" ht="15.75" customHeight="1" s="175"/>
    <row r="928" ht="15.75" customHeight="1" s="175"/>
    <row r="929" ht="15.75" customHeight="1" s="175"/>
    <row r="930" ht="15.75" customHeight="1" s="175"/>
    <row r="931" ht="15.75" customHeight="1" s="175"/>
    <row r="932" ht="15.75" customHeight="1" s="175"/>
    <row r="933" ht="15.75" customHeight="1" s="175"/>
    <row r="934" ht="15.75" customHeight="1" s="175"/>
    <row r="935" ht="15.75" customHeight="1" s="175"/>
    <row r="936" ht="15.75" customHeight="1" s="175"/>
    <row r="937" ht="15.75" customHeight="1" s="175"/>
    <row r="938" ht="15.75" customHeight="1" s="175"/>
    <row r="939" ht="15.75" customHeight="1" s="175"/>
    <row r="940" ht="15.75" customHeight="1" s="175"/>
    <row r="941" ht="15.75" customHeight="1" s="175"/>
    <row r="942" ht="15.75" customHeight="1" s="175"/>
    <row r="943" ht="15.75" customHeight="1" s="175"/>
    <row r="944" ht="15.75" customHeight="1" s="175"/>
    <row r="945" ht="15.75" customHeight="1" s="175"/>
    <row r="946" ht="15.75" customHeight="1" s="175"/>
    <row r="947" ht="15.75" customHeight="1" s="175"/>
    <row r="948" ht="15.75" customHeight="1" s="175"/>
    <row r="949" ht="15.75" customHeight="1" s="175"/>
    <row r="950" ht="15.75" customHeight="1" s="175"/>
    <row r="951" ht="15.75" customHeight="1" s="175"/>
    <row r="952" ht="15.75" customHeight="1" s="175"/>
    <row r="953" ht="15.75" customHeight="1" s="175"/>
    <row r="954" ht="15.75" customHeight="1" s="175"/>
    <row r="955" ht="15.75" customHeight="1" s="175"/>
    <row r="956" ht="15.75" customHeight="1" s="175"/>
    <row r="957" ht="15.75" customHeight="1" s="175"/>
    <row r="958" ht="15.75" customHeight="1" s="175"/>
    <row r="959" ht="15.75" customHeight="1" s="175"/>
    <row r="960" ht="15.75" customHeight="1" s="175"/>
    <row r="961" ht="15.75" customHeight="1" s="175"/>
    <row r="962" ht="15.75" customHeight="1" s="175"/>
    <row r="963" ht="15.75" customHeight="1" s="175"/>
    <row r="964" ht="15.75" customHeight="1" s="175"/>
    <row r="965" ht="15.75" customHeight="1" s="175"/>
    <row r="966" ht="15.75" customHeight="1" s="175"/>
    <row r="967" ht="15.75" customHeight="1" s="175"/>
    <row r="968" ht="15.75" customHeight="1" s="175"/>
    <row r="969" ht="15.75" customHeight="1" s="175"/>
    <row r="970" ht="15.75" customHeight="1" s="175"/>
    <row r="971" ht="15.75" customHeight="1" s="175"/>
    <row r="972" ht="15.75" customHeight="1" s="175"/>
    <row r="973" ht="15.75" customHeight="1" s="175"/>
    <row r="974" ht="15.75" customHeight="1" s="175"/>
    <row r="975" ht="15.75" customHeight="1" s="175"/>
    <row r="976" ht="15.75" customHeight="1" s="175"/>
    <row r="977" ht="15.75" customHeight="1" s="175"/>
    <row r="978" ht="15.75" customHeight="1" s="175"/>
    <row r="979" ht="15.75" customHeight="1" s="175"/>
    <row r="980" ht="15.75" customHeight="1" s="175"/>
    <row r="981" ht="15.75" customHeight="1" s="175"/>
    <row r="982" ht="15.75" customHeight="1" s="175"/>
    <row r="983" ht="15.75" customHeight="1" s="175"/>
    <row r="984" ht="15.75" customHeight="1" s="175"/>
    <row r="985" ht="15.75" customHeight="1" s="175"/>
    <row r="986" ht="15.75" customHeight="1" s="175"/>
    <row r="987" ht="15.75" customHeight="1" s="175"/>
    <row r="988" ht="15.75" customHeight="1" s="175"/>
    <row r="989" ht="15.75" customHeight="1" s="175"/>
    <row r="990" ht="15.75" customHeight="1" s="175"/>
    <row r="991" ht="15.75" customHeight="1" s="175"/>
    <row r="992" ht="15.75" customHeight="1" s="175"/>
    <row r="993" ht="15.75" customHeight="1" s="175"/>
    <row r="994" ht="15.75" customHeight="1" s="175"/>
    <row r="995" ht="15.75" customHeight="1" s="175"/>
    <row r="996" ht="15.75" customHeight="1" s="175"/>
    <row r="997" ht="15.75" customHeight="1" s="175"/>
    <row r="998" ht="15.75" customHeight="1" s="175"/>
    <row r="999" ht="15.75" customHeight="1" s="175"/>
    <row r="1000" ht="15.75" customHeight="1" s="175"/>
  </sheetData>
  <mergeCells count="3">
    <mergeCell ref="G13:O13"/>
    <mergeCell ref="R1:AB1"/>
    <mergeCell ref="G1:P1"/>
  </mergeCells>
  <conditionalFormatting sqref="H3:H1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2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2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2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2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5:I1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5:J18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5:L18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5:M18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5:N18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5:O18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G33:AG36 AG38:AG43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34:AH43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3:H32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3:R32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7:H46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7:R46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1:H60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1:R60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65:H6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6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74:R77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83:H86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83:R86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4:AN57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54:AP57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60:AG63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60:AH63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4:AO57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4:AO57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34:AG43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5:I18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5:L18"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20:AQ29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4:AH11 AN4:AN11">
    <cfRule type="cellIs" rank="0" priority="41" equalAverage="0" operator="greaterThan" aboveAverage="0" dxfId="0" text="" percent="0" bottom="0">
      <formula>1</formula>
    </cfRule>
  </conditionalFormatting>
  <conditionalFormatting sqref="AG20:AP29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xmlns:r="http://schemas.openxmlformats.org/officeDocument/2006/relationships" ref="D2" display="https://media.discordapp.net/attachments/1212839710439776287/1277352689910677635/IMG_9684.jpg?ex=66d8b865&amp;is=66d766e5&amp;hm=1f04f119402691c1c7c379953474404873dbc457ad84821a86985cf0d3239f08&amp;=&amp;format=webp&amp;width=657&amp;height=876" r:id="rId1"/>
    <hyperlink xmlns:r="http://schemas.openxmlformats.org/officeDocument/2006/relationships" ref="D18" display="https://media.discordapp.net/attachments/1212839710439776287/1280904760328982630/image.jpg?ex=66d9c704&amp;is=66d87584&amp;hm=cba73453ebae8a9e51455943096591d0274c7f4f90193e0bbbc93150b6d3fe3b&amp;=&amp;format=webp&amp;width=657&amp;height=876" r:id="rId2"/>
    <hyperlink xmlns:r="http://schemas.openxmlformats.org/officeDocument/2006/relationships" ref="D19" display="https://media.discordapp.net/attachments/1212839710439776287/1280904799382011994/IMG_0888.jpg?ex=66d9c70e&amp;is=66d8758e&amp;hm=af14c120eff3cd3fd3d7bcdedc4fb4dac0ebd45a4b5f26e2b96cc091f4bf7a46&amp;=&amp;format=webp&amp;width=657&amp;height=876" r:id="rId3"/>
    <hyperlink xmlns:r="http://schemas.openxmlformats.org/officeDocument/2006/relationships" ref="D20" display="https://media.discordapp.net/attachments/1212839710439776287/1280906666250076182/IMG_9755.jpg?ex=66d9c8cb&amp;is=66d8774b&amp;hm=e94195946302b35c2eaead8e00f8cb09510aea8175389518142a979a265556dd&amp;=&amp;format=webp&amp;width=657&amp;height=876" r:id="rId4"/>
    <hyperlink xmlns:r="http://schemas.openxmlformats.org/officeDocument/2006/relationships" ref="D21" display="https://media.discordapp.net/attachments/1212839710439776287/1280916301723865118/IMG_0024.jpg?ex=66d9d1c4&amp;is=66d88044&amp;hm=b75ac0c4a302721e8e3a8ce2eda33b33fc7232283ce9ff9b0fd16a87dd2159c9&amp;=&amp;format=webp&amp;width=657&amp;height=876" r:id="rId5"/>
    <hyperlink xmlns:r="http://schemas.openxmlformats.org/officeDocument/2006/relationships" ref="D22" display="https://media.discordapp.net/attachments/1212839710439776287/1280949676497174639/IMG_0029.jpg?ex=66d9f0d9&amp;is=66d89f59&amp;hm=9536c6c2071867f78706d4a44cc19e60cbbe0145ca9d73d99bad928264e9fbd8&amp;=&amp;format=webp&amp;width=657&amp;height=876" r:id="rId6"/>
    <hyperlink xmlns:r="http://schemas.openxmlformats.org/officeDocument/2006/relationships" ref="D23" display="https://media.discordapp.net/attachments/1212839710439776287/1280949677205880893/IMG_0031.jpg?ex=66d9f0d9&amp;is=66d89f59&amp;hm=95c63ae3123fbba409cf3f1b3a39e042671a7883f86273b1d968360625784a42&amp;=&amp;format=webp&amp;width=657&amp;height=876" r:id="rId7"/>
    <hyperlink xmlns:r="http://schemas.openxmlformats.org/officeDocument/2006/relationships" ref="D24" display="https://media.discordapp.net/attachments/1212839710439776287/1281017660481601622/6011E0D7-56D7-4C16-996D-1C335FB7A821.jpg?ex=66e01eea&amp;is=66decd6a&amp;hm=498f8d5c3c9633d3e8adefdae6800e3e2d5dff02d55f615022603c1567f25c98&amp;=&amp;format=webp&amp;width=657&amp;height=876" r:id="rId8"/>
    <hyperlink xmlns:r="http://schemas.openxmlformats.org/officeDocument/2006/relationships" ref="D25" display="https://media.discordapp.net/attachments/1212839710439776287/1281021962260451339/IMG_9758.jpg?ex=66e022ec&amp;is=66ded16c&amp;hm=83a7b63cf6146f6c88438bf3ac2642b7b5f29a7e5c3fbb847082bb49173c4728&amp;=&amp;format=webp&amp;width=657&amp;height=876" r:id="rId9"/>
    <hyperlink xmlns:r="http://schemas.openxmlformats.org/officeDocument/2006/relationships" ref="D26" display="https://media.discordapp.net/attachments/1212839710439776287/1281273353717551214/IMG_9761.jpg?ex=66e0644c&amp;is=66df12cc&amp;hm=3810ed2172daec7b4e2c440c4a5aa966b61380497260b406c63c1a10f29f3e67&amp;=&amp;format=webp&amp;width=657&amp;height=876" r:id="rId10"/>
    <hyperlink xmlns:r="http://schemas.openxmlformats.org/officeDocument/2006/relationships" ref="D27" display="https://media.discordapp.net/attachments/1212839710439776287/1281288238845399141/PXL_20240905_162109539.jpg?ex=66e07229&amp;is=66df20a9&amp;hm=8470c5ab0bb304c517e2106c13f83ce51bdb512f8ab42580251b97e9160ab88d&amp;=&amp;format=webp&amp;width=492&amp;height=874" r:id="rId11"/>
    <hyperlink xmlns:r="http://schemas.openxmlformats.org/officeDocument/2006/relationships" ref="D28" display="https://media.discordapp.net/attachments/1212839710439776287/1282083076163240027/IMG_6245.jpg?ex=66e00aa9&amp;is=66deb929&amp;hm=d42a28dacaac4c05bf07b794186f748d300585ac2c95495f0911166ab4d84212&amp;=&amp;format=webp&amp;width=657&amp;height=876" r:id="rId12"/>
    <hyperlink xmlns:r="http://schemas.openxmlformats.org/officeDocument/2006/relationships" ref="D29" display="https://media.discordapp.net/attachments/1212839710439776287/1282720914332582031/PXL_20240909_1513352522.jpg?ex=66e06271&amp;is=66df10f1&amp;hm=b2cdb44f4395a96d4ec22a541140c9ce28dcff9e81adca04046511c7b9ee6b36&amp;=&amp;format=webp&amp;width=492&amp;height=874" r:id="rId13"/>
    <hyperlink xmlns:r="http://schemas.openxmlformats.org/officeDocument/2006/relationships" ref="D30" display="https://media.discordapp.net/attachments/1212839710439776287/1282745595345240207/IMG_9781.jpg?ex=66e0796e&amp;is=66df27ee&amp;hm=da964e0128b0e77eb97a447f18ab5f856ca93640a489e27eb8e73a35362471b4&amp;=&amp;format=webp&amp;width=657&amp;height=876" r:id="rId14"/>
    <hyperlink xmlns:r="http://schemas.openxmlformats.org/officeDocument/2006/relationships" ref="D31" display="https://media.discordapp.net/attachments/1212839710439776287/1282747756225630288/image.jpg?ex=66e07b71&amp;is=66df29f1&amp;hm=a0f96c6e96335b4f9dd4ef4c06a359f8d87ecf605692ec41487652c6c43b02f3&amp;=&amp;format=webp&amp;width=657&amp;height=876" r:id="rId15"/>
    <hyperlink xmlns:r="http://schemas.openxmlformats.org/officeDocument/2006/relationships" ref="D32" display="https://media.discordapp.net/attachments/1212839710439776287/1282747813091872940/IMG_0906.jpg?ex=66e07b7e&amp;is=66df29fe&amp;hm=737ee5eb3d8d7b01f28adbf80d3b8a9df356ff9434cc8946f46a379b12b2d942&amp;=&amp;format=webp&amp;width=657&amp;height=876" r:id="rId16"/>
    <hyperlink xmlns:r="http://schemas.openxmlformats.org/officeDocument/2006/relationships" ref="D33" display="https://media.discordapp.net/attachments/1212839710439776287/1282754419263406183/IMG_0907.jpg?ex=66e081a5&amp;is=66df3025&amp;hm=a0a27f4c773019c06cc5ab5e52950030f825b859e7772789925650e143b6d742&amp;=&amp;format=webp&amp;width=657&amp;height=876" r:id="rId17"/>
    <hyperlink xmlns:r="http://schemas.openxmlformats.org/officeDocument/2006/relationships" ref="D34" display="https://media.discordapp.net/attachments/1212839710439776287/1282755803501170879/IMG_0113.jpg?ex=66e082f0&amp;is=66df3170&amp;hm=737ce410b7fc698a1fefd89455bc95977f51bc4e762e62fec4bc68b4b213e69a&amp;=&amp;format=webp&amp;width=657&amp;height=876" r:id="rId18"/>
    <hyperlink xmlns:r="http://schemas.openxmlformats.org/officeDocument/2006/relationships" ref="D35" display="https://media.discordapp.net/attachments/1212839710439776287/1282762630439899228/IMG_0908.jpg?ex=66e47dcb&amp;is=66e32c4b&amp;hm=32bb1b8402c99cffc01a9ef7653a61c4c9c606cee5e840213f50c96e9ee701f1&amp;=&amp;format=webp&amp;width=657&amp;height=876" r:id="rId19"/>
    <hyperlink xmlns:r="http://schemas.openxmlformats.org/officeDocument/2006/relationships" ref="D36" display="https://media.discordapp.net/attachments/1212839710439776287/1283455781148164116/PXL_20240911_155058535.jpg?ex=66e46057&amp;is=66e30ed7&amp;hm=c12f6d3a7fa965997c1b541cad7094438b4e8242923061cb93237db352647687&amp;=&amp;format=webp&amp;width=492&amp;height=874" r:id="rId20"/>
    <hyperlink xmlns:r="http://schemas.openxmlformats.org/officeDocument/2006/relationships" ref="D37" display="https://media.discordapp.net/attachments/1212839710439776287/1283501454258212944/IMG_9785.jpg?ex=66e48ae0&amp;is=66e33960&amp;hm=5e8339fe8485b1cf6dfe92e5cbbb183baa739119fedf006cd8231f0982b0c370&amp;=&amp;format=webp&amp;width=657&amp;height=876" r:id="rId21"/>
    <hyperlink xmlns:r="http://schemas.openxmlformats.org/officeDocument/2006/relationships" ref="D38" display="https://media.discordapp.net/attachments/1212839710439776287/1283533540964958279/IMG_5655.jpg?ex=66e40003&amp;is=66e2ae83&amp;hm=95cb63f6908820d9dc759eed0fb808a4fe869461a7b5ca615c5ae9364fd96d1b&amp;=&amp;format=webp&amp;width=657&amp;height=876" r:id="rId22"/>
    <hyperlink xmlns:r="http://schemas.openxmlformats.org/officeDocument/2006/relationships" ref="D39" display="https://media.discordapp.net/attachments/1212839710439776287/1283843454975348737/20240912_133453.jpg?ex=66e477e4&amp;is=66e32664&amp;hm=13384f356856b2409880f16f0181add6cb98a76ab905dd9cb41408f2c2bed0a6&amp;=&amp;format=webp&amp;width=1168&amp;height=876" r:id="rId23"/>
    <hyperlink xmlns:r="http://schemas.openxmlformats.org/officeDocument/2006/relationships" ref="D40" display="https://media.discordapp.net/attachments/1212839710439776287/1283843643538411561/IMG_0920.jpg?ex=66e47811&amp;is=66e32691&amp;hm=882424e9b8565bd98315bed01491f7b281fedfcf70cf99281bd834cf41cd9878&amp;=&amp;format=webp&amp;width=657&amp;height=876" r:id="rId24"/>
    <hyperlink xmlns:r="http://schemas.openxmlformats.org/officeDocument/2006/relationships" ref="D41" display="https://media.discordapp.net/attachments/1212839710439776287/1283849948168847391/IMG_0921.jpg?ex=66e47df0&amp;is=66e32c70&amp;hm=27e1226a7895f63b4242f14df4106adb90ac201eff723823d32441119d155966&amp;=&amp;format=webp&amp;width=657&amp;height=876" r:id="rId25"/>
    <hyperlink xmlns:r="http://schemas.openxmlformats.org/officeDocument/2006/relationships" ref="D42" display="https://media.discordapp.net/attachments/1212839710439776287/1283852063020810250/PXL_20240912_180905725.jpg?ex=66e47fe8&amp;is=66e32e68&amp;hm=9ac3c0083feed6ddf85d299bb5bb457c8988c3790da62d9403d173c148227141&amp;=&amp;format=webp&amp;width=492&amp;height=874" r:id="rId26"/>
    <hyperlink xmlns:r="http://schemas.openxmlformats.org/officeDocument/2006/relationships" ref="D43" display="https://media.discordapp.net/attachments/1212839710439776287/1283872800414892108/IMG_0922.jpg?ex=66e49338&amp;is=66e341b8&amp;hm=90f1579e96845b0ad80d2b76d88a3681b25d295d378e3b5f3f2247c7f0aa55ba&amp;=&amp;format=webp&amp;width=1168&amp;height=876" r:id="rId27"/>
    <hyperlink xmlns:r="http://schemas.openxmlformats.org/officeDocument/2006/relationships" ref="D44" display="https://media.discordapp.net/attachments/1212839710439776287/1283872916475215912/65EB0CCE-33C6-48A6-AE5E-E6DACDD833EF.jpg?ex=66e49354&amp;is=66e341d4&amp;hm=5bae8bdd199e9770d26eac89b84157813bef5ee5af3a0f2d9aed68f15577b522&amp;=&amp;format=webp&amp;width=657&amp;height=876" r:id="rId28"/>
    <hyperlink xmlns:r="http://schemas.openxmlformats.org/officeDocument/2006/relationships" ref="D45" display="https://media.discordapp.net/attachments/1212839710439776287/1284206593042419743/IMG_5671.jpg?ex=66e5ca17&amp;is=66e47897&amp;hm=ee7c1ead33ea9fa6b6fbfb33ee7588c647f14217b54b00179195b531ddf50dd4&amp;=&amp;format=webp&amp;width=657&amp;height=876" r:id="rId29"/>
    <hyperlink xmlns:r="http://schemas.openxmlformats.org/officeDocument/2006/relationships" ref="D46" display="https://media.discordapp.net/attachments/1212839710439776287/1284206473274069073/20240913_133733.jpg?ex=66e5c9fa&amp;is=66e4787a&amp;hm=e34ca0a1a2ca5462fb5519f08ac1ede1271d39c37c6447530dae553098ad3526&amp;=&amp;format=webp&amp;width=657&amp;height=876" r:id="rId30"/>
    <hyperlink xmlns:r="http://schemas.openxmlformats.org/officeDocument/2006/relationships" ref="D47" display="https://media.discordapp.net/attachments/1212839710439776287/1284208928892125194/IMG_0927.jpg?ex=66e5cc44&amp;is=66e47ac4&amp;hm=6f87c1bc770c0ada4da7320aad068279bcc24330dd0e774325a20c4bd87fa4bf&amp;=&amp;format=webp&amp;width=394&amp;height=525" r:id="rId31"/>
    <hyperlink xmlns:r="http://schemas.openxmlformats.org/officeDocument/2006/relationships" ref="D48" display="https://media.discordapp.net/attachments/1212839710439776287/1284209185575276574/F47ECE56-F318-4BFF-B7EE-F580DE7EC85B.jpg?ex=66e5cc81&amp;is=66e47b01&amp;hm=f34f017c4bac363c0048aa122eec58f7c091106b40811f5fbe17e7f0ab3de082&amp;=&amp;format=webp&amp;width=394&amp;height=525" r:id="rId32"/>
    <hyperlink xmlns:r="http://schemas.openxmlformats.org/officeDocument/2006/relationships" ref="D49" display="https://media.discordapp.net/attachments/1212839710439776287/1284245010111271014/IMG_9792.jpg?ex=66e9399e&amp;is=66e7e81e&amp;hm=e50e875a4769266af805aff5336b77f9d79bf01d466de121021e9280de1b64f7&amp;=&amp;format=webp&amp;width=657&amp;height=876" r:id="rId33"/>
  </hyperlink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34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AQ3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54296875" defaultRowHeight="15" customHeight="1" zeroHeight="0" outlineLevelRow="0" outlineLevelCol="0"/>
  <cols>
    <col width="7.82" customWidth="1" style="173" min="1" max="1"/>
    <col width="5.82" customWidth="1" style="173" min="2" max="2"/>
    <col width="7.82" customWidth="1" style="173" min="3" max="3"/>
    <col width="7.27" customWidth="1" style="173" min="4" max="4"/>
    <col width="1.82" customWidth="1" style="173" min="5" max="5"/>
    <col hidden="1" width="9.27" customWidth="1" style="173" min="6" max="6"/>
    <col width="7.73" customWidth="1" style="173" min="7" max="7"/>
    <col width="6.73" customWidth="1" style="173" min="8" max="9"/>
    <col width="7.45" customWidth="1" style="173" min="10" max="10"/>
    <col width="9.18" customWidth="1" style="173" min="11" max="11"/>
    <col width="11.45" customWidth="1" style="173" min="12" max="12"/>
    <col width="7.18" customWidth="1" style="173" min="13" max="13"/>
    <col width="8" customWidth="1" style="173" min="14" max="14"/>
    <col width="10.45" customWidth="1" style="173" min="15" max="15"/>
    <col width="11.82" customWidth="1" style="173" min="16" max="16"/>
    <col width="7.82" customWidth="1" style="173" min="17" max="17"/>
    <col width="10.45" customWidth="1" style="173" min="18" max="18"/>
    <col width="6.18" customWidth="1" style="173" min="19" max="19"/>
    <col width="5.18" customWidth="1" style="173" min="20" max="20"/>
    <col width="5" customWidth="1" style="173" min="21" max="21"/>
    <col width="7.27" customWidth="1" style="173" min="22" max="22"/>
    <col width="4.82" customWidth="1" style="173" min="23" max="23"/>
    <col width="5.73" customWidth="1" style="173" min="24" max="24"/>
    <col width="5.45" customWidth="1" style="173" min="25" max="26"/>
    <col width="7.82" customWidth="1" style="173" min="27" max="27"/>
    <col width="7.18" customWidth="1" style="173" min="28" max="28"/>
    <col width="4.27" customWidth="1" style="173" min="29" max="29"/>
    <col width="3.73" customWidth="1" style="173" min="30" max="30"/>
    <col width="10.45" customWidth="1" style="173" min="31" max="31"/>
    <col width="7.45" customWidth="1" style="173" min="32" max="32"/>
    <col width="8.27" customWidth="1" style="173" min="33" max="33"/>
    <col width="7.82" customWidth="1" style="173" min="34" max="34"/>
    <col width="9.18" customWidth="1" style="173" min="35" max="35"/>
    <col width="13.82" customWidth="1" style="173" min="36" max="36"/>
    <col width="6.82" customWidth="1" style="173" min="37" max="37"/>
    <col width="8" customWidth="1" style="173" min="38" max="38"/>
    <col width="10.45" customWidth="1" style="173" min="39" max="39"/>
    <col width="11.82" customWidth="1" style="173" min="40" max="40"/>
    <col width="11.45" customWidth="1" style="173" min="41" max="41"/>
    <col width="7.45" customWidth="1" style="173" min="42" max="42"/>
    <col width="8.449999999999999" customWidth="1" style="173" min="43" max="43"/>
    <col width="12.45" customWidth="1" style="173" min="44" max="44"/>
  </cols>
  <sheetData>
    <row r="1" ht="14.25" customHeight="1" s="175">
      <c r="A1" s="321" t="inlineStr">
        <is>
          <t>Sniper</t>
        </is>
      </c>
      <c r="B1" s="268" t="inlineStr">
        <is>
          <t>Points</t>
        </is>
      </c>
      <c r="C1" s="291" t="inlineStr">
        <is>
          <t>Snipee</t>
        </is>
      </c>
      <c r="D1" s="173" t="inlineStr">
        <is>
          <t>Link:</t>
        </is>
      </c>
      <c r="F1" s="173" t="n"/>
      <c r="G1" s="179" t="inlineStr">
        <is>
          <t>Data by Person:</t>
        </is>
      </c>
      <c r="H1" s="180" t="n"/>
      <c r="I1" s="180" t="n"/>
      <c r="J1" s="180" t="n"/>
      <c r="K1" s="180" t="n"/>
      <c r="L1" s="180" t="n"/>
      <c r="M1" s="180" t="n"/>
      <c r="N1" s="180" t="n"/>
      <c r="O1" s="180" t="n"/>
      <c r="P1" s="181" t="n"/>
      <c r="Q1" s="182" t="n"/>
      <c r="R1" s="324" t="inlineStr">
        <is>
          <t>Kill and Death Points Pivot Table (kill points at right, death points at bottom)</t>
        </is>
      </c>
      <c r="S1" s="312" t="n"/>
      <c r="T1" s="312" t="n"/>
      <c r="U1" s="312" t="n"/>
      <c r="V1" s="312" t="n"/>
      <c r="W1" s="312" t="n"/>
      <c r="X1" s="312" t="n"/>
      <c r="Y1" s="312" t="n"/>
      <c r="Z1" s="312" t="n"/>
      <c r="AA1" s="312" t="n"/>
      <c r="AB1" s="312" t="n"/>
      <c r="AC1" s="312" t="n"/>
      <c r="AD1" s="312" t="n"/>
      <c r="AE1" s="313" t="n"/>
      <c r="AF1" s="246" t="n"/>
      <c r="AG1" s="179" t="inlineStr">
        <is>
          <t>Ties?</t>
        </is>
      </c>
      <c r="AH1" s="185" t="inlineStr">
        <is>
          <t>Name</t>
        </is>
      </c>
      <c r="AI1" s="186" t="inlineStr">
        <is>
          <t>Value</t>
        </is>
      </c>
      <c r="AJ1" s="187" t="inlineStr">
        <is>
          <t>Various Stats:</t>
        </is>
      </c>
      <c r="AK1" s="188" t="inlineStr">
        <is>
          <t>Value</t>
        </is>
      </c>
      <c r="AL1" s="185" t="inlineStr">
        <is>
          <t>Part</t>
        </is>
      </c>
      <c r="AM1" s="179" t="inlineStr">
        <is>
          <t>Ties?</t>
        </is>
      </c>
      <c r="AN1" s="325" t="n"/>
      <c r="AO1" s="325" t="n"/>
    </row>
    <row r="2" ht="14.25" customHeight="1" s="175">
      <c r="A2" s="267" t="inlineStr">
        <is>
          <t>Anthony</t>
        </is>
      </c>
      <c r="B2" s="268" t="n">
        <v>2</v>
      </c>
      <c r="C2" s="269" t="inlineStr">
        <is>
          <t>Grady</t>
        </is>
      </c>
      <c r="D2" s="192">
        <f>HYPERLINK("https://discord.com/channels/191975109500731392/1212839710439776287/1227290995746672661","Discord")</f>
        <v/>
      </c>
      <c r="F2" s="192" t="n"/>
      <c r="G2" s="226" t="inlineStr">
        <is>
          <t>Person:</t>
        </is>
      </c>
      <c r="H2" s="206" t="inlineStr">
        <is>
          <t>Kills</t>
        </is>
      </c>
      <c r="I2" s="206" t="inlineStr">
        <is>
          <t>Deaths</t>
        </is>
      </c>
      <c r="J2" s="206" t="inlineStr">
        <is>
          <t>KDR</t>
        </is>
      </c>
      <c r="K2" s="206" t="inlineStr">
        <is>
          <t>Kill Points</t>
        </is>
      </c>
      <c r="L2" s="206" t="inlineStr">
        <is>
          <t>Death Points</t>
        </is>
      </c>
      <c r="M2" s="206" t="inlineStr">
        <is>
          <t>KpDpR</t>
        </is>
      </c>
      <c r="N2" s="196" t="inlineStr">
        <is>
          <t>KPts/Kill</t>
        </is>
      </c>
      <c r="O2" s="196" t="inlineStr">
        <is>
          <t>DPts/Death</t>
        </is>
      </c>
      <c r="P2" s="227" t="inlineStr">
        <is>
          <t>Full Sweep %</t>
        </is>
      </c>
      <c r="Q2" s="326" t="n"/>
      <c r="R2" s="198" t="inlineStr">
        <is>
          <t>Sum of Points</t>
        </is>
      </c>
      <c r="S2" s="199" t="inlineStr">
        <is>
          <t>Snipee</t>
        </is>
      </c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1" t="n"/>
      <c r="AF2" s="246" t="n"/>
      <c r="AG2" s="327" t="n"/>
      <c r="AH2" s="204" t="n"/>
      <c r="AI2" s="205">
        <f>COUNT($B:$B)</f>
        <v/>
      </c>
      <c r="AJ2" s="206" t="inlineStr">
        <is>
          <t>Total Snipes:</t>
        </is>
      </c>
      <c r="AK2" s="205">
        <f>COUNT($B:$B)</f>
        <v/>
      </c>
      <c r="AL2" s="203" t="n"/>
      <c r="AM2" s="327" t="n"/>
      <c r="AN2" s="246" t="n"/>
      <c r="AO2" s="246" t="n"/>
    </row>
    <row r="3" ht="14.25" customHeight="1" s="175">
      <c r="A3" s="267" t="inlineStr">
        <is>
          <t>Peter</t>
        </is>
      </c>
      <c r="B3" s="268" t="n">
        <v>1</v>
      </c>
      <c r="C3" s="269" t="inlineStr">
        <is>
          <t>Tyler</t>
        </is>
      </c>
      <c r="D3" s="192" t="inlineStr">
        <is>
          <t>Discord</t>
        </is>
      </c>
      <c r="F3" s="192" t="n"/>
      <c r="G3" s="208" t="inlineStr">
        <is>
          <t>Carter</t>
        </is>
      </c>
      <c r="H3" s="209">
        <f>COUNTIF($A:$A,G3)</f>
        <v/>
      </c>
      <c r="I3" s="209">
        <f>COUNTIF($C:$C,G3)</f>
        <v/>
      </c>
      <c r="J3" s="210">
        <f>H3/I3</f>
        <v/>
      </c>
      <c r="K3" s="209">
        <f>GETPIVOTDATA("Points",$R$2,"Sniper",G3)</f>
        <v/>
      </c>
      <c r="L3" s="209">
        <f>GETPIVOTDATA("Points",$R$2,"Snipee",G3)</f>
        <v/>
      </c>
      <c r="M3" s="299">
        <f>K3/L3</f>
        <v/>
      </c>
      <c r="N3" s="210">
        <f>K3/H3</f>
        <v/>
      </c>
      <c r="O3" s="210">
        <f>L3/I3</f>
        <v/>
      </c>
      <c r="P3" s="320">
        <f>COUNT(S5:AD5)/11</f>
        <v/>
      </c>
      <c r="Q3" s="326" t="n"/>
      <c r="R3" s="212" t="inlineStr">
        <is>
          <t>Sniper</t>
        </is>
      </c>
      <c r="S3" s="301" t="inlineStr">
        <is>
          <t>Anthony</t>
        </is>
      </c>
      <c r="T3" s="302" t="inlineStr">
        <is>
          <t>Carter</t>
        </is>
      </c>
      <c r="U3" s="302" t="inlineStr">
        <is>
          <t>Cooper</t>
        </is>
      </c>
      <c r="V3" s="302" t="inlineStr">
        <is>
          <t>David</t>
        </is>
      </c>
      <c r="W3" s="302" t="inlineStr">
        <is>
          <t>Erick</t>
        </is>
      </c>
      <c r="X3" s="302" t="inlineStr">
        <is>
          <t>Grady</t>
        </is>
      </c>
      <c r="Y3" s="302" t="inlineStr">
        <is>
          <t>Jon</t>
        </is>
      </c>
      <c r="Z3" s="302" t="inlineStr">
        <is>
          <t>Maxine</t>
        </is>
      </c>
      <c r="AA3" s="302" t="inlineStr">
        <is>
          <t>Peter</t>
        </is>
      </c>
      <c r="AB3" s="302" t="inlineStr">
        <is>
          <t>Sam</t>
        </is>
      </c>
      <c r="AC3" s="302" t="inlineStr">
        <is>
          <t>Seth</t>
        </is>
      </c>
      <c r="AD3" s="302" t="inlineStr">
        <is>
          <t>Tyler</t>
        </is>
      </c>
      <c r="AE3" s="214" t="inlineStr">
        <is>
          <t>Total Result</t>
        </is>
      </c>
      <c r="AF3" s="246" t="n"/>
      <c r="AG3" s="328" t="n"/>
      <c r="AH3" s="203" t="n"/>
      <c r="AI3" s="215">
        <f>GETPIVOTDATA("Points",$R$2)</f>
        <v/>
      </c>
      <c r="AJ3" s="216" t="inlineStr">
        <is>
          <t>Total Points:</t>
        </is>
      </c>
      <c r="AK3" s="215">
        <f>GETPIVOTDATA("Points",$R$2)</f>
        <v/>
      </c>
      <c r="AL3" s="203" t="n"/>
      <c r="AM3" s="328" t="n"/>
      <c r="AN3" s="246" t="n"/>
      <c r="AO3" s="246" t="n"/>
    </row>
    <row r="4" ht="14.25" customHeight="1" s="175">
      <c r="A4" s="267" t="inlineStr">
        <is>
          <t>Maxine</t>
        </is>
      </c>
      <c r="B4" s="268" t="n">
        <v>2</v>
      </c>
      <c r="C4" s="269" t="inlineStr">
        <is>
          <t>Grady</t>
        </is>
      </c>
      <c r="D4" s="192" t="inlineStr">
        <is>
          <t>Discord</t>
        </is>
      </c>
      <c r="F4" s="192" t="n"/>
      <c r="G4" s="208" t="inlineStr">
        <is>
          <t>Grady</t>
        </is>
      </c>
      <c r="H4" s="209">
        <f>COUNTIF($A:$A,G4)</f>
        <v/>
      </c>
      <c r="I4" s="209">
        <f>COUNTIF($C:$C,G4)</f>
        <v/>
      </c>
      <c r="J4" s="210">
        <f>H4/I4</f>
        <v/>
      </c>
      <c r="K4" s="209">
        <f>GETPIVOTDATA("Points",$R$2,"Sniper",G4)</f>
        <v/>
      </c>
      <c r="L4" s="209">
        <f>GETPIVOTDATA("Points",$R$2,"Snipee",G4)</f>
        <v/>
      </c>
      <c r="M4" s="299">
        <f>K4/L4</f>
        <v/>
      </c>
      <c r="N4" s="210">
        <f>K4/H4</f>
        <v/>
      </c>
      <c r="O4" s="210">
        <f>L4/I4</f>
        <v/>
      </c>
      <c r="P4" s="320">
        <f>COUNT(S12:AD12)/11</f>
        <v/>
      </c>
      <c r="Q4" s="326" t="n"/>
      <c r="R4" s="303" t="inlineStr">
        <is>
          <t>Anthony</t>
        </is>
      </c>
      <c r="S4" s="273" t="n"/>
      <c r="T4" s="274" t="n">
        <v>1</v>
      </c>
      <c r="U4" s="274" t="n">
        <v>2</v>
      </c>
      <c r="V4" s="274" t="n">
        <v>2</v>
      </c>
      <c r="W4" s="274" t="n"/>
      <c r="X4" s="274" t="n">
        <v>2</v>
      </c>
      <c r="Y4" s="274" t="n"/>
      <c r="Z4" s="274" t="n"/>
      <c r="AA4" s="274" t="n"/>
      <c r="AB4" s="274" t="n">
        <v>2</v>
      </c>
      <c r="AC4" s="274" t="n"/>
      <c r="AD4" s="275" t="n">
        <v>3</v>
      </c>
      <c r="AE4" s="276" t="n">
        <v>12</v>
      </c>
      <c r="AF4" s="246" t="n"/>
      <c r="AG4" s="220">
        <f>COUNTIF(H23:H34,AI4)-1</f>
        <v/>
      </c>
      <c r="AH4" s="221">
        <f>$G$23</f>
        <v/>
      </c>
      <c r="AI4" s="215">
        <f>maxine(H3:H14)</f>
        <v/>
      </c>
      <c r="AJ4" s="216" t="inlineStr">
        <is>
          <t>Most Kills:</t>
        </is>
      </c>
      <c r="AK4" s="215">
        <f>maxine(H17:H20)</f>
        <v/>
      </c>
      <c r="AL4" s="223">
        <f>$G$65</f>
        <v/>
      </c>
      <c r="AM4" s="220">
        <f>COUNTIF(H17:H20,AK4)-1</f>
        <v/>
      </c>
      <c r="AN4" s="325" t="n"/>
      <c r="AO4" s="325" t="n"/>
    </row>
    <row r="5" ht="14.25" customHeight="1" s="175">
      <c r="A5" s="267" t="inlineStr">
        <is>
          <t>Peter</t>
        </is>
      </c>
      <c r="B5" s="268" t="n">
        <v>2</v>
      </c>
      <c r="C5" s="269" t="inlineStr">
        <is>
          <t>Erick</t>
        </is>
      </c>
      <c r="D5" s="192" t="inlineStr">
        <is>
          <t>Discord</t>
        </is>
      </c>
      <c r="F5" s="192" t="n"/>
      <c r="G5" s="208" t="inlineStr">
        <is>
          <t>Seth</t>
        </is>
      </c>
      <c r="H5" s="209">
        <f>COUNTIF($A:$A,G5)</f>
        <v/>
      </c>
      <c r="I5" s="209">
        <f>COUNTIF($C:$C,G5)</f>
        <v/>
      </c>
      <c r="J5" s="210">
        <f>H5/I5</f>
        <v/>
      </c>
      <c r="K5" s="209" t="n"/>
      <c r="L5" s="209">
        <f>GETPIVOTDATA("Points",$R$2,"Snipee",G5)</f>
        <v/>
      </c>
      <c r="M5" s="299" t="n"/>
      <c r="N5" s="210" t="n"/>
      <c r="O5" s="210">
        <f>L5/I5</f>
        <v/>
      </c>
      <c r="P5" s="320" t="n">
        <v>0</v>
      </c>
      <c r="Q5" s="326" t="n"/>
      <c r="R5" s="304" t="inlineStr">
        <is>
          <t>Carter</t>
        </is>
      </c>
      <c r="S5" s="278" t="n">
        <v>1</v>
      </c>
      <c r="T5" s="279" t="n"/>
      <c r="U5" s="279" t="n">
        <v>1</v>
      </c>
      <c r="V5" s="279" t="n">
        <v>3</v>
      </c>
      <c r="W5" s="279" t="n">
        <v>9</v>
      </c>
      <c r="X5" s="279" t="n"/>
      <c r="Y5" s="279" t="n"/>
      <c r="Z5" s="279" t="n"/>
      <c r="AA5" s="279" t="n">
        <v>7</v>
      </c>
      <c r="AB5" s="279" t="n">
        <v>5</v>
      </c>
      <c r="AC5" s="279" t="n"/>
      <c r="AD5" s="280" t="n">
        <v>1</v>
      </c>
      <c r="AE5" s="281" t="n">
        <v>27</v>
      </c>
      <c r="AF5" s="246" t="n"/>
      <c r="AG5" s="220">
        <f>COUNTIF(H37:H48,AI5)-1</f>
        <v/>
      </c>
      <c r="AH5" s="221">
        <f>$G$37</f>
        <v/>
      </c>
      <c r="AI5" s="215">
        <f>maxine(I3:I14)</f>
        <v/>
      </c>
      <c r="AJ5" s="216" t="inlineStr">
        <is>
          <t>Most Deaths:</t>
        </is>
      </c>
      <c r="AK5" s="215">
        <f>maxine(I17:I20)</f>
        <v/>
      </c>
      <c r="AL5" s="223">
        <f>$G$74</f>
        <v/>
      </c>
      <c r="AM5" s="220">
        <f>COUNTIF(I17:I20,AK5)-1</f>
        <v/>
      </c>
      <c r="AN5" s="325" t="n"/>
      <c r="AO5" s="325" t="n"/>
    </row>
    <row r="6" ht="14.25" customHeight="1" s="175">
      <c r="A6" s="267" t="inlineStr">
        <is>
          <t>Grady</t>
        </is>
      </c>
      <c r="B6" s="268" t="n">
        <v>1</v>
      </c>
      <c r="C6" s="269" t="inlineStr">
        <is>
          <t>Maxine</t>
        </is>
      </c>
      <c r="D6" s="192" t="inlineStr">
        <is>
          <t>Discord</t>
        </is>
      </c>
      <c r="F6" s="192" t="n"/>
      <c r="G6" s="208" t="inlineStr">
        <is>
          <t>Cooper</t>
        </is>
      </c>
      <c r="H6" s="209">
        <f>COUNTIF($A:$A,G6)</f>
        <v/>
      </c>
      <c r="I6" s="209">
        <f>COUNTIF($C:$C,G6)</f>
        <v/>
      </c>
      <c r="J6" s="210">
        <f>H6/I6</f>
        <v/>
      </c>
      <c r="K6" s="209">
        <f>GETPIVOTDATA("Points",$R$2,"Sniper",G6)</f>
        <v/>
      </c>
      <c r="L6" s="209">
        <f>GETPIVOTDATA("Points",$R$2,"Snipee",G6)</f>
        <v/>
      </c>
      <c r="M6" s="299">
        <f>K6/L6</f>
        <v/>
      </c>
      <c r="N6" s="210">
        <f>K6/H6</f>
        <v/>
      </c>
      <c r="O6" s="210">
        <f>L6/I6</f>
        <v/>
      </c>
      <c r="P6" s="320">
        <f>COUNT(S13:AD13)/11</f>
        <v/>
      </c>
      <c r="Q6" s="326" t="n"/>
      <c r="R6" s="304" t="inlineStr">
        <is>
          <t>Cooper</t>
        </is>
      </c>
      <c r="S6" s="278" t="n"/>
      <c r="T6" s="279" t="n">
        <v>1</v>
      </c>
      <c r="U6" s="279" t="n"/>
      <c r="V6" s="279" t="n">
        <v>1</v>
      </c>
      <c r="W6" s="279" t="n"/>
      <c r="X6" s="279" t="n"/>
      <c r="Y6" s="279" t="n"/>
      <c r="Z6" s="279" t="n"/>
      <c r="AA6" s="279" t="n"/>
      <c r="AB6" s="279" t="n">
        <v>2</v>
      </c>
      <c r="AC6" s="279" t="n"/>
      <c r="AD6" s="280" t="n"/>
      <c r="AE6" s="281" t="n">
        <v>4</v>
      </c>
      <c r="AF6" s="246" t="n"/>
      <c r="AG6" s="220">
        <f>COUNTIF(R23:R34,AI6)-1</f>
        <v/>
      </c>
      <c r="AH6" s="221">
        <f>$Q$23</f>
        <v/>
      </c>
      <c r="AI6" s="215">
        <f>maxine(K3:K14)</f>
        <v/>
      </c>
      <c r="AJ6" s="216" t="inlineStr">
        <is>
          <t>Most Kill Pts:</t>
        </is>
      </c>
      <c r="AK6" s="215">
        <f>maxine(K17:K20)</f>
        <v/>
      </c>
      <c r="AL6" s="223">
        <f>$Q$65</f>
        <v/>
      </c>
      <c r="AM6" s="220">
        <f>COUNTIF(K17:K20,AK6)-1</f>
        <v/>
      </c>
      <c r="AN6" s="325" t="n"/>
      <c r="AO6" s="325" t="n"/>
    </row>
    <row r="7" ht="14.25" customHeight="1" s="175">
      <c r="A7" s="267" t="inlineStr">
        <is>
          <t>Carter</t>
        </is>
      </c>
      <c r="B7" s="268" t="n">
        <v>1</v>
      </c>
      <c r="C7" s="269" t="inlineStr">
        <is>
          <t>Peter</t>
        </is>
      </c>
      <c r="D7" s="192" t="inlineStr">
        <is>
          <t>Discord</t>
        </is>
      </c>
      <c r="F7" s="192" t="n"/>
      <c r="G7" s="208" t="inlineStr">
        <is>
          <t>Maxine</t>
        </is>
      </c>
      <c r="H7" s="209">
        <f>COUNTIF($A:$A,G7)</f>
        <v/>
      </c>
      <c r="I7" s="209">
        <f>COUNTIF($C:$C,G7)</f>
        <v/>
      </c>
      <c r="J7" s="210">
        <f>H7/I7</f>
        <v/>
      </c>
      <c r="K7" s="209">
        <f>GETPIVOTDATA("Points",$R$2,"Sniper",G7)</f>
        <v/>
      </c>
      <c r="L7" s="209">
        <f>GETPIVOTDATA("Points",$R$2,"Snipee",G7)</f>
        <v/>
      </c>
      <c r="M7" s="299">
        <f>K7/L7</f>
        <v/>
      </c>
      <c r="N7" s="210">
        <f>K7/H7</f>
        <v/>
      </c>
      <c r="O7" s="210">
        <f>L7/I7</f>
        <v/>
      </c>
      <c r="P7" s="320">
        <f>COUNT(S14:AD14)/11</f>
        <v/>
      </c>
      <c r="Q7" s="326" t="n"/>
      <c r="R7" s="304" t="inlineStr">
        <is>
          <t>David</t>
        </is>
      </c>
      <c r="S7" s="278" t="n"/>
      <c r="T7" s="279" t="n">
        <v>1</v>
      </c>
      <c r="U7" s="279" t="n"/>
      <c r="V7" s="279" t="n"/>
      <c r="W7" s="279" t="n">
        <v>3</v>
      </c>
      <c r="X7" s="279" t="n">
        <v>2</v>
      </c>
      <c r="Y7" s="279" t="n"/>
      <c r="Z7" s="279" t="n"/>
      <c r="AA7" s="279" t="n">
        <v>4</v>
      </c>
      <c r="AB7" s="279" t="n"/>
      <c r="AC7" s="279" t="n"/>
      <c r="AD7" s="280" t="n">
        <v>1</v>
      </c>
      <c r="AE7" s="281" t="n">
        <v>11</v>
      </c>
      <c r="AF7" s="246" t="n"/>
      <c r="AG7" s="220">
        <f>COUNTIF(R37:R48,AI7)-1</f>
        <v/>
      </c>
      <c r="AH7" s="221">
        <f>$Q$37</f>
        <v/>
      </c>
      <c r="AI7" s="215">
        <f>maxine(L3:L14)</f>
        <v/>
      </c>
      <c r="AJ7" s="216" t="inlineStr">
        <is>
          <t>Most Death Pts:</t>
        </is>
      </c>
      <c r="AK7" s="215">
        <f>maxine(L17:L20)</f>
        <v/>
      </c>
      <c r="AL7" s="223">
        <f>$Q$74</f>
        <v/>
      </c>
      <c r="AM7" s="220">
        <f>COUNTIF(L17:L20,AK7)-1</f>
        <v/>
      </c>
      <c r="AN7" s="325" t="n"/>
      <c r="AO7" s="325" t="n"/>
    </row>
    <row r="8" ht="14.25" customHeight="1" s="175">
      <c r="A8" s="267" t="inlineStr">
        <is>
          <t>Peter</t>
        </is>
      </c>
      <c r="B8" s="268" t="n">
        <v>2</v>
      </c>
      <c r="C8" s="269" t="inlineStr">
        <is>
          <t>Carter</t>
        </is>
      </c>
      <c r="D8" s="192" t="inlineStr">
        <is>
          <t>Discord</t>
        </is>
      </c>
      <c r="E8" s="173" t="n">
        <v>0</v>
      </c>
      <c r="F8" s="192" t="n"/>
      <c r="G8" s="208" t="inlineStr">
        <is>
          <t>David</t>
        </is>
      </c>
      <c r="H8" s="209">
        <f>COUNTIF($A:$A,G8)</f>
        <v/>
      </c>
      <c r="I8" s="209">
        <f>COUNTIF($C:$C,G8)</f>
        <v/>
      </c>
      <c r="J8" s="210">
        <f>H8/I8</f>
        <v/>
      </c>
      <c r="K8" s="209">
        <f>GETPIVOTDATA("Points",$R$2,"Sniper",G8)</f>
        <v/>
      </c>
      <c r="L8" s="209">
        <f>GETPIVOTDATA("Points",$R$2,"Snipee",G8)</f>
        <v/>
      </c>
      <c r="M8" s="299">
        <f>K8/L8</f>
        <v/>
      </c>
      <c r="N8" s="210">
        <f>K8/H8</f>
        <v/>
      </c>
      <c r="O8" s="210">
        <f>L8/I8</f>
        <v/>
      </c>
      <c r="P8" s="320">
        <f>COUNT(S9:AD9)/11</f>
        <v/>
      </c>
      <c r="Q8" s="326" t="n"/>
      <c r="R8" s="304" t="inlineStr">
        <is>
          <t>Erick</t>
        </is>
      </c>
      <c r="S8" s="278" t="n"/>
      <c r="T8" s="279" t="n">
        <v>8</v>
      </c>
      <c r="U8" s="279" t="n"/>
      <c r="V8" s="279" t="n">
        <v>1</v>
      </c>
      <c r="W8" s="279" t="n"/>
      <c r="X8" s="279" t="n">
        <v>1</v>
      </c>
      <c r="Y8" s="279" t="n"/>
      <c r="Z8" s="279" t="n"/>
      <c r="AA8" s="279" t="n"/>
      <c r="AB8" s="279" t="n">
        <v>4</v>
      </c>
      <c r="AC8" s="279" t="n"/>
      <c r="AD8" s="280" t="n"/>
      <c r="AE8" s="281" t="n">
        <v>14</v>
      </c>
      <c r="AF8" s="246" t="n"/>
      <c r="AG8" s="220">
        <f>COUNTIF(H51:H62,AI8)-1</f>
        <v/>
      </c>
      <c r="AH8" s="225">
        <f>$G$51</f>
        <v/>
      </c>
      <c r="AI8" s="222">
        <f>maxine(J3:J14)</f>
        <v/>
      </c>
      <c r="AJ8" s="216" t="inlineStr">
        <is>
          <t>Best KDR:</t>
        </is>
      </c>
      <c r="AK8" s="222">
        <f>maxine(J17:J20)</f>
        <v/>
      </c>
      <c r="AL8" s="223">
        <f>$G$83</f>
        <v/>
      </c>
      <c r="AM8" s="220">
        <f>COUNTIF(J17:J20,AK8)-1</f>
        <v/>
      </c>
      <c r="AN8" s="325" t="n"/>
      <c r="AO8" s="325" t="n"/>
    </row>
    <row r="9" ht="14.25" customHeight="1" s="175">
      <c r="A9" s="267" t="inlineStr">
        <is>
          <t>Sam</t>
        </is>
      </c>
      <c r="B9" s="268" t="n">
        <v>1</v>
      </c>
      <c r="C9" s="269" t="inlineStr">
        <is>
          <t>Erick</t>
        </is>
      </c>
      <c r="D9" s="192" t="inlineStr">
        <is>
          <t>Discord</t>
        </is>
      </c>
      <c r="F9" s="192" t="n"/>
      <c r="G9" s="208" t="inlineStr">
        <is>
          <t>Tyler</t>
        </is>
      </c>
      <c r="H9" s="209">
        <f>COUNTIF($A:$A,G9)</f>
        <v/>
      </c>
      <c r="I9" s="209">
        <f>COUNTIF($C:$C,G9)</f>
        <v/>
      </c>
      <c r="J9" s="210">
        <f>H9/I9</f>
        <v/>
      </c>
      <c r="K9" s="209">
        <f>GETPIVOTDATA("Points",$R$2,"Sniper",G9)</f>
        <v/>
      </c>
      <c r="L9" s="209">
        <f>GETPIVOTDATA("Points",$R$2,"Snipee",G9)</f>
        <v/>
      </c>
      <c r="M9" s="299">
        <f>K9/L9</f>
        <v/>
      </c>
      <c r="N9" s="210">
        <f>K9/H9</f>
        <v/>
      </c>
      <c r="O9" s="210">
        <f>L9/I9</f>
        <v/>
      </c>
      <c r="P9" s="320">
        <f>COUNT(S10:AD10)/11</f>
        <v/>
      </c>
      <c r="Q9" s="326" t="n"/>
      <c r="R9" s="304" t="inlineStr">
        <is>
          <t>Grady</t>
        </is>
      </c>
      <c r="S9" s="278" t="n"/>
      <c r="T9" s="279" t="n"/>
      <c r="U9" s="279" t="n"/>
      <c r="V9" s="279" t="n"/>
      <c r="W9" s="279" t="n"/>
      <c r="X9" s="279" t="n"/>
      <c r="Y9" s="279" t="n"/>
      <c r="Z9" s="279" t="n">
        <v>3</v>
      </c>
      <c r="AA9" s="279" t="n"/>
      <c r="AB9" s="279" t="n"/>
      <c r="AC9" s="279" t="n"/>
      <c r="AD9" s="280" t="n">
        <v>2</v>
      </c>
      <c r="AE9" s="281" t="n">
        <v>5</v>
      </c>
      <c r="AF9" s="246" t="n"/>
      <c r="AG9" s="220">
        <f>COUNTIF(R51:R62,AI9)-1</f>
        <v/>
      </c>
      <c r="AH9" s="225">
        <f>$Q$51</f>
        <v/>
      </c>
      <c r="AI9" s="222">
        <f>maxine(M3:M14)</f>
        <v/>
      </c>
      <c r="AJ9" s="216" t="inlineStr">
        <is>
          <t>Best KpDpR:</t>
        </is>
      </c>
      <c r="AK9" s="222">
        <f>maxine(M16:M19)</f>
        <v/>
      </c>
      <c r="AL9" s="223">
        <f>$Q$83</f>
        <v/>
      </c>
      <c r="AM9" s="220">
        <f>COUNTIF(M16:M19,AK9)-1</f>
        <v/>
      </c>
      <c r="AN9" s="325" t="n"/>
      <c r="AO9" s="325" t="n"/>
    </row>
    <row r="10" ht="14.25" customHeight="1" s="175">
      <c r="A10" s="267" t="inlineStr">
        <is>
          <t>Carter</t>
        </is>
      </c>
      <c r="B10" s="268" t="n">
        <v>1</v>
      </c>
      <c r="C10" s="269" t="inlineStr">
        <is>
          <t>Sam</t>
        </is>
      </c>
      <c r="D10" s="192" t="inlineStr">
        <is>
          <t>Discord</t>
        </is>
      </c>
      <c r="F10" s="192" t="n"/>
      <c r="G10" s="208" t="inlineStr">
        <is>
          <t>Anthony</t>
        </is>
      </c>
      <c r="H10" s="209">
        <f>COUNTIF($A:$A,G10)</f>
        <v/>
      </c>
      <c r="I10" s="209">
        <f>COUNTIF($C:$C,G10)</f>
        <v/>
      </c>
      <c r="J10" s="210">
        <f>H10/I10</f>
        <v/>
      </c>
      <c r="K10" s="209">
        <f>GETPIVOTDATA("Points",$R$2,"Sniper",G10)</f>
        <v/>
      </c>
      <c r="L10" s="209">
        <f>GETPIVOTDATA("Points",$R$2,"Snipee",G10)</f>
        <v/>
      </c>
      <c r="M10" s="299">
        <f>K10/L10</f>
        <v/>
      </c>
      <c r="N10" s="210">
        <f>K10/H10</f>
        <v/>
      </c>
      <c r="O10" s="210">
        <f>L10/I10</f>
        <v/>
      </c>
      <c r="P10" s="320">
        <f>COUNT(S8:AD8)/11</f>
        <v/>
      </c>
      <c r="Q10" s="326" t="n"/>
      <c r="R10" s="304" t="inlineStr">
        <is>
          <t>Jon</t>
        </is>
      </c>
      <c r="S10" s="278" t="n">
        <v>2</v>
      </c>
      <c r="T10" s="279" t="n"/>
      <c r="U10" s="279" t="n"/>
      <c r="V10" s="279" t="n"/>
      <c r="W10" s="279" t="n">
        <v>2</v>
      </c>
      <c r="X10" s="279" t="n">
        <v>4</v>
      </c>
      <c r="Y10" s="279" t="n"/>
      <c r="Z10" s="279" t="n"/>
      <c r="AA10" s="279" t="n"/>
      <c r="AB10" s="279" t="n"/>
      <c r="AC10" s="279" t="n"/>
      <c r="AD10" s="280" t="n"/>
      <c r="AE10" s="281" t="n">
        <v>8</v>
      </c>
      <c r="AF10" s="246" t="n"/>
    </row>
    <row r="11" ht="14.25" customHeight="1" s="175">
      <c r="A11" s="267" t="inlineStr">
        <is>
          <t>Sam</t>
        </is>
      </c>
      <c r="B11" s="268" t="n">
        <v>1</v>
      </c>
      <c r="C11" s="269" t="inlineStr">
        <is>
          <t>Carter</t>
        </is>
      </c>
      <c r="D11" s="192" t="inlineStr">
        <is>
          <t>Discord</t>
        </is>
      </c>
      <c r="E11" s="173" t="n">
        <v>0</v>
      </c>
      <c r="F11" s="192" t="n"/>
      <c r="G11" s="208" t="inlineStr">
        <is>
          <t>Sam</t>
        </is>
      </c>
      <c r="H11" s="209">
        <f>COUNTIF($A:$A,G11)</f>
        <v/>
      </c>
      <c r="I11" s="209">
        <f>COUNTIF($C:$C,G11)</f>
        <v/>
      </c>
      <c r="J11" s="210">
        <f>H11/I11</f>
        <v/>
      </c>
      <c r="K11" s="209">
        <f>GETPIVOTDATA("Points",$R$2,"Sniper",G11)</f>
        <v/>
      </c>
      <c r="L11" s="209">
        <f>GETPIVOTDATA("Points",$R$2,"Snipee",G11)</f>
        <v/>
      </c>
      <c r="M11" s="299">
        <f>K11/L11</f>
        <v/>
      </c>
      <c r="N11" s="210">
        <f>K11/H11</f>
        <v/>
      </c>
      <c r="O11" s="210">
        <f>L11/I11</f>
        <v/>
      </c>
      <c r="P11" s="320">
        <f>COUNT(S4:AD4)/11</f>
        <v/>
      </c>
      <c r="Q11" s="326" t="n"/>
      <c r="R11" s="304" t="inlineStr">
        <is>
          <t>Maxine</t>
        </is>
      </c>
      <c r="S11" s="278" t="n"/>
      <c r="T11" s="279" t="n"/>
      <c r="U11" s="279" t="n"/>
      <c r="V11" s="279" t="n"/>
      <c r="W11" s="279" t="n"/>
      <c r="X11" s="279" t="n">
        <v>2</v>
      </c>
      <c r="Y11" s="279" t="n"/>
      <c r="Z11" s="279" t="n"/>
      <c r="AA11" s="279" t="n"/>
      <c r="AB11" s="279" t="n"/>
      <c r="AC11" s="279" t="n"/>
      <c r="AD11" s="280" t="n">
        <v>2</v>
      </c>
      <c r="AE11" s="281" t="n">
        <v>4</v>
      </c>
      <c r="AF11" s="246" t="n"/>
    </row>
    <row r="12" ht="14.25" customHeight="1" s="175">
      <c r="A12" s="267" t="inlineStr">
        <is>
          <t>Sam</t>
        </is>
      </c>
      <c r="B12" s="268" t="n">
        <v>1</v>
      </c>
      <c r="C12" s="269" t="inlineStr">
        <is>
          <t>Carter</t>
        </is>
      </c>
      <c r="D12" s="192" t="inlineStr">
        <is>
          <t>Discord</t>
        </is>
      </c>
      <c r="E12" s="173" t="n">
        <v>0</v>
      </c>
      <c r="F12" s="192" t="n"/>
      <c r="G12" s="208" t="inlineStr">
        <is>
          <t>Erick</t>
        </is>
      </c>
      <c r="H12" s="209">
        <f>COUNTIF($A:$A,G12)</f>
        <v/>
      </c>
      <c r="I12" s="209">
        <f>COUNTIF($C:$C,G12)</f>
        <v/>
      </c>
      <c r="J12" s="210">
        <f>H12/I12</f>
        <v/>
      </c>
      <c r="K12" s="209">
        <f>GETPIVOTDATA("Points",$R$2,"Sniper",G12)</f>
        <v/>
      </c>
      <c r="L12" s="209">
        <f>GETPIVOTDATA("Points",$R$2,"Snipee",G12)</f>
        <v/>
      </c>
      <c r="M12" s="299">
        <f>K12/L12</f>
        <v/>
      </c>
      <c r="N12" s="210">
        <f>K12/H12</f>
        <v/>
      </c>
      <c r="O12" s="210">
        <f>L12/I12</f>
        <v/>
      </c>
      <c r="P12" s="320">
        <f>COUNT(S7:AD7)/11</f>
        <v/>
      </c>
      <c r="Q12" s="326" t="n"/>
      <c r="R12" s="304" t="inlineStr">
        <is>
          <t>Peter</t>
        </is>
      </c>
      <c r="S12" s="278" t="n">
        <v>4</v>
      </c>
      <c r="T12" s="279" t="n">
        <v>6</v>
      </c>
      <c r="U12" s="279" t="n">
        <v>2</v>
      </c>
      <c r="V12" s="279" t="n">
        <v>3</v>
      </c>
      <c r="W12" s="279" t="n">
        <v>2</v>
      </c>
      <c r="X12" s="279" t="n"/>
      <c r="Y12" s="279" t="n">
        <v>2</v>
      </c>
      <c r="Z12" s="279" t="n"/>
      <c r="AA12" s="279" t="n"/>
      <c r="AB12" s="279" t="n">
        <v>2</v>
      </c>
      <c r="AC12" s="279" t="n">
        <v>4</v>
      </c>
      <c r="AD12" s="280" t="n">
        <v>1</v>
      </c>
      <c r="AE12" s="281" t="n">
        <v>26</v>
      </c>
      <c r="AF12" s="246" t="n"/>
      <c r="AG12" s="246" t="n"/>
    </row>
    <row r="13" ht="14.25" customHeight="1" s="175">
      <c r="A13" s="267" t="inlineStr">
        <is>
          <t>Carter</t>
        </is>
      </c>
      <c r="B13" s="268" t="n">
        <v>1</v>
      </c>
      <c r="C13" s="269" t="inlineStr">
        <is>
          <t>Sam</t>
        </is>
      </c>
      <c r="D13" s="192" t="inlineStr">
        <is>
          <t>Discord</t>
        </is>
      </c>
      <c r="F13" s="192" t="n"/>
      <c r="G13" s="208" t="inlineStr">
        <is>
          <t>Peter</t>
        </is>
      </c>
      <c r="H13" s="209">
        <f>COUNTIF($A:$A,G13)</f>
        <v/>
      </c>
      <c r="I13" s="209">
        <f>COUNTIF($C:$C,G13)</f>
        <v/>
      </c>
      <c r="J13" s="210">
        <f>H13/I13</f>
        <v/>
      </c>
      <c r="K13" s="209">
        <f>GETPIVOTDATA("Points",$R$2,"Sniper",G13)</f>
        <v/>
      </c>
      <c r="L13" s="209">
        <f>GETPIVOTDATA("Points",$R$2,"Snipee",G13)</f>
        <v/>
      </c>
      <c r="M13" s="299">
        <f>K13/L13</f>
        <v/>
      </c>
      <c r="N13" s="210">
        <f>K13/H13</f>
        <v/>
      </c>
      <c r="O13" s="210">
        <f>L13/I13</f>
        <v/>
      </c>
      <c r="P13" s="320">
        <f>COUNT(S6:AD6)/11</f>
        <v/>
      </c>
      <c r="Q13" s="326" t="n"/>
      <c r="R13" s="304" t="inlineStr">
        <is>
          <t>Sam</t>
        </is>
      </c>
      <c r="S13" s="278" t="n">
        <v>2</v>
      </c>
      <c r="T13" s="279" t="n">
        <v>12</v>
      </c>
      <c r="U13" s="279" t="n">
        <v>2</v>
      </c>
      <c r="V13" s="279" t="n"/>
      <c r="W13" s="279" t="n">
        <v>7</v>
      </c>
      <c r="X13" s="279" t="n"/>
      <c r="Y13" s="279" t="n"/>
      <c r="Z13" s="279" t="n"/>
      <c r="AA13" s="279" t="n">
        <v>1</v>
      </c>
      <c r="AB13" s="279" t="n"/>
      <c r="AC13" s="279" t="n">
        <v>8</v>
      </c>
      <c r="AD13" s="280" t="n">
        <v>6</v>
      </c>
      <c r="AE13" s="281" t="n">
        <v>38</v>
      </c>
      <c r="AF13" s="246" t="n"/>
      <c r="AG13" s="246" t="n"/>
    </row>
    <row r="14" ht="14.25" customHeight="1" s="175">
      <c r="A14" s="267" t="inlineStr">
        <is>
          <t>Sam</t>
        </is>
      </c>
      <c r="B14" s="268" t="n">
        <v>2</v>
      </c>
      <c r="C14" s="269" t="inlineStr">
        <is>
          <t>Tyler</t>
        </is>
      </c>
      <c r="D14" s="192" t="inlineStr">
        <is>
          <t>Discord</t>
        </is>
      </c>
      <c r="F14" s="192" t="n"/>
      <c r="G14" s="314" t="inlineStr">
        <is>
          <t>Jon</t>
        </is>
      </c>
      <c r="H14" s="209">
        <f>COUNTIF($A:$A,G14)</f>
        <v/>
      </c>
      <c r="I14" s="209">
        <f>COUNTIF($C:$C,G14)</f>
        <v/>
      </c>
      <c r="J14" s="210">
        <f>H14/I14</f>
        <v/>
      </c>
      <c r="K14" s="209">
        <f>GETPIVOTDATA("Points",$R$2,"Sniper",G14)</f>
        <v/>
      </c>
      <c r="L14" s="209">
        <f>GETPIVOTDATA("Points",$R$2,"Snipee",G14)</f>
        <v/>
      </c>
      <c r="M14" s="299">
        <f>K14/L14</f>
        <v/>
      </c>
      <c r="N14" s="210">
        <f>K14/H14</f>
        <v/>
      </c>
      <c r="O14" s="210">
        <f>L14/I14</f>
        <v/>
      </c>
      <c r="P14" s="320">
        <f>COUNT(S11:AD11)/11</f>
        <v/>
      </c>
      <c r="Q14" s="326" t="n"/>
      <c r="R14" s="304" t="inlineStr">
        <is>
          <t>Tyler</t>
        </is>
      </c>
      <c r="S14" s="282" t="n">
        <v>1</v>
      </c>
      <c r="T14" s="283" t="n">
        <v>1</v>
      </c>
      <c r="U14" s="283" t="n">
        <v>2</v>
      </c>
      <c r="V14" s="283" t="n">
        <v>1</v>
      </c>
      <c r="W14" s="283" t="n"/>
      <c r="X14" s="283" t="n">
        <v>2</v>
      </c>
      <c r="Y14" s="283" t="n"/>
      <c r="Z14" s="283" t="n"/>
      <c r="AA14" s="283" t="n"/>
      <c r="AB14" s="283" t="n"/>
      <c r="AC14" s="283" t="n">
        <v>2</v>
      </c>
      <c r="AD14" s="284" t="n"/>
      <c r="AE14" s="285" t="n">
        <v>9</v>
      </c>
      <c r="AF14" s="246" t="n"/>
      <c r="AG14" s="246" t="n"/>
    </row>
    <row r="15" ht="14.25" customHeight="1" s="175">
      <c r="A15" s="267" t="inlineStr">
        <is>
          <t>Tyler</t>
        </is>
      </c>
      <c r="B15" s="268" t="n">
        <v>2</v>
      </c>
      <c r="C15" s="269" t="inlineStr">
        <is>
          <t>Cooper</t>
        </is>
      </c>
      <c r="D15" s="192" t="inlineStr">
        <is>
          <t>Discord</t>
        </is>
      </c>
      <c r="F15" s="192" t="n"/>
      <c r="G15" s="179" t="inlineStr">
        <is>
          <t>Data By Voice Part:</t>
        </is>
      </c>
      <c r="H15" s="180" t="n"/>
      <c r="I15" s="180" t="n"/>
      <c r="J15" s="180" t="n"/>
      <c r="K15" s="180" t="n"/>
      <c r="L15" s="180" t="n"/>
      <c r="M15" s="180" t="n"/>
      <c r="N15" s="180" t="n"/>
      <c r="O15" s="181" t="n"/>
      <c r="Q15" s="182" t="n"/>
      <c r="R15" s="237" t="inlineStr">
        <is>
          <t>Total Result</t>
        </is>
      </c>
      <c r="S15" s="286" t="n">
        <v>10</v>
      </c>
      <c r="T15" s="287" t="n">
        <v>30</v>
      </c>
      <c r="U15" s="287" t="n">
        <v>9</v>
      </c>
      <c r="V15" s="287" t="n">
        <v>11</v>
      </c>
      <c r="W15" s="287" t="n">
        <v>23</v>
      </c>
      <c r="X15" s="287" t="n">
        <v>13</v>
      </c>
      <c r="Y15" s="287" t="n">
        <v>2</v>
      </c>
      <c r="Z15" s="287" t="n">
        <v>3</v>
      </c>
      <c r="AA15" s="287" t="n">
        <v>12</v>
      </c>
      <c r="AB15" s="287" t="n">
        <v>15</v>
      </c>
      <c r="AC15" s="287" t="n">
        <v>14</v>
      </c>
      <c r="AD15" s="288" t="n">
        <v>16</v>
      </c>
      <c r="AE15" s="239" t="n">
        <v>158</v>
      </c>
      <c r="AG15" s="315" t="n"/>
    </row>
    <row r="16" ht="14.25" customHeight="1" s="175">
      <c r="A16" s="267" t="inlineStr">
        <is>
          <t>David</t>
        </is>
      </c>
      <c r="B16" s="268" t="n">
        <v>2</v>
      </c>
      <c r="C16" s="269" t="inlineStr">
        <is>
          <t>Peter</t>
        </is>
      </c>
      <c r="D16" s="192" t="inlineStr">
        <is>
          <t>Discord</t>
        </is>
      </c>
      <c r="F16" s="192" t="n"/>
      <c r="G16" s="226" t="inlineStr">
        <is>
          <t>Part:</t>
        </is>
      </c>
      <c r="H16" s="196" t="inlineStr">
        <is>
          <t>Kills</t>
        </is>
      </c>
      <c r="I16" s="196" t="inlineStr">
        <is>
          <t>Deaths</t>
        </is>
      </c>
      <c r="J16" s="196" t="inlineStr">
        <is>
          <t>KDR</t>
        </is>
      </c>
      <c r="K16" s="196" t="inlineStr">
        <is>
          <t>Kill Points</t>
        </is>
      </c>
      <c r="L16" s="196" t="inlineStr">
        <is>
          <t>Death Points</t>
        </is>
      </c>
      <c r="M16" s="196" t="inlineStr">
        <is>
          <t>KpDpR</t>
        </is>
      </c>
      <c r="N16" s="196" t="inlineStr">
        <is>
          <t>KPts/Kill</t>
        </is>
      </c>
      <c r="O16" s="196" t="inlineStr">
        <is>
          <t>DPts/Death</t>
        </is>
      </c>
      <c r="Q16" s="232" t="n"/>
      <c r="AG16" s="246" t="n"/>
      <c r="AK16" s="260" t="n"/>
    </row>
    <row r="17" ht="14.25" customHeight="1" s="175">
      <c r="A17" s="267" t="inlineStr">
        <is>
          <t>Carter</t>
        </is>
      </c>
      <c r="B17" s="268" t="n">
        <v>2</v>
      </c>
      <c r="C17" s="269" t="inlineStr">
        <is>
          <t>Peter</t>
        </is>
      </c>
      <c r="D17" s="192" t="inlineStr">
        <is>
          <t>Discord</t>
        </is>
      </c>
      <c r="F17" s="192" t="n"/>
      <c r="G17" s="208" t="inlineStr">
        <is>
          <t>Tenors</t>
        </is>
      </c>
      <c r="H17" s="209">
        <f>SUM(H3:H5)</f>
        <v/>
      </c>
      <c r="I17" s="209">
        <f>SUM(I3:I5)</f>
        <v/>
      </c>
      <c r="J17" s="210">
        <f>H17/I17</f>
        <v/>
      </c>
      <c r="K17" s="209">
        <f>SUM(K3:K5)</f>
        <v/>
      </c>
      <c r="L17" s="209">
        <f>SUM(L3:L5)</f>
        <v/>
      </c>
      <c r="M17" s="210">
        <f>K17/L17</f>
        <v/>
      </c>
      <c r="N17" s="210">
        <f>K17/H17</f>
        <v/>
      </c>
      <c r="O17" s="210">
        <f>L17/I17</f>
        <v/>
      </c>
      <c r="Q17" s="192" t="n"/>
      <c r="AE17" s="316" t="inlineStr">
        <is>
          <t>MATRIX</t>
        </is>
      </c>
      <c r="AF17" s="317" t="inlineStr">
        <is>
          <t>Kills</t>
        </is>
      </c>
      <c r="AG17" s="317" t="inlineStr">
        <is>
          <t>Deaths</t>
        </is>
      </c>
      <c r="AH17" s="317" t="inlineStr">
        <is>
          <t>KDR</t>
        </is>
      </c>
      <c r="AI17" s="317" t="inlineStr">
        <is>
          <t>Kill Points</t>
        </is>
      </c>
      <c r="AJ17" s="317" t="inlineStr">
        <is>
          <t>Death Points</t>
        </is>
      </c>
      <c r="AK17" s="317" t="inlineStr">
        <is>
          <t>KpDpR</t>
        </is>
      </c>
      <c r="AL17" s="317" t="inlineStr">
        <is>
          <t>KPts/Kill</t>
        </is>
      </c>
      <c r="AM17" s="317" t="inlineStr">
        <is>
          <t>DPts/Death</t>
        </is>
      </c>
      <c r="AN17" s="317" t="inlineStr">
        <is>
          <t>Full Sweep %</t>
        </is>
      </c>
      <c r="AO17" s="317" t="inlineStr">
        <is>
          <t>Involvement</t>
        </is>
      </c>
    </row>
    <row r="18" ht="14.25" customHeight="1" s="175">
      <c r="A18" s="267" t="inlineStr">
        <is>
          <t>Sam</t>
        </is>
      </c>
      <c r="B18" s="268" t="n">
        <v>2</v>
      </c>
      <c r="C18" s="269" t="inlineStr">
        <is>
          <t>Seth</t>
        </is>
      </c>
      <c r="D18" s="192" t="inlineStr">
        <is>
          <t>Discord</t>
        </is>
      </c>
      <c r="F18" s="192" t="n"/>
      <c r="G18" s="208" t="inlineStr">
        <is>
          <t>Leads</t>
        </is>
      </c>
      <c r="H18" s="209">
        <f>SUM(H6:H8)</f>
        <v/>
      </c>
      <c r="I18" s="209">
        <f>SUM(I6:I8)</f>
        <v/>
      </c>
      <c r="J18" s="210">
        <f>H18/I18</f>
        <v/>
      </c>
      <c r="K18" s="209">
        <f>SUM(K6:K8)</f>
        <v/>
      </c>
      <c r="L18" s="209">
        <f>SUM(L6:L8)</f>
        <v/>
      </c>
      <c r="M18" s="210">
        <f>K18/L18</f>
        <v/>
      </c>
      <c r="N18" s="210">
        <f>K18/H18</f>
        <v/>
      </c>
      <c r="O18" s="210">
        <f>L18/I18</f>
        <v/>
      </c>
      <c r="AE18" s="318" t="inlineStr">
        <is>
          <t>Weight:</t>
        </is>
      </c>
      <c r="AF18" s="229" t="n">
        <v>7.5</v>
      </c>
      <c r="AG18" s="230" t="n">
        <v>-6</v>
      </c>
      <c r="AH18" s="230" t="n">
        <v>25</v>
      </c>
      <c r="AI18" s="230" t="n">
        <v>8.5</v>
      </c>
      <c r="AJ18" s="230" t="n">
        <v>-6.5</v>
      </c>
      <c r="AK18" s="230" t="n">
        <v>25</v>
      </c>
      <c r="AL18" s="230" t="n">
        <v>20</v>
      </c>
      <c r="AM18" s="230" t="n">
        <v>-20</v>
      </c>
      <c r="AN18" s="206" t="n">
        <v>100</v>
      </c>
      <c r="AO18" s="230" t="n">
        <v>4</v>
      </c>
      <c r="AP18" s="220" t="inlineStr">
        <is>
          <t>Totals:</t>
        </is>
      </c>
      <c r="AQ18" s="319" t="inlineStr">
        <is>
          <t>Award:</t>
        </is>
      </c>
    </row>
    <row r="19" ht="14.25" customHeight="1" s="175">
      <c r="A19" s="267" t="inlineStr">
        <is>
          <t>Sam</t>
        </is>
      </c>
      <c r="B19" s="268" t="n">
        <v>2</v>
      </c>
      <c r="C19" s="269" t="inlineStr">
        <is>
          <t>Cooper</t>
        </is>
      </c>
      <c r="D19" s="192" t="inlineStr">
        <is>
          <t>Discord</t>
        </is>
      </c>
      <c r="F19" s="192" t="n"/>
      <c r="G19" s="208" t="inlineStr">
        <is>
          <t>Baris</t>
        </is>
      </c>
      <c r="H19" s="209">
        <f>SUM(H9:H11)</f>
        <v/>
      </c>
      <c r="I19" s="209">
        <f>SUM(I9:I11)</f>
        <v/>
      </c>
      <c r="J19" s="210">
        <f>H19/I19</f>
        <v/>
      </c>
      <c r="K19" s="209">
        <f>SUM(K9:K11)</f>
        <v/>
      </c>
      <c r="L19" s="209">
        <f>SUM(L9:L11)</f>
        <v/>
      </c>
      <c r="M19" s="210">
        <f>K19/L19</f>
        <v/>
      </c>
      <c r="N19" s="210">
        <f>K19/H19</f>
        <v/>
      </c>
      <c r="O19" s="210">
        <f>L19/I19</f>
        <v/>
      </c>
      <c r="Q19" s="245" t="n"/>
      <c r="R19" s="289" t="inlineStr">
        <is>
          <t>Carter</t>
        </is>
      </c>
      <c r="S19" s="215" t="inlineStr">
        <is>
          <t>Total</t>
        </is>
      </c>
      <c r="T19" s="290" t="inlineStr">
        <is>
          <t>Yes</t>
        </is>
      </c>
      <c r="U19" s="291" t="inlineStr">
        <is>
          <t>No</t>
        </is>
      </c>
      <c r="V19" s="292" t="inlineStr">
        <is>
          <t>Ratio</t>
        </is>
      </c>
      <c r="AE19" s="318" t="inlineStr">
        <is>
          <t>Carter</t>
        </is>
      </c>
      <c r="AF19" s="210">
        <f>H3*$AF$18</f>
        <v/>
      </c>
      <c r="AG19" s="210">
        <f>I3*$AG$18</f>
        <v/>
      </c>
      <c r="AH19" s="210">
        <f>J3*$AH$18</f>
        <v/>
      </c>
      <c r="AI19" s="210">
        <f>K3*$AI$18</f>
        <v/>
      </c>
      <c r="AJ19" s="210">
        <f>L3*$AJ$18</f>
        <v/>
      </c>
      <c r="AK19" s="210">
        <f>M3*$AK$18</f>
        <v/>
      </c>
      <c r="AL19" s="210">
        <f>N3*$AL$18</f>
        <v/>
      </c>
      <c r="AM19" s="210">
        <f>O3*$AM$18</f>
        <v/>
      </c>
      <c r="AN19" s="320">
        <f>P3*$AN$18</f>
        <v/>
      </c>
      <c r="AO19" s="210">
        <f>SUM(H3:I3)*$AO$18</f>
        <v/>
      </c>
      <c r="AP19" s="251">
        <f>SUM(AF19:AO19)</f>
        <v/>
      </c>
      <c r="AQ19" s="319" t="n"/>
    </row>
    <row r="20" ht="14.25" customHeight="1" s="175">
      <c r="A20" s="267" t="inlineStr">
        <is>
          <t>David</t>
        </is>
      </c>
      <c r="B20" s="268" t="n">
        <v>2</v>
      </c>
      <c r="C20" s="269" t="inlineStr">
        <is>
          <t>Erick</t>
        </is>
      </c>
      <c r="D20" s="192" t="inlineStr">
        <is>
          <t>Discord</t>
        </is>
      </c>
      <c r="F20" s="192" t="n"/>
      <c r="G20" s="208" t="inlineStr">
        <is>
          <t>Basses</t>
        </is>
      </c>
      <c r="H20" s="209">
        <f>SUM(H12:H14)</f>
        <v/>
      </c>
      <c r="I20" s="209">
        <f>SUM(I12:I14)</f>
        <v/>
      </c>
      <c r="J20" s="210">
        <f>H20/I20</f>
        <v/>
      </c>
      <c r="K20" s="209">
        <f>SUM(K12:K14)</f>
        <v/>
      </c>
      <c r="L20" s="209">
        <f>SUM(L12:L14)</f>
        <v/>
      </c>
      <c r="M20" s="210">
        <f>K20/L20</f>
        <v/>
      </c>
      <c r="N20" s="210">
        <f>K20/H20</f>
        <v/>
      </c>
      <c r="O20" s="210">
        <f>L20/I20</f>
        <v/>
      </c>
      <c r="Q20" s="245" t="n"/>
      <c r="R20" s="221" t="inlineStr">
        <is>
          <t>Asriel Data:</t>
        </is>
      </c>
      <c r="S20" s="215">
        <f>COUNT(E:E)</f>
        <v/>
      </c>
      <c r="T20" s="290">
        <f>COUNTIF(E:E,"1")</f>
        <v/>
      </c>
      <c r="U20" s="291">
        <f>COUNTIF(E:E,"0")</f>
        <v/>
      </c>
      <c r="V20" s="293">
        <f>T20/S20</f>
        <v/>
      </c>
      <c r="AE20" s="318" t="inlineStr">
        <is>
          <t>Grady</t>
        </is>
      </c>
      <c r="AF20" s="210">
        <f>H4*$AF$18</f>
        <v/>
      </c>
      <c r="AG20" s="210">
        <f>I4*$AG$18</f>
        <v/>
      </c>
      <c r="AH20" s="210">
        <f>J4*$AH$18</f>
        <v/>
      </c>
      <c r="AI20" s="210">
        <f>K4*$AI$18</f>
        <v/>
      </c>
      <c r="AJ20" s="210">
        <f>L4*$AJ$18</f>
        <v/>
      </c>
      <c r="AK20" s="210">
        <f>M4*$AK$18</f>
        <v/>
      </c>
      <c r="AL20" s="210">
        <f>N4*$AL$18</f>
        <v/>
      </c>
      <c r="AM20" s="210">
        <f>O4*$AM$18</f>
        <v/>
      </c>
      <c r="AN20" s="320">
        <f>P4*$AN$18</f>
        <v/>
      </c>
      <c r="AO20" s="210">
        <f>SUM(H4:I4)*$AO$18</f>
        <v/>
      </c>
      <c r="AP20" s="251">
        <f>SUM(AF20:AO20)</f>
        <v/>
      </c>
      <c r="AQ20" s="319" t="n"/>
    </row>
    <row r="21" ht="14.25" customHeight="1" s="175">
      <c r="A21" s="267" t="inlineStr">
        <is>
          <t>David</t>
        </is>
      </c>
      <c r="B21" s="268" t="n">
        <v>2</v>
      </c>
      <c r="C21" s="269" t="inlineStr">
        <is>
          <t>Peter</t>
        </is>
      </c>
      <c r="D21" s="192" t="inlineStr">
        <is>
          <t>Discord</t>
        </is>
      </c>
      <c r="F21" s="192" t="n"/>
      <c r="J21" s="246" t="n"/>
      <c r="K21" s="246" t="n"/>
      <c r="L21" s="246" t="n"/>
      <c r="M21" s="260" t="n"/>
      <c r="N21" s="260" t="n"/>
      <c r="O21" s="260" t="n"/>
      <c r="P21" s="260" t="n"/>
      <c r="Q21" s="182" t="n"/>
      <c r="AE21" s="318" t="inlineStr">
        <is>
          <t>Seth</t>
        </is>
      </c>
      <c r="AF21" s="210">
        <f>H5*$AF$18</f>
        <v/>
      </c>
      <c r="AG21" s="210">
        <f>I5*$AG$18</f>
        <v/>
      </c>
      <c r="AH21" s="210">
        <f>J5*$AH$18</f>
        <v/>
      </c>
      <c r="AI21" s="210">
        <f>K5*$AI$18</f>
        <v/>
      </c>
      <c r="AJ21" s="210">
        <f>L5*$AJ$18</f>
        <v/>
      </c>
      <c r="AK21" s="210">
        <f>M5*$AK$18</f>
        <v/>
      </c>
      <c r="AL21" s="210">
        <f>N5*$AL$18</f>
        <v/>
      </c>
      <c r="AM21" s="210">
        <f>O5*$AM$18</f>
        <v/>
      </c>
      <c r="AN21" s="320">
        <f>P5*$AN$18</f>
        <v/>
      </c>
      <c r="AO21" s="210">
        <f>SUM(H5:I5)*$AO$18</f>
        <v/>
      </c>
      <c r="AP21" s="251">
        <f>SUM(AF21:AO21)</f>
        <v/>
      </c>
      <c r="AQ21" s="319" t="n"/>
    </row>
    <row r="22" ht="14.25" customHeight="1" s="175">
      <c r="A22" s="267" t="inlineStr">
        <is>
          <t>Peter</t>
        </is>
      </c>
      <c r="B22" s="268" t="n">
        <v>1</v>
      </c>
      <c r="C22" s="269" t="inlineStr">
        <is>
          <t>David</t>
        </is>
      </c>
      <c r="D22" s="192" t="inlineStr">
        <is>
          <t>Discord</t>
        </is>
      </c>
      <c r="F22" s="192" t="n"/>
      <c r="G22" s="318" t="inlineStr">
        <is>
          <t>Person:</t>
        </is>
      </c>
      <c r="H22" s="216" t="inlineStr">
        <is>
          <t>Kills</t>
        </is>
      </c>
      <c r="J22" s="246" t="n"/>
      <c r="K22" s="246" t="n"/>
      <c r="L22" s="246" t="n"/>
      <c r="M22" s="260" t="n"/>
      <c r="N22" s="260" t="n"/>
      <c r="O22" s="260" t="n"/>
      <c r="Q22" s="318" t="inlineStr">
        <is>
          <t>Person:</t>
        </is>
      </c>
      <c r="R22" s="216" t="inlineStr">
        <is>
          <t>Kill Points</t>
        </is>
      </c>
      <c r="AE22" s="318" t="inlineStr">
        <is>
          <t>Cooper</t>
        </is>
      </c>
      <c r="AF22" s="210">
        <f>H6*$AF$18</f>
        <v/>
      </c>
      <c r="AG22" s="210">
        <f>I6*$AG$18</f>
        <v/>
      </c>
      <c r="AH22" s="210">
        <f>J6*$AH$18</f>
        <v/>
      </c>
      <c r="AI22" s="210">
        <f>K6*$AI$18</f>
        <v/>
      </c>
      <c r="AJ22" s="210">
        <f>L6*$AJ$18</f>
        <v/>
      </c>
      <c r="AK22" s="210">
        <f>M6*$AK$18</f>
        <v/>
      </c>
      <c r="AL22" s="210">
        <f>N6*$AL$18</f>
        <v/>
      </c>
      <c r="AM22" s="210">
        <f>O6*$AM$18</f>
        <v/>
      </c>
      <c r="AN22" s="320">
        <f>P6*$AN$18</f>
        <v/>
      </c>
      <c r="AO22" s="210">
        <f>SUM(H6:I6)*$AO$18</f>
        <v/>
      </c>
      <c r="AP22" s="251">
        <f>SUM(AF22:AO22)</f>
        <v/>
      </c>
      <c r="AQ22" s="319" t="n"/>
    </row>
    <row r="23" ht="14.25" customHeight="1" s="175">
      <c r="A23" s="267" t="inlineStr">
        <is>
          <t>David</t>
        </is>
      </c>
      <c r="B23" s="268" t="n">
        <v>1</v>
      </c>
      <c r="C23" s="269" t="inlineStr">
        <is>
          <t>Carter</t>
        </is>
      </c>
      <c r="D23" s="192" t="inlineStr">
        <is>
          <t>Discord</t>
        </is>
      </c>
      <c r="E23" s="173" t="n">
        <v>0</v>
      </c>
      <c r="F23" s="192" t="n"/>
      <c r="G23" s="318" t="inlineStr">
        <is>
          <t>Carter</t>
        </is>
      </c>
      <c r="H23" s="321">
        <f>$H$3</f>
        <v/>
      </c>
      <c r="J23" s="246" t="n"/>
      <c r="K23" s="246" t="n"/>
      <c r="L23" s="246" t="n"/>
      <c r="M23" s="260" t="n"/>
      <c r="N23" s="260" t="n"/>
      <c r="O23" s="260" t="n"/>
      <c r="Q23" s="318" t="inlineStr">
        <is>
          <t>Sam</t>
        </is>
      </c>
      <c r="R23" s="290">
        <f>$K$11</f>
        <v/>
      </c>
      <c r="AE23" s="318" t="inlineStr">
        <is>
          <t>Maxine</t>
        </is>
      </c>
      <c r="AF23" s="210">
        <f>H7*$AF$18</f>
        <v/>
      </c>
      <c r="AG23" s="210">
        <f>I7*$AG$18</f>
        <v/>
      </c>
      <c r="AH23" s="210">
        <f>J7*$AH$18</f>
        <v/>
      </c>
      <c r="AI23" s="210">
        <f>K7*$AI$18</f>
        <v/>
      </c>
      <c r="AJ23" s="210">
        <f>L7*$AJ$18</f>
        <v/>
      </c>
      <c r="AK23" s="210">
        <f>M7*$AK$18</f>
        <v/>
      </c>
      <c r="AL23" s="210">
        <f>N7*$AL$18</f>
        <v/>
      </c>
      <c r="AM23" s="210">
        <f>O7*$AM$18</f>
        <v/>
      </c>
      <c r="AN23" s="320">
        <f>P7*$AN$18</f>
        <v/>
      </c>
      <c r="AO23" s="210">
        <f>SUM(H7:I7)*$AO$18</f>
        <v/>
      </c>
      <c r="AP23" s="251">
        <f>SUM(AF23:AO23)</f>
        <v/>
      </c>
      <c r="AQ23" s="319" t="n"/>
    </row>
    <row r="24" ht="14.25" customHeight="1" s="175">
      <c r="A24" s="267" t="inlineStr">
        <is>
          <t>Peter</t>
        </is>
      </c>
      <c r="B24" s="268" t="n">
        <v>1</v>
      </c>
      <c r="C24" s="269" t="inlineStr">
        <is>
          <t>Carter</t>
        </is>
      </c>
      <c r="D24" s="192" t="inlineStr">
        <is>
          <t>Discord</t>
        </is>
      </c>
      <c r="E24" s="173" t="n">
        <v>0</v>
      </c>
      <c r="F24" s="192" t="n"/>
      <c r="G24" s="318" t="inlineStr">
        <is>
          <t>Sam</t>
        </is>
      </c>
      <c r="H24" s="321">
        <f>$H$11</f>
        <v/>
      </c>
      <c r="J24" s="246" t="n"/>
      <c r="K24" s="246" t="n"/>
      <c r="L24" s="246" t="n"/>
      <c r="M24" s="260" t="n"/>
      <c r="N24" s="260" t="n"/>
      <c r="O24" s="260" t="n"/>
      <c r="Q24" s="318" t="inlineStr">
        <is>
          <t>Carter</t>
        </is>
      </c>
      <c r="R24" s="290">
        <f>$K$3</f>
        <v/>
      </c>
      <c r="T24" s="246" t="n"/>
      <c r="U24" s="246" t="n"/>
      <c r="V24" s="246" t="n"/>
      <c r="W24" s="246" t="n"/>
      <c r="X24" s="246" t="n"/>
      <c r="Y24" s="246" t="n"/>
      <c r="Z24" s="246" t="n"/>
      <c r="AA24" s="246" t="n"/>
      <c r="AB24" s="246" t="n"/>
      <c r="AC24" s="246" t="n"/>
      <c r="AD24" s="246" t="n"/>
      <c r="AE24" s="318" t="inlineStr">
        <is>
          <t>David</t>
        </is>
      </c>
      <c r="AF24" s="210">
        <f>H8*$AF$18</f>
        <v/>
      </c>
      <c r="AG24" s="210">
        <f>I8*$AG$18</f>
        <v/>
      </c>
      <c r="AH24" s="210">
        <f>J8*$AH$18</f>
        <v/>
      </c>
      <c r="AI24" s="210">
        <f>K8*$AI$18</f>
        <v/>
      </c>
      <c r="AJ24" s="210">
        <f>L8*$AJ$18</f>
        <v/>
      </c>
      <c r="AK24" s="210">
        <f>M8*$AK$18</f>
        <v/>
      </c>
      <c r="AL24" s="210">
        <f>N8*$AL$18</f>
        <v/>
      </c>
      <c r="AM24" s="210">
        <f>O8*$AM$18</f>
        <v/>
      </c>
      <c r="AN24" s="320">
        <f>P8*$AN$18</f>
        <v/>
      </c>
      <c r="AO24" s="210">
        <f>SUM(H8:I8)*$AO$18</f>
        <v/>
      </c>
      <c r="AP24" s="251">
        <f>SUM(AF24:AO24)</f>
        <v/>
      </c>
      <c r="AQ24" s="319" t="n"/>
    </row>
    <row r="25" ht="14.25" customHeight="1" s="175">
      <c r="A25" s="267" t="inlineStr">
        <is>
          <t>Carter</t>
        </is>
      </c>
      <c r="B25" s="268" t="n">
        <v>1</v>
      </c>
      <c r="C25" s="269" t="inlineStr">
        <is>
          <t>Peter</t>
        </is>
      </c>
      <c r="D25" s="192" t="inlineStr">
        <is>
          <t>Discord</t>
        </is>
      </c>
      <c r="F25" s="192" t="n"/>
      <c r="G25" s="318" t="inlineStr">
        <is>
          <t>Peter</t>
        </is>
      </c>
      <c r="H25" s="321">
        <f>$H$13</f>
        <v/>
      </c>
      <c r="J25" s="246" t="n"/>
      <c r="K25" s="246" t="n"/>
      <c r="L25" s="246" t="n"/>
      <c r="M25" s="260" t="n"/>
      <c r="N25" s="260" t="n"/>
      <c r="O25" s="260" t="n"/>
      <c r="Q25" s="318" t="inlineStr">
        <is>
          <t>Peter</t>
        </is>
      </c>
      <c r="R25" s="290">
        <f>$K$13</f>
        <v/>
      </c>
      <c r="T25" s="246" t="n"/>
      <c r="U25" s="246" t="n"/>
      <c r="V25" s="246" t="n"/>
      <c r="W25" s="246" t="n"/>
      <c r="X25" s="246" t="n"/>
      <c r="Y25" s="246" t="n"/>
      <c r="Z25" s="246" t="n"/>
      <c r="AA25" s="246" t="n"/>
      <c r="AB25" s="246" t="n"/>
      <c r="AC25" s="246" t="n"/>
      <c r="AD25" s="246" t="n"/>
      <c r="AE25" s="318" t="inlineStr">
        <is>
          <t>Tyler</t>
        </is>
      </c>
      <c r="AF25" s="210">
        <f>H9*$AF$18</f>
        <v/>
      </c>
      <c r="AG25" s="210">
        <f>I9*$AG$18</f>
        <v/>
      </c>
      <c r="AH25" s="210">
        <f>J9*$AH$18</f>
        <v/>
      </c>
      <c r="AI25" s="210">
        <f>K9*$AI$18</f>
        <v/>
      </c>
      <c r="AJ25" s="210">
        <f>L9*$AJ$18</f>
        <v/>
      </c>
      <c r="AK25" s="210">
        <f>M9*$AK$18</f>
        <v/>
      </c>
      <c r="AL25" s="210">
        <f>N9*$AL$18</f>
        <v/>
      </c>
      <c r="AM25" s="210">
        <f>O9*$AM$18</f>
        <v/>
      </c>
      <c r="AN25" s="320">
        <f>P9*$AN$18</f>
        <v/>
      </c>
      <c r="AO25" s="210">
        <f>SUM(H9:I9)*$AO$18</f>
        <v/>
      </c>
      <c r="AP25" s="251">
        <f>SUM(AF25:AO25)</f>
        <v/>
      </c>
      <c r="AQ25" s="319" t="n"/>
    </row>
    <row r="26" ht="14.25" customHeight="1" s="175">
      <c r="A26" s="267" t="inlineStr">
        <is>
          <t>Carter</t>
        </is>
      </c>
      <c r="B26" s="268" t="n">
        <v>1</v>
      </c>
      <c r="C26" s="269" t="inlineStr">
        <is>
          <t>David</t>
        </is>
      </c>
      <c r="D26" s="192" t="inlineStr">
        <is>
          <t>Discord</t>
        </is>
      </c>
      <c r="F26" s="192" t="n"/>
      <c r="G26" s="318" t="inlineStr">
        <is>
          <t>Erick</t>
        </is>
      </c>
      <c r="H26" s="321">
        <f>$H$12</f>
        <v/>
      </c>
      <c r="J26" s="246" t="n"/>
      <c r="K26" s="246" t="n"/>
      <c r="L26" s="246" t="n"/>
      <c r="M26" s="260" t="n"/>
      <c r="N26" s="260" t="n"/>
      <c r="O26" s="260" t="n"/>
      <c r="Q26" s="318" t="inlineStr">
        <is>
          <t>Erick</t>
        </is>
      </c>
      <c r="R26" s="290">
        <f>$K$12</f>
        <v/>
      </c>
      <c r="T26" s="246" t="n"/>
      <c r="U26" s="246" t="n"/>
      <c r="V26" s="246" t="n"/>
      <c r="W26" s="246" t="n"/>
      <c r="X26" s="246" t="n"/>
      <c r="Y26" s="246" t="n"/>
      <c r="Z26" s="246" t="n"/>
      <c r="AA26" s="246" t="n"/>
      <c r="AB26" s="246" t="n"/>
      <c r="AC26" s="246" t="n"/>
      <c r="AD26" s="246" t="n"/>
      <c r="AE26" s="318" t="inlineStr">
        <is>
          <t>Anthony</t>
        </is>
      </c>
      <c r="AF26" s="210">
        <f>H10*$AF$18</f>
        <v/>
      </c>
      <c r="AG26" s="210">
        <f>I10*$AG$18</f>
        <v/>
      </c>
      <c r="AH26" s="210">
        <f>J10*$AH$18</f>
        <v/>
      </c>
      <c r="AI26" s="210">
        <f>K10*$AI$18</f>
        <v/>
      </c>
      <c r="AJ26" s="210">
        <f>L10*$AJ$18</f>
        <v/>
      </c>
      <c r="AK26" s="210">
        <f>M10*$AK$18</f>
        <v/>
      </c>
      <c r="AL26" s="210">
        <f>N10*$AL$18</f>
        <v/>
      </c>
      <c r="AM26" s="210">
        <f>O10*$AM$18</f>
        <v/>
      </c>
      <c r="AN26" s="320">
        <f>P10*$AN$18</f>
        <v/>
      </c>
      <c r="AO26" s="210">
        <f>SUM(H10:I10)*$AO$18</f>
        <v/>
      </c>
      <c r="AP26" s="251">
        <f>SUM(AF26:AO26)</f>
        <v/>
      </c>
      <c r="AQ26" s="319" t="n"/>
    </row>
    <row r="27" ht="14.25" customHeight="1" s="175">
      <c r="A27" s="267" t="inlineStr">
        <is>
          <t>Carter</t>
        </is>
      </c>
      <c r="B27" s="268" t="n">
        <v>2</v>
      </c>
      <c r="C27" s="269" t="inlineStr">
        <is>
          <t>David</t>
        </is>
      </c>
      <c r="D27" s="192" t="inlineStr">
        <is>
          <t>Discord</t>
        </is>
      </c>
      <c r="F27" s="192" t="n"/>
      <c r="G27" s="318" t="inlineStr">
        <is>
          <t>Anthony</t>
        </is>
      </c>
      <c r="H27" s="321">
        <f>$H$10</f>
        <v/>
      </c>
      <c r="J27" s="246" t="n"/>
      <c r="K27" s="246" t="n"/>
      <c r="L27" s="246" t="n"/>
      <c r="M27" s="260" t="n"/>
      <c r="N27" s="260" t="n"/>
      <c r="O27" s="260" t="n"/>
      <c r="Q27" s="318" t="inlineStr">
        <is>
          <t>Anthony</t>
        </is>
      </c>
      <c r="R27" s="290">
        <f>$K$10</f>
        <v/>
      </c>
      <c r="T27" s="246" t="n"/>
      <c r="U27" s="246" t="n"/>
      <c r="V27" s="246" t="n"/>
      <c r="W27" s="246" t="n"/>
      <c r="X27" s="246" t="n"/>
      <c r="Y27" s="246" t="n"/>
      <c r="Z27" s="246" t="n"/>
      <c r="AA27" s="246" t="n"/>
      <c r="AB27" s="246" t="n"/>
      <c r="AC27" s="246" t="n"/>
      <c r="AD27" s="246" t="n"/>
      <c r="AE27" s="318" t="inlineStr">
        <is>
          <t>Sam</t>
        </is>
      </c>
      <c r="AF27" s="210">
        <f>H11*$AF$18</f>
        <v/>
      </c>
      <c r="AG27" s="210">
        <f>I11*$AG$18</f>
        <v/>
      </c>
      <c r="AH27" s="210">
        <f>J11*$AH$18</f>
        <v/>
      </c>
      <c r="AI27" s="210">
        <f>K11*$AI$18</f>
        <v/>
      </c>
      <c r="AJ27" s="210">
        <f>L11*$AJ$18</f>
        <v/>
      </c>
      <c r="AK27" s="210">
        <f>M11*$AK$18</f>
        <v/>
      </c>
      <c r="AL27" s="210">
        <f>N11*$AL$18</f>
        <v/>
      </c>
      <c r="AM27" s="210">
        <f>O11*$AM$18</f>
        <v/>
      </c>
      <c r="AN27" s="320">
        <f>P11*$AN$18</f>
        <v/>
      </c>
      <c r="AO27" s="210">
        <f>SUM(H11:I11)*$AO$18</f>
        <v/>
      </c>
      <c r="AP27" s="251">
        <f>SUM(AF27:AO27)</f>
        <v/>
      </c>
      <c r="AQ27" s="319" t="n"/>
    </row>
    <row r="28" ht="14.25" customHeight="1" s="175">
      <c r="A28" s="267" t="inlineStr">
        <is>
          <t>Peter</t>
        </is>
      </c>
      <c r="B28" s="268" t="n">
        <v>2</v>
      </c>
      <c r="C28" s="269" t="inlineStr">
        <is>
          <t>Seth</t>
        </is>
      </c>
      <c r="D28" s="192" t="inlineStr">
        <is>
          <t>Discord</t>
        </is>
      </c>
      <c r="F28" s="192" t="n"/>
      <c r="G28" s="318" t="inlineStr">
        <is>
          <t>David</t>
        </is>
      </c>
      <c r="H28" s="321">
        <f>$H$8</f>
        <v/>
      </c>
      <c r="J28" s="246" t="n"/>
      <c r="K28" s="246" t="n"/>
      <c r="L28" s="246" t="n"/>
      <c r="M28" s="260" t="n"/>
      <c r="N28" s="260" t="n"/>
      <c r="O28" s="260" t="n"/>
      <c r="Q28" s="318" t="inlineStr">
        <is>
          <t>David</t>
        </is>
      </c>
      <c r="R28" s="290">
        <f>$K$8</f>
        <v/>
      </c>
      <c r="T28" s="246" t="n"/>
      <c r="U28" s="246" t="n"/>
      <c r="V28" s="246" t="n"/>
      <c r="W28" s="246" t="n"/>
      <c r="X28" s="246" t="n"/>
      <c r="Y28" s="246" t="n"/>
      <c r="Z28" s="246" t="n"/>
      <c r="AA28" s="246" t="n"/>
      <c r="AB28" s="246" t="n"/>
      <c r="AC28" s="246" t="n"/>
      <c r="AD28" s="246" t="n"/>
      <c r="AE28" s="318" t="inlineStr">
        <is>
          <t>Erick</t>
        </is>
      </c>
      <c r="AF28" s="210">
        <f>H12*$AF$18</f>
        <v/>
      </c>
      <c r="AG28" s="210">
        <f>I12*$AG$18</f>
        <v/>
      </c>
      <c r="AH28" s="210">
        <f>J12*$AH$18</f>
        <v/>
      </c>
      <c r="AI28" s="210">
        <f>K12*$AI$18</f>
        <v/>
      </c>
      <c r="AJ28" s="210">
        <f>L12*$AJ$18</f>
        <v/>
      </c>
      <c r="AK28" s="210">
        <f>M12*$AK$18</f>
        <v/>
      </c>
      <c r="AL28" s="210">
        <f>N12*$AL$18</f>
        <v/>
      </c>
      <c r="AM28" s="210">
        <f>O12*$AM$18</f>
        <v/>
      </c>
      <c r="AN28" s="320">
        <f>P12*$AN$18</f>
        <v/>
      </c>
      <c r="AO28" s="210">
        <f>SUM(H12:I12)*$AO$18</f>
        <v/>
      </c>
      <c r="AP28" s="251">
        <f>SUM(AF28:AO28)</f>
        <v/>
      </c>
      <c r="AQ28" s="319" t="n"/>
    </row>
    <row r="29" ht="14.25" customHeight="1" s="175">
      <c r="A29" s="267" t="inlineStr">
        <is>
          <t>Sam</t>
        </is>
      </c>
      <c r="B29" s="268" t="n">
        <v>2</v>
      </c>
      <c r="C29" s="269" t="inlineStr">
        <is>
          <t>Seth</t>
        </is>
      </c>
      <c r="D29" s="192" t="inlineStr">
        <is>
          <t>Discord</t>
        </is>
      </c>
      <c r="F29" s="192" t="n"/>
      <c r="G29" s="318" t="inlineStr">
        <is>
          <t>Tyler</t>
        </is>
      </c>
      <c r="H29" s="321">
        <f>$H$9</f>
        <v/>
      </c>
      <c r="J29" s="246" t="n"/>
      <c r="K29" s="246" t="n"/>
      <c r="L29" s="246" t="n"/>
      <c r="M29" s="260" t="n"/>
      <c r="N29" s="260" t="n"/>
      <c r="O29" s="260" t="n"/>
      <c r="Q29" s="318" t="inlineStr">
        <is>
          <t>Tyler</t>
        </is>
      </c>
      <c r="R29" s="290">
        <f>$K$9</f>
        <v/>
      </c>
      <c r="T29" s="246" t="n"/>
      <c r="U29" s="246" t="n"/>
      <c r="V29" s="246" t="n"/>
      <c r="W29" s="246" t="n"/>
      <c r="X29" s="246" t="n"/>
      <c r="Y29" s="246" t="n"/>
      <c r="Z29" s="246" t="n"/>
      <c r="AA29" s="246" t="n"/>
      <c r="AB29" s="246" t="n"/>
      <c r="AC29" s="246" t="n"/>
      <c r="AD29" s="246" t="n"/>
      <c r="AE29" s="318" t="inlineStr">
        <is>
          <t>Peter</t>
        </is>
      </c>
      <c r="AF29" s="210">
        <f>H13*$AF$18</f>
        <v/>
      </c>
      <c r="AG29" s="210">
        <f>I13*$AG$18</f>
        <v/>
      </c>
      <c r="AH29" s="210">
        <f>J13*$AH$18</f>
        <v/>
      </c>
      <c r="AI29" s="210">
        <f>K13*$AI$18</f>
        <v/>
      </c>
      <c r="AJ29" s="210">
        <f>L13*$AJ$18</f>
        <v/>
      </c>
      <c r="AK29" s="210">
        <f>M13*$AK$18</f>
        <v/>
      </c>
      <c r="AL29" s="210">
        <f>N13*$AL$18</f>
        <v/>
      </c>
      <c r="AM29" s="210">
        <f>O13*$AM$18</f>
        <v/>
      </c>
      <c r="AN29" s="320">
        <f>P13*$AN$18</f>
        <v/>
      </c>
      <c r="AO29" s="210">
        <f>SUM(H13:I13)*$AO$18</f>
        <v/>
      </c>
      <c r="AP29" s="251">
        <f>SUM(AF29:AO29)</f>
        <v/>
      </c>
      <c r="AQ29" s="319" t="n"/>
    </row>
    <row r="30" ht="14.25" customHeight="1" s="175">
      <c r="A30" s="267" t="inlineStr">
        <is>
          <t>Tyler</t>
        </is>
      </c>
      <c r="B30" s="268" t="n">
        <v>2</v>
      </c>
      <c r="C30" s="269" t="inlineStr">
        <is>
          <t>Seth</t>
        </is>
      </c>
      <c r="D30" s="192" t="inlineStr">
        <is>
          <t>Discord</t>
        </is>
      </c>
      <c r="F30" s="192" t="n"/>
      <c r="G30" s="318" t="inlineStr">
        <is>
          <t>Jon</t>
        </is>
      </c>
      <c r="H30" s="321">
        <f>$H$14</f>
        <v/>
      </c>
      <c r="J30" s="246" t="n"/>
      <c r="K30" s="246" t="n"/>
      <c r="L30" s="246" t="n"/>
      <c r="M30" s="260" t="n"/>
      <c r="N30" s="260" t="n"/>
      <c r="O30" s="260" t="n"/>
      <c r="Q30" s="318" t="inlineStr">
        <is>
          <t>Jon</t>
        </is>
      </c>
      <c r="R30" s="290">
        <f>$K$14</f>
        <v/>
      </c>
      <c r="T30" s="246" t="n"/>
      <c r="U30" s="246" t="n"/>
      <c r="V30" s="246" t="n"/>
      <c r="W30" s="246" t="n"/>
      <c r="X30" s="246" t="n"/>
      <c r="Y30" s="246" t="n"/>
      <c r="Z30" s="246" t="n"/>
      <c r="AA30" s="246" t="n"/>
      <c r="AB30" s="246" t="n"/>
      <c r="AC30" s="246" t="n"/>
      <c r="AE30" s="318" t="inlineStr">
        <is>
          <t>Jon</t>
        </is>
      </c>
      <c r="AF30" s="210">
        <f>H14*$AF$18</f>
        <v/>
      </c>
      <c r="AG30" s="210">
        <f>I14*$AG$18</f>
        <v/>
      </c>
      <c r="AH30" s="210">
        <f>J14*$AH$18</f>
        <v/>
      </c>
      <c r="AI30" s="210">
        <f>K14*$AI$18</f>
        <v/>
      </c>
      <c r="AJ30" s="210">
        <f>L14*$AJ$18</f>
        <v/>
      </c>
      <c r="AK30" s="210">
        <f>M14*$AK$18</f>
        <v/>
      </c>
      <c r="AL30" s="210">
        <f>N14*$AL$18</f>
        <v/>
      </c>
      <c r="AM30" s="210">
        <f>O14*$AM$18</f>
        <v/>
      </c>
      <c r="AN30" s="320">
        <f>P14*$AN$18</f>
        <v/>
      </c>
      <c r="AO30" s="210">
        <f>SUM(H14:I14)*$AO$18</f>
        <v/>
      </c>
      <c r="AP30" s="251">
        <f>SUM(AF30:AO30)</f>
        <v/>
      </c>
      <c r="AQ30" s="319" t="n"/>
    </row>
    <row r="31" ht="14.25" customHeight="1" s="175">
      <c r="A31" s="267" t="inlineStr">
        <is>
          <t>Erick</t>
        </is>
      </c>
      <c r="B31" s="268" t="n">
        <v>2</v>
      </c>
      <c r="C31" s="269" t="inlineStr">
        <is>
          <t>Sam</t>
        </is>
      </c>
      <c r="D31" s="192" t="inlineStr">
        <is>
          <t>Discord</t>
        </is>
      </c>
      <c r="F31" s="192" t="n"/>
      <c r="G31" s="318" t="inlineStr">
        <is>
          <t>Cooper</t>
        </is>
      </c>
      <c r="H31" s="321">
        <f>$H$6</f>
        <v/>
      </c>
      <c r="J31" s="246" t="n"/>
      <c r="K31" s="246" t="n"/>
      <c r="L31" s="246" t="n"/>
      <c r="M31" s="260" t="n"/>
      <c r="N31" s="260" t="n"/>
      <c r="O31" s="260" t="n"/>
      <c r="Q31" s="318" t="inlineStr">
        <is>
          <t>Grady</t>
        </is>
      </c>
      <c r="R31" s="290">
        <f>$K$4</f>
        <v/>
      </c>
      <c r="T31" s="246" t="n"/>
      <c r="U31" s="246" t="n"/>
      <c r="V31" s="246" t="n"/>
      <c r="W31" s="246" t="n"/>
      <c r="X31" s="246" t="n"/>
      <c r="Y31" s="246" t="n"/>
      <c r="Z31" s="246" t="n"/>
      <c r="AA31" s="246" t="n"/>
      <c r="AB31" s="246" t="n"/>
      <c r="AC31" s="246" t="n"/>
      <c r="AD31" s="246" t="n"/>
      <c r="AE31" s="246" t="n"/>
      <c r="AF31" s="246" t="n"/>
      <c r="AG31" s="246" t="n"/>
    </row>
    <row r="32" ht="14.25" customHeight="1" s="175">
      <c r="A32" s="267" t="inlineStr">
        <is>
          <t>Sam</t>
        </is>
      </c>
      <c r="B32" s="268" t="n">
        <v>2</v>
      </c>
      <c r="C32" s="269" t="inlineStr">
        <is>
          <t>Carter</t>
        </is>
      </c>
      <c r="D32" s="192" t="inlineStr">
        <is>
          <t>Discord</t>
        </is>
      </c>
      <c r="E32" s="173" t="n">
        <v>1</v>
      </c>
      <c r="F32" s="192" t="n"/>
      <c r="G32" s="318" t="inlineStr">
        <is>
          <t>Grady</t>
        </is>
      </c>
      <c r="H32" s="321">
        <f>$H$4</f>
        <v/>
      </c>
      <c r="J32" s="246" t="n"/>
      <c r="K32" s="246" t="n"/>
      <c r="L32" s="246" t="n"/>
      <c r="M32" s="260" t="n"/>
      <c r="N32" s="260" t="n"/>
      <c r="O32" s="260" t="n"/>
      <c r="Q32" s="318" t="inlineStr">
        <is>
          <t>Cooper</t>
        </is>
      </c>
      <c r="R32" s="290">
        <f>$K$6</f>
        <v/>
      </c>
      <c r="T32" s="246" t="n"/>
      <c r="U32" s="246" t="n"/>
      <c r="V32" s="246" t="n"/>
      <c r="W32" s="246" t="n"/>
      <c r="X32" s="246" t="n"/>
      <c r="Y32" s="246" t="n"/>
      <c r="Z32" s="246" t="n"/>
      <c r="AA32" s="246" t="n"/>
      <c r="AB32" s="246" t="n"/>
      <c r="AC32" s="246" t="n"/>
      <c r="AD32" s="246" t="n"/>
      <c r="AE32" s="248" t="inlineStr">
        <is>
          <t>Name</t>
        </is>
      </c>
      <c r="AF32" s="249" t="inlineStr">
        <is>
          <t>Score</t>
        </is>
      </c>
      <c r="AG32" s="249" t="inlineStr">
        <is>
          <t>Adjusted</t>
        </is>
      </c>
    </row>
    <row r="33" ht="14.25" customHeight="1" s="175">
      <c r="A33" s="267" t="inlineStr">
        <is>
          <t>Carter</t>
        </is>
      </c>
      <c r="B33" s="268" t="n">
        <v>1</v>
      </c>
      <c r="C33" s="269" t="inlineStr">
        <is>
          <t>Sam</t>
        </is>
      </c>
      <c r="D33" s="192" t="inlineStr">
        <is>
          <t>Discord</t>
        </is>
      </c>
      <c r="F33" s="192" t="n"/>
      <c r="G33" s="318" t="inlineStr">
        <is>
          <t>Maxine</t>
        </is>
      </c>
      <c r="H33" s="321">
        <f>$H$7</f>
        <v/>
      </c>
      <c r="J33" s="246" t="n"/>
      <c r="K33" s="246" t="n"/>
      <c r="L33" s="246" t="n"/>
      <c r="M33" s="260" t="n"/>
      <c r="N33" s="260" t="n"/>
      <c r="O33" s="260" t="n"/>
      <c r="Q33" s="318" t="inlineStr">
        <is>
          <t>Maxine</t>
        </is>
      </c>
      <c r="R33" s="290">
        <f>$K$7</f>
        <v/>
      </c>
      <c r="T33" s="246" t="n"/>
      <c r="U33" s="246" t="n"/>
      <c r="V33" s="246" t="n"/>
      <c r="W33" s="246" t="n"/>
      <c r="X33" s="246" t="n"/>
      <c r="Y33" s="246" t="n"/>
      <c r="Z33" s="246" t="n"/>
      <c r="AA33" s="246" t="n"/>
      <c r="AB33" s="246" t="n"/>
      <c r="AC33" s="246" t="n"/>
      <c r="AD33" s="246" t="n"/>
      <c r="AE33" s="318" t="inlineStr">
        <is>
          <t>Sam</t>
        </is>
      </c>
      <c r="AF33" s="251">
        <f>$AP$27</f>
        <v/>
      </c>
      <c r="AG33" s="251">
        <f>AF33-($AF$44)</f>
        <v/>
      </c>
      <c r="AH33" s="173" t="n">
        <v>1</v>
      </c>
    </row>
    <row r="34" ht="14.25" customHeight="1" s="175">
      <c r="A34" s="267" t="inlineStr">
        <is>
          <t>Anthony</t>
        </is>
      </c>
      <c r="B34" s="268" t="n">
        <v>1</v>
      </c>
      <c r="C34" s="269" t="inlineStr">
        <is>
          <t>Sam</t>
        </is>
      </c>
      <c r="D34" s="192" t="inlineStr">
        <is>
          <t>Discord</t>
        </is>
      </c>
      <c r="F34" s="192" t="n"/>
      <c r="G34" s="318" t="inlineStr">
        <is>
          <t>Seth</t>
        </is>
      </c>
      <c r="H34" s="321">
        <f>$H$5</f>
        <v/>
      </c>
      <c r="J34" s="246" t="n"/>
      <c r="K34" s="246" t="n"/>
      <c r="L34" s="246" t="n"/>
      <c r="M34" s="260" t="n"/>
      <c r="N34" s="260" t="n"/>
      <c r="O34" s="260" t="n"/>
      <c r="Q34" s="318" t="inlineStr">
        <is>
          <t>Seth</t>
        </is>
      </c>
      <c r="R34" s="290">
        <f>$K$5</f>
        <v/>
      </c>
      <c r="T34" s="246" t="n"/>
      <c r="U34" s="246" t="n"/>
      <c r="V34" s="246" t="n"/>
      <c r="W34" s="246" t="n"/>
      <c r="X34" s="246" t="n"/>
      <c r="Y34" s="246" t="n"/>
      <c r="Z34" s="246" t="n"/>
      <c r="AA34" s="246" t="n"/>
      <c r="AB34" s="246" t="n"/>
      <c r="AC34" s="246" t="n"/>
      <c r="AD34" s="246" t="n"/>
      <c r="AE34" s="318" t="inlineStr">
        <is>
          <t>Peter</t>
        </is>
      </c>
      <c r="AF34" s="251">
        <f>$AP$29</f>
        <v/>
      </c>
      <c r="AG34" s="251">
        <f>AF34-($AF$44)</f>
        <v/>
      </c>
      <c r="AH34" s="173" t="n">
        <v>2</v>
      </c>
    </row>
    <row r="35" ht="14.25" customHeight="1" s="175">
      <c r="A35" s="267" t="inlineStr">
        <is>
          <t>Sam</t>
        </is>
      </c>
      <c r="B35" s="268" t="n">
        <v>1</v>
      </c>
      <c r="C35" s="269" t="inlineStr">
        <is>
          <t>Anthony</t>
        </is>
      </c>
      <c r="D35" s="192" t="inlineStr">
        <is>
          <t>Discord</t>
        </is>
      </c>
      <c r="F35" s="192" t="n"/>
      <c r="J35" s="246" t="n"/>
      <c r="K35" s="246" t="n"/>
      <c r="L35" s="246" t="n"/>
      <c r="M35" s="260" t="n"/>
      <c r="N35" s="260" t="n"/>
      <c r="O35" s="260" t="n"/>
      <c r="P35" s="260" t="n"/>
      <c r="Q35" s="182" t="n"/>
      <c r="T35" s="246" t="n"/>
      <c r="U35" s="246" t="n"/>
      <c r="V35" s="246" t="n"/>
      <c r="W35" s="246" t="n"/>
      <c r="X35" s="246" t="n"/>
      <c r="Y35" s="246" t="n"/>
      <c r="Z35" s="246" t="n"/>
      <c r="AA35" s="246" t="n"/>
      <c r="AB35" s="246" t="n"/>
      <c r="AC35" s="246" t="n"/>
      <c r="AD35" s="246" t="n"/>
      <c r="AE35" s="318" t="inlineStr">
        <is>
          <t>Carter</t>
        </is>
      </c>
      <c r="AF35" s="251">
        <f>$AP$19</f>
        <v/>
      </c>
      <c r="AG35" s="251">
        <f>AF35-($AF$44)</f>
        <v/>
      </c>
      <c r="AH35" s="173" t="n">
        <v>3</v>
      </c>
    </row>
    <row r="36" ht="14.25" customHeight="1" s="175">
      <c r="A36" s="267" t="inlineStr">
        <is>
          <t>Peter</t>
        </is>
      </c>
      <c r="B36" s="268" t="n">
        <v>2</v>
      </c>
      <c r="C36" s="269" t="inlineStr">
        <is>
          <t>Anthony</t>
        </is>
      </c>
      <c r="D36" s="192" t="inlineStr">
        <is>
          <t>Discord</t>
        </is>
      </c>
      <c r="F36" s="192" t="n"/>
      <c r="G36" s="318" t="inlineStr">
        <is>
          <t>Person:</t>
        </is>
      </c>
      <c r="H36" s="216" t="inlineStr">
        <is>
          <t>Deaths</t>
        </is>
      </c>
      <c r="J36" s="246" t="n"/>
      <c r="K36" s="246" t="n"/>
      <c r="L36" s="246" t="n"/>
      <c r="M36" s="260" t="n"/>
      <c r="N36" s="260" t="n"/>
      <c r="O36" s="260" t="n"/>
      <c r="Q36" s="318" t="inlineStr">
        <is>
          <t>Person:</t>
        </is>
      </c>
      <c r="R36" s="216" t="inlineStr">
        <is>
          <t>Death Points</t>
        </is>
      </c>
      <c r="T36" s="246" t="n"/>
      <c r="U36" s="246" t="n"/>
      <c r="V36" s="246" t="n"/>
      <c r="W36" s="246" t="n"/>
      <c r="X36" s="246" t="n"/>
      <c r="Y36" s="246" t="n"/>
      <c r="Z36" s="246" t="n"/>
      <c r="AA36" s="246" t="n"/>
      <c r="AB36" s="246" t="n"/>
      <c r="AC36" s="246" t="n"/>
      <c r="AD36" s="246" t="n"/>
      <c r="AE36" s="318" t="inlineStr">
        <is>
          <t>Jon</t>
        </is>
      </c>
      <c r="AF36" s="251">
        <f>$AP$30</f>
        <v/>
      </c>
      <c r="AG36" s="251">
        <f>AF36-($AF$44)</f>
        <v/>
      </c>
      <c r="AH36" s="173" t="n">
        <v>4</v>
      </c>
    </row>
    <row r="37" ht="14.25" customHeight="1" s="175">
      <c r="A37" s="267" t="inlineStr">
        <is>
          <t>Sam</t>
        </is>
      </c>
      <c r="B37" s="268" t="n">
        <v>2</v>
      </c>
      <c r="C37" s="269" t="inlineStr">
        <is>
          <t>Carter</t>
        </is>
      </c>
      <c r="D37" s="192" t="inlineStr">
        <is>
          <t>Discord</t>
        </is>
      </c>
      <c r="E37" s="173" t="n">
        <v>0</v>
      </c>
      <c r="F37" s="329" t="n"/>
      <c r="G37" s="318" t="inlineStr">
        <is>
          <t>Carter</t>
        </is>
      </c>
      <c r="H37" s="291">
        <f>$I$3</f>
        <v/>
      </c>
      <c r="J37" s="246" t="n"/>
      <c r="K37" s="246" t="n"/>
      <c r="L37" s="246" t="n"/>
      <c r="M37" s="260" t="n"/>
      <c r="N37" s="260" t="n"/>
      <c r="O37" s="260" t="n"/>
      <c r="Q37" s="318" t="inlineStr">
        <is>
          <t>Carter</t>
        </is>
      </c>
      <c r="R37" s="291">
        <f>$L$3</f>
        <v/>
      </c>
      <c r="T37" s="246" t="n"/>
      <c r="U37" s="246" t="n"/>
      <c r="V37" s="246" t="n"/>
      <c r="W37" s="246" t="n"/>
      <c r="X37" s="246" t="n"/>
      <c r="Y37" s="246" t="n"/>
      <c r="Z37" s="246" t="n"/>
      <c r="AA37" s="246" t="n"/>
      <c r="AB37" s="246" t="n"/>
      <c r="AC37" s="246" t="n"/>
      <c r="AD37" s="246" t="n"/>
      <c r="AE37" s="318" t="inlineStr">
        <is>
          <t>Anthony</t>
        </is>
      </c>
      <c r="AF37" s="251">
        <f>$AP$26</f>
        <v/>
      </c>
      <c r="AG37" s="251">
        <f>AF37-($AF$44)</f>
        <v/>
      </c>
      <c r="AH37" s="173" t="n">
        <v>5</v>
      </c>
    </row>
    <row r="38" ht="14.25" customHeight="1" s="175">
      <c r="A38" s="267" t="inlineStr">
        <is>
          <t>Peter</t>
        </is>
      </c>
      <c r="B38" s="268" t="n">
        <v>2</v>
      </c>
      <c r="C38" s="269" t="inlineStr">
        <is>
          <t>David</t>
        </is>
      </c>
      <c r="D38" s="192" t="inlineStr">
        <is>
          <t>Discord</t>
        </is>
      </c>
      <c r="F38" s="329" t="n"/>
      <c r="G38" s="318" t="inlineStr">
        <is>
          <t>Erick</t>
        </is>
      </c>
      <c r="H38" s="291">
        <f>$I$12</f>
        <v/>
      </c>
      <c r="J38" s="246" t="n"/>
      <c r="K38" s="246" t="n"/>
      <c r="L38" s="246" t="n"/>
      <c r="M38" s="260" t="n"/>
      <c r="N38" s="260" t="n"/>
      <c r="O38" s="260" t="n"/>
      <c r="Q38" s="318" t="inlineStr">
        <is>
          <t>Erick</t>
        </is>
      </c>
      <c r="R38" s="291">
        <f>$L$12</f>
        <v/>
      </c>
      <c r="T38" s="246" t="n"/>
      <c r="U38" s="246" t="n"/>
      <c r="V38" s="246" t="n"/>
      <c r="W38" s="246" t="n"/>
      <c r="X38" s="246" t="n"/>
      <c r="Y38" s="246" t="n"/>
      <c r="Z38" s="246" t="n"/>
      <c r="AA38" s="246" t="n"/>
      <c r="AB38" s="246" t="n"/>
      <c r="AC38" s="246" t="n"/>
      <c r="AD38" s="246" t="n"/>
      <c r="AE38" s="318" t="inlineStr">
        <is>
          <t>David</t>
        </is>
      </c>
      <c r="AF38" s="251">
        <f>$AP$24</f>
        <v/>
      </c>
      <c r="AG38" s="251">
        <f>AF38-($AF$44)</f>
        <v/>
      </c>
      <c r="AH38" s="173" t="n">
        <v>6</v>
      </c>
    </row>
    <row r="39" ht="14.25" customHeight="1" s="175">
      <c r="A39" s="267" t="inlineStr">
        <is>
          <t>Anthony</t>
        </is>
      </c>
      <c r="B39" s="268" t="n">
        <v>1</v>
      </c>
      <c r="C39" s="269" t="inlineStr">
        <is>
          <t>Tyler</t>
        </is>
      </c>
      <c r="D39" s="192" t="inlineStr">
        <is>
          <t>Discord</t>
        </is>
      </c>
      <c r="F39" s="329" t="n"/>
      <c r="G39" s="318" t="inlineStr">
        <is>
          <t>Sam</t>
        </is>
      </c>
      <c r="H39" s="291">
        <f>$I$11</f>
        <v/>
      </c>
      <c r="J39" s="246" t="n"/>
      <c r="K39" s="246" t="n"/>
      <c r="L39" s="246" t="n"/>
      <c r="M39" s="260" t="n"/>
      <c r="N39" s="260" t="n"/>
      <c r="O39" s="260" t="n"/>
      <c r="Q39" s="318" t="inlineStr">
        <is>
          <t>Tyler</t>
        </is>
      </c>
      <c r="R39" s="291">
        <f>$L$9</f>
        <v/>
      </c>
      <c r="T39" s="246" t="n"/>
      <c r="U39" s="246" t="n"/>
      <c r="V39" s="246" t="n"/>
      <c r="W39" s="246" t="n"/>
      <c r="X39" s="246" t="n"/>
      <c r="Y39" s="246" t="n"/>
      <c r="Z39" s="246" t="n"/>
      <c r="AA39" s="246" t="n"/>
      <c r="AB39" s="246" t="n"/>
      <c r="AC39" s="246" t="n"/>
      <c r="AD39" s="246" t="n"/>
      <c r="AE39" s="318" t="inlineStr">
        <is>
          <t>Erick</t>
        </is>
      </c>
      <c r="AF39" s="251">
        <f>$AP$28</f>
        <v/>
      </c>
      <c r="AG39" s="251">
        <f>AF39-($AF$44)</f>
        <v/>
      </c>
      <c r="AH39" s="173" t="n">
        <v>7</v>
      </c>
    </row>
    <row r="40" ht="14.25" customHeight="1" s="175">
      <c r="A40" s="267" t="inlineStr">
        <is>
          <t>Tyler</t>
        </is>
      </c>
      <c r="B40" s="268" t="n">
        <v>1</v>
      </c>
      <c r="C40" s="269" t="inlineStr">
        <is>
          <t>Anthony</t>
        </is>
      </c>
      <c r="D40" s="192" t="inlineStr">
        <is>
          <t>Discord</t>
        </is>
      </c>
      <c r="F40" s="329" t="n"/>
      <c r="G40" s="318" t="inlineStr">
        <is>
          <t>Tyler</t>
        </is>
      </c>
      <c r="H40" s="291">
        <f>$I$9</f>
        <v/>
      </c>
      <c r="J40" s="246" t="n"/>
      <c r="K40" s="246" t="n"/>
      <c r="L40" s="246" t="n"/>
      <c r="M40" s="260" t="n"/>
      <c r="N40" s="260" t="n"/>
      <c r="O40" s="260" t="n"/>
      <c r="Q40" s="318" t="inlineStr">
        <is>
          <t>Sam</t>
        </is>
      </c>
      <c r="R40" s="291">
        <f>$L$11</f>
        <v/>
      </c>
      <c r="T40" s="246" t="n"/>
      <c r="U40" s="246" t="n"/>
      <c r="V40" s="246" t="n"/>
      <c r="W40" s="246" t="n"/>
      <c r="X40" s="246" t="n"/>
      <c r="Y40" s="246" t="n"/>
      <c r="Z40" s="246" t="n"/>
      <c r="AA40" s="246" t="n"/>
      <c r="AB40" s="246" t="n"/>
      <c r="AC40" s="246" t="n"/>
      <c r="AD40" s="246" t="n"/>
      <c r="AE40" s="318" t="inlineStr">
        <is>
          <t>Maxine</t>
        </is>
      </c>
      <c r="AF40" s="251">
        <f>$AP$23</f>
        <v/>
      </c>
      <c r="AG40" s="251">
        <f>AF40-($AF$44)</f>
        <v/>
      </c>
      <c r="AH40" s="173" t="n">
        <v>8</v>
      </c>
    </row>
    <row r="41" ht="14.25" customHeight="1" s="175">
      <c r="A41" s="267" t="inlineStr">
        <is>
          <t>Peter</t>
        </is>
      </c>
      <c r="B41" s="268" t="n">
        <v>1</v>
      </c>
      <c r="C41" s="269" t="inlineStr">
        <is>
          <t>Sam</t>
        </is>
      </c>
      <c r="D41" s="192" t="inlineStr">
        <is>
          <t>Discord</t>
        </is>
      </c>
      <c r="F41" s="329" t="n"/>
      <c r="G41" s="318" t="inlineStr">
        <is>
          <t>Peter</t>
        </is>
      </c>
      <c r="H41" s="291">
        <f>$I$13</f>
        <v/>
      </c>
      <c r="J41" s="246" t="n"/>
      <c r="K41" s="246" t="n"/>
      <c r="L41" s="246" t="n"/>
      <c r="M41" s="260" t="n"/>
      <c r="N41" s="260" t="n"/>
      <c r="O41" s="260" t="n"/>
      <c r="Q41" s="318" t="inlineStr">
        <is>
          <t>Seth</t>
        </is>
      </c>
      <c r="R41" s="291">
        <f>$L$5</f>
        <v/>
      </c>
      <c r="T41" s="246" t="n"/>
      <c r="U41" s="246" t="n"/>
      <c r="V41" s="246" t="n"/>
      <c r="W41" s="246" t="n"/>
      <c r="X41" s="246" t="n"/>
      <c r="Y41" s="246" t="n"/>
      <c r="Z41" s="246" t="n"/>
      <c r="AA41" s="246" t="n"/>
      <c r="AB41" s="246" t="n"/>
      <c r="AC41" s="246" t="n"/>
      <c r="AD41" s="246" t="n"/>
      <c r="AE41" s="318" t="inlineStr">
        <is>
          <t>Tyler</t>
        </is>
      </c>
      <c r="AF41" s="251">
        <f>$AP$25</f>
        <v/>
      </c>
      <c r="AG41" s="251">
        <f>AF41-($AF$44)</f>
        <v/>
      </c>
      <c r="AH41" s="173" t="n">
        <v>9</v>
      </c>
    </row>
    <row r="42" ht="14.25" customHeight="1" s="175">
      <c r="A42" s="267" t="inlineStr">
        <is>
          <t>Peter</t>
        </is>
      </c>
      <c r="B42" s="268" t="n">
        <v>1</v>
      </c>
      <c r="C42" s="269" t="inlineStr">
        <is>
          <t>Sam</t>
        </is>
      </c>
      <c r="D42" s="192" t="inlineStr">
        <is>
          <t>Discord</t>
        </is>
      </c>
      <c r="F42" s="329" t="n"/>
      <c r="G42" s="318" t="inlineStr">
        <is>
          <t>David</t>
        </is>
      </c>
      <c r="H42" s="291">
        <f>$I$8</f>
        <v/>
      </c>
      <c r="J42" s="246" t="n"/>
      <c r="K42" s="246" t="n"/>
      <c r="L42" s="246" t="n"/>
      <c r="M42" s="260" t="n"/>
      <c r="N42" s="260" t="n"/>
      <c r="O42" s="260" t="n"/>
      <c r="Q42" s="318" t="inlineStr">
        <is>
          <t>Grady</t>
        </is>
      </c>
      <c r="R42" s="291">
        <f>$L$4</f>
        <v/>
      </c>
      <c r="T42" s="246" t="n"/>
      <c r="U42" s="246" t="n"/>
      <c r="V42" s="246" t="n"/>
      <c r="W42" s="246" t="n"/>
      <c r="X42" s="246" t="n"/>
      <c r="Y42" s="246" t="n"/>
      <c r="Z42" s="246" t="n"/>
      <c r="AA42" s="246" t="n"/>
      <c r="AB42" s="246" t="n"/>
      <c r="AC42" s="246" t="n"/>
      <c r="AD42" s="246" t="n"/>
      <c r="AE42" s="318" t="inlineStr">
        <is>
          <t>Cooper</t>
        </is>
      </c>
      <c r="AF42" s="251">
        <f>$AP$22</f>
        <v/>
      </c>
      <c r="AG42" s="251">
        <f>AF42-($AF$44)</f>
        <v/>
      </c>
      <c r="AH42" s="173" t="n">
        <v>10</v>
      </c>
    </row>
    <row r="43" ht="14.25" customHeight="1" s="175">
      <c r="A43" s="267" t="inlineStr">
        <is>
          <t>Sam</t>
        </is>
      </c>
      <c r="B43" s="268" t="n">
        <v>1</v>
      </c>
      <c r="C43" s="269" t="inlineStr">
        <is>
          <t>Peter</t>
        </is>
      </c>
      <c r="D43" s="192" t="inlineStr">
        <is>
          <t>Discord</t>
        </is>
      </c>
      <c r="F43" s="329" t="n"/>
      <c r="G43" s="318" t="inlineStr">
        <is>
          <t>Seth</t>
        </is>
      </c>
      <c r="H43" s="291">
        <f>$I$5</f>
        <v/>
      </c>
      <c r="J43" s="246" t="n"/>
      <c r="K43" s="246" t="n"/>
      <c r="L43" s="246" t="n"/>
      <c r="M43" s="260" t="n"/>
      <c r="N43" s="260" t="n"/>
      <c r="O43" s="260" t="n"/>
      <c r="Q43" s="318" t="inlineStr">
        <is>
          <t>Peter</t>
        </is>
      </c>
      <c r="R43" s="291">
        <f>$L$13</f>
        <v/>
      </c>
      <c r="T43" s="246" t="n"/>
      <c r="U43" s="246" t="n"/>
      <c r="V43" s="246" t="n"/>
      <c r="W43" s="246" t="n"/>
      <c r="X43" s="246" t="n"/>
      <c r="Y43" s="246" t="n"/>
      <c r="Z43" s="246" t="n"/>
      <c r="AA43" s="246" t="n"/>
      <c r="AB43" s="246" t="n"/>
      <c r="AC43" s="246" t="n"/>
      <c r="AD43" s="246" t="n"/>
      <c r="AE43" s="318" t="inlineStr">
        <is>
          <t>Grady</t>
        </is>
      </c>
      <c r="AF43" s="251">
        <f>$AP$20</f>
        <v/>
      </c>
      <c r="AG43" s="251">
        <f>AF43-($AF$44)</f>
        <v/>
      </c>
      <c r="AH43" s="173" t="n">
        <v>11</v>
      </c>
    </row>
    <row r="44" ht="14.25" customHeight="1" s="175">
      <c r="A44" s="267" t="inlineStr">
        <is>
          <t>Peter</t>
        </is>
      </c>
      <c r="B44" s="268" t="n">
        <v>2</v>
      </c>
      <c r="C44" s="269" t="inlineStr">
        <is>
          <t>Anthony</t>
        </is>
      </c>
      <c r="D44" s="192" t="inlineStr">
        <is>
          <t>Discord</t>
        </is>
      </c>
      <c r="F44" s="329" t="n"/>
      <c r="G44" s="318" t="inlineStr">
        <is>
          <t>Anthony</t>
        </is>
      </c>
      <c r="H44" s="291">
        <f>$I$10</f>
        <v/>
      </c>
      <c r="J44" s="246" t="n"/>
      <c r="K44" s="246" t="n"/>
      <c r="L44" s="246" t="n"/>
      <c r="M44" s="260" t="n"/>
      <c r="N44" s="260" t="n"/>
      <c r="O44" s="260" t="n"/>
      <c r="Q44" s="318" t="inlineStr">
        <is>
          <t>David</t>
        </is>
      </c>
      <c r="R44" s="291">
        <f>$L$8</f>
        <v/>
      </c>
      <c r="T44" s="246" t="n"/>
      <c r="U44" s="246" t="n"/>
      <c r="V44" s="246" t="n"/>
      <c r="W44" s="246" t="n"/>
      <c r="X44" s="246" t="n"/>
      <c r="Y44" s="246" t="n"/>
      <c r="Z44" s="246" t="n"/>
      <c r="AA44" s="246" t="n"/>
      <c r="AB44" s="246" t="n"/>
      <c r="AC44" s="246" t="n"/>
      <c r="AD44" s="246" t="n"/>
      <c r="AE44" s="318" t="inlineStr">
        <is>
          <t>Seth</t>
        </is>
      </c>
      <c r="AF44" s="251">
        <f>$AP$21</f>
        <v/>
      </c>
      <c r="AG44" s="251">
        <f>AF44-($AF$44)</f>
        <v/>
      </c>
      <c r="AH44" s="173" t="n">
        <v>12</v>
      </c>
    </row>
    <row r="45" ht="14.25" customHeight="1" s="175">
      <c r="A45" s="267" t="inlineStr">
        <is>
          <t>Erick</t>
        </is>
      </c>
      <c r="B45" s="268" t="n">
        <v>2</v>
      </c>
      <c r="C45" s="269" t="inlineStr">
        <is>
          <t>Carter</t>
        </is>
      </c>
      <c r="D45" s="192" t="inlineStr">
        <is>
          <t>Discord</t>
        </is>
      </c>
      <c r="E45" s="173" t="n">
        <v>1</v>
      </c>
      <c r="F45" s="329" t="n"/>
      <c r="G45" s="318" t="inlineStr">
        <is>
          <t>Grady</t>
        </is>
      </c>
      <c r="H45" s="291">
        <f>$I$4</f>
        <v/>
      </c>
      <c r="J45" s="246" t="n"/>
      <c r="K45" s="246" t="n"/>
      <c r="L45" s="246" t="n"/>
      <c r="M45" s="260" t="n"/>
      <c r="N45" s="260" t="n"/>
      <c r="O45" s="260" t="n"/>
      <c r="Q45" s="318" t="inlineStr">
        <is>
          <t>Anthony</t>
        </is>
      </c>
      <c r="R45" s="291">
        <f>$L$10</f>
        <v/>
      </c>
      <c r="T45" s="246" t="n"/>
      <c r="U45" s="246" t="n"/>
      <c r="V45" s="246" t="n"/>
      <c r="W45" s="246" t="n"/>
      <c r="X45" s="246" t="n"/>
      <c r="Y45" s="246" t="n"/>
      <c r="Z45" s="246" t="n"/>
      <c r="AA45" s="246" t="n"/>
      <c r="AB45" s="246" t="n"/>
      <c r="AC45" s="246" t="n"/>
      <c r="AD45" s="246" t="n"/>
      <c r="AE45" s="246" t="n"/>
      <c r="AF45" s="246" t="n"/>
      <c r="AG45" s="246" t="n"/>
    </row>
    <row r="46" ht="14.25" customHeight="1" s="175">
      <c r="A46" s="267" t="inlineStr">
        <is>
          <t>Sam</t>
        </is>
      </c>
      <c r="B46" s="268" t="n">
        <v>2</v>
      </c>
      <c r="C46" s="269" t="inlineStr">
        <is>
          <t>Erick</t>
        </is>
      </c>
      <c r="D46" s="192" t="inlineStr">
        <is>
          <t>Discord</t>
        </is>
      </c>
      <c r="F46" s="329" t="n"/>
      <c r="G46" s="318" t="inlineStr">
        <is>
          <t>Cooper</t>
        </is>
      </c>
      <c r="H46" s="291">
        <f>$I$6</f>
        <v/>
      </c>
      <c r="J46" s="246" t="n"/>
      <c r="K46" s="246" t="n"/>
      <c r="L46" s="246" t="n"/>
      <c r="M46" s="260" t="n"/>
      <c r="N46" s="260" t="n"/>
      <c r="O46" s="260" t="n"/>
      <c r="Q46" s="318" t="inlineStr">
        <is>
          <t>Cooper</t>
        </is>
      </c>
      <c r="R46" s="291">
        <f>$L$6</f>
        <v/>
      </c>
      <c r="T46" s="246" t="n"/>
      <c r="U46" s="246" t="n"/>
      <c r="V46" s="246" t="n"/>
      <c r="W46" s="246" t="n"/>
      <c r="X46" s="246" t="n"/>
      <c r="Y46" s="246" t="n"/>
      <c r="Z46" s="246" t="n"/>
      <c r="AA46" s="246" t="n"/>
      <c r="AB46" s="246" t="n"/>
      <c r="AC46" s="246" t="n"/>
      <c r="AD46" s="246" t="n"/>
      <c r="AE46" s="246" t="n"/>
      <c r="AF46" s="246" t="n"/>
      <c r="AG46" s="246" t="n"/>
    </row>
    <row r="47" ht="14.25" customHeight="1" s="175">
      <c r="A47" s="267" t="inlineStr">
        <is>
          <t>Erick</t>
        </is>
      </c>
      <c r="B47" s="268" t="n">
        <v>1</v>
      </c>
      <c r="C47" s="269" t="inlineStr">
        <is>
          <t>Sam</t>
        </is>
      </c>
      <c r="D47" s="192" t="inlineStr">
        <is>
          <t>Discord</t>
        </is>
      </c>
      <c r="F47" s="329" t="n"/>
      <c r="G47" s="318" t="inlineStr">
        <is>
          <t>Maxine</t>
        </is>
      </c>
      <c r="H47" s="291">
        <f>$I$7</f>
        <v/>
      </c>
      <c r="J47" s="246" t="n"/>
      <c r="K47" s="246" t="n"/>
      <c r="L47" s="246" t="n"/>
      <c r="M47" s="260" t="n"/>
      <c r="N47" s="260" t="n"/>
      <c r="O47" s="260" t="n"/>
      <c r="Q47" s="318" t="inlineStr">
        <is>
          <t>Maxine</t>
        </is>
      </c>
      <c r="R47" s="291">
        <f>$L$7</f>
        <v/>
      </c>
      <c r="T47" s="246" t="n"/>
      <c r="U47" s="246" t="n"/>
      <c r="V47" s="246" t="n"/>
      <c r="W47" s="246" t="n"/>
      <c r="X47" s="246" t="n"/>
      <c r="Y47" s="246" t="n"/>
      <c r="Z47" s="246" t="n"/>
      <c r="AA47" s="246" t="n"/>
      <c r="AB47" s="246" t="n"/>
      <c r="AC47" s="246" t="n"/>
      <c r="AD47" s="246" t="n"/>
      <c r="AE47" s="246" t="n"/>
      <c r="AF47" s="246" t="n"/>
      <c r="AG47" s="246" t="n"/>
    </row>
    <row r="48" ht="14.25" customHeight="1" s="175">
      <c r="A48" s="267" t="inlineStr">
        <is>
          <t>Carter</t>
        </is>
      </c>
      <c r="B48" s="268" t="n">
        <v>1</v>
      </c>
      <c r="C48" s="269" t="inlineStr">
        <is>
          <t>Erick</t>
        </is>
      </c>
      <c r="D48" s="192" t="inlineStr">
        <is>
          <t>Discord</t>
        </is>
      </c>
      <c r="F48" s="329" t="n"/>
      <c r="G48" s="318" t="inlineStr">
        <is>
          <t>Jon</t>
        </is>
      </c>
      <c r="H48" s="291">
        <f>$I$14</f>
        <v/>
      </c>
      <c r="J48" s="246" t="n"/>
      <c r="K48" s="246" t="n"/>
      <c r="L48" s="246" t="n"/>
      <c r="M48" s="260" t="n"/>
      <c r="N48" s="260" t="n"/>
      <c r="O48" s="260" t="n"/>
      <c r="Q48" s="318" t="inlineStr">
        <is>
          <t>Jon</t>
        </is>
      </c>
      <c r="R48" s="291">
        <f>$L$14</f>
        <v/>
      </c>
      <c r="T48" s="246" t="n"/>
      <c r="U48" s="246" t="n"/>
      <c r="V48" s="246" t="n"/>
      <c r="W48" s="246" t="n"/>
      <c r="X48" s="246" t="n"/>
      <c r="Y48" s="246" t="n"/>
      <c r="Z48" s="246" t="n"/>
      <c r="AA48" s="246" t="n"/>
      <c r="AB48" s="246" t="n"/>
      <c r="AC48" s="246" t="n"/>
      <c r="AD48" s="246" t="n"/>
      <c r="AE48" s="246" t="n"/>
      <c r="AF48" s="246" t="n"/>
      <c r="AG48" s="246" t="n"/>
    </row>
    <row r="49" ht="14.25" customHeight="1" s="175">
      <c r="A49" s="267" t="inlineStr">
        <is>
          <t>Erick</t>
        </is>
      </c>
      <c r="B49" s="268" t="n">
        <v>1</v>
      </c>
      <c r="C49" s="269" t="inlineStr">
        <is>
          <t>Carter</t>
        </is>
      </c>
      <c r="D49" s="192" t="inlineStr">
        <is>
          <t>Discord</t>
        </is>
      </c>
      <c r="E49" s="173" t="n">
        <v>0</v>
      </c>
      <c r="F49" s="329" t="n"/>
      <c r="J49" s="246" t="n"/>
      <c r="K49" s="246" t="n"/>
      <c r="L49" s="246" t="n"/>
      <c r="M49" s="260" t="n"/>
      <c r="N49" s="260" t="n"/>
      <c r="O49" s="260" t="n"/>
      <c r="P49" s="260" t="n"/>
      <c r="Q49" s="182" t="n"/>
      <c r="T49" s="246" t="n"/>
      <c r="U49" s="246" t="n"/>
      <c r="V49" s="246" t="n"/>
      <c r="W49" s="246" t="n"/>
      <c r="X49" s="246" t="n"/>
      <c r="Y49" s="246" t="n"/>
      <c r="Z49" s="246" t="n"/>
      <c r="AA49" s="246" t="n"/>
      <c r="AB49" s="246" t="n"/>
      <c r="AC49" s="246" t="n"/>
      <c r="AD49" s="246" t="n"/>
      <c r="AE49" s="246" t="n"/>
      <c r="AF49" s="246" t="n"/>
      <c r="AG49" s="246" t="n"/>
    </row>
    <row r="50" ht="14.25" customHeight="1" s="175">
      <c r="A50" s="267" t="inlineStr">
        <is>
          <t>Peter</t>
        </is>
      </c>
      <c r="B50" s="268" t="n">
        <v>1</v>
      </c>
      <c r="C50" s="269" t="inlineStr">
        <is>
          <t>Carter</t>
        </is>
      </c>
      <c r="D50" s="192" t="inlineStr">
        <is>
          <t>Discord</t>
        </is>
      </c>
      <c r="E50" s="173" t="n">
        <v>0</v>
      </c>
      <c r="F50" s="329" t="n"/>
      <c r="G50" s="318" t="inlineStr">
        <is>
          <t>Person:</t>
        </is>
      </c>
      <c r="H50" s="216" t="inlineStr">
        <is>
          <t>KDR</t>
        </is>
      </c>
      <c r="J50" s="246" t="n"/>
      <c r="K50" s="246" t="n"/>
      <c r="L50" s="246" t="n"/>
      <c r="M50" s="260" t="n"/>
      <c r="N50" s="260" t="n"/>
      <c r="O50" s="260" t="n"/>
      <c r="Q50" s="318" t="inlineStr">
        <is>
          <t>Person:</t>
        </is>
      </c>
      <c r="R50" s="216" t="inlineStr">
        <is>
          <t>KpDpR</t>
        </is>
      </c>
      <c r="T50" s="246" t="n"/>
      <c r="U50" s="246" t="n"/>
      <c r="V50" s="246" t="n"/>
      <c r="W50" s="246" t="n"/>
      <c r="X50" s="246" t="n"/>
      <c r="Y50" s="246" t="n"/>
      <c r="Z50" s="246" t="n"/>
      <c r="AA50" s="246" t="n"/>
      <c r="AB50" s="246" t="n"/>
      <c r="AC50" s="246" t="n"/>
      <c r="AD50" s="246" t="n"/>
      <c r="AE50" s="246" t="n"/>
      <c r="AF50" s="246" t="n"/>
      <c r="AG50" s="246" t="n"/>
    </row>
    <row r="51" ht="14.25" customHeight="1" s="175">
      <c r="A51" s="267" t="inlineStr">
        <is>
          <t>Carter</t>
        </is>
      </c>
      <c r="B51" s="268" t="n">
        <v>1</v>
      </c>
      <c r="C51" s="269" t="inlineStr">
        <is>
          <t>Peter</t>
        </is>
      </c>
      <c r="D51" s="192" t="inlineStr">
        <is>
          <t>Discord</t>
        </is>
      </c>
      <c r="F51" s="329" t="n"/>
      <c r="G51" s="318" t="inlineStr">
        <is>
          <t>Jon</t>
        </is>
      </c>
      <c r="H51" s="322">
        <f>$J$14</f>
        <v/>
      </c>
      <c r="J51" s="246" t="n"/>
      <c r="K51" s="246" t="n"/>
      <c r="L51" s="246" t="n"/>
      <c r="M51" s="260" t="n"/>
      <c r="N51" s="260" t="n"/>
      <c r="O51" s="260" t="n"/>
      <c r="Q51" s="318" t="inlineStr">
        <is>
          <t>Jon</t>
        </is>
      </c>
      <c r="R51" s="322">
        <f>$M$14</f>
        <v/>
      </c>
      <c r="T51" s="246" t="n"/>
      <c r="U51" s="246" t="n"/>
      <c r="V51" s="246" t="n"/>
      <c r="W51" s="246" t="n"/>
      <c r="X51" s="246" t="n"/>
      <c r="Y51" s="246" t="n"/>
      <c r="Z51" s="246" t="n"/>
      <c r="AA51" s="246" t="n"/>
      <c r="AB51" s="246" t="n"/>
      <c r="AC51" s="246" t="n"/>
      <c r="AD51" s="246" t="n"/>
      <c r="AE51" s="220" t="inlineStr">
        <is>
          <t>MATRIX</t>
        </is>
      </c>
      <c r="AF51" s="317" t="inlineStr">
        <is>
          <t>Kills</t>
        </is>
      </c>
      <c r="AG51" s="317" t="inlineStr">
        <is>
          <t>Deaths</t>
        </is>
      </c>
      <c r="AH51" s="317" t="inlineStr">
        <is>
          <t>KDR</t>
        </is>
      </c>
      <c r="AI51" s="317" t="inlineStr">
        <is>
          <t>Kill Points</t>
        </is>
      </c>
      <c r="AJ51" s="317" t="inlineStr">
        <is>
          <t>Death Points</t>
        </is>
      </c>
      <c r="AK51" s="317" t="inlineStr">
        <is>
          <t>KpDpR</t>
        </is>
      </c>
      <c r="AL51" s="317" t="inlineStr">
        <is>
          <t>KPts/Kill</t>
        </is>
      </c>
      <c r="AM51" s="317" t="inlineStr">
        <is>
          <t>DPts/Death</t>
        </is>
      </c>
      <c r="AN51" s="317" t="inlineStr">
        <is>
          <t>Involvement</t>
        </is>
      </c>
    </row>
    <row r="52" ht="14.25" customHeight="1" s="175">
      <c r="A52" s="267" t="inlineStr">
        <is>
          <t>Peter</t>
        </is>
      </c>
      <c r="B52" s="268" t="n">
        <v>1</v>
      </c>
      <c r="C52" s="269" t="inlineStr">
        <is>
          <t>Carter</t>
        </is>
      </c>
      <c r="D52" s="192" t="inlineStr">
        <is>
          <t>Discord</t>
        </is>
      </c>
      <c r="E52" s="173" t="n">
        <v>0</v>
      </c>
      <c r="F52" s="329" t="n"/>
      <c r="G52" s="318" t="inlineStr">
        <is>
          <t>Peter</t>
        </is>
      </c>
      <c r="H52" s="322">
        <f>$J$13</f>
        <v/>
      </c>
      <c r="J52" s="246" t="n"/>
      <c r="K52" s="246" t="n"/>
      <c r="L52" s="246" t="n"/>
      <c r="M52" s="260" t="n"/>
      <c r="N52" s="260" t="n"/>
      <c r="O52" s="260" t="n"/>
      <c r="Q52" s="318" t="inlineStr">
        <is>
          <t>Sam</t>
        </is>
      </c>
      <c r="R52" s="322">
        <f>$M$11</f>
        <v/>
      </c>
      <c r="T52" s="246" t="n"/>
      <c r="U52" s="246" t="n"/>
      <c r="V52" s="246" t="n"/>
      <c r="W52" s="246" t="n"/>
      <c r="X52" s="246" t="n"/>
      <c r="Y52" s="246" t="n"/>
      <c r="Z52" s="246" t="n"/>
      <c r="AA52" s="246" t="n"/>
      <c r="AB52" s="246" t="n"/>
      <c r="AC52" s="246" t="n"/>
      <c r="AD52" s="246" t="n"/>
      <c r="AE52" s="208" t="inlineStr">
        <is>
          <t>Weight:</t>
        </is>
      </c>
      <c r="AF52" s="229" t="n">
        <v>7.5</v>
      </c>
      <c r="AG52" s="230" t="n">
        <v>-6</v>
      </c>
      <c r="AH52" s="230" t="n">
        <v>25</v>
      </c>
      <c r="AI52" s="230" t="n">
        <v>8.5</v>
      </c>
      <c r="AJ52" s="230" t="n">
        <v>-6.5</v>
      </c>
      <c r="AK52" s="230" t="n">
        <v>25</v>
      </c>
      <c r="AL52" s="230" t="n">
        <v>20</v>
      </c>
      <c r="AM52" s="230" t="n">
        <v>-20</v>
      </c>
      <c r="AN52" s="230" t="n">
        <v>4</v>
      </c>
      <c r="AO52" s="220" t="inlineStr">
        <is>
          <t>Totals</t>
        </is>
      </c>
    </row>
    <row r="53" ht="14.25" customHeight="1" s="175">
      <c r="A53" s="267" t="inlineStr">
        <is>
          <t>Carter</t>
        </is>
      </c>
      <c r="B53" s="268" t="n">
        <v>1</v>
      </c>
      <c r="C53" s="269" t="inlineStr">
        <is>
          <t>Peter</t>
        </is>
      </c>
      <c r="D53" s="192" t="inlineStr">
        <is>
          <t>Discord</t>
        </is>
      </c>
      <c r="F53" s="329" t="n"/>
      <c r="G53" s="318" t="inlineStr">
        <is>
          <t>Sam</t>
        </is>
      </c>
      <c r="H53" s="322">
        <f>$J$11</f>
        <v/>
      </c>
      <c r="J53" s="246" t="n"/>
      <c r="K53" s="246" t="n"/>
      <c r="L53" s="246" t="n"/>
      <c r="M53" s="260" t="n"/>
      <c r="N53" s="260" t="n"/>
      <c r="O53" s="260" t="n"/>
      <c r="Q53" s="318" t="inlineStr">
        <is>
          <t>Peter</t>
        </is>
      </c>
      <c r="R53" s="322">
        <f>$M$13</f>
        <v/>
      </c>
      <c r="T53" s="246" t="n"/>
      <c r="U53" s="246" t="n"/>
      <c r="V53" s="246" t="n"/>
      <c r="W53" s="246" t="n"/>
      <c r="X53" s="246" t="n"/>
      <c r="Y53" s="246" t="n"/>
      <c r="Z53" s="246" t="n"/>
      <c r="AA53" s="246" t="n"/>
      <c r="AB53" s="246" t="n"/>
      <c r="AC53" s="246" t="n"/>
      <c r="AD53" s="246" t="n"/>
      <c r="AE53" s="226" t="inlineStr">
        <is>
          <t>Tenors</t>
        </is>
      </c>
      <c r="AF53" s="210">
        <f>$AF$52*H17</f>
        <v/>
      </c>
      <c r="AG53" s="210">
        <f>$AG$52*I17</f>
        <v/>
      </c>
      <c r="AH53" s="210">
        <f>$AH$52*J17</f>
        <v/>
      </c>
      <c r="AI53" s="210">
        <f>$AI$52*K17</f>
        <v/>
      </c>
      <c r="AJ53" s="210">
        <f>$AJ$52*L17</f>
        <v/>
      </c>
      <c r="AK53" s="210">
        <f>$AK$52*M17</f>
        <v/>
      </c>
      <c r="AL53" s="210">
        <f>$AL$52*N17</f>
        <v/>
      </c>
      <c r="AM53" s="210">
        <f>$AM$52*O17</f>
        <v/>
      </c>
      <c r="AN53" s="210">
        <f>SUM(H17:I17)*$AN$52</f>
        <v/>
      </c>
      <c r="AO53" s="210">
        <f>SUM(AF53:AN53)</f>
        <v/>
      </c>
    </row>
    <row r="54" ht="14.25" customHeight="1" s="175">
      <c r="A54" s="267" t="inlineStr">
        <is>
          <t>Carter</t>
        </is>
      </c>
      <c r="B54" s="268" t="n">
        <v>1</v>
      </c>
      <c r="C54" s="269" t="inlineStr">
        <is>
          <t>Erick</t>
        </is>
      </c>
      <c r="D54" s="192" t="inlineStr">
        <is>
          <t>Discord</t>
        </is>
      </c>
      <c r="F54" s="329" t="n"/>
      <c r="G54" s="318" t="inlineStr">
        <is>
          <t>Anthony</t>
        </is>
      </c>
      <c r="H54" s="322">
        <f>$J$10</f>
        <v/>
      </c>
      <c r="J54" s="246" t="n"/>
      <c r="K54" s="246" t="n"/>
      <c r="L54" s="246" t="n"/>
      <c r="M54" s="260" t="n"/>
      <c r="N54" s="260" t="n"/>
      <c r="O54" s="260" t="n"/>
      <c r="Q54" s="318" t="inlineStr">
        <is>
          <t>Maxine</t>
        </is>
      </c>
      <c r="R54" s="322">
        <f>$M$7</f>
        <v/>
      </c>
      <c r="T54" s="246" t="n"/>
      <c r="U54" s="246" t="n"/>
      <c r="V54" s="246" t="n"/>
      <c r="W54" s="246" t="n"/>
      <c r="X54" s="246" t="n"/>
      <c r="Y54" s="246" t="n"/>
      <c r="Z54" s="246" t="n"/>
      <c r="AA54" s="246" t="n"/>
      <c r="AB54" s="246" t="n"/>
      <c r="AC54" s="246" t="n"/>
      <c r="AD54" s="246" t="n"/>
      <c r="AE54" s="208" t="inlineStr">
        <is>
          <t>Leads</t>
        </is>
      </c>
      <c r="AF54" s="210">
        <f>$AF$52*H18</f>
        <v/>
      </c>
      <c r="AG54" s="210">
        <f>$AG$52*I18</f>
        <v/>
      </c>
      <c r="AH54" s="210">
        <f>$AH$52*J18</f>
        <v/>
      </c>
      <c r="AI54" s="210">
        <f>$AI$52*K18</f>
        <v/>
      </c>
      <c r="AJ54" s="210">
        <f>$AJ$52*L18</f>
        <v/>
      </c>
      <c r="AK54" s="210">
        <f>$AK$52*M18</f>
        <v/>
      </c>
      <c r="AL54" s="210">
        <f>$AL$52*N18</f>
        <v/>
      </c>
      <c r="AM54" s="210">
        <f>$AM$52*O18</f>
        <v/>
      </c>
      <c r="AN54" s="210">
        <f>SUM(H18:I18)*$AN$52</f>
        <v/>
      </c>
      <c r="AO54" s="210">
        <f>SUM(AF54:AN54)</f>
        <v/>
      </c>
    </row>
    <row r="55" ht="14.25" customHeight="1" s="175">
      <c r="A55" s="267" t="inlineStr">
        <is>
          <t>Erick</t>
        </is>
      </c>
      <c r="B55" s="268" t="n">
        <v>1</v>
      </c>
      <c r="C55" s="269" t="inlineStr">
        <is>
          <t>Carter</t>
        </is>
      </c>
      <c r="D55" s="192" t="inlineStr">
        <is>
          <t>Discord</t>
        </is>
      </c>
      <c r="E55" s="173" t="n">
        <v>1</v>
      </c>
      <c r="F55" s="329" t="n"/>
      <c r="G55" s="318" t="inlineStr">
        <is>
          <t>Carter</t>
        </is>
      </c>
      <c r="H55" s="322">
        <f>$J$3</f>
        <v/>
      </c>
      <c r="J55" s="246" t="n"/>
      <c r="K55" s="246" t="n"/>
      <c r="L55" s="246" t="n"/>
      <c r="M55" s="260" t="n"/>
      <c r="N55" s="260" t="n"/>
      <c r="O55" s="260" t="n"/>
      <c r="Q55" s="318" t="inlineStr">
        <is>
          <t>Anthony</t>
        </is>
      </c>
      <c r="R55" s="322">
        <f>$M$10</f>
        <v/>
      </c>
      <c r="T55" s="246" t="n"/>
      <c r="U55" s="246" t="n"/>
      <c r="V55" s="246" t="n"/>
      <c r="W55" s="246" t="n"/>
      <c r="X55" s="246" t="n"/>
      <c r="Y55" s="246" t="n"/>
      <c r="Z55" s="246" t="n"/>
      <c r="AA55" s="246" t="n"/>
      <c r="AB55" s="246" t="n"/>
      <c r="AC55" s="246" t="n"/>
      <c r="AD55" s="246" t="n"/>
      <c r="AE55" s="208" t="inlineStr">
        <is>
          <t>Baris</t>
        </is>
      </c>
      <c r="AF55" s="210">
        <f>$AF$52*H19</f>
        <v/>
      </c>
      <c r="AG55" s="210">
        <f>$AG$52*I19</f>
        <v/>
      </c>
      <c r="AH55" s="210">
        <f>$AH$52*J19</f>
        <v/>
      </c>
      <c r="AI55" s="210">
        <f>$AI$52*K19</f>
        <v/>
      </c>
      <c r="AJ55" s="210">
        <f>$AJ$52*L19</f>
        <v/>
      </c>
      <c r="AK55" s="210">
        <f>$AK$52*M19</f>
        <v/>
      </c>
      <c r="AL55" s="210">
        <f>$AL$52*N19</f>
        <v/>
      </c>
      <c r="AM55" s="210">
        <f>$AM$52*O19</f>
        <v/>
      </c>
      <c r="AN55" s="210">
        <f>SUM(H19:I19)*$AN$52</f>
        <v/>
      </c>
      <c r="AO55" s="210">
        <f>SUM(AF55:AN55)</f>
        <v/>
      </c>
    </row>
    <row r="56" ht="14.25" customHeight="1" s="175">
      <c r="A56" s="267" t="inlineStr">
        <is>
          <t>Jon</t>
        </is>
      </c>
      <c r="B56" s="268" t="n">
        <v>2</v>
      </c>
      <c r="C56" s="269" t="inlineStr">
        <is>
          <t>Grady</t>
        </is>
      </c>
      <c r="D56" s="192" t="inlineStr">
        <is>
          <t>Discord</t>
        </is>
      </c>
      <c r="F56" s="329" t="n"/>
      <c r="G56" s="318" t="inlineStr">
        <is>
          <t>Maxine</t>
        </is>
      </c>
      <c r="H56" s="322">
        <f>$J$7</f>
        <v/>
      </c>
      <c r="J56" s="246" t="n"/>
      <c r="K56" s="246" t="n"/>
      <c r="L56" s="246" t="n"/>
      <c r="M56" s="260" t="n"/>
      <c r="N56" s="260" t="n"/>
      <c r="O56" s="260" t="n"/>
      <c r="Q56" s="318" t="inlineStr">
        <is>
          <t>David</t>
        </is>
      </c>
      <c r="R56" s="322">
        <f>$M$8</f>
        <v/>
      </c>
      <c r="T56" s="246" t="n"/>
      <c r="U56" s="246" t="n"/>
      <c r="V56" s="246" t="n"/>
      <c r="W56" s="246" t="n"/>
      <c r="X56" s="246" t="n"/>
      <c r="Y56" s="246" t="n"/>
      <c r="Z56" s="246" t="n"/>
      <c r="AA56" s="246" t="n"/>
      <c r="AB56" s="246" t="n"/>
      <c r="AC56" s="246" t="n"/>
      <c r="AD56" s="246" t="n"/>
      <c r="AE56" s="208" t="inlineStr">
        <is>
          <t>Basses</t>
        </is>
      </c>
      <c r="AF56" s="210">
        <f>$AF$52*H20</f>
        <v/>
      </c>
      <c r="AG56" s="210">
        <f>$AG$52*I20</f>
        <v/>
      </c>
      <c r="AH56" s="210">
        <f>$AH$52*J20</f>
        <v/>
      </c>
      <c r="AI56" s="210">
        <f>$AI$52*K20</f>
        <v/>
      </c>
      <c r="AJ56" s="210">
        <f>$AJ$52*L20</f>
        <v/>
      </c>
      <c r="AK56" s="210">
        <f>$AK$52*M20</f>
        <v/>
      </c>
      <c r="AL56" s="210">
        <f>$AL$52*N20</f>
        <v/>
      </c>
      <c r="AM56" s="210">
        <f>$AM$52*O20</f>
        <v/>
      </c>
      <c r="AN56" s="210">
        <f>SUM(H20:I20)*$AN$52</f>
        <v/>
      </c>
      <c r="AO56" s="210">
        <f>SUM(AF56:AN56)</f>
        <v/>
      </c>
    </row>
    <row r="57" ht="14.25" customHeight="1" s="175">
      <c r="A57" s="267" t="inlineStr">
        <is>
          <t>Carter</t>
        </is>
      </c>
      <c r="B57" s="268" t="n">
        <v>1</v>
      </c>
      <c r="C57" s="269" t="inlineStr">
        <is>
          <t>Cooper</t>
        </is>
      </c>
      <c r="D57" s="192" t="inlineStr">
        <is>
          <t>Discord</t>
        </is>
      </c>
      <c r="F57" s="329" t="n"/>
      <c r="G57" s="318" t="inlineStr">
        <is>
          <t>David</t>
        </is>
      </c>
      <c r="H57" s="322">
        <f>$J$8</f>
        <v/>
      </c>
      <c r="J57" s="246" t="n"/>
      <c r="K57" s="246" t="n"/>
      <c r="L57" s="246" t="n"/>
      <c r="M57" s="260" t="n"/>
      <c r="N57" s="260" t="n"/>
      <c r="O57" s="260" t="n"/>
      <c r="Q57" s="318" t="inlineStr">
        <is>
          <t>Carter</t>
        </is>
      </c>
      <c r="R57" s="322">
        <f>$M$3</f>
        <v/>
      </c>
      <c r="T57" s="246" t="n"/>
      <c r="U57" s="246" t="n"/>
      <c r="V57" s="246" t="n"/>
      <c r="W57" s="246" t="n"/>
      <c r="X57" s="246" t="n"/>
      <c r="Y57" s="246" t="n"/>
      <c r="Z57" s="246" t="n"/>
      <c r="AA57" s="246" t="n"/>
      <c r="AB57" s="246" t="n"/>
      <c r="AC57" s="246" t="n"/>
      <c r="AD57" s="246" t="n"/>
      <c r="AE57" s="208" t="inlineStr">
        <is>
          <t>Seth + Grady</t>
        </is>
      </c>
      <c r="AF57" s="210">
        <f>SUM(H4:H5)*AF52</f>
        <v/>
      </c>
      <c r="AG57" s="210">
        <f>SUM(I4:I5)*AG52</f>
        <v/>
      </c>
      <c r="AH57" s="210">
        <f>SUM(J4:J5)*AH52</f>
        <v/>
      </c>
      <c r="AI57" s="210">
        <f>SUM(K4:K5)*AI52</f>
        <v/>
      </c>
      <c r="AJ57" s="210">
        <f>SUM(L4:L5)*AJ52</f>
        <v/>
      </c>
      <c r="AK57" s="210">
        <f>SUM(M4:M5)*AK52</f>
        <v/>
      </c>
      <c r="AL57" s="210">
        <f>SUM(N4:N5)*AL52</f>
        <v/>
      </c>
      <c r="AM57" s="210">
        <f>SUM(O4:O5)*AM52</f>
        <v/>
      </c>
      <c r="AN57" s="210">
        <f>SUM(P4:P5)*AN52</f>
        <v/>
      </c>
      <c r="AO57" s="210">
        <f>SUM(AF57:AN57)</f>
        <v/>
      </c>
    </row>
    <row r="58" ht="14.25" customHeight="1" s="175">
      <c r="A58" s="267" t="inlineStr">
        <is>
          <t>Cooper</t>
        </is>
      </c>
      <c r="B58" s="268" t="n">
        <v>1</v>
      </c>
      <c r="C58" s="269" t="inlineStr">
        <is>
          <t>Carter</t>
        </is>
      </c>
      <c r="D58" s="192" t="inlineStr">
        <is>
          <t>Discord</t>
        </is>
      </c>
      <c r="E58" s="173" t="n">
        <v>0</v>
      </c>
      <c r="F58" s="329" t="n"/>
      <c r="G58" s="318" t="inlineStr">
        <is>
          <t>Erick</t>
        </is>
      </c>
      <c r="H58" s="322">
        <f>$J$12</f>
        <v/>
      </c>
      <c r="J58" s="246" t="n"/>
      <c r="K58" s="246" t="n"/>
      <c r="L58" s="246" t="n"/>
      <c r="M58" s="260" t="n"/>
      <c r="N58" s="260" t="n"/>
      <c r="O58" s="260" t="n"/>
      <c r="Q58" s="318" t="inlineStr">
        <is>
          <t>Erick</t>
        </is>
      </c>
      <c r="R58" s="322">
        <f>$M$12</f>
        <v/>
      </c>
      <c r="T58" s="246" t="n"/>
      <c r="U58" s="246" t="n"/>
      <c r="V58" s="246" t="n"/>
      <c r="W58" s="246" t="n"/>
      <c r="X58" s="246" t="n"/>
      <c r="Y58" s="246" t="n"/>
      <c r="Z58" s="246" t="n"/>
      <c r="AA58" s="246" t="n"/>
      <c r="AB58" s="246" t="n"/>
      <c r="AC58" s="246" t="n"/>
      <c r="AD58" s="246" t="n"/>
    </row>
    <row r="59" ht="14.25" customHeight="1" s="175">
      <c r="A59" s="267" t="inlineStr">
        <is>
          <t>Carter</t>
        </is>
      </c>
      <c r="B59" s="268" t="n">
        <v>1</v>
      </c>
      <c r="C59" s="269" t="inlineStr">
        <is>
          <t>Anthony</t>
        </is>
      </c>
      <c r="D59" s="192" t="inlineStr">
        <is>
          <t>Discord</t>
        </is>
      </c>
      <c r="F59" s="329" t="n"/>
      <c r="G59" s="318" t="inlineStr">
        <is>
          <t>Cooper</t>
        </is>
      </c>
      <c r="H59" s="322">
        <f>$J$6</f>
        <v/>
      </c>
      <c r="J59" s="246" t="n"/>
      <c r="K59" s="246" t="n"/>
      <c r="L59" s="246" t="n"/>
      <c r="M59" s="260" t="n"/>
      <c r="N59" s="260" t="n"/>
      <c r="O59" s="260" t="n"/>
      <c r="Q59" s="318" t="inlineStr">
        <is>
          <t>Tyler</t>
        </is>
      </c>
      <c r="R59" s="322">
        <f>$M$9</f>
        <v/>
      </c>
      <c r="T59" s="246" t="n"/>
      <c r="U59" s="246" t="n"/>
      <c r="V59" s="246" t="n"/>
      <c r="W59" s="246" t="n"/>
      <c r="X59" s="246" t="n"/>
      <c r="Y59" s="246" t="n"/>
      <c r="Z59" s="246" t="n"/>
      <c r="AA59" s="246" t="n"/>
      <c r="AB59" s="246" t="n"/>
      <c r="AC59" s="246" t="n"/>
      <c r="AD59" s="246" t="n"/>
      <c r="AE59" s="248" t="inlineStr">
        <is>
          <t>Part</t>
        </is>
      </c>
      <c r="AF59" s="249" t="inlineStr">
        <is>
          <t>Score</t>
        </is>
      </c>
      <c r="AG59" s="249" t="inlineStr">
        <is>
          <t>Adjusted</t>
        </is>
      </c>
    </row>
    <row r="60" ht="14.25" customHeight="1" s="175">
      <c r="A60" s="267" t="inlineStr">
        <is>
          <t>Anthony</t>
        </is>
      </c>
      <c r="B60" s="268" t="n">
        <v>1</v>
      </c>
      <c r="C60" s="269" t="inlineStr">
        <is>
          <t>Carter</t>
        </is>
      </c>
      <c r="D60" s="192" t="inlineStr">
        <is>
          <t>Discord</t>
        </is>
      </c>
      <c r="E60" s="173" t="n">
        <v>0</v>
      </c>
      <c r="F60" s="329" t="n"/>
      <c r="G60" s="318" t="inlineStr">
        <is>
          <t>Tyler</t>
        </is>
      </c>
      <c r="H60" s="322">
        <f>$J$9</f>
        <v/>
      </c>
      <c r="J60" s="246" t="n"/>
      <c r="K60" s="246" t="n"/>
      <c r="L60" s="246" t="n"/>
      <c r="M60" s="260" t="n"/>
      <c r="N60" s="260" t="n"/>
      <c r="O60" s="260" t="n"/>
      <c r="Q60" s="318" t="inlineStr">
        <is>
          <t>Cooper</t>
        </is>
      </c>
      <c r="R60" s="322">
        <f>$M$6</f>
        <v/>
      </c>
      <c r="T60" s="246" t="n"/>
      <c r="U60" s="246" t="n"/>
      <c r="V60" s="246" t="n"/>
      <c r="W60" s="246" t="n"/>
      <c r="X60" s="246" t="n"/>
      <c r="Y60" s="246" t="n"/>
      <c r="Z60" s="246" t="n"/>
      <c r="AA60" s="246" t="n"/>
      <c r="AB60" s="246" t="n"/>
      <c r="AC60" s="246" t="n"/>
      <c r="AD60" s="246" t="n"/>
      <c r="AE60" s="226" t="inlineStr">
        <is>
          <t>Baris</t>
        </is>
      </c>
      <c r="AF60" s="251">
        <f>$AO$55</f>
        <v/>
      </c>
      <c r="AG60" s="251">
        <f>AF60-$AF$65</f>
        <v/>
      </c>
    </row>
    <row r="61" ht="14.25" customHeight="1" s="175">
      <c r="A61" s="267" t="inlineStr">
        <is>
          <t>Sam</t>
        </is>
      </c>
      <c r="B61" s="268" t="n">
        <v>2</v>
      </c>
      <c r="C61" s="269" t="inlineStr">
        <is>
          <t>Seth</t>
        </is>
      </c>
      <c r="D61" s="192" t="inlineStr">
        <is>
          <t>Discord</t>
        </is>
      </c>
      <c r="F61" s="329" t="n"/>
      <c r="G61" s="318" t="inlineStr">
        <is>
          <t>Grady</t>
        </is>
      </c>
      <c r="H61" s="322">
        <f>$J$4</f>
        <v/>
      </c>
      <c r="J61" s="246" t="n"/>
      <c r="K61" s="246" t="n"/>
      <c r="L61" s="246" t="n"/>
      <c r="M61" s="260" t="n"/>
      <c r="N61" s="260" t="n"/>
      <c r="O61" s="260" t="n"/>
      <c r="Q61" s="318" t="inlineStr">
        <is>
          <t>Grady</t>
        </is>
      </c>
      <c r="R61" s="322">
        <f>$M$4</f>
        <v/>
      </c>
      <c r="T61" s="246" t="n"/>
      <c r="U61" s="246" t="n"/>
      <c r="V61" s="246" t="n"/>
      <c r="W61" s="246" t="n"/>
      <c r="X61" s="246" t="n"/>
      <c r="Y61" s="246" t="n"/>
      <c r="Z61" s="246" t="n"/>
      <c r="AA61" s="246" t="n"/>
      <c r="AB61" s="246" t="n"/>
      <c r="AC61" s="246" t="n"/>
      <c r="AD61" s="246" t="n"/>
      <c r="AE61" s="208" t="inlineStr">
        <is>
          <t>Basses</t>
        </is>
      </c>
      <c r="AF61" s="251">
        <f>$AO$56</f>
        <v/>
      </c>
      <c r="AG61" s="251">
        <f>AF61-$AF$65</f>
        <v/>
      </c>
    </row>
    <row r="62" ht="14.25" customHeight="1" s="175">
      <c r="A62" s="267" t="inlineStr">
        <is>
          <t>Carter</t>
        </is>
      </c>
      <c r="B62" s="268" t="n">
        <v>2</v>
      </c>
      <c r="C62" s="269" t="inlineStr">
        <is>
          <t>Erick</t>
        </is>
      </c>
      <c r="D62" s="192" t="inlineStr">
        <is>
          <t>Discord</t>
        </is>
      </c>
      <c r="F62" s="329" t="n"/>
      <c r="G62" s="318" t="inlineStr">
        <is>
          <t>Seth</t>
        </is>
      </c>
      <c r="H62" s="322">
        <f>$J$5</f>
        <v/>
      </c>
      <c r="J62" s="246" t="n"/>
      <c r="K62" s="246" t="n"/>
      <c r="L62" s="246" t="n"/>
      <c r="M62" s="260" t="n"/>
      <c r="N62" s="260" t="n"/>
      <c r="O62" s="260" t="n"/>
      <c r="Q62" s="318" t="inlineStr">
        <is>
          <t>Seth</t>
        </is>
      </c>
      <c r="R62" s="322">
        <f>$M$5</f>
        <v/>
      </c>
      <c r="T62" s="246" t="n"/>
      <c r="U62" s="246" t="n"/>
      <c r="V62" s="246" t="n"/>
      <c r="W62" s="246" t="n"/>
      <c r="X62" s="246" t="n"/>
      <c r="Y62" s="246" t="n"/>
      <c r="Z62" s="246" t="n"/>
      <c r="AA62" s="246" t="n"/>
      <c r="AB62" s="246" t="n"/>
      <c r="AC62" s="246" t="n"/>
      <c r="AD62" s="246" t="n"/>
      <c r="AE62" s="208" t="inlineStr">
        <is>
          <t>Leads</t>
        </is>
      </c>
      <c r="AF62" s="251">
        <f>$AO$54</f>
        <v/>
      </c>
      <c r="AG62" s="251">
        <f>AF62-$AF$65</f>
        <v/>
      </c>
    </row>
    <row r="63" ht="14.25" customHeight="1" s="175">
      <c r="A63" s="267" t="inlineStr">
        <is>
          <t>Anthony</t>
        </is>
      </c>
      <c r="B63" s="268" t="n">
        <v>2</v>
      </c>
      <c r="C63" s="269" t="inlineStr">
        <is>
          <t>David</t>
        </is>
      </c>
      <c r="D63" s="192" t="inlineStr">
        <is>
          <t>Discord</t>
        </is>
      </c>
      <c r="F63" s="329" t="n"/>
      <c r="J63" s="246" t="n"/>
      <c r="K63" s="246" t="n"/>
      <c r="L63" s="246" t="n"/>
      <c r="M63" s="260" t="n"/>
      <c r="N63" s="260" t="n"/>
      <c r="O63" s="260" t="n"/>
      <c r="P63" s="260" t="n"/>
      <c r="Q63" s="182" t="n"/>
      <c r="T63" s="246" t="n"/>
      <c r="U63" s="246" t="n"/>
      <c r="V63" s="246" t="n"/>
      <c r="W63" s="246" t="n"/>
      <c r="X63" s="246" t="n"/>
      <c r="Y63" s="246" t="n"/>
      <c r="Z63" s="246" t="n"/>
      <c r="AA63" s="246" t="n"/>
      <c r="AB63" s="246" t="n"/>
      <c r="AC63" s="246" t="n"/>
      <c r="AD63" s="246" t="n"/>
      <c r="AE63" s="208" t="inlineStr">
        <is>
          <t>Tenors</t>
        </is>
      </c>
      <c r="AF63" s="251">
        <f>$AO$53</f>
        <v/>
      </c>
      <c r="AG63" s="251">
        <f>AF63-$AF$65</f>
        <v/>
      </c>
    </row>
    <row r="64" ht="14.25" customHeight="1" s="175">
      <c r="A64" s="267" t="inlineStr">
        <is>
          <t>Sam</t>
        </is>
      </c>
      <c r="B64" s="268" t="n">
        <v>2</v>
      </c>
      <c r="C64" s="269" t="inlineStr">
        <is>
          <t>Seth</t>
        </is>
      </c>
      <c r="D64" s="192" t="inlineStr">
        <is>
          <t>Discord</t>
        </is>
      </c>
      <c r="F64" s="329" t="n"/>
      <c r="G64" s="318" t="inlineStr">
        <is>
          <t>Part:</t>
        </is>
      </c>
      <c r="H64" s="216" t="inlineStr">
        <is>
          <t>Kills</t>
        </is>
      </c>
      <c r="J64" s="246" t="n"/>
      <c r="K64" s="246" t="n"/>
      <c r="L64" s="246" t="n"/>
      <c r="M64" s="260" t="n"/>
      <c r="N64" s="260" t="n"/>
      <c r="O64" s="260" t="n"/>
      <c r="Q64" s="318" t="inlineStr">
        <is>
          <t>Part:</t>
        </is>
      </c>
      <c r="R64" s="216" t="inlineStr">
        <is>
          <t>Kill Points</t>
        </is>
      </c>
      <c r="T64" s="246" t="n"/>
      <c r="U64" s="246" t="n"/>
      <c r="V64" s="246" t="n"/>
      <c r="W64" s="246" t="n"/>
      <c r="X64" s="246" t="n"/>
      <c r="Y64" s="246" t="n"/>
      <c r="Z64" s="246" t="n"/>
      <c r="AA64" s="246" t="n"/>
      <c r="AB64" s="246" t="n"/>
      <c r="AC64" s="246" t="n"/>
      <c r="AD64" s="246" t="n"/>
      <c r="AE64" s="208" t="inlineStr">
        <is>
          <t>Carter</t>
        </is>
      </c>
      <c r="AF64" s="251">
        <f>Fall2024PRE!$AQ$20</f>
        <v/>
      </c>
      <c r="AG64" s="251">
        <f>AF64-$AF$65</f>
        <v/>
      </c>
    </row>
    <row r="65" ht="14.25" customHeight="1" s="175">
      <c r="A65" s="267" t="inlineStr">
        <is>
          <t>Sam</t>
        </is>
      </c>
      <c r="B65" s="268" t="n">
        <v>2</v>
      </c>
      <c r="C65" s="269" t="inlineStr">
        <is>
          <t>Carter</t>
        </is>
      </c>
      <c r="D65" s="192" t="inlineStr">
        <is>
          <t>Discord</t>
        </is>
      </c>
      <c r="E65" s="173" t="n">
        <v>1</v>
      </c>
      <c r="F65" s="329" t="n"/>
      <c r="G65" s="318" t="inlineStr">
        <is>
          <t>Baris</t>
        </is>
      </c>
      <c r="H65" s="321">
        <f>$H$19</f>
        <v/>
      </c>
      <c r="J65" s="246" t="n"/>
      <c r="K65" s="246" t="n"/>
      <c r="L65" s="246" t="n"/>
      <c r="M65" s="260" t="n"/>
      <c r="N65" s="260" t="n"/>
      <c r="O65" s="260" t="n"/>
      <c r="Q65" s="318" t="inlineStr">
        <is>
          <t>Baris</t>
        </is>
      </c>
      <c r="R65" s="290">
        <f>$K$19</f>
        <v/>
      </c>
      <c r="T65" s="246" t="n"/>
      <c r="U65" s="246" t="n"/>
      <c r="V65" s="246" t="n"/>
      <c r="W65" s="246" t="n"/>
      <c r="X65" s="246" t="n"/>
      <c r="Y65" s="246" t="n"/>
      <c r="Z65" s="246" t="n"/>
      <c r="AA65" s="246" t="n"/>
      <c r="AB65" s="246" t="n"/>
      <c r="AC65" s="246" t="n"/>
      <c r="AD65" s="246" t="n"/>
      <c r="AE65" s="208" t="inlineStr">
        <is>
          <t>Seth + Grady</t>
        </is>
      </c>
      <c r="AF65" s="251">
        <f>$AO$57</f>
        <v/>
      </c>
      <c r="AG65" s="251">
        <f>AF65-$AF$65</f>
        <v/>
      </c>
    </row>
    <row r="66" ht="14.25" customHeight="1" s="175">
      <c r="A66" s="267" t="inlineStr">
        <is>
          <t>Carter</t>
        </is>
      </c>
      <c r="B66" s="268" t="n">
        <v>1</v>
      </c>
      <c r="C66" s="269" t="inlineStr">
        <is>
          <t>Sam</t>
        </is>
      </c>
      <c r="D66" s="192" t="inlineStr">
        <is>
          <t>Discord</t>
        </is>
      </c>
      <c r="F66" s="329" t="n"/>
      <c r="G66" s="318" t="inlineStr">
        <is>
          <t>Basses</t>
        </is>
      </c>
      <c r="H66" s="321">
        <f>$H$20</f>
        <v/>
      </c>
      <c r="J66" s="246" t="n"/>
      <c r="K66" s="246" t="n"/>
      <c r="L66" s="246" t="n"/>
      <c r="M66" s="260" t="n"/>
      <c r="N66" s="260" t="n"/>
      <c r="O66" s="260" t="n"/>
      <c r="Q66" s="318" t="inlineStr">
        <is>
          <t>Basses</t>
        </is>
      </c>
      <c r="R66" s="290">
        <f>$K$20</f>
        <v/>
      </c>
      <c r="T66" s="246" t="n"/>
      <c r="U66" s="246" t="n"/>
      <c r="V66" s="246" t="n"/>
      <c r="W66" s="246" t="n"/>
      <c r="X66" s="246" t="n"/>
      <c r="Y66" s="246" t="n"/>
      <c r="Z66" s="246" t="n"/>
      <c r="AA66" s="246" t="n"/>
      <c r="AB66" s="246" t="n"/>
      <c r="AC66" s="246" t="n"/>
      <c r="AD66" s="246" t="n"/>
    </row>
    <row r="67" ht="14.25" customHeight="1" s="175">
      <c r="A67" s="267" t="inlineStr">
        <is>
          <t>Sam</t>
        </is>
      </c>
      <c r="B67" s="268" t="n">
        <v>2</v>
      </c>
      <c r="C67" s="269" t="inlineStr">
        <is>
          <t>Carter</t>
        </is>
      </c>
      <c r="D67" s="192" t="inlineStr">
        <is>
          <t>Discord</t>
        </is>
      </c>
      <c r="E67" s="173" t="n">
        <v>0</v>
      </c>
      <c r="F67" s="329" t="n"/>
      <c r="G67" s="318" t="inlineStr">
        <is>
          <t>Tenors</t>
        </is>
      </c>
      <c r="H67" s="321">
        <f>$H$17</f>
        <v/>
      </c>
      <c r="J67" s="246" t="n"/>
      <c r="K67" s="246" t="n"/>
      <c r="L67" s="246" t="n"/>
      <c r="M67" s="260" t="n"/>
      <c r="N67" s="260" t="n"/>
      <c r="O67" s="260" t="n"/>
      <c r="Q67" s="318" t="inlineStr">
        <is>
          <t>Tenors</t>
        </is>
      </c>
      <c r="R67" s="290">
        <f>$K$17</f>
        <v/>
      </c>
      <c r="T67" s="246" t="n"/>
      <c r="U67" s="246" t="n"/>
      <c r="V67" s="246" t="n"/>
      <c r="W67" s="246" t="n"/>
      <c r="X67" s="246" t="n"/>
      <c r="Y67" s="246" t="n"/>
      <c r="Z67" s="246" t="n"/>
      <c r="AA67" s="246" t="n"/>
      <c r="AB67" s="246" t="n"/>
      <c r="AC67" s="246" t="n"/>
      <c r="AD67" s="246" t="n"/>
      <c r="AE67" s="246" t="n"/>
      <c r="AF67" s="246" t="n"/>
      <c r="AG67" s="246" t="n"/>
    </row>
    <row r="68" ht="14.25" customHeight="1" s="175">
      <c r="A68" s="267" t="inlineStr">
        <is>
          <t>Carter</t>
        </is>
      </c>
      <c r="B68" s="268" t="n">
        <v>1</v>
      </c>
      <c r="C68" s="269" t="inlineStr">
        <is>
          <t>Sam</t>
        </is>
      </c>
      <c r="D68" s="192" t="inlineStr">
        <is>
          <t>Discord</t>
        </is>
      </c>
      <c r="F68" s="329" t="n"/>
      <c r="G68" s="318" t="inlineStr">
        <is>
          <t>Leads</t>
        </is>
      </c>
      <c r="H68" s="321">
        <f>$H$18</f>
        <v/>
      </c>
      <c r="J68" s="246" t="n"/>
      <c r="K68" s="246" t="n"/>
      <c r="L68" s="246" t="n"/>
      <c r="M68" s="260" t="n"/>
      <c r="N68" s="260" t="n"/>
      <c r="O68" s="260" t="n"/>
      <c r="Q68" s="318" t="inlineStr">
        <is>
          <t>Leads</t>
        </is>
      </c>
      <c r="R68" s="290">
        <f>$K$18</f>
        <v/>
      </c>
      <c r="T68" s="246" t="n"/>
      <c r="U68" s="246" t="n"/>
      <c r="V68" s="246" t="n"/>
      <c r="W68" s="246" t="n"/>
      <c r="X68" s="246" t="n"/>
      <c r="Y68" s="246" t="n"/>
      <c r="Z68" s="246" t="n"/>
      <c r="AA68" s="246" t="n"/>
      <c r="AB68" s="246" t="n"/>
      <c r="AC68" s="246" t="n"/>
      <c r="AD68" s="246" t="n"/>
      <c r="AE68" s="246" t="n"/>
      <c r="AG68" s="246" t="n"/>
    </row>
    <row r="69" ht="14.25" customHeight="1" s="175">
      <c r="A69" s="267" t="inlineStr">
        <is>
          <t>Peter</t>
        </is>
      </c>
      <c r="B69" s="268" t="n">
        <v>2</v>
      </c>
      <c r="C69" s="269" t="inlineStr">
        <is>
          <t>Jon</t>
        </is>
      </c>
      <c r="D69" s="192" t="inlineStr">
        <is>
          <t>Discord</t>
        </is>
      </c>
      <c r="F69" s="329" t="n"/>
      <c r="J69" s="246" t="n"/>
      <c r="K69" s="246" t="n"/>
      <c r="L69" s="246" t="n"/>
      <c r="M69" s="260" t="n"/>
      <c r="N69" s="260" t="n"/>
      <c r="O69" s="260" t="n"/>
      <c r="P69" s="260" t="n"/>
      <c r="Q69" s="182" t="n"/>
      <c r="T69" s="246" t="n"/>
      <c r="U69" s="246" t="n"/>
      <c r="V69" s="246" t="n"/>
      <c r="W69" s="246" t="n"/>
      <c r="X69" s="246" t="n"/>
      <c r="Y69" s="246" t="n"/>
      <c r="Z69" s="246" t="n"/>
      <c r="AA69" s="246" t="n"/>
      <c r="AB69" s="246" t="n"/>
      <c r="AC69" s="246" t="n"/>
      <c r="AD69" s="246" t="n"/>
      <c r="AE69" s="246" t="n"/>
      <c r="AF69" s="246" t="n"/>
      <c r="AG69" s="246" t="n"/>
    </row>
    <row r="70" ht="14.25" customHeight="1" s="175">
      <c r="A70" s="267" t="inlineStr">
        <is>
          <t>Jon</t>
        </is>
      </c>
      <c r="B70" s="268" t="n">
        <v>2</v>
      </c>
      <c r="C70" s="269" t="inlineStr">
        <is>
          <t>Grady</t>
        </is>
      </c>
      <c r="D70" s="192" t="inlineStr">
        <is>
          <t>Discord</t>
        </is>
      </c>
      <c r="F70" s="329" t="n"/>
      <c r="J70" s="246" t="n"/>
      <c r="K70" s="246" t="n"/>
      <c r="L70" s="246" t="n"/>
      <c r="M70" s="260" t="n"/>
      <c r="N70" s="260" t="n"/>
      <c r="O70" s="260" t="n"/>
      <c r="P70" s="260" t="n"/>
      <c r="Q70" s="182" t="n"/>
      <c r="T70" s="246" t="n"/>
      <c r="U70" s="246" t="n"/>
      <c r="V70" s="246" t="n"/>
      <c r="W70" s="246" t="n"/>
      <c r="X70" s="246" t="n"/>
      <c r="Y70" s="246" t="n"/>
      <c r="Z70" s="246" t="n"/>
      <c r="AA70" s="246" t="n"/>
      <c r="AB70" s="246" t="n"/>
      <c r="AC70" s="246" t="n"/>
      <c r="AD70" s="246" t="n"/>
      <c r="AE70" s="246" t="n"/>
      <c r="AF70" s="246" t="n"/>
      <c r="AG70" s="246" t="n"/>
    </row>
    <row r="71" ht="14.25" customHeight="1" s="175">
      <c r="A71" s="267" t="inlineStr">
        <is>
          <t>Carter</t>
        </is>
      </c>
      <c r="B71" s="268" t="n">
        <v>2</v>
      </c>
      <c r="C71" s="269" t="inlineStr">
        <is>
          <t>Erick</t>
        </is>
      </c>
      <c r="D71" s="192" t="inlineStr">
        <is>
          <t>Discord</t>
        </is>
      </c>
      <c r="F71" s="329" t="n"/>
      <c r="J71" s="246" t="n"/>
      <c r="K71" s="246" t="n"/>
      <c r="L71" s="246" t="n"/>
      <c r="M71" s="260" t="n"/>
      <c r="N71" s="260" t="n"/>
      <c r="O71" s="260" t="n"/>
      <c r="P71" s="260" t="n"/>
      <c r="Q71" s="182" t="n"/>
      <c r="T71" s="246" t="n"/>
      <c r="U71" s="246" t="n"/>
      <c r="V71" s="246" t="n"/>
      <c r="W71" s="246" t="n"/>
      <c r="X71" s="246" t="n"/>
      <c r="Y71" s="246" t="n"/>
      <c r="Z71" s="246" t="n"/>
      <c r="AA71" s="246" t="n"/>
      <c r="AB71" s="246" t="n"/>
      <c r="AC71" s="246" t="n"/>
      <c r="AD71" s="246" t="n"/>
      <c r="AF71" s="246" t="n"/>
      <c r="AG71" s="246" t="n"/>
    </row>
    <row r="72" ht="14.25" customHeight="1" s="175">
      <c r="A72" s="267" t="inlineStr">
        <is>
          <t>Carter</t>
        </is>
      </c>
      <c r="B72" s="268" t="n">
        <v>1</v>
      </c>
      <c r="C72" s="269" t="inlineStr">
        <is>
          <t>Tyler</t>
        </is>
      </c>
      <c r="D72" s="192" t="inlineStr">
        <is>
          <t>Discord</t>
        </is>
      </c>
      <c r="F72" s="329" t="n"/>
      <c r="J72" s="246" t="n"/>
      <c r="K72" s="246" t="n"/>
      <c r="L72" s="246" t="n"/>
      <c r="M72" s="260" t="n"/>
      <c r="N72" s="260" t="n"/>
      <c r="O72" s="260" t="n"/>
      <c r="P72" s="260" t="n"/>
      <c r="Q72" s="182" t="n"/>
      <c r="T72" s="246" t="n"/>
      <c r="U72" s="246" t="n"/>
      <c r="V72" s="246" t="n"/>
      <c r="W72" s="246" t="n"/>
      <c r="X72" s="246" t="n"/>
      <c r="Y72" s="246" t="n"/>
      <c r="Z72" s="246" t="n"/>
      <c r="AA72" s="246" t="n"/>
      <c r="AB72" s="246" t="n"/>
      <c r="AC72" s="246" t="n"/>
      <c r="AD72" s="246" t="n"/>
      <c r="AE72" s="246" t="n"/>
      <c r="AF72" s="246" t="n"/>
      <c r="AG72" s="246" t="n"/>
    </row>
    <row r="73" ht="14.25" customHeight="1" s="175">
      <c r="A73" s="267" t="inlineStr">
        <is>
          <t>Tyler</t>
        </is>
      </c>
      <c r="B73" s="268" t="n">
        <v>1</v>
      </c>
      <c r="C73" s="269" t="inlineStr">
        <is>
          <t>Carter</t>
        </is>
      </c>
      <c r="D73" s="192" t="inlineStr">
        <is>
          <t>Discord</t>
        </is>
      </c>
      <c r="E73" s="173" t="n">
        <v>0</v>
      </c>
      <c r="F73" s="329" t="n"/>
      <c r="G73" s="318" t="inlineStr">
        <is>
          <t>Part:</t>
        </is>
      </c>
      <c r="H73" s="216" t="inlineStr">
        <is>
          <t>Deaths</t>
        </is>
      </c>
      <c r="J73" s="246" t="n"/>
      <c r="K73" s="246" t="n"/>
      <c r="L73" s="246" t="n"/>
      <c r="M73" s="260" t="n"/>
      <c r="N73" s="260" t="n"/>
      <c r="O73" s="260" t="n"/>
      <c r="Q73" s="318" t="inlineStr">
        <is>
          <t>Part:</t>
        </is>
      </c>
      <c r="R73" s="216" t="inlineStr">
        <is>
          <t>Death Points</t>
        </is>
      </c>
      <c r="T73" s="246" t="n"/>
      <c r="U73" s="246" t="n"/>
      <c r="V73" s="246" t="n"/>
      <c r="W73" s="246" t="n"/>
      <c r="X73" s="246" t="n"/>
      <c r="Y73" s="246" t="n"/>
      <c r="Z73" s="246" t="n"/>
      <c r="AA73" s="246" t="n"/>
      <c r="AB73" s="246" t="n"/>
      <c r="AC73" s="246" t="n"/>
      <c r="AD73" s="246" t="n"/>
      <c r="AE73" s="246" t="n"/>
      <c r="AF73" s="246" t="n"/>
      <c r="AG73" s="246" t="n"/>
    </row>
    <row r="74" ht="14.25" customHeight="1" s="175">
      <c r="A74" s="267" t="inlineStr">
        <is>
          <t>Anthony</t>
        </is>
      </c>
      <c r="B74" s="268" t="n">
        <v>2</v>
      </c>
      <c r="C74" s="269" t="inlineStr">
        <is>
          <t>Tyler</t>
        </is>
      </c>
      <c r="D74" s="192" t="inlineStr">
        <is>
          <t>Discord</t>
        </is>
      </c>
      <c r="F74" s="329" t="n"/>
      <c r="G74" s="318" t="inlineStr">
        <is>
          <t>Tenors</t>
        </is>
      </c>
      <c r="H74" s="291">
        <f>$I$17</f>
        <v/>
      </c>
      <c r="J74" s="246" t="n"/>
      <c r="K74" s="246" t="n"/>
      <c r="L74" s="246" t="n"/>
      <c r="M74" s="260" t="n"/>
      <c r="N74" s="260" t="n"/>
      <c r="O74" s="260" t="n"/>
      <c r="Q74" s="318" t="inlineStr">
        <is>
          <t>Tenors</t>
        </is>
      </c>
      <c r="R74" s="291">
        <f>$L$17</f>
        <v/>
      </c>
      <c r="T74" s="246" t="n"/>
      <c r="U74" s="246" t="n"/>
      <c r="V74" s="246" t="n"/>
      <c r="W74" s="246" t="n"/>
      <c r="X74" s="246" t="n"/>
      <c r="Y74" s="246" t="n"/>
      <c r="Z74" s="246" t="n"/>
      <c r="AA74" s="246" t="n"/>
      <c r="AB74" s="246" t="n"/>
      <c r="AC74" s="246" t="n"/>
      <c r="AD74" s="246" t="n"/>
      <c r="AE74" s="246" t="n"/>
      <c r="AF74" s="246" t="n"/>
      <c r="AG74" s="246" t="n"/>
    </row>
    <row r="75" ht="14.25" customHeight="1" s="175">
      <c r="A75" s="267" t="inlineStr">
        <is>
          <t>Peter</t>
        </is>
      </c>
      <c r="B75" s="268" t="n">
        <v>2</v>
      </c>
      <c r="C75" s="269" t="inlineStr">
        <is>
          <t>Seth</t>
        </is>
      </c>
      <c r="D75" s="192" t="inlineStr">
        <is>
          <t>Discord</t>
        </is>
      </c>
      <c r="F75" s="329" t="n"/>
      <c r="G75" s="318" t="inlineStr">
        <is>
          <t>Baris</t>
        </is>
      </c>
      <c r="H75" s="291">
        <f>$I$19</f>
        <v/>
      </c>
      <c r="J75" s="246" t="n"/>
      <c r="K75" s="246" t="n"/>
      <c r="L75" s="246" t="n"/>
      <c r="M75" s="260" t="n"/>
      <c r="N75" s="260" t="n"/>
      <c r="O75" s="260" t="n"/>
      <c r="Q75" s="318" t="inlineStr">
        <is>
          <t>Baris</t>
        </is>
      </c>
      <c r="R75" s="291">
        <f>$L$19</f>
        <v/>
      </c>
      <c r="T75" s="246" t="n"/>
      <c r="U75" s="246" t="n"/>
      <c r="V75" s="246" t="n"/>
      <c r="W75" s="246" t="n"/>
      <c r="X75" s="246" t="n"/>
      <c r="Y75" s="246" t="n"/>
      <c r="Z75" s="246" t="n"/>
      <c r="AA75" s="246" t="n"/>
      <c r="AB75" s="246" t="n"/>
      <c r="AC75" s="246" t="n"/>
      <c r="AD75" s="246" t="n"/>
      <c r="AE75" s="246" t="n"/>
      <c r="AF75" s="246" t="n"/>
      <c r="AG75" s="246" t="n"/>
    </row>
    <row r="76" ht="14.25" customHeight="1" s="175">
      <c r="A76" s="267" t="inlineStr">
        <is>
          <t>Peter</t>
        </is>
      </c>
      <c r="B76" s="268" t="n">
        <v>2</v>
      </c>
      <c r="C76" s="269" t="inlineStr">
        <is>
          <t>Cooper</t>
        </is>
      </c>
      <c r="D76" s="192" t="inlineStr">
        <is>
          <t>Discord</t>
        </is>
      </c>
      <c r="F76" s="329" t="n"/>
      <c r="G76" s="318" t="inlineStr">
        <is>
          <t>Basses</t>
        </is>
      </c>
      <c r="H76" s="291">
        <f>$I$20</f>
        <v/>
      </c>
      <c r="J76" s="246" t="n"/>
      <c r="K76" s="246" t="n"/>
      <c r="L76" s="246" t="n"/>
      <c r="M76" s="260" t="n"/>
      <c r="N76" s="260" t="n"/>
      <c r="O76" s="260" t="n"/>
      <c r="Q76" s="318" t="inlineStr">
        <is>
          <t>Basses</t>
        </is>
      </c>
      <c r="R76" s="291">
        <f>$L$20</f>
        <v/>
      </c>
      <c r="T76" s="246" t="n"/>
      <c r="U76" s="246" t="n"/>
      <c r="V76" s="246" t="n"/>
      <c r="W76" s="246" t="n"/>
      <c r="X76" s="246" t="n"/>
      <c r="Y76" s="246" t="n"/>
      <c r="Z76" s="246" t="n"/>
      <c r="AA76" s="246" t="n"/>
      <c r="AB76" s="246" t="n"/>
      <c r="AC76" s="246" t="n"/>
      <c r="AD76" s="246" t="n"/>
      <c r="AE76" s="246" t="n"/>
      <c r="AF76" s="246" t="n"/>
      <c r="AG76" s="246" t="n"/>
    </row>
    <row r="77" ht="14.25" customHeight="1" s="175">
      <c r="A77" s="267" t="inlineStr">
        <is>
          <t>Cooper</t>
        </is>
      </c>
      <c r="B77" s="268" t="n">
        <v>1</v>
      </c>
      <c r="C77" s="269" t="inlineStr">
        <is>
          <t>David</t>
        </is>
      </c>
      <c r="D77" s="192" t="inlineStr">
        <is>
          <t>Discord</t>
        </is>
      </c>
      <c r="F77" s="329" t="n"/>
      <c r="G77" s="318" t="inlineStr">
        <is>
          <t>Leads</t>
        </is>
      </c>
      <c r="H77" s="291">
        <f>$I$18</f>
        <v/>
      </c>
      <c r="J77" s="246" t="n"/>
      <c r="K77" s="246" t="n"/>
      <c r="L77" s="246" t="n"/>
      <c r="M77" s="260" t="n"/>
      <c r="N77" s="260" t="n"/>
      <c r="O77" s="260" t="n"/>
      <c r="Q77" s="318" t="inlineStr">
        <is>
          <t>Leads</t>
        </is>
      </c>
      <c r="R77" s="291">
        <f>$L$18</f>
        <v/>
      </c>
      <c r="T77" s="246" t="n"/>
      <c r="U77" s="246" t="n"/>
      <c r="V77" s="246" t="n"/>
      <c r="W77" s="246" t="n"/>
      <c r="X77" s="246" t="n"/>
      <c r="Y77" s="246" t="n"/>
      <c r="Z77" s="246" t="n"/>
      <c r="AA77" s="246" t="n"/>
      <c r="AB77" s="246" t="n"/>
      <c r="AC77" s="246" t="n"/>
      <c r="AD77" s="246" t="n"/>
      <c r="AE77" s="246" t="n"/>
      <c r="AF77" s="246" t="n"/>
      <c r="AG77" s="246" t="n"/>
    </row>
    <row r="78" ht="14.25" customHeight="1" s="175">
      <c r="A78" s="267" t="inlineStr">
        <is>
          <t>Erick</t>
        </is>
      </c>
      <c r="B78" s="268" t="n">
        <v>2</v>
      </c>
      <c r="C78" s="269" t="inlineStr">
        <is>
          <t>Carter</t>
        </is>
      </c>
      <c r="D78" s="192" t="inlineStr">
        <is>
          <t>Discord</t>
        </is>
      </c>
      <c r="E78" s="173" t="n">
        <v>0</v>
      </c>
      <c r="F78" s="329" t="n"/>
      <c r="J78" s="246" t="n"/>
      <c r="K78" s="246" t="n"/>
      <c r="L78" s="246" t="n"/>
      <c r="M78" s="260" t="n"/>
      <c r="N78" s="260" t="n"/>
      <c r="O78" s="260" t="n"/>
      <c r="P78" s="260" t="n"/>
      <c r="Q78" s="182" t="n"/>
      <c r="T78" s="246" t="n"/>
      <c r="U78" s="246" t="n"/>
      <c r="V78" s="246" t="n"/>
      <c r="W78" s="246" t="n"/>
      <c r="X78" s="246" t="n"/>
      <c r="Y78" s="246" t="n"/>
      <c r="Z78" s="246" t="n"/>
      <c r="AA78" s="246" t="n"/>
      <c r="AB78" s="246" t="n"/>
      <c r="AC78" s="246" t="n"/>
      <c r="AD78" s="246" t="n"/>
      <c r="AE78" s="246" t="n"/>
      <c r="AF78" s="246" t="n"/>
      <c r="AG78" s="246" t="n"/>
    </row>
    <row r="79" ht="14.25" customHeight="1" s="175">
      <c r="A79" s="267" t="inlineStr">
        <is>
          <t>Carter</t>
        </is>
      </c>
      <c r="B79" s="268" t="n">
        <v>1</v>
      </c>
      <c r="C79" s="269" t="inlineStr">
        <is>
          <t>Erick</t>
        </is>
      </c>
      <c r="D79" s="192" t="inlineStr">
        <is>
          <t>Discord</t>
        </is>
      </c>
      <c r="F79" s="329" t="n"/>
      <c r="J79" s="246" t="n"/>
      <c r="K79" s="246" t="n"/>
      <c r="L79" s="246" t="n"/>
      <c r="M79" s="260" t="n"/>
      <c r="N79" s="260" t="n"/>
      <c r="O79" s="260" t="n"/>
      <c r="P79" s="260" t="n"/>
      <c r="Q79" s="182" t="n"/>
      <c r="T79" s="246" t="n"/>
      <c r="U79" s="246" t="n"/>
      <c r="V79" s="246" t="n"/>
      <c r="W79" s="246" t="n"/>
      <c r="X79" s="246" t="n"/>
      <c r="Y79" s="246" t="n"/>
      <c r="Z79" s="246" t="n"/>
      <c r="AA79" s="246" t="n"/>
      <c r="AB79" s="246" t="n"/>
      <c r="AC79" s="246" t="n"/>
      <c r="AD79" s="246" t="n"/>
      <c r="AE79" s="246" t="n"/>
      <c r="AF79" s="246" t="n"/>
      <c r="AG79" s="246" t="n"/>
    </row>
    <row r="80" ht="14.25" customHeight="1" s="175">
      <c r="A80" s="267" t="inlineStr">
        <is>
          <t>Carter</t>
        </is>
      </c>
      <c r="B80" s="268" t="n">
        <v>2</v>
      </c>
      <c r="C80" s="269" t="inlineStr">
        <is>
          <t>Erick</t>
        </is>
      </c>
      <c r="D80" s="192" t="inlineStr">
        <is>
          <t>Discord</t>
        </is>
      </c>
      <c r="F80" s="329" t="n"/>
      <c r="J80" s="246" t="n"/>
      <c r="K80" s="246" t="n"/>
      <c r="L80" s="246" t="n"/>
      <c r="M80" s="260" t="n"/>
      <c r="N80" s="260" t="n"/>
      <c r="O80" s="260" t="n"/>
      <c r="P80" s="260" t="n"/>
      <c r="Q80" s="182" t="n"/>
      <c r="T80" s="246" t="n"/>
      <c r="U80" s="246" t="n"/>
      <c r="V80" s="246" t="n"/>
      <c r="W80" s="246" t="n"/>
      <c r="X80" s="246" t="n"/>
      <c r="Y80" s="246" t="n"/>
      <c r="Z80" s="246" t="n"/>
      <c r="AA80" s="246" t="n"/>
      <c r="AB80" s="246" t="n"/>
      <c r="AC80" s="246" t="n"/>
      <c r="AD80" s="246" t="n"/>
      <c r="AE80" s="246" t="n"/>
      <c r="AF80" s="246" t="n"/>
      <c r="AG80" s="246" t="n"/>
    </row>
    <row r="81" ht="14.25" customHeight="1" s="175">
      <c r="A81" s="267" t="inlineStr">
        <is>
          <t>Grady</t>
        </is>
      </c>
      <c r="B81" s="268" t="n">
        <v>2</v>
      </c>
      <c r="C81" s="269" t="inlineStr">
        <is>
          <t>Maxine</t>
        </is>
      </c>
      <c r="D81" s="192" t="inlineStr">
        <is>
          <t>Discord</t>
        </is>
      </c>
      <c r="F81" s="329" t="n"/>
      <c r="J81" s="246" t="n"/>
      <c r="K81" s="246" t="n"/>
      <c r="L81" s="246" t="n"/>
      <c r="M81" s="260" t="n"/>
      <c r="N81" s="260" t="n"/>
      <c r="O81" s="260" t="n"/>
      <c r="P81" s="260" t="n"/>
      <c r="Q81" s="182" t="n"/>
      <c r="T81" s="246" t="n"/>
      <c r="U81" s="246" t="n"/>
      <c r="V81" s="246" t="n"/>
      <c r="W81" s="246" t="n"/>
      <c r="X81" s="246" t="n"/>
      <c r="Y81" s="246" t="n"/>
      <c r="Z81" s="246" t="n"/>
      <c r="AA81" s="246" t="n"/>
      <c r="AB81" s="246" t="n"/>
      <c r="AC81" s="246" t="n"/>
      <c r="AD81" s="246" t="n"/>
      <c r="AE81" s="246" t="n"/>
      <c r="AF81" s="246" t="n"/>
      <c r="AG81" s="246" t="n"/>
    </row>
    <row r="82" ht="14.25" customHeight="1" s="175">
      <c r="A82" s="267" t="inlineStr">
        <is>
          <t>Carter</t>
        </is>
      </c>
      <c r="B82" s="268" t="n">
        <v>1</v>
      </c>
      <c r="C82" s="269" t="inlineStr">
        <is>
          <t>Peter</t>
        </is>
      </c>
      <c r="D82" s="192" t="inlineStr">
        <is>
          <t>Discord</t>
        </is>
      </c>
      <c r="F82" s="329" t="n"/>
      <c r="G82" s="318" t="inlineStr">
        <is>
          <t>Part:</t>
        </is>
      </c>
      <c r="H82" s="216" t="inlineStr">
        <is>
          <t>KDR</t>
        </is>
      </c>
      <c r="J82" s="246" t="n"/>
      <c r="K82" s="246" t="n"/>
      <c r="L82" s="246" t="n"/>
      <c r="M82" s="260" t="n"/>
      <c r="N82" s="260" t="n"/>
      <c r="O82" s="260" t="n"/>
      <c r="Q82" s="318" t="inlineStr">
        <is>
          <t>Part:</t>
        </is>
      </c>
      <c r="R82" s="216" t="inlineStr">
        <is>
          <t>KpDpR</t>
        </is>
      </c>
      <c r="T82" s="246" t="n"/>
      <c r="U82" s="246" t="n"/>
      <c r="V82" s="246" t="n"/>
      <c r="W82" s="246" t="n"/>
      <c r="X82" s="246" t="n"/>
      <c r="Y82" s="246" t="n"/>
      <c r="Z82" s="246" t="n"/>
      <c r="AA82" s="246" t="n"/>
      <c r="AB82" s="246" t="n"/>
      <c r="AC82" s="246" t="n"/>
      <c r="AD82" s="246" t="n"/>
      <c r="AE82" s="246" t="n"/>
      <c r="AF82" s="246" t="n"/>
      <c r="AG82" s="246" t="n"/>
    </row>
    <row r="83" ht="14.25" customHeight="1" s="175">
      <c r="A83" s="267" t="inlineStr">
        <is>
          <t>Peter</t>
        </is>
      </c>
      <c r="B83" s="268" t="n">
        <v>1</v>
      </c>
      <c r="C83" s="269" t="inlineStr">
        <is>
          <t>Carter</t>
        </is>
      </c>
      <c r="D83" s="192" t="inlineStr">
        <is>
          <t>Discord</t>
        </is>
      </c>
      <c r="E83" s="173" t="n">
        <v>0</v>
      </c>
      <c r="F83" s="329" t="n"/>
      <c r="G83" s="318" t="inlineStr">
        <is>
          <t>Basses</t>
        </is>
      </c>
      <c r="H83" s="322">
        <f>$J$20</f>
        <v/>
      </c>
      <c r="J83" s="246" t="n"/>
      <c r="K83" s="246" t="n"/>
      <c r="L83" s="246" t="n"/>
      <c r="M83" s="260" t="n"/>
      <c r="N83" s="260" t="n"/>
      <c r="O83" s="260" t="n"/>
      <c r="Q83" s="318" t="inlineStr">
        <is>
          <t>Baris</t>
        </is>
      </c>
      <c r="R83" s="322">
        <f>$M$19</f>
        <v/>
      </c>
      <c r="T83" s="246" t="n"/>
      <c r="U83" s="246" t="n"/>
      <c r="V83" s="246" t="n"/>
      <c r="W83" s="246" t="n"/>
      <c r="X83" s="246" t="n"/>
      <c r="Y83" s="246" t="n"/>
      <c r="Z83" s="246" t="n"/>
      <c r="AA83" s="246" t="n"/>
      <c r="AB83" s="246" t="n"/>
      <c r="AC83" s="246" t="n"/>
      <c r="AD83" s="246" t="n"/>
      <c r="AE83" s="246" t="n"/>
      <c r="AF83" s="246" t="n"/>
      <c r="AG83" s="246" t="n"/>
    </row>
    <row r="84" ht="14.25" customHeight="1" s="175">
      <c r="A84" s="267" t="inlineStr">
        <is>
          <t>Jon</t>
        </is>
      </c>
      <c r="B84" s="268" t="n">
        <v>2</v>
      </c>
      <c r="C84" s="269" t="inlineStr">
        <is>
          <t>Anthony</t>
        </is>
      </c>
      <c r="D84" s="192" t="inlineStr">
        <is>
          <t>Discord</t>
        </is>
      </c>
      <c r="F84" s="329" t="n"/>
      <c r="G84" s="318" t="inlineStr">
        <is>
          <t>Baris</t>
        </is>
      </c>
      <c r="H84" s="322">
        <f>$J$19</f>
        <v/>
      </c>
      <c r="J84" s="246" t="n"/>
      <c r="K84" s="246" t="n"/>
      <c r="L84" s="246" t="n"/>
      <c r="M84" s="260" t="n"/>
      <c r="N84" s="260" t="n"/>
      <c r="O84" s="260" t="n"/>
      <c r="Q84" s="318" t="inlineStr">
        <is>
          <t>Basses</t>
        </is>
      </c>
      <c r="R84" s="322">
        <f>$M$20</f>
        <v/>
      </c>
      <c r="T84" s="246" t="n"/>
      <c r="U84" s="246" t="n"/>
      <c r="V84" s="246" t="n"/>
      <c r="W84" s="246" t="n"/>
      <c r="X84" s="246" t="n"/>
      <c r="Y84" s="246" t="n"/>
      <c r="Z84" s="246" t="n"/>
      <c r="AA84" s="246" t="n"/>
      <c r="AB84" s="246" t="n"/>
      <c r="AC84" s="246" t="n"/>
      <c r="AD84" s="246" t="n"/>
      <c r="AE84" s="246" t="n"/>
      <c r="AF84" s="246" t="n"/>
      <c r="AG84" s="246" t="n"/>
    </row>
    <row r="85" ht="14.25" customHeight="1" s="175">
      <c r="A85" s="267" t="inlineStr">
        <is>
          <t>Sam</t>
        </is>
      </c>
      <c r="B85" s="268" t="n">
        <v>2</v>
      </c>
      <c r="C85" s="269" t="inlineStr">
        <is>
          <t>Carter</t>
        </is>
      </c>
      <c r="D85" s="192" t="inlineStr">
        <is>
          <t>Discord</t>
        </is>
      </c>
      <c r="E85" s="173" t="n">
        <v>1</v>
      </c>
      <c r="F85" s="329" t="n"/>
      <c r="G85" s="318" t="inlineStr">
        <is>
          <t>Leads</t>
        </is>
      </c>
      <c r="H85" s="322">
        <f>$J$18</f>
        <v/>
      </c>
      <c r="J85" s="246" t="n"/>
      <c r="K85" s="246" t="n"/>
      <c r="L85" s="246" t="n"/>
      <c r="M85" s="260" t="n"/>
      <c r="N85" s="260" t="n"/>
      <c r="O85" s="260" t="n"/>
      <c r="Q85" s="318" t="inlineStr">
        <is>
          <t>Leads</t>
        </is>
      </c>
      <c r="R85" s="322">
        <f>$M$18</f>
        <v/>
      </c>
      <c r="T85" s="246" t="n"/>
      <c r="U85" s="246" t="n"/>
      <c r="V85" s="246" t="n"/>
      <c r="W85" s="246" t="n"/>
      <c r="X85" s="246" t="n"/>
      <c r="Y85" s="246" t="n"/>
      <c r="Z85" s="246" t="n"/>
      <c r="AA85" s="246" t="n"/>
      <c r="AB85" s="246" t="n"/>
      <c r="AC85" s="246" t="n"/>
      <c r="AD85" s="246" t="n"/>
      <c r="AE85" s="246" t="n"/>
      <c r="AF85" s="246" t="n"/>
      <c r="AG85" s="246" t="n"/>
      <c r="AJ85" s="246" t="n"/>
      <c r="AK85" s="260" t="n"/>
    </row>
    <row r="86" ht="14.25" customHeight="1" s="175">
      <c r="A86" s="267" t="inlineStr">
        <is>
          <t>Anthony</t>
        </is>
      </c>
      <c r="B86" s="268" t="n">
        <v>1</v>
      </c>
      <c r="C86" s="269" t="inlineStr">
        <is>
          <t>Sam</t>
        </is>
      </c>
      <c r="D86" s="192" t="inlineStr">
        <is>
          <t>Discord</t>
        </is>
      </c>
      <c r="F86" s="329" t="n"/>
      <c r="G86" s="318" t="inlineStr">
        <is>
          <t>Tenors</t>
        </is>
      </c>
      <c r="H86" s="322">
        <f>$J$17</f>
        <v/>
      </c>
      <c r="J86" s="246" t="n"/>
      <c r="K86" s="246" t="n"/>
      <c r="L86" s="246" t="n"/>
      <c r="M86" s="260" t="n"/>
      <c r="N86" s="260" t="n"/>
      <c r="O86" s="260" t="n"/>
      <c r="Q86" s="318" t="inlineStr">
        <is>
          <t>Tenors</t>
        </is>
      </c>
      <c r="R86" s="322">
        <f>$M$17</f>
        <v/>
      </c>
      <c r="T86" s="246" t="n"/>
      <c r="U86" s="246" t="n"/>
      <c r="V86" s="246" t="n"/>
      <c r="W86" s="246" t="n"/>
      <c r="X86" s="246" t="n"/>
      <c r="Y86" s="246" t="n"/>
      <c r="Z86" s="246" t="n"/>
      <c r="AA86" s="246" t="n"/>
      <c r="AB86" s="246" t="n"/>
      <c r="AC86" s="246" t="n"/>
      <c r="AD86" s="246" t="n"/>
      <c r="AE86" s="246" t="n"/>
      <c r="AF86" s="246" t="n"/>
      <c r="AG86" s="246" t="n"/>
      <c r="AJ86" s="246" t="n"/>
      <c r="AK86" s="260" t="n"/>
    </row>
    <row r="87" ht="14.25" customHeight="1" s="175">
      <c r="A87" s="267" t="inlineStr">
        <is>
          <t>Sam</t>
        </is>
      </c>
      <c r="B87" s="268" t="n">
        <v>1</v>
      </c>
      <c r="C87" s="269" t="inlineStr">
        <is>
          <t>Anthony</t>
        </is>
      </c>
      <c r="D87" s="192" t="inlineStr">
        <is>
          <t>Discord</t>
        </is>
      </c>
      <c r="F87" s="329" t="n"/>
      <c r="J87" s="246" t="n"/>
      <c r="K87" s="246" t="n"/>
      <c r="L87" s="246" t="n"/>
      <c r="M87" s="260" t="n"/>
      <c r="N87" s="260" t="n"/>
      <c r="O87" s="260" t="n"/>
      <c r="P87" s="260" t="n"/>
      <c r="Q87" s="182" t="n"/>
      <c r="T87" s="246" t="n"/>
      <c r="U87" s="246" t="n"/>
      <c r="V87" s="246" t="n"/>
      <c r="W87" s="246" t="n"/>
      <c r="X87" s="246" t="n"/>
      <c r="Y87" s="246" t="n"/>
      <c r="Z87" s="246" t="n"/>
      <c r="AA87" s="246" t="n"/>
      <c r="AB87" s="246" t="n"/>
      <c r="AC87" s="246" t="n"/>
      <c r="AD87" s="246" t="n"/>
      <c r="AE87" s="246" t="n"/>
      <c r="AF87" s="246" t="n"/>
      <c r="AG87" s="246" t="n"/>
      <c r="AJ87" s="246" t="n"/>
      <c r="AK87" s="260" t="n"/>
    </row>
    <row r="88" ht="14.25" customHeight="1" s="175">
      <c r="A88" s="267" t="inlineStr">
        <is>
          <t>Sam</t>
        </is>
      </c>
      <c r="B88" s="268" t="n">
        <v>2</v>
      </c>
      <c r="C88" s="269" t="inlineStr">
        <is>
          <t>Erick</t>
        </is>
      </c>
      <c r="D88" s="192" t="inlineStr">
        <is>
          <t>Discord</t>
        </is>
      </c>
      <c r="F88" s="329" t="n"/>
      <c r="J88" s="246" t="n"/>
      <c r="K88" s="246" t="n"/>
      <c r="L88" s="246" t="n"/>
      <c r="M88" s="260" t="n"/>
      <c r="N88" s="260" t="n"/>
      <c r="O88" s="260" t="n"/>
      <c r="P88" s="260" t="n"/>
      <c r="Q88" s="182" t="n"/>
      <c r="T88" s="246" t="n"/>
      <c r="U88" s="246" t="n"/>
      <c r="V88" s="246" t="n"/>
      <c r="W88" s="246" t="n"/>
      <c r="X88" s="246" t="n"/>
      <c r="Y88" s="246" t="n"/>
      <c r="Z88" s="246" t="n"/>
      <c r="AA88" s="246" t="n"/>
      <c r="AB88" s="246" t="n"/>
      <c r="AC88" s="246" t="n"/>
      <c r="AD88" s="246" t="n"/>
      <c r="AE88" s="246" t="n"/>
      <c r="AF88" s="246" t="n"/>
      <c r="AG88" s="246" t="n"/>
      <c r="AJ88" s="246" t="n"/>
      <c r="AK88" s="260" t="n"/>
    </row>
    <row r="89" ht="14.25" customHeight="1" s="175">
      <c r="A89" s="267" t="inlineStr">
        <is>
          <t>Erick</t>
        </is>
      </c>
      <c r="B89" s="268" t="n">
        <v>1</v>
      </c>
      <c r="C89" s="269" t="inlineStr">
        <is>
          <t>Sam</t>
        </is>
      </c>
      <c r="D89" s="192" t="inlineStr">
        <is>
          <t>Discord</t>
        </is>
      </c>
      <c r="F89" s="329" t="n"/>
      <c r="J89" s="246" t="n"/>
      <c r="K89" s="246" t="n"/>
      <c r="L89" s="246" t="n"/>
      <c r="M89" s="260" t="n"/>
      <c r="N89" s="260" t="n"/>
      <c r="O89" s="260" t="n"/>
      <c r="P89" s="260" t="n"/>
      <c r="Q89" s="182" t="n"/>
      <c r="T89" s="246" t="n"/>
      <c r="U89" s="246" t="n"/>
      <c r="V89" s="246" t="n"/>
      <c r="W89" s="246" t="n"/>
      <c r="X89" s="246" t="n"/>
      <c r="Y89" s="246" t="n"/>
      <c r="Z89" s="246" t="n"/>
      <c r="AA89" s="246" t="n"/>
      <c r="AB89" s="246" t="n"/>
      <c r="AC89" s="246" t="n"/>
      <c r="AD89" s="246" t="n"/>
      <c r="AE89" s="246" t="n"/>
      <c r="AF89" s="246" t="n"/>
      <c r="AG89" s="246" t="n"/>
      <c r="AJ89" s="246" t="n"/>
      <c r="AK89" s="260" t="n"/>
    </row>
    <row r="90" ht="14.25" customHeight="1" s="175">
      <c r="A90" s="267" t="inlineStr">
        <is>
          <t>Erick</t>
        </is>
      </c>
      <c r="B90" s="268" t="n">
        <v>2</v>
      </c>
      <c r="C90" s="269" t="inlineStr">
        <is>
          <t>Carter</t>
        </is>
      </c>
      <c r="D90" s="192" t="inlineStr">
        <is>
          <t>Discord</t>
        </is>
      </c>
      <c r="E90" s="173" t="n">
        <v>1</v>
      </c>
      <c r="F90" s="329" t="n"/>
      <c r="J90" s="246" t="n"/>
      <c r="K90" s="246" t="n"/>
      <c r="L90" s="246" t="n"/>
      <c r="M90" s="260" t="n"/>
      <c r="N90" s="260" t="n"/>
      <c r="O90" s="260" t="n"/>
      <c r="P90" s="260" t="n"/>
      <c r="Q90" s="182" t="n"/>
      <c r="T90" s="246" t="n"/>
      <c r="U90" s="246" t="n"/>
      <c r="V90" s="246" t="n"/>
      <c r="W90" s="246" t="n"/>
      <c r="X90" s="246" t="n"/>
      <c r="Y90" s="246" t="n"/>
      <c r="Z90" s="246" t="n"/>
      <c r="AA90" s="246" t="n"/>
      <c r="AB90" s="246" t="n"/>
      <c r="AC90" s="246" t="n"/>
      <c r="AD90" s="246" t="n"/>
      <c r="AE90" s="246" t="n"/>
      <c r="AF90" s="246" t="n"/>
      <c r="AG90" s="246" t="n"/>
      <c r="AJ90" s="246" t="n"/>
      <c r="AK90" s="260" t="n"/>
    </row>
    <row r="91" ht="14.25" customHeight="1" s="175">
      <c r="A91" s="267" t="inlineStr">
        <is>
          <t>Sam</t>
        </is>
      </c>
      <c r="B91" s="268" t="n">
        <v>2</v>
      </c>
      <c r="C91" s="269" t="inlineStr">
        <is>
          <t>Tyler</t>
        </is>
      </c>
      <c r="D91" s="192" t="inlineStr">
        <is>
          <t>Discord</t>
        </is>
      </c>
      <c r="F91" s="329" t="n"/>
      <c r="J91" s="246" t="n"/>
      <c r="K91" s="246" t="n"/>
      <c r="L91" s="246" t="n"/>
      <c r="M91" s="260" t="n"/>
      <c r="N91" s="260" t="n"/>
      <c r="O91" s="260" t="n"/>
      <c r="P91" s="260" t="n"/>
      <c r="Q91" s="182" t="n"/>
      <c r="T91" s="246" t="n"/>
      <c r="U91" s="246" t="n"/>
      <c r="V91" s="246" t="n"/>
      <c r="W91" s="246" t="n"/>
      <c r="X91" s="246" t="n"/>
      <c r="Y91" s="246" t="n"/>
      <c r="Z91" s="246" t="n"/>
      <c r="AA91" s="246" t="n"/>
      <c r="AB91" s="246" t="n"/>
      <c r="AC91" s="246" t="n"/>
      <c r="AD91" s="246" t="n"/>
      <c r="AE91" s="246" t="n"/>
      <c r="AF91" s="246" t="n"/>
      <c r="AG91" s="246" t="n"/>
      <c r="AJ91" s="246" t="n"/>
      <c r="AK91" s="260" t="n"/>
    </row>
    <row r="92" ht="14.25" customHeight="1" s="175">
      <c r="A92" s="267" t="inlineStr">
        <is>
          <t>Cooper</t>
        </is>
      </c>
      <c r="B92" s="268" t="n">
        <v>2</v>
      </c>
      <c r="C92" s="269" t="inlineStr">
        <is>
          <t>Sam</t>
        </is>
      </c>
      <c r="D92" s="192" t="inlineStr">
        <is>
          <t>Discord</t>
        </is>
      </c>
      <c r="F92" s="329" t="n"/>
      <c r="J92" s="246" t="n"/>
      <c r="K92" s="246" t="n"/>
      <c r="L92" s="246" t="n"/>
      <c r="M92" s="260" t="n"/>
      <c r="N92" s="260" t="n"/>
      <c r="O92" s="260" t="n"/>
      <c r="P92" s="260" t="n"/>
      <c r="Q92" s="182" t="n"/>
      <c r="T92" s="246" t="n"/>
      <c r="U92" s="246" t="n"/>
      <c r="V92" s="246" t="n"/>
      <c r="W92" s="246" t="n"/>
      <c r="X92" s="246" t="n"/>
      <c r="Y92" s="246" t="n"/>
      <c r="Z92" s="246" t="n"/>
      <c r="AA92" s="246" t="n"/>
      <c r="AB92" s="246" t="n"/>
      <c r="AC92" s="246" t="n"/>
      <c r="AD92" s="246" t="n"/>
      <c r="AE92" s="246" t="n"/>
      <c r="AF92" s="246" t="n"/>
      <c r="AG92" s="246" t="n"/>
      <c r="AJ92" s="246" t="n"/>
      <c r="AK92" s="260" t="n"/>
    </row>
    <row r="93" ht="14.25" customHeight="1" s="175">
      <c r="A93" s="267" t="inlineStr">
        <is>
          <t>Sam</t>
        </is>
      </c>
      <c r="B93" s="268" t="n">
        <v>2</v>
      </c>
      <c r="C93" s="269" t="inlineStr">
        <is>
          <t>Tyler</t>
        </is>
      </c>
      <c r="D93" s="192" t="inlineStr">
        <is>
          <t>Discord</t>
        </is>
      </c>
      <c r="F93" s="329" t="n"/>
      <c r="J93" s="246" t="n"/>
      <c r="K93" s="246" t="n"/>
      <c r="L93" s="246" t="n"/>
      <c r="M93" s="260" t="n"/>
      <c r="N93" s="260" t="n"/>
      <c r="O93" s="260" t="n"/>
      <c r="P93" s="260" t="n"/>
      <c r="Q93" s="182" t="n"/>
      <c r="T93" s="246" t="n"/>
      <c r="U93" s="246" t="n"/>
      <c r="V93" s="246" t="n"/>
      <c r="W93" s="246" t="n"/>
      <c r="X93" s="246" t="n"/>
      <c r="Y93" s="246" t="n"/>
      <c r="Z93" s="246" t="n"/>
      <c r="AA93" s="246" t="n"/>
      <c r="AB93" s="246" t="n"/>
      <c r="AC93" s="246" t="n"/>
      <c r="AD93" s="246" t="n"/>
      <c r="AE93" s="246" t="n"/>
      <c r="AF93" s="246" t="n"/>
      <c r="AG93" s="246" t="n"/>
      <c r="AJ93" s="246" t="n"/>
      <c r="AK93" s="260" t="n"/>
    </row>
    <row r="94" ht="14.25" customHeight="1" s="175">
      <c r="A94" s="267" t="inlineStr">
        <is>
          <t>Erick</t>
        </is>
      </c>
      <c r="B94" s="268" t="n">
        <v>1</v>
      </c>
      <c r="C94" s="269" t="inlineStr">
        <is>
          <t>Grady</t>
        </is>
      </c>
      <c r="D94" s="192" t="inlineStr">
        <is>
          <t>Discord</t>
        </is>
      </c>
      <c r="F94" s="329" t="n"/>
      <c r="J94" s="246" t="n"/>
      <c r="K94" s="246" t="n"/>
      <c r="L94" s="246" t="n"/>
      <c r="M94" s="260" t="n"/>
      <c r="N94" s="260" t="n"/>
      <c r="O94" s="260" t="n"/>
      <c r="P94" s="260" t="n"/>
      <c r="Q94" s="182" t="n"/>
      <c r="T94" s="246" t="n"/>
      <c r="U94" s="246" t="n"/>
      <c r="V94" s="246" t="n"/>
      <c r="W94" s="246" t="n"/>
      <c r="X94" s="246" t="n"/>
      <c r="Y94" s="246" t="n"/>
      <c r="Z94" s="246" t="n"/>
      <c r="AA94" s="246" t="n"/>
      <c r="AB94" s="246" t="n"/>
      <c r="AC94" s="246" t="n"/>
      <c r="AD94" s="246" t="n"/>
      <c r="AE94" s="246" t="n"/>
      <c r="AF94" s="246" t="n"/>
      <c r="AG94" s="246" t="n"/>
      <c r="AJ94" s="246" t="n"/>
      <c r="AK94" s="260" t="n"/>
    </row>
    <row r="95" ht="14.25" customHeight="1" s="175">
      <c r="A95" s="267" t="inlineStr">
        <is>
          <t>Anthony</t>
        </is>
      </c>
      <c r="B95" s="268" t="n">
        <v>2</v>
      </c>
      <c r="C95" s="269" t="inlineStr">
        <is>
          <t>Cooper</t>
        </is>
      </c>
      <c r="D95" s="192" t="inlineStr">
        <is>
          <t>Discord</t>
        </is>
      </c>
      <c r="F95" s="329" t="n"/>
      <c r="J95" s="246" t="n"/>
      <c r="K95" s="246" t="n"/>
      <c r="L95" s="246" t="n"/>
      <c r="M95" s="260" t="n"/>
      <c r="N95" s="260" t="n"/>
      <c r="O95" s="260" t="n"/>
      <c r="P95" s="260" t="n"/>
      <c r="Q95" s="182" t="n"/>
      <c r="T95" s="246" t="n"/>
      <c r="U95" s="246" t="n"/>
      <c r="V95" s="246" t="n"/>
      <c r="W95" s="246" t="n"/>
      <c r="X95" s="246" t="n"/>
      <c r="Y95" s="246" t="n"/>
      <c r="Z95" s="246" t="n"/>
      <c r="AA95" s="246" t="n"/>
      <c r="AB95" s="246" t="n"/>
      <c r="AC95" s="246" t="n"/>
      <c r="AD95" s="246" t="n"/>
      <c r="AE95" s="246" t="n"/>
      <c r="AF95" s="246" t="n"/>
      <c r="AG95" s="246" t="n"/>
      <c r="AJ95" s="246" t="n"/>
      <c r="AK95" s="260" t="n"/>
    </row>
    <row r="96" ht="14.25" customHeight="1" s="175">
      <c r="A96" s="267" t="inlineStr">
        <is>
          <t>Maxine</t>
        </is>
      </c>
      <c r="B96" s="268" t="n">
        <v>2</v>
      </c>
      <c r="C96" s="269" t="inlineStr">
        <is>
          <t>Tyler</t>
        </is>
      </c>
      <c r="D96" s="192" t="inlineStr">
        <is>
          <t>Discord</t>
        </is>
      </c>
      <c r="F96" s="329" t="n"/>
      <c r="J96" s="246" t="n"/>
      <c r="K96" s="246" t="n"/>
      <c r="L96" s="246" t="n"/>
      <c r="M96" s="260" t="n"/>
      <c r="N96" s="260" t="n"/>
      <c r="O96" s="260" t="n"/>
      <c r="P96" s="260" t="n"/>
      <c r="Q96" s="182" t="n"/>
      <c r="T96" s="246" t="n"/>
      <c r="U96" s="246" t="n"/>
      <c r="V96" s="246" t="n"/>
      <c r="W96" s="246" t="n"/>
      <c r="X96" s="246" t="n"/>
      <c r="Y96" s="246" t="n"/>
      <c r="Z96" s="246" t="n"/>
      <c r="AA96" s="246" t="n"/>
      <c r="AB96" s="246" t="n"/>
      <c r="AC96" s="246" t="n"/>
      <c r="AD96" s="246" t="n"/>
      <c r="AE96" s="246" t="n"/>
      <c r="AF96" s="246" t="n"/>
      <c r="AG96" s="246" t="n"/>
      <c r="AJ96" s="246" t="n"/>
      <c r="AK96" s="260" t="n"/>
    </row>
    <row r="97" ht="14.25" customHeight="1" s="175">
      <c r="A97" s="267" t="inlineStr">
        <is>
          <t>David</t>
        </is>
      </c>
      <c r="B97" s="268" t="n">
        <v>2</v>
      </c>
      <c r="C97" s="269" t="inlineStr">
        <is>
          <t>Grady</t>
        </is>
      </c>
      <c r="D97" s="192" t="inlineStr">
        <is>
          <t>Discord</t>
        </is>
      </c>
      <c r="F97" s="329" t="n"/>
      <c r="J97" s="246" t="n"/>
      <c r="K97" s="246" t="n"/>
      <c r="L97" s="246" t="n"/>
      <c r="M97" s="260" t="n"/>
      <c r="N97" s="260" t="n"/>
      <c r="O97" s="260" t="n"/>
      <c r="P97" s="260" t="n"/>
      <c r="Q97" s="182" t="n"/>
      <c r="T97" s="246" t="n"/>
      <c r="U97" s="246" t="n"/>
      <c r="V97" s="246" t="n"/>
      <c r="W97" s="246" t="n"/>
      <c r="X97" s="246" t="n"/>
      <c r="Y97" s="246" t="n"/>
      <c r="Z97" s="246" t="n"/>
      <c r="AA97" s="246" t="n"/>
      <c r="AB97" s="246" t="n"/>
      <c r="AC97" s="246" t="n"/>
      <c r="AD97" s="246" t="n"/>
      <c r="AE97" s="246" t="n"/>
      <c r="AF97" s="246" t="n"/>
      <c r="AG97" s="246" t="n"/>
      <c r="AJ97" s="246" t="n"/>
      <c r="AK97" s="260" t="n"/>
    </row>
    <row r="98" ht="14.25" customHeight="1" s="175">
      <c r="A98" s="267" t="inlineStr">
        <is>
          <t>Tyler</t>
        </is>
      </c>
      <c r="B98" s="268" t="n">
        <v>2</v>
      </c>
      <c r="C98" s="269" t="inlineStr">
        <is>
          <t>Grady</t>
        </is>
      </c>
      <c r="D98" s="192" t="inlineStr">
        <is>
          <t>Discord</t>
        </is>
      </c>
      <c r="F98" s="329" t="n"/>
      <c r="J98" s="246" t="n"/>
      <c r="K98" s="246" t="n"/>
      <c r="L98" s="246" t="n"/>
      <c r="M98" s="260" t="n"/>
      <c r="N98" s="260" t="n"/>
      <c r="O98" s="260" t="n"/>
      <c r="P98" s="260" t="n"/>
      <c r="Q98" s="182" t="n"/>
      <c r="T98" s="246" t="n"/>
      <c r="U98" s="246" t="n"/>
      <c r="V98" s="246" t="n"/>
      <c r="W98" s="246" t="n"/>
      <c r="X98" s="246" t="n"/>
      <c r="Y98" s="246" t="n"/>
      <c r="Z98" s="246" t="n"/>
      <c r="AA98" s="246" t="n"/>
      <c r="AB98" s="246" t="n"/>
      <c r="AC98" s="246" t="n"/>
      <c r="AD98" s="246" t="n"/>
      <c r="AE98" s="246" t="n"/>
      <c r="AF98" s="246" t="n"/>
      <c r="AG98" s="246" t="n"/>
      <c r="AJ98" s="246" t="n"/>
      <c r="AK98" s="260" t="n"/>
    </row>
    <row r="99" ht="14.25" customHeight="1" s="175">
      <c r="A99" s="267" t="inlineStr">
        <is>
          <t>Tyler</t>
        </is>
      </c>
      <c r="B99" s="268" t="n">
        <v>1</v>
      </c>
      <c r="C99" s="269" t="inlineStr">
        <is>
          <t>David</t>
        </is>
      </c>
      <c r="D99" s="192" t="inlineStr">
        <is>
          <t>Discord</t>
        </is>
      </c>
      <c r="F99" s="329" t="n"/>
      <c r="J99" s="246" t="n"/>
      <c r="K99" s="246" t="n"/>
      <c r="L99" s="246" t="n"/>
      <c r="M99" s="260" t="n"/>
      <c r="N99" s="260" t="n"/>
      <c r="O99" s="260" t="n"/>
      <c r="P99" s="260" t="n"/>
      <c r="Q99" s="182" t="n"/>
      <c r="T99" s="246" t="n"/>
      <c r="U99" s="246" t="n"/>
      <c r="V99" s="246" t="n"/>
      <c r="W99" s="246" t="n"/>
      <c r="X99" s="246" t="n"/>
      <c r="Y99" s="246" t="n"/>
      <c r="Z99" s="246" t="n"/>
      <c r="AA99" s="246" t="n"/>
      <c r="AB99" s="246" t="n"/>
      <c r="AC99" s="246" t="n"/>
      <c r="AD99" s="246" t="n"/>
      <c r="AE99" s="246" t="n"/>
      <c r="AF99" s="246" t="n"/>
      <c r="AG99" s="246" t="n"/>
      <c r="AJ99" s="246" t="n"/>
      <c r="AK99" s="260" t="n"/>
    </row>
    <row r="100" ht="14.25" customHeight="1" s="175">
      <c r="A100" s="267" t="inlineStr">
        <is>
          <t>David</t>
        </is>
      </c>
      <c r="B100" s="268" t="n">
        <v>1</v>
      </c>
      <c r="C100" s="269" t="inlineStr">
        <is>
          <t>Tyler</t>
        </is>
      </c>
      <c r="D100" s="192" t="inlineStr">
        <is>
          <t>Discord</t>
        </is>
      </c>
      <c r="F100" s="329" t="n"/>
      <c r="J100" s="246" t="n"/>
      <c r="K100" s="246" t="n"/>
      <c r="L100" s="246" t="n"/>
      <c r="M100" s="260" t="n"/>
      <c r="N100" s="260" t="n"/>
      <c r="O100" s="260" t="n"/>
      <c r="P100" s="260" t="n"/>
      <c r="Q100" s="182" t="n"/>
      <c r="T100" s="246" t="n"/>
      <c r="U100" s="246" t="n"/>
      <c r="V100" s="246" t="n"/>
      <c r="W100" s="246" t="n"/>
      <c r="X100" s="246" t="n"/>
      <c r="Y100" s="246" t="n"/>
      <c r="Z100" s="246" t="n"/>
      <c r="AA100" s="246" t="n"/>
      <c r="AB100" s="246" t="n"/>
      <c r="AC100" s="246" t="n"/>
      <c r="AD100" s="246" t="n"/>
      <c r="AE100" s="246" t="n"/>
      <c r="AF100" s="246" t="n"/>
      <c r="AG100" s="246" t="n"/>
      <c r="AJ100" s="246" t="n"/>
      <c r="AK100" s="260" t="n"/>
    </row>
    <row r="101" ht="14.25" customHeight="1" s="175">
      <c r="A101" s="267" t="inlineStr">
        <is>
          <t>Erick</t>
        </is>
      </c>
      <c r="B101" s="268" t="n">
        <v>1</v>
      </c>
      <c r="C101" s="269" t="inlineStr">
        <is>
          <t>David</t>
        </is>
      </c>
      <c r="D101" s="192" t="inlineStr">
        <is>
          <t>Discord</t>
        </is>
      </c>
      <c r="F101" s="329" t="n"/>
    </row>
    <row r="102" ht="14.25" customHeight="1" s="175">
      <c r="A102" s="267" t="inlineStr">
        <is>
          <t>David</t>
        </is>
      </c>
      <c r="B102" s="268" t="n">
        <v>1</v>
      </c>
      <c r="C102" s="269" t="inlineStr">
        <is>
          <t>Erick</t>
        </is>
      </c>
      <c r="D102" s="192" t="inlineStr">
        <is>
          <t>Discord</t>
        </is>
      </c>
      <c r="F102" s="329" t="n"/>
    </row>
    <row r="103" ht="14.25" customHeight="1" s="175">
      <c r="A103" s="267" t="inlineStr">
        <is>
          <t>Sam</t>
        </is>
      </c>
      <c r="B103" s="268" t="n">
        <v>2</v>
      </c>
      <c r="C103" s="269" t="inlineStr">
        <is>
          <t>Erick</t>
        </is>
      </c>
      <c r="D103" s="192" t="inlineStr">
        <is>
          <t>Discord</t>
        </is>
      </c>
      <c r="F103" s="329" t="n"/>
    </row>
    <row r="104" ht="14.25" customHeight="1" s="175">
      <c r="A104" s="267" t="inlineStr">
        <is>
          <t>Jon</t>
        </is>
      </c>
      <c r="B104" s="268" t="n">
        <v>2</v>
      </c>
      <c r="C104" s="269" t="inlineStr">
        <is>
          <t>Erick</t>
        </is>
      </c>
      <c r="D104" s="192" t="inlineStr">
        <is>
          <t>Discord</t>
        </is>
      </c>
      <c r="F104" s="329" t="n"/>
    </row>
    <row r="105" ht="14.25" customHeight="1" s="175">
      <c r="A105" s="267" t="inlineStr">
        <is>
          <t>Grady</t>
        </is>
      </c>
      <c r="B105" s="268" t="n">
        <v>2</v>
      </c>
      <c r="C105" s="269" t="inlineStr">
        <is>
          <t>Tyler</t>
        </is>
      </c>
      <c r="D105" s="192" t="inlineStr">
        <is>
          <t>Discord</t>
        </is>
      </c>
      <c r="F105" s="329" t="n"/>
    </row>
    <row r="106" ht="14.25" customHeight="1" s="175">
      <c r="F106" s="329" t="n"/>
    </row>
    <row r="107" ht="14.25" customHeight="1" s="175">
      <c r="F107" s="329" t="n"/>
    </row>
    <row r="108" ht="14.25" customHeight="1" s="175">
      <c r="F108" s="329" t="n"/>
    </row>
    <row r="109" ht="14.25" customHeight="1" s="175">
      <c r="F109" s="329" t="n"/>
    </row>
    <row r="110" ht="14.25" customHeight="1" s="175">
      <c r="F110" s="329" t="n"/>
    </row>
    <row r="111" ht="14.25" customHeight="1" s="175">
      <c r="F111" s="329" t="n"/>
    </row>
    <row r="112" ht="14.25" customHeight="1" s="175">
      <c r="F112" s="329" t="n"/>
    </row>
    <row r="113" ht="14.25" customHeight="1" s="175">
      <c r="F113" s="329" t="n"/>
    </row>
    <row r="114" ht="14.25" customHeight="1" s="175">
      <c r="F114" s="329" t="n"/>
    </row>
    <row r="115" ht="14.25" customHeight="1" s="175">
      <c r="F115" s="329" t="n"/>
    </row>
    <row r="116" ht="14.25" customHeight="1" s="175">
      <c r="F116" s="329" t="n"/>
    </row>
    <row r="117" ht="14.25" customHeight="1" s="175">
      <c r="F117" s="329" t="n"/>
    </row>
    <row r="118" ht="14.25" customHeight="1" s="175">
      <c r="F118" s="329" t="n"/>
    </row>
    <row r="119" ht="14.25" customHeight="1" s="175">
      <c r="F119" s="329" t="n"/>
    </row>
    <row r="120" ht="14.25" customHeight="1" s="175">
      <c r="F120" s="329" t="n"/>
    </row>
    <row r="121" ht="14.25" customHeight="1" s="175">
      <c r="F121" s="329" t="n"/>
    </row>
    <row r="122" ht="14.25" customHeight="1" s="175">
      <c r="F122" s="329" t="n"/>
    </row>
    <row r="123" ht="14.25" customHeight="1" s="175">
      <c r="F123" s="329" t="n"/>
    </row>
    <row r="124" ht="14.25" customHeight="1" s="175">
      <c r="F124" s="329" t="n"/>
    </row>
    <row r="125" ht="14.25" customHeight="1" s="175">
      <c r="F125" s="329" t="n"/>
    </row>
    <row r="126" ht="14.25" customHeight="1" s="175">
      <c r="F126" s="329" t="n"/>
    </row>
    <row r="127" ht="14.25" customHeight="1" s="175">
      <c r="F127" s="329" t="n"/>
    </row>
    <row r="128" ht="14.25" customHeight="1" s="175">
      <c r="F128" s="329" t="n"/>
    </row>
    <row r="129" ht="14.25" customHeight="1" s="175">
      <c r="F129" s="329" t="n"/>
    </row>
    <row r="130" ht="14.25" customHeight="1" s="175">
      <c r="F130" s="329" t="n"/>
    </row>
    <row r="131" ht="14.25" customHeight="1" s="175">
      <c r="F131" s="329" t="n"/>
    </row>
    <row r="132" ht="14.25" customHeight="1" s="175">
      <c r="F132" s="329" t="n"/>
    </row>
    <row r="133" ht="14.25" customHeight="1" s="175">
      <c r="F133" s="329" t="n"/>
    </row>
    <row r="134" ht="14.25" customHeight="1" s="175">
      <c r="F134" s="329" t="n"/>
    </row>
    <row r="135" ht="14.25" customHeight="1" s="175">
      <c r="F135" s="329" t="n"/>
    </row>
    <row r="136" ht="14.25" customHeight="1" s="175">
      <c r="F136" s="329" t="n"/>
    </row>
    <row r="137" ht="14.25" customHeight="1" s="175">
      <c r="F137" s="329" t="n"/>
    </row>
    <row r="138" ht="14.25" customHeight="1" s="175">
      <c r="F138" s="329" t="n"/>
    </row>
    <row r="139" ht="14.25" customHeight="1" s="175">
      <c r="F139" s="329" t="n"/>
    </row>
    <row r="140" ht="14.25" customHeight="1" s="175">
      <c r="F140" s="329" t="n"/>
    </row>
    <row r="141" ht="14.25" customHeight="1" s="175">
      <c r="F141" s="329" t="n"/>
    </row>
    <row r="142" ht="14.25" customHeight="1" s="175">
      <c r="F142" s="329" t="n"/>
    </row>
    <row r="143" ht="14.25" customHeight="1" s="175">
      <c r="F143" s="329" t="n"/>
    </row>
    <row r="144" ht="14.25" customHeight="1" s="175">
      <c r="F144" s="329" t="n"/>
    </row>
    <row r="145" ht="14.25" customHeight="1" s="175">
      <c r="F145" s="329" t="n"/>
    </row>
    <row r="146" ht="14.25" customHeight="1" s="175">
      <c r="F146" s="329" t="n"/>
    </row>
    <row r="147" ht="14.25" customHeight="1" s="175">
      <c r="F147" s="329" t="n"/>
    </row>
    <row r="148" ht="14.25" customHeight="1" s="175">
      <c r="F148" s="329" t="n"/>
    </row>
    <row r="149" ht="14.25" customHeight="1" s="175">
      <c r="F149" s="329" t="n"/>
    </row>
    <row r="150" ht="14.25" customHeight="1" s="175">
      <c r="F150" s="329" t="n"/>
    </row>
    <row r="151" ht="14.25" customHeight="1" s="175">
      <c r="F151" s="329" t="n"/>
    </row>
    <row r="152" ht="14.25" customHeight="1" s="175">
      <c r="F152" s="329" t="n"/>
    </row>
    <row r="153" ht="14.25" customHeight="1" s="175">
      <c r="F153" s="329" t="n"/>
    </row>
    <row r="154" ht="14.25" customHeight="1" s="175">
      <c r="F154" s="329" t="n"/>
    </row>
    <row r="155" ht="14.25" customHeight="1" s="175">
      <c r="F155" s="329" t="n"/>
    </row>
    <row r="156" ht="14.25" customHeight="1" s="175">
      <c r="F156" s="329" t="n"/>
    </row>
    <row r="157" ht="14.25" customHeight="1" s="175">
      <c r="F157" s="329" t="n"/>
    </row>
    <row r="158" ht="14.25" customHeight="1" s="175">
      <c r="F158" s="329" t="n"/>
    </row>
    <row r="159" ht="14.25" customHeight="1" s="175">
      <c r="F159" s="329" t="n"/>
    </row>
    <row r="160" ht="14.25" customHeight="1" s="175">
      <c r="F160" s="329" t="n"/>
    </row>
    <row r="161" ht="14.25" customHeight="1" s="175">
      <c r="F161" s="329" t="n"/>
    </row>
    <row r="162" ht="14.25" customHeight="1" s="175">
      <c r="F162" s="329" t="n"/>
    </row>
    <row r="163" ht="14.25" customHeight="1" s="175">
      <c r="F163" s="329" t="n"/>
    </row>
    <row r="164" ht="14.25" customHeight="1" s="175">
      <c r="F164" s="329" t="n"/>
    </row>
    <row r="165" ht="14.25" customHeight="1" s="175">
      <c r="F165" s="329" t="n"/>
    </row>
    <row r="166" ht="14.25" customHeight="1" s="175">
      <c r="F166" s="329" t="n"/>
    </row>
    <row r="167" ht="14.25" customHeight="1" s="175">
      <c r="F167" s="329" t="n"/>
    </row>
    <row r="168" ht="14.25" customHeight="1" s="175">
      <c r="F168" s="329" t="n"/>
    </row>
    <row r="169" ht="14.25" customHeight="1" s="175">
      <c r="F169" s="329" t="n"/>
    </row>
    <row r="170" ht="14.25" customHeight="1" s="175">
      <c r="F170" s="329" t="n"/>
    </row>
    <row r="171" ht="14.25" customHeight="1" s="175">
      <c r="F171" s="329" t="n"/>
    </row>
    <row r="172" ht="14.25" customHeight="1" s="175">
      <c r="F172" s="329" t="n"/>
    </row>
    <row r="173" ht="14.25" customHeight="1" s="175">
      <c r="F173" s="329" t="n"/>
    </row>
    <row r="174" ht="14.25" customHeight="1" s="175">
      <c r="F174" s="329" t="n"/>
    </row>
    <row r="175" ht="14.25" customHeight="1" s="175">
      <c r="F175" s="329" t="n"/>
    </row>
    <row r="176" ht="14.25" customHeight="1" s="175">
      <c r="F176" s="329" t="n"/>
    </row>
    <row r="177" ht="14.25" customHeight="1" s="175">
      <c r="F177" s="329" t="n"/>
    </row>
    <row r="178" ht="14.25" customHeight="1" s="175">
      <c r="F178" s="329" t="n"/>
    </row>
    <row r="179" ht="14.25" customHeight="1" s="175">
      <c r="F179" s="329" t="n"/>
    </row>
    <row r="180" ht="14.25" customHeight="1" s="175">
      <c r="F180" s="329" t="n"/>
    </row>
    <row r="181" ht="14.25" customHeight="1" s="175">
      <c r="F181" s="329" t="n"/>
    </row>
    <row r="182" ht="14.25" customHeight="1" s="175">
      <c r="F182" s="329" t="n"/>
    </row>
    <row r="183" ht="14.25" customHeight="1" s="175">
      <c r="F183" s="329" t="n"/>
    </row>
    <row r="184" ht="14.25" customHeight="1" s="175">
      <c r="F184" s="329" t="n"/>
    </row>
    <row r="185" ht="14.25" customHeight="1" s="175">
      <c r="F185" s="329" t="n"/>
    </row>
    <row r="186" ht="14.25" customHeight="1" s="175">
      <c r="F186" s="329" t="n"/>
    </row>
    <row r="187" ht="14.25" customHeight="1" s="175">
      <c r="F187" s="329" t="n"/>
    </row>
    <row r="188" ht="14.25" customHeight="1" s="175">
      <c r="F188" s="329" t="n"/>
    </row>
    <row r="189" ht="14.25" customHeight="1" s="175">
      <c r="F189" s="329" t="n"/>
    </row>
    <row r="190" ht="14.25" customHeight="1" s="175">
      <c r="F190" s="329" t="n"/>
    </row>
    <row r="191" ht="14.25" customHeight="1" s="175">
      <c r="F191" s="329" t="n"/>
    </row>
    <row r="192" ht="14.25" customHeight="1" s="175">
      <c r="F192" s="329" t="n"/>
    </row>
    <row r="193" ht="14.25" customHeight="1" s="175">
      <c r="F193" s="329" t="n"/>
    </row>
    <row r="194" ht="14.25" customHeight="1" s="175">
      <c r="F194" s="329" t="n"/>
    </row>
    <row r="195" ht="14.25" customHeight="1" s="175">
      <c r="F195" s="329" t="n"/>
    </row>
    <row r="196" ht="14.25" customHeight="1" s="175">
      <c r="F196" s="329" t="n"/>
    </row>
    <row r="197" ht="14.25" customHeight="1" s="175">
      <c r="F197" s="329" t="n"/>
    </row>
    <row r="198" ht="14.25" customHeight="1" s="175">
      <c r="F198" s="329" t="n"/>
    </row>
    <row r="199" ht="14.25" customHeight="1" s="175">
      <c r="F199" s="329" t="n"/>
    </row>
    <row r="200" ht="14.25" customHeight="1" s="175">
      <c r="F200" s="329" t="n"/>
    </row>
    <row r="201" ht="14.25" customHeight="1" s="175">
      <c r="F201" s="329" t="n"/>
    </row>
    <row r="202" ht="14.25" customHeight="1" s="175">
      <c r="F202" s="329" t="n"/>
    </row>
    <row r="203" ht="14.25" customHeight="1" s="175">
      <c r="F203" s="329" t="n"/>
    </row>
    <row r="204" ht="14.25" customHeight="1" s="175">
      <c r="F204" s="329" t="n"/>
    </row>
    <row r="205" ht="14.25" customHeight="1" s="175">
      <c r="F205" s="329" t="n"/>
    </row>
    <row r="206" ht="14.25" customHeight="1" s="175">
      <c r="F206" s="329" t="n"/>
    </row>
    <row r="207" ht="14.25" customHeight="1" s="175">
      <c r="F207" s="329" t="n"/>
    </row>
    <row r="208" ht="14.25" customHeight="1" s="175">
      <c r="F208" s="329" t="n"/>
    </row>
    <row r="209" ht="14.25" customHeight="1" s="175">
      <c r="F209" s="329" t="n"/>
    </row>
    <row r="210" ht="14.25" customHeight="1" s="175">
      <c r="F210" s="329" t="n"/>
    </row>
    <row r="211" ht="14.25" customHeight="1" s="175">
      <c r="F211" s="329" t="n"/>
    </row>
    <row r="212" ht="14.25" customHeight="1" s="175">
      <c r="F212" s="329" t="n"/>
    </row>
    <row r="213" ht="14.25" customHeight="1" s="175">
      <c r="F213" s="329" t="n"/>
    </row>
    <row r="214" ht="14.25" customHeight="1" s="175">
      <c r="F214" s="329" t="n"/>
    </row>
    <row r="215" ht="14.25" customHeight="1" s="175">
      <c r="F215" s="329" t="n"/>
    </row>
    <row r="216" ht="14.25" customHeight="1" s="175">
      <c r="F216" s="329" t="n"/>
    </row>
    <row r="217" ht="14.25" customHeight="1" s="175">
      <c r="F217" s="329" t="n"/>
    </row>
    <row r="218" ht="14.25" customHeight="1" s="175">
      <c r="F218" s="329" t="n"/>
    </row>
    <row r="219" ht="14.25" customHeight="1" s="175">
      <c r="F219" s="329" t="n"/>
    </row>
    <row r="220" ht="14.25" customHeight="1" s="175">
      <c r="F220" s="329" t="n"/>
    </row>
    <row r="221" ht="14.25" customHeight="1" s="175">
      <c r="F221" s="329" t="n"/>
    </row>
    <row r="222" ht="14.25" customHeight="1" s="175">
      <c r="F222" s="329" t="n"/>
    </row>
    <row r="223" ht="14.25" customHeight="1" s="175">
      <c r="F223" s="329" t="n"/>
    </row>
    <row r="224" ht="14.25" customHeight="1" s="175">
      <c r="F224" s="329" t="n"/>
    </row>
    <row r="225" ht="14.25" customHeight="1" s="175">
      <c r="F225" s="329" t="n"/>
    </row>
    <row r="226" ht="14.25" customHeight="1" s="175">
      <c r="F226" s="329" t="n"/>
    </row>
    <row r="227" ht="14.25" customHeight="1" s="175">
      <c r="F227" s="329" t="n"/>
    </row>
    <row r="228" ht="14.25" customHeight="1" s="175">
      <c r="F228" s="329" t="n"/>
    </row>
    <row r="229" ht="14.25" customHeight="1" s="175">
      <c r="F229" s="329" t="n"/>
    </row>
    <row r="230" ht="14.25" customHeight="1" s="175">
      <c r="F230" s="329" t="n"/>
    </row>
    <row r="231" ht="14.25" customHeight="1" s="175">
      <c r="F231" s="329" t="n"/>
    </row>
    <row r="232" ht="14.25" customHeight="1" s="175">
      <c r="F232" s="329" t="n"/>
    </row>
    <row r="233" ht="14.25" customHeight="1" s="175">
      <c r="F233" s="329" t="n"/>
    </row>
    <row r="234" ht="14.25" customHeight="1" s="175">
      <c r="F234" s="329" t="n"/>
    </row>
    <row r="235" ht="14.25" customHeight="1" s="175">
      <c r="F235" s="329" t="n"/>
    </row>
    <row r="236" ht="14.25" customHeight="1" s="175">
      <c r="F236" s="329" t="n"/>
    </row>
    <row r="237" ht="14.25" customHeight="1" s="175">
      <c r="F237" s="329" t="n"/>
    </row>
    <row r="238" ht="14.25" customHeight="1" s="175">
      <c r="F238" s="329" t="n"/>
    </row>
    <row r="239" ht="14.25" customHeight="1" s="175">
      <c r="F239" s="329" t="n"/>
    </row>
    <row r="240" ht="14.25" customHeight="1" s="175">
      <c r="F240" s="329" t="n"/>
    </row>
    <row r="241" ht="14.25" customHeight="1" s="175">
      <c r="F241" s="329" t="n"/>
    </row>
    <row r="242" ht="14.25" customHeight="1" s="175">
      <c r="F242" s="329" t="n"/>
    </row>
    <row r="243" ht="14.25" customHeight="1" s="175">
      <c r="F243" s="329" t="n"/>
    </row>
    <row r="244" ht="14.25" customHeight="1" s="175">
      <c r="F244" s="329" t="n"/>
    </row>
    <row r="245" ht="14.25" customHeight="1" s="175">
      <c r="F245" s="329" t="n"/>
    </row>
    <row r="246" ht="14.25" customHeight="1" s="175">
      <c r="F246" s="329" t="n"/>
    </row>
    <row r="247" ht="14.25" customHeight="1" s="175">
      <c r="F247" s="329" t="n"/>
    </row>
    <row r="248" ht="14.25" customHeight="1" s="175">
      <c r="F248" s="329" t="n"/>
    </row>
    <row r="249" ht="14.25" customHeight="1" s="175">
      <c r="F249" s="329" t="n"/>
    </row>
    <row r="250" ht="14.25" customHeight="1" s="175">
      <c r="F250" s="329" t="n"/>
    </row>
    <row r="251" ht="14.25" customHeight="1" s="175">
      <c r="F251" s="329" t="n"/>
    </row>
    <row r="252" ht="14.25" customHeight="1" s="175">
      <c r="F252" s="329" t="n"/>
    </row>
    <row r="253" ht="14.25" customHeight="1" s="175">
      <c r="F253" s="329" t="n"/>
    </row>
    <row r="254" ht="14.25" customHeight="1" s="175">
      <c r="F254" s="329" t="n"/>
    </row>
    <row r="255" ht="14.25" customHeight="1" s="175">
      <c r="F255" s="329" t="n"/>
    </row>
    <row r="256" ht="14.25" customHeight="1" s="175">
      <c r="F256" s="329" t="n"/>
    </row>
    <row r="257" ht="14.25" customHeight="1" s="175">
      <c r="F257" s="329" t="n"/>
    </row>
    <row r="258" ht="14.25" customHeight="1" s="175">
      <c r="F258" s="329" t="n"/>
    </row>
    <row r="259" ht="14.25" customHeight="1" s="175">
      <c r="F259" s="329" t="n"/>
    </row>
    <row r="260" ht="14.25" customHeight="1" s="175">
      <c r="F260" s="329" t="n"/>
    </row>
    <row r="261" ht="14.25" customHeight="1" s="175">
      <c r="F261" s="329" t="n"/>
    </row>
    <row r="262" ht="14.25" customHeight="1" s="175">
      <c r="F262" s="329" t="n"/>
    </row>
    <row r="263" ht="14.25" customHeight="1" s="175">
      <c r="F263" s="329" t="n"/>
    </row>
    <row r="264" ht="14.25" customHeight="1" s="175">
      <c r="F264" s="329" t="n"/>
    </row>
    <row r="265" ht="14.25" customHeight="1" s="175">
      <c r="F265" s="329" t="n"/>
    </row>
    <row r="266" ht="14.25" customHeight="1" s="175">
      <c r="F266" s="329" t="n"/>
    </row>
    <row r="267" ht="14.25" customHeight="1" s="175">
      <c r="F267" s="329" t="n"/>
    </row>
    <row r="268" ht="14.25" customHeight="1" s="175">
      <c r="F268" s="329" t="n"/>
    </row>
    <row r="269" ht="14.25" customHeight="1" s="175">
      <c r="F269" s="329" t="n"/>
    </row>
    <row r="270" ht="14.25" customHeight="1" s="175">
      <c r="F270" s="329" t="n"/>
    </row>
    <row r="271" ht="14.25" customHeight="1" s="175">
      <c r="F271" s="329" t="n"/>
    </row>
    <row r="272" ht="14.25" customHeight="1" s="175">
      <c r="F272" s="329" t="n"/>
    </row>
    <row r="273" ht="14.25" customHeight="1" s="175">
      <c r="F273" s="329" t="n"/>
    </row>
    <row r="274" ht="14.25" customHeight="1" s="175">
      <c r="F274" s="329" t="n"/>
    </row>
    <row r="275" ht="14.25" customHeight="1" s="175">
      <c r="F275" s="329" t="n"/>
    </row>
    <row r="276" ht="14.25" customHeight="1" s="175">
      <c r="F276" s="329" t="n"/>
    </row>
    <row r="277" ht="14.25" customHeight="1" s="175">
      <c r="F277" s="329" t="n"/>
    </row>
    <row r="278" ht="14.25" customHeight="1" s="175">
      <c r="F278" s="329" t="n"/>
    </row>
    <row r="279" ht="14.25" customHeight="1" s="175">
      <c r="F279" s="329" t="n"/>
    </row>
    <row r="280" ht="14.25" customHeight="1" s="175">
      <c r="F280" s="329" t="n"/>
    </row>
    <row r="281" ht="14.25" customHeight="1" s="175">
      <c r="F281" s="329" t="n"/>
    </row>
    <row r="282" ht="14.25" customHeight="1" s="175">
      <c r="F282" s="329" t="n"/>
    </row>
    <row r="283" ht="14.25" customHeight="1" s="175">
      <c r="F283" s="329" t="n"/>
    </row>
    <row r="284" ht="14.25" customHeight="1" s="175">
      <c r="F284" s="329" t="n"/>
    </row>
    <row r="285" ht="14.25" customHeight="1" s="175">
      <c r="F285" s="329" t="n"/>
    </row>
    <row r="286" ht="14.25" customHeight="1" s="175">
      <c r="F286" s="329" t="n"/>
    </row>
    <row r="287" ht="14.25" customHeight="1" s="175">
      <c r="F287" s="329" t="n"/>
    </row>
    <row r="288" ht="14.25" customHeight="1" s="175">
      <c r="F288" s="329" t="n"/>
    </row>
    <row r="289" ht="14.25" customHeight="1" s="175">
      <c r="F289" s="329" t="n"/>
    </row>
    <row r="290" ht="14.25" customHeight="1" s="175">
      <c r="F290" s="329" t="n"/>
    </row>
    <row r="291" ht="14.25" customHeight="1" s="175">
      <c r="F291" s="329" t="n"/>
    </row>
    <row r="292" ht="14.25" customHeight="1" s="175">
      <c r="F292" s="329" t="n"/>
    </row>
    <row r="293" ht="14.25" customHeight="1" s="175">
      <c r="F293" s="329" t="n"/>
    </row>
    <row r="294" ht="14.25" customHeight="1" s="175">
      <c r="F294" s="329" t="n"/>
    </row>
    <row r="295" ht="14.25" customHeight="1" s="175">
      <c r="F295" s="329" t="n"/>
    </row>
    <row r="296" ht="14.25" customHeight="1" s="175">
      <c r="F296" s="329" t="n"/>
    </row>
    <row r="297" ht="14.25" customHeight="1" s="175">
      <c r="F297" s="329" t="n"/>
    </row>
    <row r="298" ht="14.25" customHeight="1" s="175">
      <c r="F298" s="329" t="n"/>
    </row>
    <row r="299" ht="14.25" customHeight="1" s="175">
      <c r="F299" s="329" t="n"/>
    </row>
    <row r="300" ht="14.25" customHeight="1" s="175">
      <c r="F300" s="329" t="n"/>
    </row>
    <row r="301" ht="14.25" customHeight="1" s="175">
      <c r="F301" s="329" t="n"/>
    </row>
    <row r="302" ht="14.25" customHeight="1" s="175">
      <c r="F302" s="329" t="n"/>
    </row>
    <row r="303" ht="14.25" customHeight="1" s="175">
      <c r="F303" s="329" t="n"/>
    </row>
    <row r="304" ht="14.25" customHeight="1" s="175">
      <c r="F304" s="329" t="n"/>
    </row>
    <row r="305" ht="14.25" customHeight="1" s="175">
      <c r="F305" s="329" t="n"/>
    </row>
    <row r="306" ht="15.75" customHeight="1" s="175"/>
    <row r="307" ht="15.75" customHeight="1" s="175"/>
    <row r="308" ht="15.75" customHeight="1" s="175"/>
    <row r="309" ht="15.75" customHeight="1" s="175"/>
    <row r="310" ht="15.75" customHeight="1" s="175"/>
    <row r="311" ht="15.75" customHeight="1" s="175"/>
    <row r="312" ht="15.75" customHeight="1" s="175"/>
    <row r="313" ht="15.75" customHeight="1" s="175"/>
    <row r="314" ht="15.75" customHeight="1" s="175"/>
    <row r="315" ht="15.75" customHeight="1" s="175"/>
    <row r="316" ht="15.75" customHeight="1" s="175"/>
    <row r="317" ht="15.75" customHeight="1" s="175"/>
    <row r="318" ht="15.75" customHeight="1" s="175"/>
    <row r="319" ht="15.75" customHeight="1" s="175"/>
    <row r="320" ht="15.75" customHeight="1" s="175"/>
    <row r="321" ht="15.75" customHeight="1" s="175"/>
    <row r="322" ht="15.75" customHeight="1" s="175"/>
    <row r="323" ht="15.75" customHeight="1" s="175"/>
    <row r="324" ht="15.75" customHeight="1" s="175"/>
    <row r="325" ht="15.75" customHeight="1" s="175"/>
    <row r="326" ht="15.75" customHeight="1" s="175"/>
    <row r="327" ht="15.75" customHeight="1" s="175"/>
    <row r="328" ht="15.75" customHeight="1" s="175"/>
    <row r="329" ht="15.75" customHeight="1" s="175"/>
    <row r="330" ht="15.75" customHeight="1" s="175"/>
    <row r="331" ht="15.75" customHeight="1" s="175"/>
    <row r="332" ht="15.75" customHeight="1" s="175"/>
    <row r="333" ht="15.75" customHeight="1" s="175"/>
    <row r="334" ht="15.75" customHeight="1" s="175"/>
    <row r="335" ht="15.75" customHeight="1" s="175"/>
    <row r="336" ht="15.75" customHeight="1" s="175"/>
    <row r="337" ht="15.75" customHeight="1" s="175"/>
    <row r="338" ht="15.75" customHeight="1" s="175"/>
    <row r="339" ht="15.75" customHeight="1" s="175"/>
    <row r="340" ht="15.75" customHeight="1" s="175"/>
    <row r="341" ht="15.75" customHeight="1" s="175"/>
    <row r="342" ht="15.75" customHeight="1" s="175"/>
    <row r="343" ht="15.75" customHeight="1" s="175"/>
    <row r="344" ht="15.75" customHeight="1" s="175"/>
    <row r="345" ht="15.75" customHeight="1" s="175"/>
    <row r="346" ht="15.75" customHeight="1" s="175"/>
    <row r="347" ht="15.75" customHeight="1" s="175"/>
    <row r="348" ht="15.75" customHeight="1" s="175"/>
    <row r="349" ht="15.75" customHeight="1" s="175"/>
    <row r="350" ht="15.75" customHeight="1" s="175"/>
    <row r="351" ht="15.75" customHeight="1" s="175"/>
    <row r="352" ht="15.75" customHeight="1" s="175"/>
    <row r="353" ht="15.75" customHeight="1" s="175"/>
    <row r="354" ht="15.75" customHeight="1" s="175"/>
    <row r="355" ht="15.75" customHeight="1" s="175"/>
    <row r="356" ht="15.75" customHeight="1" s="175"/>
    <row r="357" ht="15.75" customHeight="1" s="175"/>
    <row r="358" ht="15.75" customHeight="1" s="175"/>
    <row r="359" ht="15.75" customHeight="1" s="175"/>
    <row r="360" ht="15.75" customHeight="1" s="175"/>
    <row r="361" ht="15.75" customHeight="1" s="175"/>
    <row r="362" ht="15.75" customHeight="1" s="175"/>
    <row r="363" ht="15.75" customHeight="1" s="175"/>
    <row r="364" ht="15.75" customHeight="1" s="175"/>
    <row r="365" ht="15.75" customHeight="1" s="175"/>
    <row r="366" ht="15.75" customHeight="1" s="175"/>
    <row r="367" ht="15.75" customHeight="1" s="175"/>
    <row r="368" ht="15.75" customHeight="1" s="175"/>
    <row r="369" ht="15.75" customHeight="1" s="175"/>
    <row r="370" ht="15.75" customHeight="1" s="175"/>
    <row r="371" ht="15.75" customHeight="1" s="175"/>
    <row r="372" ht="15.75" customHeight="1" s="175"/>
    <row r="373" ht="15.75" customHeight="1" s="175"/>
    <row r="374" ht="15.75" customHeight="1" s="175"/>
    <row r="375" ht="15.75" customHeight="1" s="175"/>
    <row r="376" ht="15.75" customHeight="1" s="175"/>
    <row r="377" ht="15.75" customHeight="1" s="175"/>
    <row r="378" ht="15.75" customHeight="1" s="175"/>
    <row r="379" ht="15.75" customHeight="1" s="175"/>
    <row r="380" ht="15.75" customHeight="1" s="175"/>
    <row r="381" ht="15.75" customHeight="1" s="175"/>
    <row r="382" ht="15.75" customHeight="1" s="175"/>
    <row r="383" ht="15.75" customHeight="1" s="175"/>
    <row r="384" ht="15.75" customHeight="1" s="175"/>
    <row r="385" ht="15.75" customHeight="1" s="175"/>
    <row r="386" ht="15.75" customHeight="1" s="175"/>
    <row r="387" ht="15.75" customHeight="1" s="175"/>
    <row r="388" ht="15.75" customHeight="1" s="175"/>
    <row r="389" ht="15.75" customHeight="1" s="175"/>
    <row r="390" ht="15.75" customHeight="1" s="175"/>
    <row r="391" ht="15.75" customHeight="1" s="175"/>
    <row r="392" ht="15.75" customHeight="1" s="175"/>
    <row r="393" ht="15.75" customHeight="1" s="175"/>
    <row r="394" ht="15.75" customHeight="1" s="175"/>
    <row r="395" ht="15.75" customHeight="1" s="175"/>
    <row r="396" ht="15.75" customHeight="1" s="175"/>
    <row r="397" ht="15.75" customHeight="1" s="175"/>
    <row r="398" ht="15.75" customHeight="1" s="175"/>
    <row r="399" ht="15.75" customHeight="1" s="175"/>
    <row r="400" ht="15.75" customHeight="1" s="175"/>
    <row r="401" ht="15.75" customHeight="1" s="175"/>
    <row r="402" ht="15.75" customHeight="1" s="175"/>
    <row r="403" ht="15.75" customHeight="1" s="175"/>
    <row r="404" ht="15.75" customHeight="1" s="175"/>
    <row r="405" ht="15.75" customHeight="1" s="175"/>
    <row r="406" ht="15.75" customHeight="1" s="175"/>
    <row r="407" ht="15.75" customHeight="1" s="175"/>
    <row r="408" ht="15.75" customHeight="1" s="175"/>
    <row r="409" ht="15.75" customHeight="1" s="175"/>
    <row r="410" ht="15.75" customHeight="1" s="175"/>
    <row r="411" ht="15.75" customHeight="1" s="175"/>
    <row r="412" ht="15.75" customHeight="1" s="175"/>
    <row r="413" ht="15.75" customHeight="1" s="175"/>
    <row r="414" ht="15.75" customHeight="1" s="175"/>
    <row r="415" ht="15.75" customHeight="1" s="175"/>
    <row r="416" ht="15.75" customHeight="1" s="175"/>
    <row r="417" ht="15.75" customHeight="1" s="175"/>
    <row r="418" ht="15.75" customHeight="1" s="175"/>
    <row r="419" ht="15.75" customHeight="1" s="175"/>
    <row r="420" ht="15.75" customHeight="1" s="175"/>
    <row r="421" ht="15.75" customHeight="1" s="175"/>
    <row r="422" ht="15.75" customHeight="1" s="175"/>
    <row r="423" ht="15.75" customHeight="1" s="175"/>
    <row r="424" ht="15.75" customHeight="1" s="175"/>
    <row r="425" ht="15.75" customHeight="1" s="175"/>
    <row r="426" ht="15.75" customHeight="1" s="175"/>
    <row r="427" ht="15.75" customHeight="1" s="175"/>
    <row r="428" ht="15.75" customHeight="1" s="175"/>
    <row r="429" ht="15.75" customHeight="1" s="175"/>
    <row r="430" ht="15.75" customHeight="1" s="175"/>
    <row r="431" ht="15.75" customHeight="1" s="175"/>
    <row r="432" ht="15.75" customHeight="1" s="175"/>
    <row r="433" ht="15.75" customHeight="1" s="175"/>
    <row r="434" ht="15.75" customHeight="1" s="175"/>
    <row r="435" ht="15.75" customHeight="1" s="175"/>
    <row r="436" ht="15.75" customHeight="1" s="175"/>
    <row r="437" ht="15.75" customHeight="1" s="175"/>
    <row r="438" ht="15.75" customHeight="1" s="175"/>
    <row r="439" ht="15.75" customHeight="1" s="175"/>
    <row r="440" ht="15.75" customHeight="1" s="175"/>
    <row r="441" ht="15.75" customHeight="1" s="175"/>
    <row r="442" ht="15.75" customHeight="1" s="175"/>
    <row r="443" ht="15.75" customHeight="1" s="175"/>
    <row r="444" ht="15.75" customHeight="1" s="175"/>
    <row r="445" ht="15.75" customHeight="1" s="175"/>
    <row r="446" ht="15.75" customHeight="1" s="175"/>
    <row r="447" ht="15.75" customHeight="1" s="175"/>
    <row r="448" ht="15.75" customHeight="1" s="175"/>
    <row r="449" ht="15.75" customHeight="1" s="175"/>
    <row r="450" ht="15.75" customHeight="1" s="175"/>
    <row r="451" ht="15.75" customHeight="1" s="175"/>
    <row r="452" ht="15.75" customHeight="1" s="175"/>
    <row r="453" ht="15.75" customHeight="1" s="175"/>
    <row r="454" ht="15.75" customHeight="1" s="175"/>
    <row r="455" ht="15.75" customHeight="1" s="175"/>
    <row r="456" ht="15.75" customHeight="1" s="175"/>
    <row r="457" ht="15.75" customHeight="1" s="175"/>
    <row r="458" ht="15.75" customHeight="1" s="175"/>
    <row r="459" ht="15.75" customHeight="1" s="175"/>
    <row r="460" ht="15.75" customHeight="1" s="175"/>
    <row r="461" ht="15.75" customHeight="1" s="175"/>
    <row r="462" ht="15.75" customHeight="1" s="175"/>
    <row r="463" ht="15.75" customHeight="1" s="175"/>
    <row r="464" ht="15.75" customHeight="1" s="175"/>
    <row r="465" ht="15.75" customHeight="1" s="175"/>
    <row r="466" ht="15.75" customHeight="1" s="175"/>
    <row r="467" ht="15.75" customHeight="1" s="175"/>
    <row r="468" ht="15.75" customHeight="1" s="175"/>
    <row r="469" ht="15.75" customHeight="1" s="175"/>
    <row r="470" ht="15.75" customHeight="1" s="175"/>
    <row r="471" ht="15.75" customHeight="1" s="175"/>
    <row r="472" ht="15.75" customHeight="1" s="175"/>
    <row r="473" ht="15.75" customHeight="1" s="175"/>
    <row r="474" ht="15.75" customHeight="1" s="175"/>
    <row r="475" ht="15.75" customHeight="1" s="175"/>
    <row r="476" ht="15.75" customHeight="1" s="175"/>
    <row r="477" ht="15.75" customHeight="1" s="175"/>
    <row r="478" ht="15.75" customHeight="1" s="175"/>
    <row r="479" ht="15.75" customHeight="1" s="175"/>
    <row r="480" ht="15.75" customHeight="1" s="175"/>
    <row r="481" ht="15.75" customHeight="1" s="175"/>
    <row r="482" ht="15.75" customHeight="1" s="175"/>
    <row r="483" ht="15.75" customHeight="1" s="175"/>
    <row r="484" ht="15.75" customHeight="1" s="175"/>
    <row r="485" ht="15.75" customHeight="1" s="175"/>
    <row r="486" ht="15.75" customHeight="1" s="175"/>
    <row r="487" ht="15.75" customHeight="1" s="175"/>
    <row r="488" ht="15.75" customHeight="1" s="175"/>
    <row r="489" ht="15.75" customHeight="1" s="175"/>
    <row r="490" ht="15.75" customHeight="1" s="175"/>
    <row r="491" ht="15.75" customHeight="1" s="175"/>
    <row r="492" ht="15.75" customHeight="1" s="175"/>
    <row r="493" ht="15.75" customHeight="1" s="175"/>
    <row r="494" ht="15.75" customHeight="1" s="175"/>
    <row r="495" ht="15.75" customHeight="1" s="175"/>
    <row r="496" ht="15.75" customHeight="1" s="175"/>
    <row r="497" ht="15.75" customHeight="1" s="175"/>
    <row r="498" ht="15.75" customHeight="1" s="175"/>
    <row r="499" ht="15.75" customHeight="1" s="175"/>
    <row r="500" ht="15.75" customHeight="1" s="175"/>
    <row r="501" ht="15.75" customHeight="1" s="175"/>
    <row r="502" ht="15.75" customHeight="1" s="175"/>
    <row r="503" ht="15.75" customHeight="1" s="175"/>
    <row r="504" ht="15.75" customHeight="1" s="175"/>
    <row r="505" ht="15.75" customHeight="1" s="175"/>
    <row r="506" ht="15.75" customHeight="1" s="175"/>
    <row r="507" ht="15.75" customHeight="1" s="175"/>
    <row r="508" ht="15.75" customHeight="1" s="175"/>
    <row r="509" ht="15.75" customHeight="1" s="175"/>
    <row r="510" ht="15.75" customHeight="1" s="175"/>
    <row r="511" ht="15.75" customHeight="1" s="175"/>
    <row r="512" ht="15.75" customHeight="1" s="175"/>
    <row r="513" ht="15.75" customHeight="1" s="175"/>
    <row r="514" ht="15.75" customHeight="1" s="175"/>
    <row r="515" ht="15.75" customHeight="1" s="175"/>
    <row r="516" ht="15.75" customHeight="1" s="175"/>
    <row r="517" ht="15.75" customHeight="1" s="175"/>
    <row r="518" ht="15.75" customHeight="1" s="175"/>
    <row r="519" ht="15.75" customHeight="1" s="175"/>
    <row r="520" ht="15.75" customHeight="1" s="175"/>
    <row r="521" ht="15.75" customHeight="1" s="175"/>
    <row r="522" ht="15.75" customHeight="1" s="175"/>
    <row r="523" ht="15.75" customHeight="1" s="175"/>
    <row r="524" ht="15.75" customHeight="1" s="175"/>
    <row r="525" ht="15.75" customHeight="1" s="175"/>
    <row r="526" ht="15.75" customHeight="1" s="175"/>
    <row r="527" ht="15.75" customHeight="1" s="175"/>
    <row r="528" ht="15.75" customHeight="1" s="175"/>
    <row r="529" ht="15.75" customHeight="1" s="175"/>
    <row r="530" ht="15.75" customHeight="1" s="175"/>
    <row r="531" ht="15.75" customHeight="1" s="175"/>
    <row r="532" ht="15.75" customHeight="1" s="175"/>
    <row r="533" ht="15.75" customHeight="1" s="175"/>
    <row r="534" ht="15.75" customHeight="1" s="175"/>
    <row r="535" ht="15.75" customHeight="1" s="175"/>
    <row r="536" ht="15.75" customHeight="1" s="175"/>
    <row r="537" ht="15.75" customHeight="1" s="175"/>
    <row r="538" ht="15.75" customHeight="1" s="175"/>
    <row r="539" ht="15.75" customHeight="1" s="175"/>
    <row r="540" ht="15.75" customHeight="1" s="175"/>
    <row r="541" ht="15.75" customHeight="1" s="175"/>
    <row r="542" ht="15.75" customHeight="1" s="175"/>
    <row r="543" ht="15.75" customHeight="1" s="175"/>
    <row r="544" ht="15.75" customHeight="1" s="175"/>
    <row r="545" ht="15.75" customHeight="1" s="175"/>
    <row r="546" ht="15.75" customHeight="1" s="175"/>
    <row r="547" ht="15.75" customHeight="1" s="175"/>
    <row r="548" ht="15.75" customHeight="1" s="175"/>
    <row r="549" ht="15.75" customHeight="1" s="175"/>
    <row r="550" ht="15.75" customHeight="1" s="175"/>
    <row r="551" ht="15.75" customHeight="1" s="175"/>
    <row r="552" ht="15.75" customHeight="1" s="175"/>
    <row r="553" ht="15.75" customHeight="1" s="175"/>
    <row r="554" ht="15.75" customHeight="1" s="175"/>
    <row r="555" ht="15.75" customHeight="1" s="175"/>
    <row r="556" ht="15.75" customHeight="1" s="175"/>
    <row r="557" ht="15.75" customHeight="1" s="175"/>
    <row r="558" ht="15.75" customHeight="1" s="175"/>
    <row r="559" ht="15.75" customHeight="1" s="175"/>
    <row r="560" ht="15.75" customHeight="1" s="175"/>
    <row r="561" ht="15.75" customHeight="1" s="175"/>
    <row r="562" ht="15.75" customHeight="1" s="175"/>
    <row r="563" ht="15.75" customHeight="1" s="175"/>
    <row r="564" ht="15.75" customHeight="1" s="175"/>
    <row r="565" ht="15.75" customHeight="1" s="175"/>
    <row r="566" ht="15.75" customHeight="1" s="175"/>
    <row r="567" ht="15.75" customHeight="1" s="175"/>
    <row r="568" ht="15.75" customHeight="1" s="175"/>
    <row r="569" ht="15.75" customHeight="1" s="175"/>
    <row r="570" ht="15.75" customHeight="1" s="175"/>
    <row r="571" ht="15.75" customHeight="1" s="175"/>
    <row r="572" ht="15.75" customHeight="1" s="175"/>
    <row r="573" ht="15.75" customHeight="1" s="175"/>
    <row r="574" ht="15.75" customHeight="1" s="175"/>
    <row r="575" ht="15.75" customHeight="1" s="175"/>
    <row r="576" ht="15.75" customHeight="1" s="175"/>
    <row r="577" ht="15.75" customHeight="1" s="175"/>
    <row r="578" ht="15.75" customHeight="1" s="175"/>
    <row r="579" ht="15.75" customHeight="1" s="175"/>
    <row r="580" ht="15.75" customHeight="1" s="175"/>
    <row r="581" ht="15.75" customHeight="1" s="175"/>
    <row r="582" ht="15.75" customHeight="1" s="175"/>
    <row r="583" ht="15.75" customHeight="1" s="175"/>
    <row r="584" ht="15.75" customHeight="1" s="175"/>
    <row r="585" ht="15.75" customHeight="1" s="175"/>
    <row r="586" ht="15.75" customHeight="1" s="175"/>
    <row r="587" ht="15.75" customHeight="1" s="175"/>
    <row r="588" ht="15.75" customHeight="1" s="175"/>
    <row r="589" ht="15.75" customHeight="1" s="175"/>
    <row r="590" ht="15.75" customHeight="1" s="175"/>
    <row r="591" ht="15.75" customHeight="1" s="175"/>
    <row r="592" ht="15.75" customHeight="1" s="175"/>
    <row r="593" ht="15.75" customHeight="1" s="175"/>
    <row r="594" ht="15.75" customHeight="1" s="175"/>
    <row r="595" ht="15.75" customHeight="1" s="175"/>
    <row r="596" ht="15.75" customHeight="1" s="175"/>
    <row r="597" ht="15.75" customHeight="1" s="175"/>
    <row r="598" ht="15.75" customHeight="1" s="175"/>
    <row r="599" ht="15.75" customHeight="1" s="175"/>
    <row r="600" ht="15.75" customHeight="1" s="175"/>
    <row r="601" ht="15.75" customHeight="1" s="175"/>
    <row r="602" ht="15.75" customHeight="1" s="175"/>
    <row r="603" ht="15.75" customHeight="1" s="175"/>
    <row r="604" ht="15.75" customHeight="1" s="175"/>
    <row r="605" ht="15.75" customHeight="1" s="175"/>
    <row r="606" ht="15.75" customHeight="1" s="175"/>
    <row r="607" ht="15.75" customHeight="1" s="175"/>
    <row r="608" ht="15.75" customHeight="1" s="175"/>
    <row r="609" ht="15.75" customHeight="1" s="175"/>
    <row r="610" ht="15.75" customHeight="1" s="175"/>
    <row r="611" ht="15.75" customHeight="1" s="175"/>
    <row r="612" ht="15.75" customHeight="1" s="175"/>
    <row r="613" ht="15.75" customHeight="1" s="175"/>
    <row r="614" ht="15.75" customHeight="1" s="175"/>
    <row r="615" ht="15.75" customHeight="1" s="175"/>
    <row r="616" ht="15.75" customHeight="1" s="175"/>
    <row r="617" ht="15.75" customHeight="1" s="175"/>
    <row r="618" ht="15.75" customHeight="1" s="175"/>
    <row r="619" ht="15.75" customHeight="1" s="175"/>
    <row r="620" ht="15.75" customHeight="1" s="175"/>
    <row r="621" ht="15.75" customHeight="1" s="175"/>
    <row r="622" ht="15.75" customHeight="1" s="175"/>
    <row r="623" ht="15.75" customHeight="1" s="175"/>
    <row r="624" ht="15.75" customHeight="1" s="175"/>
    <row r="625" ht="15.75" customHeight="1" s="175"/>
    <row r="626" ht="15.75" customHeight="1" s="175"/>
    <row r="627" ht="15.75" customHeight="1" s="175"/>
    <row r="628" ht="15.75" customHeight="1" s="175"/>
    <row r="629" ht="15.75" customHeight="1" s="175"/>
    <row r="630" ht="15.75" customHeight="1" s="175"/>
    <row r="631" ht="15.75" customHeight="1" s="175"/>
    <row r="632" ht="15.75" customHeight="1" s="175"/>
    <row r="633" ht="15.75" customHeight="1" s="175"/>
    <row r="634" ht="15.75" customHeight="1" s="175"/>
    <row r="635" ht="15.75" customHeight="1" s="175"/>
    <row r="636" ht="15.75" customHeight="1" s="175"/>
    <row r="637" ht="15.75" customHeight="1" s="175"/>
    <row r="638" ht="15.75" customHeight="1" s="175"/>
    <row r="639" ht="15.75" customHeight="1" s="175"/>
    <row r="640" ht="15.75" customHeight="1" s="175"/>
    <row r="641" ht="15.75" customHeight="1" s="175"/>
    <row r="642" ht="15.75" customHeight="1" s="175"/>
    <row r="643" ht="15.75" customHeight="1" s="175"/>
    <row r="644" ht="15.75" customHeight="1" s="175"/>
    <row r="645" ht="15.75" customHeight="1" s="175"/>
    <row r="646" ht="15.75" customHeight="1" s="175"/>
    <row r="647" ht="15.75" customHeight="1" s="175"/>
    <row r="648" ht="15.75" customHeight="1" s="175"/>
    <row r="649" ht="15.75" customHeight="1" s="175"/>
    <row r="650" ht="15.75" customHeight="1" s="175"/>
    <row r="651" ht="15.75" customHeight="1" s="175"/>
    <row r="652" ht="15.75" customHeight="1" s="175"/>
    <row r="653" ht="15.75" customHeight="1" s="175"/>
    <row r="654" ht="15.75" customHeight="1" s="175"/>
    <row r="655" ht="15.75" customHeight="1" s="175"/>
    <row r="656" ht="15.75" customHeight="1" s="175"/>
    <row r="657" ht="15.75" customHeight="1" s="175"/>
    <row r="658" ht="15.75" customHeight="1" s="175"/>
    <row r="659" ht="15.75" customHeight="1" s="175"/>
    <row r="660" ht="15.75" customHeight="1" s="175"/>
    <row r="661" ht="15.75" customHeight="1" s="175"/>
    <row r="662" ht="15.75" customHeight="1" s="175"/>
    <row r="663" ht="15.75" customHeight="1" s="175"/>
    <row r="664" ht="15.75" customHeight="1" s="175"/>
    <row r="665" ht="15.75" customHeight="1" s="175"/>
    <row r="666" ht="15.75" customHeight="1" s="175"/>
    <row r="667" ht="15.75" customHeight="1" s="175"/>
    <row r="668" ht="15.75" customHeight="1" s="175"/>
    <row r="669" ht="15.75" customHeight="1" s="175"/>
    <row r="670" ht="15.75" customHeight="1" s="175"/>
    <row r="671" ht="15.75" customHeight="1" s="175"/>
    <row r="672" ht="15.75" customHeight="1" s="175"/>
    <row r="673" ht="15.75" customHeight="1" s="175"/>
    <row r="674" ht="15.75" customHeight="1" s="175"/>
    <row r="675" ht="15.75" customHeight="1" s="175"/>
    <row r="676" ht="15.75" customHeight="1" s="175"/>
    <row r="677" ht="15.75" customHeight="1" s="175"/>
    <row r="678" ht="15.75" customHeight="1" s="175"/>
    <row r="679" ht="15.75" customHeight="1" s="175"/>
    <row r="680" ht="15.75" customHeight="1" s="175"/>
    <row r="681" ht="15.75" customHeight="1" s="175"/>
    <row r="682" ht="15.75" customHeight="1" s="175"/>
    <row r="683" ht="15.75" customHeight="1" s="175"/>
    <row r="684" ht="15.75" customHeight="1" s="175"/>
    <row r="685" ht="15.75" customHeight="1" s="175"/>
    <row r="686" ht="15.75" customHeight="1" s="175"/>
    <row r="687" ht="15.75" customHeight="1" s="175"/>
    <row r="688" ht="15.75" customHeight="1" s="175"/>
    <row r="689" ht="15.75" customHeight="1" s="175"/>
    <row r="690" ht="15.75" customHeight="1" s="175"/>
    <row r="691" ht="15.75" customHeight="1" s="175"/>
    <row r="692" ht="15.75" customHeight="1" s="175"/>
    <row r="693" ht="15.75" customHeight="1" s="175"/>
    <row r="694" ht="15.75" customHeight="1" s="175"/>
    <row r="695" ht="15.75" customHeight="1" s="175"/>
    <row r="696" ht="15.75" customHeight="1" s="175"/>
    <row r="697" ht="15.75" customHeight="1" s="175"/>
    <row r="698" ht="15.75" customHeight="1" s="175"/>
    <row r="699" ht="15.75" customHeight="1" s="175"/>
    <row r="700" ht="15.75" customHeight="1" s="175"/>
    <row r="701" ht="15.75" customHeight="1" s="175"/>
    <row r="702" ht="15.75" customHeight="1" s="175"/>
    <row r="703" ht="15.75" customHeight="1" s="175"/>
    <row r="704" ht="15.75" customHeight="1" s="175"/>
    <row r="705" ht="15.75" customHeight="1" s="175"/>
    <row r="706" ht="15.75" customHeight="1" s="175"/>
    <row r="707" ht="15.75" customHeight="1" s="175"/>
    <row r="708" ht="15.75" customHeight="1" s="175"/>
    <row r="709" ht="15.75" customHeight="1" s="175"/>
    <row r="710" ht="15.75" customHeight="1" s="175"/>
    <row r="711" ht="15.75" customHeight="1" s="175"/>
    <row r="712" ht="15.75" customHeight="1" s="175"/>
    <row r="713" ht="15.75" customHeight="1" s="175"/>
    <row r="714" ht="15.75" customHeight="1" s="175"/>
    <row r="715" ht="15.75" customHeight="1" s="175"/>
    <row r="716" ht="15.75" customHeight="1" s="175"/>
    <row r="717" ht="15.75" customHeight="1" s="175"/>
    <row r="718" ht="15.75" customHeight="1" s="175"/>
    <row r="719" ht="15.75" customHeight="1" s="175"/>
    <row r="720" ht="15.75" customHeight="1" s="175"/>
    <row r="721" ht="15.75" customHeight="1" s="175"/>
    <row r="722" ht="15.75" customHeight="1" s="175"/>
    <row r="723" ht="15.75" customHeight="1" s="175"/>
    <row r="724" ht="15.75" customHeight="1" s="175"/>
    <row r="725" ht="15.75" customHeight="1" s="175"/>
    <row r="726" ht="15.75" customHeight="1" s="175"/>
    <row r="727" ht="15.75" customHeight="1" s="175"/>
    <row r="728" ht="15.75" customHeight="1" s="175"/>
    <row r="729" ht="15.75" customHeight="1" s="175"/>
    <row r="730" ht="15.75" customHeight="1" s="175"/>
    <row r="731" ht="15.75" customHeight="1" s="175"/>
    <row r="732" ht="15.75" customHeight="1" s="175"/>
    <row r="733" ht="15.75" customHeight="1" s="175"/>
    <row r="734" ht="15.75" customHeight="1" s="175"/>
    <row r="735" ht="15.75" customHeight="1" s="175"/>
    <row r="736" ht="15.75" customHeight="1" s="175"/>
    <row r="737" ht="15.75" customHeight="1" s="175"/>
    <row r="738" ht="15.75" customHeight="1" s="175"/>
    <row r="739" ht="15.75" customHeight="1" s="175"/>
    <row r="740" ht="15.75" customHeight="1" s="175"/>
    <row r="741" ht="15.75" customHeight="1" s="175"/>
    <row r="742" ht="15.75" customHeight="1" s="175"/>
    <row r="743" ht="15.75" customHeight="1" s="175"/>
    <row r="744" ht="15.75" customHeight="1" s="175"/>
    <row r="745" ht="15.75" customHeight="1" s="175"/>
    <row r="746" ht="15.75" customHeight="1" s="175"/>
    <row r="747" ht="15.75" customHeight="1" s="175"/>
    <row r="748" ht="15.75" customHeight="1" s="175"/>
    <row r="749" ht="15.75" customHeight="1" s="175"/>
    <row r="750" ht="15.75" customHeight="1" s="175"/>
    <row r="751" ht="15.75" customHeight="1" s="175"/>
    <row r="752" ht="15.75" customHeight="1" s="175"/>
    <row r="753" ht="15.75" customHeight="1" s="175"/>
    <row r="754" ht="15.75" customHeight="1" s="175"/>
    <row r="755" ht="15.75" customHeight="1" s="175"/>
    <row r="756" ht="15.75" customHeight="1" s="175"/>
    <row r="757" ht="15.75" customHeight="1" s="175"/>
    <row r="758" ht="15.75" customHeight="1" s="175"/>
    <row r="759" ht="15.75" customHeight="1" s="175"/>
    <row r="760" ht="15.75" customHeight="1" s="175"/>
    <row r="761" ht="15.75" customHeight="1" s="175"/>
    <row r="762" ht="15.75" customHeight="1" s="175"/>
    <row r="763" ht="15.75" customHeight="1" s="175"/>
    <row r="764" ht="15.75" customHeight="1" s="175"/>
    <row r="765" ht="15.75" customHeight="1" s="175"/>
    <row r="766" ht="15.75" customHeight="1" s="175"/>
    <row r="767" ht="15.75" customHeight="1" s="175"/>
    <row r="768" ht="15.75" customHeight="1" s="175"/>
    <row r="769" ht="15.75" customHeight="1" s="175"/>
    <row r="770" ht="15.75" customHeight="1" s="175"/>
    <row r="771" ht="15.75" customHeight="1" s="175"/>
    <row r="772" ht="15.75" customHeight="1" s="175"/>
    <row r="773" ht="15.75" customHeight="1" s="175"/>
    <row r="774" ht="15.75" customHeight="1" s="175"/>
    <row r="775" ht="15.75" customHeight="1" s="175"/>
    <row r="776" ht="15.75" customHeight="1" s="175"/>
    <row r="777" ht="15.75" customHeight="1" s="175"/>
    <row r="778" ht="15.75" customHeight="1" s="175"/>
    <row r="779" ht="15.75" customHeight="1" s="175"/>
    <row r="780" ht="15.75" customHeight="1" s="175"/>
    <row r="781" ht="15.75" customHeight="1" s="175"/>
    <row r="782" ht="15.75" customHeight="1" s="175"/>
    <row r="783" ht="15.75" customHeight="1" s="175"/>
    <row r="784" ht="15.75" customHeight="1" s="175"/>
    <row r="785" ht="15.75" customHeight="1" s="175"/>
    <row r="786" ht="15.75" customHeight="1" s="175"/>
    <row r="787" ht="15.75" customHeight="1" s="175"/>
    <row r="788" ht="15.75" customHeight="1" s="175"/>
    <row r="789" ht="15.75" customHeight="1" s="175"/>
    <row r="790" ht="15.75" customHeight="1" s="175"/>
    <row r="791" ht="15.75" customHeight="1" s="175"/>
    <row r="792" ht="15.75" customHeight="1" s="175"/>
    <row r="793" ht="15.75" customHeight="1" s="175"/>
    <row r="794" ht="15.75" customHeight="1" s="175"/>
    <row r="795" ht="15.75" customHeight="1" s="175"/>
    <row r="796" ht="15.75" customHeight="1" s="175"/>
    <row r="797" ht="15.75" customHeight="1" s="175"/>
    <row r="798" ht="15.75" customHeight="1" s="175"/>
    <row r="799" ht="15.75" customHeight="1" s="175"/>
    <row r="800" ht="15.75" customHeight="1" s="175"/>
    <row r="801" ht="15.75" customHeight="1" s="175"/>
    <row r="802" ht="15.75" customHeight="1" s="175"/>
    <row r="803" ht="15.75" customHeight="1" s="175"/>
    <row r="804" ht="15.75" customHeight="1" s="175"/>
    <row r="805" ht="15.75" customHeight="1" s="175"/>
    <row r="806" ht="15.75" customHeight="1" s="175"/>
    <row r="807" ht="15.75" customHeight="1" s="175"/>
    <row r="808" ht="15.75" customHeight="1" s="175"/>
    <row r="809" ht="15.75" customHeight="1" s="175"/>
    <row r="810" ht="15.75" customHeight="1" s="175"/>
    <row r="811" ht="15.75" customHeight="1" s="175"/>
    <row r="812" ht="15.75" customHeight="1" s="175"/>
    <row r="813" ht="15.75" customHeight="1" s="175"/>
    <row r="814" ht="15.75" customHeight="1" s="175"/>
    <row r="815" ht="15.75" customHeight="1" s="175"/>
    <row r="816" ht="15.75" customHeight="1" s="175"/>
    <row r="817" ht="15.75" customHeight="1" s="175"/>
    <row r="818" ht="15.75" customHeight="1" s="175"/>
    <row r="819" ht="15.75" customHeight="1" s="175"/>
    <row r="820" ht="15.75" customHeight="1" s="175"/>
    <row r="821" ht="15.75" customHeight="1" s="175"/>
    <row r="822" ht="15.75" customHeight="1" s="175"/>
    <row r="823" ht="15.75" customHeight="1" s="175"/>
    <row r="824" ht="15.75" customHeight="1" s="175"/>
    <row r="825" ht="15.75" customHeight="1" s="175"/>
    <row r="826" ht="15.75" customHeight="1" s="175"/>
    <row r="827" ht="15.75" customHeight="1" s="175"/>
    <row r="828" ht="15.75" customHeight="1" s="175"/>
    <row r="829" ht="15.75" customHeight="1" s="175"/>
    <row r="830" ht="15.75" customHeight="1" s="175"/>
    <row r="831" ht="15.75" customHeight="1" s="175"/>
    <row r="832" ht="15.75" customHeight="1" s="175"/>
    <row r="833" ht="15.75" customHeight="1" s="175"/>
    <row r="834" ht="15.75" customHeight="1" s="175"/>
    <row r="835" ht="15.75" customHeight="1" s="175"/>
    <row r="836" ht="15.75" customHeight="1" s="175"/>
    <row r="837" ht="15.75" customHeight="1" s="175"/>
    <row r="838" ht="15.75" customHeight="1" s="175"/>
    <row r="839" ht="15.75" customHeight="1" s="175"/>
    <row r="840" ht="15.75" customHeight="1" s="175"/>
    <row r="841" ht="15.75" customHeight="1" s="175"/>
    <row r="842" ht="15.75" customHeight="1" s="175"/>
    <row r="843" ht="15.75" customHeight="1" s="175"/>
    <row r="844" ht="15.75" customHeight="1" s="175"/>
    <row r="845" ht="15.75" customHeight="1" s="175"/>
    <row r="846" ht="15.75" customHeight="1" s="175"/>
    <row r="847" ht="15.75" customHeight="1" s="175"/>
    <row r="848" ht="15.75" customHeight="1" s="175"/>
    <row r="849" ht="15.75" customHeight="1" s="175"/>
    <row r="850" ht="15.75" customHeight="1" s="175"/>
    <row r="851" ht="15.75" customHeight="1" s="175"/>
    <row r="852" ht="15.75" customHeight="1" s="175"/>
    <row r="853" ht="15.75" customHeight="1" s="175"/>
    <row r="854" ht="15.75" customHeight="1" s="175"/>
    <row r="855" ht="15.75" customHeight="1" s="175"/>
    <row r="856" ht="15.75" customHeight="1" s="175"/>
    <row r="857" ht="15.75" customHeight="1" s="175"/>
    <row r="858" ht="15.75" customHeight="1" s="175"/>
    <row r="859" ht="15.75" customHeight="1" s="175"/>
    <row r="860" ht="15.75" customHeight="1" s="175"/>
    <row r="861" ht="15.75" customHeight="1" s="175"/>
    <row r="862" ht="15.75" customHeight="1" s="175"/>
    <row r="863" ht="15.75" customHeight="1" s="175"/>
    <row r="864" ht="15.75" customHeight="1" s="175"/>
    <row r="865" ht="15.75" customHeight="1" s="175"/>
    <row r="866" ht="15.75" customHeight="1" s="175"/>
    <row r="867" ht="15.75" customHeight="1" s="175"/>
    <row r="868" ht="15.75" customHeight="1" s="175"/>
    <row r="869" ht="15.75" customHeight="1" s="175"/>
    <row r="870" ht="15.75" customHeight="1" s="175"/>
    <row r="871" ht="15.75" customHeight="1" s="175"/>
    <row r="872" ht="15.75" customHeight="1" s="175"/>
    <row r="873" ht="15.75" customHeight="1" s="175"/>
    <row r="874" ht="15.75" customHeight="1" s="175"/>
    <row r="875" ht="15.75" customHeight="1" s="175"/>
    <row r="876" ht="15.75" customHeight="1" s="175"/>
    <row r="877" ht="15.75" customHeight="1" s="175"/>
    <row r="878" ht="15.75" customHeight="1" s="175"/>
    <row r="879" ht="15.75" customHeight="1" s="175"/>
    <row r="880" ht="15.75" customHeight="1" s="175"/>
    <row r="881" ht="15.75" customHeight="1" s="175"/>
    <row r="882" ht="15.75" customHeight="1" s="175"/>
    <row r="883" ht="15.75" customHeight="1" s="175"/>
    <row r="884" ht="15.75" customHeight="1" s="175"/>
    <row r="885" ht="15.75" customHeight="1" s="175"/>
    <row r="886" ht="15.75" customHeight="1" s="175"/>
    <row r="887" ht="15.75" customHeight="1" s="175"/>
    <row r="888" ht="15.75" customHeight="1" s="175"/>
    <row r="889" ht="15.75" customHeight="1" s="175"/>
    <row r="890" ht="15.75" customHeight="1" s="175"/>
    <row r="891" ht="15.75" customHeight="1" s="175"/>
    <row r="892" ht="15.75" customHeight="1" s="175"/>
    <row r="893" ht="15.75" customHeight="1" s="175"/>
    <row r="894" ht="15.75" customHeight="1" s="175"/>
    <row r="895" ht="15.75" customHeight="1" s="175"/>
    <row r="896" ht="15.75" customHeight="1" s="175"/>
    <row r="897" ht="15.75" customHeight="1" s="175"/>
    <row r="898" ht="15.75" customHeight="1" s="175"/>
    <row r="899" ht="15.75" customHeight="1" s="175"/>
    <row r="900" ht="15.75" customHeight="1" s="175"/>
    <row r="901" ht="15.75" customHeight="1" s="175"/>
    <row r="902" ht="15.75" customHeight="1" s="175"/>
    <row r="903" ht="15.75" customHeight="1" s="175"/>
    <row r="904" ht="15.75" customHeight="1" s="175"/>
    <row r="905" ht="15.75" customHeight="1" s="175"/>
    <row r="906" ht="15.75" customHeight="1" s="175"/>
    <row r="907" ht="15.75" customHeight="1" s="175"/>
    <row r="908" ht="15.75" customHeight="1" s="175"/>
    <row r="909" ht="15.75" customHeight="1" s="175"/>
    <row r="910" ht="15.75" customHeight="1" s="175"/>
    <row r="911" ht="15.75" customHeight="1" s="175"/>
    <row r="912" ht="15.75" customHeight="1" s="175"/>
    <row r="913" ht="15.75" customHeight="1" s="175"/>
    <row r="914" ht="15.75" customHeight="1" s="175"/>
    <row r="915" ht="15.75" customHeight="1" s="175"/>
    <row r="916" ht="15.75" customHeight="1" s="175"/>
    <row r="917" ht="15.75" customHeight="1" s="175"/>
    <row r="918" ht="15.75" customHeight="1" s="175"/>
    <row r="919" ht="15.75" customHeight="1" s="175"/>
    <row r="920" ht="15.75" customHeight="1" s="175"/>
    <row r="921" ht="15.75" customHeight="1" s="175"/>
    <row r="922" ht="15.75" customHeight="1" s="175"/>
    <row r="923" ht="15.75" customHeight="1" s="175"/>
    <row r="924" ht="15.75" customHeight="1" s="175"/>
    <row r="925" ht="15.75" customHeight="1" s="175"/>
    <row r="926" ht="15.75" customHeight="1" s="175"/>
    <row r="927" ht="15.75" customHeight="1" s="175"/>
    <row r="928" ht="15.75" customHeight="1" s="175"/>
    <row r="929" ht="15.75" customHeight="1" s="175"/>
    <row r="930" ht="15.75" customHeight="1" s="175"/>
    <row r="931" ht="15.75" customHeight="1" s="175"/>
    <row r="932" ht="15.75" customHeight="1" s="175"/>
    <row r="933" ht="15.75" customHeight="1" s="175"/>
    <row r="934" ht="15.75" customHeight="1" s="175"/>
    <row r="935" ht="15.75" customHeight="1" s="175"/>
    <row r="936" ht="15.75" customHeight="1" s="175"/>
    <row r="937" ht="15.75" customHeight="1" s="175"/>
    <row r="938" ht="15.75" customHeight="1" s="175"/>
    <row r="939" ht="15.75" customHeight="1" s="175"/>
    <row r="940" ht="15.75" customHeight="1" s="175"/>
    <row r="941" ht="15.75" customHeight="1" s="175"/>
    <row r="942" ht="15.75" customHeight="1" s="175"/>
    <row r="943" ht="15.75" customHeight="1" s="175"/>
    <row r="944" ht="15.75" customHeight="1" s="175"/>
    <row r="945" ht="15.75" customHeight="1" s="175"/>
    <row r="946" ht="15.75" customHeight="1" s="175"/>
    <row r="947" ht="15.75" customHeight="1" s="175"/>
    <row r="948" ht="15.75" customHeight="1" s="175"/>
    <row r="949" ht="15.75" customHeight="1" s="175"/>
    <row r="950" ht="15.75" customHeight="1" s="175"/>
    <row r="951" ht="15.75" customHeight="1" s="175"/>
    <row r="952" ht="15.75" customHeight="1" s="175"/>
    <row r="953" ht="15.75" customHeight="1" s="175"/>
    <row r="954" ht="15.75" customHeight="1" s="175"/>
    <row r="955" ht="15.75" customHeight="1" s="175"/>
    <row r="956" ht="15.75" customHeight="1" s="175"/>
    <row r="957" ht="15.75" customHeight="1" s="175"/>
    <row r="958" ht="15.75" customHeight="1" s="175"/>
    <row r="959" ht="15.75" customHeight="1" s="175"/>
    <row r="960" ht="15.75" customHeight="1" s="175"/>
    <row r="961" ht="15.75" customHeight="1" s="175"/>
    <row r="962" ht="15.75" customHeight="1" s="175"/>
    <row r="963" ht="15.75" customHeight="1" s="175"/>
    <row r="964" ht="15.75" customHeight="1" s="175"/>
    <row r="965" ht="15.75" customHeight="1" s="175"/>
    <row r="966" ht="15.75" customHeight="1" s="175"/>
    <row r="967" ht="15.75" customHeight="1" s="175"/>
    <row r="968" ht="15.75" customHeight="1" s="175"/>
    <row r="969" ht="15.75" customHeight="1" s="175"/>
    <row r="970" ht="15.75" customHeight="1" s="175"/>
    <row r="971" ht="15.75" customHeight="1" s="175"/>
    <row r="972" ht="15.75" customHeight="1" s="175"/>
    <row r="973" ht="15.75" customHeight="1" s="175"/>
    <row r="974" ht="15.75" customHeight="1" s="175"/>
    <row r="975" ht="15.75" customHeight="1" s="175"/>
    <row r="976" ht="15.75" customHeight="1" s="175"/>
    <row r="977" ht="15.75" customHeight="1" s="175"/>
    <row r="978" ht="15.75" customHeight="1" s="175"/>
    <row r="979" ht="15.75" customHeight="1" s="175"/>
    <row r="980" ht="15.75" customHeight="1" s="175"/>
    <row r="981" ht="15.75" customHeight="1" s="175"/>
    <row r="982" ht="15.75" customHeight="1" s="175"/>
    <row r="983" ht="15.75" customHeight="1" s="175"/>
    <row r="984" ht="15.75" customHeight="1" s="175"/>
    <row r="985" ht="15.75" customHeight="1" s="175"/>
    <row r="986" ht="15.75" customHeight="1" s="175"/>
    <row r="987" ht="15.75" customHeight="1" s="175"/>
    <row r="988" ht="15.75" customHeight="1" s="175"/>
    <row r="989" ht="15.75" customHeight="1" s="175"/>
    <row r="990" ht="15.75" customHeight="1" s="175"/>
    <row r="991" ht="15.75" customHeight="1" s="175"/>
    <row r="992" ht="15.75" customHeight="1" s="175"/>
    <row r="993" ht="15.75" customHeight="1" s="175"/>
    <row r="994" ht="15.75" customHeight="1" s="175"/>
    <row r="995" ht="15.75" customHeight="1" s="175"/>
    <row r="996" ht="15.75" customHeight="1" s="175"/>
    <row r="997" ht="15.75" customHeight="1" s="175"/>
    <row r="998" ht="15.75" customHeight="1" s="175"/>
    <row r="999" ht="15.75" customHeight="1" s="175"/>
    <row r="1000" ht="15.75" customHeight="1" s="175"/>
  </sheetData>
  <mergeCells count="3">
    <mergeCell ref="G15:O15"/>
    <mergeCell ref="R1:AE1"/>
    <mergeCell ref="G1:P1"/>
  </mergeCells>
  <conditionalFormatting sqref="H3:H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I2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3:H3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7:H48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1:H6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65:H6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83:H86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4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0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L2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4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4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0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0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4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17:O20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4">
    <cfRule type="colorScale" priority="2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3:R34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37:R48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51:R62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6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3:R86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3:AF44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60:AF63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33:AG44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60:AG65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3:AO57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H20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7:I20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17:K20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17:L20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F60:AF64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9">
    <cfRule type="cellIs" rank="0" priority="40" equalAverage="0" operator="greaterThan" aboveAverage="0" dxfId="0" text="" percent="0" bottom="0">
      <formula>0</formula>
    </cfRule>
  </conditionalFormatting>
  <conditionalFormatting sqref="AM4:AO9">
    <cfRule type="cellIs" rank="0" priority="41" equalAverage="0" operator="greaterThan" aboveAverage="0" dxfId="0" text="" percent="0" bottom="0">
      <formula>0</formula>
    </cfRule>
  </conditionalFormatting>
  <conditionalFormatting sqref="AF53:AN56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3:AF57 AG57:AN57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3:AG5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3:AN5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60:AF65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19:AM30 AO19:AO30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9:AP30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0:AM20 AO20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1:AM21 AO21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2:AM22 AO22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3:AM23 AO23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4:AM24 AO24">
    <cfRule type="colorScale" priority="5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5:AM25 AO25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6:AM26 AO26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7:AM27 AO27">
    <cfRule type="colorScale" priority="5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8:AM28 AO28"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9:AM29 AO29">
    <cfRule type="colorScale" priority="5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0:AM30 AO30">
    <cfRule type="colorScale" priority="6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9:AN30">
    <cfRule type="colorScale" priority="6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19:AO30">
    <cfRule type="colorScale" priority="6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xmlns:r="http://schemas.openxmlformats.org/officeDocument/2006/relationships" ref="D3" display="Discord" r:id="rId1"/>
    <hyperlink xmlns:r="http://schemas.openxmlformats.org/officeDocument/2006/relationships" ref="D4" display="Discord" r:id="rId2"/>
    <hyperlink xmlns:r="http://schemas.openxmlformats.org/officeDocument/2006/relationships" ref="D5" display="Discord" r:id="rId3"/>
    <hyperlink xmlns:r="http://schemas.openxmlformats.org/officeDocument/2006/relationships" ref="D6" display="Discord" r:id="rId4"/>
    <hyperlink xmlns:r="http://schemas.openxmlformats.org/officeDocument/2006/relationships" ref="D7" display="Discord" r:id="rId5"/>
    <hyperlink xmlns:r="http://schemas.openxmlformats.org/officeDocument/2006/relationships" ref="D8" display="Discord" r:id="rId6"/>
    <hyperlink xmlns:r="http://schemas.openxmlformats.org/officeDocument/2006/relationships" ref="D9" display="Discord" r:id="rId7"/>
    <hyperlink xmlns:r="http://schemas.openxmlformats.org/officeDocument/2006/relationships" ref="D10" display="Discord" r:id="rId8"/>
    <hyperlink xmlns:r="http://schemas.openxmlformats.org/officeDocument/2006/relationships" ref="D11" display="Discord" r:id="rId9"/>
    <hyperlink xmlns:r="http://schemas.openxmlformats.org/officeDocument/2006/relationships" ref="D12" display="Discord" r:id="rId10"/>
    <hyperlink xmlns:r="http://schemas.openxmlformats.org/officeDocument/2006/relationships" ref="D13" display="Discord" r:id="rId11"/>
    <hyperlink xmlns:r="http://schemas.openxmlformats.org/officeDocument/2006/relationships" ref="D14" display="Discord" r:id="rId12"/>
    <hyperlink xmlns:r="http://schemas.openxmlformats.org/officeDocument/2006/relationships" ref="D15" display="Discord" r:id="rId13"/>
    <hyperlink xmlns:r="http://schemas.openxmlformats.org/officeDocument/2006/relationships" ref="D16" display="Discord" r:id="rId14"/>
    <hyperlink xmlns:r="http://schemas.openxmlformats.org/officeDocument/2006/relationships" ref="D17" display="Discord" r:id="rId15"/>
    <hyperlink xmlns:r="http://schemas.openxmlformats.org/officeDocument/2006/relationships" ref="D18" display="Discord" r:id="rId16"/>
    <hyperlink xmlns:r="http://schemas.openxmlformats.org/officeDocument/2006/relationships" ref="D19" display="Discord" r:id="rId17"/>
    <hyperlink xmlns:r="http://schemas.openxmlformats.org/officeDocument/2006/relationships" ref="D20" display="Discord" r:id="rId18"/>
    <hyperlink xmlns:r="http://schemas.openxmlformats.org/officeDocument/2006/relationships" ref="D21" display="Discord" r:id="rId19"/>
    <hyperlink xmlns:r="http://schemas.openxmlformats.org/officeDocument/2006/relationships" ref="D22" display="Discord" r:id="rId20"/>
    <hyperlink xmlns:r="http://schemas.openxmlformats.org/officeDocument/2006/relationships" ref="D23" display="Discord" r:id="rId21"/>
    <hyperlink xmlns:r="http://schemas.openxmlformats.org/officeDocument/2006/relationships" ref="D24" display="Discord" r:id="rId22"/>
    <hyperlink xmlns:r="http://schemas.openxmlformats.org/officeDocument/2006/relationships" ref="D25" display="Discord" r:id="rId23"/>
    <hyperlink xmlns:r="http://schemas.openxmlformats.org/officeDocument/2006/relationships" ref="D26" display="Discord" r:id="rId24"/>
    <hyperlink xmlns:r="http://schemas.openxmlformats.org/officeDocument/2006/relationships" ref="D27" display="Discord" r:id="rId25"/>
    <hyperlink xmlns:r="http://schemas.openxmlformats.org/officeDocument/2006/relationships" ref="D28" display="Discord" r:id="rId26"/>
    <hyperlink xmlns:r="http://schemas.openxmlformats.org/officeDocument/2006/relationships" ref="D29" display="Discord" r:id="rId27"/>
    <hyperlink xmlns:r="http://schemas.openxmlformats.org/officeDocument/2006/relationships" ref="D30" display="Discord" r:id="rId28"/>
    <hyperlink xmlns:r="http://schemas.openxmlformats.org/officeDocument/2006/relationships" ref="D31" display="Discord" r:id="rId29"/>
    <hyperlink xmlns:r="http://schemas.openxmlformats.org/officeDocument/2006/relationships" ref="D32" display="Discord" r:id="rId30"/>
    <hyperlink xmlns:r="http://schemas.openxmlformats.org/officeDocument/2006/relationships" ref="D33" display="Discord" r:id="rId31"/>
    <hyperlink xmlns:r="http://schemas.openxmlformats.org/officeDocument/2006/relationships" ref="D34" display="Discord" r:id="rId32"/>
    <hyperlink xmlns:r="http://schemas.openxmlformats.org/officeDocument/2006/relationships" ref="D35" display="Discord" r:id="rId33"/>
    <hyperlink xmlns:r="http://schemas.openxmlformats.org/officeDocument/2006/relationships" ref="D36" display="Discord" r:id="rId34"/>
    <hyperlink xmlns:r="http://schemas.openxmlformats.org/officeDocument/2006/relationships" ref="D37" display="Discord" r:id="rId35"/>
    <hyperlink xmlns:r="http://schemas.openxmlformats.org/officeDocument/2006/relationships" ref="D38" display="Discord" r:id="rId36"/>
    <hyperlink xmlns:r="http://schemas.openxmlformats.org/officeDocument/2006/relationships" ref="D39" display="Discord" r:id="rId37"/>
    <hyperlink xmlns:r="http://schemas.openxmlformats.org/officeDocument/2006/relationships" ref="D40" display="Discord" r:id="rId38"/>
    <hyperlink xmlns:r="http://schemas.openxmlformats.org/officeDocument/2006/relationships" ref="D41" display="Discord" r:id="rId39"/>
    <hyperlink xmlns:r="http://schemas.openxmlformats.org/officeDocument/2006/relationships" ref="D42" display="Discord" r:id="rId40"/>
    <hyperlink xmlns:r="http://schemas.openxmlformats.org/officeDocument/2006/relationships" ref="D43" display="Discord" r:id="rId41"/>
    <hyperlink xmlns:r="http://schemas.openxmlformats.org/officeDocument/2006/relationships" ref="D44" display="Discord" r:id="rId42"/>
    <hyperlink xmlns:r="http://schemas.openxmlformats.org/officeDocument/2006/relationships" ref="D45" display="Discord" r:id="rId43"/>
    <hyperlink xmlns:r="http://schemas.openxmlformats.org/officeDocument/2006/relationships" ref="D46" display="Discord" r:id="rId44"/>
    <hyperlink xmlns:r="http://schemas.openxmlformats.org/officeDocument/2006/relationships" ref="D47" display="Discord" r:id="rId45"/>
    <hyperlink xmlns:r="http://schemas.openxmlformats.org/officeDocument/2006/relationships" ref="D48" display="Discord" r:id="rId46"/>
    <hyperlink xmlns:r="http://schemas.openxmlformats.org/officeDocument/2006/relationships" ref="D49" display="Discord" r:id="rId47"/>
    <hyperlink xmlns:r="http://schemas.openxmlformats.org/officeDocument/2006/relationships" ref="D50" display="Discord" r:id="rId48"/>
    <hyperlink xmlns:r="http://schemas.openxmlformats.org/officeDocument/2006/relationships" ref="D51" display="Discord" r:id="rId49"/>
    <hyperlink xmlns:r="http://schemas.openxmlformats.org/officeDocument/2006/relationships" ref="D52" display="Discord" r:id="rId50"/>
    <hyperlink xmlns:r="http://schemas.openxmlformats.org/officeDocument/2006/relationships" ref="D53" display="Discord" r:id="rId51"/>
    <hyperlink xmlns:r="http://schemas.openxmlformats.org/officeDocument/2006/relationships" ref="D54" display="Discord" r:id="rId52"/>
    <hyperlink xmlns:r="http://schemas.openxmlformats.org/officeDocument/2006/relationships" ref="D55" display="Discord" r:id="rId53"/>
    <hyperlink xmlns:r="http://schemas.openxmlformats.org/officeDocument/2006/relationships" ref="D56" display="Discord" r:id="rId54"/>
    <hyperlink xmlns:r="http://schemas.openxmlformats.org/officeDocument/2006/relationships" ref="D57" display="Discord" r:id="rId55"/>
    <hyperlink xmlns:r="http://schemas.openxmlformats.org/officeDocument/2006/relationships" ref="D58" display="Discord" r:id="rId56"/>
    <hyperlink xmlns:r="http://schemas.openxmlformats.org/officeDocument/2006/relationships" ref="D59" display="Discord" r:id="rId57"/>
    <hyperlink xmlns:r="http://schemas.openxmlformats.org/officeDocument/2006/relationships" ref="D60" display="Discord" r:id="rId58"/>
    <hyperlink xmlns:r="http://schemas.openxmlformats.org/officeDocument/2006/relationships" ref="D61" display="Discord" r:id="rId59"/>
    <hyperlink xmlns:r="http://schemas.openxmlformats.org/officeDocument/2006/relationships" ref="D62" display="Discord" r:id="rId60"/>
    <hyperlink xmlns:r="http://schemas.openxmlformats.org/officeDocument/2006/relationships" ref="D63" display="Discord" r:id="rId61"/>
    <hyperlink xmlns:r="http://schemas.openxmlformats.org/officeDocument/2006/relationships" ref="D64" display="Discord" r:id="rId62"/>
    <hyperlink xmlns:r="http://schemas.openxmlformats.org/officeDocument/2006/relationships" ref="D65" display="Discord" r:id="rId63"/>
    <hyperlink xmlns:r="http://schemas.openxmlformats.org/officeDocument/2006/relationships" ref="D66" display="Discord" r:id="rId64"/>
    <hyperlink xmlns:r="http://schemas.openxmlformats.org/officeDocument/2006/relationships" ref="D67" display="Discord" r:id="rId65"/>
    <hyperlink xmlns:r="http://schemas.openxmlformats.org/officeDocument/2006/relationships" ref="D68" display="Discord" r:id="rId66"/>
    <hyperlink xmlns:r="http://schemas.openxmlformats.org/officeDocument/2006/relationships" ref="D69" display="Discord" r:id="rId67"/>
    <hyperlink xmlns:r="http://schemas.openxmlformats.org/officeDocument/2006/relationships" ref="D70" display="Discord" r:id="rId68"/>
    <hyperlink xmlns:r="http://schemas.openxmlformats.org/officeDocument/2006/relationships" ref="D71" display="Discord" r:id="rId69"/>
    <hyperlink xmlns:r="http://schemas.openxmlformats.org/officeDocument/2006/relationships" ref="D72" display="Discord" r:id="rId70"/>
    <hyperlink xmlns:r="http://schemas.openxmlformats.org/officeDocument/2006/relationships" ref="D73" display="Discord" r:id="rId71"/>
    <hyperlink xmlns:r="http://schemas.openxmlformats.org/officeDocument/2006/relationships" ref="D74" display="Discord" r:id="rId72"/>
    <hyperlink xmlns:r="http://schemas.openxmlformats.org/officeDocument/2006/relationships" ref="D75" display="Discord" r:id="rId73"/>
    <hyperlink xmlns:r="http://schemas.openxmlformats.org/officeDocument/2006/relationships" ref="D76" display="Discord" r:id="rId74"/>
    <hyperlink xmlns:r="http://schemas.openxmlformats.org/officeDocument/2006/relationships" ref="D77" display="Discord" r:id="rId75"/>
    <hyperlink xmlns:r="http://schemas.openxmlformats.org/officeDocument/2006/relationships" ref="D78" display="Discord" r:id="rId76"/>
    <hyperlink xmlns:r="http://schemas.openxmlformats.org/officeDocument/2006/relationships" ref="D79" display="Discord" r:id="rId77"/>
    <hyperlink xmlns:r="http://schemas.openxmlformats.org/officeDocument/2006/relationships" ref="D80" display="Discord" r:id="rId78"/>
    <hyperlink xmlns:r="http://schemas.openxmlformats.org/officeDocument/2006/relationships" ref="D81" display="Discord" r:id="rId79"/>
    <hyperlink xmlns:r="http://schemas.openxmlformats.org/officeDocument/2006/relationships" ref="D82" display="Discord" r:id="rId80"/>
    <hyperlink xmlns:r="http://schemas.openxmlformats.org/officeDocument/2006/relationships" ref="D83" display="Discord" r:id="rId81"/>
    <hyperlink xmlns:r="http://schemas.openxmlformats.org/officeDocument/2006/relationships" ref="D84" display="Discord" r:id="rId82"/>
    <hyperlink xmlns:r="http://schemas.openxmlformats.org/officeDocument/2006/relationships" ref="D85" display="Discord" r:id="rId83"/>
    <hyperlink xmlns:r="http://schemas.openxmlformats.org/officeDocument/2006/relationships" ref="D86" display="Discord" r:id="rId84"/>
    <hyperlink xmlns:r="http://schemas.openxmlformats.org/officeDocument/2006/relationships" ref="D87" display="Discord" r:id="rId85"/>
    <hyperlink xmlns:r="http://schemas.openxmlformats.org/officeDocument/2006/relationships" ref="D88" display="Discord" r:id="rId86"/>
    <hyperlink xmlns:r="http://schemas.openxmlformats.org/officeDocument/2006/relationships" ref="D89" display="Discord" r:id="rId87"/>
    <hyperlink xmlns:r="http://schemas.openxmlformats.org/officeDocument/2006/relationships" ref="D90" display="Discord" r:id="rId88"/>
    <hyperlink xmlns:r="http://schemas.openxmlformats.org/officeDocument/2006/relationships" ref="D91" display="Discord" r:id="rId89"/>
    <hyperlink xmlns:r="http://schemas.openxmlformats.org/officeDocument/2006/relationships" ref="D92" display="Discord" r:id="rId90"/>
    <hyperlink xmlns:r="http://schemas.openxmlformats.org/officeDocument/2006/relationships" ref="D93" display="Discord" r:id="rId91"/>
    <hyperlink xmlns:r="http://schemas.openxmlformats.org/officeDocument/2006/relationships" ref="D94" display="Discord" r:id="rId92"/>
    <hyperlink xmlns:r="http://schemas.openxmlformats.org/officeDocument/2006/relationships" ref="D95" display="Discord" r:id="rId93"/>
    <hyperlink xmlns:r="http://schemas.openxmlformats.org/officeDocument/2006/relationships" ref="D96" display="Discord" r:id="rId94"/>
    <hyperlink xmlns:r="http://schemas.openxmlformats.org/officeDocument/2006/relationships" ref="D97" display="Discord" r:id="rId95"/>
    <hyperlink xmlns:r="http://schemas.openxmlformats.org/officeDocument/2006/relationships" ref="D98" display="Discord" r:id="rId96"/>
    <hyperlink xmlns:r="http://schemas.openxmlformats.org/officeDocument/2006/relationships" ref="D99" display="Discord" r:id="rId97"/>
    <hyperlink xmlns:r="http://schemas.openxmlformats.org/officeDocument/2006/relationships" ref="D100" display="Discord" r:id="rId98"/>
    <hyperlink xmlns:r="http://schemas.openxmlformats.org/officeDocument/2006/relationships" ref="D101" display="Discord" r:id="rId99"/>
    <hyperlink xmlns:r="http://schemas.openxmlformats.org/officeDocument/2006/relationships" ref="D102" display="Discord" r:id="rId100"/>
    <hyperlink xmlns:r="http://schemas.openxmlformats.org/officeDocument/2006/relationships" ref="D103" display="Discord" r:id="rId101"/>
    <hyperlink xmlns:r="http://schemas.openxmlformats.org/officeDocument/2006/relationships" ref="D104" display="Discord" r:id="rId102"/>
    <hyperlink xmlns:r="http://schemas.openxmlformats.org/officeDocument/2006/relationships" ref="D105" display="Discord" r:id="rId103"/>
  </hyperlinks>
  <printOptions horizontalCentered="0" verticalCentered="0" headings="0" gridLines="0" gridLinesSet="1"/>
  <pageMargins left="0" right="0" top="0" bottom="0.1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04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O3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54296875" defaultRowHeight="15" customHeight="1" zeroHeight="0" outlineLevelRow="0" outlineLevelCol="0"/>
  <cols>
    <col width="7.82" customWidth="1" style="173" min="1" max="1"/>
    <col width="6.27" customWidth="1" style="173" min="2" max="2"/>
    <col width="7.82" customWidth="1" style="173" min="3" max="3"/>
    <col width="7" customWidth="1" style="173" min="4" max="4"/>
    <col hidden="1" width="4.82" customWidth="1" style="173" min="5" max="5"/>
    <col width="7.82" customWidth="1" style="173" min="6" max="6"/>
    <col width="6.82" customWidth="1" style="173" min="7" max="8"/>
    <col width="4.73" customWidth="1" style="173" min="9" max="9"/>
    <col width="9.449999999999999" customWidth="1" style="173" min="10" max="10"/>
    <col width="11.45" customWidth="1" style="173" min="11" max="11"/>
    <col width="6.73" customWidth="1" style="173" min="12" max="12"/>
    <col width="8.449999999999999" customWidth="1" style="173" min="13" max="13"/>
    <col width="10.45" customWidth="1" style="173" min="14" max="14"/>
    <col width="11.82" customWidth="1" style="173" min="15" max="15"/>
    <col width="7.82" customWidth="1" style="173" min="16" max="16"/>
    <col width="12.45" customWidth="1" style="173" min="17" max="17"/>
    <col width="9.18" customWidth="1" style="173" min="18" max="18"/>
    <col width="4.45" customWidth="1" style="173" min="19" max="19"/>
    <col width="5.45" customWidth="1" style="173" min="20" max="20"/>
    <col width="3.73" customWidth="1" style="173" min="21" max="21"/>
    <col width="5.18" customWidth="1" style="173" min="22" max="22"/>
    <col width="5.73" customWidth="1" style="173" min="23" max="23"/>
    <col width="5" customWidth="1" style="173" min="24" max="24"/>
    <col width="4.27" customWidth="1" style="173" min="25" max="25"/>
    <col width="4.82" customWidth="1" style="173" min="26" max="26"/>
    <col width="5.45" customWidth="1" style="173" min="27" max="27"/>
    <col width="7.18" customWidth="1" style="173" min="28" max="28"/>
    <col width="7.82" customWidth="1" style="173" min="29" max="29"/>
    <col width="10.45" customWidth="1" style="173" min="30" max="30"/>
    <col width="7.45" customWidth="1" style="173" min="31" max="31"/>
    <col width="8.449999999999999" customWidth="1" style="173" min="32" max="32"/>
    <col width="5.73" customWidth="1" style="173" min="33" max="33"/>
    <col width="9.449999999999999" customWidth="1" style="173" min="34" max="34"/>
    <col width="11.45" customWidth="1" style="173" min="35" max="35"/>
    <col width="14.18" customWidth="1" style="173" min="36" max="36"/>
    <col width="8.449999999999999" customWidth="1" style="173" min="37" max="37"/>
    <col width="10.45" customWidth="1" style="173" min="38" max="38"/>
    <col width="7.45" customWidth="1" style="173" min="39" max="39"/>
    <col width="8.449999999999999" customWidth="1" style="173" min="40" max="41"/>
  </cols>
  <sheetData>
    <row r="1" ht="14.25" customHeight="1" s="175">
      <c r="A1" s="262" t="inlineStr">
        <is>
          <t>Sniper</t>
        </is>
      </c>
      <c r="B1" s="263" t="inlineStr">
        <is>
          <t>Points</t>
        </is>
      </c>
      <c r="C1" s="264" t="inlineStr">
        <is>
          <t>Snipee</t>
        </is>
      </c>
      <c r="D1" s="330" t="inlineStr">
        <is>
          <t>Link:</t>
        </is>
      </c>
      <c r="E1" s="331" t="n"/>
      <c r="F1" s="179" t="inlineStr">
        <is>
          <t>Data by Person:</t>
        </is>
      </c>
      <c r="G1" s="180" t="n"/>
      <c r="H1" s="180" t="n"/>
      <c r="I1" s="180" t="n"/>
      <c r="J1" s="180" t="n"/>
      <c r="K1" s="180" t="n"/>
      <c r="L1" s="180" t="n"/>
      <c r="M1" s="180" t="n"/>
      <c r="N1" s="180" t="n"/>
      <c r="O1" s="181" t="n"/>
      <c r="P1" s="182" t="n"/>
      <c r="Q1" s="332" t="inlineStr">
        <is>
          <t>Kill and Death Points Pivot Table (kill points at right, death points at bottom)</t>
        </is>
      </c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  <c r="AC1" s="180" t="n"/>
      <c r="AD1" s="180" t="n"/>
      <c r="AE1" s="181" t="n"/>
      <c r="AG1" s="179" t="inlineStr">
        <is>
          <t>Ties?</t>
        </is>
      </c>
      <c r="AH1" s="185" t="inlineStr">
        <is>
          <t>Name</t>
        </is>
      </c>
      <c r="AI1" s="186" t="inlineStr">
        <is>
          <t>Value</t>
        </is>
      </c>
      <c r="AJ1" s="187" t="inlineStr">
        <is>
          <t>Various Stats:</t>
        </is>
      </c>
      <c r="AK1" s="188" t="inlineStr">
        <is>
          <t>Value</t>
        </is>
      </c>
      <c r="AL1" s="185" t="inlineStr">
        <is>
          <t>Part</t>
        </is>
      </c>
      <c r="AM1" s="179" t="inlineStr">
        <is>
          <t>Ties?</t>
        </is>
      </c>
    </row>
    <row r="2" ht="14.25" customHeight="1" s="175">
      <c r="A2" s="267" t="inlineStr">
        <is>
          <t>David</t>
        </is>
      </c>
      <c r="B2" s="268" t="n">
        <v>1</v>
      </c>
      <c r="C2" s="269" t="inlineStr">
        <is>
          <t>Peter</t>
        </is>
      </c>
      <c r="D2" s="192" t="inlineStr">
        <is>
          <t>https://discord.com/channels/191975109500731392/1212839710439776287/1212845263862108160</t>
        </is>
      </c>
      <c r="E2" s="333" t="n"/>
      <c r="F2" s="226" t="inlineStr">
        <is>
          <t>Person:</t>
        </is>
      </c>
      <c r="G2" s="206" t="inlineStr">
        <is>
          <t>Kills</t>
        </is>
      </c>
      <c r="H2" s="206" t="inlineStr">
        <is>
          <t>Deaths</t>
        </is>
      </c>
      <c r="I2" s="206" t="inlineStr">
        <is>
          <t>KDR</t>
        </is>
      </c>
      <c r="J2" s="206" t="inlineStr">
        <is>
          <t>Kill Points</t>
        </is>
      </c>
      <c r="K2" s="206" t="inlineStr">
        <is>
          <t>Death Points</t>
        </is>
      </c>
      <c r="L2" s="206" t="inlineStr">
        <is>
          <t>KpDpR</t>
        </is>
      </c>
      <c r="M2" s="196" t="inlineStr">
        <is>
          <t>KPts/Kill</t>
        </is>
      </c>
      <c r="N2" s="196" t="inlineStr">
        <is>
          <t>DPts/Death</t>
        </is>
      </c>
      <c r="O2" s="227" t="inlineStr">
        <is>
          <t>Full Sweep %</t>
        </is>
      </c>
      <c r="P2" s="182" t="n"/>
      <c r="Q2" s="198" t="inlineStr">
        <is>
          <t>Sum of Points</t>
        </is>
      </c>
      <c r="R2" s="199" t="inlineStr">
        <is>
          <t>Snipee</t>
        </is>
      </c>
      <c r="S2" s="200" t="n"/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1" t="n"/>
      <c r="AE2" s="334" t="n"/>
      <c r="AG2" s="203" t="n"/>
      <c r="AH2" s="204" t="n"/>
      <c r="AI2" s="205">
        <f>COUNT(B$1:B$159)</f>
        <v/>
      </c>
      <c r="AJ2" s="206" t="inlineStr">
        <is>
          <t>Total Snipes:</t>
        </is>
      </c>
      <c r="AK2" s="205">
        <f>COUNT(B$1:B$159)</f>
        <v/>
      </c>
      <c r="AL2" s="203" t="n"/>
      <c r="AM2" s="203" t="n"/>
    </row>
    <row r="3" ht="14.25" customHeight="1" s="175">
      <c r="A3" s="267" t="inlineStr">
        <is>
          <t>Peter</t>
        </is>
      </c>
      <c r="B3" s="268" t="n">
        <v>1</v>
      </c>
      <c r="C3" s="269" t="inlineStr">
        <is>
          <t>David</t>
        </is>
      </c>
      <c r="D3" s="192" t="inlineStr">
        <is>
          <t>https://discord.com/channels/191975109500731392/1212839710439776287/1212845397924646943</t>
        </is>
      </c>
      <c r="E3" s="333" t="n"/>
      <c r="F3" s="208" t="inlineStr">
        <is>
          <t>Carter</t>
        </is>
      </c>
      <c r="G3" s="209">
        <f>COUNTIF($A:$A,F3)</f>
        <v/>
      </c>
      <c r="H3" s="209">
        <f>COUNTIF($C:$C,F3)</f>
        <v/>
      </c>
      <c r="I3" s="210">
        <f>IF(H3,G3/H3,0)</f>
        <v/>
      </c>
      <c r="J3" s="209">
        <f>IFERROR(GETPIVOTDATA("Points",$Q$2,"Sniper",F3),0)</f>
        <v/>
      </c>
      <c r="K3" s="209">
        <f>IFERROR(GETPIVOTDATA("Points",$Q$2,"Snipee",F3),0)</f>
        <v/>
      </c>
      <c r="L3" s="299">
        <f>IF(K3,J3/K3,0)</f>
        <v/>
      </c>
      <c r="M3" s="210">
        <f>IF(G3,J3/G3,0)</f>
        <v/>
      </c>
      <c r="N3" s="210">
        <f>IF(H3,K3/H3,0)</f>
        <v/>
      </c>
      <c r="O3" s="300">
        <f>(IFERROR(VLOOKUP(F3,$Q:$AE,15,FALSE()),0))/11</f>
        <v/>
      </c>
      <c r="P3" s="320" t="n"/>
      <c r="Q3" s="212" t="inlineStr">
        <is>
          <t>Sniper</t>
        </is>
      </c>
      <c r="R3" s="301" t="inlineStr">
        <is>
          <t>Anthony</t>
        </is>
      </c>
      <c r="S3" s="302" t="inlineStr">
        <is>
          <t>Carter</t>
        </is>
      </c>
      <c r="T3" s="302" t="inlineStr">
        <is>
          <t>Cooper</t>
        </is>
      </c>
      <c r="U3" s="302" t="inlineStr">
        <is>
          <t>David</t>
        </is>
      </c>
      <c r="V3" s="302" t="inlineStr">
        <is>
          <t>Erick</t>
        </is>
      </c>
      <c r="W3" s="302" t="inlineStr">
        <is>
          <t>Grady</t>
        </is>
      </c>
      <c r="X3" s="302" t="inlineStr">
        <is>
          <t>Jon</t>
        </is>
      </c>
      <c r="Y3" s="302" t="inlineStr">
        <is>
          <t>Peter</t>
        </is>
      </c>
      <c r="Z3" s="302" t="inlineStr">
        <is>
          <t>Sam</t>
        </is>
      </c>
      <c r="AA3" s="302" t="inlineStr">
        <is>
          <t>Seth</t>
        </is>
      </c>
      <c r="AB3" s="302" t="inlineStr">
        <is>
          <t>Tyler</t>
        </is>
      </c>
      <c r="AC3" s="214" t="inlineStr">
        <is>
          <t>Total Result</t>
        </is>
      </c>
      <c r="AE3" s="335" t="inlineStr">
        <is>
          <t>Count</t>
        </is>
      </c>
      <c r="AG3" s="203" t="n"/>
      <c r="AH3" s="203" t="n"/>
      <c r="AI3" s="215">
        <f>GETPIVOTDATA("Points",$Q$2)</f>
        <v/>
      </c>
      <c r="AJ3" s="216" t="inlineStr">
        <is>
          <t>Total Points:</t>
        </is>
      </c>
      <c r="AK3" s="215">
        <f>GETPIVOTDATA("Points",$Q$2)</f>
        <v/>
      </c>
      <c r="AL3" s="203" t="n"/>
      <c r="AM3" s="203" t="n"/>
    </row>
    <row r="4" ht="14.25" customHeight="1" s="175">
      <c r="A4" s="267" t="inlineStr">
        <is>
          <t>Sam</t>
        </is>
      </c>
      <c r="B4" s="268" t="n">
        <v>2</v>
      </c>
      <c r="C4" s="269" t="inlineStr">
        <is>
          <t>David</t>
        </is>
      </c>
      <c r="D4" s="192" t="inlineStr">
        <is>
          <t>https://discord.com/channels/191975109500731392/1212839710439776287/1212879934528421971</t>
        </is>
      </c>
      <c r="E4" s="333" t="n"/>
      <c r="F4" s="208" t="inlineStr">
        <is>
          <t>Grady</t>
        </is>
      </c>
      <c r="G4" s="209">
        <f>COUNTIF($A:$A,F4)</f>
        <v/>
      </c>
      <c r="H4" s="209">
        <f>COUNTIF($C:$C,F4)</f>
        <v/>
      </c>
      <c r="I4" s="210">
        <f>IF(H4,G4/H4,0)</f>
        <v/>
      </c>
      <c r="J4" s="209">
        <f>IFERROR(GETPIVOTDATA("Points",$Q$2,"Sniper",F4),0)</f>
        <v/>
      </c>
      <c r="K4" s="209">
        <f>IFERROR(GETPIVOTDATA("Points",$Q$2,"Snipee",F4),0)</f>
        <v/>
      </c>
      <c r="L4" s="299">
        <f>IF(K4,J4/K4,0)</f>
        <v/>
      </c>
      <c r="M4" s="210">
        <f>IF(G4,J4/G4,0)</f>
        <v/>
      </c>
      <c r="N4" s="210">
        <f>IF(H4,K4/H4,0)</f>
        <v/>
      </c>
      <c r="O4" s="300">
        <f>(IFERROR(VLOOKUP(F4,$Q:$AE,15,FALSE()),0))/11</f>
        <v/>
      </c>
      <c r="P4" s="182" t="n"/>
      <c r="Q4" s="303" t="inlineStr">
        <is>
          <t>Anthony</t>
        </is>
      </c>
      <c r="R4" s="273" t="n"/>
      <c r="S4" s="274" t="n"/>
      <c r="T4" s="274" t="n">
        <v>1</v>
      </c>
      <c r="U4" s="274" t="n">
        <v>1</v>
      </c>
      <c r="V4" s="274" t="n"/>
      <c r="W4" s="274" t="n"/>
      <c r="X4" s="274" t="n"/>
      <c r="Y4" s="274" t="n"/>
      <c r="Z4" s="274" t="n">
        <v>2</v>
      </c>
      <c r="AA4" s="274" t="n">
        <v>2</v>
      </c>
      <c r="AB4" s="275" t="n"/>
      <c r="AC4" s="276" t="n">
        <v>6</v>
      </c>
      <c r="AE4" s="336">
        <f>COUNT(R4:AC4)</f>
        <v/>
      </c>
      <c r="AG4" s="220">
        <f>COUNTIF(G3:G14,AI4)-1</f>
        <v/>
      </c>
      <c r="AH4" s="221">
        <f>$F$23</f>
        <v/>
      </c>
      <c r="AI4" s="215">
        <f>maxine(G3:G14)</f>
        <v/>
      </c>
      <c r="AJ4" s="216" t="inlineStr">
        <is>
          <t>Most Kills:</t>
        </is>
      </c>
      <c r="AK4" s="215">
        <f>maxine(G17:G20)</f>
        <v/>
      </c>
      <c r="AL4" s="223">
        <f>$F$68</f>
        <v/>
      </c>
      <c r="AM4" s="220">
        <f>COUNTIF(G17:G20,AK4)-1</f>
        <v/>
      </c>
    </row>
    <row r="5" ht="14.25" customHeight="1" s="175">
      <c r="A5" s="267" t="inlineStr">
        <is>
          <t>Maxine</t>
        </is>
      </c>
      <c r="B5" s="268" t="n">
        <v>2</v>
      </c>
      <c r="C5" s="269" t="inlineStr">
        <is>
          <t>Tyler</t>
        </is>
      </c>
      <c r="D5" s="192" t="inlineStr">
        <is>
          <t>https://discord.com/channels/191975109500731392/1212839710439776287/1213187873935728680</t>
        </is>
      </c>
      <c r="E5" s="333" t="n"/>
      <c r="F5" s="208" t="inlineStr">
        <is>
          <t>Seth</t>
        </is>
      </c>
      <c r="G5" s="209">
        <f>COUNTIF($A:$A,F5)</f>
        <v/>
      </c>
      <c r="H5" s="209">
        <f>COUNTIF($C:$C,F5)</f>
        <v/>
      </c>
      <c r="I5" s="210">
        <f>IF(H5,G5/H5,0)</f>
        <v/>
      </c>
      <c r="J5" s="209">
        <f>IFERROR(GETPIVOTDATA("Points",$Q$2,"Sniper",F5),0)</f>
        <v/>
      </c>
      <c r="K5" s="209">
        <f>IFERROR(GETPIVOTDATA("Points",$Q$2,"Snipee",F5),0)</f>
        <v/>
      </c>
      <c r="L5" s="299">
        <f>IF(K5,J5/K5,0)</f>
        <v/>
      </c>
      <c r="M5" s="210">
        <f>IF(G5,J5/G5,0)</f>
        <v/>
      </c>
      <c r="N5" s="210">
        <f>IF(H5,K5/H5,0)</f>
        <v/>
      </c>
      <c r="O5" s="300">
        <f>(IFERROR(VLOOKUP(F5,$Q:$AE,15,FALSE()),0))/11</f>
        <v/>
      </c>
      <c r="P5" s="182" t="n"/>
      <c r="Q5" s="304" t="inlineStr">
        <is>
          <t>Carter</t>
        </is>
      </c>
      <c r="R5" s="278" t="n"/>
      <c r="S5" s="279" t="n"/>
      <c r="T5" s="279" t="n"/>
      <c r="U5" s="279" t="n">
        <v>8</v>
      </c>
      <c r="V5" s="279" t="n">
        <v>10</v>
      </c>
      <c r="W5" s="279" t="n"/>
      <c r="X5" s="279" t="n">
        <v>2</v>
      </c>
      <c r="Y5" s="279" t="n">
        <v>2</v>
      </c>
      <c r="Z5" s="279" t="n">
        <v>4</v>
      </c>
      <c r="AA5" s="279" t="n"/>
      <c r="AB5" s="280" t="n"/>
      <c r="AC5" s="281" t="n">
        <v>26</v>
      </c>
      <c r="AE5" s="336">
        <f>COUNT(R5:AC5)</f>
        <v/>
      </c>
      <c r="AG5" s="220">
        <f>COUNTIF(H3:H14,AI5)-1</f>
        <v/>
      </c>
      <c r="AH5" s="221">
        <f>$F$37</f>
        <v/>
      </c>
      <c r="AI5" s="215">
        <f>maxine(H3:H14)</f>
        <v/>
      </c>
      <c r="AJ5" s="216" t="inlineStr">
        <is>
          <t>Most Deaths:</t>
        </is>
      </c>
      <c r="AK5" s="215">
        <f>maxine(H17:H20)</f>
        <v/>
      </c>
      <c r="AL5" s="223">
        <f>$F$77</f>
        <v/>
      </c>
      <c r="AM5" s="220">
        <f>COUNTIF(H17:H20,AK5)-1</f>
        <v/>
      </c>
    </row>
    <row r="6" ht="14.25" customHeight="1" s="175">
      <c r="A6" s="267" t="inlineStr">
        <is>
          <t>Carter</t>
        </is>
      </c>
      <c r="B6" s="268" t="n">
        <v>2</v>
      </c>
      <c r="C6" s="269" t="inlineStr">
        <is>
          <t>Erick</t>
        </is>
      </c>
      <c r="D6" s="192" t="inlineStr">
        <is>
          <t>https://discord.com/channels/191975109500731392/1212839710439776287/1213194839336816710</t>
        </is>
      </c>
      <c r="E6" s="333" t="n"/>
      <c r="F6" s="208" t="inlineStr">
        <is>
          <t>Cooper</t>
        </is>
      </c>
      <c r="G6" s="209">
        <f>COUNTIF($A:$A,F6)</f>
        <v/>
      </c>
      <c r="H6" s="209">
        <f>COUNTIF($C:$C,F6)</f>
        <v/>
      </c>
      <c r="I6" s="210">
        <f>IF(H6,G6/H6,0)</f>
        <v/>
      </c>
      <c r="J6" s="209">
        <f>IFERROR(GETPIVOTDATA("Points",$Q$2,"Sniper",F6),0)</f>
        <v/>
      </c>
      <c r="K6" s="209">
        <f>IFERROR(GETPIVOTDATA("Points",$Q$2,"Snipee",F6),0)</f>
        <v/>
      </c>
      <c r="L6" s="299">
        <f>IF(K6,J6/K6,0)</f>
        <v/>
      </c>
      <c r="M6" s="210">
        <f>IF(G6,J6/G6,0)</f>
        <v/>
      </c>
      <c r="N6" s="210">
        <f>IF(H6,K6/H6,0)</f>
        <v/>
      </c>
      <c r="O6" s="300">
        <f>(IFERROR(VLOOKUP(F6,$Q:$AE,15,FALSE()),0))/11</f>
        <v/>
      </c>
      <c r="P6" s="182" t="n"/>
      <c r="Q6" s="304" t="inlineStr">
        <is>
          <t>Cooper</t>
        </is>
      </c>
      <c r="R6" s="278" t="n">
        <v>2</v>
      </c>
      <c r="S6" s="279" t="n"/>
      <c r="T6" s="279" t="n"/>
      <c r="U6" s="279" t="n"/>
      <c r="V6" s="279" t="n"/>
      <c r="W6" s="279" t="n"/>
      <c r="X6" s="279" t="n">
        <v>1</v>
      </c>
      <c r="Y6" s="279" t="n"/>
      <c r="Z6" s="279" t="n"/>
      <c r="AA6" s="279" t="n"/>
      <c r="AB6" s="280" t="n"/>
      <c r="AC6" s="281" t="n">
        <v>3</v>
      </c>
      <c r="AE6" s="336">
        <f>COUNT(R6:AC6)</f>
        <v/>
      </c>
      <c r="AG6" s="220">
        <f>COUNTIF(J3:J14,AI6)-1</f>
        <v/>
      </c>
      <c r="AH6" s="221">
        <f>$P$23</f>
        <v/>
      </c>
      <c r="AI6" s="215">
        <f>maxine(J3:J14)</f>
        <v/>
      </c>
      <c r="AJ6" s="216" t="inlineStr">
        <is>
          <t>Most Kill Pts:</t>
        </is>
      </c>
      <c r="AK6" s="215">
        <f>maxine(J17:J20)</f>
        <v/>
      </c>
      <c r="AL6" s="223">
        <f>$P$68</f>
        <v/>
      </c>
      <c r="AM6" s="220">
        <f>COUNTIF(J17:J20,AK6)-1</f>
        <v/>
      </c>
    </row>
    <row r="7" ht="14.25" customHeight="1" s="175">
      <c r="A7" s="267" t="inlineStr">
        <is>
          <t>Sam</t>
        </is>
      </c>
      <c r="B7" s="268" t="n">
        <v>1</v>
      </c>
      <c r="C7" s="269" t="inlineStr">
        <is>
          <t>Cooper</t>
        </is>
      </c>
      <c r="D7" s="192" t="inlineStr">
        <is>
          <t>https://discord.com/channels/191975109500731392/1212839710439776287/1214299533304135760</t>
        </is>
      </c>
      <c r="E7" s="333" t="n"/>
      <c r="F7" s="208" t="inlineStr">
        <is>
          <t>Maxine</t>
        </is>
      </c>
      <c r="G7" s="209">
        <f>COUNTIF($A:$A,F7)</f>
        <v/>
      </c>
      <c r="H7" s="209">
        <f>COUNTIF($C:$C,F7)</f>
        <v/>
      </c>
      <c r="I7" s="210">
        <f>IF(H7,G7/H7,0)</f>
        <v/>
      </c>
      <c r="J7" s="209">
        <f>IFERROR(GETPIVOTDATA("Points",$Q$2,"Sniper",F7),0)</f>
        <v/>
      </c>
      <c r="K7" s="209">
        <f>IFERROR(GETPIVOTDATA("Points",$Q$2,"Snipee",F7),0)</f>
        <v/>
      </c>
      <c r="L7" s="299">
        <f>IF(K7,J7/K7,0)</f>
        <v/>
      </c>
      <c r="M7" s="210">
        <f>IF(G7,J7/G7,0)</f>
        <v/>
      </c>
      <c r="N7" s="210">
        <f>IF(H7,K7/H7,0)</f>
        <v/>
      </c>
      <c r="O7" s="300">
        <f>(IFERROR(VLOOKUP(F7,$Q:$AE,15,FALSE()),0))/11</f>
        <v/>
      </c>
      <c r="P7" s="182" t="n"/>
      <c r="Q7" s="304" t="inlineStr">
        <is>
          <t>David</t>
        </is>
      </c>
      <c r="R7" s="278" t="n">
        <v>4</v>
      </c>
      <c r="S7" s="279" t="n">
        <v>12</v>
      </c>
      <c r="T7" s="279" t="n"/>
      <c r="U7" s="279" t="n"/>
      <c r="V7" s="279" t="n">
        <v>6</v>
      </c>
      <c r="W7" s="279" t="n">
        <v>0</v>
      </c>
      <c r="X7" s="279" t="n">
        <v>5</v>
      </c>
      <c r="Y7" s="279" t="n">
        <v>4</v>
      </c>
      <c r="Z7" s="279" t="n">
        <v>10</v>
      </c>
      <c r="AA7" s="279" t="n"/>
      <c r="AB7" s="280" t="n">
        <v>2</v>
      </c>
      <c r="AC7" s="281" t="n">
        <v>43</v>
      </c>
      <c r="AE7" s="336">
        <f>COUNT(R7:AC7)</f>
        <v/>
      </c>
      <c r="AG7" s="220">
        <f>COUNTIF(K3:K14,AI7)-1</f>
        <v/>
      </c>
      <c r="AH7" s="221">
        <f>$P$37</f>
        <v/>
      </c>
      <c r="AI7" s="215">
        <f>maxine(K3:K14)</f>
        <v/>
      </c>
      <c r="AJ7" s="216" t="inlineStr">
        <is>
          <t>Most Death Pts:</t>
        </is>
      </c>
      <c r="AK7" s="215">
        <f>maxine(K17:K20)</f>
        <v/>
      </c>
      <c r="AL7" s="223">
        <f>$P$77</f>
        <v/>
      </c>
      <c r="AM7" s="220">
        <f>COUNTIF(K17:K20,AK7)-1</f>
        <v/>
      </c>
    </row>
    <row r="8" ht="14.25" customHeight="1" s="175">
      <c r="A8" s="267" t="inlineStr">
        <is>
          <t>Carter</t>
        </is>
      </c>
      <c r="B8" s="268" t="n">
        <v>2</v>
      </c>
      <c r="C8" s="269" t="inlineStr">
        <is>
          <t>David</t>
        </is>
      </c>
      <c r="D8" s="192" t="inlineStr">
        <is>
          <t>https://discord.com/channels/191975109500731392/1212839710439776287/1214328987526897704</t>
        </is>
      </c>
      <c r="E8" s="333" t="n"/>
      <c r="F8" s="208" t="inlineStr">
        <is>
          <t>David</t>
        </is>
      </c>
      <c r="G8" s="209">
        <f>COUNTIF($A:$A,F8)</f>
        <v/>
      </c>
      <c r="H8" s="209">
        <f>COUNTIF($C:$C,F8)</f>
        <v/>
      </c>
      <c r="I8" s="210">
        <f>IF(H8,G8/H8,0)</f>
        <v/>
      </c>
      <c r="J8" s="209">
        <f>IFERROR(GETPIVOTDATA("Points",$Q$2,"Sniper",F8),0)</f>
        <v/>
      </c>
      <c r="K8" s="209">
        <f>IFERROR(GETPIVOTDATA("Points",$Q$2,"Snipee",F8),0)</f>
        <v/>
      </c>
      <c r="L8" s="299">
        <f>IF(K8,J8/K8,0)</f>
        <v/>
      </c>
      <c r="M8" s="210">
        <f>IF(G8,J8/G8,0)</f>
        <v/>
      </c>
      <c r="N8" s="210">
        <f>IF(H8,K8/H8,0)</f>
        <v/>
      </c>
      <c r="O8" s="300">
        <f>(IFERROR(VLOOKUP(F8,$Q:$AE,15,FALSE()),0))/11</f>
        <v/>
      </c>
      <c r="P8" s="182" t="n"/>
      <c r="Q8" s="304" t="inlineStr">
        <is>
          <t>Erick</t>
        </is>
      </c>
      <c r="R8" s="278" t="n"/>
      <c r="S8" s="279" t="n">
        <v>7</v>
      </c>
      <c r="T8" s="279" t="n">
        <v>1</v>
      </c>
      <c r="U8" s="279" t="n">
        <v>5</v>
      </c>
      <c r="V8" s="279" t="n"/>
      <c r="W8" s="279" t="n">
        <v>2</v>
      </c>
      <c r="X8" s="279" t="n">
        <v>1</v>
      </c>
      <c r="Y8" s="279" t="n"/>
      <c r="Z8" s="279" t="n">
        <v>1</v>
      </c>
      <c r="AA8" s="279" t="n"/>
      <c r="AB8" s="280" t="n"/>
      <c r="AC8" s="281" t="n">
        <v>17</v>
      </c>
      <c r="AE8" s="336">
        <f>COUNT(R8:AC8)</f>
        <v/>
      </c>
      <c r="AG8" s="220">
        <f>COUNTIF(I3:I14,AI8)-1</f>
        <v/>
      </c>
      <c r="AH8" s="225">
        <f>$F$51</f>
        <v/>
      </c>
      <c r="AI8" s="222">
        <f>maxine(I3:I14)</f>
        <v/>
      </c>
      <c r="AJ8" s="216" t="inlineStr">
        <is>
          <t>Best KDR:</t>
        </is>
      </c>
      <c r="AK8" s="222">
        <f>maxine(I17:I20)</f>
        <v/>
      </c>
      <c r="AL8" s="223">
        <f>$F$86</f>
        <v/>
      </c>
      <c r="AM8" s="220">
        <f>COUNTIF(I17:I20,AK8)-1</f>
        <v/>
      </c>
    </row>
    <row r="9" ht="14.25" customHeight="1" s="175">
      <c r="A9" s="267" t="inlineStr">
        <is>
          <t>Maxine</t>
        </is>
      </c>
      <c r="B9" s="268" t="n">
        <v>2</v>
      </c>
      <c r="C9" s="269" t="inlineStr">
        <is>
          <t>Sam</t>
        </is>
      </c>
      <c r="D9" s="192" t="inlineStr">
        <is>
          <t>https://discord.com/channels/191975109500731392/1212839710439776287/1214411804231340092</t>
        </is>
      </c>
      <c r="E9" s="333" t="n"/>
      <c r="F9" s="208" t="inlineStr">
        <is>
          <t>Tyler</t>
        </is>
      </c>
      <c r="G9" s="209">
        <f>COUNTIF($A:$A,F9)</f>
        <v/>
      </c>
      <c r="H9" s="209">
        <f>COUNTIF($C:$C,F9)</f>
        <v/>
      </c>
      <c r="I9" s="210">
        <f>IF(H9,G9/H9,0)</f>
        <v/>
      </c>
      <c r="J9" s="209">
        <f>IFERROR(GETPIVOTDATA("Points",$Q$2,"Sniper",F9),0)</f>
        <v/>
      </c>
      <c r="K9" s="209">
        <f>IFERROR(GETPIVOTDATA("Points",$Q$2,"Snipee",F9),0)</f>
        <v/>
      </c>
      <c r="L9" s="299">
        <f>IF(K9,J9/K9,0)</f>
        <v/>
      </c>
      <c r="M9" s="210">
        <f>IF(G9,J9/G9,0)</f>
        <v/>
      </c>
      <c r="N9" s="210">
        <f>IF(H9,K9/H9,0)</f>
        <v/>
      </c>
      <c r="O9" s="300">
        <f>(IFERROR(VLOOKUP(F9,$Q:$AE,15,FALSE()),0))/11</f>
        <v/>
      </c>
      <c r="P9" s="182" t="n"/>
      <c r="Q9" s="304" t="inlineStr">
        <is>
          <t>Jon</t>
        </is>
      </c>
      <c r="R9" s="278" t="n"/>
      <c r="S9" s="279" t="n">
        <v>2</v>
      </c>
      <c r="T9" s="279" t="n">
        <v>1</v>
      </c>
      <c r="U9" s="279" t="n">
        <v>4</v>
      </c>
      <c r="V9" s="279" t="n">
        <v>2</v>
      </c>
      <c r="W9" s="279" t="n">
        <v>4</v>
      </c>
      <c r="X9" s="279" t="n"/>
      <c r="Y9" s="279" t="n">
        <v>3</v>
      </c>
      <c r="Z9" s="279" t="n">
        <v>2</v>
      </c>
      <c r="AA9" s="279" t="n">
        <v>2</v>
      </c>
      <c r="AB9" s="280" t="n"/>
      <c r="AC9" s="281" t="n">
        <v>20</v>
      </c>
      <c r="AE9" s="336">
        <f>COUNT(R9:AC9)</f>
        <v/>
      </c>
      <c r="AG9" s="220">
        <f>COUNTIF(I3:I14,AI9)-1</f>
        <v/>
      </c>
      <c r="AH9" s="225" t="inlineStr">
        <is>
          <t>Grady</t>
        </is>
      </c>
      <c r="AI9" s="222">
        <f>MIN(I3:I14)</f>
        <v/>
      </c>
      <c r="AJ9" s="216" t="inlineStr">
        <is>
          <t>Worst KDR:</t>
        </is>
      </c>
      <c r="AK9" s="222">
        <f>MIN(I17:I20)</f>
        <v/>
      </c>
      <c r="AL9" s="223">
        <f>$F$83</f>
        <v/>
      </c>
      <c r="AM9" s="220">
        <f>COUNTIF(I17:I20,AK9)-1</f>
        <v/>
      </c>
    </row>
    <row r="10" ht="14.25" customHeight="1" s="175">
      <c r="A10" s="267" t="inlineStr">
        <is>
          <t>Peter</t>
        </is>
      </c>
      <c r="B10" s="268" t="n">
        <v>1</v>
      </c>
      <c r="C10" s="269" t="inlineStr">
        <is>
          <t>Sam</t>
        </is>
      </c>
      <c r="D10" s="192" t="inlineStr">
        <is>
          <t>https://discord.com/channels/191975109500731392/1212839710439776287/1214593533567307806</t>
        </is>
      </c>
      <c r="E10" s="333" t="n"/>
      <c r="F10" s="208" t="inlineStr">
        <is>
          <t>Anthony</t>
        </is>
      </c>
      <c r="G10" s="209">
        <f>COUNTIF($A:$A,F10)</f>
        <v/>
      </c>
      <c r="H10" s="209">
        <f>COUNTIF($C:$C,F10)</f>
        <v/>
      </c>
      <c r="I10" s="210">
        <f>IF(H10,G10/H10,0)</f>
        <v/>
      </c>
      <c r="J10" s="209">
        <f>IFERROR(GETPIVOTDATA("Points",$Q$2,"Sniper",F10),0)</f>
        <v/>
      </c>
      <c r="K10" s="209">
        <f>IFERROR(GETPIVOTDATA("Points",$Q$2,"Snipee",F10),0)</f>
        <v/>
      </c>
      <c r="L10" s="299">
        <f>IF(K10,J10/K10,0)</f>
        <v/>
      </c>
      <c r="M10" s="210">
        <f>IF(G10,J10/G10,0)</f>
        <v/>
      </c>
      <c r="N10" s="210">
        <f>IF(H10,K10/H10,0)</f>
        <v/>
      </c>
      <c r="O10" s="300">
        <f>(IFERROR(VLOOKUP(F10,$Q:$AE,15,FALSE()),0))/11</f>
        <v/>
      </c>
      <c r="P10" s="182" t="n"/>
      <c r="Q10" s="304" t="inlineStr">
        <is>
          <t>Peter</t>
        </is>
      </c>
      <c r="R10" s="278" t="n">
        <v>4</v>
      </c>
      <c r="S10" s="279" t="n">
        <v>5</v>
      </c>
      <c r="T10" s="279" t="n">
        <v>2</v>
      </c>
      <c r="U10" s="279" t="n">
        <v>4</v>
      </c>
      <c r="V10" s="279" t="n">
        <v>2</v>
      </c>
      <c r="W10" s="279" t="n">
        <v>3</v>
      </c>
      <c r="X10" s="279" t="n">
        <v>3</v>
      </c>
      <c r="Y10" s="279" t="n"/>
      <c r="Z10" s="279" t="n">
        <v>1</v>
      </c>
      <c r="AA10" s="279" t="n">
        <v>2</v>
      </c>
      <c r="AB10" s="280" t="n">
        <v>2</v>
      </c>
      <c r="AC10" s="281" t="n">
        <v>28</v>
      </c>
      <c r="AE10" s="336">
        <f>COUNT(R10:AC10)</f>
        <v/>
      </c>
      <c r="AG10" s="220">
        <f>COUNTIF(L3:L14,AI10)-1</f>
        <v/>
      </c>
      <c r="AH10" s="225">
        <f>$P$51</f>
        <v/>
      </c>
      <c r="AI10" s="222">
        <f>maxine(L3:L14)</f>
        <v/>
      </c>
      <c r="AJ10" s="216" t="inlineStr">
        <is>
          <t>Best KpDpR:</t>
        </is>
      </c>
      <c r="AK10" s="222">
        <f>maxine(L17:L20)</f>
        <v/>
      </c>
      <c r="AL10" s="223">
        <f>$P$86</f>
        <v/>
      </c>
      <c r="AM10" s="220">
        <f>COUNTIF(L17:L20,AK10)-1</f>
        <v/>
      </c>
    </row>
    <row r="11" ht="14.25" customHeight="1" s="175">
      <c r="A11" s="267" t="inlineStr">
        <is>
          <t>Sam</t>
        </is>
      </c>
      <c r="B11" s="268" t="n">
        <v>2</v>
      </c>
      <c r="C11" s="269" t="inlineStr">
        <is>
          <t>Carter</t>
        </is>
      </c>
      <c r="D11" s="192" t="inlineStr">
        <is>
          <t>https://discord.com/channels/191975109500731392/1212839710439776287/1214963667682992178</t>
        </is>
      </c>
      <c r="E11" s="333" t="n"/>
      <c r="F11" s="208" t="inlineStr">
        <is>
          <t>Sam</t>
        </is>
      </c>
      <c r="G11" s="209">
        <f>COUNTIF($A:$A,F11)</f>
        <v/>
      </c>
      <c r="H11" s="209">
        <f>COUNTIF($C:$C,F11)</f>
        <v/>
      </c>
      <c r="I11" s="210">
        <f>IF(H11,G11/H11,0)</f>
        <v/>
      </c>
      <c r="J11" s="209">
        <f>IFERROR(GETPIVOTDATA("Points",$Q$2,"Sniper",F11),0)</f>
        <v/>
      </c>
      <c r="K11" s="209">
        <f>IFERROR(GETPIVOTDATA("Points",$Q$2,"Snipee",F11),0)</f>
        <v/>
      </c>
      <c r="L11" s="299">
        <f>IF(K11,J11/K11,0)</f>
        <v/>
      </c>
      <c r="M11" s="210">
        <f>IF(G11,J11/G11,0)</f>
        <v/>
      </c>
      <c r="N11" s="210">
        <f>IF(H11,K11/H11,0)</f>
        <v/>
      </c>
      <c r="O11" s="300">
        <f>(IFERROR(VLOOKUP(F11,$Q:$AE,15,FALSE()),0))/11</f>
        <v/>
      </c>
      <c r="P11" s="182" t="n"/>
      <c r="Q11" s="304" t="inlineStr">
        <is>
          <t>Sam</t>
        </is>
      </c>
      <c r="R11" s="278" t="n">
        <v>2</v>
      </c>
      <c r="S11" s="279" t="n">
        <v>10</v>
      </c>
      <c r="T11" s="279" t="n">
        <v>3</v>
      </c>
      <c r="U11" s="279" t="n">
        <v>8</v>
      </c>
      <c r="V11" s="279" t="n">
        <v>1</v>
      </c>
      <c r="W11" s="279" t="n">
        <v>4</v>
      </c>
      <c r="X11" s="279" t="n">
        <v>7</v>
      </c>
      <c r="Y11" s="279" t="n">
        <v>2</v>
      </c>
      <c r="Z11" s="279" t="n"/>
      <c r="AA11" s="279" t="n">
        <v>6</v>
      </c>
      <c r="AB11" s="280" t="n">
        <v>4</v>
      </c>
      <c r="AC11" s="281" t="n">
        <v>47</v>
      </c>
      <c r="AE11" s="336">
        <f>COUNT(R11:AC11)</f>
        <v/>
      </c>
      <c r="AG11" s="220">
        <f>COUNTIF(L3:L14,AI11)-1</f>
        <v/>
      </c>
      <c r="AH11" s="225" t="inlineStr">
        <is>
          <t>Grady</t>
        </is>
      </c>
      <c r="AI11" s="222">
        <f>MIN(L3:L14)</f>
        <v/>
      </c>
      <c r="AJ11" s="216" t="inlineStr">
        <is>
          <t>Worst KpDpR:</t>
        </is>
      </c>
      <c r="AK11" s="222">
        <f>MIN(L17:L20)</f>
        <v/>
      </c>
      <c r="AL11" s="223">
        <f>$P$83</f>
        <v/>
      </c>
      <c r="AM11" s="220">
        <f>COUNTIF(L17:L20,AK11)-1</f>
        <v/>
      </c>
    </row>
    <row r="12" ht="14.25" customHeight="1" s="175">
      <c r="A12" s="267" t="inlineStr">
        <is>
          <t>David</t>
        </is>
      </c>
      <c r="B12" s="268" t="n">
        <v>2</v>
      </c>
      <c r="C12" s="269" t="inlineStr">
        <is>
          <t>Carter</t>
        </is>
      </c>
      <c r="D12" s="192" t="inlineStr">
        <is>
          <t>https://discord.com/channels/191975109500731392/1212839710439776287/1214964509249241108</t>
        </is>
      </c>
      <c r="E12" s="333" t="n"/>
      <c r="F12" s="208" t="inlineStr">
        <is>
          <t>Erick</t>
        </is>
      </c>
      <c r="G12" s="209">
        <f>COUNTIF($A:$A,F12)</f>
        <v/>
      </c>
      <c r="H12" s="209">
        <f>COUNTIF($C:$C,F12)</f>
        <v/>
      </c>
      <c r="I12" s="210">
        <f>IF(H12,G12/H12,0)</f>
        <v/>
      </c>
      <c r="J12" s="209">
        <f>IFERROR(GETPIVOTDATA("Points",$Q$2,"Sniper",F12),0)</f>
        <v/>
      </c>
      <c r="K12" s="209">
        <f>IFERROR(GETPIVOTDATA("Points",$Q$2,"Snipee",F12),0)</f>
        <v/>
      </c>
      <c r="L12" s="299">
        <f>IF(K12,J12/K12,0)</f>
        <v/>
      </c>
      <c r="M12" s="210">
        <f>IF(G12,J12/G12,0)</f>
        <v/>
      </c>
      <c r="N12" s="210">
        <f>IF(H12,K12/H12,0)</f>
        <v/>
      </c>
      <c r="O12" s="300">
        <f>(IFERROR(VLOOKUP(F12,$Q:$AE,15,FALSE()),0))/11</f>
        <v/>
      </c>
      <c r="P12" s="182" t="n"/>
      <c r="Q12" s="304" t="inlineStr">
        <is>
          <t>Seth</t>
        </is>
      </c>
      <c r="R12" s="278" t="n"/>
      <c r="S12" s="279" t="n"/>
      <c r="T12" s="279" t="n"/>
      <c r="U12" s="279" t="n"/>
      <c r="V12" s="279" t="n"/>
      <c r="W12" s="279" t="n"/>
      <c r="X12" s="279" t="n"/>
      <c r="Y12" s="279" t="n"/>
      <c r="Z12" s="279" t="n"/>
      <c r="AA12" s="279" t="n"/>
      <c r="AB12" s="280" t="n">
        <v>2</v>
      </c>
      <c r="AC12" s="281" t="n">
        <v>2</v>
      </c>
      <c r="AE12" s="336">
        <f>COUNT(R12:AC12)</f>
        <v/>
      </c>
      <c r="AF12" s="246" t="n"/>
    </row>
    <row r="13" ht="14.25" customHeight="1" s="175">
      <c r="A13" s="267" t="inlineStr">
        <is>
          <t>Sam</t>
        </is>
      </c>
      <c r="B13" s="268" t="n">
        <v>2</v>
      </c>
      <c r="C13" s="269" t="inlineStr">
        <is>
          <t>Cooper</t>
        </is>
      </c>
      <c r="D13" s="192" t="inlineStr">
        <is>
          <t>https://discord.com/channels/191975109500731392/1212839710439776287/1215015942325665893</t>
        </is>
      </c>
      <c r="E13" s="333" t="n"/>
      <c r="F13" s="208" t="inlineStr">
        <is>
          <t>Peter</t>
        </is>
      </c>
      <c r="G13" s="209">
        <f>COUNTIF($A:$A,F13)</f>
        <v/>
      </c>
      <c r="H13" s="209">
        <f>COUNTIF($C:$C,F13)</f>
        <v/>
      </c>
      <c r="I13" s="210">
        <f>IF(H13,G13/H13,0)</f>
        <v/>
      </c>
      <c r="J13" s="209">
        <f>IFERROR(GETPIVOTDATA("Points",$Q$2,"Sniper",F13),0)</f>
        <v/>
      </c>
      <c r="K13" s="209">
        <f>IFERROR(GETPIVOTDATA("Points",$Q$2,"Snipee",F13),0)</f>
        <v/>
      </c>
      <c r="L13" s="299">
        <f>IF(K13,J13/K13,0)</f>
        <v/>
      </c>
      <c r="M13" s="210">
        <f>IF(G13,J13/G13,0)</f>
        <v/>
      </c>
      <c r="N13" s="210">
        <f>IF(H13,K13/H13,0)</f>
        <v/>
      </c>
      <c r="O13" s="300">
        <f>(IFERROR(VLOOKUP(F13,$Q:$AE,15,FALSE()),0))/11</f>
        <v/>
      </c>
      <c r="P13" s="182" t="n"/>
      <c r="Q13" s="304" t="inlineStr">
        <is>
          <t>Tyler</t>
        </is>
      </c>
      <c r="R13" s="282" t="n"/>
      <c r="S13" s="283" t="n"/>
      <c r="T13" s="283" t="n">
        <v>2</v>
      </c>
      <c r="U13" s="283" t="n"/>
      <c r="V13" s="283" t="n"/>
      <c r="W13" s="283" t="n"/>
      <c r="X13" s="283" t="n"/>
      <c r="Y13" s="283" t="n"/>
      <c r="Z13" s="283" t="n"/>
      <c r="AA13" s="283" t="n"/>
      <c r="AB13" s="284" t="n"/>
      <c r="AC13" s="285" t="n">
        <v>2</v>
      </c>
      <c r="AE13" s="336">
        <f>COUNT(R13:AC13)</f>
        <v/>
      </c>
      <c r="AF13" s="246" t="n"/>
    </row>
    <row r="14" ht="14.25" customHeight="1" s="175">
      <c r="A14" s="267" t="inlineStr">
        <is>
          <t>Jon</t>
        </is>
      </c>
      <c r="B14" s="268" t="n">
        <v>2</v>
      </c>
      <c r="C14" s="269" t="inlineStr">
        <is>
          <t>Carter</t>
        </is>
      </c>
      <c r="D14" s="192" t="inlineStr">
        <is>
          <t>https://discord.com/channels/191975109500731392/1212839710439776287/1215050831033012354</t>
        </is>
      </c>
      <c r="E14" s="333" t="n"/>
      <c r="F14" s="314" t="inlineStr">
        <is>
          <t>Jon</t>
        </is>
      </c>
      <c r="G14" s="209">
        <f>COUNTIF($A:$A,F14)</f>
        <v/>
      </c>
      <c r="H14" s="209">
        <f>COUNTIF($C:$C,F14)</f>
        <v/>
      </c>
      <c r="I14" s="210">
        <f>IF(H14,G14/H14,0)</f>
        <v/>
      </c>
      <c r="J14" s="209">
        <f>IFERROR(GETPIVOTDATA("Points",$Q$2,"Sniper",F14),0)</f>
        <v/>
      </c>
      <c r="K14" s="209">
        <f>IFERROR(GETPIVOTDATA("Points",$Q$2,"Snipee",F14),0)</f>
        <v/>
      </c>
      <c r="L14" s="299">
        <f>IF(K14,J14/K14,0)</f>
        <v/>
      </c>
      <c r="M14" s="210">
        <f>IF(G14,J14/G14,0)</f>
        <v/>
      </c>
      <c r="N14" s="210">
        <f>IF(H14,K14/H14,0)</f>
        <v/>
      </c>
      <c r="O14" s="300">
        <f>(IFERROR(VLOOKUP(F14,$Q:$AE,15,FALSE()),0))/11</f>
        <v/>
      </c>
      <c r="P14" s="182" t="n"/>
      <c r="Q14" s="237" t="inlineStr">
        <is>
          <t>Total Result</t>
        </is>
      </c>
      <c r="R14" s="286" t="n">
        <v>12</v>
      </c>
      <c r="S14" s="287" t="n">
        <v>36</v>
      </c>
      <c r="T14" s="287" t="n">
        <v>10</v>
      </c>
      <c r="U14" s="287" t="n">
        <v>30</v>
      </c>
      <c r="V14" s="287" t="n">
        <v>21</v>
      </c>
      <c r="W14" s="287" t="n">
        <v>13</v>
      </c>
      <c r="X14" s="287" t="n">
        <v>19</v>
      </c>
      <c r="Y14" s="287" t="n">
        <v>11</v>
      </c>
      <c r="Z14" s="287" t="n">
        <v>20</v>
      </c>
      <c r="AA14" s="287" t="n">
        <v>12</v>
      </c>
      <c r="AB14" s="288" t="n">
        <v>10</v>
      </c>
      <c r="AC14" s="239" t="n">
        <v>194</v>
      </c>
      <c r="AE14" s="336">
        <f>COUNT(R14:AC14)</f>
        <v/>
      </c>
      <c r="AF14" s="246" t="n"/>
    </row>
    <row r="15" ht="14.25" customHeight="1" s="175">
      <c r="A15" s="267" t="inlineStr">
        <is>
          <t>Peter</t>
        </is>
      </c>
      <c r="B15" s="268" t="n">
        <v>1</v>
      </c>
      <c r="C15" s="269" t="inlineStr">
        <is>
          <t>Grady</t>
        </is>
      </c>
      <c r="D15" s="192" t="inlineStr">
        <is>
          <t>https://discord.com/channels/191975109500731392/1212839710439776287/1215326037072678973</t>
        </is>
      </c>
      <c r="E15" s="333" t="n"/>
      <c r="F15" s="179" t="inlineStr">
        <is>
          <t>Data By Voice Part:</t>
        </is>
      </c>
      <c r="G15" s="180" t="n"/>
      <c r="H15" s="180" t="n"/>
      <c r="I15" s="180" t="n"/>
      <c r="J15" s="180" t="n"/>
      <c r="K15" s="180" t="n"/>
      <c r="L15" s="180" t="n"/>
      <c r="M15" s="180" t="n"/>
      <c r="N15" s="181" t="n"/>
      <c r="P15" s="182" t="n"/>
      <c r="AE15" s="216" t="n"/>
      <c r="AF15" s="315" t="n"/>
    </row>
    <row r="16" ht="14.25" customHeight="1" s="175">
      <c r="A16" s="267" t="inlineStr">
        <is>
          <t>Jon</t>
        </is>
      </c>
      <c r="B16" s="268" t="n">
        <v>2</v>
      </c>
      <c r="C16" s="269" t="inlineStr">
        <is>
          <t>David</t>
        </is>
      </c>
      <c r="D16" s="192" t="inlineStr">
        <is>
          <t>https://discord.com/channels/191975109500731392/1212839710439776287/1215363180306636860</t>
        </is>
      </c>
      <c r="E16" s="333" t="n"/>
      <c r="F16" s="226" t="inlineStr">
        <is>
          <t>Part:</t>
        </is>
      </c>
      <c r="G16" s="206" t="inlineStr">
        <is>
          <t>Kills</t>
        </is>
      </c>
      <c r="H16" s="206" t="inlineStr">
        <is>
          <t>Deaths</t>
        </is>
      </c>
      <c r="I16" s="206" t="inlineStr">
        <is>
          <t>KDR</t>
        </is>
      </c>
      <c r="J16" s="206" t="inlineStr">
        <is>
          <t>Kill Points</t>
        </is>
      </c>
      <c r="K16" s="206" t="inlineStr">
        <is>
          <t>Death Points</t>
        </is>
      </c>
      <c r="L16" s="206" t="inlineStr">
        <is>
          <t>KpDpR</t>
        </is>
      </c>
      <c r="M16" s="196" t="inlineStr">
        <is>
          <t>KPts/Kill</t>
        </is>
      </c>
      <c r="N16" s="206" t="inlineStr">
        <is>
          <t>DPts/Death</t>
        </is>
      </c>
      <c r="P16" s="232" t="n"/>
      <c r="AF16" s="246" t="n"/>
      <c r="AJ16" s="260" t="n"/>
    </row>
    <row r="17" ht="14.25" customHeight="1" s="175">
      <c r="A17" s="267" t="inlineStr">
        <is>
          <t>Carter</t>
        </is>
      </c>
      <c r="B17" s="268" t="n">
        <v>2</v>
      </c>
      <c r="C17" s="269" t="inlineStr">
        <is>
          <t>Erick</t>
        </is>
      </c>
      <c r="D17" s="192" t="inlineStr">
        <is>
          <t>https://discord.com/channels/191975109500731392/1212839710439776287/1215371451373199452</t>
        </is>
      </c>
      <c r="E17" s="333" t="n"/>
      <c r="F17" s="208" t="inlineStr">
        <is>
          <t>Tenors</t>
        </is>
      </c>
      <c r="G17" s="337">
        <f>SUM(G3:G5)</f>
        <v/>
      </c>
      <c r="H17" s="338">
        <f>SUM(H3:H5)</f>
        <v/>
      </c>
      <c r="I17" s="242">
        <f>IF(H17,G17/H17,0)</f>
        <v/>
      </c>
      <c r="J17" s="337">
        <f>SUM(J3:J5)</f>
        <v/>
      </c>
      <c r="K17" s="338">
        <f>SUM(K3:K5)</f>
        <v/>
      </c>
      <c r="L17" s="242">
        <f>IF(K17,J17/K17,0)</f>
        <v/>
      </c>
      <c r="M17" s="243">
        <f>IF(G17,J17/G17,0)</f>
        <v/>
      </c>
      <c r="N17" s="244">
        <f>IF(H17,K17/H17,0)</f>
        <v/>
      </c>
      <c r="R17" s="245" t="n"/>
      <c r="AD17" s="316" t="inlineStr">
        <is>
          <t>MATRIX</t>
        </is>
      </c>
      <c r="AE17" s="317" t="inlineStr">
        <is>
          <t>Kills</t>
        </is>
      </c>
      <c r="AF17" s="317" t="inlineStr">
        <is>
          <t>Deaths</t>
        </is>
      </c>
      <c r="AG17" s="317" t="inlineStr">
        <is>
          <t>KDR</t>
        </is>
      </c>
      <c r="AH17" s="317" t="inlineStr">
        <is>
          <t>Kill Points</t>
        </is>
      </c>
      <c r="AI17" s="317" t="inlineStr">
        <is>
          <t>Death Points</t>
        </is>
      </c>
      <c r="AJ17" s="317" t="inlineStr">
        <is>
          <t>KpDpR</t>
        </is>
      </c>
      <c r="AK17" s="317" t="inlineStr">
        <is>
          <t>KPts/Kill</t>
        </is>
      </c>
      <c r="AL17" s="317" t="inlineStr">
        <is>
          <t>DPts/Death</t>
        </is>
      </c>
    </row>
    <row r="18" ht="14.25" customHeight="1" s="175">
      <c r="A18" s="267" t="inlineStr">
        <is>
          <t>David</t>
        </is>
      </c>
      <c r="B18" s="268" t="n">
        <v>2</v>
      </c>
      <c r="C18" s="269" t="inlineStr">
        <is>
          <t>Tyler</t>
        </is>
      </c>
      <c r="D18" s="192" t="inlineStr">
        <is>
          <t>https://discord.com/channels/191975109500731392/1212839710439776287/1215409481089945600</t>
        </is>
      </c>
      <c r="E18" s="333" t="n"/>
      <c r="F18" s="208" t="inlineStr">
        <is>
          <t>Leads</t>
        </is>
      </c>
      <c r="G18" s="321">
        <f>SUM(G6:G8)</f>
        <v/>
      </c>
      <c r="H18" s="291">
        <f>SUM(H6:H8)</f>
        <v/>
      </c>
      <c r="I18" s="242">
        <f>IF(H18,G18/H18,0)</f>
        <v/>
      </c>
      <c r="J18" s="337">
        <f>SUM(J6:J8)</f>
        <v/>
      </c>
      <c r="K18" s="338">
        <f>SUM(K6:K8)</f>
        <v/>
      </c>
      <c r="L18" s="242">
        <f>IF(K18,J18/K18,0)</f>
        <v/>
      </c>
      <c r="M18" s="243">
        <f>IF(G18,J18/G18,0)</f>
        <v/>
      </c>
      <c r="N18" s="244">
        <f>IF(H18,K18/H18,0)</f>
        <v/>
      </c>
      <c r="R18" s="245" t="n"/>
      <c r="AD18" s="318" t="inlineStr">
        <is>
          <t>Weight:</t>
        </is>
      </c>
      <c r="AE18" s="229">
        <f>(20+18+16+4+5+6)/9</f>
        <v/>
      </c>
      <c r="AF18" s="230">
        <f>-(9+5+6+7+8+9+10)/9</f>
        <v/>
      </c>
      <c r="AG18" s="230">
        <f>4*(3+15+6+14+9+10)/9</f>
        <v/>
      </c>
      <c r="AH18" s="230">
        <f>(30+9+24+7+1)/9</f>
        <v/>
      </c>
      <c r="AI18" s="230">
        <f>-(3+15+14+8+18)/9</f>
        <v/>
      </c>
      <c r="AJ18" s="230">
        <f>4*(10+18+8+12+6)/9</f>
        <v/>
      </c>
      <c r="AK18" s="230">
        <f>5*(35+14)/9</f>
        <v/>
      </c>
      <c r="AL18" s="230">
        <f>-5*(1+4+3+4+10+7+9)/9</f>
        <v/>
      </c>
      <c r="AM18" s="220" t="inlineStr">
        <is>
          <t>Totals:</t>
        </is>
      </c>
      <c r="AN18" s="339" t="inlineStr">
        <is>
          <t>Award:</t>
        </is>
      </c>
    </row>
    <row r="19" ht="14.25" customHeight="1" s="175">
      <c r="A19" s="267" t="inlineStr">
        <is>
          <t>Maxine</t>
        </is>
      </c>
      <c r="B19" s="268" t="n">
        <v>2</v>
      </c>
      <c r="C19" s="269" t="inlineStr">
        <is>
          <t>Tyler</t>
        </is>
      </c>
      <c r="D19" s="192" t="inlineStr">
        <is>
          <t>https://discord.com/channels/191975109500731392/1212839710439776287/1215409500413104139</t>
        </is>
      </c>
      <c r="E19" s="333" t="n"/>
      <c r="F19" s="208" t="inlineStr">
        <is>
          <t>Baris</t>
        </is>
      </c>
      <c r="G19" s="321">
        <f>SUM(G9:G11)</f>
        <v/>
      </c>
      <c r="H19" s="291">
        <f>SUM(H9:H11)</f>
        <v/>
      </c>
      <c r="I19" s="242">
        <f>IF(H19,G19/H19,0)</f>
        <v/>
      </c>
      <c r="J19" s="337">
        <f>SUM(J9:J11)</f>
        <v/>
      </c>
      <c r="K19" s="338">
        <f>SUM(K9:K11)</f>
        <v/>
      </c>
      <c r="L19" s="242">
        <f>IF(K19,J19/K19,0)</f>
        <v/>
      </c>
      <c r="M19" s="243">
        <f>IF(G19,J19/G19,0)</f>
        <v/>
      </c>
      <c r="N19" s="244">
        <f>IF(H19,K19/H19,0)</f>
        <v/>
      </c>
      <c r="P19" s="245" t="n"/>
      <c r="AD19" s="318" t="inlineStr">
        <is>
          <t>Carter</t>
        </is>
      </c>
      <c r="AE19" s="210">
        <f>G3*$AE$18</f>
        <v/>
      </c>
      <c r="AF19" s="210">
        <f>H3*$AF$18</f>
        <v/>
      </c>
      <c r="AG19" s="210">
        <f>I3*$AG$18</f>
        <v/>
      </c>
      <c r="AH19" s="210">
        <f>J3*$AH$18</f>
        <v/>
      </c>
      <c r="AI19" s="210">
        <f>K3*$AI$18</f>
        <v/>
      </c>
      <c r="AJ19" s="210">
        <f>L3*$AJ$18</f>
        <v/>
      </c>
      <c r="AK19" s="210">
        <f>M3*$AK$18</f>
        <v/>
      </c>
      <c r="AL19" s="210">
        <f>N3*$AL$18</f>
        <v/>
      </c>
      <c r="AM19" s="251">
        <f>SUM(AE19:AL19)</f>
        <v/>
      </c>
      <c r="AN19" s="339" t="n"/>
    </row>
    <row r="20" ht="14.25" customHeight="1" s="175">
      <c r="A20" s="267" t="inlineStr">
        <is>
          <t>David</t>
        </is>
      </c>
      <c r="B20" s="268" t="n">
        <v>1</v>
      </c>
      <c r="C20" s="269" t="inlineStr">
        <is>
          <t>Erick</t>
        </is>
      </c>
      <c r="D20" s="192" t="inlineStr">
        <is>
          <t>https://discord.com/channels/191975109500731392/1212839710439776287/1215736616535064616</t>
        </is>
      </c>
      <c r="E20" s="333" t="n"/>
      <c r="F20" s="208" t="inlineStr">
        <is>
          <t>Basses</t>
        </is>
      </c>
      <c r="G20" s="321">
        <f>SUM(G12:G14)</f>
        <v/>
      </c>
      <c r="H20" s="291">
        <f>SUM(H12:H14)</f>
        <v/>
      </c>
      <c r="I20" s="242">
        <f>IF(H20,G20/H20,0)</f>
        <v/>
      </c>
      <c r="J20" s="337">
        <f>SUM(J12:J14)</f>
        <v/>
      </c>
      <c r="K20" s="338">
        <f>SUM(K12:K14)</f>
        <v/>
      </c>
      <c r="L20" s="242">
        <f>IF(K20,J20/K20,0)</f>
        <v/>
      </c>
      <c r="M20" s="243">
        <f>IF(G20,J20/G20,0)</f>
        <v/>
      </c>
      <c r="N20" s="244">
        <f>IF(H20,K20/H20,0)</f>
        <v/>
      </c>
      <c r="P20" s="245" t="n"/>
      <c r="AD20" s="318" t="inlineStr">
        <is>
          <t>Grady</t>
        </is>
      </c>
      <c r="AE20" s="210">
        <f>G4*$AE$18</f>
        <v/>
      </c>
      <c r="AF20" s="210">
        <f>H4*$AF$18</f>
        <v/>
      </c>
      <c r="AG20" s="210">
        <f>I4*$AG$18</f>
        <v/>
      </c>
      <c r="AH20" s="210">
        <f>J4*$AH$18</f>
        <v/>
      </c>
      <c r="AI20" s="210">
        <f>K4*$AI$18</f>
        <v/>
      </c>
      <c r="AJ20" s="210">
        <f>L4*$AJ$18</f>
        <v/>
      </c>
      <c r="AK20" s="210">
        <f>M4*$AK$18</f>
        <v/>
      </c>
      <c r="AL20" s="210">
        <f>N4*$AL$18</f>
        <v/>
      </c>
      <c r="AM20" s="251">
        <f>SUM(AE20:AL20)</f>
        <v/>
      </c>
      <c r="AN20" s="339" t="n"/>
    </row>
    <row r="21" ht="14.25" customHeight="1" s="175">
      <c r="A21" s="267" t="inlineStr">
        <is>
          <t>David</t>
        </is>
      </c>
      <c r="B21" s="268" t="n">
        <v>1</v>
      </c>
      <c r="C21" s="269" t="inlineStr">
        <is>
          <t>Maxine</t>
        </is>
      </c>
      <c r="D21" s="192" t="inlineStr">
        <is>
          <t>https://discord.com/channels/191975109500731392/1212839710439776287/1217278694968524851</t>
        </is>
      </c>
      <c r="E21" s="333" t="n"/>
      <c r="I21" s="246" t="n"/>
      <c r="J21" s="246" t="n"/>
      <c r="K21" s="246" t="n"/>
      <c r="L21" s="260" t="n"/>
      <c r="M21" s="260" t="n"/>
      <c r="N21" s="260" t="n"/>
      <c r="O21" s="260" t="n"/>
      <c r="P21" s="182" t="n"/>
      <c r="AD21" s="318" t="inlineStr">
        <is>
          <t>Seth</t>
        </is>
      </c>
      <c r="AE21" s="210">
        <f>G5*$AE$18</f>
        <v/>
      </c>
      <c r="AF21" s="210">
        <f>H5*$AF$18</f>
        <v/>
      </c>
      <c r="AG21" s="210">
        <f>I5*$AG$18</f>
        <v/>
      </c>
      <c r="AH21" s="210">
        <f>J5*$AH$18</f>
        <v/>
      </c>
      <c r="AI21" s="210">
        <f>K5*$AI$18</f>
        <v/>
      </c>
      <c r="AJ21" s="210">
        <f>L5*$AJ$18</f>
        <v/>
      </c>
      <c r="AK21" s="210">
        <f>M5*$AK$18</f>
        <v/>
      </c>
      <c r="AL21" s="210">
        <f>N5*$AL$18</f>
        <v/>
      </c>
      <c r="AM21" s="251">
        <f>SUM(AE21:AL21)</f>
        <v/>
      </c>
      <c r="AN21" s="339" t="n"/>
    </row>
    <row r="22" ht="14.25" customHeight="1" s="175">
      <c r="A22" s="267" t="inlineStr">
        <is>
          <t>David</t>
        </is>
      </c>
      <c r="B22" s="268" t="n">
        <v>1</v>
      </c>
      <c r="C22" s="269" t="inlineStr">
        <is>
          <t>Sam</t>
        </is>
      </c>
      <c r="D22" s="192" t="inlineStr">
        <is>
          <t>https://discord.com/channels/191975109500731392/1212839710439776287/1217278694968524851</t>
        </is>
      </c>
      <c r="E22" s="333" t="n"/>
      <c r="F22" s="318" t="inlineStr">
        <is>
          <t>Person:</t>
        </is>
      </c>
      <c r="G22" s="216" t="inlineStr">
        <is>
          <t>Kills</t>
        </is>
      </c>
      <c r="I22" s="246" t="n"/>
      <c r="J22" s="246" t="n"/>
      <c r="K22" s="246" t="n"/>
      <c r="L22" s="260" t="n"/>
      <c r="M22" s="260" t="n"/>
      <c r="N22" s="260" t="n"/>
      <c r="P22" s="318" t="inlineStr">
        <is>
          <t>Person:</t>
        </is>
      </c>
      <c r="Q22" s="216" t="inlineStr">
        <is>
          <t>Kill Points</t>
        </is>
      </c>
      <c r="AD22" s="318" t="inlineStr">
        <is>
          <t>Cooper</t>
        </is>
      </c>
      <c r="AE22" s="210">
        <f>G6*$AE$18</f>
        <v/>
      </c>
      <c r="AF22" s="210">
        <f>H6*$AF$18</f>
        <v/>
      </c>
      <c r="AG22" s="210">
        <f>I6*$AG$18</f>
        <v/>
      </c>
      <c r="AH22" s="210">
        <f>J6*$AH$18</f>
        <v/>
      </c>
      <c r="AI22" s="210">
        <f>K6*$AI$18</f>
        <v/>
      </c>
      <c r="AJ22" s="210">
        <f>L6*$AJ$18</f>
        <v/>
      </c>
      <c r="AK22" s="210">
        <f>M6*$AK$18</f>
        <v/>
      </c>
      <c r="AL22" s="210">
        <f>N6*$AL$18</f>
        <v/>
      </c>
      <c r="AM22" s="251">
        <f>SUM(AE22:AL22)</f>
        <v/>
      </c>
      <c r="AN22" s="339" t="n"/>
    </row>
    <row r="23" ht="14.25" customHeight="1" s="175">
      <c r="A23" s="267" t="inlineStr">
        <is>
          <t>Sam</t>
        </is>
      </c>
      <c r="B23" s="268" t="n">
        <v>1</v>
      </c>
      <c r="C23" s="269" t="inlineStr">
        <is>
          <t>David</t>
        </is>
      </c>
      <c r="D23" s="192" t="inlineStr">
        <is>
          <t>https://discord.com/channels/191975109500731392/1212839710439776287/1217278712123494532</t>
        </is>
      </c>
      <c r="E23" s="333" t="n"/>
      <c r="F23" s="318" t="inlineStr">
        <is>
          <t>David</t>
        </is>
      </c>
      <c r="G23" s="321">
        <f>$G$8</f>
        <v/>
      </c>
      <c r="I23" s="246" t="n"/>
      <c r="J23" s="246" t="n"/>
      <c r="K23" s="246" t="n"/>
      <c r="L23" s="260" t="n"/>
      <c r="M23" s="260" t="n"/>
      <c r="N23" s="260" t="n"/>
      <c r="P23" s="318" t="inlineStr">
        <is>
          <t>Sam</t>
        </is>
      </c>
      <c r="Q23" s="290">
        <f>$J$11</f>
        <v/>
      </c>
      <c r="AD23" s="318" t="inlineStr">
        <is>
          <t>Maxine</t>
        </is>
      </c>
      <c r="AE23" s="210">
        <f>G7*$AE$18</f>
        <v/>
      </c>
      <c r="AF23" s="210">
        <f>H7*$AF$18</f>
        <v/>
      </c>
      <c r="AG23" s="210">
        <f>I7*$AG$18</f>
        <v/>
      </c>
      <c r="AH23" s="210">
        <f>J7*$AH$18</f>
        <v/>
      </c>
      <c r="AI23" s="210">
        <f>K7*$AI$18</f>
        <v/>
      </c>
      <c r="AJ23" s="210">
        <f>L7*$AJ$18</f>
        <v/>
      </c>
      <c r="AK23" s="210">
        <f>M7*$AK$18</f>
        <v/>
      </c>
      <c r="AL23" s="210">
        <f>N7*$AL$18</f>
        <v/>
      </c>
      <c r="AM23" s="251">
        <f>SUM(AE23:AL23)</f>
        <v/>
      </c>
      <c r="AN23" s="339" t="n"/>
    </row>
    <row r="24" ht="14.25" customHeight="1" s="175">
      <c r="A24" s="267" t="inlineStr">
        <is>
          <t>Sam</t>
        </is>
      </c>
      <c r="B24" s="268" t="n">
        <v>1</v>
      </c>
      <c r="C24" s="269" t="inlineStr">
        <is>
          <t>Maxine</t>
        </is>
      </c>
      <c r="D24" s="192" t="inlineStr">
        <is>
          <t>https://discord.com/channels/191975109500731392/1212839710439776287/1217278712123494532</t>
        </is>
      </c>
      <c r="E24" s="333" t="n"/>
      <c r="F24" s="318" t="inlineStr">
        <is>
          <t>Sam</t>
        </is>
      </c>
      <c r="G24" s="321">
        <f>$G$11</f>
        <v/>
      </c>
      <c r="I24" s="246" t="n"/>
      <c r="J24" s="246" t="n"/>
      <c r="K24" s="246" t="n"/>
      <c r="L24" s="260" t="n"/>
      <c r="M24" s="260" t="n"/>
      <c r="N24" s="260" t="n"/>
      <c r="P24" s="318" t="inlineStr">
        <is>
          <t>David</t>
        </is>
      </c>
      <c r="Q24" s="290">
        <f>$J$8</f>
        <v/>
      </c>
      <c r="S24" s="246" t="n"/>
      <c r="T24" s="246" t="n"/>
      <c r="U24" s="246" t="n"/>
      <c r="V24" s="246" t="n"/>
      <c r="W24" s="246" t="n"/>
      <c r="X24" s="246" t="n"/>
      <c r="Y24" s="246" t="n"/>
      <c r="Z24" s="246" t="n"/>
      <c r="AA24" s="246" t="n"/>
      <c r="AB24" s="246" t="n"/>
      <c r="AC24" s="246" t="n"/>
      <c r="AD24" s="318" t="inlineStr">
        <is>
          <t>David</t>
        </is>
      </c>
      <c r="AE24" s="210">
        <f>G8*$AE$18</f>
        <v/>
      </c>
      <c r="AF24" s="210">
        <f>H8*$AF$18</f>
        <v/>
      </c>
      <c r="AG24" s="210">
        <f>I8*$AG$18</f>
        <v/>
      </c>
      <c r="AH24" s="210">
        <f>J8*$AH$18</f>
        <v/>
      </c>
      <c r="AI24" s="210">
        <f>K8*$AI$18</f>
        <v/>
      </c>
      <c r="AJ24" s="210">
        <f>L8*$AJ$18</f>
        <v/>
      </c>
      <c r="AK24" s="210">
        <f>M8*$AK$18</f>
        <v/>
      </c>
      <c r="AL24" s="210">
        <f>N8*$AL$18</f>
        <v/>
      </c>
      <c r="AM24" s="251">
        <f>SUM(AE24:AL24)</f>
        <v/>
      </c>
      <c r="AN24" s="339" t="n"/>
    </row>
    <row r="25" ht="14.25" customHeight="1" s="175">
      <c r="A25" s="267" t="inlineStr">
        <is>
          <t>Maxine</t>
        </is>
      </c>
      <c r="B25" s="268" t="n">
        <v>1</v>
      </c>
      <c r="C25" s="269" t="inlineStr">
        <is>
          <t>Sam</t>
        </is>
      </c>
      <c r="D25" s="192" t="inlineStr">
        <is>
          <t>https://discord.com/channels/191975109500731392/1212839710439776287/1217278716401422427</t>
        </is>
      </c>
      <c r="E25" s="333" t="n"/>
      <c r="F25" s="318" t="inlineStr">
        <is>
          <t>Maxine</t>
        </is>
      </c>
      <c r="G25" s="321">
        <f>$G$7</f>
        <v/>
      </c>
      <c r="I25" s="246" t="n"/>
      <c r="J25" s="246" t="n"/>
      <c r="K25" s="246" t="n"/>
      <c r="L25" s="260" t="n"/>
      <c r="M25" s="260" t="n"/>
      <c r="N25" s="260" t="n"/>
      <c r="P25" s="318" t="inlineStr">
        <is>
          <t>Maxine</t>
        </is>
      </c>
      <c r="Q25" s="290">
        <f>$J$7</f>
        <v/>
      </c>
      <c r="S25" s="246" t="n"/>
      <c r="T25" s="246" t="n"/>
      <c r="U25" s="246" t="n"/>
      <c r="V25" s="246" t="n"/>
      <c r="W25" s="246" t="n"/>
      <c r="X25" s="246" t="n"/>
      <c r="Y25" s="246" t="n"/>
      <c r="Z25" s="246" t="n"/>
      <c r="AA25" s="246" t="n"/>
      <c r="AB25" s="246" t="n"/>
      <c r="AC25" s="246" t="n"/>
      <c r="AD25" s="318" t="inlineStr">
        <is>
          <t>Tyler</t>
        </is>
      </c>
      <c r="AE25" s="210">
        <f>G9*$AE$18</f>
        <v/>
      </c>
      <c r="AF25" s="210">
        <f>H9*$AF$18</f>
        <v/>
      </c>
      <c r="AG25" s="210">
        <f>I9*$AG$18</f>
        <v/>
      </c>
      <c r="AH25" s="210">
        <f>J9*$AH$18</f>
        <v/>
      </c>
      <c r="AI25" s="210">
        <f>K9*$AI$18</f>
        <v/>
      </c>
      <c r="AJ25" s="210">
        <f>L9*$AJ$18</f>
        <v/>
      </c>
      <c r="AK25" s="210">
        <f>M9*$AK$18</f>
        <v/>
      </c>
      <c r="AL25" s="210">
        <f>N9*$AL$18</f>
        <v/>
      </c>
      <c r="AM25" s="251">
        <f>SUM(AE25:AL25)</f>
        <v/>
      </c>
      <c r="AN25" s="339" t="n"/>
    </row>
    <row r="26" ht="14.25" customHeight="1" s="175">
      <c r="A26" s="267" t="inlineStr">
        <is>
          <t>Maxine</t>
        </is>
      </c>
      <c r="B26" s="268" t="n">
        <v>1</v>
      </c>
      <c r="C26" s="269" t="inlineStr">
        <is>
          <t>David</t>
        </is>
      </c>
      <c r="D26" s="192" t="inlineStr">
        <is>
          <t>https://discord.com/channels/191975109500731392/1212839710439776287/1217278716401422427</t>
        </is>
      </c>
      <c r="E26" s="333" t="n"/>
      <c r="F26" s="318" t="inlineStr">
        <is>
          <t>Peter</t>
        </is>
      </c>
      <c r="G26" s="321">
        <f>$G$13</f>
        <v/>
      </c>
      <c r="I26" s="246" t="n"/>
      <c r="J26" s="246" t="n"/>
      <c r="K26" s="246" t="n"/>
      <c r="L26" s="260" t="n"/>
      <c r="M26" s="260" t="n"/>
      <c r="N26" s="260" t="n"/>
      <c r="P26" s="318" t="inlineStr">
        <is>
          <t>Peter</t>
        </is>
      </c>
      <c r="Q26" s="290">
        <f>$J$13</f>
        <v/>
      </c>
      <c r="S26" s="246" t="n"/>
      <c r="T26" s="246" t="n"/>
      <c r="U26" s="246" t="n"/>
      <c r="V26" s="246" t="n"/>
      <c r="W26" s="246" t="n"/>
      <c r="X26" s="246" t="n"/>
      <c r="Y26" s="246" t="n"/>
      <c r="Z26" s="246" t="n"/>
      <c r="AA26" s="246" t="n"/>
      <c r="AB26" s="246" t="n"/>
      <c r="AC26" s="246" t="n"/>
      <c r="AD26" s="318" t="inlineStr">
        <is>
          <t>Anthony</t>
        </is>
      </c>
      <c r="AE26" s="210">
        <f>G10*$AE$18</f>
        <v/>
      </c>
      <c r="AF26" s="210">
        <f>H10*$AF$18</f>
        <v/>
      </c>
      <c r="AG26" s="210">
        <f>I10*$AG$18</f>
        <v/>
      </c>
      <c r="AH26" s="210">
        <f>J10*$AH$18</f>
        <v/>
      </c>
      <c r="AI26" s="210">
        <f>K10*$AI$18</f>
        <v/>
      </c>
      <c r="AJ26" s="210">
        <f>L10*$AJ$18</f>
        <v/>
      </c>
      <c r="AK26" s="210">
        <f>M10*$AK$18</f>
        <v/>
      </c>
      <c r="AL26" s="210">
        <f>N10*$AL$18</f>
        <v/>
      </c>
      <c r="AM26" s="251">
        <f>SUM(AE26:AL26)</f>
        <v/>
      </c>
      <c r="AN26" s="339" t="n"/>
    </row>
    <row r="27" ht="14.25" customHeight="1" s="175">
      <c r="A27" s="267" t="inlineStr">
        <is>
          <t>David</t>
        </is>
      </c>
      <c r="B27" s="268" t="n">
        <v>2</v>
      </c>
      <c r="C27" s="269" t="inlineStr">
        <is>
          <t>Sam</t>
        </is>
      </c>
      <c r="D27" s="192" t="inlineStr">
        <is>
          <t>https://discord.com/channels/191975109500731392/1212839710439776287/1217580596029558795</t>
        </is>
      </c>
      <c r="E27" s="333" t="n"/>
      <c r="F27" s="318" t="inlineStr">
        <is>
          <t>Carter</t>
        </is>
      </c>
      <c r="G27" s="321">
        <f>$G$3</f>
        <v/>
      </c>
      <c r="I27" s="246" t="n"/>
      <c r="J27" s="246" t="n"/>
      <c r="K27" s="246" t="n"/>
      <c r="L27" s="260" t="n"/>
      <c r="M27" s="260" t="n"/>
      <c r="N27" s="260" t="n"/>
      <c r="P27" s="318" t="inlineStr">
        <is>
          <t>Carter</t>
        </is>
      </c>
      <c r="Q27" s="290">
        <f>$J$3</f>
        <v/>
      </c>
      <c r="S27" s="246" t="n"/>
      <c r="T27" s="246" t="n"/>
      <c r="U27" s="246" t="n"/>
      <c r="V27" s="246" t="n"/>
      <c r="W27" s="246" t="n"/>
      <c r="X27" s="246" t="n"/>
      <c r="Y27" s="246" t="n"/>
      <c r="Z27" s="246" t="n"/>
      <c r="AA27" s="246" t="n"/>
      <c r="AB27" s="246" t="n"/>
      <c r="AC27" s="246" t="n"/>
      <c r="AD27" s="318" t="inlineStr">
        <is>
          <t>Sam</t>
        </is>
      </c>
      <c r="AE27" s="210">
        <f>G11*$AE$18</f>
        <v/>
      </c>
      <c r="AF27" s="210">
        <f>H11*$AF$18</f>
        <v/>
      </c>
      <c r="AG27" s="210">
        <f>I11*$AG$18</f>
        <v/>
      </c>
      <c r="AH27" s="210">
        <f>J11*$AH$18</f>
        <v/>
      </c>
      <c r="AI27" s="210">
        <f>K11*$AI$18</f>
        <v/>
      </c>
      <c r="AJ27" s="210">
        <f>L11*$AJ$18</f>
        <v/>
      </c>
      <c r="AK27" s="210">
        <f>M11*$AK$18</f>
        <v/>
      </c>
      <c r="AL27" s="210">
        <f>N11*$AL$18</f>
        <v/>
      </c>
      <c r="AM27" s="251">
        <f>SUM(AE27:AL27)</f>
        <v/>
      </c>
      <c r="AN27" s="339" t="n"/>
    </row>
    <row r="28" ht="14.25" customHeight="1" s="175">
      <c r="A28" s="267" t="inlineStr">
        <is>
          <t>Peter</t>
        </is>
      </c>
      <c r="B28" s="268" t="n">
        <v>1</v>
      </c>
      <c r="C28" s="269" t="inlineStr">
        <is>
          <t>David</t>
        </is>
      </c>
      <c r="D28" s="207" t="inlineStr">
        <is>
          <t>https://discord.com/channels/191975109500731392/1212839710439776287/1217581037366935612</t>
        </is>
      </c>
      <c r="E28" s="340" t="n"/>
      <c r="F28" s="318" t="inlineStr">
        <is>
          <t>Jon</t>
        </is>
      </c>
      <c r="G28" s="321">
        <f>$G$14</f>
        <v/>
      </c>
      <c r="I28" s="246" t="n"/>
      <c r="J28" s="246" t="n"/>
      <c r="K28" s="246" t="n"/>
      <c r="L28" s="260" t="n"/>
      <c r="M28" s="260" t="n"/>
      <c r="N28" s="260" t="n"/>
      <c r="P28" s="318" t="inlineStr">
        <is>
          <t>Jon</t>
        </is>
      </c>
      <c r="Q28" s="290">
        <f>$J$14</f>
        <v/>
      </c>
      <c r="S28" s="246" t="n"/>
      <c r="T28" s="246" t="n"/>
      <c r="U28" s="246" t="n"/>
      <c r="V28" s="246" t="n"/>
      <c r="W28" s="246" t="n"/>
      <c r="X28" s="246" t="n"/>
      <c r="Y28" s="246" t="n"/>
      <c r="Z28" s="246" t="n"/>
      <c r="AA28" s="246" t="n"/>
      <c r="AB28" s="246" t="n"/>
      <c r="AC28" s="246" t="n"/>
      <c r="AD28" s="318" t="inlineStr">
        <is>
          <t>Erick</t>
        </is>
      </c>
      <c r="AE28" s="210">
        <f>G12*$AE$18</f>
        <v/>
      </c>
      <c r="AF28" s="210">
        <f>H12*$AF$18</f>
        <v/>
      </c>
      <c r="AG28" s="210">
        <f>I12*$AG$18</f>
        <v/>
      </c>
      <c r="AH28" s="210">
        <f>J12*$AH$18</f>
        <v/>
      </c>
      <c r="AI28" s="210">
        <f>K12*$AI$18</f>
        <v/>
      </c>
      <c r="AJ28" s="210">
        <f>L12*$AJ$18</f>
        <v/>
      </c>
      <c r="AK28" s="210">
        <f>M12*$AK$18</f>
        <v/>
      </c>
      <c r="AL28" s="210">
        <f>N12*$AL$18</f>
        <v/>
      </c>
      <c r="AM28" s="251">
        <f>SUM(AE28:AL28)</f>
        <v/>
      </c>
      <c r="AN28" s="339" t="n"/>
    </row>
    <row r="29" ht="14.25" customHeight="1" s="175">
      <c r="A29" s="267" t="inlineStr">
        <is>
          <t>Maxine</t>
        </is>
      </c>
      <c r="B29" s="268" t="n">
        <v>2</v>
      </c>
      <c r="C29" s="269" t="inlineStr">
        <is>
          <t>Sam</t>
        </is>
      </c>
      <c r="D29" s="192" t="inlineStr">
        <is>
          <t>https://discord.com/channels/191975109500731392/1212839710439776287/1217630872862199838</t>
        </is>
      </c>
      <c r="E29" s="333" t="n"/>
      <c r="F29" s="318" t="inlineStr">
        <is>
          <t>Erick</t>
        </is>
      </c>
      <c r="G29" s="321">
        <f>$G$12</f>
        <v/>
      </c>
      <c r="I29" s="246" t="n"/>
      <c r="J29" s="246" t="n"/>
      <c r="K29" s="246" t="n"/>
      <c r="L29" s="260" t="n"/>
      <c r="M29" s="260" t="n"/>
      <c r="N29" s="260" t="n"/>
      <c r="P29" s="318" t="inlineStr">
        <is>
          <t>Erick</t>
        </is>
      </c>
      <c r="Q29" s="290">
        <f>$J$12</f>
        <v/>
      </c>
      <c r="S29" s="246" t="n"/>
      <c r="T29" s="246" t="n"/>
      <c r="U29" s="246" t="n"/>
      <c r="V29" s="246" t="n"/>
      <c r="W29" s="246" t="n"/>
      <c r="X29" s="246" t="n"/>
      <c r="Y29" s="246" t="n"/>
      <c r="Z29" s="246" t="n"/>
      <c r="AA29" s="246" t="n"/>
      <c r="AB29" s="246" t="n"/>
      <c r="AC29" s="246" t="n"/>
      <c r="AD29" s="318" t="inlineStr">
        <is>
          <t>Peter</t>
        </is>
      </c>
      <c r="AE29" s="210">
        <f>G13*$AE$18</f>
        <v/>
      </c>
      <c r="AF29" s="210">
        <f>H13*$AF$18</f>
        <v/>
      </c>
      <c r="AG29" s="210">
        <f>I13*$AG$18</f>
        <v/>
      </c>
      <c r="AH29" s="210">
        <f>J13*$AH$18</f>
        <v/>
      </c>
      <c r="AI29" s="210">
        <f>K13*$AI$18</f>
        <v/>
      </c>
      <c r="AJ29" s="210">
        <f>L13*$AJ$18</f>
        <v/>
      </c>
      <c r="AK29" s="210">
        <f>M13*$AK$18</f>
        <v/>
      </c>
      <c r="AL29" s="210">
        <f>N13*$AL$18</f>
        <v/>
      </c>
      <c r="AM29" s="251">
        <f>SUM(AE29:AL29)</f>
        <v/>
      </c>
      <c r="AN29" s="339" t="n"/>
    </row>
    <row r="30" ht="14.25" customHeight="1" s="175">
      <c r="A30" s="267" t="inlineStr">
        <is>
          <t>Carter</t>
        </is>
      </c>
      <c r="B30" s="268" t="n">
        <v>2</v>
      </c>
      <c r="C30" s="269" t="inlineStr">
        <is>
          <t>Erick</t>
        </is>
      </c>
      <c r="D30" s="207" t="inlineStr">
        <is>
          <t>https://discord.com/channels/191975109500731392/1212839710439776287/1219245898601730089</t>
        </is>
      </c>
      <c r="E30" s="340" t="n"/>
      <c r="F30" s="318" t="inlineStr">
        <is>
          <t>Anthony</t>
        </is>
      </c>
      <c r="G30" s="321">
        <f>$G$10</f>
        <v/>
      </c>
      <c r="I30" s="246" t="n"/>
      <c r="J30" s="246" t="n"/>
      <c r="K30" s="246" t="n"/>
      <c r="L30" s="260" t="n"/>
      <c r="M30" s="260" t="n"/>
      <c r="N30" s="260" t="n"/>
      <c r="P30" s="318" t="inlineStr">
        <is>
          <t>Anthony</t>
        </is>
      </c>
      <c r="Q30" s="290">
        <f>$J$10</f>
        <v/>
      </c>
      <c r="S30" s="246" t="n"/>
      <c r="T30" s="246" t="n"/>
      <c r="U30" s="246" t="n"/>
      <c r="V30" s="246" t="n"/>
      <c r="W30" s="246" t="n"/>
      <c r="X30" s="246" t="n"/>
      <c r="Y30" s="246" t="n"/>
      <c r="Z30" s="246" t="n"/>
      <c r="AA30" s="246" t="n"/>
      <c r="AB30" s="246" t="n"/>
      <c r="AC30" s="246" t="n"/>
      <c r="AD30" s="318" t="inlineStr">
        <is>
          <t>Jon</t>
        </is>
      </c>
      <c r="AE30" s="210">
        <f>G14*$AE$18</f>
        <v/>
      </c>
      <c r="AF30" s="210">
        <f>H14*$AF$18</f>
        <v/>
      </c>
      <c r="AG30" s="210">
        <f>I14*$AG$18</f>
        <v/>
      </c>
      <c r="AH30" s="210">
        <f>J14*$AH$18</f>
        <v/>
      </c>
      <c r="AI30" s="210">
        <f>K14*$AI$18</f>
        <v/>
      </c>
      <c r="AJ30" s="210">
        <f>L14*$AJ$18</f>
        <v/>
      </c>
      <c r="AK30" s="210">
        <f>M14*$AK$18</f>
        <v/>
      </c>
      <c r="AL30" s="210">
        <f>N14*$AL$18</f>
        <v/>
      </c>
      <c r="AM30" s="251">
        <f>SUM(AE30:AL30)</f>
        <v/>
      </c>
      <c r="AN30" s="339" t="n"/>
    </row>
    <row r="31" ht="14.25" customHeight="1" s="175">
      <c r="A31" s="267" t="inlineStr">
        <is>
          <t>David</t>
        </is>
      </c>
      <c r="B31" s="268" t="n">
        <v>2</v>
      </c>
      <c r="C31" s="269" t="inlineStr">
        <is>
          <t>Erick</t>
        </is>
      </c>
      <c r="D31" s="207" t="inlineStr">
        <is>
          <t>https://discord.com/channels/191975109500731392/1212839710439776287/1219252492815171635</t>
        </is>
      </c>
      <c r="E31" s="340" t="n"/>
      <c r="F31" s="318" t="inlineStr">
        <is>
          <t>Cooper</t>
        </is>
      </c>
      <c r="G31" s="321">
        <f>$G$6</f>
        <v/>
      </c>
      <c r="I31" s="246" t="n"/>
      <c r="J31" s="246" t="n"/>
      <c r="K31" s="246" t="n"/>
      <c r="L31" s="260" t="n"/>
      <c r="M31" s="260" t="n"/>
      <c r="N31" s="260" t="n"/>
      <c r="P31" s="318" t="inlineStr">
        <is>
          <t>Cooper</t>
        </is>
      </c>
      <c r="Q31" s="290">
        <f>$J$6</f>
        <v/>
      </c>
      <c r="S31" s="246" t="n"/>
      <c r="T31" s="246" t="n"/>
      <c r="U31" s="246" t="n"/>
      <c r="V31" s="246" t="n"/>
      <c r="W31" s="246" t="n"/>
      <c r="X31" s="246" t="n"/>
      <c r="Y31" s="246" t="n"/>
      <c r="Z31" s="246" t="n"/>
      <c r="AA31" s="246" t="n"/>
      <c r="AB31" s="246" t="n"/>
      <c r="AC31" s="246" t="n"/>
      <c r="AD31" s="246" t="n"/>
      <c r="AE31" s="246" t="n"/>
      <c r="AF31" s="246" t="n"/>
    </row>
    <row r="32" ht="14.25" customHeight="1" s="175">
      <c r="A32" s="267" t="inlineStr">
        <is>
          <t>Peter</t>
        </is>
      </c>
      <c r="B32" s="268" t="n">
        <v>1</v>
      </c>
      <c r="C32" s="269" t="inlineStr">
        <is>
          <t>Maxine</t>
        </is>
      </c>
      <c r="D32" s="207" t="inlineStr">
        <is>
          <t>https://discord.com/channels/191975109500731392/1212839710439776287/1219266551681777768</t>
        </is>
      </c>
      <c r="E32" s="340" t="n"/>
      <c r="F32" s="318" t="inlineStr">
        <is>
          <t>Tyler</t>
        </is>
      </c>
      <c r="G32" s="321">
        <f>$G$9</f>
        <v/>
      </c>
      <c r="I32" s="246" t="n"/>
      <c r="J32" s="246" t="n"/>
      <c r="K32" s="246" t="n"/>
      <c r="L32" s="260" t="n"/>
      <c r="M32" s="260" t="n"/>
      <c r="N32" s="260" t="n"/>
      <c r="P32" s="318" t="inlineStr">
        <is>
          <t>Tyler</t>
        </is>
      </c>
      <c r="Q32" s="290">
        <f>$J$9</f>
        <v/>
      </c>
      <c r="S32" s="246" t="n"/>
      <c r="T32" s="246" t="n"/>
      <c r="U32" s="246" t="n"/>
      <c r="V32" s="246" t="n"/>
      <c r="W32" s="246" t="n"/>
      <c r="X32" s="246" t="n"/>
      <c r="Y32" s="246" t="n"/>
      <c r="Z32" s="246" t="n"/>
      <c r="AA32" s="246" t="n"/>
      <c r="AB32" s="246" t="n"/>
      <c r="AC32" s="246" t="n"/>
      <c r="AD32" s="248" t="inlineStr">
        <is>
          <t>Name</t>
        </is>
      </c>
      <c r="AE32" s="249" t="inlineStr">
        <is>
          <t>Score</t>
        </is>
      </c>
      <c r="AF32" s="249" t="inlineStr">
        <is>
          <t>Adjusted</t>
        </is>
      </c>
    </row>
    <row r="33" ht="14.25" customHeight="1" s="175">
      <c r="A33" s="267" t="inlineStr">
        <is>
          <t>Maxine</t>
        </is>
      </c>
      <c r="B33" s="268" t="n">
        <v>1</v>
      </c>
      <c r="C33" s="269" t="inlineStr">
        <is>
          <t>Peter</t>
        </is>
      </c>
      <c r="D33" s="207" t="inlineStr">
        <is>
          <t>https://discord.com/channels/191975109500731392/1212839710439776287/1219266586351763497</t>
        </is>
      </c>
      <c r="E33" s="340" t="n"/>
      <c r="F33" s="318" t="inlineStr">
        <is>
          <t>Seth</t>
        </is>
      </c>
      <c r="G33" s="321">
        <f>$G$5</f>
        <v/>
      </c>
      <c r="I33" s="246" t="n"/>
      <c r="J33" s="246" t="n"/>
      <c r="K33" s="246" t="n"/>
      <c r="L33" s="260" t="n"/>
      <c r="M33" s="260" t="n"/>
      <c r="N33" s="260" t="n"/>
      <c r="P33" s="318" t="inlineStr">
        <is>
          <t>Seth</t>
        </is>
      </c>
      <c r="Q33" s="290">
        <f>$J$5</f>
        <v/>
      </c>
      <c r="S33" s="246" t="n"/>
      <c r="T33" s="246" t="n"/>
      <c r="U33" s="246" t="n"/>
      <c r="V33" s="246" t="n"/>
      <c r="W33" s="246" t="n"/>
      <c r="X33" s="246" t="n"/>
      <c r="Y33" s="246" t="n"/>
      <c r="Z33" s="246" t="n"/>
      <c r="AA33" s="246" t="n"/>
      <c r="AB33" s="246" t="n"/>
      <c r="AC33" s="246" t="n"/>
      <c r="AD33" s="318" t="inlineStr">
        <is>
          <t>Maxine</t>
        </is>
      </c>
      <c r="AE33" s="251">
        <f>$AM$23</f>
        <v/>
      </c>
      <c r="AF33" s="251">
        <f>AE33-($AE$44)</f>
        <v/>
      </c>
      <c r="AG33" s="173" t="n">
        <v>1</v>
      </c>
    </row>
    <row r="34" ht="14.25" customHeight="1" s="175">
      <c r="A34" s="267" t="inlineStr">
        <is>
          <t>Maxine</t>
        </is>
      </c>
      <c r="B34" s="268" t="n">
        <v>1</v>
      </c>
      <c r="C34" s="269" t="inlineStr">
        <is>
          <t>David</t>
        </is>
      </c>
      <c r="D34" s="207" t="inlineStr">
        <is>
          <t>https://discord.com/channels/191975109500731392/1212839710439776287/1219268789347156079</t>
        </is>
      </c>
      <c r="E34" s="340" t="n"/>
      <c r="F34" s="318" t="inlineStr">
        <is>
          <t>Grady</t>
        </is>
      </c>
      <c r="G34" s="321">
        <f>$G$4</f>
        <v/>
      </c>
      <c r="I34" s="246" t="n"/>
      <c r="J34" s="246" t="n"/>
      <c r="K34" s="246" t="n"/>
      <c r="L34" s="260" t="n"/>
      <c r="M34" s="260" t="n"/>
      <c r="N34" s="260" t="n"/>
      <c r="P34" s="318" t="inlineStr">
        <is>
          <t>Grady</t>
        </is>
      </c>
      <c r="Q34" s="290">
        <f>$J$4</f>
        <v/>
      </c>
      <c r="S34" s="246" t="n"/>
      <c r="T34" s="246" t="n"/>
      <c r="U34" s="246" t="n"/>
      <c r="V34" s="246" t="n"/>
      <c r="W34" s="246" t="n"/>
      <c r="X34" s="246" t="n"/>
      <c r="Y34" s="246" t="n"/>
      <c r="Z34" s="246" t="n"/>
      <c r="AA34" s="246" t="n"/>
      <c r="AB34" s="246" t="n"/>
      <c r="AC34" s="246" t="n"/>
      <c r="AD34" s="318" t="inlineStr">
        <is>
          <t>Peter</t>
        </is>
      </c>
      <c r="AE34" s="251">
        <f>$AM$29</f>
        <v/>
      </c>
      <c r="AF34" s="251">
        <f>AE34-($AE$44)</f>
        <v/>
      </c>
      <c r="AG34" s="173" t="n">
        <v>2</v>
      </c>
    </row>
    <row r="35" ht="14.25" customHeight="1" s="175">
      <c r="A35" s="267" t="inlineStr">
        <is>
          <t>Maxine</t>
        </is>
      </c>
      <c r="B35" s="268" t="n">
        <v>1</v>
      </c>
      <c r="C35" s="269" t="inlineStr">
        <is>
          <t>Sam</t>
        </is>
      </c>
      <c r="D35" s="192" t="inlineStr">
        <is>
          <t>https://discord.com/channels/191975109500731392/1212839710439776287/1219270203163148398</t>
        </is>
      </c>
      <c r="E35" s="333" t="n"/>
      <c r="I35" s="246" t="n"/>
      <c r="J35" s="246" t="n"/>
      <c r="K35" s="246" t="n"/>
      <c r="L35" s="260" t="n"/>
      <c r="M35" s="260" t="n"/>
      <c r="N35" s="260" t="n"/>
      <c r="O35" s="260" t="n"/>
      <c r="P35" s="182" t="n"/>
      <c r="S35" s="246" t="n"/>
      <c r="T35" s="246" t="n"/>
      <c r="U35" s="246" t="n"/>
      <c r="V35" s="246" t="n"/>
      <c r="W35" s="246" t="n"/>
      <c r="X35" s="246" t="n"/>
      <c r="Y35" s="246" t="n"/>
      <c r="Z35" s="246" t="n"/>
      <c r="AA35" s="246" t="n"/>
      <c r="AB35" s="246" t="n"/>
      <c r="AC35" s="246" t="n"/>
      <c r="AD35" s="318" t="inlineStr">
        <is>
          <t>Sam</t>
        </is>
      </c>
      <c r="AE35" s="251">
        <f>$AM$27</f>
        <v/>
      </c>
      <c r="AF35" s="251">
        <f>AE35-($AE$44)</f>
        <v/>
      </c>
      <c r="AG35" s="173" t="n">
        <v>3</v>
      </c>
    </row>
    <row r="36" ht="14.25" customHeight="1" s="175">
      <c r="A36" s="267" t="inlineStr">
        <is>
          <t>David</t>
        </is>
      </c>
      <c r="B36" s="268" t="n">
        <v>1</v>
      </c>
      <c r="C36" s="269" t="inlineStr">
        <is>
          <t>Maxine</t>
        </is>
      </c>
      <c r="D36" s="207" t="inlineStr">
        <is>
          <t>https://discord.com/channels/191975109500731392/1212839710439776287/1219272488073035776</t>
        </is>
      </c>
      <c r="E36" s="340" t="n"/>
      <c r="F36" s="318" t="inlineStr">
        <is>
          <t>Person:</t>
        </is>
      </c>
      <c r="G36" s="216" t="inlineStr">
        <is>
          <t>Deaths</t>
        </is>
      </c>
      <c r="I36" s="246" t="n"/>
      <c r="J36" s="246" t="n"/>
      <c r="K36" s="246" t="n"/>
      <c r="L36" s="260" t="n"/>
      <c r="M36" s="260" t="n"/>
      <c r="N36" s="260" t="n"/>
      <c r="P36" s="318" t="inlineStr">
        <is>
          <t>Person:</t>
        </is>
      </c>
      <c r="Q36" s="216" t="inlineStr">
        <is>
          <t>Death Points</t>
        </is>
      </c>
      <c r="S36" s="246" t="n"/>
      <c r="T36" s="246" t="n"/>
      <c r="U36" s="246" t="n"/>
      <c r="V36" s="246" t="n"/>
      <c r="W36" s="246" t="n"/>
      <c r="X36" s="246" t="n"/>
      <c r="Y36" s="246" t="n"/>
      <c r="Z36" s="246" t="n"/>
      <c r="AA36" s="246" t="n"/>
      <c r="AB36" s="246" t="n"/>
      <c r="AC36" s="246" t="n"/>
      <c r="AD36" s="318" t="inlineStr">
        <is>
          <t>David</t>
        </is>
      </c>
      <c r="AE36" s="251">
        <f>$AM$24</f>
        <v/>
      </c>
      <c r="AF36" s="251">
        <f>AE36-($AE$44)</f>
        <v/>
      </c>
      <c r="AG36" s="173" t="n">
        <v>4</v>
      </c>
    </row>
    <row r="37" ht="14.25" customHeight="1" s="175">
      <c r="A37" s="267" t="inlineStr">
        <is>
          <t>David</t>
        </is>
      </c>
      <c r="B37" s="268" t="n">
        <v>2</v>
      </c>
      <c r="C37" s="269" t="inlineStr">
        <is>
          <t>Sam</t>
        </is>
      </c>
      <c r="D37" s="192" t="inlineStr">
        <is>
          <t>https://discord.com/channels/191975109500731392/1212839710439776287/1219298736786636871</t>
        </is>
      </c>
      <c r="E37" s="333" t="n"/>
      <c r="F37" s="318" t="inlineStr">
        <is>
          <t>Sam</t>
        </is>
      </c>
      <c r="G37" s="291">
        <f>$H$11</f>
        <v/>
      </c>
      <c r="I37" s="246" t="n"/>
      <c r="J37" s="246" t="n"/>
      <c r="K37" s="246" t="n"/>
      <c r="L37" s="260" t="n"/>
      <c r="M37" s="260" t="n"/>
      <c r="N37" s="260" t="n"/>
      <c r="P37" s="318" t="inlineStr">
        <is>
          <t>Carter</t>
        </is>
      </c>
      <c r="Q37" s="291">
        <f>$K$3</f>
        <v/>
      </c>
      <c r="S37" s="246" t="n"/>
      <c r="T37" s="246" t="n"/>
      <c r="U37" s="246" t="n"/>
      <c r="V37" s="246" t="n"/>
      <c r="W37" s="246" t="n"/>
      <c r="X37" s="246" t="n"/>
      <c r="Y37" s="246" t="n"/>
      <c r="Z37" s="246" t="n"/>
      <c r="AA37" s="246" t="n"/>
      <c r="AB37" s="246" t="n"/>
      <c r="AC37" s="246" t="n"/>
      <c r="AD37" s="318" t="inlineStr">
        <is>
          <t>Jon</t>
        </is>
      </c>
      <c r="AE37" s="251">
        <f>$AM$30</f>
        <v/>
      </c>
      <c r="AF37" s="251">
        <f>AE37-($AE$44)</f>
        <v/>
      </c>
      <c r="AG37" s="173" t="n">
        <v>5</v>
      </c>
    </row>
    <row r="38" ht="14.25" customHeight="1" s="175">
      <c r="A38" s="267" t="inlineStr">
        <is>
          <t>Peter</t>
        </is>
      </c>
      <c r="B38" s="268" t="n">
        <v>1</v>
      </c>
      <c r="C38" s="269" t="inlineStr">
        <is>
          <t>Erick</t>
        </is>
      </c>
      <c r="D38" s="207" t="inlineStr">
        <is>
          <t>https://discord.com/channels/191975109500731392/1212839710439776287/1219345397273858078</t>
        </is>
      </c>
      <c r="E38" s="340" t="n"/>
      <c r="F38" s="318" t="inlineStr">
        <is>
          <t>Carter</t>
        </is>
      </c>
      <c r="G38" s="291">
        <f>$H$3</f>
        <v/>
      </c>
      <c r="I38" s="246" t="n"/>
      <c r="J38" s="246" t="n"/>
      <c r="K38" s="246" t="n"/>
      <c r="L38" s="260" t="n"/>
      <c r="M38" s="260" t="n"/>
      <c r="N38" s="260" t="n"/>
      <c r="P38" s="318" t="inlineStr">
        <is>
          <t>Sam</t>
        </is>
      </c>
      <c r="Q38" s="291">
        <f>$K$11</f>
        <v/>
      </c>
      <c r="S38" s="246" t="n"/>
      <c r="T38" s="246" t="n"/>
      <c r="U38" s="246" t="n"/>
      <c r="V38" s="246" t="n"/>
      <c r="W38" s="246" t="n"/>
      <c r="X38" s="246" t="n"/>
      <c r="Y38" s="246" t="n"/>
      <c r="Z38" s="246" t="n"/>
      <c r="AA38" s="246" t="n"/>
      <c r="AB38" s="246" t="n"/>
      <c r="AC38" s="246" t="n"/>
      <c r="AD38" s="318" t="inlineStr">
        <is>
          <t>Erick</t>
        </is>
      </c>
      <c r="AE38" s="251">
        <f>$AM$28</f>
        <v/>
      </c>
      <c r="AF38" s="251">
        <f>AE38-($AE$44)</f>
        <v/>
      </c>
      <c r="AG38" s="173" t="n">
        <v>6</v>
      </c>
    </row>
    <row r="39" ht="14.25" customHeight="1" s="175">
      <c r="A39" s="267" t="inlineStr">
        <is>
          <t>David</t>
        </is>
      </c>
      <c r="B39" s="268" t="n">
        <v>1</v>
      </c>
      <c r="C39" s="269" t="inlineStr">
        <is>
          <t>Anthony</t>
        </is>
      </c>
      <c r="D39" s="207" t="inlineStr">
        <is>
          <t>https://discord.com/channels/191975109500731392/1212839710439776287/1219406481494114335</t>
        </is>
      </c>
      <c r="E39" s="340" t="n"/>
      <c r="F39" s="318" t="inlineStr">
        <is>
          <t>David</t>
        </is>
      </c>
      <c r="G39" s="291">
        <f>$H$8</f>
        <v/>
      </c>
      <c r="I39" s="246" t="n"/>
      <c r="J39" s="246" t="n"/>
      <c r="K39" s="246" t="n"/>
      <c r="L39" s="260" t="n"/>
      <c r="M39" s="260" t="n"/>
      <c r="N39" s="260" t="n"/>
      <c r="P39" s="318" t="inlineStr">
        <is>
          <t>David</t>
        </is>
      </c>
      <c r="Q39" s="291">
        <f>$K$8</f>
        <v/>
      </c>
      <c r="S39" s="246" t="n"/>
      <c r="T39" s="246" t="n"/>
      <c r="U39" s="246" t="n"/>
      <c r="V39" s="246" t="n"/>
      <c r="W39" s="246" t="n"/>
      <c r="X39" s="246" t="n"/>
      <c r="Y39" s="246" t="n"/>
      <c r="Z39" s="246" t="n"/>
      <c r="AA39" s="246" t="n"/>
      <c r="AB39" s="246" t="n"/>
      <c r="AC39" s="246" t="n"/>
      <c r="AD39" s="318" t="inlineStr">
        <is>
          <t>Anthony</t>
        </is>
      </c>
      <c r="AE39" s="251">
        <f>$AM$26</f>
        <v/>
      </c>
      <c r="AF39" s="251">
        <f>AE39-($AE$44)</f>
        <v/>
      </c>
      <c r="AG39" s="173" t="n">
        <v>7</v>
      </c>
    </row>
    <row r="40" ht="14.25" customHeight="1" s="175">
      <c r="A40" s="267" t="inlineStr">
        <is>
          <t>Sam</t>
        </is>
      </c>
      <c r="B40" s="268" t="n">
        <v>2</v>
      </c>
      <c r="C40" s="269" t="inlineStr">
        <is>
          <t>Maxine</t>
        </is>
      </c>
      <c r="D40" s="207" t="inlineStr">
        <is>
          <t>https://discord.com/channels/191975109500731392/1212839710439776287/1219421345780334592</t>
        </is>
      </c>
      <c r="E40" s="340" t="n"/>
      <c r="F40" s="318" t="inlineStr">
        <is>
          <t>Jon</t>
        </is>
      </c>
      <c r="G40" s="291">
        <f>$H$14</f>
        <v/>
      </c>
      <c r="I40" s="246" t="n"/>
      <c r="J40" s="246" t="n"/>
      <c r="K40" s="246" t="n"/>
      <c r="L40" s="260" t="n"/>
      <c r="M40" s="260" t="n"/>
      <c r="N40" s="260" t="n"/>
      <c r="P40" s="318" t="inlineStr">
        <is>
          <t>Jon</t>
        </is>
      </c>
      <c r="Q40" s="291">
        <f>$K$14</f>
        <v/>
      </c>
      <c r="S40" s="246" t="n"/>
      <c r="T40" s="246" t="n"/>
      <c r="U40" s="246" t="n"/>
      <c r="V40" s="246" t="n"/>
      <c r="W40" s="246" t="n"/>
      <c r="X40" s="246" t="n"/>
      <c r="Y40" s="246" t="n"/>
      <c r="Z40" s="246" t="n"/>
      <c r="AA40" s="246" t="n"/>
      <c r="AB40" s="246" t="n"/>
      <c r="AC40" s="246" t="n"/>
      <c r="AD40" s="318" t="inlineStr">
        <is>
          <t>Carter</t>
        </is>
      </c>
      <c r="AE40" s="251">
        <f>$AM$19</f>
        <v/>
      </c>
      <c r="AF40" s="251">
        <f>AE40-($AE$44)</f>
        <v/>
      </c>
      <c r="AG40" s="173" t="n">
        <v>8</v>
      </c>
    </row>
    <row r="41" ht="14.25" customHeight="1" s="175">
      <c r="A41" s="267" t="inlineStr">
        <is>
          <t>Maxine</t>
        </is>
      </c>
      <c r="B41" s="268" t="n">
        <v>2</v>
      </c>
      <c r="C41" s="269" t="inlineStr">
        <is>
          <t>Sam</t>
        </is>
      </c>
      <c r="D41" s="192" t="inlineStr">
        <is>
          <t>https://discord.com/channels/191975109500731392/1212839710439776287/1219595394082930709</t>
        </is>
      </c>
      <c r="E41" s="333" t="n"/>
      <c r="F41" s="318" t="inlineStr">
        <is>
          <t>Erick</t>
        </is>
      </c>
      <c r="G41" s="291">
        <f>$H$12</f>
        <v/>
      </c>
      <c r="I41" s="246" t="n"/>
      <c r="J41" s="246" t="n"/>
      <c r="K41" s="246" t="n"/>
      <c r="L41" s="260" t="n"/>
      <c r="M41" s="260" t="n"/>
      <c r="N41" s="260" t="n"/>
      <c r="P41" s="318" t="inlineStr">
        <is>
          <t>Erick</t>
        </is>
      </c>
      <c r="Q41" s="291">
        <f>$K$12</f>
        <v/>
      </c>
      <c r="S41" s="246" t="n"/>
      <c r="T41" s="246" t="n"/>
      <c r="U41" s="246" t="n"/>
      <c r="V41" s="246" t="n"/>
      <c r="W41" s="246" t="n"/>
      <c r="X41" s="246" t="n"/>
      <c r="Y41" s="246" t="n"/>
      <c r="Z41" s="246" t="n"/>
      <c r="AA41" s="246" t="n"/>
      <c r="AB41" s="246" t="n"/>
      <c r="AC41" s="246" t="n"/>
      <c r="AD41" s="318" t="inlineStr">
        <is>
          <t>Cooper</t>
        </is>
      </c>
      <c r="AE41" s="251">
        <f>$AM$22</f>
        <v/>
      </c>
      <c r="AF41" s="251">
        <f>AE41-($AE$44)</f>
        <v/>
      </c>
      <c r="AG41" s="173" t="n">
        <v>9</v>
      </c>
    </row>
    <row r="42" ht="14.25" customHeight="1" s="175">
      <c r="A42" s="267" t="inlineStr">
        <is>
          <t>Sam</t>
        </is>
      </c>
      <c r="B42" s="268" t="n">
        <v>2</v>
      </c>
      <c r="C42" s="269" t="inlineStr">
        <is>
          <t>David</t>
        </is>
      </c>
      <c r="D42" s="207" t="inlineStr">
        <is>
          <t>https://discord.com/channels/191975109500731392/1212839710439776287/1219710101775056970</t>
        </is>
      </c>
      <c r="E42" s="340" t="n"/>
      <c r="F42" s="318" t="inlineStr">
        <is>
          <t>Maxine</t>
        </is>
      </c>
      <c r="G42" s="291">
        <f>$H$7</f>
        <v/>
      </c>
      <c r="I42" s="246" t="n"/>
      <c r="J42" s="246" t="n"/>
      <c r="K42" s="246" t="n"/>
      <c r="L42" s="260" t="n"/>
      <c r="M42" s="260" t="n"/>
      <c r="N42" s="260" t="n"/>
      <c r="P42" s="318" t="inlineStr">
        <is>
          <t>Grady</t>
        </is>
      </c>
      <c r="Q42" s="291">
        <f>$K$4</f>
        <v/>
      </c>
      <c r="S42" s="246" t="n"/>
      <c r="T42" s="246" t="n"/>
      <c r="U42" s="246" t="n"/>
      <c r="V42" s="246" t="n"/>
      <c r="W42" s="246" t="n"/>
      <c r="X42" s="246" t="n"/>
      <c r="Y42" s="246" t="n"/>
      <c r="Z42" s="246" t="n"/>
      <c r="AA42" s="246" t="n"/>
      <c r="AB42" s="246" t="n"/>
      <c r="AC42" s="246" t="n"/>
      <c r="AD42" s="318" t="inlineStr">
        <is>
          <t>Seth</t>
        </is>
      </c>
      <c r="AE42" s="251">
        <f>$AM$21</f>
        <v/>
      </c>
      <c r="AF42" s="251">
        <f>AE42-($AE$44)</f>
        <v/>
      </c>
      <c r="AG42" s="173" t="n">
        <v>10</v>
      </c>
    </row>
    <row r="43" ht="14.25" customHeight="1" s="175">
      <c r="A43" s="267" t="inlineStr">
        <is>
          <t>David</t>
        </is>
      </c>
      <c r="B43" s="268" t="n">
        <v>2</v>
      </c>
      <c r="C43" s="269" t="inlineStr">
        <is>
          <t>Carter</t>
        </is>
      </c>
      <c r="D43" s="207" t="inlineStr">
        <is>
          <t>https://discord.com/channels/191975109500731392/1212839710439776287/1219710227507712136</t>
        </is>
      </c>
      <c r="E43" s="340" t="n"/>
      <c r="F43" s="318" t="inlineStr">
        <is>
          <t>Peter</t>
        </is>
      </c>
      <c r="G43" s="291">
        <f>$H$13</f>
        <v/>
      </c>
      <c r="I43" s="246" t="n"/>
      <c r="J43" s="246" t="n"/>
      <c r="K43" s="246" t="n"/>
      <c r="L43" s="260" t="n"/>
      <c r="M43" s="260" t="n"/>
      <c r="N43" s="260" t="n"/>
      <c r="P43" s="318" t="inlineStr">
        <is>
          <t>Maxine</t>
        </is>
      </c>
      <c r="Q43" s="291">
        <f>$K$7</f>
        <v/>
      </c>
      <c r="S43" s="246" t="n"/>
      <c r="T43" s="246" t="n"/>
      <c r="U43" s="246" t="n"/>
      <c r="V43" s="246" t="n"/>
      <c r="W43" s="246" t="n"/>
      <c r="X43" s="246" t="n"/>
      <c r="Y43" s="246" t="n"/>
      <c r="Z43" s="246" t="n"/>
      <c r="AA43" s="246" t="n"/>
      <c r="AB43" s="246" t="n"/>
      <c r="AC43" s="246" t="n"/>
      <c r="AD43" s="318" t="inlineStr">
        <is>
          <t>Tyler</t>
        </is>
      </c>
      <c r="AE43" s="251">
        <f>$AM$25</f>
        <v/>
      </c>
      <c r="AF43" s="251">
        <f>AE43-($AE$44)</f>
        <v/>
      </c>
      <c r="AG43" s="173" t="n">
        <v>11</v>
      </c>
    </row>
    <row r="44" ht="14.25" customHeight="1" s="175">
      <c r="A44" s="267" t="inlineStr">
        <is>
          <t>Sam</t>
        </is>
      </c>
      <c r="B44" s="268" t="n">
        <v>1</v>
      </c>
      <c r="C44" s="269" t="inlineStr">
        <is>
          <t>Carter</t>
        </is>
      </c>
      <c r="D44" s="207" t="inlineStr">
        <is>
          <t>https://discord.com/channels/191975109500731392/1212839710439776287/1219711546171588628</t>
        </is>
      </c>
      <c r="E44" s="340" t="n"/>
      <c r="F44" s="318" t="inlineStr">
        <is>
          <t>Grady</t>
        </is>
      </c>
      <c r="G44" s="291">
        <f>$H$4</f>
        <v/>
      </c>
      <c r="I44" s="246" t="n"/>
      <c r="J44" s="246" t="n"/>
      <c r="K44" s="246" t="n"/>
      <c r="L44" s="260" t="n"/>
      <c r="M44" s="260" t="n"/>
      <c r="N44" s="260" t="n"/>
      <c r="P44" s="318" t="inlineStr">
        <is>
          <t>Tyler</t>
        </is>
      </c>
      <c r="Q44" s="291">
        <f>$K$9</f>
        <v/>
      </c>
      <c r="S44" s="246" t="n"/>
      <c r="T44" s="246" t="n"/>
      <c r="U44" s="246" t="n"/>
      <c r="V44" s="246" t="n"/>
      <c r="W44" s="246" t="n"/>
      <c r="X44" s="246" t="n"/>
      <c r="Y44" s="246" t="n"/>
      <c r="Z44" s="246" t="n"/>
      <c r="AA44" s="246" t="n"/>
      <c r="AB44" s="246" t="n"/>
      <c r="AC44" s="246" t="n"/>
      <c r="AD44" s="318" t="inlineStr">
        <is>
          <t>Grady</t>
        </is>
      </c>
      <c r="AE44" s="251">
        <f>$AM$20</f>
        <v/>
      </c>
      <c r="AF44" s="251">
        <f>AE44-($AE$44)</f>
        <v/>
      </c>
      <c r="AG44" s="173" t="n">
        <v>12</v>
      </c>
    </row>
    <row r="45" ht="14.25" customHeight="1" s="175">
      <c r="A45" s="267" t="inlineStr">
        <is>
          <t>Carter</t>
        </is>
      </c>
      <c r="B45" s="268" t="n">
        <v>1</v>
      </c>
      <c r="C45" s="269" t="inlineStr">
        <is>
          <t>Sam</t>
        </is>
      </c>
      <c r="D45" s="192" t="inlineStr">
        <is>
          <t>https://discord.com/channels/191975109500731392/1212839710439776287/1219711573963309127</t>
        </is>
      </c>
      <c r="E45" s="333" t="n"/>
      <c r="F45" s="318" t="inlineStr">
        <is>
          <t>Cooper</t>
        </is>
      </c>
      <c r="G45" s="291">
        <f>$H$6</f>
        <v/>
      </c>
      <c r="I45" s="246" t="n"/>
      <c r="J45" s="246" t="n"/>
      <c r="K45" s="246" t="n"/>
      <c r="L45" s="260" t="n"/>
      <c r="M45" s="260" t="n"/>
      <c r="N45" s="260" t="n"/>
      <c r="P45" s="318" t="inlineStr">
        <is>
          <t>Peter</t>
        </is>
      </c>
      <c r="Q45" s="291">
        <f>$K$13</f>
        <v/>
      </c>
      <c r="S45" s="246" t="n"/>
      <c r="T45" s="246" t="n"/>
      <c r="U45" s="246" t="n"/>
      <c r="V45" s="246" t="n"/>
      <c r="W45" s="246" t="n"/>
      <c r="X45" s="246" t="n"/>
      <c r="Y45" s="246" t="n"/>
      <c r="Z45" s="246" t="n"/>
      <c r="AA45" s="246" t="n"/>
      <c r="AB45" s="246" t="n"/>
      <c r="AC45" s="246" t="n"/>
      <c r="AD45" s="246" t="n"/>
      <c r="AE45" s="246" t="n"/>
      <c r="AF45" s="246" t="n"/>
    </row>
    <row r="46" ht="14.25" customHeight="1" s="175">
      <c r="A46" s="267" t="inlineStr">
        <is>
          <t>David</t>
        </is>
      </c>
      <c r="B46" s="268" t="n">
        <v>1</v>
      </c>
      <c r="C46" s="269" t="inlineStr">
        <is>
          <t>Sam</t>
        </is>
      </c>
      <c r="D46" s="207" t="inlineStr">
        <is>
          <t>https://discord.com/channels/191975109500731392/1212839710439776287/1219711838334353451</t>
        </is>
      </c>
      <c r="E46" s="340" t="n"/>
      <c r="F46" s="318" t="inlineStr">
        <is>
          <t>Anthony</t>
        </is>
      </c>
      <c r="G46" s="291">
        <f>$H$10</f>
        <v/>
      </c>
      <c r="I46" s="246" t="n"/>
      <c r="J46" s="246" t="n"/>
      <c r="K46" s="246" t="n"/>
      <c r="L46" s="260" t="n"/>
      <c r="M46" s="260" t="n"/>
      <c r="N46" s="260" t="n"/>
      <c r="P46" s="318" t="inlineStr">
        <is>
          <t>Anthony</t>
        </is>
      </c>
      <c r="Q46" s="291">
        <f>$K$10</f>
        <v/>
      </c>
      <c r="S46" s="246" t="n"/>
      <c r="T46" s="246" t="n"/>
      <c r="U46" s="246" t="n"/>
      <c r="V46" s="246" t="n"/>
      <c r="W46" s="246" t="n"/>
      <c r="X46" s="246" t="n"/>
      <c r="Y46" s="246" t="n"/>
      <c r="Z46" s="246" t="n"/>
      <c r="AA46" s="246" t="n"/>
      <c r="AB46" s="246" t="n"/>
      <c r="AC46" s="246" t="n"/>
      <c r="AD46" s="246" t="n"/>
      <c r="AE46" s="246" t="n"/>
      <c r="AF46" s="246" t="n"/>
    </row>
    <row r="47" ht="14.25" customHeight="1" s="175">
      <c r="A47" s="267" t="inlineStr">
        <is>
          <t>Sam</t>
        </is>
      </c>
      <c r="B47" s="268" t="n">
        <v>1</v>
      </c>
      <c r="C47" s="269" t="inlineStr">
        <is>
          <t>David</t>
        </is>
      </c>
      <c r="D47" s="207" t="inlineStr">
        <is>
          <t>https://discord.com/channels/191975109500731392/1212839710439776287/1219711888896557127</t>
        </is>
      </c>
      <c r="E47" s="340" t="n"/>
      <c r="F47" s="318" t="inlineStr">
        <is>
          <t>Tyler</t>
        </is>
      </c>
      <c r="G47" s="291">
        <f>$H$9</f>
        <v/>
      </c>
      <c r="I47" s="246" t="n"/>
      <c r="J47" s="246" t="n"/>
      <c r="K47" s="246" t="n"/>
      <c r="L47" s="260" t="n"/>
      <c r="M47" s="260" t="n"/>
      <c r="N47" s="260" t="n"/>
      <c r="P47" s="318" t="inlineStr">
        <is>
          <t>Seth</t>
        </is>
      </c>
      <c r="Q47" s="291">
        <f>$K$5</f>
        <v/>
      </c>
      <c r="S47" s="246" t="n"/>
      <c r="T47" s="246" t="n"/>
      <c r="U47" s="246" t="n"/>
      <c r="V47" s="246" t="n"/>
      <c r="W47" s="246" t="n"/>
      <c r="X47" s="246" t="n"/>
      <c r="Y47" s="246" t="n"/>
      <c r="Z47" s="246" t="n"/>
      <c r="AA47" s="246" t="n"/>
      <c r="AB47" s="246" t="n"/>
      <c r="AC47" s="246" t="n"/>
      <c r="AD47" s="246" t="n"/>
      <c r="AE47" s="246" t="n"/>
      <c r="AF47" s="246" t="n"/>
    </row>
    <row r="48" ht="14.25" customHeight="1" s="175">
      <c r="A48" s="267" t="inlineStr">
        <is>
          <t>Sam</t>
        </is>
      </c>
      <c r="B48" s="268" t="n">
        <v>2</v>
      </c>
      <c r="C48" s="269" t="inlineStr">
        <is>
          <t>Tyler</t>
        </is>
      </c>
      <c r="D48" s="207" t="inlineStr">
        <is>
          <t>https://discord.com/channels/191975109500731392/1212839710439776287/1219717026302529607</t>
        </is>
      </c>
      <c r="E48" s="340" t="n"/>
      <c r="F48" s="318" t="inlineStr">
        <is>
          <t>Seth</t>
        </is>
      </c>
      <c r="G48" s="291">
        <f>$H$5</f>
        <v/>
      </c>
      <c r="I48" s="246" t="n"/>
      <c r="J48" s="246" t="n"/>
      <c r="K48" s="246" t="n"/>
      <c r="L48" s="260" t="n"/>
      <c r="M48" s="260" t="n"/>
      <c r="N48" s="260" t="n"/>
      <c r="P48" s="318" t="inlineStr">
        <is>
          <t>Cooper</t>
        </is>
      </c>
      <c r="Q48" s="291">
        <f>$K$6</f>
        <v/>
      </c>
      <c r="S48" s="246" t="n"/>
      <c r="T48" s="246" t="n"/>
      <c r="U48" s="246" t="n"/>
      <c r="V48" s="246" t="n"/>
      <c r="W48" s="246" t="n"/>
      <c r="X48" s="246" t="n"/>
      <c r="Y48" s="246" t="n"/>
      <c r="Z48" s="246" t="n"/>
      <c r="AA48" s="246" t="n"/>
      <c r="AB48" s="246" t="n"/>
      <c r="AC48" s="246" t="n"/>
      <c r="AD48" s="246" t="n"/>
      <c r="AE48" s="246" t="n"/>
      <c r="AF48" s="246" t="n"/>
    </row>
    <row r="49" ht="14.25" customHeight="1" s="175">
      <c r="A49" s="267" t="inlineStr">
        <is>
          <t>Peter</t>
        </is>
      </c>
      <c r="B49" s="268" t="n">
        <v>2</v>
      </c>
      <c r="C49" s="269" t="inlineStr">
        <is>
          <t>Anthony</t>
        </is>
      </c>
      <c r="D49" s="207" t="inlineStr">
        <is>
          <t>https://discord.com/channels/191975109500731392/1212839710439776287/1219750366896324769</t>
        </is>
      </c>
      <c r="E49" s="340" t="n"/>
      <c r="I49" s="246" t="n"/>
      <c r="J49" s="246" t="n"/>
      <c r="K49" s="246" t="n"/>
      <c r="L49" s="260" t="n"/>
      <c r="M49" s="260" t="n"/>
      <c r="N49" s="260" t="n"/>
      <c r="O49" s="260" t="n"/>
      <c r="P49" s="182" t="n"/>
      <c r="S49" s="246" t="n"/>
      <c r="T49" s="246" t="n"/>
      <c r="U49" s="246" t="n"/>
      <c r="V49" s="246" t="n"/>
      <c r="W49" s="246" t="n"/>
      <c r="X49" s="246" t="n"/>
      <c r="Y49" s="246" t="n"/>
      <c r="Z49" s="246" t="n"/>
      <c r="AA49" s="246" t="n"/>
      <c r="AB49" s="246" t="n"/>
      <c r="AC49" s="246" t="n"/>
      <c r="AD49" s="246" t="n"/>
      <c r="AE49" s="246" t="n"/>
      <c r="AF49" s="246" t="n"/>
    </row>
    <row r="50" ht="14.25" customHeight="1" s="175">
      <c r="A50" s="267" t="inlineStr">
        <is>
          <t>Jon</t>
        </is>
      </c>
      <c r="B50" s="268" t="n">
        <v>1</v>
      </c>
      <c r="C50" s="269" t="inlineStr">
        <is>
          <t>Cooper</t>
        </is>
      </c>
      <c r="D50" s="207" t="inlineStr">
        <is>
          <t>https://discord.com/channels/191975109500731392/1212839710439776287/1219796370324717590</t>
        </is>
      </c>
      <c r="E50" s="340" t="n"/>
      <c r="F50" s="318" t="inlineStr">
        <is>
          <t>Person:</t>
        </is>
      </c>
      <c r="G50" s="216" t="inlineStr">
        <is>
          <t>KDR</t>
        </is>
      </c>
      <c r="I50" s="246" t="n"/>
      <c r="J50" s="246" t="n"/>
      <c r="K50" s="246" t="n"/>
      <c r="L50" s="260" t="n"/>
      <c r="M50" s="260" t="n"/>
      <c r="N50" s="260" t="n"/>
      <c r="P50" s="318" t="inlineStr">
        <is>
          <t>Person:</t>
        </is>
      </c>
      <c r="Q50" s="216" t="inlineStr">
        <is>
          <t>KpDpR</t>
        </is>
      </c>
      <c r="S50" s="246" t="n"/>
      <c r="T50" s="246" t="n"/>
      <c r="U50" s="246" t="n"/>
      <c r="V50" s="246" t="n"/>
      <c r="W50" s="246" t="n"/>
      <c r="X50" s="246" t="n"/>
      <c r="Y50" s="246" t="n"/>
      <c r="Z50" s="246" t="n"/>
      <c r="AA50" s="246" t="n"/>
      <c r="AB50" s="246" t="n"/>
      <c r="AC50" s="246" t="n"/>
      <c r="AD50" s="246" t="n"/>
      <c r="AE50" s="246" t="n"/>
      <c r="AF50" s="246" t="n"/>
    </row>
    <row r="51" ht="14.25" customHeight="1" s="175">
      <c r="A51" s="267" t="inlineStr">
        <is>
          <t>Cooper</t>
        </is>
      </c>
      <c r="B51" s="268" t="n">
        <v>1</v>
      </c>
      <c r="C51" s="269" t="inlineStr">
        <is>
          <t>Jon</t>
        </is>
      </c>
      <c r="D51" s="207" t="inlineStr">
        <is>
          <t>https://discord.com/channels/191975109500731392/1212839710439776287/1219796743496142958</t>
        </is>
      </c>
      <c r="E51" s="340" t="n"/>
      <c r="F51" s="318" t="inlineStr">
        <is>
          <t>Peter</t>
        </is>
      </c>
      <c r="G51" s="322">
        <f>$I$13</f>
        <v/>
      </c>
      <c r="I51" s="246" t="n"/>
      <c r="J51" s="246" t="n"/>
      <c r="K51" s="246" t="n"/>
      <c r="L51" s="260" t="n"/>
      <c r="M51" s="260" t="n"/>
      <c r="N51" s="260" t="n"/>
      <c r="P51" s="318" t="inlineStr">
        <is>
          <t>Maxine</t>
        </is>
      </c>
      <c r="Q51" s="322">
        <f>$L$7</f>
        <v/>
      </c>
      <c r="S51" s="246" t="n"/>
      <c r="T51" s="246" t="n"/>
      <c r="U51" s="246" t="n"/>
      <c r="V51" s="246" t="n"/>
      <c r="W51" s="246" t="n"/>
      <c r="X51" s="246" t="n"/>
      <c r="Y51" s="246" t="n"/>
      <c r="Z51" s="246" t="n"/>
      <c r="AA51" s="246" t="n"/>
      <c r="AB51" s="246" t="n"/>
      <c r="AC51" s="246" t="n"/>
      <c r="AD51" s="220" t="inlineStr">
        <is>
          <t>MATRIX</t>
        </is>
      </c>
      <c r="AE51" s="317" t="inlineStr">
        <is>
          <t>Kills</t>
        </is>
      </c>
      <c r="AF51" s="317" t="inlineStr">
        <is>
          <t>Deaths</t>
        </is>
      </c>
      <c r="AG51" s="317" t="inlineStr">
        <is>
          <t>KDR</t>
        </is>
      </c>
      <c r="AH51" s="317" t="inlineStr">
        <is>
          <t>Kill Points</t>
        </is>
      </c>
      <c r="AI51" s="317" t="inlineStr">
        <is>
          <t>Death Points</t>
        </is>
      </c>
      <c r="AJ51" s="317" t="inlineStr">
        <is>
          <t>KpDpR</t>
        </is>
      </c>
      <c r="AK51" s="317" t="inlineStr">
        <is>
          <t>KPts/Kill</t>
        </is>
      </c>
      <c r="AL51" s="317" t="inlineStr">
        <is>
          <t>DPts/Death</t>
        </is>
      </c>
    </row>
    <row r="52" ht="14.25" customHeight="1" s="175">
      <c r="A52" s="267" t="inlineStr">
        <is>
          <t>Peter</t>
        </is>
      </c>
      <c r="B52" s="268" t="n">
        <v>2</v>
      </c>
      <c r="C52" s="269" t="inlineStr">
        <is>
          <t>Jon</t>
        </is>
      </c>
      <c r="D52" s="207" t="inlineStr">
        <is>
          <t>https://discord.com/channels/191975109500731392/1212839710439776287/1220096079752593451</t>
        </is>
      </c>
      <c r="E52" s="340" t="n"/>
      <c r="F52" s="318" t="inlineStr">
        <is>
          <t>Maxine</t>
        </is>
      </c>
      <c r="G52" s="322">
        <f>$I$7</f>
        <v/>
      </c>
      <c r="I52" s="246" t="n"/>
      <c r="J52" s="246" t="n"/>
      <c r="K52" s="246" t="n"/>
      <c r="L52" s="260" t="n"/>
      <c r="M52" s="260" t="n"/>
      <c r="N52" s="260" t="n"/>
      <c r="P52" s="318" t="inlineStr">
        <is>
          <t>Peter</t>
        </is>
      </c>
      <c r="Q52" s="322">
        <f>$L$13</f>
        <v/>
      </c>
      <c r="S52" s="246" t="n"/>
      <c r="T52" s="246" t="n"/>
      <c r="U52" s="246" t="n"/>
      <c r="V52" s="246" t="n"/>
      <c r="W52" s="246" t="n"/>
      <c r="X52" s="246" t="n"/>
      <c r="Y52" s="246" t="n"/>
      <c r="Z52" s="246" t="n"/>
      <c r="AA52" s="246" t="n"/>
      <c r="AB52" s="246" t="n"/>
      <c r="AC52" s="246" t="n"/>
      <c r="AD52" s="208" t="inlineStr">
        <is>
          <t>Weight:</t>
        </is>
      </c>
      <c r="AE52" s="230">
        <f>(20+18+16+4+5+6)/9</f>
        <v/>
      </c>
      <c r="AF52" s="230">
        <f>-(9+5+6+7+8+9+10)/9</f>
        <v/>
      </c>
      <c r="AG52" s="230">
        <f>4*(3+15+6+14+9+10)/9</f>
        <v/>
      </c>
      <c r="AH52" s="230">
        <f>(30+9+24+7+1)/9</f>
        <v/>
      </c>
      <c r="AI52" s="230">
        <f>-(3+15+14+8+18)/9</f>
        <v/>
      </c>
      <c r="AJ52" s="230">
        <f>4*(10+18+8+12+6)/9</f>
        <v/>
      </c>
      <c r="AK52" s="230">
        <f>5*(35+14)/9</f>
        <v/>
      </c>
      <c r="AL52" s="230">
        <f>-5*(1+4+3+4+10+7+9)/9</f>
        <v/>
      </c>
      <c r="AM52" s="341" t="inlineStr">
        <is>
          <t>Totals</t>
        </is>
      </c>
    </row>
    <row r="53" ht="14.25" customHeight="1" s="175">
      <c r="A53" s="267" t="inlineStr">
        <is>
          <t>Sam</t>
        </is>
      </c>
      <c r="B53" s="268" t="n">
        <v>2</v>
      </c>
      <c r="C53" s="269" t="inlineStr">
        <is>
          <t>Anthony</t>
        </is>
      </c>
      <c r="D53" s="207" t="inlineStr">
        <is>
          <t>https://discord.com/channels/191975109500731392/1212839710439776287/1220385279660003409</t>
        </is>
      </c>
      <c r="E53" s="340" t="n"/>
      <c r="F53" s="318" t="inlineStr">
        <is>
          <t>David</t>
        </is>
      </c>
      <c r="G53" s="322">
        <f>$I$8</f>
        <v/>
      </c>
      <c r="I53" s="246" t="n"/>
      <c r="J53" s="246" t="n"/>
      <c r="K53" s="246" t="n"/>
      <c r="L53" s="260" t="n"/>
      <c r="M53" s="260" t="n"/>
      <c r="N53" s="260" t="n"/>
      <c r="P53" s="318" t="inlineStr">
        <is>
          <t>Sam</t>
        </is>
      </c>
      <c r="Q53" s="322">
        <f>$L$11</f>
        <v/>
      </c>
      <c r="S53" s="246" t="n"/>
      <c r="T53" s="246" t="n"/>
      <c r="U53" s="246" t="n"/>
      <c r="V53" s="246" t="n"/>
      <c r="W53" s="246" t="n"/>
      <c r="X53" s="246" t="n"/>
      <c r="Y53" s="246" t="n"/>
      <c r="Z53" s="246" t="n"/>
      <c r="AA53" s="246" t="n"/>
      <c r="AB53" s="246" t="n"/>
      <c r="AC53" s="246" t="n"/>
      <c r="AD53" s="226" t="inlineStr">
        <is>
          <t>Tenors</t>
        </is>
      </c>
      <c r="AE53" s="210">
        <f>$AE$52*G17</f>
        <v/>
      </c>
      <c r="AF53" s="210">
        <f>$AF$52*H17</f>
        <v/>
      </c>
      <c r="AG53" s="210">
        <f>$AG$52*I17</f>
        <v/>
      </c>
      <c r="AH53" s="210">
        <f>$AH$52*J17</f>
        <v/>
      </c>
      <c r="AI53" s="210">
        <f>$AI$52*K17</f>
        <v/>
      </c>
      <c r="AJ53" s="210">
        <f>$AJ$52*L17</f>
        <v/>
      </c>
      <c r="AK53" s="210">
        <f>$AK$52*M17</f>
        <v/>
      </c>
      <c r="AL53" s="210">
        <f>$AL$52*N17</f>
        <v/>
      </c>
      <c r="AM53" s="210">
        <f>SUM(AE53:AL53)</f>
        <v/>
      </c>
    </row>
    <row r="54" ht="14.25" customHeight="1" s="175">
      <c r="A54" s="267" t="inlineStr">
        <is>
          <t>Sam</t>
        </is>
      </c>
      <c r="B54" s="268" t="n">
        <v>2</v>
      </c>
      <c r="C54" s="269" t="inlineStr">
        <is>
          <t>Grady</t>
        </is>
      </c>
      <c r="D54" s="207" t="inlineStr">
        <is>
          <t>https://discord.com/channels/191975109500731392/1212839710439776287/1220406189653757993</t>
        </is>
      </c>
      <c r="E54" s="340" t="n"/>
      <c r="F54" s="318" t="inlineStr">
        <is>
          <t>Sam</t>
        </is>
      </c>
      <c r="G54" s="322">
        <f>$I$11</f>
        <v/>
      </c>
      <c r="I54" s="246" t="n"/>
      <c r="J54" s="246" t="n"/>
      <c r="K54" s="246" t="n"/>
      <c r="L54" s="260" t="n"/>
      <c r="M54" s="260" t="n"/>
      <c r="N54" s="260" t="n"/>
      <c r="P54" s="318" t="inlineStr">
        <is>
          <t>David</t>
        </is>
      </c>
      <c r="Q54" s="322">
        <f>$L$8</f>
        <v/>
      </c>
      <c r="S54" s="246" t="n"/>
      <c r="T54" s="246" t="n"/>
      <c r="U54" s="246" t="n"/>
      <c r="V54" s="246" t="n"/>
      <c r="W54" s="246" t="n"/>
      <c r="X54" s="246" t="n"/>
      <c r="Y54" s="246" t="n"/>
      <c r="Z54" s="246" t="n"/>
      <c r="AA54" s="246" t="n"/>
      <c r="AB54" s="246" t="n"/>
      <c r="AC54" s="246" t="n"/>
      <c r="AD54" s="208" t="inlineStr">
        <is>
          <t>Leads</t>
        </is>
      </c>
      <c r="AE54" s="210">
        <f>$AE$52*G18</f>
        <v/>
      </c>
      <c r="AF54" s="210">
        <f>$AF$52*H18</f>
        <v/>
      </c>
      <c r="AG54" s="210">
        <f>$AG$52*I18</f>
        <v/>
      </c>
      <c r="AH54" s="210">
        <f>$AH$52*J18</f>
        <v/>
      </c>
      <c r="AI54" s="210">
        <f>$AI$52*K18</f>
        <v/>
      </c>
      <c r="AJ54" s="210">
        <f>$AJ$52*L18</f>
        <v/>
      </c>
      <c r="AK54" s="210">
        <f>$AK$52*M18</f>
        <v/>
      </c>
      <c r="AL54" s="210">
        <f>$AL$52*N18</f>
        <v/>
      </c>
      <c r="AM54" s="210">
        <f>SUM(AE54:AL54)</f>
        <v/>
      </c>
    </row>
    <row r="55" ht="14.25" customHeight="1" s="175">
      <c r="A55" s="267" t="inlineStr">
        <is>
          <t>Jon</t>
        </is>
      </c>
      <c r="B55" s="268" t="n">
        <v>2</v>
      </c>
      <c r="C55" s="269" t="inlineStr">
        <is>
          <t>Grady</t>
        </is>
      </c>
      <c r="D55" s="207" t="inlineStr">
        <is>
          <t>https://discord.com/channels/191975109500731392/1212839710439776287/1220406740907069542</t>
        </is>
      </c>
      <c r="E55" s="340" t="n"/>
      <c r="F55" s="318" t="inlineStr">
        <is>
          <t>Jon</t>
        </is>
      </c>
      <c r="G55" s="322">
        <f>$I$14</f>
        <v/>
      </c>
      <c r="I55" s="246" t="n"/>
      <c r="J55" s="246" t="n"/>
      <c r="K55" s="246" t="n"/>
      <c r="L55" s="260" t="n"/>
      <c r="M55" s="260" t="n"/>
      <c r="N55" s="260" t="n"/>
      <c r="P55" s="318" t="inlineStr">
        <is>
          <t>Jon</t>
        </is>
      </c>
      <c r="Q55" s="322">
        <f>$L$14</f>
        <v/>
      </c>
      <c r="S55" s="246" t="n"/>
      <c r="T55" s="246" t="n"/>
      <c r="U55" s="246" t="n"/>
      <c r="V55" s="246" t="n"/>
      <c r="W55" s="246" t="n"/>
      <c r="X55" s="246" t="n"/>
      <c r="Y55" s="246" t="n"/>
      <c r="Z55" s="246" t="n"/>
      <c r="AA55" s="246" t="n"/>
      <c r="AB55" s="246" t="n"/>
      <c r="AC55" s="246" t="n"/>
      <c r="AD55" s="208" t="inlineStr">
        <is>
          <t>Baris</t>
        </is>
      </c>
      <c r="AE55" s="210">
        <f>$AE$52*G19</f>
        <v/>
      </c>
      <c r="AF55" s="210">
        <f>$AF$52*H19</f>
        <v/>
      </c>
      <c r="AG55" s="210">
        <f>$AG$52*I19</f>
        <v/>
      </c>
      <c r="AH55" s="210">
        <f>$AH$52*J19</f>
        <v/>
      </c>
      <c r="AI55" s="210">
        <f>$AI$52*K19</f>
        <v/>
      </c>
      <c r="AJ55" s="210">
        <f>$AJ$52*L19</f>
        <v/>
      </c>
      <c r="AK55" s="210">
        <f>$AK$52*M19</f>
        <v/>
      </c>
      <c r="AL55" s="210">
        <f>$AL$52*N19</f>
        <v/>
      </c>
      <c r="AM55" s="210">
        <f>SUM(AE55:AL55)</f>
        <v/>
      </c>
    </row>
    <row r="56" ht="14.25" customHeight="1" s="175">
      <c r="A56" s="267" t="inlineStr">
        <is>
          <t>Sam</t>
        </is>
      </c>
      <c r="B56" s="268" t="n">
        <v>2</v>
      </c>
      <c r="C56" s="269" t="inlineStr">
        <is>
          <t>Peter</t>
        </is>
      </c>
      <c r="D56" s="207" t="inlineStr">
        <is>
          <t>https://discord.com/channels/191975109500731392/1212839710439776287/1220408100037722192</t>
        </is>
      </c>
      <c r="E56" s="340" t="n"/>
      <c r="F56" s="318" t="inlineStr">
        <is>
          <t>Erick</t>
        </is>
      </c>
      <c r="G56" s="322">
        <f>$I$12</f>
        <v/>
      </c>
      <c r="I56" s="246" t="n"/>
      <c r="J56" s="246" t="n"/>
      <c r="K56" s="246" t="n"/>
      <c r="L56" s="260" t="n"/>
      <c r="M56" s="260" t="n"/>
      <c r="N56" s="260" t="n"/>
      <c r="P56" s="318" t="inlineStr">
        <is>
          <t>Erick</t>
        </is>
      </c>
      <c r="Q56" s="322">
        <f>$L$12</f>
        <v/>
      </c>
      <c r="S56" s="246" t="n"/>
      <c r="T56" s="246" t="n"/>
      <c r="U56" s="246" t="n"/>
      <c r="V56" s="246" t="n"/>
      <c r="W56" s="246" t="n"/>
      <c r="X56" s="246" t="n"/>
      <c r="Y56" s="246" t="n"/>
      <c r="Z56" s="246" t="n"/>
      <c r="AA56" s="246" t="n"/>
      <c r="AB56" s="246" t="n"/>
      <c r="AC56" s="246" t="n"/>
      <c r="AD56" s="208" t="inlineStr">
        <is>
          <t>Basses</t>
        </is>
      </c>
      <c r="AE56" s="210">
        <f>$AE$52*G20</f>
        <v/>
      </c>
      <c r="AF56" s="210">
        <f>$AF$52*H20</f>
        <v/>
      </c>
      <c r="AG56" s="210">
        <f>$AG$52*I20</f>
        <v/>
      </c>
      <c r="AH56" s="210">
        <f>$AH$52*J20</f>
        <v/>
      </c>
      <c r="AI56" s="210">
        <f>$AI$52*K20</f>
        <v/>
      </c>
      <c r="AJ56" s="210">
        <f>$AJ$52*L20</f>
        <v/>
      </c>
      <c r="AK56" s="210">
        <f>$AK$52*M20</f>
        <v/>
      </c>
      <c r="AL56" s="210">
        <f>$AL$52*N20</f>
        <v/>
      </c>
      <c r="AM56" s="210">
        <f>SUM(AE56:AL56)</f>
        <v/>
      </c>
    </row>
    <row r="57" ht="14.25" customHeight="1" s="175">
      <c r="A57" s="267" t="inlineStr">
        <is>
          <t>Sam</t>
        </is>
      </c>
      <c r="B57" s="268" t="n">
        <v>2</v>
      </c>
      <c r="C57" s="269" t="inlineStr">
        <is>
          <t>David</t>
        </is>
      </c>
      <c r="D57" s="207" t="inlineStr">
        <is>
          <t>https://discord.com/channels/191975109500731392/1212839710439776287/1220408100037722192</t>
        </is>
      </c>
      <c r="E57" s="340" t="n"/>
      <c r="F57" s="318" t="inlineStr">
        <is>
          <t>Carter</t>
        </is>
      </c>
      <c r="G57" s="322">
        <f>$I$3</f>
        <v/>
      </c>
      <c r="I57" s="246" t="n"/>
      <c r="J57" s="246" t="n"/>
      <c r="K57" s="246" t="n"/>
      <c r="L57" s="260" t="n"/>
      <c r="M57" s="260" t="n"/>
      <c r="N57" s="260" t="n"/>
      <c r="P57" s="318" t="inlineStr">
        <is>
          <t>Carter</t>
        </is>
      </c>
      <c r="Q57" s="322">
        <f>$L$3</f>
        <v/>
      </c>
      <c r="S57" s="246" t="n"/>
      <c r="T57" s="246" t="n"/>
      <c r="U57" s="246" t="n"/>
      <c r="V57" s="246" t="n"/>
      <c r="W57" s="246" t="n"/>
      <c r="X57" s="246" t="n"/>
      <c r="Y57" s="246" t="n"/>
      <c r="Z57" s="246" t="n"/>
      <c r="AA57" s="246" t="n"/>
      <c r="AB57" s="246" t="n"/>
      <c r="AC57" s="246" t="n"/>
    </row>
    <row r="58" ht="14.25" customHeight="1" s="175">
      <c r="A58" s="267" t="inlineStr">
        <is>
          <t>Maxine</t>
        </is>
      </c>
      <c r="B58" s="268" t="n">
        <v>2</v>
      </c>
      <c r="C58" s="269" t="inlineStr">
        <is>
          <t>Carter</t>
        </is>
      </c>
      <c r="D58" s="207" t="inlineStr">
        <is>
          <t>https://discord.com/channels/191975109500731392/1212839710439776287/1220476124786724885</t>
        </is>
      </c>
      <c r="E58" s="340" t="n"/>
      <c r="F58" s="318" t="inlineStr">
        <is>
          <t>Anthony</t>
        </is>
      </c>
      <c r="G58" s="322">
        <f>$I$10</f>
        <v/>
      </c>
      <c r="I58" s="246" t="n"/>
      <c r="J58" s="246" t="n"/>
      <c r="K58" s="246" t="n"/>
      <c r="L58" s="260" t="n"/>
      <c r="M58" s="260" t="n"/>
      <c r="N58" s="260" t="n"/>
      <c r="P58" s="318" t="inlineStr">
        <is>
          <t>Anthony</t>
        </is>
      </c>
      <c r="Q58" s="322">
        <f>$L$10</f>
        <v/>
      </c>
      <c r="S58" s="246" t="n"/>
      <c r="T58" s="246" t="n"/>
      <c r="U58" s="246" t="n"/>
      <c r="V58" s="246" t="n"/>
      <c r="W58" s="246" t="n"/>
      <c r="X58" s="246" t="n"/>
      <c r="Y58" s="246" t="n"/>
      <c r="Z58" s="246" t="n"/>
      <c r="AA58" s="246" t="n"/>
      <c r="AB58" s="246" t="n"/>
      <c r="AC58" s="246" t="n"/>
      <c r="AD58" s="248" t="inlineStr">
        <is>
          <t>Part</t>
        </is>
      </c>
      <c r="AE58" s="249" t="inlineStr">
        <is>
          <t>Score</t>
        </is>
      </c>
      <c r="AF58" s="249" t="inlineStr">
        <is>
          <t>Adjusted</t>
        </is>
      </c>
    </row>
    <row r="59" ht="14.25" customHeight="1" s="175">
      <c r="A59" s="267" t="inlineStr">
        <is>
          <t>David</t>
        </is>
      </c>
      <c r="B59" s="268" t="n">
        <v>2</v>
      </c>
      <c r="C59" s="269" t="inlineStr">
        <is>
          <t>Erick</t>
        </is>
      </c>
      <c r="D59" s="207" t="inlineStr">
        <is>
          <t>https://discord.com/channels/191975109500731392/1212839710439776287/1220488388558327938</t>
        </is>
      </c>
      <c r="E59" s="340" t="n"/>
      <c r="F59" s="318" t="inlineStr">
        <is>
          <t>Cooper</t>
        </is>
      </c>
      <c r="G59" s="322">
        <f>$I$6</f>
        <v/>
      </c>
      <c r="I59" s="246" t="n"/>
      <c r="J59" s="246" t="n"/>
      <c r="K59" s="246" t="n"/>
      <c r="L59" s="260" t="n"/>
      <c r="M59" s="260" t="n"/>
      <c r="N59" s="260" t="n"/>
      <c r="P59" s="318" t="inlineStr">
        <is>
          <t>Cooper</t>
        </is>
      </c>
      <c r="Q59" s="322">
        <f>$L$6</f>
        <v/>
      </c>
      <c r="S59" s="246" t="n"/>
      <c r="T59" s="246" t="n"/>
      <c r="U59" s="246" t="n"/>
      <c r="V59" s="246" t="n"/>
      <c r="W59" s="246" t="n"/>
      <c r="X59" s="246" t="n"/>
      <c r="Y59" s="246" t="n"/>
      <c r="Z59" s="246" t="n"/>
      <c r="AA59" s="246" t="n"/>
      <c r="AB59" s="246" t="n"/>
      <c r="AC59" s="246" t="n"/>
      <c r="AD59" s="226" t="inlineStr">
        <is>
          <t>Leads</t>
        </is>
      </c>
      <c r="AE59" s="251">
        <f>$AM$54</f>
        <v/>
      </c>
      <c r="AF59" s="251">
        <f>AE59-($AE$62)</f>
        <v/>
      </c>
    </row>
    <row r="60" ht="14.25" customHeight="1" s="175">
      <c r="A60" s="267" t="inlineStr">
        <is>
          <t>Maxine</t>
        </is>
      </c>
      <c r="B60" s="268" t="n">
        <v>1</v>
      </c>
      <c r="C60" s="269" t="inlineStr">
        <is>
          <t>Jon</t>
        </is>
      </c>
      <c r="D60" s="207" t="inlineStr">
        <is>
          <t>https://discord.com/channels/191975109500731392/1212839710439776287/1220731024535978005</t>
        </is>
      </c>
      <c r="E60" s="340" t="n"/>
      <c r="F60" s="318" t="inlineStr">
        <is>
          <t>Seth</t>
        </is>
      </c>
      <c r="G60" s="322">
        <f>$I$5</f>
        <v/>
      </c>
      <c r="I60" s="246" t="n"/>
      <c r="J60" s="246" t="n"/>
      <c r="K60" s="246" t="n"/>
      <c r="L60" s="260" t="n"/>
      <c r="M60" s="260" t="n"/>
      <c r="N60" s="260" t="n"/>
      <c r="P60" s="318" t="inlineStr">
        <is>
          <t>Seth</t>
        </is>
      </c>
      <c r="Q60" s="322">
        <f>$L$5</f>
        <v/>
      </c>
      <c r="S60" s="246" t="n"/>
      <c r="T60" s="246" t="n"/>
      <c r="U60" s="246" t="n"/>
      <c r="V60" s="246" t="n"/>
      <c r="W60" s="246" t="n"/>
      <c r="X60" s="246" t="n"/>
      <c r="Y60" s="246" t="n"/>
      <c r="Z60" s="246" t="n"/>
      <c r="AA60" s="246" t="n"/>
      <c r="AB60" s="246" t="n"/>
      <c r="AC60" s="246" t="n"/>
      <c r="AD60" s="208" t="inlineStr">
        <is>
          <t>Basses</t>
        </is>
      </c>
      <c r="AE60" s="251">
        <f>$AM$56</f>
        <v/>
      </c>
      <c r="AF60" s="251">
        <f>AE60-($AE$62)</f>
        <v/>
      </c>
    </row>
    <row r="61" ht="14.25" customHeight="1" s="175">
      <c r="A61" s="267" t="inlineStr">
        <is>
          <t>Maxine</t>
        </is>
      </c>
      <c r="B61" s="268" t="n">
        <v>1</v>
      </c>
      <c r="C61" s="269" t="inlineStr">
        <is>
          <t>Sam</t>
        </is>
      </c>
      <c r="D61" s="192" t="inlineStr">
        <is>
          <t>https://discord.com/channels/191975109500731392/1212839710439776287/1221263132413132891</t>
        </is>
      </c>
      <c r="E61" s="333" t="n"/>
      <c r="F61" s="318" t="inlineStr">
        <is>
          <t>Tyler</t>
        </is>
      </c>
      <c r="G61" s="322">
        <f>$I$9</f>
        <v/>
      </c>
      <c r="I61" s="246" t="n"/>
      <c r="J61" s="246" t="n"/>
      <c r="K61" s="246" t="n"/>
      <c r="L61" s="260" t="n"/>
      <c r="M61" s="260" t="n"/>
      <c r="N61" s="260" t="n"/>
      <c r="P61" s="318" t="inlineStr">
        <is>
          <t>Tyler</t>
        </is>
      </c>
      <c r="Q61" s="322">
        <f>$L$9</f>
        <v/>
      </c>
      <c r="S61" s="246" t="n"/>
      <c r="T61" s="246" t="n"/>
      <c r="U61" s="246" t="n"/>
      <c r="V61" s="246" t="n"/>
      <c r="W61" s="246" t="n"/>
      <c r="X61" s="246" t="n"/>
      <c r="Y61" s="246" t="n"/>
      <c r="Z61" s="246" t="n"/>
      <c r="AA61" s="246" t="n"/>
      <c r="AB61" s="246" t="n"/>
      <c r="AC61" s="246" t="n"/>
      <c r="AD61" s="208" t="inlineStr">
        <is>
          <t>Baris</t>
        </is>
      </c>
      <c r="AE61" s="251">
        <f>$AM$55</f>
        <v/>
      </c>
      <c r="AF61" s="251">
        <f>AE61-($AE$62)</f>
        <v/>
      </c>
    </row>
    <row r="62" ht="14.25" customHeight="1" s="175">
      <c r="A62" s="267" t="inlineStr">
        <is>
          <t>Maxine</t>
        </is>
      </c>
      <c r="B62" s="268" t="n">
        <v>1</v>
      </c>
      <c r="C62" s="269" t="inlineStr">
        <is>
          <t>David</t>
        </is>
      </c>
      <c r="D62" s="207" t="inlineStr">
        <is>
          <t>https://discord.com/channels/191975109500731392/1212839710439776287/1221263433807171595</t>
        </is>
      </c>
      <c r="E62" s="340" t="n"/>
      <c r="F62" s="318" t="inlineStr">
        <is>
          <t>Grady</t>
        </is>
      </c>
      <c r="G62" s="322">
        <f>$I$4</f>
        <v/>
      </c>
      <c r="I62" s="246" t="n"/>
      <c r="J62" s="246" t="n"/>
      <c r="K62" s="246" t="n"/>
      <c r="L62" s="260" t="n"/>
      <c r="M62" s="260" t="n"/>
      <c r="N62" s="260" t="n"/>
      <c r="P62" s="318" t="inlineStr">
        <is>
          <t>Grady</t>
        </is>
      </c>
      <c r="Q62" s="322">
        <f>$L$4</f>
        <v/>
      </c>
      <c r="S62" s="246" t="n"/>
      <c r="T62" s="246" t="n"/>
      <c r="U62" s="246" t="n"/>
      <c r="V62" s="246" t="n"/>
      <c r="W62" s="246" t="n"/>
      <c r="X62" s="246" t="n"/>
      <c r="Y62" s="246" t="n"/>
      <c r="Z62" s="246" t="n"/>
      <c r="AA62" s="246" t="n"/>
      <c r="AB62" s="246" t="n"/>
      <c r="AC62" s="246" t="n"/>
      <c r="AD62" s="208" t="inlineStr">
        <is>
          <t>Tenors</t>
        </is>
      </c>
      <c r="AE62" s="251">
        <f>$AM$53</f>
        <v/>
      </c>
      <c r="AF62" s="251">
        <f>AE62-($AE$62)</f>
        <v/>
      </c>
    </row>
    <row r="63" ht="14.25" customHeight="1" s="175">
      <c r="A63" s="267" t="inlineStr">
        <is>
          <t>David</t>
        </is>
      </c>
      <c r="B63" s="268" t="n">
        <v>2</v>
      </c>
      <c r="C63" s="269" t="inlineStr">
        <is>
          <t>Maxine</t>
        </is>
      </c>
      <c r="D63" s="207" t="inlineStr">
        <is>
          <t>https://discord.com/channels/191975109500731392/1212839710439776287/1221263437636702349</t>
        </is>
      </c>
      <c r="E63" s="340" t="n"/>
      <c r="I63" s="246" t="n"/>
      <c r="J63" s="246" t="n"/>
      <c r="K63" s="246" t="n"/>
      <c r="L63" s="260" t="n"/>
      <c r="M63" s="260" t="n"/>
      <c r="N63" s="260" t="n"/>
      <c r="O63" s="260" t="n"/>
      <c r="P63" s="182" t="n"/>
      <c r="S63" s="246" t="n"/>
      <c r="T63" s="246" t="n"/>
      <c r="U63" s="246" t="n"/>
      <c r="V63" s="246" t="n"/>
      <c r="W63" s="246" t="n"/>
      <c r="X63" s="246" t="n"/>
      <c r="Y63" s="246" t="n"/>
      <c r="Z63" s="246" t="n"/>
      <c r="AA63" s="246" t="n"/>
      <c r="AB63" s="246" t="n"/>
      <c r="AC63" s="246" t="n"/>
    </row>
    <row r="64" ht="14.25" customHeight="1" s="175">
      <c r="A64" s="267" t="inlineStr">
        <is>
          <t>Carter</t>
        </is>
      </c>
      <c r="B64" s="268" t="n">
        <v>2</v>
      </c>
      <c r="C64" s="269" t="inlineStr">
        <is>
          <t>Erick</t>
        </is>
      </c>
      <c r="D64" s="207" t="inlineStr">
        <is>
          <t>https://discord.com/channels/191975109500731392/1212839710439776287/1221783029178040360</t>
        </is>
      </c>
      <c r="E64" s="340" t="n"/>
      <c r="F64" s="318" t="inlineStr">
        <is>
          <t>Part:</t>
        </is>
      </c>
      <c r="G64" s="216" t="inlineStr">
        <is>
          <t>Kills</t>
        </is>
      </c>
      <c r="I64" s="246" t="n"/>
      <c r="J64" s="246" t="n"/>
      <c r="K64" s="246" t="n"/>
      <c r="L64" s="260" t="n"/>
      <c r="M64" s="260" t="n"/>
      <c r="N64" s="260" t="n"/>
      <c r="P64" s="318" t="inlineStr">
        <is>
          <t>Part:</t>
        </is>
      </c>
      <c r="Q64" s="216" t="inlineStr">
        <is>
          <t>Kill Points</t>
        </is>
      </c>
      <c r="S64" s="246" t="n"/>
      <c r="T64" s="246" t="n"/>
      <c r="U64" s="246" t="n"/>
      <c r="V64" s="246" t="n"/>
      <c r="W64" s="246" t="n"/>
      <c r="X64" s="246" t="n"/>
      <c r="Y64" s="246" t="n"/>
      <c r="Z64" s="246" t="n"/>
      <c r="AA64" s="246" t="n"/>
      <c r="AB64" s="246" t="n"/>
      <c r="AC64" s="246" t="n"/>
    </row>
    <row r="65" ht="14.25" customHeight="1" s="175">
      <c r="A65" s="267" t="inlineStr">
        <is>
          <t>Erick</t>
        </is>
      </c>
      <c r="B65" s="268" t="n">
        <v>2</v>
      </c>
      <c r="C65" s="269" t="inlineStr">
        <is>
          <t>Grady</t>
        </is>
      </c>
      <c r="D65" s="207" t="inlineStr">
        <is>
          <t>https://discord.com/channels/191975109500731392/1212839710439776287/1221910366011916398</t>
        </is>
      </c>
      <c r="E65" s="340" t="n"/>
      <c r="F65" s="318" t="inlineStr">
        <is>
          <t>Tenors</t>
        </is>
      </c>
      <c r="G65" s="321">
        <f>$G$17</f>
        <v/>
      </c>
      <c r="I65" s="246" t="n"/>
      <c r="J65" s="246" t="n"/>
      <c r="K65" s="246" t="n"/>
      <c r="L65" s="260" t="n"/>
      <c r="M65" s="260" t="n"/>
      <c r="N65" s="260" t="n"/>
      <c r="P65" s="318" t="inlineStr">
        <is>
          <t>Tenors</t>
        </is>
      </c>
      <c r="Q65" s="290">
        <f>$J$17</f>
        <v/>
      </c>
      <c r="S65" s="246" t="n"/>
      <c r="T65" s="246" t="n"/>
      <c r="U65" s="246" t="n"/>
      <c r="V65" s="246" t="n"/>
      <c r="W65" s="246" t="n"/>
      <c r="X65" s="246" t="n"/>
      <c r="Y65" s="246" t="n"/>
      <c r="Z65" s="246" t="n"/>
      <c r="AA65" s="246" t="n"/>
      <c r="AB65" s="246" t="n"/>
      <c r="AC65" s="246" t="n"/>
    </row>
    <row r="66" ht="14.25" customHeight="1" s="175">
      <c r="A66" s="267" t="inlineStr">
        <is>
          <t>Sam</t>
        </is>
      </c>
      <c r="B66" s="268" t="n">
        <v>2</v>
      </c>
      <c r="C66" s="269" t="inlineStr">
        <is>
          <t>Grady</t>
        </is>
      </c>
      <c r="D66" s="207" t="inlineStr">
        <is>
          <t>https://discord.com/channels/191975109500731392/1212839710439776287/1222197416833454111</t>
        </is>
      </c>
      <c r="E66" s="340" t="n"/>
      <c r="F66" s="318" t="inlineStr">
        <is>
          <t>Baris</t>
        </is>
      </c>
      <c r="G66" s="321">
        <f>$G$19</f>
        <v/>
      </c>
      <c r="I66" s="246" t="n"/>
      <c r="J66" s="246" t="n"/>
      <c r="K66" s="246" t="n"/>
      <c r="L66" s="260" t="n"/>
      <c r="M66" s="260" t="n"/>
      <c r="N66" s="260" t="n"/>
      <c r="P66" s="318" t="inlineStr">
        <is>
          <t>Baris</t>
        </is>
      </c>
      <c r="Q66" s="290">
        <f>$J$19</f>
        <v/>
      </c>
      <c r="S66" s="246" t="n"/>
      <c r="T66" s="246" t="n"/>
      <c r="U66" s="246" t="n"/>
      <c r="V66" s="246" t="n"/>
      <c r="W66" s="246" t="n"/>
      <c r="X66" s="246" t="n"/>
      <c r="Y66" s="246" t="n"/>
      <c r="Z66" s="246" t="n"/>
      <c r="AA66" s="246" t="n"/>
      <c r="AB66" s="246" t="n"/>
      <c r="AC66" s="246" t="n"/>
    </row>
    <row r="67" ht="14.25" customHeight="1" s="175">
      <c r="A67" s="267" t="inlineStr">
        <is>
          <t>Sam</t>
        </is>
      </c>
      <c r="B67" s="268" t="n">
        <v>2</v>
      </c>
      <c r="C67" s="269" t="inlineStr">
        <is>
          <t>Seth</t>
        </is>
      </c>
      <c r="D67" s="207" t="inlineStr">
        <is>
          <t>https://discord.com/channels/191975109500731392/1212839710439776287/1222215044725477477</t>
        </is>
      </c>
      <c r="E67" s="340" t="n"/>
      <c r="F67" s="318" t="inlineStr">
        <is>
          <t>Basses</t>
        </is>
      </c>
      <c r="G67" s="321">
        <f>$G$20</f>
        <v/>
      </c>
      <c r="I67" s="246" t="n"/>
      <c r="J67" s="246" t="n"/>
      <c r="K67" s="246" t="n"/>
      <c r="L67" s="260" t="n"/>
      <c r="M67" s="260" t="n"/>
      <c r="N67" s="260" t="n"/>
      <c r="P67" s="318" t="inlineStr">
        <is>
          <t>Basses</t>
        </is>
      </c>
      <c r="Q67" s="290">
        <f>$J$20</f>
        <v/>
      </c>
      <c r="S67" s="246" t="n"/>
      <c r="T67" s="246" t="n"/>
      <c r="U67" s="246" t="n"/>
      <c r="V67" s="246" t="n"/>
      <c r="W67" s="246" t="n"/>
      <c r="X67" s="246" t="n"/>
      <c r="Y67" s="246" t="n"/>
      <c r="Z67" s="246" t="n"/>
      <c r="AA67" s="246" t="n"/>
      <c r="AB67" s="246" t="n"/>
      <c r="AC67" s="246" t="n"/>
      <c r="AD67" s="246" t="n"/>
      <c r="AE67" s="246" t="n"/>
      <c r="AF67" s="246" t="n"/>
    </row>
    <row r="68" ht="14.25" customHeight="1" s="175">
      <c r="A68" s="267" t="inlineStr">
        <is>
          <t>David</t>
        </is>
      </c>
      <c r="B68" s="268" t="n">
        <v>2</v>
      </c>
      <c r="C68" s="269" t="inlineStr">
        <is>
          <t>Sam</t>
        </is>
      </c>
      <c r="D68" s="207" t="inlineStr">
        <is>
          <t>https://discord.com/channels/191975109500731392/1212839710439776287/1222253420258267167</t>
        </is>
      </c>
      <c r="E68" s="340" t="n"/>
      <c r="F68" s="318" t="inlineStr">
        <is>
          <t>Leads</t>
        </is>
      </c>
      <c r="G68" s="321">
        <f>$G$18</f>
        <v/>
      </c>
      <c r="I68" s="246" t="n"/>
      <c r="J68" s="246" t="n"/>
      <c r="K68" s="246" t="n"/>
      <c r="L68" s="260" t="n"/>
      <c r="M68" s="260" t="n"/>
      <c r="N68" s="260" t="n"/>
      <c r="P68" s="318" t="inlineStr">
        <is>
          <t>Leads</t>
        </is>
      </c>
      <c r="Q68" s="290">
        <f>$J$18</f>
        <v/>
      </c>
      <c r="S68" s="246" t="n"/>
      <c r="T68" s="246" t="n"/>
      <c r="U68" s="246" t="n"/>
      <c r="V68" s="246" t="n"/>
      <c r="W68" s="246" t="n"/>
      <c r="X68" s="246" t="n"/>
      <c r="Y68" s="246" t="n"/>
      <c r="Z68" s="246" t="n"/>
      <c r="AA68" s="246" t="n"/>
      <c r="AB68" s="246" t="n"/>
      <c r="AC68" s="246" t="n"/>
      <c r="AD68" s="246" t="n"/>
      <c r="AE68" s="246" t="n"/>
      <c r="AF68" s="246" t="n"/>
    </row>
    <row r="69" ht="14.25" customHeight="1" s="175">
      <c r="A69" s="267" t="inlineStr">
        <is>
          <t>Carter</t>
        </is>
      </c>
      <c r="B69" s="268" t="n">
        <v>2</v>
      </c>
      <c r="C69" s="269" t="inlineStr">
        <is>
          <t>Sam</t>
        </is>
      </c>
      <c r="D69" s="207" t="inlineStr">
        <is>
          <t>https://discord.com/channels/191975109500731392/1212839710439776287/1222253420258267167</t>
        </is>
      </c>
      <c r="E69" s="340" t="n"/>
      <c r="I69" s="246" t="n"/>
      <c r="J69" s="246" t="n"/>
      <c r="K69" s="246" t="n"/>
      <c r="L69" s="260" t="n"/>
      <c r="M69" s="260" t="n"/>
      <c r="N69" s="260" t="n"/>
      <c r="O69" s="260" t="n"/>
      <c r="P69" s="182" t="n"/>
      <c r="S69" s="246" t="n"/>
      <c r="T69" s="246" t="n"/>
      <c r="U69" s="246" t="n"/>
      <c r="V69" s="246" t="n"/>
      <c r="W69" s="246" t="n"/>
      <c r="X69" s="246" t="n"/>
      <c r="Y69" s="246" t="n"/>
      <c r="Z69" s="246" t="n"/>
      <c r="AA69" s="246" t="n"/>
      <c r="AB69" s="246" t="n"/>
      <c r="AC69" s="246" t="n"/>
      <c r="AD69" s="246" t="n"/>
      <c r="AE69" s="246" t="n"/>
      <c r="AF69" s="246" t="n"/>
    </row>
    <row r="70" ht="14.25" customHeight="1" s="175">
      <c r="A70" s="267" t="inlineStr">
        <is>
          <t>Carter</t>
        </is>
      </c>
      <c r="B70" s="268" t="n">
        <v>2</v>
      </c>
      <c r="C70" s="269" t="inlineStr">
        <is>
          <t>David</t>
        </is>
      </c>
      <c r="D70" s="207" t="inlineStr">
        <is>
          <t>https://discord.com/channels/191975109500731392/1212839710439776287/1222253537065439355</t>
        </is>
      </c>
      <c r="E70" s="340" t="n"/>
      <c r="I70" s="246" t="n"/>
      <c r="J70" s="246" t="n"/>
      <c r="K70" s="246" t="n"/>
      <c r="L70" s="260" t="n"/>
      <c r="M70" s="260" t="n"/>
      <c r="N70" s="260" t="n"/>
      <c r="O70" s="260" t="n"/>
      <c r="P70" s="182" t="n"/>
      <c r="S70" s="246" t="n"/>
      <c r="T70" s="246" t="n"/>
      <c r="U70" s="246" t="n"/>
      <c r="V70" s="246" t="n"/>
      <c r="W70" s="246" t="n"/>
      <c r="X70" s="246" t="n"/>
      <c r="Y70" s="246" t="n"/>
      <c r="Z70" s="246" t="n"/>
      <c r="AA70" s="246" t="n"/>
      <c r="AB70" s="246" t="n"/>
      <c r="AC70" s="246" t="n"/>
      <c r="AD70" s="246" t="n"/>
      <c r="AE70" s="246" t="n"/>
      <c r="AF70" s="246" t="n"/>
    </row>
    <row r="71" ht="14.25" customHeight="1" s="175">
      <c r="A71" s="267" t="inlineStr">
        <is>
          <t>Sam</t>
        </is>
      </c>
      <c r="B71" s="268" t="n">
        <v>2</v>
      </c>
      <c r="C71" s="269" t="inlineStr">
        <is>
          <t>Carter</t>
        </is>
      </c>
      <c r="D71" s="192" t="inlineStr">
        <is>
          <t>https://discord.com/channels/191975109500731392/1212839710439776287/1222261872129216532</t>
        </is>
      </c>
      <c r="E71" s="333" t="n"/>
      <c r="I71" s="246" t="n"/>
      <c r="J71" s="246" t="n"/>
      <c r="K71" s="246" t="n"/>
      <c r="L71" s="260" t="n"/>
      <c r="M71" s="260" t="n"/>
      <c r="N71" s="260" t="n"/>
      <c r="O71" s="260" t="n"/>
      <c r="P71" s="182" t="n"/>
      <c r="S71" s="246" t="n"/>
      <c r="T71" s="246" t="n"/>
      <c r="U71" s="246" t="n"/>
      <c r="V71" s="246" t="n"/>
      <c r="W71" s="246" t="n"/>
      <c r="X71" s="246" t="n"/>
      <c r="Y71" s="246" t="n"/>
      <c r="Z71" s="246" t="n"/>
      <c r="AA71" s="246" t="n"/>
      <c r="AB71" s="246" t="n"/>
      <c r="AC71" s="246" t="n"/>
      <c r="AE71" s="246" t="n"/>
      <c r="AF71" s="246" t="n"/>
    </row>
    <row r="72" ht="14.25" customHeight="1" s="175">
      <c r="A72" s="267" t="inlineStr">
        <is>
          <t>David</t>
        </is>
      </c>
      <c r="B72" s="268" t="n">
        <v>2</v>
      </c>
      <c r="C72" s="269" t="inlineStr">
        <is>
          <t>Sam</t>
        </is>
      </c>
      <c r="D72" s="207" t="inlineStr">
        <is>
          <t>https://discord.com/channels/191975109500731392/1212839710439776287/1222277073545199706</t>
        </is>
      </c>
      <c r="E72" s="340" t="n"/>
      <c r="I72" s="246" t="n"/>
      <c r="J72" s="246" t="n"/>
      <c r="K72" s="246" t="n"/>
      <c r="L72" s="260" t="n"/>
      <c r="M72" s="260" t="n"/>
      <c r="N72" s="260" t="n"/>
      <c r="O72" s="260" t="n"/>
      <c r="P72" s="182" t="n"/>
      <c r="S72" s="246" t="n"/>
      <c r="T72" s="246" t="n"/>
      <c r="U72" s="246" t="n"/>
      <c r="V72" s="246" t="n"/>
      <c r="W72" s="246" t="n"/>
      <c r="X72" s="246" t="n"/>
      <c r="Y72" s="246" t="n"/>
      <c r="Z72" s="246" t="n"/>
      <c r="AA72" s="246" t="n"/>
      <c r="AB72" s="246" t="n"/>
      <c r="AC72" s="246" t="n"/>
      <c r="AD72" s="246" t="n"/>
      <c r="AE72" s="246" t="n"/>
      <c r="AF72" s="246" t="n"/>
    </row>
    <row r="73" ht="14.25" customHeight="1" s="175">
      <c r="A73" s="267" t="inlineStr">
        <is>
          <t>Anthony</t>
        </is>
      </c>
      <c r="B73" s="268" t="n">
        <v>1</v>
      </c>
      <c r="C73" s="269" t="inlineStr">
        <is>
          <t>Cooper</t>
        </is>
      </c>
      <c r="D73" s="207" t="inlineStr">
        <is>
          <t>https://discord.com/channels/191975109500731392/1212839710439776287/1222287420687515678</t>
        </is>
      </c>
      <c r="E73" s="340" t="n"/>
      <c r="F73" s="318" t="inlineStr">
        <is>
          <t>Part:</t>
        </is>
      </c>
      <c r="G73" s="216" t="inlineStr">
        <is>
          <t>Deaths</t>
        </is>
      </c>
      <c r="I73" s="246" t="n"/>
      <c r="J73" s="246" t="n"/>
      <c r="K73" s="246" t="n"/>
      <c r="L73" s="260" t="n"/>
      <c r="M73" s="260" t="n"/>
      <c r="N73" s="260" t="n"/>
      <c r="P73" s="318" t="inlineStr">
        <is>
          <t>Part:</t>
        </is>
      </c>
      <c r="Q73" s="216" t="inlineStr">
        <is>
          <t>Death Points</t>
        </is>
      </c>
      <c r="S73" s="246" t="n"/>
      <c r="T73" s="246" t="n"/>
      <c r="U73" s="246" t="n"/>
      <c r="V73" s="246" t="n"/>
      <c r="W73" s="246" t="n"/>
      <c r="X73" s="246" t="n"/>
      <c r="Y73" s="246" t="n"/>
      <c r="Z73" s="246" t="n"/>
      <c r="AA73" s="246" t="n"/>
      <c r="AB73" s="246" t="n"/>
      <c r="AC73" s="246" t="n"/>
      <c r="AD73" s="246" t="n"/>
      <c r="AE73" s="246" t="n"/>
      <c r="AF73" s="246" t="n"/>
    </row>
    <row r="74" ht="14.25" customHeight="1" s="175">
      <c r="A74" s="267" t="inlineStr">
        <is>
          <t>Sam</t>
        </is>
      </c>
      <c r="B74" s="268" t="n">
        <v>2</v>
      </c>
      <c r="C74" s="269" t="inlineStr">
        <is>
          <t>Carter</t>
        </is>
      </c>
      <c r="D74" s="207" t="inlineStr">
        <is>
          <t>https://discord.com/channels/191975109500731392/1212839710439776287/1222287492456124456</t>
        </is>
      </c>
      <c r="E74" s="340" t="n"/>
      <c r="F74" s="318" t="inlineStr">
        <is>
          <t>Basses</t>
        </is>
      </c>
      <c r="G74" s="291">
        <f>$H$20</f>
        <v/>
      </c>
      <c r="I74" s="246" t="n"/>
      <c r="J74" s="246" t="n"/>
      <c r="K74" s="246" t="n"/>
      <c r="L74" s="260" t="n"/>
      <c r="M74" s="260" t="n"/>
      <c r="N74" s="260" t="n"/>
      <c r="P74" s="318" t="inlineStr">
        <is>
          <t>Basses</t>
        </is>
      </c>
      <c r="Q74" s="291">
        <f>$K$20</f>
        <v/>
      </c>
      <c r="S74" s="246" t="n"/>
      <c r="T74" s="246" t="n"/>
      <c r="U74" s="246" t="n"/>
      <c r="V74" s="246" t="n"/>
      <c r="W74" s="246" t="n"/>
      <c r="X74" s="246" t="n"/>
      <c r="Y74" s="246" t="n"/>
      <c r="Z74" s="246" t="n"/>
      <c r="AA74" s="246" t="n"/>
      <c r="AB74" s="246" t="n"/>
      <c r="AC74" s="246" t="n"/>
      <c r="AD74" s="246" t="n"/>
      <c r="AE74" s="246" t="n"/>
      <c r="AF74" s="246" t="n"/>
    </row>
    <row r="75" ht="14.25" customHeight="1" s="175">
      <c r="A75" s="267" t="inlineStr">
        <is>
          <t>Cooper</t>
        </is>
      </c>
      <c r="B75" s="268" t="n">
        <v>2</v>
      </c>
      <c r="C75" s="269" t="inlineStr">
        <is>
          <t>Anthony</t>
        </is>
      </c>
      <c r="D75" s="207" t="inlineStr">
        <is>
          <t>https://discord.com/channels/191975109500731392/1212839710439776287/1222287510219259941</t>
        </is>
      </c>
      <c r="E75" s="340" t="n"/>
      <c r="F75" s="318" t="inlineStr">
        <is>
          <t>Baris</t>
        </is>
      </c>
      <c r="G75" s="291">
        <f>$H$19</f>
        <v/>
      </c>
      <c r="I75" s="246" t="n"/>
      <c r="J75" s="246" t="n"/>
      <c r="K75" s="246" t="n"/>
      <c r="L75" s="260" t="n"/>
      <c r="M75" s="260" t="n"/>
      <c r="N75" s="260" t="n"/>
      <c r="P75" s="318" t="inlineStr">
        <is>
          <t>Leads</t>
        </is>
      </c>
      <c r="Q75" s="291">
        <f>$K$18</f>
        <v/>
      </c>
      <c r="S75" s="246" t="n"/>
      <c r="T75" s="246" t="n"/>
      <c r="U75" s="246" t="n"/>
      <c r="V75" s="246" t="n"/>
      <c r="W75" s="246" t="n"/>
      <c r="X75" s="246" t="n"/>
      <c r="Y75" s="246" t="n"/>
      <c r="Z75" s="246" t="n"/>
      <c r="AA75" s="246" t="n"/>
      <c r="AB75" s="246" t="n"/>
      <c r="AC75" s="246" t="n"/>
      <c r="AD75" s="246" t="n"/>
      <c r="AE75" s="246" t="n"/>
      <c r="AF75" s="246" t="n"/>
    </row>
    <row r="76" ht="14.25" customHeight="1" s="175">
      <c r="A76" s="267" t="inlineStr">
        <is>
          <t>Jon</t>
        </is>
      </c>
      <c r="B76" s="268" t="n">
        <v>2</v>
      </c>
      <c r="C76" s="269" t="inlineStr">
        <is>
          <t>David</t>
        </is>
      </c>
      <c r="D76" s="207" t="inlineStr">
        <is>
          <t>https://discord.com/channels/191975109500731392/1212839710439776287/1222298274715664525</t>
        </is>
      </c>
      <c r="E76" s="340" t="n"/>
      <c r="F76" s="318" t="inlineStr">
        <is>
          <t>Tenors</t>
        </is>
      </c>
      <c r="G76" s="291">
        <f>$H$17</f>
        <v/>
      </c>
      <c r="I76" s="246" t="n"/>
      <c r="J76" s="246" t="n"/>
      <c r="K76" s="246" t="n"/>
      <c r="L76" s="260" t="n"/>
      <c r="M76" s="260" t="n"/>
      <c r="N76" s="260" t="n"/>
      <c r="P76" s="318" t="inlineStr">
        <is>
          <t>Baris</t>
        </is>
      </c>
      <c r="Q76" s="291">
        <f>$K$19</f>
        <v/>
      </c>
      <c r="S76" s="246" t="n"/>
      <c r="T76" s="246" t="n"/>
      <c r="U76" s="246" t="n"/>
      <c r="V76" s="246" t="n"/>
      <c r="W76" s="246" t="n"/>
      <c r="X76" s="246" t="n"/>
      <c r="Y76" s="246" t="n"/>
      <c r="Z76" s="246" t="n"/>
      <c r="AA76" s="246" t="n"/>
      <c r="AB76" s="246" t="n"/>
      <c r="AC76" s="246" t="n"/>
      <c r="AD76" s="246" t="n"/>
      <c r="AE76" s="246" t="n"/>
      <c r="AF76" s="246" t="n"/>
    </row>
    <row r="77" ht="14.25" customHeight="1" s="175">
      <c r="A77" s="267" t="inlineStr">
        <is>
          <t>David</t>
        </is>
      </c>
      <c r="B77" s="268" t="n">
        <v>1</v>
      </c>
      <c r="C77" s="269" t="inlineStr">
        <is>
          <t>Anthony</t>
        </is>
      </c>
      <c r="D77" s="207" t="inlineStr">
        <is>
          <t>https://discord.com/channels/191975109500731392/1212839710439776287/1222315290457804961</t>
        </is>
      </c>
      <c r="E77" s="340" t="n"/>
      <c r="F77" s="318" t="inlineStr">
        <is>
          <t>Leads</t>
        </is>
      </c>
      <c r="G77" s="291">
        <f>$H$18</f>
        <v/>
      </c>
      <c r="I77" s="246" t="n"/>
      <c r="J77" s="246" t="n"/>
      <c r="K77" s="246" t="n"/>
      <c r="L77" s="260" t="n"/>
      <c r="M77" s="260" t="n"/>
      <c r="N77" s="260" t="n"/>
      <c r="P77" s="318" t="inlineStr">
        <is>
          <t>Tenors</t>
        </is>
      </c>
      <c r="Q77" s="291">
        <f>$K$17</f>
        <v/>
      </c>
      <c r="S77" s="246" t="n"/>
      <c r="T77" s="246" t="n"/>
      <c r="U77" s="246" t="n"/>
      <c r="V77" s="246" t="n"/>
      <c r="W77" s="246" t="n"/>
      <c r="X77" s="246" t="n"/>
      <c r="Y77" s="246" t="n"/>
      <c r="Z77" s="246" t="n"/>
      <c r="AA77" s="246" t="n"/>
      <c r="AB77" s="246" t="n"/>
      <c r="AC77" s="246" t="n"/>
      <c r="AD77" s="246" t="n"/>
      <c r="AE77" s="246" t="n"/>
      <c r="AF77" s="246" t="n"/>
    </row>
    <row r="78" ht="14.25" customHeight="1" s="175">
      <c r="A78" s="267" t="inlineStr">
        <is>
          <t>Anthony</t>
        </is>
      </c>
      <c r="B78" s="268" t="n">
        <v>1</v>
      </c>
      <c r="C78" s="269" t="inlineStr">
        <is>
          <t>David</t>
        </is>
      </c>
      <c r="D78" s="207" t="inlineStr">
        <is>
          <t>https://discord.com/channels/191975109500731392/1212839710439776287/1222315297923534959</t>
        </is>
      </c>
      <c r="E78" s="340" t="n"/>
      <c r="I78" s="246" t="n"/>
      <c r="J78" s="246" t="n"/>
      <c r="K78" s="246" t="n"/>
      <c r="L78" s="260" t="n"/>
      <c r="M78" s="260" t="n"/>
      <c r="N78" s="260" t="n"/>
      <c r="O78" s="260" t="n"/>
      <c r="P78" s="182" t="n"/>
      <c r="S78" s="246" t="n"/>
      <c r="T78" s="246" t="n"/>
      <c r="U78" s="246" t="n"/>
      <c r="V78" s="246" t="n"/>
      <c r="W78" s="246" t="n"/>
      <c r="X78" s="246" t="n"/>
      <c r="Y78" s="246" t="n"/>
      <c r="Z78" s="246" t="n"/>
      <c r="AA78" s="246" t="n"/>
      <c r="AB78" s="246" t="n"/>
      <c r="AC78" s="246" t="n"/>
      <c r="AD78" s="246" t="n"/>
      <c r="AE78" s="246" t="n"/>
      <c r="AF78" s="246" t="n"/>
    </row>
    <row r="79" ht="14.25" customHeight="1" s="175">
      <c r="A79" s="267" t="inlineStr">
        <is>
          <t>Erick</t>
        </is>
      </c>
      <c r="B79" s="268" t="n">
        <v>1</v>
      </c>
      <c r="C79" s="269" t="inlineStr">
        <is>
          <t>Cooper</t>
        </is>
      </c>
      <c r="D79" s="207" t="inlineStr">
        <is>
          <t>https://discord.com/channels/191975109500731392/1212839710439776287/1222322935625154640</t>
        </is>
      </c>
      <c r="E79" s="340" t="n"/>
      <c r="I79" s="246" t="n"/>
      <c r="J79" s="246" t="n"/>
      <c r="K79" s="246" t="n"/>
      <c r="L79" s="260" t="n"/>
      <c r="M79" s="260" t="n"/>
      <c r="N79" s="260" t="n"/>
      <c r="O79" s="260" t="n"/>
      <c r="P79" s="182" t="n"/>
      <c r="S79" s="246" t="n"/>
      <c r="T79" s="246" t="n"/>
      <c r="U79" s="246" t="n"/>
      <c r="V79" s="246" t="n"/>
      <c r="W79" s="246" t="n"/>
      <c r="X79" s="246" t="n"/>
      <c r="Y79" s="246" t="n"/>
      <c r="Z79" s="246" t="n"/>
      <c r="AA79" s="246" t="n"/>
      <c r="AB79" s="246" t="n"/>
      <c r="AC79" s="246" t="n"/>
      <c r="AD79" s="246" t="n"/>
      <c r="AE79" s="246" t="n"/>
      <c r="AF79" s="246" t="n"/>
    </row>
    <row r="80" ht="14.25" customHeight="1" s="175">
      <c r="A80" s="267" t="inlineStr">
        <is>
          <t>Sam</t>
        </is>
      </c>
      <c r="B80" s="268" t="n">
        <v>1</v>
      </c>
      <c r="C80" s="269" t="inlineStr">
        <is>
          <t>Maxine</t>
        </is>
      </c>
      <c r="D80" s="207" t="inlineStr">
        <is>
          <t>https://discord.com/channels/191975109500731392/1212839710439776287/1222368036095529073</t>
        </is>
      </c>
      <c r="E80" s="340" t="n"/>
      <c r="I80" s="246" t="n"/>
      <c r="J80" s="246" t="n"/>
      <c r="K80" s="246" t="n"/>
      <c r="L80" s="260" t="n"/>
      <c r="M80" s="260" t="n"/>
      <c r="N80" s="260" t="n"/>
      <c r="O80" s="260" t="n"/>
      <c r="P80" s="182" t="n"/>
      <c r="S80" s="246" t="n"/>
      <c r="T80" s="246" t="n"/>
      <c r="U80" s="246" t="n"/>
      <c r="V80" s="246" t="n"/>
      <c r="W80" s="246" t="n"/>
      <c r="X80" s="246" t="n"/>
      <c r="Y80" s="246" t="n"/>
      <c r="Z80" s="246" t="n"/>
      <c r="AA80" s="246" t="n"/>
      <c r="AB80" s="246" t="n"/>
      <c r="AC80" s="246" t="n"/>
      <c r="AD80" s="246" t="n"/>
      <c r="AE80" s="246" t="n"/>
      <c r="AF80" s="246" t="n"/>
    </row>
    <row r="81" ht="14.25" customHeight="1" s="175">
      <c r="A81" s="267" t="inlineStr">
        <is>
          <t>Maxine</t>
        </is>
      </c>
      <c r="B81" s="268" t="n">
        <v>1</v>
      </c>
      <c r="C81" s="269" t="inlineStr">
        <is>
          <t>Sam</t>
        </is>
      </c>
      <c r="D81" s="192" t="inlineStr">
        <is>
          <t>https://discord.com/channels/191975109500731392/1212839710439776287/1222368158862807153</t>
        </is>
      </c>
      <c r="E81" s="333" t="n"/>
      <c r="I81" s="246" t="n"/>
      <c r="J81" s="246" t="n"/>
      <c r="K81" s="246" t="n"/>
      <c r="L81" s="260" t="n"/>
      <c r="M81" s="260" t="n"/>
      <c r="N81" s="260" t="n"/>
      <c r="O81" s="260" t="n"/>
      <c r="P81" s="182" t="n"/>
      <c r="S81" s="246" t="n"/>
      <c r="T81" s="246" t="n"/>
      <c r="U81" s="246" t="n"/>
      <c r="V81" s="246" t="n"/>
      <c r="W81" s="246" t="n"/>
      <c r="X81" s="246" t="n"/>
      <c r="Y81" s="246" t="n"/>
      <c r="Z81" s="246" t="n"/>
      <c r="AA81" s="246" t="n"/>
      <c r="AB81" s="246" t="n"/>
      <c r="AC81" s="246" t="n"/>
      <c r="AD81" s="246" t="n"/>
      <c r="AE81" s="246" t="n"/>
      <c r="AF81" s="246" t="n"/>
    </row>
    <row r="82" ht="14.25" customHeight="1" s="175">
      <c r="A82" s="267" t="inlineStr">
        <is>
          <t>Maxine</t>
        </is>
      </c>
      <c r="B82" s="268" t="n">
        <v>2</v>
      </c>
      <c r="C82" s="269" t="inlineStr">
        <is>
          <t>Sam</t>
        </is>
      </c>
      <c r="D82" s="207" t="inlineStr">
        <is>
          <t>https://discord.com/channels/191975109500731392/1212839710439776287/1222533818150293554</t>
        </is>
      </c>
      <c r="E82" s="340" t="n"/>
      <c r="F82" s="318" t="inlineStr">
        <is>
          <t>Part:</t>
        </is>
      </c>
      <c r="G82" s="216" t="inlineStr">
        <is>
          <t>KDR</t>
        </is>
      </c>
      <c r="I82" s="246" t="n"/>
      <c r="J82" s="246" t="n"/>
      <c r="K82" s="246" t="n"/>
      <c r="L82" s="260" t="n"/>
      <c r="M82" s="260" t="n"/>
      <c r="N82" s="260" t="n"/>
      <c r="P82" s="318" t="inlineStr">
        <is>
          <t>Part:</t>
        </is>
      </c>
      <c r="Q82" s="216" t="inlineStr">
        <is>
          <t>KpDpR</t>
        </is>
      </c>
      <c r="S82" s="246" t="n"/>
      <c r="T82" s="246" t="n"/>
      <c r="U82" s="246" t="n"/>
      <c r="V82" s="246" t="n"/>
      <c r="W82" s="246" t="n"/>
      <c r="X82" s="246" t="n"/>
      <c r="Y82" s="246" t="n"/>
      <c r="Z82" s="246" t="n"/>
      <c r="AA82" s="246" t="n"/>
      <c r="AB82" s="246" t="n"/>
      <c r="AC82" s="246" t="n"/>
      <c r="AD82" s="246" t="n"/>
      <c r="AE82" s="246" t="n"/>
      <c r="AF82" s="246" t="n"/>
    </row>
    <row r="83" ht="14.25" customHeight="1" s="175">
      <c r="A83" s="267" t="inlineStr">
        <is>
          <t>Maxine</t>
        </is>
      </c>
      <c r="B83" s="268" t="n">
        <v>2</v>
      </c>
      <c r="C83" s="269" t="inlineStr">
        <is>
          <t>Cooper</t>
        </is>
      </c>
      <c r="D83" s="207" t="inlineStr">
        <is>
          <t>https://discord.com/channels/191975109500731392/1212839710439776287/1222534815576756295</t>
        </is>
      </c>
      <c r="E83" s="340" t="n"/>
      <c r="F83" s="318" t="inlineStr">
        <is>
          <t>Tenors</t>
        </is>
      </c>
      <c r="G83" s="322">
        <f>$I$17</f>
        <v/>
      </c>
      <c r="I83" s="246" t="n"/>
      <c r="J83" s="246" t="n"/>
      <c r="K83" s="246" t="n"/>
      <c r="L83" s="260" t="n"/>
      <c r="M83" s="260" t="n"/>
      <c r="N83" s="260" t="n"/>
      <c r="P83" s="318" t="inlineStr">
        <is>
          <t>Tenors</t>
        </is>
      </c>
      <c r="Q83" s="322">
        <f>$L$17</f>
        <v/>
      </c>
      <c r="S83" s="246" t="n"/>
      <c r="T83" s="246" t="n"/>
      <c r="U83" s="246" t="n"/>
      <c r="V83" s="246" t="n"/>
      <c r="W83" s="246" t="n"/>
      <c r="X83" s="246" t="n"/>
      <c r="Y83" s="246" t="n"/>
      <c r="Z83" s="246" t="n"/>
      <c r="AA83" s="246" t="n"/>
      <c r="AB83" s="246" t="n"/>
      <c r="AC83" s="246" t="n"/>
      <c r="AD83" s="246" t="n"/>
      <c r="AE83" s="246" t="n"/>
      <c r="AF83" s="246" t="n"/>
    </row>
    <row r="84" ht="14.25" customHeight="1" s="175">
      <c r="A84" s="267" t="inlineStr">
        <is>
          <t>Sam</t>
        </is>
      </c>
      <c r="B84" s="268" t="n">
        <v>2</v>
      </c>
      <c r="C84" s="269" t="inlineStr">
        <is>
          <t>Jon</t>
        </is>
      </c>
      <c r="D84" s="207" t="inlineStr">
        <is>
          <t>https://discord.com/channels/191975109500731392/1212839710439776287/1222558554175705188</t>
        </is>
      </c>
      <c r="E84" s="340" t="n"/>
      <c r="F84" s="318" t="inlineStr">
        <is>
          <t>Baris</t>
        </is>
      </c>
      <c r="G84" s="322">
        <f>$I$19</f>
        <v/>
      </c>
      <c r="I84" s="246" t="n"/>
      <c r="J84" s="246" t="n"/>
      <c r="K84" s="246" t="n"/>
      <c r="L84" s="260" t="n"/>
      <c r="M84" s="260" t="n"/>
      <c r="N84" s="260" t="n"/>
      <c r="P84" s="318" t="inlineStr">
        <is>
          <t>Baris</t>
        </is>
      </c>
      <c r="Q84" s="322">
        <f>$L$19</f>
        <v/>
      </c>
      <c r="S84" s="246" t="n"/>
      <c r="T84" s="246" t="n"/>
      <c r="U84" s="246" t="n"/>
      <c r="V84" s="246" t="n"/>
      <c r="W84" s="246" t="n"/>
      <c r="X84" s="246" t="n"/>
      <c r="Y84" s="246" t="n"/>
      <c r="Z84" s="246" t="n"/>
      <c r="AA84" s="246" t="n"/>
      <c r="AB84" s="246" t="n"/>
      <c r="AC84" s="246" t="n"/>
      <c r="AD84" s="246" t="n"/>
      <c r="AE84" s="246" t="n"/>
      <c r="AF84" s="246" t="n"/>
    </row>
    <row r="85" ht="14.25" customHeight="1" s="175">
      <c r="A85" s="267" t="inlineStr">
        <is>
          <t>Carter</t>
        </is>
      </c>
      <c r="B85" s="268" t="n">
        <v>2</v>
      </c>
      <c r="C85" s="269" t="inlineStr">
        <is>
          <t>David</t>
        </is>
      </c>
      <c r="D85" s="207" t="inlineStr">
        <is>
          <t>https://discord.com/channels/191975109500731392/1212839710439776287/1222604785233166416</t>
        </is>
      </c>
      <c r="E85" s="340" t="n"/>
      <c r="F85" s="318" t="inlineStr">
        <is>
          <t>Basses</t>
        </is>
      </c>
      <c r="G85" s="322">
        <f>$I$20</f>
        <v/>
      </c>
      <c r="I85" s="246" t="n"/>
      <c r="J85" s="246" t="n"/>
      <c r="K85" s="246" t="n"/>
      <c r="L85" s="260" t="n"/>
      <c r="M85" s="260" t="n"/>
      <c r="N85" s="260" t="n"/>
      <c r="P85" s="318" t="inlineStr">
        <is>
          <t>Basses</t>
        </is>
      </c>
      <c r="Q85" s="322">
        <f>$L$20</f>
        <v/>
      </c>
      <c r="S85" s="246" t="n"/>
      <c r="T85" s="246" t="n"/>
      <c r="U85" s="246" t="n"/>
      <c r="V85" s="246" t="n"/>
      <c r="W85" s="246" t="n"/>
      <c r="X85" s="246" t="n"/>
      <c r="Y85" s="246" t="n"/>
      <c r="Z85" s="246" t="n"/>
      <c r="AA85" s="246" t="n"/>
      <c r="AB85" s="246" t="n"/>
      <c r="AC85" s="246" t="n"/>
      <c r="AD85" s="246" t="n"/>
      <c r="AE85" s="246" t="n"/>
      <c r="AF85" s="246" t="n"/>
      <c r="AI85" s="246" t="n"/>
      <c r="AJ85" s="260" t="n"/>
    </row>
    <row r="86" ht="14.25" customHeight="1" s="175">
      <c r="A86" s="267" t="inlineStr">
        <is>
          <t>Erick</t>
        </is>
      </c>
      <c r="B86" s="268" t="n">
        <v>2</v>
      </c>
      <c r="C86" s="269" t="inlineStr">
        <is>
          <t>Carter</t>
        </is>
      </c>
      <c r="D86" s="207" t="inlineStr">
        <is>
          <t>https://discord.com/channels/191975109500731392/1212839710439776287/1222700232337264701</t>
        </is>
      </c>
      <c r="E86" s="340" t="n"/>
      <c r="F86" s="318" t="inlineStr">
        <is>
          <t>Leads</t>
        </is>
      </c>
      <c r="G86" s="322">
        <f>$I$18</f>
        <v/>
      </c>
      <c r="I86" s="246" t="n"/>
      <c r="J86" s="246" t="n"/>
      <c r="K86" s="246" t="n"/>
      <c r="L86" s="260" t="n"/>
      <c r="M86" s="260" t="n"/>
      <c r="N86" s="260" t="n"/>
      <c r="P86" s="318" t="inlineStr">
        <is>
          <t>Leads</t>
        </is>
      </c>
      <c r="Q86" s="322">
        <f>$L$18</f>
        <v/>
      </c>
      <c r="S86" s="246" t="n"/>
      <c r="T86" s="246" t="n"/>
      <c r="U86" s="246" t="n"/>
      <c r="V86" s="246" t="n"/>
      <c r="W86" s="246" t="n"/>
      <c r="X86" s="246" t="n"/>
      <c r="Y86" s="246" t="n"/>
      <c r="Z86" s="246" t="n"/>
      <c r="AA86" s="246" t="n"/>
      <c r="AB86" s="246" t="n"/>
      <c r="AC86" s="246" t="n"/>
      <c r="AD86" s="246" t="n"/>
      <c r="AE86" s="246" t="n"/>
      <c r="AF86" s="246" t="n"/>
      <c r="AI86" s="246" t="n"/>
      <c r="AJ86" s="260" t="n"/>
    </row>
    <row r="87" ht="14.25" customHeight="1" s="175">
      <c r="A87" s="267" t="inlineStr">
        <is>
          <t>Jon</t>
        </is>
      </c>
      <c r="B87" s="268" t="n">
        <v>2</v>
      </c>
      <c r="C87" s="269" t="inlineStr">
        <is>
          <t>Seth</t>
        </is>
      </c>
      <c r="D87" s="207" t="inlineStr">
        <is>
          <t>https://discord.com/channels/191975109500731392/1212839710439776287/1222908170171846686</t>
        </is>
      </c>
      <c r="E87" s="340" t="n"/>
      <c r="I87" s="246" t="n"/>
      <c r="J87" s="246" t="n"/>
      <c r="K87" s="246" t="n"/>
      <c r="L87" s="260" t="n"/>
      <c r="M87" s="260" t="n"/>
      <c r="N87" s="260" t="n"/>
      <c r="O87" s="260" t="n"/>
      <c r="P87" s="182" t="n"/>
      <c r="S87" s="246" t="n"/>
      <c r="T87" s="246" t="n"/>
      <c r="U87" s="246" t="n"/>
      <c r="V87" s="246" t="n"/>
      <c r="W87" s="246" t="n"/>
      <c r="X87" s="246" t="n"/>
      <c r="Y87" s="246" t="n"/>
      <c r="Z87" s="246" t="n"/>
      <c r="AA87" s="246" t="n"/>
      <c r="AB87" s="246" t="n"/>
      <c r="AC87" s="246" t="n"/>
      <c r="AD87" s="246" t="n"/>
      <c r="AE87" s="246" t="n"/>
      <c r="AF87" s="246" t="n"/>
      <c r="AI87" s="246" t="n"/>
      <c r="AJ87" s="260" t="n"/>
    </row>
    <row r="88" ht="14.25" customHeight="1" s="175">
      <c r="A88" s="267" t="inlineStr">
        <is>
          <t>Maxine</t>
        </is>
      </c>
      <c r="B88" s="268" t="n">
        <v>2</v>
      </c>
      <c r="C88" s="269" t="inlineStr">
        <is>
          <t>Jon</t>
        </is>
      </c>
      <c r="D88" s="207" t="inlineStr">
        <is>
          <t>https://discord.com/channels/191975109500731392/1212839710439776287/1222908612024864868</t>
        </is>
      </c>
      <c r="E88" s="340" t="n"/>
      <c r="I88" s="246" t="n"/>
      <c r="J88" s="246" t="n"/>
      <c r="K88" s="246" t="n"/>
      <c r="L88" s="260" t="n"/>
      <c r="M88" s="260" t="n"/>
      <c r="N88" s="260" t="n"/>
      <c r="O88" s="260" t="n"/>
      <c r="P88" s="182" t="n"/>
      <c r="S88" s="246" t="n"/>
      <c r="T88" s="246" t="n"/>
      <c r="U88" s="246" t="n"/>
      <c r="V88" s="246" t="n"/>
      <c r="W88" s="246" t="n"/>
      <c r="X88" s="246" t="n"/>
      <c r="Y88" s="246" t="n"/>
      <c r="Z88" s="246" t="n"/>
      <c r="AA88" s="246" t="n"/>
      <c r="AB88" s="246" t="n"/>
      <c r="AC88" s="246" t="n"/>
      <c r="AD88" s="246" t="n"/>
      <c r="AE88" s="246" t="n"/>
      <c r="AF88" s="246" t="n"/>
      <c r="AI88" s="246" t="n"/>
      <c r="AJ88" s="260" t="n"/>
    </row>
    <row r="89" ht="14.25" customHeight="1" s="175">
      <c r="A89" s="267" t="inlineStr">
        <is>
          <t>Jon</t>
        </is>
      </c>
      <c r="B89" s="268" t="n">
        <v>2</v>
      </c>
      <c r="C89" s="269" t="inlineStr">
        <is>
          <t>Maxine</t>
        </is>
      </c>
      <c r="D89" s="207" t="inlineStr">
        <is>
          <t>https://discord.com/channels/191975109500731392/1212839710439776287/1222914026804351037</t>
        </is>
      </c>
      <c r="E89" s="340" t="n"/>
      <c r="I89" s="246" t="n"/>
      <c r="J89" s="246" t="n"/>
      <c r="K89" s="246" t="n"/>
      <c r="L89" s="260" t="n"/>
      <c r="M89" s="260" t="n"/>
      <c r="N89" s="260" t="n"/>
      <c r="O89" s="260" t="n"/>
      <c r="P89" s="182" t="n"/>
      <c r="S89" s="246" t="n"/>
      <c r="T89" s="246" t="n"/>
      <c r="U89" s="246" t="n"/>
      <c r="V89" s="246" t="n"/>
      <c r="W89" s="246" t="n"/>
      <c r="X89" s="246" t="n"/>
      <c r="Y89" s="246" t="n"/>
      <c r="Z89" s="246" t="n"/>
      <c r="AA89" s="246" t="n"/>
      <c r="AB89" s="246" t="n"/>
      <c r="AC89" s="246" t="n"/>
      <c r="AD89" s="246" t="n"/>
      <c r="AE89" s="246" t="n"/>
      <c r="AF89" s="246" t="n"/>
      <c r="AI89" s="246" t="n"/>
      <c r="AJ89" s="260" t="n"/>
    </row>
    <row r="90" ht="14.25" customHeight="1" s="175">
      <c r="A90" s="267" t="inlineStr">
        <is>
          <t>Sam</t>
        </is>
      </c>
      <c r="B90" s="268" t="n">
        <v>2</v>
      </c>
      <c r="C90" s="269" t="inlineStr">
        <is>
          <t>Tyler</t>
        </is>
      </c>
      <c r="D90" s="207" t="inlineStr">
        <is>
          <t>https://discord.com/channels/191975109500731392/1212839710439776287/1223013195459854458</t>
        </is>
      </c>
      <c r="E90" s="340" t="n"/>
      <c r="I90" s="246" t="n"/>
      <c r="J90" s="246" t="n"/>
      <c r="K90" s="246" t="n"/>
      <c r="L90" s="260" t="n"/>
      <c r="M90" s="260" t="n"/>
      <c r="N90" s="260" t="n"/>
      <c r="O90" s="260" t="n"/>
      <c r="P90" s="182" t="n"/>
      <c r="S90" s="246" t="n"/>
      <c r="T90" s="246" t="n"/>
      <c r="U90" s="246" t="n"/>
      <c r="V90" s="246" t="n"/>
      <c r="W90" s="246" t="n"/>
      <c r="X90" s="246" t="n"/>
      <c r="Y90" s="246" t="n"/>
      <c r="Z90" s="246" t="n"/>
      <c r="AA90" s="246" t="n"/>
      <c r="AB90" s="246" t="n"/>
      <c r="AC90" s="246" t="n"/>
      <c r="AD90" s="246" t="n"/>
      <c r="AE90" s="246" t="n"/>
      <c r="AF90" s="246" t="n"/>
      <c r="AI90" s="246" t="n"/>
      <c r="AJ90" s="260" t="n"/>
    </row>
    <row r="91" ht="14.25" customHeight="1" s="175">
      <c r="A91" s="267" t="inlineStr">
        <is>
          <t>Carter</t>
        </is>
      </c>
      <c r="B91" s="268" t="n">
        <v>1</v>
      </c>
      <c r="C91" s="269" t="inlineStr">
        <is>
          <t>Erick</t>
        </is>
      </c>
      <c r="D91" s="207" t="inlineStr">
        <is>
          <t>https://discord.com/channels/191975109500731392/1212839710439776287/1223396457541931028</t>
        </is>
      </c>
      <c r="E91" s="340" t="n"/>
      <c r="I91" s="246" t="n"/>
      <c r="J91" s="246" t="n"/>
      <c r="K91" s="246" t="n"/>
      <c r="L91" s="260" t="n"/>
      <c r="M91" s="260" t="n"/>
      <c r="N91" s="260" t="n"/>
      <c r="O91" s="260" t="n"/>
      <c r="P91" s="182" t="n"/>
      <c r="S91" s="246" t="n"/>
      <c r="T91" s="246" t="n"/>
      <c r="U91" s="246" t="n"/>
      <c r="V91" s="246" t="n"/>
      <c r="W91" s="246" t="n"/>
      <c r="X91" s="246" t="n"/>
      <c r="Y91" s="246" t="n"/>
      <c r="Z91" s="246" t="n"/>
      <c r="AA91" s="246" t="n"/>
      <c r="AB91" s="246" t="n"/>
      <c r="AC91" s="246" t="n"/>
      <c r="AD91" s="246" t="n"/>
      <c r="AE91" s="246" t="n"/>
      <c r="AF91" s="246" t="n"/>
      <c r="AI91" s="246" t="n"/>
      <c r="AJ91" s="260" t="n"/>
    </row>
    <row r="92" ht="14.25" customHeight="1" s="175">
      <c r="A92" s="267" t="inlineStr">
        <is>
          <t>Maxine</t>
        </is>
      </c>
      <c r="B92" s="268" t="n">
        <v>2</v>
      </c>
      <c r="C92" s="269" t="inlineStr">
        <is>
          <t>Sam</t>
        </is>
      </c>
      <c r="D92" s="207" t="inlineStr">
        <is>
          <t>https://discord.com/channels/191975109500731392/1212839710439776287/1223800487279853629</t>
        </is>
      </c>
      <c r="E92" s="340" t="n"/>
      <c r="I92" s="246" t="n"/>
      <c r="J92" s="246" t="n"/>
      <c r="K92" s="246" t="n"/>
      <c r="L92" s="260" t="n"/>
      <c r="M92" s="260" t="n"/>
      <c r="N92" s="260" t="n"/>
      <c r="O92" s="260" t="n"/>
      <c r="P92" s="182" t="n"/>
      <c r="S92" s="246" t="n"/>
      <c r="T92" s="246" t="n"/>
      <c r="U92" s="246" t="n"/>
      <c r="V92" s="246" t="n"/>
      <c r="W92" s="246" t="n"/>
      <c r="X92" s="246" t="n"/>
      <c r="Y92" s="246" t="n"/>
      <c r="Z92" s="246" t="n"/>
      <c r="AA92" s="246" t="n"/>
      <c r="AB92" s="246" t="n"/>
      <c r="AC92" s="246" t="n"/>
      <c r="AD92" s="246" t="n"/>
      <c r="AE92" s="246" t="n"/>
      <c r="AF92" s="246" t="n"/>
      <c r="AI92" s="246" t="n"/>
      <c r="AJ92" s="260" t="n"/>
    </row>
    <row r="93" ht="14.25" customHeight="1" s="175">
      <c r="A93" s="267" t="inlineStr">
        <is>
          <t>Erick</t>
        </is>
      </c>
      <c r="B93" s="268" t="n">
        <v>2</v>
      </c>
      <c r="C93" s="269" t="inlineStr">
        <is>
          <t>Carter</t>
        </is>
      </c>
      <c r="D93" s="207" t="inlineStr">
        <is>
          <t>https://discord.com/channels/191975109500731392/1212839710439776287/1224318023197003828</t>
        </is>
      </c>
      <c r="E93" s="340" t="n"/>
      <c r="I93" s="246" t="n"/>
      <c r="J93" s="246" t="n"/>
      <c r="K93" s="246" t="n"/>
      <c r="L93" s="260" t="n"/>
      <c r="M93" s="260" t="n"/>
      <c r="N93" s="260" t="n"/>
      <c r="O93" s="260" t="n"/>
      <c r="P93" s="182" t="n"/>
      <c r="S93" s="246" t="n"/>
      <c r="T93" s="246" t="n"/>
      <c r="U93" s="246" t="n"/>
      <c r="V93" s="246" t="n"/>
      <c r="W93" s="246" t="n"/>
      <c r="X93" s="246" t="n"/>
      <c r="Y93" s="246" t="n"/>
      <c r="Z93" s="246" t="n"/>
      <c r="AA93" s="246" t="n"/>
      <c r="AB93" s="246" t="n"/>
      <c r="AC93" s="246" t="n"/>
      <c r="AD93" s="246" t="n"/>
      <c r="AE93" s="246" t="n"/>
      <c r="AF93" s="246" t="n"/>
      <c r="AI93" s="246" t="n"/>
      <c r="AJ93" s="260" t="n"/>
    </row>
    <row r="94" ht="14.25" customHeight="1" s="175">
      <c r="A94" s="267" t="inlineStr">
        <is>
          <t>David</t>
        </is>
      </c>
      <c r="B94" s="268" t="n">
        <v>2</v>
      </c>
      <c r="C94" s="269" t="inlineStr">
        <is>
          <t>Carter</t>
        </is>
      </c>
      <c r="D94" s="207" t="inlineStr">
        <is>
          <t>https://discord.com/channels/191975109500731392/1212839710439776287/1224413473463603351</t>
        </is>
      </c>
      <c r="E94" s="340" t="n"/>
      <c r="I94" s="246" t="n"/>
      <c r="J94" s="246" t="n"/>
      <c r="K94" s="246" t="n"/>
      <c r="L94" s="260" t="n"/>
      <c r="M94" s="260" t="n"/>
      <c r="N94" s="260" t="n"/>
      <c r="O94" s="260" t="n"/>
      <c r="P94" s="182" t="n"/>
      <c r="S94" s="246" t="n"/>
      <c r="T94" s="246" t="n"/>
      <c r="U94" s="246" t="n"/>
      <c r="V94" s="246" t="n"/>
      <c r="W94" s="246" t="n"/>
      <c r="X94" s="246" t="n"/>
      <c r="Y94" s="246" t="n"/>
      <c r="Z94" s="246" t="n"/>
      <c r="AA94" s="246" t="n"/>
      <c r="AB94" s="246" t="n"/>
      <c r="AC94" s="246" t="n"/>
      <c r="AD94" s="246" t="n"/>
      <c r="AE94" s="246" t="n"/>
      <c r="AF94" s="246" t="n"/>
      <c r="AI94" s="246" t="n"/>
      <c r="AJ94" s="260" t="n"/>
    </row>
    <row r="95" ht="14.25" customHeight="1" s="175">
      <c r="A95" s="267" t="inlineStr">
        <is>
          <t>Maxine</t>
        </is>
      </c>
      <c r="B95" s="268" t="n">
        <v>1</v>
      </c>
      <c r="C95" s="269" t="inlineStr">
        <is>
          <t>Sam</t>
        </is>
      </c>
      <c r="D95" s="207" t="inlineStr">
        <is>
          <t>https://discord.com/channels/191975109500731392/1212839710439776287/1224494320686600283</t>
        </is>
      </c>
      <c r="E95" s="340" t="n"/>
      <c r="I95" s="246" t="n"/>
      <c r="J95" s="246" t="n"/>
      <c r="K95" s="246" t="n"/>
      <c r="L95" s="260" t="n"/>
      <c r="M95" s="260" t="n"/>
      <c r="N95" s="260" t="n"/>
      <c r="O95" s="260" t="n"/>
      <c r="P95" s="182" t="n"/>
      <c r="S95" s="246" t="n"/>
      <c r="T95" s="246" t="n"/>
      <c r="U95" s="246" t="n"/>
      <c r="V95" s="246" t="n"/>
      <c r="W95" s="246" t="n"/>
      <c r="X95" s="246" t="n"/>
      <c r="Y95" s="246" t="n"/>
      <c r="Z95" s="246" t="n"/>
      <c r="AA95" s="246" t="n"/>
      <c r="AB95" s="246" t="n"/>
      <c r="AC95" s="246" t="n"/>
      <c r="AD95" s="246" t="n"/>
      <c r="AE95" s="246" t="n"/>
      <c r="AF95" s="246" t="n"/>
      <c r="AI95" s="246" t="n"/>
      <c r="AJ95" s="260" t="n"/>
    </row>
    <row r="96" ht="14.25" customHeight="1" s="175">
      <c r="A96" s="267" t="inlineStr">
        <is>
          <t>Sam</t>
        </is>
      </c>
      <c r="B96" s="268" t="n">
        <v>1</v>
      </c>
      <c r="C96" s="269" t="inlineStr">
        <is>
          <t>Maxine</t>
        </is>
      </c>
      <c r="D96" s="207" t="inlineStr">
        <is>
          <t>https://discord.com/channels/191975109500731392/1212839710439776287/1224494416534831134</t>
        </is>
      </c>
      <c r="E96" s="340" t="n"/>
      <c r="I96" s="246" t="n"/>
      <c r="J96" s="246" t="n"/>
      <c r="K96" s="246" t="n"/>
      <c r="L96" s="260" t="n"/>
      <c r="M96" s="260" t="n"/>
      <c r="N96" s="260" t="n"/>
      <c r="O96" s="260" t="n"/>
      <c r="P96" s="182" t="n"/>
      <c r="S96" s="246" t="n"/>
      <c r="T96" s="246" t="n"/>
      <c r="U96" s="246" t="n"/>
      <c r="V96" s="246" t="n"/>
      <c r="W96" s="246" t="n"/>
      <c r="X96" s="246" t="n"/>
      <c r="Y96" s="246" t="n"/>
      <c r="Z96" s="246" t="n"/>
      <c r="AA96" s="246" t="n"/>
      <c r="AB96" s="246" t="n"/>
      <c r="AC96" s="246" t="n"/>
      <c r="AD96" s="246" t="n"/>
      <c r="AE96" s="246" t="n"/>
      <c r="AF96" s="246" t="n"/>
      <c r="AI96" s="246" t="n"/>
      <c r="AJ96" s="260" t="n"/>
    </row>
    <row r="97" ht="14.25" customHeight="1" s="175">
      <c r="A97" s="267" t="inlineStr">
        <is>
          <t>Sam</t>
        </is>
      </c>
      <c r="B97" s="268" t="n">
        <v>2</v>
      </c>
      <c r="C97" s="269" t="inlineStr">
        <is>
          <t>Carter</t>
        </is>
      </c>
      <c r="D97" s="207" t="inlineStr">
        <is>
          <t>https://discord.com/channels/191975109500731392/1212839710439776287/1224495843927916595</t>
        </is>
      </c>
      <c r="E97" s="340" t="n"/>
      <c r="I97" s="246" t="n"/>
      <c r="J97" s="246" t="n"/>
      <c r="K97" s="246" t="n"/>
      <c r="L97" s="260" t="n"/>
      <c r="M97" s="260" t="n"/>
      <c r="N97" s="260" t="n"/>
      <c r="O97" s="260" t="n"/>
      <c r="P97" s="182" t="n"/>
      <c r="S97" s="246" t="n"/>
      <c r="T97" s="246" t="n"/>
      <c r="U97" s="246" t="n"/>
      <c r="V97" s="246" t="n"/>
      <c r="W97" s="246" t="n"/>
      <c r="X97" s="246" t="n"/>
      <c r="Y97" s="246" t="n"/>
      <c r="Z97" s="246" t="n"/>
      <c r="AA97" s="246" t="n"/>
      <c r="AB97" s="246" t="n"/>
      <c r="AC97" s="246" t="n"/>
      <c r="AD97" s="246" t="n"/>
      <c r="AE97" s="246" t="n"/>
      <c r="AF97" s="246" t="n"/>
      <c r="AI97" s="246" t="n"/>
      <c r="AJ97" s="260" t="n"/>
    </row>
    <row r="98" ht="14.25" customHeight="1" s="175">
      <c r="A98" s="267" t="inlineStr">
        <is>
          <t>Maxine</t>
        </is>
      </c>
      <c r="B98" s="268" t="n">
        <v>2</v>
      </c>
      <c r="C98" s="269" t="inlineStr">
        <is>
          <t>Carter</t>
        </is>
      </c>
      <c r="D98" s="207" t="inlineStr">
        <is>
          <t>https://discord.com/channels/191975109500731392/1212839710439776287/1224495874017591317</t>
        </is>
      </c>
      <c r="E98" s="340" t="n"/>
      <c r="I98" s="246" t="n"/>
      <c r="J98" s="246" t="n"/>
      <c r="K98" s="246" t="n"/>
      <c r="L98" s="260" t="n"/>
      <c r="M98" s="260" t="n"/>
      <c r="N98" s="260" t="n"/>
      <c r="O98" s="260" t="n"/>
      <c r="P98" s="182" t="n"/>
      <c r="S98" s="246" t="n"/>
      <c r="T98" s="246" t="n"/>
      <c r="U98" s="246" t="n"/>
      <c r="V98" s="246" t="n"/>
      <c r="W98" s="246" t="n"/>
      <c r="X98" s="246" t="n"/>
      <c r="Y98" s="246" t="n"/>
      <c r="Z98" s="246" t="n"/>
      <c r="AA98" s="246" t="n"/>
      <c r="AB98" s="246" t="n"/>
      <c r="AC98" s="246" t="n"/>
      <c r="AD98" s="246" t="n"/>
      <c r="AE98" s="246" t="n"/>
      <c r="AF98" s="246" t="n"/>
      <c r="AI98" s="246" t="n"/>
      <c r="AJ98" s="260" t="n"/>
    </row>
    <row r="99" ht="14.25" customHeight="1" s="175">
      <c r="A99" s="267" t="inlineStr">
        <is>
          <t>Sam</t>
        </is>
      </c>
      <c r="B99" s="268" t="n">
        <v>2</v>
      </c>
      <c r="C99" s="269" t="inlineStr">
        <is>
          <t>Seth</t>
        </is>
      </c>
      <c r="D99" s="207" t="inlineStr">
        <is>
          <t>https://discord.com/channels/191975109500731392/1212839710439776287/1224733429761839185</t>
        </is>
      </c>
      <c r="E99" s="340" t="n"/>
      <c r="I99" s="246" t="n"/>
      <c r="J99" s="246" t="n"/>
      <c r="K99" s="246" t="n"/>
      <c r="L99" s="260" t="n"/>
      <c r="M99" s="260" t="n"/>
      <c r="N99" s="260" t="n"/>
      <c r="O99" s="260" t="n"/>
      <c r="P99" s="182" t="n"/>
      <c r="S99" s="246" t="n"/>
      <c r="T99" s="246" t="n"/>
      <c r="U99" s="246" t="n"/>
      <c r="V99" s="246" t="n"/>
      <c r="W99" s="246" t="n"/>
      <c r="X99" s="246" t="n"/>
      <c r="Y99" s="246" t="n"/>
      <c r="Z99" s="246" t="n"/>
      <c r="AA99" s="246" t="n"/>
      <c r="AB99" s="246" t="n"/>
      <c r="AC99" s="246" t="n"/>
      <c r="AD99" s="246" t="n"/>
      <c r="AE99" s="246" t="n"/>
      <c r="AF99" s="246" t="n"/>
      <c r="AI99" s="246" t="n"/>
      <c r="AJ99" s="260" t="n"/>
    </row>
    <row r="100" ht="14.25" customHeight="1" s="175">
      <c r="A100" s="267" t="inlineStr">
        <is>
          <t>David</t>
        </is>
      </c>
      <c r="B100" s="268" t="n">
        <v>2</v>
      </c>
      <c r="C100" s="269" t="inlineStr">
        <is>
          <t>Carter</t>
        </is>
      </c>
      <c r="D100" s="207" t="inlineStr">
        <is>
          <t>https://discord.com/channels/191975109500731392/1212839710439776287/1224795928284631160</t>
        </is>
      </c>
      <c r="E100" s="340" t="n"/>
      <c r="I100" s="246" t="n"/>
      <c r="J100" s="246" t="n"/>
      <c r="K100" s="246" t="n"/>
      <c r="L100" s="260" t="n"/>
      <c r="M100" s="260" t="n"/>
      <c r="N100" s="260" t="n"/>
      <c r="O100" s="260" t="n"/>
      <c r="P100" s="182" t="n"/>
      <c r="S100" s="246" t="n"/>
      <c r="T100" s="246" t="n"/>
      <c r="U100" s="246" t="n"/>
      <c r="V100" s="246" t="n"/>
      <c r="W100" s="246" t="n"/>
      <c r="X100" s="246" t="n"/>
      <c r="Y100" s="246" t="n"/>
      <c r="Z100" s="246" t="n"/>
      <c r="AA100" s="246" t="n"/>
      <c r="AB100" s="246" t="n"/>
      <c r="AC100" s="246" t="n"/>
      <c r="AD100" s="246" t="n"/>
      <c r="AE100" s="246" t="n"/>
      <c r="AF100" s="246" t="n"/>
      <c r="AI100" s="246" t="n"/>
      <c r="AJ100" s="260" t="n"/>
    </row>
    <row r="101" ht="14.25" customHeight="1" s="175">
      <c r="A101" s="267" t="inlineStr">
        <is>
          <t>David</t>
        </is>
      </c>
      <c r="B101" s="268" t="n">
        <v>2</v>
      </c>
      <c r="C101" s="269" t="inlineStr">
        <is>
          <t>Peter</t>
        </is>
      </c>
      <c r="D101" s="207" t="inlineStr">
        <is>
          <t>https://discord.com/channels/191975109500731392/1212839710439776287/1224798353326604338</t>
        </is>
      </c>
      <c r="E101" s="340" t="n"/>
      <c r="I101" s="246" t="n"/>
      <c r="J101" s="246" t="n"/>
      <c r="K101" s="246" t="n"/>
      <c r="L101" s="260" t="n"/>
      <c r="M101" s="260" t="n"/>
      <c r="N101" s="260" t="n"/>
      <c r="O101" s="260" t="n"/>
      <c r="P101" s="182" t="n"/>
      <c r="S101" s="246" t="n"/>
      <c r="T101" s="246" t="n"/>
      <c r="U101" s="246" t="n"/>
      <c r="V101" s="246" t="n"/>
      <c r="W101" s="246" t="n"/>
      <c r="X101" s="246" t="n"/>
      <c r="Y101" s="246" t="n"/>
      <c r="Z101" s="246" t="n"/>
      <c r="AA101" s="246" t="n"/>
      <c r="AB101" s="246" t="n"/>
      <c r="AC101" s="246" t="n"/>
      <c r="AD101" s="246" t="n"/>
      <c r="AE101" s="246" t="n"/>
      <c r="AF101" s="246" t="n"/>
      <c r="AI101" s="246" t="n"/>
      <c r="AJ101" s="260" t="n"/>
    </row>
    <row r="102" ht="14.25" customHeight="1" s="175">
      <c r="A102" s="267" t="inlineStr">
        <is>
          <t>Peter</t>
        </is>
      </c>
      <c r="B102" s="268" t="n">
        <v>1</v>
      </c>
      <c r="C102" s="269" t="inlineStr">
        <is>
          <t>David</t>
        </is>
      </c>
      <c r="D102" s="207" t="inlineStr">
        <is>
          <t>https://discord.com/channels/191975109500731392/1212839710439776287/1224798449040359524</t>
        </is>
      </c>
      <c r="E102" s="340" t="n"/>
      <c r="I102" s="246" t="n"/>
      <c r="J102" s="246" t="n"/>
      <c r="K102" s="246" t="n"/>
      <c r="L102" s="260" t="n"/>
      <c r="M102" s="260" t="n"/>
      <c r="N102" s="260" t="n"/>
      <c r="O102" s="260" t="n"/>
      <c r="P102" s="182" t="n"/>
      <c r="S102" s="246" t="n"/>
      <c r="T102" s="246" t="n"/>
      <c r="U102" s="246" t="n"/>
      <c r="V102" s="246" t="n"/>
      <c r="W102" s="246" t="n"/>
      <c r="X102" s="246" t="n"/>
      <c r="Y102" s="246" t="n"/>
      <c r="Z102" s="246" t="n"/>
      <c r="AA102" s="246" t="n"/>
      <c r="AB102" s="246" t="n"/>
      <c r="AC102" s="246" t="n"/>
      <c r="AD102" s="246" t="n"/>
      <c r="AE102" s="246" t="n"/>
      <c r="AF102" s="246" t="n"/>
      <c r="AI102" s="246" t="n"/>
      <c r="AJ102" s="260" t="n"/>
    </row>
    <row r="103" ht="14.25" customHeight="1" s="175">
      <c r="A103" s="267" t="inlineStr">
        <is>
          <t>David</t>
        </is>
      </c>
      <c r="B103" s="268" t="n">
        <v>2</v>
      </c>
      <c r="C103" s="269" t="inlineStr">
        <is>
          <t>Anthony</t>
        </is>
      </c>
      <c r="D103" s="207" t="inlineStr">
        <is>
          <t>https://discord.com/channels/191975109500731392/1212839710439776287/1224798642817466508</t>
        </is>
      </c>
      <c r="E103" s="340" t="n"/>
      <c r="I103" s="246" t="n"/>
      <c r="J103" s="246" t="n"/>
      <c r="K103" s="246" t="n"/>
      <c r="L103" s="260" t="n"/>
      <c r="M103" s="260" t="n"/>
      <c r="N103" s="260" t="n"/>
      <c r="O103" s="260" t="n"/>
      <c r="P103" s="182" t="n"/>
      <c r="S103" s="246" t="n"/>
      <c r="T103" s="246" t="n"/>
      <c r="U103" s="246" t="n"/>
      <c r="V103" s="246" t="n"/>
      <c r="W103" s="246" t="n"/>
      <c r="X103" s="246" t="n"/>
      <c r="Y103" s="246" t="n"/>
      <c r="Z103" s="246" t="n"/>
      <c r="AA103" s="246" t="n"/>
      <c r="AB103" s="246" t="n"/>
      <c r="AC103" s="246" t="n"/>
      <c r="AD103" s="246" t="n"/>
      <c r="AE103" s="246" t="n"/>
      <c r="AF103" s="246" t="n"/>
      <c r="AI103" s="246" t="n"/>
      <c r="AJ103" s="260" t="n"/>
    </row>
    <row r="104" ht="14.25" customHeight="1" s="175">
      <c r="A104" s="267" t="inlineStr">
        <is>
          <t>Peter</t>
        </is>
      </c>
      <c r="B104" s="268" t="n">
        <v>2</v>
      </c>
      <c r="C104" s="269" t="inlineStr">
        <is>
          <t>Anthony</t>
        </is>
      </c>
      <c r="D104" s="207" t="inlineStr">
        <is>
          <t>https://discord.com/channels/191975109500731392/1212839710439776287/1224798651235438613</t>
        </is>
      </c>
      <c r="E104" s="340" t="n"/>
      <c r="I104" s="246" t="n"/>
      <c r="J104" s="246" t="n"/>
      <c r="K104" s="246" t="n"/>
      <c r="L104" s="260" t="n"/>
      <c r="M104" s="260" t="n"/>
      <c r="N104" s="260" t="n"/>
      <c r="O104" s="260" t="n"/>
      <c r="P104" s="182" t="n"/>
      <c r="S104" s="246" t="n"/>
      <c r="T104" s="246" t="n"/>
      <c r="U104" s="246" t="n"/>
      <c r="V104" s="246" t="n"/>
      <c r="W104" s="246" t="n"/>
      <c r="X104" s="246" t="n"/>
      <c r="Y104" s="246" t="n"/>
      <c r="Z104" s="246" t="n"/>
      <c r="AA104" s="246" t="n"/>
      <c r="AB104" s="246" t="n"/>
      <c r="AC104" s="246" t="n"/>
      <c r="AD104" s="246" t="n"/>
      <c r="AE104" s="246" t="n"/>
      <c r="AF104" s="246" t="n"/>
      <c r="AI104" s="246" t="n"/>
      <c r="AJ104" s="260" t="n"/>
    </row>
    <row r="105" ht="14.25" customHeight="1" s="175">
      <c r="A105" s="267" t="inlineStr">
        <is>
          <t>Tyler</t>
        </is>
      </c>
      <c r="B105" s="268" t="n">
        <v>2</v>
      </c>
      <c r="C105" s="269" t="inlineStr">
        <is>
          <t>Cooper</t>
        </is>
      </c>
      <c r="D105" s="207" t="inlineStr">
        <is>
          <t>https://discord.com/channels/191975109500731392/1212839710439776287/1225078759875416084</t>
        </is>
      </c>
      <c r="E105" s="340" t="n"/>
      <c r="I105" s="246" t="n"/>
      <c r="J105" s="246" t="n"/>
      <c r="K105" s="246" t="n"/>
      <c r="L105" s="260" t="n"/>
      <c r="M105" s="260" t="n"/>
      <c r="N105" s="260" t="n"/>
      <c r="O105" s="260" t="n"/>
      <c r="P105" s="182" t="n"/>
      <c r="S105" s="246" t="n"/>
      <c r="T105" s="246" t="n"/>
      <c r="U105" s="246" t="n"/>
      <c r="V105" s="246" t="n"/>
      <c r="W105" s="246" t="n"/>
      <c r="X105" s="246" t="n"/>
      <c r="Y105" s="246" t="n"/>
      <c r="Z105" s="246" t="n"/>
      <c r="AA105" s="246" t="n"/>
      <c r="AB105" s="246" t="n"/>
      <c r="AC105" s="246" t="n"/>
      <c r="AD105" s="246" t="n"/>
      <c r="AE105" s="246" t="n"/>
      <c r="AF105" s="246" t="n"/>
      <c r="AI105" s="246" t="n"/>
      <c r="AJ105" s="260" t="n"/>
    </row>
    <row r="106" ht="14.25" customHeight="1" s="175">
      <c r="A106" s="267" t="inlineStr">
        <is>
          <t>Jon</t>
        </is>
      </c>
      <c r="B106" s="268" t="n">
        <v>2</v>
      </c>
      <c r="C106" s="269" t="inlineStr">
        <is>
          <t>Peter</t>
        </is>
      </c>
      <c r="D106" s="207" t="inlineStr">
        <is>
          <t>https://discord.com/channels/191975109500731392/1212839710439776287/1225095202717306910</t>
        </is>
      </c>
      <c r="E106" s="340" t="n"/>
      <c r="I106" s="246" t="n"/>
      <c r="J106" s="246" t="n"/>
      <c r="K106" s="246" t="n"/>
      <c r="L106" s="260" t="n"/>
      <c r="M106" s="260" t="n"/>
      <c r="N106" s="260" t="n"/>
      <c r="O106" s="260" t="n"/>
      <c r="P106" s="182" t="n"/>
      <c r="S106" s="246" t="n"/>
      <c r="T106" s="246" t="n"/>
      <c r="U106" s="246" t="n"/>
      <c r="V106" s="246" t="n"/>
      <c r="W106" s="246" t="n"/>
      <c r="X106" s="246" t="n"/>
      <c r="Y106" s="246" t="n"/>
      <c r="Z106" s="246" t="n"/>
      <c r="AA106" s="246" t="n"/>
      <c r="AB106" s="246" t="n"/>
      <c r="AC106" s="246" t="n"/>
      <c r="AD106" s="246" t="n"/>
      <c r="AE106" s="246" t="n"/>
      <c r="AF106" s="246" t="n"/>
      <c r="AI106" s="246" t="n"/>
      <c r="AJ106" s="260" t="n"/>
    </row>
    <row r="107" ht="14.25" customHeight="1" s="175">
      <c r="A107" s="267" t="inlineStr">
        <is>
          <t>Jon</t>
        </is>
      </c>
      <c r="B107" s="268" t="n">
        <v>1</v>
      </c>
      <c r="C107" s="269" t="inlineStr">
        <is>
          <t>Peter</t>
        </is>
      </c>
      <c r="D107" s="207" t="inlineStr">
        <is>
          <t>https://discord.com/channels/191975109500731392/1212839710439776287/1225124387020210176</t>
        </is>
      </c>
      <c r="E107" s="340" t="n"/>
      <c r="I107" s="246" t="n"/>
      <c r="J107" s="246" t="n"/>
      <c r="K107" s="246" t="n"/>
      <c r="L107" s="260" t="n"/>
      <c r="M107" s="260" t="n"/>
      <c r="N107" s="260" t="n"/>
      <c r="O107" s="260" t="n"/>
      <c r="P107" s="182" t="n"/>
      <c r="S107" s="246" t="n"/>
      <c r="T107" s="246" t="n"/>
      <c r="U107" s="246" t="n"/>
      <c r="V107" s="246" t="n"/>
      <c r="W107" s="246" t="n"/>
      <c r="X107" s="246" t="n"/>
      <c r="Y107" s="246" t="n"/>
      <c r="Z107" s="246" t="n"/>
      <c r="AA107" s="246" t="n"/>
      <c r="AB107" s="246" t="n"/>
      <c r="AC107" s="246" t="n"/>
      <c r="AD107" s="246" t="n"/>
      <c r="AE107" s="246" t="n"/>
      <c r="AF107" s="246" t="n"/>
      <c r="AI107" s="246" t="n"/>
      <c r="AJ107" s="260" t="n"/>
    </row>
    <row r="108" ht="14.25" customHeight="1" s="175">
      <c r="A108" s="267" t="inlineStr">
        <is>
          <t>Peter</t>
        </is>
      </c>
      <c r="B108" s="268" t="n">
        <v>1</v>
      </c>
      <c r="C108" s="269" t="inlineStr">
        <is>
          <t>Jon</t>
        </is>
      </c>
      <c r="D108" s="207" t="inlineStr">
        <is>
          <t>https://discord.com/channels/191975109500731392/1212839710439776287/1225124544679907410</t>
        </is>
      </c>
      <c r="E108" s="340" t="n"/>
      <c r="I108" s="246" t="n"/>
      <c r="J108" s="246" t="n"/>
      <c r="K108" s="246" t="n"/>
      <c r="L108" s="260" t="n"/>
      <c r="M108" s="260" t="n"/>
      <c r="N108" s="260" t="n"/>
      <c r="O108" s="260" t="n"/>
      <c r="P108" s="182" t="n"/>
      <c r="S108" s="246" t="n"/>
      <c r="T108" s="246" t="n"/>
      <c r="U108" s="246" t="n"/>
      <c r="V108" s="246" t="n"/>
      <c r="W108" s="246" t="n"/>
      <c r="X108" s="246" t="n"/>
      <c r="Y108" s="246" t="n"/>
      <c r="Z108" s="246" t="n"/>
      <c r="AA108" s="246" t="n"/>
      <c r="AB108" s="246" t="n"/>
      <c r="AC108" s="246" t="n"/>
      <c r="AD108" s="246" t="n"/>
      <c r="AE108" s="246" t="n"/>
      <c r="AF108" s="246" t="n"/>
      <c r="AI108" s="246" t="n"/>
      <c r="AJ108" s="260" t="n"/>
    </row>
    <row r="109" ht="14.25" customHeight="1" s="175">
      <c r="A109" s="267" t="inlineStr">
        <is>
          <t>Peter</t>
        </is>
      </c>
      <c r="B109" s="268" t="n">
        <v>2</v>
      </c>
      <c r="C109" s="269" t="inlineStr">
        <is>
          <t>Cooper</t>
        </is>
      </c>
      <c r="D109" s="207" t="inlineStr">
        <is>
          <t>https://discord.com/channels/191975109500731392/1212839710439776287/1225125481498546338</t>
        </is>
      </c>
      <c r="E109" s="340" t="n"/>
      <c r="I109" s="246" t="n"/>
      <c r="J109" s="246" t="n"/>
      <c r="K109" s="246" t="n"/>
      <c r="L109" s="260" t="n"/>
      <c r="M109" s="260" t="n"/>
      <c r="N109" s="260" t="n"/>
      <c r="O109" s="260" t="n"/>
      <c r="P109" s="182" t="n"/>
      <c r="S109" s="246" t="n"/>
      <c r="T109" s="246" t="n"/>
      <c r="U109" s="246" t="n"/>
      <c r="V109" s="246" t="n"/>
      <c r="W109" s="246" t="n"/>
      <c r="X109" s="246" t="n"/>
      <c r="Y109" s="246" t="n"/>
      <c r="Z109" s="246" t="n"/>
      <c r="AA109" s="246" t="n"/>
      <c r="AB109" s="246" t="n"/>
      <c r="AC109" s="246" t="n"/>
      <c r="AD109" s="246" t="n"/>
      <c r="AE109" s="246" t="n"/>
      <c r="AF109" s="246" t="n"/>
      <c r="AI109" s="246" t="n"/>
      <c r="AJ109" s="260" t="n"/>
    </row>
    <row r="110" ht="14.25" customHeight="1" s="175">
      <c r="A110" s="267" t="inlineStr">
        <is>
          <t>Sam</t>
        </is>
      </c>
      <c r="B110" s="268" t="n">
        <v>2</v>
      </c>
      <c r="C110" s="269" t="inlineStr">
        <is>
          <t>Jon</t>
        </is>
      </c>
      <c r="D110" s="207" t="inlineStr">
        <is>
          <t>https://discord.com/channels/191975109500731392/1212839710439776287/1225129677174345839</t>
        </is>
      </c>
      <c r="E110" s="340" t="n"/>
      <c r="I110" s="246" t="n"/>
      <c r="J110" s="246" t="n"/>
      <c r="K110" s="246" t="n"/>
      <c r="L110" s="260" t="n"/>
      <c r="M110" s="260" t="n"/>
      <c r="N110" s="260" t="n"/>
      <c r="O110" s="260" t="n"/>
      <c r="P110" s="182" t="n"/>
      <c r="S110" s="246" t="n"/>
      <c r="T110" s="246" t="n"/>
      <c r="U110" s="246" t="n"/>
      <c r="V110" s="246" t="n"/>
      <c r="W110" s="246" t="n"/>
      <c r="X110" s="246" t="n"/>
      <c r="Y110" s="246" t="n"/>
      <c r="Z110" s="246" t="n"/>
      <c r="AA110" s="246" t="n"/>
      <c r="AB110" s="246" t="n"/>
      <c r="AC110" s="246" t="n"/>
      <c r="AD110" s="246" t="n"/>
      <c r="AE110" s="246" t="n"/>
      <c r="AF110" s="246" t="n"/>
      <c r="AI110" s="246" t="n"/>
      <c r="AJ110" s="260" t="n"/>
    </row>
    <row r="111" ht="14.25" customHeight="1" s="175">
      <c r="A111" s="267" t="inlineStr">
        <is>
          <t>Carter</t>
        </is>
      </c>
      <c r="B111" s="268" t="n">
        <v>1</v>
      </c>
      <c r="C111" s="269" t="inlineStr">
        <is>
          <t>Erick</t>
        </is>
      </c>
      <c r="D111" s="207" t="inlineStr">
        <is>
          <t>https://discord.com/channels/191975109500731392/1212839710439776287/1225153939230429365</t>
        </is>
      </c>
      <c r="E111" s="340" t="n"/>
      <c r="I111" s="246" t="n"/>
      <c r="J111" s="246" t="n"/>
      <c r="K111" s="246" t="n"/>
      <c r="L111" s="260" t="n"/>
      <c r="M111" s="260" t="n"/>
      <c r="N111" s="260" t="n"/>
      <c r="O111" s="260" t="n"/>
      <c r="P111" s="182" t="n"/>
      <c r="S111" s="246" t="n"/>
      <c r="T111" s="246" t="n"/>
      <c r="U111" s="246" t="n"/>
      <c r="V111" s="246" t="n"/>
      <c r="W111" s="246" t="n"/>
      <c r="X111" s="246" t="n"/>
      <c r="Y111" s="246" t="n"/>
      <c r="Z111" s="246" t="n"/>
      <c r="AA111" s="246" t="n"/>
      <c r="AB111" s="246" t="n"/>
      <c r="AC111" s="246" t="n"/>
      <c r="AD111" s="246" t="n"/>
      <c r="AE111" s="246" t="n"/>
      <c r="AF111" s="246" t="n"/>
      <c r="AI111" s="246" t="n"/>
      <c r="AJ111" s="260" t="n"/>
    </row>
    <row r="112" ht="14.25" customHeight="1" s="175">
      <c r="A112" s="267" t="inlineStr">
        <is>
          <t>Erick</t>
        </is>
      </c>
      <c r="B112" s="268" t="n">
        <v>1</v>
      </c>
      <c r="C112" s="269" t="inlineStr">
        <is>
          <t>Carter</t>
        </is>
      </c>
      <c r="D112" s="207" t="inlineStr">
        <is>
          <t>https://discord.com/channels/191975109500731392/1212839710439776287/1225154023905034301</t>
        </is>
      </c>
      <c r="E112" s="340" t="n"/>
      <c r="I112" s="246" t="n"/>
      <c r="J112" s="246" t="n"/>
      <c r="K112" s="246" t="n"/>
      <c r="L112" s="260" t="n"/>
      <c r="M112" s="260" t="n"/>
      <c r="N112" s="260" t="n"/>
      <c r="O112" s="260" t="n"/>
      <c r="P112" s="182" t="n"/>
      <c r="S112" s="246" t="n"/>
      <c r="T112" s="246" t="n"/>
      <c r="U112" s="246" t="n"/>
      <c r="V112" s="246" t="n"/>
      <c r="W112" s="246" t="n"/>
      <c r="X112" s="246" t="n"/>
      <c r="Y112" s="246" t="n"/>
      <c r="Z112" s="246" t="n"/>
      <c r="AA112" s="246" t="n"/>
      <c r="AB112" s="246" t="n"/>
      <c r="AC112" s="246" t="n"/>
      <c r="AD112" s="246" t="n"/>
      <c r="AE112" s="246" t="n"/>
      <c r="AF112" s="246" t="n"/>
      <c r="AI112" s="246" t="n"/>
      <c r="AJ112" s="260" t="n"/>
    </row>
    <row r="113" ht="14.25" customHeight="1" s="175">
      <c r="A113" s="267" t="inlineStr">
        <is>
          <t>Maxine</t>
        </is>
      </c>
      <c r="B113" s="268" t="n">
        <v>2</v>
      </c>
      <c r="C113" s="269" t="inlineStr">
        <is>
          <t>Jon</t>
        </is>
      </c>
      <c r="D113" s="207" t="inlineStr">
        <is>
          <t>https://discord.com/channels/191975109500731392/1212839710439776287/1225158087925825596</t>
        </is>
      </c>
      <c r="E113" s="340" t="n"/>
      <c r="I113" s="246" t="n"/>
      <c r="J113" s="246" t="n"/>
      <c r="K113" s="246" t="n"/>
      <c r="L113" s="260" t="n"/>
      <c r="M113" s="260" t="n"/>
      <c r="N113" s="260" t="n"/>
      <c r="O113" s="260" t="n"/>
      <c r="P113" s="182" t="n"/>
      <c r="S113" s="246" t="n"/>
      <c r="T113" s="246" t="n"/>
      <c r="U113" s="246" t="n"/>
      <c r="V113" s="246" t="n"/>
      <c r="W113" s="246" t="n"/>
      <c r="X113" s="246" t="n"/>
      <c r="Y113" s="246" t="n"/>
      <c r="Z113" s="246" t="n"/>
      <c r="AA113" s="246" t="n"/>
      <c r="AB113" s="246" t="n"/>
      <c r="AC113" s="246" t="n"/>
      <c r="AD113" s="246" t="n"/>
      <c r="AE113" s="246" t="n"/>
      <c r="AF113" s="246" t="n"/>
      <c r="AI113" s="246" t="n"/>
      <c r="AJ113" s="260" t="n"/>
    </row>
    <row r="114" ht="14.25" customHeight="1" s="175">
      <c r="A114" s="267" t="inlineStr">
        <is>
          <t>David</t>
        </is>
      </c>
      <c r="B114" s="268" t="n">
        <v>2</v>
      </c>
      <c r="C114" s="269" t="inlineStr">
        <is>
          <t>Jon</t>
        </is>
      </c>
      <c r="D114" s="207" t="inlineStr">
        <is>
          <t>https://discord.com/channels/191975109500731392/1212839710439776287/1225158089192509640</t>
        </is>
      </c>
      <c r="E114" s="340" t="n"/>
      <c r="I114" s="246" t="n"/>
      <c r="J114" s="246" t="n"/>
      <c r="K114" s="246" t="n"/>
      <c r="L114" s="260" t="n"/>
      <c r="M114" s="260" t="n"/>
      <c r="N114" s="260" t="n"/>
      <c r="O114" s="260" t="n"/>
      <c r="P114" s="182" t="n"/>
      <c r="S114" s="246" t="n"/>
      <c r="T114" s="246" t="n"/>
      <c r="U114" s="246" t="n"/>
      <c r="V114" s="246" t="n"/>
      <c r="W114" s="246" t="n"/>
      <c r="X114" s="246" t="n"/>
      <c r="Y114" s="246" t="n"/>
      <c r="Z114" s="246" t="n"/>
      <c r="AA114" s="246" t="n"/>
      <c r="AB114" s="246" t="n"/>
      <c r="AC114" s="246" t="n"/>
      <c r="AD114" s="246" t="n"/>
      <c r="AE114" s="246" t="n"/>
      <c r="AF114" s="246" t="n"/>
      <c r="AI114" s="246" t="n"/>
      <c r="AJ114" s="260" t="n"/>
    </row>
    <row r="115" ht="14.25" customHeight="1" s="175">
      <c r="A115" s="267" t="inlineStr">
        <is>
          <t>Erick</t>
        </is>
      </c>
      <c r="B115" s="268" t="n">
        <v>1</v>
      </c>
      <c r="C115" s="269" t="inlineStr">
        <is>
          <t>David</t>
        </is>
      </c>
      <c r="D115" s="207" t="inlineStr">
        <is>
          <t>https://discord.com/channels/191975109500731392/1212839710439776287/1225160331194667159</t>
        </is>
      </c>
      <c r="E115" s="340" t="n"/>
      <c r="I115" s="246" t="n"/>
      <c r="J115" s="246" t="n"/>
      <c r="K115" s="246" t="n"/>
      <c r="L115" s="260" t="n"/>
      <c r="M115" s="260" t="n"/>
      <c r="N115" s="260" t="n"/>
      <c r="O115" s="260" t="n"/>
      <c r="P115" s="182" t="n"/>
      <c r="S115" s="246" t="n"/>
      <c r="T115" s="246" t="n"/>
      <c r="U115" s="246" t="n"/>
      <c r="V115" s="246" t="n"/>
      <c r="W115" s="246" t="n"/>
      <c r="X115" s="246" t="n"/>
      <c r="Y115" s="246" t="n"/>
      <c r="Z115" s="246" t="n"/>
      <c r="AA115" s="246" t="n"/>
      <c r="AB115" s="246" t="n"/>
      <c r="AC115" s="246" t="n"/>
      <c r="AD115" s="246" t="n"/>
      <c r="AE115" s="246" t="n"/>
      <c r="AF115" s="246" t="n"/>
      <c r="AI115" s="246" t="n"/>
      <c r="AJ115" s="260" t="n"/>
    </row>
    <row r="116" ht="14.25" customHeight="1" s="175">
      <c r="A116" s="267" t="inlineStr">
        <is>
          <t>Erick</t>
        </is>
      </c>
      <c r="B116" s="268" t="n">
        <v>1</v>
      </c>
      <c r="C116" s="269" t="inlineStr">
        <is>
          <t>Maxine</t>
        </is>
      </c>
      <c r="D116" s="207" t="inlineStr">
        <is>
          <t>https://discord.com/channels/191975109500731392/1212839710439776287/1225160331194667159</t>
        </is>
      </c>
      <c r="E116" s="340" t="n"/>
      <c r="I116" s="246" t="n"/>
      <c r="J116" s="246" t="n"/>
      <c r="K116" s="246" t="n"/>
      <c r="L116" s="260" t="n"/>
      <c r="M116" s="260" t="n"/>
      <c r="N116" s="260" t="n"/>
      <c r="O116" s="260" t="n"/>
      <c r="P116" s="182" t="n"/>
      <c r="S116" s="246" t="n"/>
      <c r="T116" s="246" t="n"/>
      <c r="U116" s="246" t="n"/>
      <c r="V116" s="246" t="n"/>
      <c r="W116" s="246" t="n"/>
      <c r="X116" s="246" t="n"/>
      <c r="Y116" s="246" t="n"/>
      <c r="Z116" s="246" t="n"/>
      <c r="AA116" s="246" t="n"/>
      <c r="AB116" s="246" t="n"/>
      <c r="AC116" s="246" t="n"/>
      <c r="AD116" s="246" t="n"/>
      <c r="AE116" s="246" t="n"/>
      <c r="AF116" s="246" t="n"/>
      <c r="AI116" s="246" t="n"/>
      <c r="AJ116" s="260" t="n"/>
    </row>
    <row r="117" ht="14.25" customHeight="1" s="175">
      <c r="A117" s="267" t="inlineStr">
        <is>
          <t>David</t>
        </is>
      </c>
      <c r="B117" s="268" t="n">
        <v>1</v>
      </c>
      <c r="C117" s="269" t="inlineStr">
        <is>
          <t>Erick</t>
        </is>
      </c>
      <c r="D117" s="207" t="inlineStr">
        <is>
          <t>https://discord.com/channels/191975109500731392/1212839710439776287/1225160354863251517</t>
        </is>
      </c>
      <c r="E117" s="340" t="n"/>
      <c r="I117" s="246" t="n"/>
      <c r="J117" s="246" t="n"/>
      <c r="K117" s="246" t="n"/>
      <c r="L117" s="260" t="n"/>
      <c r="M117" s="260" t="n"/>
      <c r="N117" s="260" t="n"/>
      <c r="O117" s="260" t="n"/>
      <c r="P117" s="182" t="n"/>
      <c r="S117" s="246" t="n"/>
      <c r="T117" s="246" t="n"/>
      <c r="U117" s="246" t="n"/>
      <c r="V117" s="246" t="n"/>
      <c r="W117" s="246" t="n"/>
      <c r="X117" s="246" t="n"/>
      <c r="Y117" s="246" t="n"/>
      <c r="Z117" s="246" t="n"/>
      <c r="AA117" s="246" t="n"/>
      <c r="AB117" s="246" t="n"/>
      <c r="AC117" s="246" t="n"/>
      <c r="AD117" s="246" t="n"/>
      <c r="AE117" s="246" t="n"/>
      <c r="AF117" s="246" t="n"/>
      <c r="AI117" s="246" t="n"/>
      <c r="AJ117" s="260" t="n"/>
    </row>
    <row r="118" ht="14.25" customHeight="1" s="175">
      <c r="A118" s="267" t="inlineStr">
        <is>
          <t>David</t>
        </is>
      </c>
      <c r="B118" s="268" t="n">
        <v>1</v>
      </c>
      <c r="C118" s="269" t="inlineStr">
        <is>
          <t>Carter</t>
        </is>
      </c>
      <c r="D118" s="207" t="inlineStr">
        <is>
          <t>https://discord.com/channels/191975109500731392/1212839710439776287/1225162622731550834</t>
        </is>
      </c>
      <c r="E118" s="340" t="n"/>
      <c r="I118" s="246" t="n"/>
      <c r="J118" s="246" t="n"/>
      <c r="K118" s="246" t="n"/>
      <c r="L118" s="260" t="n"/>
      <c r="M118" s="260" t="n"/>
      <c r="N118" s="260" t="n"/>
      <c r="O118" s="260" t="n"/>
      <c r="P118" s="182" t="n"/>
      <c r="S118" s="246" t="n"/>
      <c r="T118" s="246" t="n"/>
      <c r="U118" s="246" t="n"/>
      <c r="V118" s="246" t="n"/>
      <c r="W118" s="246" t="n"/>
      <c r="X118" s="246" t="n"/>
      <c r="Y118" s="246" t="n"/>
      <c r="Z118" s="246" t="n"/>
      <c r="AA118" s="246" t="n"/>
      <c r="AB118" s="246" t="n"/>
      <c r="AC118" s="246" t="n"/>
      <c r="AD118" s="246" t="n"/>
      <c r="AE118" s="246" t="n"/>
      <c r="AF118" s="246" t="n"/>
      <c r="AI118" s="246" t="n"/>
      <c r="AJ118" s="260" t="n"/>
    </row>
    <row r="119" ht="14.25" customHeight="1" s="175">
      <c r="A119" s="267" t="inlineStr">
        <is>
          <t>Maxine</t>
        </is>
      </c>
      <c r="B119" s="268" t="n">
        <v>1</v>
      </c>
      <c r="C119" s="269" t="inlineStr">
        <is>
          <t>Carter</t>
        </is>
      </c>
      <c r="D119" s="207" t="inlineStr">
        <is>
          <t>https://discord.com/channels/191975109500731392/1212839710439776287/1225162648547495966</t>
        </is>
      </c>
      <c r="E119" s="340" t="n"/>
      <c r="I119" s="246" t="n"/>
      <c r="J119" s="246" t="n"/>
      <c r="K119" s="246" t="n"/>
      <c r="L119" s="260" t="n"/>
      <c r="M119" s="260" t="n"/>
      <c r="N119" s="260" t="n"/>
      <c r="O119" s="260" t="n"/>
      <c r="P119" s="182" t="n"/>
      <c r="S119" s="246" t="n"/>
      <c r="T119" s="246" t="n"/>
      <c r="U119" s="246" t="n"/>
      <c r="V119" s="246" t="n"/>
      <c r="W119" s="246" t="n"/>
      <c r="X119" s="246" t="n"/>
      <c r="Y119" s="246" t="n"/>
      <c r="Z119" s="246" t="n"/>
      <c r="AA119" s="246" t="n"/>
      <c r="AB119" s="246" t="n"/>
      <c r="AC119" s="246" t="n"/>
      <c r="AD119" s="246" t="n"/>
      <c r="AE119" s="246" t="n"/>
      <c r="AF119" s="246" t="n"/>
      <c r="AI119" s="246" t="n"/>
      <c r="AJ119" s="260" t="n"/>
    </row>
    <row r="120" ht="14.25" customHeight="1" s="175">
      <c r="A120" s="267" t="inlineStr">
        <is>
          <t>Carter</t>
        </is>
      </c>
      <c r="B120" s="268" t="n">
        <v>1</v>
      </c>
      <c r="C120" s="269" t="inlineStr">
        <is>
          <t>Maxine</t>
        </is>
      </c>
      <c r="D120" s="207" t="inlineStr">
        <is>
          <t>https://discord.com/channels/191975109500731392/1212839710439776287/1225162687030493295</t>
        </is>
      </c>
      <c r="E120" s="340" t="n"/>
      <c r="I120" s="246" t="n"/>
      <c r="J120" s="246" t="n"/>
      <c r="K120" s="246" t="n"/>
      <c r="L120" s="260" t="n"/>
      <c r="M120" s="260" t="n"/>
      <c r="N120" s="260" t="n"/>
      <c r="O120" s="260" t="n"/>
      <c r="P120" s="182" t="n"/>
      <c r="S120" s="246" t="n"/>
      <c r="T120" s="246" t="n"/>
      <c r="U120" s="246" t="n"/>
      <c r="V120" s="246" t="n"/>
      <c r="W120" s="246" t="n"/>
      <c r="X120" s="246" t="n"/>
      <c r="Y120" s="246" t="n"/>
      <c r="Z120" s="246" t="n"/>
      <c r="AA120" s="246" t="n"/>
      <c r="AB120" s="246" t="n"/>
      <c r="AC120" s="246" t="n"/>
      <c r="AD120" s="246" t="n"/>
      <c r="AE120" s="246" t="n"/>
      <c r="AF120" s="246" t="n"/>
      <c r="AI120" s="246" t="n"/>
      <c r="AJ120" s="260" t="n"/>
    </row>
    <row r="121" ht="14.25" customHeight="1" s="175">
      <c r="A121" s="267" t="inlineStr">
        <is>
          <t>Carter</t>
        </is>
      </c>
      <c r="B121" s="268" t="n">
        <v>1</v>
      </c>
      <c r="C121" s="269" t="inlineStr">
        <is>
          <t>David</t>
        </is>
      </c>
      <c r="D121" s="207" t="inlineStr">
        <is>
          <t>https://discord.com/channels/191975109500731392/1212839710439776287/1225162687030493295</t>
        </is>
      </c>
      <c r="E121" s="340" t="n"/>
      <c r="I121" s="246" t="n"/>
      <c r="J121" s="246" t="n"/>
      <c r="K121" s="246" t="n"/>
      <c r="L121" s="260" t="n"/>
      <c r="M121" s="260" t="n"/>
      <c r="N121" s="260" t="n"/>
      <c r="O121" s="260" t="n"/>
      <c r="P121" s="182" t="n"/>
      <c r="S121" s="246" t="n"/>
      <c r="T121" s="246" t="n"/>
      <c r="U121" s="246" t="n"/>
      <c r="V121" s="246" t="n"/>
      <c r="W121" s="246" t="n"/>
      <c r="X121" s="246" t="n"/>
      <c r="Y121" s="246" t="n"/>
      <c r="Z121" s="246" t="n"/>
      <c r="AA121" s="246" t="n"/>
      <c r="AB121" s="246" t="n"/>
      <c r="AC121" s="246" t="n"/>
      <c r="AD121" s="246" t="n"/>
      <c r="AE121" s="246" t="n"/>
      <c r="AF121" s="246" t="n"/>
      <c r="AI121" s="246" t="n"/>
      <c r="AJ121" s="260" t="n"/>
    </row>
    <row r="122" ht="14.25" customHeight="1" s="175">
      <c r="A122" s="267" t="inlineStr">
        <is>
          <t>Maxine</t>
        </is>
      </c>
      <c r="B122" s="268" t="n">
        <v>2</v>
      </c>
      <c r="C122" s="269" t="inlineStr">
        <is>
          <t>Grady</t>
        </is>
      </c>
      <c r="D122" s="207" t="inlineStr">
        <is>
          <t>https://discord.com/channels/191975109500731392/1212839710439776287/1225167633549234309</t>
        </is>
      </c>
      <c r="E122" s="340" t="n"/>
      <c r="I122" s="246" t="n"/>
      <c r="J122" s="246" t="n"/>
      <c r="K122" s="246" t="n"/>
      <c r="L122" s="260" t="n"/>
      <c r="M122" s="260" t="n"/>
      <c r="N122" s="260" t="n"/>
      <c r="O122" s="260" t="n"/>
      <c r="P122" s="182" t="n"/>
      <c r="S122" s="246" t="n"/>
      <c r="T122" s="246" t="n"/>
      <c r="U122" s="246" t="n"/>
      <c r="V122" s="246" t="n"/>
      <c r="W122" s="246" t="n"/>
      <c r="X122" s="246" t="n"/>
      <c r="Y122" s="246" t="n"/>
      <c r="Z122" s="246" t="n"/>
      <c r="AA122" s="246" t="n"/>
      <c r="AB122" s="246" t="n"/>
      <c r="AC122" s="246" t="n"/>
      <c r="AD122" s="246" t="n"/>
      <c r="AE122" s="246" t="n"/>
      <c r="AF122" s="246" t="n"/>
      <c r="AI122" s="246" t="n"/>
      <c r="AJ122" s="260" t="n"/>
    </row>
    <row r="123" ht="14.25" customHeight="1" s="175">
      <c r="A123" s="267" t="inlineStr">
        <is>
          <t>Jon</t>
        </is>
      </c>
      <c r="B123" s="268" t="n">
        <v>2</v>
      </c>
      <c r="C123" s="269" t="inlineStr">
        <is>
          <t>Erick</t>
        </is>
      </c>
      <c r="D123" s="207" t="inlineStr">
        <is>
          <t>https://discord.com/channels/191975109500731392/1212839710439776287/1225201914510049432</t>
        </is>
      </c>
      <c r="E123" s="340" t="n"/>
      <c r="I123" s="246" t="n"/>
      <c r="J123" s="246" t="n"/>
      <c r="K123" s="246" t="n"/>
      <c r="L123" s="260" t="n"/>
      <c r="M123" s="260" t="n"/>
      <c r="N123" s="260" t="n"/>
      <c r="O123" s="260" t="n"/>
      <c r="P123" s="182" t="n"/>
      <c r="S123" s="246" t="n"/>
      <c r="T123" s="246" t="n"/>
      <c r="U123" s="246" t="n"/>
      <c r="V123" s="246" t="n"/>
      <c r="W123" s="246" t="n"/>
      <c r="X123" s="246" t="n"/>
      <c r="Y123" s="246" t="n"/>
      <c r="Z123" s="246" t="n"/>
      <c r="AA123" s="246" t="n"/>
      <c r="AB123" s="246" t="n"/>
      <c r="AC123" s="246" t="n"/>
      <c r="AD123" s="246" t="n"/>
      <c r="AE123" s="246" t="n"/>
      <c r="AF123" s="246" t="n"/>
      <c r="AI123" s="246" t="n"/>
      <c r="AJ123" s="260" t="n"/>
    </row>
    <row r="124" ht="14.25" customHeight="1" s="175">
      <c r="A124" s="267" t="inlineStr">
        <is>
          <t>Erick</t>
        </is>
      </c>
      <c r="B124" s="268" t="n">
        <v>1</v>
      </c>
      <c r="C124" s="269" t="inlineStr">
        <is>
          <t>Jon</t>
        </is>
      </c>
      <c r="D124" s="207" t="inlineStr">
        <is>
          <t>https://discord.com/channels/191975109500731392/1212839710439776287/1225203291345129482</t>
        </is>
      </c>
      <c r="E124" s="340" t="n"/>
      <c r="I124" s="246" t="n"/>
      <c r="J124" s="246" t="n"/>
      <c r="K124" s="246" t="n"/>
      <c r="L124" s="260" t="n"/>
      <c r="M124" s="260" t="n"/>
      <c r="N124" s="260" t="n"/>
      <c r="O124" s="260" t="n"/>
      <c r="P124" s="182" t="n"/>
      <c r="S124" s="246" t="n"/>
      <c r="T124" s="246" t="n"/>
      <c r="U124" s="246" t="n"/>
      <c r="V124" s="246" t="n"/>
      <c r="W124" s="246" t="n"/>
      <c r="X124" s="246" t="n"/>
      <c r="Y124" s="246" t="n"/>
      <c r="Z124" s="246" t="n"/>
      <c r="AA124" s="246" t="n"/>
      <c r="AB124" s="246" t="n"/>
      <c r="AC124" s="246" t="n"/>
      <c r="AD124" s="246" t="n"/>
      <c r="AE124" s="246" t="n"/>
      <c r="AF124" s="246" t="n"/>
      <c r="AI124" s="246" t="n"/>
      <c r="AJ124" s="260" t="n"/>
    </row>
    <row r="125" ht="14.25" customHeight="1" s="175">
      <c r="A125" s="267" t="inlineStr">
        <is>
          <t>David</t>
        </is>
      </c>
      <c r="B125" s="268" t="n">
        <v>1</v>
      </c>
      <c r="C125" s="269" t="inlineStr">
        <is>
          <t>Jon</t>
        </is>
      </c>
      <c r="D125" s="207" t="inlineStr">
        <is>
          <t>https://discord.com/channels/191975109500731392/1212839710439776287/1225203932528119911</t>
        </is>
      </c>
      <c r="E125" s="340" t="n"/>
      <c r="I125" s="246" t="n"/>
      <c r="J125" s="246" t="n"/>
      <c r="K125" s="246" t="n"/>
      <c r="L125" s="260" t="n"/>
      <c r="M125" s="260" t="n"/>
      <c r="N125" s="260" t="n"/>
      <c r="O125" s="260" t="n"/>
      <c r="P125" s="182" t="n"/>
      <c r="S125" s="246" t="n"/>
      <c r="T125" s="246" t="n"/>
      <c r="U125" s="246" t="n"/>
      <c r="V125" s="246" t="n"/>
      <c r="W125" s="246" t="n"/>
      <c r="X125" s="246" t="n"/>
      <c r="Y125" s="246" t="n"/>
      <c r="Z125" s="246" t="n"/>
      <c r="AA125" s="246" t="n"/>
      <c r="AB125" s="246" t="n"/>
      <c r="AC125" s="246" t="n"/>
      <c r="AD125" s="246" t="n"/>
      <c r="AE125" s="246" t="n"/>
      <c r="AF125" s="246" t="n"/>
      <c r="AI125" s="246" t="n"/>
      <c r="AJ125" s="260" t="n"/>
    </row>
    <row r="126" ht="14.25" customHeight="1" s="175">
      <c r="A126" s="267" t="inlineStr">
        <is>
          <t>Anthony</t>
        </is>
      </c>
      <c r="B126" s="268" t="n">
        <v>2</v>
      </c>
      <c r="C126" s="294" t="inlineStr">
        <is>
          <t>Seth</t>
        </is>
      </c>
      <c r="D126" s="207" t="inlineStr">
        <is>
          <t>https://discord.com/channels/191975109500731392/1212839710439776287/1225459927469002934</t>
        </is>
      </c>
      <c r="E126" s="340" t="n"/>
    </row>
    <row r="127" ht="14.25" customHeight="1" s="175">
      <c r="A127" s="267" t="inlineStr">
        <is>
          <t>Anthony</t>
        </is>
      </c>
      <c r="B127" s="268" t="n">
        <v>2</v>
      </c>
      <c r="C127" s="294" t="inlineStr">
        <is>
          <t>Sam</t>
        </is>
      </c>
      <c r="D127" s="207" t="inlineStr">
        <is>
          <t>https://discord.com/channels/191975109500731392/1212839710439776287/1225460612138668082</t>
        </is>
      </c>
      <c r="E127" s="340" t="n"/>
    </row>
    <row r="128" ht="14.25" customHeight="1" s="175">
      <c r="A128" s="267" t="inlineStr">
        <is>
          <t>Sam</t>
        </is>
      </c>
      <c r="B128" s="268" t="n">
        <v>2</v>
      </c>
      <c r="C128" s="294" t="inlineStr">
        <is>
          <t>Seth</t>
        </is>
      </c>
      <c r="D128" s="207" t="inlineStr">
        <is>
          <t>https://discord.com/channels/191975109500731392/1212839710439776287/1225468408771121293</t>
        </is>
      </c>
      <c r="E128" s="340" t="n"/>
    </row>
    <row r="129" ht="14.25" customHeight="1" s="175">
      <c r="A129" s="267" t="inlineStr">
        <is>
          <t>David</t>
        </is>
      </c>
      <c r="B129" s="268" t="n">
        <v>0</v>
      </c>
      <c r="C129" s="294" t="inlineStr">
        <is>
          <t>Grady</t>
        </is>
      </c>
      <c r="D129" s="207" t="inlineStr">
        <is>
          <t>https://discord.com/channels/191975109500731392/1212839710439776287/1225473157562105968</t>
        </is>
      </c>
      <c r="E129" s="340" t="n"/>
    </row>
    <row r="130" ht="14.25" customHeight="1" s="175">
      <c r="A130" s="267" t="inlineStr">
        <is>
          <t>Seth</t>
        </is>
      </c>
      <c r="B130" s="268" t="n">
        <v>2</v>
      </c>
      <c r="C130" s="269" t="inlineStr">
        <is>
          <t>Tyler</t>
        </is>
      </c>
      <c r="D130" s="207" t="inlineStr">
        <is>
          <t>https://discord.com/channels/191975109500731392/1212839710439776287/1225478335602229248</t>
        </is>
      </c>
      <c r="E130" s="340" t="n"/>
    </row>
    <row r="131" ht="14.25" customHeight="1" s="175">
      <c r="A131" s="267" t="inlineStr">
        <is>
          <t>Sam</t>
        </is>
      </c>
      <c r="B131" s="268" t="n">
        <v>1</v>
      </c>
      <c r="C131" s="269" t="inlineStr">
        <is>
          <t>Carter</t>
        </is>
      </c>
      <c r="D131" s="207" t="inlineStr">
        <is>
          <t>https://discord.com/channels/191975109500731392/1212839710439776287/1225522310396514586</t>
        </is>
      </c>
      <c r="E131" s="340" t="n"/>
    </row>
    <row r="132" ht="14.25" customHeight="1" s="175">
      <c r="A132" s="267" t="inlineStr">
        <is>
          <t>Carter</t>
        </is>
      </c>
      <c r="B132" s="268" t="n">
        <v>1</v>
      </c>
      <c r="C132" s="269" t="inlineStr">
        <is>
          <t>Sam</t>
        </is>
      </c>
      <c r="D132" s="207" t="inlineStr">
        <is>
          <t>https://discord.com/channels/191975109500731392/1212839710439776287/1225522342893977621</t>
        </is>
      </c>
      <c r="E132" s="340" t="n"/>
    </row>
    <row r="133" ht="14.25" customHeight="1" s="175">
      <c r="A133" s="267" t="inlineStr">
        <is>
          <t>Peter</t>
        </is>
      </c>
      <c r="B133" s="268" t="n">
        <v>2</v>
      </c>
      <c r="C133" s="269" t="inlineStr">
        <is>
          <t>Carter</t>
        </is>
      </c>
      <c r="D133" s="207" t="inlineStr">
        <is>
          <t>https://discord.com/channels/191975109500731392/1212839710439776287/1225531934365712446</t>
        </is>
      </c>
      <c r="E133" s="340" t="n"/>
    </row>
    <row r="134" ht="14.25" customHeight="1" s="175">
      <c r="A134" s="267" t="inlineStr">
        <is>
          <t>Carter</t>
        </is>
      </c>
      <c r="B134" s="268" t="n">
        <v>1</v>
      </c>
      <c r="C134" s="269" t="inlineStr">
        <is>
          <t>Peter</t>
        </is>
      </c>
      <c r="D134" s="207" t="inlineStr">
        <is>
          <t>https://discord.com/channels/191975109500731392/1212839710439776287/1225532509023113329</t>
        </is>
      </c>
      <c r="E134" s="340" t="n"/>
    </row>
    <row r="135" ht="14.25" customHeight="1" s="175">
      <c r="A135" s="267" t="inlineStr">
        <is>
          <t>Erick</t>
        </is>
      </c>
      <c r="B135" s="268" t="n">
        <v>2</v>
      </c>
      <c r="C135" s="269" t="inlineStr">
        <is>
          <t>David</t>
        </is>
      </c>
      <c r="D135" s="207" t="inlineStr">
        <is>
          <t>https://discord.com/channels/191975109500731392/1212839710439776287/1225542007179706418</t>
        </is>
      </c>
      <c r="E135" s="340" t="n"/>
    </row>
    <row r="136" ht="14.25" customHeight="1" s="175">
      <c r="A136" s="267" t="inlineStr">
        <is>
          <t>Carter</t>
        </is>
      </c>
      <c r="B136" s="268" t="n">
        <v>2</v>
      </c>
      <c r="C136" s="269" t="inlineStr">
        <is>
          <t>Jon</t>
        </is>
      </c>
      <c r="D136" s="207" t="inlineStr">
        <is>
          <t>https://discord.com/channels/191975109500731392/1212839710439776287/1225543345875583128</t>
        </is>
      </c>
      <c r="E136" s="340" t="n"/>
    </row>
    <row r="137" ht="14.25" customHeight="1" s="175">
      <c r="A137" s="267" t="inlineStr">
        <is>
          <t>David</t>
        </is>
      </c>
      <c r="B137" s="268" t="n">
        <v>2</v>
      </c>
      <c r="C137" s="269" t="inlineStr">
        <is>
          <t>Carter</t>
        </is>
      </c>
      <c r="D137" s="207" t="inlineStr">
        <is>
          <t>https://discord.com/channels/191975109500731392/1212839710439776287/1225544189668888739</t>
        </is>
      </c>
      <c r="E137" s="340" t="n"/>
    </row>
    <row r="138" ht="14.25" customHeight="1" s="175">
      <c r="A138" s="267" t="inlineStr">
        <is>
          <t>Erick</t>
        </is>
      </c>
      <c r="B138" s="268" t="n">
        <v>2</v>
      </c>
      <c r="C138" s="269" t="inlineStr">
        <is>
          <t>Carter</t>
        </is>
      </c>
      <c r="D138" s="207" t="inlineStr">
        <is>
          <t>https://discord.com/channels/191975109500731392/1212839710439776287/1225545596543434863</t>
        </is>
      </c>
      <c r="E138" s="340" t="n"/>
    </row>
    <row r="139" ht="14.25" customHeight="1" s="175">
      <c r="A139" s="267" t="inlineStr">
        <is>
          <t>Erick</t>
        </is>
      </c>
      <c r="B139" s="268" t="n">
        <v>2</v>
      </c>
      <c r="C139" s="269" t="inlineStr">
        <is>
          <t>David</t>
        </is>
      </c>
      <c r="D139" s="207" t="inlineStr">
        <is>
          <t>https://discord.com/channels/191975109500731392/1212839710439776287/1225546996954304613</t>
        </is>
      </c>
      <c r="E139" s="340" t="n"/>
    </row>
    <row r="140" ht="14.25" customHeight="1" s="175">
      <c r="A140" s="267" t="inlineStr">
        <is>
          <t>Peter</t>
        </is>
      </c>
      <c r="B140" s="268" t="n">
        <v>1</v>
      </c>
      <c r="C140" s="269" t="inlineStr">
        <is>
          <t>Erick</t>
        </is>
      </c>
      <c r="D140" s="207" t="inlineStr">
        <is>
          <t>https://discord.com/channels/191975109500731392/1212839710439776287/1225559101229105335</t>
        </is>
      </c>
      <c r="E140" s="340" t="n"/>
    </row>
    <row r="141" ht="14.25" customHeight="1" s="175">
      <c r="A141" s="267" t="inlineStr">
        <is>
          <t>Erick</t>
        </is>
      </c>
      <c r="B141" s="268" t="n">
        <v>1</v>
      </c>
      <c r="C141" s="269" t="inlineStr">
        <is>
          <t>Sam</t>
        </is>
      </c>
      <c r="D141" s="207" t="inlineStr">
        <is>
          <t>https://discord.com/channels/191975109500731392/1212839710439776287/1225559724305416223</t>
        </is>
      </c>
      <c r="E141" s="340" t="n"/>
    </row>
    <row r="142" ht="14.25" customHeight="1" s="175">
      <c r="A142" s="267" t="inlineStr">
        <is>
          <t>Sam</t>
        </is>
      </c>
      <c r="B142" s="268" t="n">
        <v>1</v>
      </c>
      <c r="C142" s="269" t="inlineStr">
        <is>
          <t>Erick</t>
        </is>
      </c>
      <c r="D142" s="207" t="inlineStr">
        <is>
          <t>https://discord.com/channels/191975109500731392/1212839710439776287/1225559808346947614</t>
        </is>
      </c>
      <c r="E142" s="340" t="n"/>
    </row>
    <row r="143" ht="14.25" customHeight="1" s="175">
      <c r="A143" s="267" t="inlineStr">
        <is>
          <t>Peter</t>
        </is>
      </c>
      <c r="B143" s="268" t="n">
        <v>1</v>
      </c>
      <c r="C143" s="269" t="inlineStr">
        <is>
          <t>Carter</t>
        </is>
      </c>
      <c r="D143" s="207" t="inlineStr">
        <is>
          <t>https://discord.com/channels/191975109500731392/1212839710439776287/1225560962870804553</t>
        </is>
      </c>
      <c r="E143" s="340" t="n"/>
    </row>
    <row r="144" ht="14.25" customHeight="1" s="175">
      <c r="A144" s="267" t="inlineStr">
        <is>
          <t>Carter</t>
        </is>
      </c>
      <c r="B144" s="268" t="n">
        <v>1</v>
      </c>
      <c r="C144" s="269" t="inlineStr">
        <is>
          <t>Peter</t>
        </is>
      </c>
      <c r="D144" s="207" t="inlineStr">
        <is>
          <t>https://discord.com/channels/191975109500731392/1212839710439776287/1225561119180062873</t>
        </is>
      </c>
      <c r="E144" s="340" t="n"/>
    </row>
    <row r="145" ht="14.25" customHeight="1" s="175">
      <c r="A145" s="267" t="inlineStr">
        <is>
          <t>Peter</t>
        </is>
      </c>
      <c r="B145" s="268" t="n">
        <v>1</v>
      </c>
      <c r="C145" s="269" t="inlineStr">
        <is>
          <t>David</t>
        </is>
      </c>
      <c r="D145" s="207" t="inlineStr">
        <is>
          <t>https://discord.com/channels/191975109500731392/1212839710439776287/1225566632504725564</t>
        </is>
      </c>
      <c r="E145" s="340" t="n"/>
    </row>
    <row r="146" ht="14.25" customHeight="1" s="175">
      <c r="A146" s="267" t="inlineStr">
        <is>
          <t>David</t>
        </is>
      </c>
      <c r="B146" s="268" t="n">
        <v>1</v>
      </c>
      <c r="C146" s="269" t="inlineStr">
        <is>
          <t>Peter</t>
        </is>
      </c>
      <c r="D146" s="207" t="inlineStr">
        <is>
          <t>https://discord.com/channels/191975109500731392/1212839710439776287/1225566637759926324</t>
        </is>
      </c>
      <c r="E146" s="340" t="n"/>
    </row>
    <row r="147" ht="14.25" customHeight="1" s="175">
      <c r="A147" s="267" t="inlineStr">
        <is>
          <t>David</t>
        </is>
      </c>
      <c r="B147" s="268" t="n">
        <v>1</v>
      </c>
      <c r="C147" s="269" t="inlineStr">
        <is>
          <t>Carter</t>
        </is>
      </c>
      <c r="D147" s="207" t="inlineStr">
        <is>
          <t>https://discord.com/channels/191975109500731392/1212839710439776287/1225571415940530176</t>
        </is>
      </c>
      <c r="E147" s="340" t="n"/>
    </row>
    <row r="148" ht="14.25" customHeight="1" s="175">
      <c r="A148" s="267" t="inlineStr">
        <is>
          <t>Carter</t>
        </is>
      </c>
      <c r="B148" s="268" t="n">
        <v>1</v>
      </c>
      <c r="C148" s="269" t="inlineStr">
        <is>
          <t>David</t>
        </is>
      </c>
      <c r="D148" s="207" t="inlineStr">
        <is>
          <t>https://discord.com/channels/191975109500731392/1212839710439776287/1225571524941975563</t>
        </is>
      </c>
      <c r="E148" s="340" t="n"/>
    </row>
    <row r="149" ht="14.25" customHeight="1" s="175">
      <c r="A149" s="267" t="inlineStr">
        <is>
          <t>Peter</t>
        </is>
      </c>
      <c r="B149" s="268" t="n">
        <v>2</v>
      </c>
      <c r="C149" s="269" t="inlineStr">
        <is>
          <t>Carter</t>
        </is>
      </c>
      <c r="D149" s="207" t="inlineStr">
        <is>
          <t>https://discord.com/channels/191975109500731392/1212839710439776287/1225609763468083370</t>
        </is>
      </c>
      <c r="E149" s="340" t="n"/>
    </row>
    <row r="150" ht="14.25" customHeight="1" s="175">
      <c r="A150" s="267" t="inlineStr">
        <is>
          <t>Jon</t>
        </is>
      </c>
      <c r="B150" s="268" t="n">
        <v>2</v>
      </c>
      <c r="C150" s="269" t="inlineStr">
        <is>
          <t>Grady</t>
        </is>
      </c>
      <c r="D150" s="207" t="inlineStr">
        <is>
          <t>https://discord.com/channels/191975109500731392/1212839710439776287/1225881158189973594</t>
        </is>
      </c>
      <c r="E150" s="340" t="n"/>
    </row>
    <row r="151" ht="14.25" customHeight="1" s="175">
      <c r="A151" s="267" t="inlineStr">
        <is>
          <t>David</t>
        </is>
      </c>
      <c r="B151" s="268" t="n">
        <v>2</v>
      </c>
      <c r="C151" s="269" t="inlineStr">
        <is>
          <t>Jon</t>
        </is>
      </c>
      <c r="D151" s="207" t="inlineStr">
        <is>
          <t>https://discord.com/channels/191975109500731392/1212839710439776287/1225884240932241529</t>
        </is>
      </c>
      <c r="E151" s="340" t="n"/>
    </row>
    <row r="152" ht="14.25" customHeight="1" s="175">
      <c r="A152" s="267" t="inlineStr">
        <is>
          <t>Jon</t>
        </is>
      </c>
      <c r="B152" s="268" t="n">
        <v>1</v>
      </c>
      <c r="C152" s="269" t="inlineStr">
        <is>
          <t>Sam</t>
        </is>
      </c>
      <c r="D152" s="207" t="inlineStr">
        <is>
          <t>https://discord.com/channels/191975109500731392/1212839710439776287/1225903317331218574</t>
        </is>
      </c>
      <c r="E152" s="340" t="n"/>
    </row>
    <row r="153" ht="14.25" customHeight="1" s="175">
      <c r="A153" s="267" t="inlineStr">
        <is>
          <t>Sam</t>
        </is>
      </c>
      <c r="B153" s="268" t="n">
        <v>1</v>
      </c>
      <c r="C153" s="269" t="inlineStr">
        <is>
          <t>Jon</t>
        </is>
      </c>
      <c r="D153" s="207" t="inlineStr">
        <is>
          <t>https://discord.com/channels/191975109500731392/1212839710439776287/1225903337447358597</t>
        </is>
      </c>
      <c r="E153" s="340" t="n"/>
    </row>
    <row r="154" ht="14.25" customHeight="1" s="175">
      <c r="A154" s="267" t="inlineStr">
        <is>
          <t>Sam</t>
        </is>
      </c>
      <c r="B154" s="268" t="n">
        <v>2</v>
      </c>
      <c r="C154" s="269" t="inlineStr">
        <is>
          <t>Jon</t>
        </is>
      </c>
      <c r="D154" s="207" t="inlineStr">
        <is>
          <t>https://discord.com/channels/191975109500731392/1212839710439776287/1225965820455292928</t>
        </is>
      </c>
      <c r="E154" s="340" t="n"/>
    </row>
    <row r="155" ht="14.25" customHeight="1" s="175">
      <c r="A155" s="267" t="inlineStr">
        <is>
          <t>Jon</t>
        </is>
      </c>
      <c r="B155" s="268" t="n">
        <v>1</v>
      </c>
      <c r="C155" s="269" t="inlineStr">
        <is>
          <t>Sam</t>
        </is>
      </c>
      <c r="D155" s="207" t="inlineStr">
        <is>
          <t>https://discord.com/channels/191975109500731392/1212839710439776287/1225966325097304146</t>
        </is>
      </c>
      <c r="E155" s="340" t="n"/>
    </row>
    <row r="156" ht="14.25" customHeight="1" s="175">
      <c r="A156" s="267" t="inlineStr">
        <is>
          <t>Peter</t>
        </is>
      </c>
      <c r="B156" s="268" t="n">
        <v>2</v>
      </c>
      <c r="C156" s="269" t="inlineStr">
        <is>
          <t>Seth</t>
        </is>
      </c>
      <c r="D156" s="207" t="inlineStr">
        <is>
          <t>https://discord.com/channels/191975109500731392/1212839710439776287/1226242812450705479</t>
        </is>
      </c>
      <c r="E156" s="340" t="n"/>
    </row>
    <row r="157" ht="14.25" customHeight="1" s="175">
      <c r="A157" s="267" t="inlineStr">
        <is>
          <t>Peter</t>
        </is>
      </c>
      <c r="B157" s="268" t="n">
        <v>2</v>
      </c>
      <c r="C157" s="269" t="inlineStr">
        <is>
          <t>Tyler</t>
        </is>
      </c>
      <c r="D157" s="207" t="inlineStr">
        <is>
          <t>https://discord.com/channels/191975109500731392/1212839710439776287/1226242812450705479</t>
        </is>
      </c>
      <c r="E157" s="340" t="n"/>
    </row>
    <row r="158" ht="14.25" customHeight="1" s="175">
      <c r="A158" s="267" t="inlineStr">
        <is>
          <t>Peter</t>
        </is>
      </c>
      <c r="B158" s="268" t="n">
        <v>2</v>
      </c>
      <c r="C158" s="269" t="inlineStr">
        <is>
          <t>Grady</t>
        </is>
      </c>
      <c r="D158" s="207" t="inlineStr">
        <is>
          <t>https://discord.com/channels/191975109500731392/1212839710439776287/1226242812450705479</t>
        </is>
      </c>
      <c r="E158" s="340" t="n"/>
    </row>
    <row r="159" ht="14.25" customHeight="1" s="175">
      <c r="D159" s="207" t="n"/>
      <c r="E159" s="340" t="n"/>
    </row>
    <row r="160" ht="14.25" customHeight="1" s="175">
      <c r="E160" s="331" t="n"/>
    </row>
    <row r="161" ht="14.25" customHeight="1" s="175">
      <c r="E161" s="331" t="n"/>
    </row>
    <row r="162" ht="14.25" customHeight="1" s="175">
      <c r="E162" s="331" t="n"/>
    </row>
    <row r="163" ht="14.25" customHeight="1" s="175">
      <c r="E163" s="331" t="n"/>
    </row>
    <row r="164" ht="14.25" customHeight="1" s="175">
      <c r="E164" s="331" t="n"/>
    </row>
    <row r="165" ht="14.25" customHeight="1" s="175">
      <c r="E165" s="331" t="n"/>
    </row>
    <row r="166" ht="14.25" customHeight="1" s="175">
      <c r="E166" s="331" t="n"/>
    </row>
    <row r="167" ht="14.25" customHeight="1" s="175">
      <c r="E167" s="331" t="n"/>
    </row>
    <row r="168" ht="14.25" customHeight="1" s="175">
      <c r="E168" s="331" t="n"/>
    </row>
    <row r="169" ht="14.25" customHeight="1" s="175">
      <c r="E169" s="331" t="n"/>
    </row>
    <row r="170" ht="14.25" customHeight="1" s="175">
      <c r="E170" s="331" t="n"/>
    </row>
    <row r="171" ht="14.25" customHeight="1" s="175">
      <c r="E171" s="331" t="n"/>
    </row>
    <row r="172" ht="14.25" customHeight="1" s="175">
      <c r="E172" s="331" t="n"/>
    </row>
    <row r="173" ht="14.25" customHeight="1" s="175">
      <c r="E173" s="331" t="n"/>
    </row>
    <row r="174" ht="14.25" customHeight="1" s="175">
      <c r="E174" s="331" t="n"/>
    </row>
    <row r="175" ht="14.25" customHeight="1" s="175">
      <c r="E175" s="331" t="n"/>
    </row>
    <row r="176" ht="14.25" customHeight="1" s="175">
      <c r="E176" s="331" t="n"/>
    </row>
    <row r="177" ht="14.25" customHeight="1" s="175">
      <c r="E177" s="331" t="n"/>
    </row>
    <row r="178" ht="14.25" customHeight="1" s="175">
      <c r="E178" s="331" t="n"/>
    </row>
    <row r="179" ht="14.25" customHeight="1" s="175">
      <c r="E179" s="331" t="n"/>
    </row>
    <row r="180" ht="14.25" customHeight="1" s="175">
      <c r="E180" s="331" t="n"/>
    </row>
    <row r="181" ht="14.25" customHeight="1" s="175">
      <c r="E181" s="331" t="n"/>
    </row>
    <row r="182" ht="14.25" customHeight="1" s="175">
      <c r="E182" s="331" t="n"/>
    </row>
    <row r="183" ht="14.25" customHeight="1" s="175">
      <c r="E183" s="331" t="n"/>
    </row>
    <row r="184" ht="14.25" customHeight="1" s="175">
      <c r="E184" s="331" t="n"/>
    </row>
    <row r="185" ht="14.25" customHeight="1" s="175">
      <c r="E185" s="331" t="n"/>
    </row>
    <row r="186" ht="14.25" customHeight="1" s="175">
      <c r="E186" s="331" t="n"/>
    </row>
    <row r="187" ht="14.25" customHeight="1" s="175">
      <c r="E187" s="331" t="n"/>
    </row>
    <row r="188" ht="14.25" customHeight="1" s="175">
      <c r="E188" s="331" t="n"/>
    </row>
    <row r="189" ht="14.25" customHeight="1" s="175">
      <c r="E189" s="331" t="n"/>
    </row>
    <row r="190" ht="14.25" customHeight="1" s="175">
      <c r="E190" s="331" t="n"/>
    </row>
    <row r="191" ht="14.25" customHeight="1" s="175">
      <c r="E191" s="331" t="n"/>
    </row>
    <row r="192" ht="14.25" customHeight="1" s="175">
      <c r="E192" s="331" t="n"/>
    </row>
    <row r="193" ht="14.25" customHeight="1" s="175">
      <c r="E193" s="331" t="n"/>
    </row>
    <row r="194" ht="14.25" customHeight="1" s="175">
      <c r="E194" s="331" t="n"/>
    </row>
    <row r="195" ht="14.25" customHeight="1" s="175">
      <c r="E195" s="331" t="n"/>
    </row>
    <row r="196" ht="14.25" customHeight="1" s="175">
      <c r="E196" s="331" t="n"/>
    </row>
    <row r="197" ht="14.25" customHeight="1" s="175">
      <c r="E197" s="331" t="n"/>
    </row>
    <row r="198" ht="14.25" customHeight="1" s="175">
      <c r="E198" s="331" t="n"/>
    </row>
    <row r="199" ht="14.25" customHeight="1" s="175">
      <c r="E199" s="331" t="n"/>
    </row>
    <row r="200" ht="14.25" customHeight="1" s="175">
      <c r="E200" s="331" t="n"/>
    </row>
    <row r="201" ht="14.25" customHeight="1" s="175">
      <c r="E201" s="331" t="n"/>
    </row>
    <row r="202" ht="14.25" customHeight="1" s="175">
      <c r="E202" s="331" t="n"/>
    </row>
    <row r="203" ht="14.25" customHeight="1" s="175">
      <c r="E203" s="331" t="n"/>
    </row>
    <row r="204" ht="14.25" customHeight="1" s="175">
      <c r="E204" s="331" t="n"/>
    </row>
    <row r="205" ht="14.25" customHeight="1" s="175">
      <c r="E205" s="331" t="n"/>
    </row>
    <row r="206" ht="14.25" customHeight="1" s="175">
      <c r="E206" s="331" t="n"/>
    </row>
    <row r="207" ht="14.25" customHeight="1" s="175">
      <c r="E207" s="331" t="n"/>
    </row>
    <row r="208" ht="14.25" customHeight="1" s="175">
      <c r="E208" s="331" t="n"/>
    </row>
    <row r="209" ht="14.25" customHeight="1" s="175">
      <c r="E209" s="331" t="n"/>
    </row>
    <row r="210" ht="14.25" customHeight="1" s="175">
      <c r="E210" s="331" t="n"/>
    </row>
    <row r="211" ht="14.25" customHeight="1" s="175">
      <c r="E211" s="331" t="n"/>
    </row>
    <row r="212" ht="14.25" customHeight="1" s="175">
      <c r="E212" s="331" t="n"/>
    </row>
    <row r="213" ht="14.25" customHeight="1" s="175">
      <c r="E213" s="331" t="n"/>
    </row>
    <row r="214" ht="14.25" customHeight="1" s="175">
      <c r="E214" s="331" t="n"/>
    </row>
    <row r="215" ht="14.25" customHeight="1" s="175">
      <c r="E215" s="331" t="n"/>
    </row>
    <row r="216" ht="14.25" customHeight="1" s="175">
      <c r="E216" s="331" t="n"/>
    </row>
    <row r="217" ht="14.25" customHeight="1" s="175">
      <c r="E217" s="331" t="n"/>
    </row>
    <row r="218" ht="14.25" customHeight="1" s="175">
      <c r="E218" s="331" t="n"/>
    </row>
    <row r="219" ht="14.25" customHeight="1" s="175">
      <c r="E219" s="331" t="n"/>
    </row>
    <row r="220" ht="14.25" customHeight="1" s="175">
      <c r="E220" s="331" t="n"/>
    </row>
    <row r="221" ht="14.25" customHeight="1" s="175">
      <c r="E221" s="331" t="n"/>
    </row>
    <row r="222" ht="14.25" customHeight="1" s="175">
      <c r="E222" s="331" t="n"/>
    </row>
    <row r="223" ht="14.25" customHeight="1" s="175">
      <c r="E223" s="331" t="n"/>
    </row>
    <row r="224" ht="14.25" customHeight="1" s="175">
      <c r="E224" s="331" t="n"/>
    </row>
    <row r="225" ht="14.25" customHeight="1" s="175">
      <c r="E225" s="331" t="n"/>
    </row>
    <row r="226" ht="14.25" customHeight="1" s="175">
      <c r="E226" s="331" t="n"/>
    </row>
    <row r="227" ht="14.25" customHeight="1" s="175">
      <c r="E227" s="331" t="n"/>
    </row>
    <row r="228" ht="14.25" customHeight="1" s="175">
      <c r="E228" s="331" t="n"/>
    </row>
    <row r="229" ht="14.25" customHeight="1" s="175">
      <c r="E229" s="331" t="n"/>
    </row>
    <row r="230" ht="14.25" customHeight="1" s="175">
      <c r="E230" s="331" t="n"/>
    </row>
    <row r="231" ht="14.25" customHeight="1" s="175">
      <c r="E231" s="331" t="n"/>
    </row>
    <row r="232" ht="14.25" customHeight="1" s="175">
      <c r="E232" s="331" t="n"/>
    </row>
    <row r="233" ht="14.25" customHeight="1" s="175">
      <c r="E233" s="331" t="n"/>
    </row>
    <row r="234" ht="14.25" customHeight="1" s="175">
      <c r="E234" s="331" t="n"/>
    </row>
    <row r="235" ht="14.25" customHeight="1" s="175">
      <c r="E235" s="331" t="n"/>
    </row>
    <row r="236" ht="14.25" customHeight="1" s="175">
      <c r="E236" s="331" t="n"/>
    </row>
    <row r="237" ht="14.25" customHeight="1" s="175">
      <c r="E237" s="331" t="n"/>
    </row>
    <row r="238" ht="14.25" customHeight="1" s="175">
      <c r="E238" s="331" t="n"/>
    </row>
    <row r="239" ht="14.25" customHeight="1" s="175">
      <c r="E239" s="331" t="n"/>
    </row>
    <row r="240" ht="14.25" customHeight="1" s="175">
      <c r="E240" s="331" t="n"/>
    </row>
    <row r="241" ht="14.25" customHeight="1" s="175">
      <c r="E241" s="331" t="n"/>
    </row>
    <row r="242" ht="14.25" customHeight="1" s="175">
      <c r="E242" s="331" t="n"/>
    </row>
    <row r="243" ht="14.25" customHeight="1" s="175">
      <c r="E243" s="331" t="n"/>
    </row>
    <row r="244" ht="14.25" customHeight="1" s="175">
      <c r="E244" s="331" t="n"/>
    </row>
    <row r="245" ht="14.25" customHeight="1" s="175">
      <c r="E245" s="331" t="n"/>
    </row>
    <row r="246" ht="14.25" customHeight="1" s="175">
      <c r="E246" s="331" t="n"/>
    </row>
    <row r="247" ht="14.25" customHeight="1" s="175">
      <c r="E247" s="331" t="n"/>
    </row>
    <row r="248" ht="14.25" customHeight="1" s="175">
      <c r="E248" s="331" t="n"/>
    </row>
    <row r="249" ht="14.25" customHeight="1" s="175">
      <c r="E249" s="331" t="n"/>
    </row>
    <row r="250" ht="14.25" customHeight="1" s="175">
      <c r="E250" s="331" t="n"/>
    </row>
    <row r="251" ht="14.25" customHeight="1" s="175">
      <c r="E251" s="331" t="n"/>
    </row>
    <row r="252" ht="14.25" customHeight="1" s="175">
      <c r="E252" s="331" t="n"/>
    </row>
    <row r="253" ht="14.25" customHeight="1" s="175">
      <c r="E253" s="331" t="n"/>
    </row>
    <row r="254" ht="14.25" customHeight="1" s="175">
      <c r="E254" s="331" t="n"/>
    </row>
    <row r="255" ht="14.25" customHeight="1" s="175">
      <c r="E255" s="331" t="n"/>
    </row>
    <row r="256" ht="14.25" customHeight="1" s="175">
      <c r="E256" s="331" t="n"/>
    </row>
    <row r="257" ht="14.25" customHeight="1" s="175">
      <c r="E257" s="331" t="n"/>
    </row>
    <row r="258" ht="14.25" customHeight="1" s="175">
      <c r="E258" s="331" t="n"/>
    </row>
    <row r="259" ht="14.25" customHeight="1" s="175">
      <c r="E259" s="331" t="n"/>
    </row>
    <row r="260" ht="14.25" customHeight="1" s="175">
      <c r="E260" s="331" t="n"/>
    </row>
    <row r="261" ht="14.25" customHeight="1" s="175">
      <c r="E261" s="331" t="n"/>
    </row>
    <row r="262" ht="14.25" customHeight="1" s="175">
      <c r="E262" s="331" t="n"/>
    </row>
    <row r="263" ht="14.25" customHeight="1" s="175">
      <c r="E263" s="331" t="n"/>
    </row>
    <row r="264" ht="14.25" customHeight="1" s="175">
      <c r="E264" s="331" t="n"/>
    </row>
    <row r="265" ht="14.25" customHeight="1" s="175">
      <c r="E265" s="331" t="n"/>
    </row>
    <row r="266" ht="14.25" customHeight="1" s="175">
      <c r="E266" s="331" t="n"/>
    </row>
    <row r="267" ht="14.25" customHeight="1" s="175">
      <c r="E267" s="331" t="n"/>
    </row>
    <row r="268" ht="14.25" customHeight="1" s="175">
      <c r="E268" s="331" t="n"/>
    </row>
    <row r="269" ht="14.25" customHeight="1" s="175">
      <c r="E269" s="331" t="n"/>
    </row>
    <row r="270" ht="14.25" customHeight="1" s="175">
      <c r="E270" s="331" t="n"/>
    </row>
    <row r="271" ht="14.25" customHeight="1" s="175">
      <c r="E271" s="331" t="n"/>
    </row>
    <row r="272" ht="14.25" customHeight="1" s="175">
      <c r="E272" s="331" t="n"/>
    </row>
    <row r="273" ht="14.25" customHeight="1" s="175">
      <c r="E273" s="331" t="n"/>
    </row>
    <row r="274" ht="14.25" customHeight="1" s="175">
      <c r="E274" s="331" t="n"/>
    </row>
    <row r="275" ht="14.25" customHeight="1" s="175">
      <c r="E275" s="331" t="n"/>
    </row>
    <row r="276" ht="14.25" customHeight="1" s="175">
      <c r="E276" s="331" t="n"/>
    </row>
    <row r="277" ht="14.25" customHeight="1" s="175">
      <c r="E277" s="331" t="n"/>
    </row>
    <row r="278" ht="14.25" customHeight="1" s="175">
      <c r="E278" s="331" t="n"/>
    </row>
    <row r="279" ht="14.25" customHeight="1" s="175">
      <c r="E279" s="331" t="n"/>
    </row>
    <row r="280" ht="14.25" customHeight="1" s="175">
      <c r="E280" s="331" t="n"/>
    </row>
    <row r="281" ht="14.25" customHeight="1" s="175">
      <c r="E281" s="331" t="n"/>
    </row>
    <row r="282" ht="14.25" customHeight="1" s="175">
      <c r="E282" s="331" t="n"/>
    </row>
    <row r="283" ht="14.25" customHeight="1" s="175">
      <c r="E283" s="331" t="n"/>
    </row>
    <row r="284" ht="14.25" customHeight="1" s="175">
      <c r="E284" s="331" t="n"/>
    </row>
    <row r="285" ht="14.25" customHeight="1" s="175">
      <c r="E285" s="331" t="n"/>
    </row>
    <row r="286" ht="14.25" customHeight="1" s="175">
      <c r="E286" s="331" t="n"/>
    </row>
    <row r="287" ht="14.25" customHeight="1" s="175">
      <c r="E287" s="331" t="n"/>
    </row>
    <row r="288" ht="14.25" customHeight="1" s="175">
      <c r="E288" s="331" t="n"/>
    </row>
    <row r="289" ht="14.25" customHeight="1" s="175">
      <c r="E289" s="331" t="n"/>
    </row>
    <row r="290" ht="14.25" customHeight="1" s="175">
      <c r="E290" s="331" t="n"/>
    </row>
    <row r="291" ht="14.25" customHeight="1" s="175">
      <c r="E291" s="331" t="n"/>
    </row>
    <row r="292" ht="14.25" customHeight="1" s="175">
      <c r="E292" s="331" t="n"/>
    </row>
    <row r="293" ht="14.25" customHeight="1" s="175">
      <c r="E293" s="331" t="n"/>
    </row>
    <row r="294" ht="14.25" customHeight="1" s="175">
      <c r="E294" s="331" t="n"/>
    </row>
    <row r="295" ht="14.25" customHeight="1" s="175">
      <c r="E295" s="331" t="n"/>
    </row>
    <row r="296" ht="14.25" customHeight="1" s="175">
      <c r="E296" s="331" t="n"/>
    </row>
    <row r="297" ht="14.25" customHeight="1" s="175">
      <c r="E297" s="331" t="n"/>
    </row>
    <row r="298" ht="14.25" customHeight="1" s="175">
      <c r="E298" s="331" t="n"/>
    </row>
    <row r="299" ht="14.25" customHeight="1" s="175">
      <c r="E299" s="331" t="n"/>
    </row>
    <row r="300" ht="14.25" customHeight="1" s="175">
      <c r="E300" s="331" t="n"/>
    </row>
    <row r="301" ht="14.25" customHeight="1" s="175">
      <c r="E301" s="331" t="n"/>
    </row>
    <row r="302" ht="14.25" customHeight="1" s="175">
      <c r="E302" s="331" t="n"/>
    </row>
    <row r="303" ht="14.25" customHeight="1" s="175">
      <c r="E303" s="331" t="n"/>
    </row>
    <row r="304" ht="14.25" customHeight="1" s="175">
      <c r="E304" s="331" t="n"/>
    </row>
    <row r="305" ht="14.25" customHeight="1" s="175">
      <c r="E305" s="331" t="n"/>
    </row>
    <row r="306" ht="14.25" customHeight="1" s="175">
      <c r="E306" s="331" t="n"/>
    </row>
    <row r="307" ht="14.25" customHeight="1" s="175">
      <c r="E307" s="331" t="n"/>
    </row>
    <row r="308" ht="14.25" customHeight="1" s="175">
      <c r="E308" s="331" t="n"/>
    </row>
    <row r="309" ht="14.25" customHeight="1" s="175">
      <c r="E309" s="331" t="n"/>
    </row>
    <row r="310" ht="14.25" customHeight="1" s="175">
      <c r="E310" s="331" t="n"/>
    </row>
    <row r="311" ht="14.25" customHeight="1" s="175">
      <c r="E311" s="331" t="n"/>
    </row>
    <row r="312" ht="14.25" customHeight="1" s="175">
      <c r="E312" s="331" t="n"/>
    </row>
    <row r="313" ht="14.25" customHeight="1" s="175">
      <c r="E313" s="331" t="n"/>
    </row>
    <row r="314" ht="14.25" customHeight="1" s="175">
      <c r="E314" s="331" t="n"/>
    </row>
    <row r="315" ht="14.25" customHeight="1" s="175">
      <c r="E315" s="331" t="n"/>
    </row>
    <row r="316" ht="14.25" customHeight="1" s="175">
      <c r="E316" s="331" t="n"/>
    </row>
    <row r="317" ht="14.25" customHeight="1" s="175">
      <c r="E317" s="331" t="n"/>
    </row>
    <row r="318" ht="14.25" customHeight="1" s="175">
      <c r="E318" s="331" t="n"/>
    </row>
    <row r="319" ht="14.25" customHeight="1" s="175">
      <c r="E319" s="331" t="n"/>
    </row>
    <row r="320" ht="14.25" customHeight="1" s="175">
      <c r="E320" s="331" t="n"/>
    </row>
    <row r="321" ht="14.25" customHeight="1" s="175">
      <c r="E321" s="331" t="n"/>
    </row>
    <row r="322" ht="14.25" customHeight="1" s="175">
      <c r="E322" s="331" t="n"/>
    </row>
    <row r="323" ht="14.25" customHeight="1" s="175">
      <c r="E323" s="331" t="n"/>
    </row>
    <row r="324" ht="14.25" customHeight="1" s="175">
      <c r="E324" s="331" t="n"/>
    </row>
    <row r="325" ht="14.25" customHeight="1" s="175">
      <c r="E325" s="331" t="n"/>
    </row>
    <row r="326" ht="14.25" customHeight="1" s="175">
      <c r="E326" s="331" t="n"/>
    </row>
    <row r="327" ht="14.25" customHeight="1" s="175">
      <c r="E327" s="331" t="n"/>
    </row>
    <row r="328" ht="14.25" customHeight="1" s="175">
      <c r="E328" s="331" t="n"/>
    </row>
    <row r="329" ht="14.25" customHeight="1" s="175">
      <c r="E329" s="331" t="n"/>
    </row>
    <row r="330" ht="14.25" customHeight="1" s="175">
      <c r="E330" s="331" t="n"/>
    </row>
    <row r="331" ht="14.25" customHeight="1" s="175">
      <c r="E331" s="331" t="n"/>
    </row>
    <row r="332" ht="14.25" customHeight="1" s="175">
      <c r="E332" s="331" t="n"/>
    </row>
    <row r="333" ht="14.25" customHeight="1" s="175">
      <c r="E333" s="331" t="n"/>
    </row>
    <row r="334" ht="14.25" customHeight="1" s="175">
      <c r="E334" s="331" t="n"/>
    </row>
    <row r="335" ht="14.25" customHeight="1" s="175">
      <c r="E335" s="331" t="n"/>
    </row>
    <row r="336" ht="14.25" customHeight="1" s="175">
      <c r="E336" s="331" t="n"/>
    </row>
    <row r="337" ht="14.25" customHeight="1" s="175">
      <c r="E337" s="331" t="n"/>
    </row>
    <row r="338" ht="14.25" customHeight="1" s="175">
      <c r="E338" s="331" t="n"/>
    </row>
    <row r="339" ht="14.25" customHeight="1" s="175">
      <c r="E339" s="331" t="n"/>
    </row>
    <row r="340" ht="14.25" customHeight="1" s="175">
      <c r="E340" s="331" t="n"/>
    </row>
    <row r="341" ht="14.25" customHeight="1" s="175">
      <c r="E341" s="331" t="n"/>
    </row>
    <row r="342" ht="14.25" customHeight="1" s="175">
      <c r="E342" s="331" t="n"/>
    </row>
    <row r="343" ht="14.25" customHeight="1" s="175">
      <c r="E343" s="331" t="n"/>
    </row>
    <row r="344" ht="14.25" customHeight="1" s="175">
      <c r="E344" s="331" t="n"/>
    </row>
    <row r="345" ht="14.25" customHeight="1" s="175">
      <c r="E345" s="331" t="n"/>
    </row>
    <row r="346" ht="14.25" customHeight="1" s="175">
      <c r="E346" s="331" t="n"/>
    </row>
    <row r="347" ht="14.25" customHeight="1" s="175">
      <c r="E347" s="331" t="n"/>
    </row>
    <row r="348" ht="14.25" customHeight="1" s="175">
      <c r="E348" s="331" t="n"/>
    </row>
    <row r="349" ht="14.25" customHeight="1" s="175">
      <c r="E349" s="331" t="n"/>
    </row>
    <row r="350" ht="14.25" customHeight="1" s="175">
      <c r="E350" s="331" t="n"/>
    </row>
    <row r="351" ht="14.25" customHeight="1" s="175">
      <c r="E351" s="331" t="n"/>
    </row>
    <row r="352" ht="14.25" customHeight="1" s="175">
      <c r="E352" s="331" t="n"/>
    </row>
    <row r="353" ht="14.25" customHeight="1" s="175">
      <c r="E353" s="331" t="n"/>
    </row>
    <row r="354" ht="14.25" customHeight="1" s="175">
      <c r="E354" s="331" t="n"/>
    </row>
    <row r="355" ht="14.25" customHeight="1" s="175">
      <c r="E355" s="331" t="n"/>
    </row>
    <row r="356" ht="14.25" customHeight="1" s="175">
      <c r="E356" s="331" t="n"/>
    </row>
    <row r="357" ht="14.25" customHeight="1" s="175">
      <c r="E357" s="331" t="n"/>
    </row>
    <row r="358" ht="14.25" customHeight="1" s="175">
      <c r="E358" s="331" t="n"/>
    </row>
    <row r="359" ht="15.75" customHeight="1" s="175"/>
    <row r="360" ht="15.75" customHeight="1" s="175"/>
    <row r="361" ht="15.75" customHeight="1" s="175"/>
    <row r="362" ht="15.75" customHeight="1" s="175"/>
    <row r="363" ht="15.75" customHeight="1" s="175"/>
    <row r="364" ht="15.75" customHeight="1" s="175"/>
    <row r="365" ht="15.75" customHeight="1" s="175"/>
    <row r="366" ht="15.75" customHeight="1" s="175"/>
    <row r="367" ht="15.75" customHeight="1" s="175"/>
    <row r="368" ht="15.75" customHeight="1" s="175"/>
    <row r="369" ht="15.75" customHeight="1" s="175"/>
    <row r="370" ht="15.75" customHeight="1" s="175"/>
    <row r="371" ht="15.75" customHeight="1" s="175"/>
    <row r="372" ht="15.75" customHeight="1" s="175"/>
    <row r="373" ht="15.75" customHeight="1" s="175"/>
    <row r="374" ht="15.75" customHeight="1" s="175"/>
    <row r="375" ht="15.75" customHeight="1" s="175"/>
    <row r="376" ht="15.75" customHeight="1" s="175"/>
    <row r="377" ht="15.75" customHeight="1" s="175"/>
    <row r="378" ht="15.75" customHeight="1" s="175"/>
    <row r="379" ht="15.75" customHeight="1" s="175"/>
    <row r="380" ht="15.75" customHeight="1" s="175"/>
    <row r="381" ht="15.75" customHeight="1" s="175"/>
    <row r="382" ht="15.75" customHeight="1" s="175"/>
    <row r="383" ht="15.75" customHeight="1" s="175"/>
    <row r="384" ht="15.75" customHeight="1" s="175"/>
    <row r="385" ht="15.75" customHeight="1" s="175"/>
    <row r="386" ht="15.75" customHeight="1" s="175"/>
    <row r="387" ht="15.75" customHeight="1" s="175"/>
    <row r="388" ht="15.75" customHeight="1" s="175"/>
    <row r="389" ht="15.75" customHeight="1" s="175"/>
    <row r="390" ht="15.75" customHeight="1" s="175"/>
    <row r="391" ht="15.75" customHeight="1" s="175"/>
    <row r="392" ht="15.75" customHeight="1" s="175"/>
    <row r="393" ht="15.75" customHeight="1" s="175"/>
    <row r="394" ht="15.75" customHeight="1" s="175"/>
    <row r="395" ht="15.75" customHeight="1" s="175"/>
    <row r="396" ht="15.75" customHeight="1" s="175"/>
    <row r="397" ht="15.75" customHeight="1" s="175"/>
    <row r="398" ht="15.75" customHeight="1" s="175"/>
    <row r="399" ht="15.75" customHeight="1" s="175"/>
    <row r="400" ht="15.75" customHeight="1" s="175"/>
    <row r="401" ht="15.75" customHeight="1" s="175"/>
    <row r="402" ht="15.75" customHeight="1" s="175"/>
    <row r="403" ht="15.75" customHeight="1" s="175"/>
    <row r="404" ht="15.75" customHeight="1" s="175"/>
    <row r="405" ht="15.75" customHeight="1" s="175"/>
    <row r="406" ht="15.75" customHeight="1" s="175"/>
    <row r="407" ht="15.75" customHeight="1" s="175"/>
    <row r="408" ht="15.75" customHeight="1" s="175"/>
    <row r="409" ht="15.75" customHeight="1" s="175"/>
    <row r="410" ht="15.75" customHeight="1" s="175"/>
    <row r="411" ht="15.75" customHeight="1" s="175"/>
    <row r="412" ht="15.75" customHeight="1" s="175"/>
    <row r="413" ht="15.75" customHeight="1" s="175"/>
    <row r="414" ht="15.75" customHeight="1" s="175"/>
    <row r="415" ht="15.75" customHeight="1" s="175"/>
    <row r="416" ht="15.75" customHeight="1" s="175"/>
    <row r="417" ht="15.75" customHeight="1" s="175"/>
    <row r="418" ht="15.75" customHeight="1" s="175"/>
    <row r="419" ht="15.75" customHeight="1" s="175"/>
    <row r="420" ht="15.75" customHeight="1" s="175"/>
    <row r="421" ht="15.75" customHeight="1" s="175"/>
    <row r="422" ht="15.75" customHeight="1" s="175"/>
    <row r="423" ht="15.75" customHeight="1" s="175"/>
    <row r="424" ht="15.75" customHeight="1" s="175"/>
    <row r="425" ht="15.75" customHeight="1" s="175"/>
    <row r="426" ht="15.75" customHeight="1" s="175"/>
    <row r="427" ht="15.75" customHeight="1" s="175"/>
    <row r="428" ht="15.75" customHeight="1" s="175"/>
    <row r="429" ht="15.75" customHeight="1" s="175"/>
    <row r="430" ht="15.75" customHeight="1" s="175"/>
    <row r="431" ht="15.75" customHeight="1" s="175"/>
    <row r="432" ht="15.75" customHeight="1" s="175"/>
    <row r="433" ht="15.75" customHeight="1" s="175"/>
    <row r="434" ht="15.75" customHeight="1" s="175"/>
    <row r="435" ht="15.75" customHeight="1" s="175"/>
    <row r="436" ht="15.75" customHeight="1" s="175"/>
    <row r="437" ht="15.75" customHeight="1" s="175"/>
    <row r="438" ht="15.75" customHeight="1" s="175"/>
    <row r="439" ht="15.75" customHeight="1" s="175"/>
    <row r="440" ht="15.75" customHeight="1" s="175"/>
    <row r="441" ht="15.75" customHeight="1" s="175"/>
    <row r="442" ht="15.75" customHeight="1" s="175"/>
    <row r="443" ht="15.75" customHeight="1" s="175"/>
    <row r="444" ht="15.75" customHeight="1" s="175"/>
    <row r="445" ht="15.75" customHeight="1" s="175"/>
    <row r="446" ht="15.75" customHeight="1" s="175"/>
    <row r="447" ht="15.75" customHeight="1" s="175"/>
    <row r="448" ht="15.75" customHeight="1" s="175"/>
    <row r="449" ht="15.75" customHeight="1" s="175"/>
    <row r="450" ht="15.75" customHeight="1" s="175"/>
    <row r="451" ht="15.75" customHeight="1" s="175"/>
    <row r="452" ht="15.75" customHeight="1" s="175"/>
    <row r="453" ht="15.75" customHeight="1" s="175"/>
    <row r="454" ht="15.75" customHeight="1" s="175"/>
    <row r="455" ht="15.75" customHeight="1" s="175"/>
    <row r="456" ht="15.75" customHeight="1" s="175"/>
    <row r="457" ht="15.75" customHeight="1" s="175"/>
    <row r="458" ht="15.75" customHeight="1" s="175"/>
    <row r="459" ht="15.75" customHeight="1" s="175"/>
    <row r="460" ht="15.75" customHeight="1" s="175"/>
    <row r="461" ht="15.75" customHeight="1" s="175"/>
    <row r="462" ht="15.75" customHeight="1" s="175"/>
    <row r="463" ht="15.75" customHeight="1" s="175"/>
    <row r="464" ht="15.75" customHeight="1" s="175"/>
    <row r="465" ht="15.75" customHeight="1" s="175"/>
    <row r="466" ht="15.75" customHeight="1" s="175"/>
    <row r="467" ht="15.75" customHeight="1" s="175"/>
    <row r="468" ht="15.75" customHeight="1" s="175"/>
    <row r="469" ht="15.75" customHeight="1" s="175"/>
    <row r="470" ht="15.75" customHeight="1" s="175"/>
    <row r="471" ht="15.75" customHeight="1" s="175"/>
    <row r="472" ht="15.75" customHeight="1" s="175"/>
    <row r="473" ht="15.75" customHeight="1" s="175"/>
    <row r="474" ht="15.75" customHeight="1" s="175"/>
    <row r="475" ht="15.75" customHeight="1" s="175"/>
    <row r="476" ht="15.75" customHeight="1" s="175"/>
    <row r="477" ht="15.75" customHeight="1" s="175"/>
    <row r="478" ht="15.75" customHeight="1" s="175"/>
    <row r="479" ht="15.75" customHeight="1" s="175"/>
    <row r="480" ht="15.75" customHeight="1" s="175"/>
    <row r="481" ht="15.75" customHeight="1" s="175"/>
    <row r="482" ht="15.75" customHeight="1" s="175"/>
    <row r="483" ht="15.75" customHeight="1" s="175"/>
    <row r="484" ht="15.75" customHeight="1" s="175"/>
    <row r="485" ht="15.75" customHeight="1" s="175"/>
    <row r="486" ht="15.75" customHeight="1" s="175"/>
    <row r="487" ht="15.75" customHeight="1" s="175"/>
    <row r="488" ht="15.75" customHeight="1" s="175"/>
    <row r="489" ht="15.75" customHeight="1" s="175"/>
    <row r="490" ht="15.75" customHeight="1" s="175"/>
    <row r="491" ht="15.75" customHeight="1" s="175"/>
    <row r="492" ht="15.75" customHeight="1" s="175"/>
    <row r="493" ht="15.75" customHeight="1" s="175"/>
    <row r="494" ht="15.75" customHeight="1" s="175"/>
    <row r="495" ht="15.75" customHeight="1" s="175"/>
    <row r="496" ht="15.75" customHeight="1" s="175"/>
    <row r="497" ht="15.75" customHeight="1" s="175"/>
    <row r="498" ht="15.75" customHeight="1" s="175"/>
    <row r="499" ht="15.75" customHeight="1" s="175"/>
    <row r="500" ht="15.75" customHeight="1" s="175"/>
    <row r="501" ht="15.75" customHeight="1" s="175"/>
    <row r="502" ht="15.75" customHeight="1" s="175"/>
    <row r="503" ht="15.75" customHeight="1" s="175"/>
    <row r="504" ht="15.75" customHeight="1" s="175"/>
    <row r="505" ht="15.75" customHeight="1" s="175"/>
    <row r="506" ht="15.75" customHeight="1" s="175"/>
    <row r="507" ht="15.75" customHeight="1" s="175"/>
    <row r="508" ht="15.75" customHeight="1" s="175"/>
    <row r="509" ht="15.75" customHeight="1" s="175"/>
    <row r="510" ht="15.75" customHeight="1" s="175"/>
    <row r="511" ht="15.75" customHeight="1" s="175"/>
    <row r="512" ht="15.75" customHeight="1" s="175"/>
    <row r="513" ht="15.75" customHeight="1" s="175"/>
    <row r="514" ht="15.75" customHeight="1" s="175"/>
    <row r="515" ht="15.75" customHeight="1" s="175"/>
    <row r="516" ht="15.75" customHeight="1" s="175"/>
    <row r="517" ht="15.75" customHeight="1" s="175"/>
    <row r="518" ht="15.75" customHeight="1" s="175"/>
    <row r="519" ht="15.75" customHeight="1" s="175"/>
    <row r="520" ht="15.75" customHeight="1" s="175"/>
    <row r="521" ht="15.75" customHeight="1" s="175"/>
    <row r="522" ht="15.75" customHeight="1" s="175"/>
    <row r="523" ht="15.75" customHeight="1" s="175"/>
    <row r="524" ht="15.75" customHeight="1" s="175"/>
    <row r="525" ht="15.75" customHeight="1" s="175"/>
    <row r="526" ht="15.75" customHeight="1" s="175"/>
    <row r="527" ht="15.75" customHeight="1" s="175"/>
    <row r="528" ht="15.75" customHeight="1" s="175"/>
    <row r="529" ht="15.75" customHeight="1" s="175"/>
    <row r="530" ht="15.75" customHeight="1" s="175"/>
    <row r="531" ht="15.75" customHeight="1" s="175"/>
    <row r="532" ht="15.75" customHeight="1" s="175"/>
    <row r="533" ht="15.75" customHeight="1" s="175"/>
    <row r="534" ht="15.75" customHeight="1" s="175"/>
    <row r="535" ht="15.75" customHeight="1" s="175"/>
    <row r="536" ht="15.75" customHeight="1" s="175"/>
    <row r="537" ht="15.75" customHeight="1" s="175"/>
    <row r="538" ht="15.75" customHeight="1" s="175"/>
    <row r="539" ht="15.75" customHeight="1" s="175"/>
    <row r="540" ht="15.75" customHeight="1" s="175"/>
    <row r="541" ht="15.75" customHeight="1" s="175"/>
    <row r="542" ht="15.75" customHeight="1" s="175"/>
    <row r="543" ht="15.75" customHeight="1" s="175"/>
    <row r="544" ht="15.75" customHeight="1" s="175"/>
    <row r="545" ht="15.75" customHeight="1" s="175"/>
    <row r="546" ht="15.75" customHeight="1" s="175"/>
    <row r="547" ht="15.75" customHeight="1" s="175"/>
    <row r="548" ht="15.75" customHeight="1" s="175"/>
    <row r="549" ht="15.75" customHeight="1" s="175"/>
    <row r="550" ht="15.75" customHeight="1" s="175"/>
    <row r="551" ht="15.75" customHeight="1" s="175"/>
    <row r="552" ht="15.75" customHeight="1" s="175"/>
    <row r="553" ht="15.75" customHeight="1" s="175"/>
    <row r="554" ht="15.75" customHeight="1" s="175"/>
    <row r="555" ht="15.75" customHeight="1" s="175"/>
    <row r="556" ht="15.75" customHeight="1" s="175"/>
    <row r="557" ht="15.75" customHeight="1" s="175"/>
    <row r="558" ht="15.75" customHeight="1" s="175"/>
    <row r="559" ht="15.75" customHeight="1" s="175"/>
    <row r="560" ht="15.75" customHeight="1" s="175"/>
    <row r="561" ht="15.75" customHeight="1" s="175"/>
    <row r="562" ht="15.75" customHeight="1" s="175"/>
    <row r="563" ht="15.75" customHeight="1" s="175"/>
    <row r="564" ht="15.75" customHeight="1" s="175"/>
    <row r="565" ht="15.75" customHeight="1" s="175"/>
    <row r="566" ht="15.75" customHeight="1" s="175"/>
    <row r="567" ht="15.75" customHeight="1" s="175"/>
    <row r="568" ht="15.75" customHeight="1" s="175"/>
    <row r="569" ht="15.75" customHeight="1" s="175"/>
    <row r="570" ht="15.75" customHeight="1" s="175"/>
    <row r="571" ht="15.75" customHeight="1" s="175"/>
    <row r="572" ht="15.75" customHeight="1" s="175"/>
    <row r="573" ht="15.75" customHeight="1" s="175"/>
    <row r="574" ht="15.75" customHeight="1" s="175"/>
    <row r="575" ht="15.75" customHeight="1" s="175"/>
    <row r="576" ht="15.75" customHeight="1" s="175"/>
    <row r="577" ht="15.75" customHeight="1" s="175"/>
    <row r="578" ht="15.75" customHeight="1" s="175"/>
    <row r="579" ht="15.75" customHeight="1" s="175"/>
    <row r="580" ht="15.75" customHeight="1" s="175"/>
    <row r="581" ht="15.75" customHeight="1" s="175"/>
    <row r="582" ht="15.75" customHeight="1" s="175"/>
    <row r="583" ht="15.75" customHeight="1" s="175"/>
    <row r="584" ht="15.75" customHeight="1" s="175"/>
    <row r="585" ht="15.75" customHeight="1" s="175"/>
    <row r="586" ht="15.75" customHeight="1" s="175"/>
    <row r="587" ht="15.75" customHeight="1" s="175"/>
    <row r="588" ht="15.75" customHeight="1" s="175"/>
    <row r="589" ht="15.75" customHeight="1" s="175"/>
    <row r="590" ht="15.75" customHeight="1" s="175"/>
    <row r="591" ht="15.75" customHeight="1" s="175"/>
    <row r="592" ht="15.75" customHeight="1" s="175"/>
    <row r="593" ht="15.75" customHeight="1" s="175"/>
    <row r="594" ht="15.75" customHeight="1" s="175"/>
    <row r="595" ht="15.75" customHeight="1" s="175"/>
    <row r="596" ht="15.75" customHeight="1" s="175"/>
    <row r="597" ht="15.75" customHeight="1" s="175"/>
    <row r="598" ht="15.75" customHeight="1" s="175"/>
    <row r="599" ht="15.75" customHeight="1" s="175"/>
    <row r="600" ht="15.75" customHeight="1" s="175"/>
    <row r="601" ht="15.75" customHeight="1" s="175"/>
    <row r="602" ht="15.75" customHeight="1" s="175"/>
    <row r="603" ht="15.75" customHeight="1" s="175"/>
    <row r="604" ht="15.75" customHeight="1" s="175"/>
    <row r="605" ht="15.75" customHeight="1" s="175"/>
    <row r="606" ht="15.75" customHeight="1" s="175"/>
    <row r="607" ht="15.75" customHeight="1" s="175"/>
    <row r="608" ht="15.75" customHeight="1" s="175"/>
    <row r="609" ht="15.75" customHeight="1" s="175"/>
    <row r="610" ht="15.75" customHeight="1" s="175"/>
    <row r="611" ht="15.75" customHeight="1" s="175"/>
    <row r="612" ht="15.75" customHeight="1" s="175"/>
    <row r="613" ht="15.75" customHeight="1" s="175"/>
    <row r="614" ht="15.75" customHeight="1" s="175"/>
    <row r="615" ht="15.75" customHeight="1" s="175"/>
    <row r="616" ht="15.75" customHeight="1" s="175"/>
    <row r="617" ht="15.75" customHeight="1" s="175"/>
    <row r="618" ht="15.75" customHeight="1" s="175"/>
    <row r="619" ht="15.75" customHeight="1" s="175"/>
    <row r="620" ht="15.75" customHeight="1" s="175"/>
    <row r="621" ht="15.75" customHeight="1" s="175"/>
    <row r="622" ht="15.75" customHeight="1" s="175"/>
    <row r="623" ht="15.75" customHeight="1" s="175"/>
    <row r="624" ht="15.75" customHeight="1" s="175"/>
    <row r="625" ht="15.75" customHeight="1" s="175"/>
    <row r="626" ht="15.75" customHeight="1" s="175"/>
    <row r="627" ht="15.75" customHeight="1" s="175"/>
    <row r="628" ht="15.75" customHeight="1" s="175"/>
    <row r="629" ht="15.75" customHeight="1" s="175"/>
    <row r="630" ht="15.75" customHeight="1" s="175"/>
    <row r="631" ht="15.75" customHeight="1" s="175"/>
    <row r="632" ht="15.75" customHeight="1" s="175"/>
    <row r="633" ht="15.75" customHeight="1" s="175"/>
    <row r="634" ht="15.75" customHeight="1" s="175"/>
    <row r="635" ht="15.75" customHeight="1" s="175"/>
    <row r="636" ht="15.75" customHeight="1" s="175"/>
    <row r="637" ht="15.75" customHeight="1" s="175"/>
    <row r="638" ht="15.75" customHeight="1" s="175"/>
    <row r="639" ht="15.75" customHeight="1" s="175"/>
    <row r="640" ht="15.75" customHeight="1" s="175"/>
    <row r="641" ht="15.75" customHeight="1" s="175"/>
    <row r="642" ht="15.75" customHeight="1" s="175"/>
    <row r="643" ht="15.75" customHeight="1" s="175"/>
    <row r="644" ht="15.75" customHeight="1" s="175"/>
    <row r="645" ht="15.75" customHeight="1" s="175"/>
    <row r="646" ht="15.75" customHeight="1" s="175"/>
    <row r="647" ht="15.75" customHeight="1" s="175"/>
    <row r="648" ht="15.75" customHeight="1" s="175"/>
    <row r="649" ht="15.75" customHeight="1" s="175"/>
    <row r="650" ht="15.75" customHeight="1" s="175"/>
    <row r="651" ht="15.75" customHeight="1" s="175"/>
    <row r="652" ht="15.75" customHeight="1" s="175"/>
    <row r="653" ht="15.75" customHeight="1" s="175"/>
    <row r="654" ht="15.75" customHeight="1" s="175"/>
    <row r="655" ht="15.75" customHeight="1" s="175"/>
    <row r="656" ht="15.75" customHeight="1" s="175"/>
    <row r="657" ht="15.75" customHeight="1" s="175"/>
    <row r="658" ht="15.75" customHeight="1" s="175"/>
    <row r="659" ht="15.75" customHeight="1" s="175"/>
    <row r="660" ht="15.75" customHeight="1" s="175"/>
    <row r="661" ht="15.75" customHeight="1" s="175"/>
    <row r="662" ht="15.75" customHeight="1" s="175"/>
    <row r="663" ht="15.75" customHeight="1" s="175"/>
    <row r="664" ht="15.75" customHeight="1" s="175"/>
    <row r="665" ht="15.75" customHeight="1" s="175"/>
    <row r="666" ht="15.75" customHeight="1" s="175"/>
    <row r="667" ht="15.75" customHeight="1" s="175"/>
    <row r="668" ht="15.75" customHeight="1" s="175"/>
    <row r="669" ht="15.75" customHeight="1" s="175"/>
    <row r="670" ht="15.75" customHeight="1" s="175"/>
    <row r="671" ht="15.75" customHeight="1" s="175"/>
    <row r="672" ht="15.75" customHeight="1" s="175"/>
    <row r="673" ht="15.75" customHeight="1" s="175"/>
    <row r="674" ht="15.75" customHeight="1" s="175"/>
    <row r="675" ht="15.75" customHeight="1" s="175"/>
    <row r="676" ht="15.75" customHeight="1" s="175"/>
    <row r="677" ht="15.75" customHeight="1" s="175"/>
    <row r="678" ht="15.75" customHeight="1" s="175"/>
    <row r="679" ht="15.75" customHeight="1" s="175"/>
    <row r="680" ht="15.75" customHeight="1" s="175"/>
    <row r="681" ht="15.75" customHeight="1" s="175"/>
    <row r="682" ht="15.75" customHeight="1" s="175"/>
    <row r="683" ht="15.75" customHeight="1" s="175"/>
    <row r="684" ht="15.75" customHeight="1" s="175"/>
    <row r="685" ht="15.75" customHeight="1" s="175"/>
    <row r="686" ht="15.75" customHeight="1" s="175"/>
    <row r="687" ht="15.75" customHeight="1" s="175"/>
    <row r="688" ht="15.75" customHeight="1" s="175"/>
    <row r="689" ht="15.75" customHeight="1" s="175"/>
    <row r="690" ht="15.75" customHeight="1" s="175"/>
    <row r="691" ht="15.75" customHeight="1" s="175"/>
    <row r="692" ht="15.75" customHeight="1" s="175"/>
    <row r="693" ht="15.75" customHeight="1" s="175"/>
    <row r="694" ht="15.75" customHeight="1" s="175"/>
    <row r="695" ht="15.75" customHeight="1" s="175"/>
    <row r="696" ht="15.75" customHeight="1" s="175"/>
    <row r="697" ht="15.75" customHeight="1" s="175"/>
    <row r="698" ht="15.75" customHeight="1" s="175"/>
    <row r="699" ht="15.75" customHeight="1" s="175"/>
    <row r="700" ht="15.75" customHeight="1" s="175"/>
    <row r="701" ht="15.75" customHeight="1" s="175"/>
    <row r="702" ht="15.75" customHeight="1" s="175"/>
    <row r="703" ht="15.75" customHeight="1" s="175"/>
    <row r="704" ht="15.75" customHeight="1" s="175"/>
    <row r="705" ht="15.75" customHeight="1" s="175"/>
    <row r="706" ht="15.75" customHeight="1" s="175"/>
    <row r="707" ht="15.75" customHeight="1" s="175"/>
    <row r="708" ht="15.75" customHeight="1" s="175"/>
    <row r="709" ht="15.75" customHeight="1" s="175"/>
    <row r="710" ht="15.75" customHeight="1" s="175"/>
    <row r="711" ht="15.75" customHeight="1" s="175"/>
    <row r="712" ht="15.75" customHeight="1" s="175"/>
    <row r="713" ht="15.75" customHeight="1" s="175"/>
    <row r="714" ht="15.75" customHeight="1" s="175"/>
    <row r="715" ht="15.75" customHeight="1" s="175"/>
    <row r="716" ht="15.75" customHeight="1" s="175"/>
    <row r="717" ht="15.75" customHeight="1" s="175"/>
    <row r="718" ht="15.75" customHeight="1" s="175"/>
    <row r="719" ht="15.75" customHeight="1" s="175"/>
    <row r="720" ht="15.75" customHeight="1" s="175"/>
    <row r="721" ht="15.75" customHeight="1" s="175"/>
    <row r="722" ht="15.75" customHeight="1" s="175"/>
    <row r="723" ht="15.75" customHeight="1" s="175"/>
    <row r="724" ht="15.75" customHeight="1" s="175"/>
    <row r="725" ht="15.75" customHeight="1" s="175"/>
    <row r="726" ht="15.75" customHeight="1" s="175"/>
    <row r="727" ht="15.75" customHeight="1" s="175"/>
    <row r="728" ht="15.75" customHeight="1" s="175"/>
    <row r="729" ht="15.75" customHeight="1" s="175"/>
    <row r="730" ht="15.75" customHeight="1" s="175"/>
    <row r="731" ht="15.75" customHeight="1" s="175"/>
    <row r="732" ht="15.75" customHeight="1" s="175"/>
    <row r="733" ht="15.75" customHeight="1" s="175"/>
    <row r="734" ht="15.75" customHeight="1" s="175"/>
    <row r="735" ht="15.75" customHeight="1" s="175"/>
    <row r="736" ht="15.75" customHeight="1" s="175"/>
    <row r="737" ht="15.75" customHeight="1" s="175"/>
    <row r="738" ht="15.75" customHeight="1" s="175"/>
    <row r="739" ht="15.75" customHeight="1" s="175"/>
    <row r="740" ht="15.75" customHeight="1" s="175"/>
    <row r="741" ht="15.75" customHeight="1" s="175"/>
    <row r="742" ht="15.75" customHeight="1" s="175"/>
    <row r="743" ht="15.75" customHeight="1" s="175"/>
    <row r="744" ht="15.75" customHeight="1" s="175"/>
    <row r="745" ht="15.75" customHeight="1" s="175"/>
    <row r="746" ht="15.75" customHeight="1" s="175"/>
    <row r="747" ht="15.75" customHeight="1" s="175"/>
    <row r="748" ht="15.75" customHeight="1" s="175"/>
    <row r="749" ht="15.75" customHeight="1" s="175"/>
    <row r="750" ht="15.75" customHeight="1" s="175"/>
    <row r="751" ht="15.75" customHeight="1" s="175"/>
    <row r="752" ht="15.75" customHeight="1" s="175"/>
    <row r="753" ht="15.75" customHeight="1" s="175"/>
    <row r="754" ht="15.75" customHeight="1" s="175"/>
    <row r="755" ht="15.75" customHeight="1" s="175"/>
    <row r="756" ht="15.75" customHeight="1" s="175"/>
    <row r="757" ht="15.75" customHeight="1" s="175"/>
    <row r="758" ht="15.75" customHeight="1" s="175"/>
    <row r="759" ht="15.75" customHeight="1" s="175"/>
    <row r="760" ht="15.75" customHeight="1" s="175"/>
    <row r="761" ht="15.75" customHeight="1" s="175"/>
    <row r="762" ht="15.75" customHeight="1" s="175"/>
    <row r="763" ht="15.75" customHeight="1" s="175"/>
    <row r="764" ht="15.75" customHeight="1" s="175"/>
    <row r="765" ht="15.75" customHeight="1" s="175"/>
    <row r="766" ht="15.75" customHeight="1" s="175"/>
    <row r="767" ht="15.75" customHeight="1" s="175"/>
    <row r="768" ht="15.75" customHeight="1" s="175"/>
    <row r="769" ht="15.75" customHeight="1" s="175"/>
    <row r="770" ht="15.75" customHeight="1" s="175"/>
    <row r="771" ht="15.75" customHeight="1" s="175"/>
    <row r="772" ht="15.75" customHeight="1" s="175"/>
    <row r="773" ht="15.75" customHeight="1" s="175"/>
    <row r="774" ht="15.75" customHeight="1" s="175"/>
    <row r="775" ht="15.75" customHeight="1" s="175"/>
    <row r="776" ht="15.75" customHeight="1" s="175"/>
    <row r="777" ht="15.75" customHeight="1" s="175"/>
    <row r="778" ht="15.75" customHeight="1" s="175"/>
    <row r="779" ht="15.75" customHeight="1" s="175"/>
    <row r="780" ht="15.75" customHeight="1" s="175"/>
    <row r="781" ht="15.75" customHeight="1" s="175"/>
    <row r="782" ht="15.75" customHeight="1" s="175"/>
    <row r="783" ht="15.75" customHeight="1" s="175"/>
    <row r="784" ht="15.75" customHeight="1" s="175"/>
    <row r="785" ht="15.75" customHeight="1" s="175"/>
    <row r="786" ht="15.75" customHeight="1" s="175"/>
    <row r="787" ht="15.75" customHeight="1" s="175"/>
    <row r="788" ht="15.75" customHeight="1" s="175"/>
    <row r="789" ht="15.75" customHeight="1" s="175"/>
    <row r="790" ht="15.75" customHeight="1" s="175"/>
    <row r="791" ht="15.75" customHeight="1" s="175"/>
    <row r="792" ht="15.75" customHeight="1" s="175"/>
    <row r="793" ht="15.75" customHeight="1" s="175"/>
    <row r="794" ht="15.75" customHeight="1" s="175"/>
    <row r="795" ht="15.75" customHeight="1" s="175"/>
    <row r="796" ht="15.75" customHeight="1" s="175"/>
    <row r="797" ht="15.75" customHeight="1" s="175"/>
    <row r="798" ht="15.75" customHeight="1" s="175"/>
    <row r="799" ht="15.75" customHeight="1" s="175"/>
    <row r="800" ht="15.75" customHeight="1" s="175"/>
    <row r="801" ht="15.75" customHeight="1" s="175"/>
    <row r="802" ht="15.75" customHeight="1" s="175"/>
    <row r="803" ht="15.75" customHeight="1" s="175"/>
    <row r="804" ht="15.75" customHeight="1" s="175"/>
    <row r="805" ht="15.75" customHeight="1" s="175"/>
    <row r="806" ht="15.75" customHeight="1" s="175"/>
    <row r="807" ht="15.75" customHeight="1" s="175"/>
    <row r="808" ht="15.75" customHeight="1" s="175"/>
    <row r="809" ht="15.75" customHeight="1" s="175"/>
    <row r="810" ht="15.75" customHeight="1" s="175"/>
    <row r="811" ht="15.75" customHeight="1" s="175"/>
    <row r="812" ht="15.75" customHeight="1" s="175"/>
    <row r="813" ht="15.75" customHeight="1" s="175"/>
    <row r="814" ht="15.75" customHeight="1" s="175"/>
    <row r="815" ht="15.75" customHeight="1" s="175"/>
    <row r="816" ht="15.75" customHeight="1" s="175"/>
    <row r="817" ht="15.75" customHeight="1" s="175"/>
    <row r="818" ht="15.75" customHeight="1" s="175"/>
    <row r="819" ht="15.75" customHeight="1" s="175"/>
    <row r="820" ht="15.75" customHeight="1" s="175"/>
    <row r="821" ht="15.75" customHeight="1" s="175"/>
    <row r="822" ht="15.75" customHeight="1" s="175"/>
    <row r="823" ht="15.75" customHeight="1" s="175"/>
    <row r="824" ht="15.75" customHeight="1" s="175"/>
    <row r="825" ht="15.75" customHeight="1" s="175"/>
    <row r="826" ht="15.75" customHeight="1" s="175"/>
    <row r="827" ht="15.75" customHeight="1" s="175"/>
    <row r="828" ht="15.75" customHeight="1" s="175"/>
    <row r="829" ht="15.75" customHeight="1" s="175"/>
    <row r="830" ht="15.75" customHeight="1" s="175"/>
    <row r="831" ht="15.75" customHeight="1" s="175"/>
    <row r="832" ht="15.75" customHeight="1" s="175"/>
    <row r="833" ht="15.75" customHeight="1" s="175"/>
    <row r="834" ht="15.75" customHeight="1" s="175"/>
    <row r="835" ht="15.75" customHeight="1" s="175"/>
    <row r="836" ht="15.75" customHeight="1" s="175"/>
    <row r="837" ht="15.75" customHeight="1" s="175"/>
    <row r="838" ht="15.75" customHeight="1" s="175"/>
    <row r="839" ht="15.75" customHeight="1" s="175"/>
    <row r="840" ht="15.75" customHeight="1" s="175"/>
    <row r="841" ht="15.75" customHeight="1" s="175"/>
    <row r="842" ht="15.75" customHeight="1" s="175"/>
    <row r="843" ht="15.75" customHeight="1" s="175"/>
    <row r="844" ht="15.75" customHeight="1" s="175"/>
    <row r="845" ht="15.75" customHeight="1" s="175"/>
    <row r="846" ht="15.75" customHeight="1" s="175"/>
    <row r="847" ht="15.75" customHeight="1" s="175"/>
    <row r="848" ht="15.75" customHeight="1" s="175"/>
    <row r="849" ht="15.75" customHeight="1" s="175"/>
    <row r="850" ht="15.75" customHeight="1" s="175"/>
    <row r="851" ht="15.75" customHeight="1" s="175"/>
    <row r="852" ht="15.75" customHeight="1" s="175"/>
    <row r="853" ht="15.75" customHeight="1" s="175"/>
    <row r="854" ht="15.75" customHeight="1" s="175"/>
    <row r="855" ht="15.75" customHeight="1" s="175"/>
    <row r="856" ht="15.75" customHeight="1" s="175"/>
    <row r="857" ht="15.75" customHeight="1" s="175"/>
    <row r="858" ht="15.75" customHeight="1" s="175"/>
    <row r="859" ht="15.75" customHeight="1" s="175"/>
    <row r="860" ht="15.75" customHeight="1" s="175"/>
    <row r="861" ht="15.75" customHeight="1" s="175"/>
    <row r="862" ht="15.75" customHeight="1" s="175"/>
    <row r="863" ht="15.75" customHeight="1" s="175"/>
    <row r="864" ht="15.75" customHeight="1" s="175"/>
    <row r="865" ht="15.75" customHeight="1" s="175"/>
    <row r="866" ht="15.75" customHeight="1" s="175"/>
    <row r="867" ht="15.75" customHeight="1" s="175"/>
    <row r="868" ht="15.75" customHeight="1" s="175"/>
    <row r="869" ht="15.75" customHeight="1" s="175"/>
    <row r="870" ht="15.75" customHeight="1" s="175"/>
    <row r="871" ht="15.75" customHeight="1" s="175"/>
    <row r="872" ht="15.75" customHeight="1" s="175"/>
    <row r="873" ht="15.75" customHeight="1" s="175"/>
    <row r="874" ht="15.75" customHeight="1" s="175"/>
    <row r="875" ht="15.75" customHeight="1" s="175"/>
    <row r="876" ht="15.75" customHeight="1" s="175"/>
    <row r="877" ht="15.75" customHeight="1" s="175"/>
    <row r="878" ht="15.75" customHeight="1" s="175"/>
    <row r="879" ht="15.75" customHeight="1" s="175"/>
    <row r="880" ht="15.75" customHeight="1" s="175"/>
    <row r="881" ht="15.75" customHeight="1" s="175"/>
    <row r="882" ht="15.75" customHeight="1" s="175"/>
    <row r="883" ht="15.75" customHeight="1" s="175"/>
    <row r="884" ht="15.75" customHeight="1" s="175"/>
    <row r="885" ht="15.75" customHeight="1" s="175"/>
    <row r="886" ht="15.75" customHeight="1" s="175"/>
    <row r="887" ht="15.75" customHeight="1" s="175"/>
    <row r="888" ht="15.75" customHeight="1" s="175"/>
    <row r="889" ht="15.75" customHeight="1" s="175"/>
    <row r="890" ht="15.75" customHeight="1" s="175"/>
    <row r="891" ht="15.75" customHeight="1" s="175"/>
    <row r="892" ht="15.75" customHeight="1" s="175"/>
    <row r="893" ht="15.75" customHeight="1" s="175"/>
    <row r="894" ht="15.75" customHeight="1" s="175"/>
    <row r="895" ht="15.75" customHeight="1" s="175"/>
    <row r="896" ht="15.75" customHeight="1" s="175"/>
    <row r="897" ht="15.75" customHeight="1" s="175"/>
    <row r="898" ht="15.75" customHeight="1" s="175"/>
    <row r="899" ht="15.75" customHeight="1" s="175"/>
    <row r="900" ht="15.75" customHeight="1" s="175"/>
    <row r="901" ht="15.75" customHeight="1" s="175"/>
    <row r="902" ht="15.75" customHeight="1" s="175"/>
    <row r="903" ht="15.75" customHeight="1" s="175"/>
    <row r="904" ht="15.75" customHeight="1" s="175"/>
    <row r="905" ht="15.75" customHeight="1" s="175"/>
    <row r="906" ht="15.75" customHeight="1" s="175"/>
    <row r="907" ht="15.75" customHeight="1" s="175"/>
    <row r="908" ht="15.75" customHeight="1" s="175"/>
    <row r="909" ht="15.75" customHeight="1" s="175"/>
    <row r="910" ht="15.75" customHeight="1" s="175"/>
    <row r="911" ht="15.75" customHeight="1" s="175"/>
    <row r="912" ht="15.75" customHeight="1" s="175"/>
    <row r="913" ht="15.75" customHeight="1" s="175"/>
    <row r="914" ht="15.75" customHeight="1" s="175"/>
    <row r="915" ht="15.75" customHeight="1" s="175"/>
    <row r="916" ht="15.75" customHeight="1" s="175"/>
    <row r="917" ht="15.75" customHeight="1" s="175"/>
    <row r="918" ht="15.75" customHeight="1" s="175"/>
    <row r="919" ht="15.75" customHeight="1" s="175"/>
    <row r="920" ht="15.75" customHeight="1" s="175"/>
    <row r="921" ht="15.75" customHeight="1" s="175"/>
    <row r="922" ht="15.75" customHeight="1" s="175"/>
    <row r="923" ht="15.75" customHeight="1" s="175"/>
    <row r="924" ht="15.75" customHeight="1" s="175"/>
    <row r="925" ht="15.75" customHeight="1" s="175"/>
    <row r="926" ht="15.75" customHeight="1" s="175"/>
    <row r="927" ht="15.75" customHeight="1" s="175"/>
    <row r="928" ht="15.75" customHeight="1" s="175"/>
    <row r="929" ht="15.75" customHeight="1" s="175"/>
    <row r="930" ht="15.75" customHeight="1" s="175"/>
    <row r="931" ht="15.75" customHeight="1" s="175"/>
    <row r="932" ht="15.75" customHeight="1" s="175"/>
    <row r="933" ht="15.75" customHeight="1" s="175"/>
    <row r="934" ht="15.75" customHeight="1" s="175"/>
    <row r="935" ht="15.75" customHeight="1" s="175"/>
    <row r="936" ht="15.75" customHeight="1" s="175"/>
    <row r="937" ht="15.75" customHeight="1" s="175"/>
    <row r="938" ht="15.75" customHeight="1" s="175"/>
    <row r="939" ht="15.75" customHeight="1" s="175"/>
    <row r="940" ht="15.75" customHeight="1" s="175"/>
    <row r="941" ht="15.75" customHeight="1" s="175"/>
    <row r="942" ht="15.75" customHeight="1" s="175"/>
    <row r="943" ht="15.75" customHeight="1" s="175"/>
    <row r="944" ht="15.75" customHeight="1" s="175"/>
    <row r="945" ht="15.75" customHeight="1" s="175"/>
    <row r="946" ht="15.75" customHeight="1" s="175"/>
    <row r="947" ht="15.75" customHeight="1" s="175"/>
    <row r="948" ht="15.75" customHeight="1" s="175"/>
    <row r="949" ht="15.75" customHeight="1" s="175"/>
    <row r="950" ht="15.75" customHeight="1" s="175"/>
    <row r="951" ht="15.75" customHeight="1" s="175"/>
    <row r="952" ht="15.75" customHeight="1" s="175"/>
    <row r="953" ht="15.75" customHeight="1" s="175"/>
    <row r="954" ht="15.75" customHeight="1" s="175"/>
    <row r="955" ht="15.75" customHeight="1" s="175"/>
    <row r="956" ht="15.75" customHeight="1" s="175"/>
    <row r="957" ht="15.75" customHeight="1" s="175"/>
    <row r="958" ht="15.75" customHeight="1" s="175"/>
    <row r="959" ht="15.75" customHeight="1" s="175"/>
    <row r="960" ht="15.75" customHeight="1" s="175"/>
    <row r="961" ht="15.75" customHeight="1" s="175"/>
    <row r="962" ht="15.75" customHeight="1" s="175"/>
    <row r="963" ht="15.75" customHeight="1" s="175"/>
    <row r="964" ht="15.75" customHeight="1" s="175"/>
    <row r="965" ht="15.75" customHeight="1" s="175"/>
    <row r="966" ht="15.75" customHeight="1" s="175"/>
    <row r="967" ht="15.75" customHeight="1" s="175"/>
    <row r="968" ht="15.75" customHeight="1" s="175"/>
    <row r="969" ht="15.75" customHeight="1" s="175"/>
    <row r="970" ht="15.75" customHeight="1" s="175"/>
    <row r="971" ht="15.75" customHeight="1" s="175"/>
    <row r="972" ht="15.75" customHeight="1" s="175"/>
    <row r="973" ht="15.75" customHeight="1" s="175"/>
    <row r="974" ht="15.75" customHeight="1" s="175"/>
    <row r="975" ht="15.75" customHeight="1" s="175"/>
    <row r="976" ht="15.75" customHeight="1" s="175"/>
    <row r="977" ht="15.75" customHeight="1" s="175"/>
    <row r="978" ht="15.75" customHeight="1" s="175"/>
    <row r="979" ht="15.75" customHeight="1" s="175"/>
    <row r="980" ht="15.75" customHeight="1" s="175"/>
    <row r="981" ht="15.75" customHeight="1" s="175"/>
    <row r="982" ht="15.75" customHeight="1" s="175"/>
    <row r="983" ht="15.75" customHeight="1" s="175"/>
    <row r="984" ht="15.75" customHeight="1" s="175"/>
    <row r="985" ht="15.75" customHeight="1" s="175"/>
    <row r="986" ht="15.75" customHeight="1" s="175"/>
    <row r="987" ht="15.75" customHeight="1" s="175"/>
    <row r="988" ht="15.75" customHeight="1" s="175"/>
    <row r="989" ht="15.75" customHeight="1" s="175"/>
    <row r="990" ht="15.75" customHeight="1" s="175"/>
    <row r="991" ht="15.75" customHeight="1" s="175"/>
    <row r="992" ht="15.75" customHeight="1" s="175"/>
    <row r="993" ht="15.75" customHeight="1" s="175"/>
    <row r="994" ht="15.75" customHeight="1" s="175"/>
    <row r="995" ht="15.75" customHeight="1" s="175"/>
    <row r="996" ht="15.75" customHeight="1" s="175"/>
    <row r="997" ht="15.75" customHeight="1" s="175"/>
    <row r="998" ht="15.75" customHeight="1" s="175"/>
    <row r="999" ht="15.75" customHeight="1" s="175"/>
    <row r="1000" ht="15.75" customHeight="1" s="175"/>
  </sheetData>
  <mergeCells count="16">
    <mergeCell ref="AN23:AO23"/>
    <mergeCell ref="Q1:AE1"/>
    <mergeCell ref="F15:N15"/>
    <mergeCell ref="AN20:AO20"/>
    <mergeCell ref="F1:O1"/>
    <mergeCell ref="AN26:AO26"/>
    <mergeCell ref="AN29:AO29"/>
    <mergeCell ref="AN21:AO21"/>
    <mergeCell ref="AN30:AO30"/>
    <mergeCell ref="AN25:AO25"/>
    <mergeCell ref="AN24:AO24"/>
    <mergeCell ref="AN19:AO19"/>
    <mergeCell ref="AN27:AO27"/>
    <mergeCell ref="AN28:AO28"/>
    <mergeCell ref="AN18:AO18"/>
    <mergeCell ref="AN22:AO22"/>
  </mergeCells>
  <conditionalFormatting sqref="G3:G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4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I1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4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4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4 O3:P3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17:G20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H20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I20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K20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7:L20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0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0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E33:AE44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3:AF44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19:AL30">
    <cfRule type="colorScale" priority="2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9:AM30">
    <cfRule type="colorScale" priority="2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3:G34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3:Q34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7:G48"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37:Q48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:G62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51:Q62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65:G68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65:Q6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74:G77"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74:Q77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:G86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83:Q86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53:AL56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53:AM56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59:AE62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9:AF62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11 AM4:AM11">
    <cfRule type="cellIs" rank="0" priority="39" equalAverage="0" operator="greaterThan" aboveAverage="0" dxfId="0" text="" percent="0" bottom="0">
      <formula>0</formula>
    </cfRule>
  </conditionalFormatting>
  <hyperlinks>
    <hyperlink xmlns:r="http://schemas.openxmlformats.org/officeDocument/2006/relationships" ref="D2" display="https://discord.com/channels/191975109500731392/1212839710439776287/1212845263862108160" r:id="rId1"/>
    <hyperlink xmlns:r="http://schemas.openxmlformats.org/officeDocument/2006/relationships" ref="D3" display="https://discord.com/channels/191975109500731392/1212839710439776287/1212845397924646943" r:id="rId2"/>
    <hyperlink xmlns:r="http://schemas.openxmlformats.org/officeDocument/2006/relationships" ref="D4" display="https://discord.com/channels/191975109500731392/1212839710439776287/1212879934528421971" r:id="rId3"/>
    <hyperlink xmlns:r="http://schemas.openxmlformats.org/officeDocument/2006/relationships" ref="D5" display="https://discord.com/channels/191975109500731392/1212839710439776287/1213187873935728680" r:id="rId4"/>
    <hyperlink xmlns:r="http://schemas.openxmlformats.org/officeDocument/2006/relationships" ref="D6" display="https://discord.com/channels/191975109500731392/1212839710439776287/1213194839336816710" r:id="rId5"/>
    <hyperlink xmlns:r="http://schemas.openxmlformats.org/officeDocument/2006/relationships" ref="D7" display="https://discord.com/channels/191975109500731392/1212839710439776287/1214299533304135760" r:id="rId6"/>
    <hyperlink xmlns:r="http://schemas.openxmlformats.org/officeDocument/2006/relationships" ref="D8" display="https://discord.com/channels/191975109500731392/1212839710439776287/1214328987526897704" r:id="rId7"/>
    <hyperlink xmlns:r="http://schemas.openxmlformats.org/officeDocument/2006/relationships" ref="D11" display="https://discord.com/channels/191975109500731392/1212839710439776287/1214963667682992178" r:id="rId8"/>
    <hyperlink xmlns:r="http://schemas.openxmlformats.org/officeDocument/2006/relationships" ref="D12" display="https://discord.com/channels/191975109500731392/1212839710439776287/1214964509249241108" r:id="rId9"/>
    <hyperlink xmlns:r="http://schemas.openxmlformats.org/officeDocument/2006/relationships" ref="D13" display="https://discord.com/channels/191975109500731392/1212839710439776287/1215015942325665893" r:id="rId10"/>
    <hyperlink xmlns:r="http://schemas.openxmlformats.org/officeDocument/2006/relationships" ref="D14" display="https://discord.com/channels/191975109500731392/1212839710439776287/1215050831033012354" r:id="rId11"/>
    <hyperlink xmlns:r="http://schemas.openxmlformats.org/officeDocument/2006/relationships" ref="D15" display="https://discord.com/channels/191975109500731392/1212839710439776287/1215326037072678973" r:id="rId12"/>
    <hyperlink xmlns:r="http://schemas.openxmlformats.org/officeDocument/2006/relationships" ref="D16" display="https://discord.com/channels/191975109500731392/1212839710439776287/1215363180306636860" r:id="rId13"/>
    <hyperlink xmlns:r="http://schemas.openxmlformats.org/officeDocument/2006/relationships" ref="D17" display="https://discord.com/channels/191975109500731392/1212839710439776287/1215371451373199452" r:id="rId14"/>
    <hyperlink xmlns:r="http://schemas.openxmlformats.org/officeDocument/2006/relationships" ref="D18" display="https://discord.com/channels/191975109500731392/1212839710439776287/1215409481089945600" r:id="rId15"/>
    <hyperlink xmlns:r="http://schemas.openxmlformats.org/officeDocument/2006/relationships" ref="D19" display="https://discord.com/channels/191975109500731392/1212839710439776287/1215409500413104139" r:id="rId16"/>
    <hyperlink xmlns:r="http://schemas.openxmlformats.org/officeDocument/2006/relationships" ref="D20" display="https://discord.com/channels/191975109500731392/1212839710439776287/1215736616535064616" r:id="rId17"/>
    <hyperlink xmlns:r="http://schemas.openxmlformats.org/officeDocument/2006/relationships" ref="D21" display="https://discord.com/channels/191975109500731392/1212839710439776287/1217278694968524851" r:id="rId18"/>
    <hyperlink xmlns:r="http://schemas.openxmlformats.org/officeDocument/2006/relationships" ref="D23" display="https://discord.com/channels/191975109500731392/1212839710439776287/1217278712123494532" r:id="rId19"/>
    <hyperlink xmlns:r="http://schemas.openxmlformats.org/officeDocument/2006/relationships" ref="D25" display="https://discord.com/channels/191975109500731392/1212839710439776287/1217278716401422427" r:id="rId20"/>
    <hyperlink xmlns:r="http://schemas.openxmlformats.org/officeDocument/2006/relationships" ref="D26" display="https://discord.com/channels/191975109500731392/1212839710439776287/1217278716401422427" r:id="rId21"/>
  </hyperlink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22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B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54296875" defaultRowHeight="15" customHeight="1" zeroHeight="0" outlineLevelRow="0" outlineLevelCol="0"/>
  <cols>
    <col width="7.73" customWidth="1" style="173" min="1" max="1"/>
    <col width="10" customWidth="1" style="173" min="2" max="2"/>
    <col width="7.82" customWidth="1" style="173" min="3" max="3"/>
    <col width="10" customWidth="1" style="173" min="4" max="4"/>
    <col width="7.73" customWidth="1" style="173" min="5" max="5"/>
    <col width="6.18" customWidth="1" style="173" min="6" max="6"/>
    <col width="10" customWidth="1" style="173" min="7" max="7"/>
    <col width="9.18" customWidth="1" style="173" min="8" max="8"/>
    <col width="5.82" customWidth="1" style="173" min="9" max="9"/>
    <col width="8.539999999999999" customWidth="1" style="173" min="10" max="25"/>
    <col width="24.82" customWidth="1" style="173" min="26" max="26"/>
    <col width="8.539999999999999" customWidth="1" style="173" min="27" max="39"/>
  </cols>
  <sheetData>
    <row r="1" ht="14.25" customHeight="1" s="175">
      <c r="A1" s="179" t="inlineStr">
        <is>
          <t>Overall Placings</t>
        </is>
      </c>
      <c r="B1" s="180" t="n"/>
      <c r="C1" s="181" t="n"/>
      <c r="E1" s="179" t="inlineStr">
        <is>
          <t>Places from all seaons</t>
        </is>
      </c>
      <c r="F1" s="180" t="n"/>
      <c r="G1" s="180" t="n"/>
      <c r="H1" s="180" t="n"/>
      <c r="I1" s="180" t="n"/>
      <c r="J1" s="180" t="n"/>
      <c r="K1" s="180" t="n"/>
      <c r="L1" s="181" t="n"/>
      <c r="P1" s="342" t="inlineStr">
        <is>
          <t>Person:</t>
        </is>
      </c>
      <c r="Q1" s="343" t="inlineStr">
        <is>
          <t>Best Place:</t>
        </is>
      </c>
      <c r="AA1" s="342" t="inlineStr">
        <is>
          <t>Person:</t>
        </is>
      </c>
      <c r="AB1" s="344" t="inlineStr">
        <is>
          <t>Average:</t>
        </is>
      </c>
    </row>
    <row r="2" ht="14.25" customHeight="1" s="175">
      <c r="A2" s="342" t="inlineStr">
        <is>
          <t>Person:</t>
        </is>
      </c>
      <c r="B2" s="343" t="inlineStr">
        <is>
          <t>Best Place:</t>
        </is>
      </c>
      <c r="C2" s="344" t="inlineStr">
        <is>
          <t>Average:</t>
        </is>
      </c>
      <c r="E2" s="345" t="n"/>
      <c r="F2" s="346" t="inlineStr">
        <is>
          <t>Spr24</t>
        </is>
      </c>
      <c r="G2" s="346" t="inlineStr">
        <is>
          <t>Spr24POST</t>
        </is>
      </c>
      <c r="H2" s="346" t="inlineStr">
        <is>
          <t>Fall24PRE</t>
        </is>
      </c>
      <c r="I2" s="346" t="inlineStr">
        <is>
          <t>Fall24</t>
        </is>
      </c>
      <c r="J2" s="346" t="inlineStr">
        <is>
          <t>Spr25</t>
        </is>
      </c>
      <c r="K2" s="346" t="inlineStr">
        <is>
          <t>Fall25PRE</t>
        </is>
      </c>
      <c r="L2" s="346" t="inlineStr">
        <is>
          <t>Fall25</t>
        </is>
      </c>
      <c r="P2" s="248" t="inlineStr">
        <is>
          <t>David</t>
        </is>
      </c>
      <c r="Q2" s="220">
        <f>VLOOKUP(P2,$A$1:$C$23,2,FALSE())</f>
        <v/>
      </c>
      <c r="AA2" s="248" t="inlineStr">
        <is>
          <t>Ethan</t>
        </is>
      </c>
      <c r="AB2" s="347">
        <f>VLOOKUP(AA2,$A$1:$C$23,3,FALSE())</f>
        <v/>
      </c>
    </row>
    <row r="3" ht="14.25" customHeight="1" s="175">
      <c r="A3" s="248" t="inlineStr">
        <is>
          <t>Anthony</t>
        </is>
      </c>
      <c r="B3" s="220">
        <f>MIN(F3:L3)</f>
        <v/>
      </c>
      <c r="C3" s="347">
        <f>AVERAGE(F3:L3)</f>
        <v/>
      </c>
      <c r="E3" s="248" t="inlineStr">
        <is>
          <t>Anthony</t>
        </is>
      </c>
      <c r="F3" s="202">
        <f>IFERROR(VLOOKUP(E3,Spring2024!$AD$32:$AG$44,4,FALSE()),"")</f>
        <v/>
      </c>
      <c r="G3" s="202">
        <f>IFERROR(VLOOKUP(E3,Spring2024POST!$AE$32:$AH$44,4,FALSE()),"")</f>
        <v/>
      </c>
      <c r="H3" s="202">
        <f>IFERROR(VLOOKUP(E3,Fall2024PRE!$AF$33:$AI$43,4,FALSE()),"")</f>
        <v/>
      </c>
      <c r="I3" s="202">
        <f>IFERROR(VLOOKUP(E3,Fall2024!$AI$33:$AL$46,4,FALSE()),"")</f>
        <v/>
      </c>
      <c r="J3" s="202">
        <f>IFERROR(VLOOKUP(E3,Spring2025!$AI$33:$AL$46,4,FALSE()),"")</f>
        <v/>
      </c>
      <c r="K3" s="202">
        <f>IFERROR(VLOOKUP(E3,Fall2025PRE!$AI$33:$AL$46,4,FALSE()),"")</f>
        <v/>
      </c>
      <c r="L3" s="202">
        <f>IFERROR(VLOOKUP(E3,FALL2025!$AN$35:$AQ$51,4,FALSE()),"")</f>
        <v/>
      </c>
      <c r="P3" s="248" t="inlineStr">
        <is>
          <t>Ethan</t>
        </is>
      </c>
      <c r="Q3" s="220">
        <f>VLOOKUP(P3,$A$1:$C$23,2,FALSE())</f>
        <v/>
      </c>
      <c r="AA3" s="248" t="inlineStr">
        <is>
          <t>Sam</t>
        </is>
      </c>
      <c r="AB3" s="347">
        <f>VLOOKUP(AA3,$A$1:$C$23,3,FALSE())</f>
        <v/>
      </c>
    </row>
    <row r="4" ht="14.25" customHeight="1" s="175">
      <c r="A4" s="248" t="inlineStr">
        <is>
          <t>Carter</t>
        </is>
      </c>
      <c r="B4" s="220">
        <f>MIN(F4:L4)</f>
        <v/>
      </c>
      <c r="C4" s="347">
        <f>AVERAGE(F4:L4)</f>
        <v/>
      </c>
      <c r="E4" s="248" t="inlineStr">
        <is>
          <t>Carter</t>
        </is>
      </c>
      <c r="F4" s="202">
        <f>IFERROR(VLOOKUP(E4,Spring2024!$AD$32:$AG$44,4,FALSE()),"")</f>
        <v/>
      </c>
      <c r="G4" s="202">
        <f>IFERROR(VLOOKUP(E4,Spring2024POST!$AE$32:$AH$44,4,FALSE()),"")</f>
        <v/>
      </c>
      <c r="H4" s="202">
        <f>IFERROR(VLOOKUP(E4,Fall2024PRE!$AF$33:$AI$43,4,FALSE()),"")</f>
        <v/>
      </c>
      <c r="I4" s="202">
        <f>IFERROR(VLOOKUP(E4,Fall2024!$AI$33:$AL$46,4,FALSE()),"")</f>
        <v/>
      </c>
      <c r="J4" s="202">
        <f>IFERROR(VLOOKUP(E4,Spring2025!$AI$33:$AL$46,4,FALSE()),"")</f>
        <v/>
      </c>
      <c r="K4" s="202">
        <f>IFERROR(VLOOKUP(E4,Fall2025PRE!$AI$33:$AL$46,4,FALSE()),"")</f>
        <v/>
      </c>
      <c r="L4" s="202">
        <f>IFERROR(VLOOKUP(E4,FALL2025!$AN$35:$AQ$51,4,FALSE()),"")</f>
        <v/>
      </c>
      <c r="P4" s="248" t="inlineStr">
        <is>
          <t>Maxine</t>
        </is>
      </c>
      <c r="Q4" s="220">
        <f>VLOOKUP(P4,$A$1:$C$23,2,FALSE())</f>
        <v/>
      </c>
      <c r="AA4" s="248" t="inlineStr">
        <is>
          <t>Peter</t>
        </is>
      </c>
      <c r="AB4" s="347">
        <f>VLOOKUP(AA4,$A$1:$C$23,3,FALSE())</f>
        <v/>
      </c>
    </row>
    <row r="5" ht="14.25" customHeight="1" s="175">
      <c r="A5" s="248" t="inlineStr">
        <is>
          <t>Cooper</t>
        </is>
      </c>
      <c r="B5" s="220">
        <f>MIN(F5:L5)</f>
        <v/>
      </c>
      <c r="C5" s="347">
        <f>AVERAGE(F5:L5)</f>
        <v/>
      </c>
      <c r="E5" s="248" t="inlineStr">
        <is>
          <t>Cooper</t>
        </is>
      </c>
      <c r="F5" s="202">
        <f>IFERROR(VLOOKUP(E5,Spring2024!$AD$32:$AG$44,4,FALSE()),"")</f>
        <v/>
      </c>
      <c r="G5" s="202">
        <f>IFERROR(VLOOKUP(E5,Spring2024POST!$AE$32:$AH$44,4,FALSE()),"")</f>
        <v/>
      </c>
      <c r="H5" s="202">
        <f>IFERROR(VLOOKUP(E5,Fall2024PRE!$AF$33:$AI$43,4,FALSE()),"")</f>
        <v/>
      </c>
      <c r="I5" s="202">
        <f>IFERROR(VLOOKUP(E5,Fall2024!$AI$33:$AL$46,4,FALSE()),"")</f>
        <v/>
      </c>
      <c r="J5" s="202">
        <f>IFERROR(VLOOKUP(E5,Spring2025!$AI$33:$AL$46,4,FALSE()),"")</f>
        <v/>
      </c>
      <c r="K5" s="202">
        <f>IFERROR(VLOOKUP(E5,Fall2025PRE!$AI$33:$AL$46,4,FALSE()),"")</f>
        <v/>
      </c>
      <c r="L5" s="202">
        <f>IFERROR(VLOOKUP(E5,FALL2025!$AN$35:$AQ$51,4,FALSE()),"")</f>
        <v/>
      </c>
      <c r="P5" s="248" t="inlineStr">
        <is>
          <t>Sam</t>
        </is>
      </c>
      <c r="Q5" s="220">
        <f>VLOOKUP(P5,$A$1:$C$23,2,FALSE())</f>
        <v/>
      </c>
      <c r="AA5" s="248" t="inlineStr">
        <is>
          <t>David</t>
        </is>
      </c>
      <c r="AB5" s="347">
        <f>VLOOKUP(AA5,$A$1:$C$23,3,FALSE())</f>
        <v/>
      </c>
    </row>
    <row r="6" ht="14.25" customHeight="1" s="175">
      <c r="A6" s="248" t="inlineStr">
        <is>
          <t>David</t>
        </is>
      </c>
      <c r="B6" s="220">
        <f>MIN(F6:L6)</f>
        <v/>
      </c>
      <c r="C6" s="347">
        <f>AVERAGE(F6:L6)</f>
        <v/>
      </c>
      <c r="E6" s="248" t="inlineStr">
        <is>
          <t>David</t>
        </is>
      </c>
      <c r="F6" s="202">
        <f>IFERROR(VLOOKUP(E6,Spring2024!$AD$32:$AG$44,4,FALSE()),"")</f>
        <v/>
      </c>
      <c r="G6" s="202">
        <f>IFERROR(VLOOKUP(E6,Spring2024POST!$AE$32:$AH$44,4,FALSE()),"")</f>
        <v/>
      </c>
      <c r="H6" s="202">
        <f>IFERROR(VLOOKUP(E6,Fall2024PRE!$AF$33:$AI$43,4,FALSE()),"")</f>
        <v/>
      </c>
      <c r="I6" s="202">
        <f>IFERROR(VLOOKUP(E6,Fall2024!$AI$33:$AL$46,4,FALSE()),"")</f>
        <v/>
      </c>
      <c r="J6" s="202">
        <f>IFERROR(VLOOKUP(E6,Spring2025!$AI$33:$AL$46,4,FALSE()),"")</f>
        <v/>
      </c>
      <c r="K6" s="202">
        <f>IFERROR(VLOOKUP(E6,Fall2025PRE!$AI$33:$AL$46,4,FALSE()),"")</f>
        <v/>
      </c>
      <c r="L6" s="202">
        <f>IFERROR(VLOOKUP(E6,FALL2025!$AN$35:$AQ$51,4,FALSE()),"")</f>
        <v/>
      </c>
      <c r="P6" s="248" t="inlineStr">
        <is>
          <t>Peter</t>
        </is>
      </c>
      <c r="Q6" s="220">
        <f>VLOOKUP(P6,$A$1:$C$23,2,FALSE())</f>
        <v/>
      </c>
      <c r="AA6" s="248" t="inlineStr">
        <is>
          <t>Maxine</t>
        </is>
      </c>
      <c r="AB6" s="347">
        <f>VLOOKUP(AA6,$A$1:$C$23,3,FALSE())</f>
        <v/>
      </c>
    </row>
    <row r="7" ht="14.25" customHeight="1" s="175">
      <c r="A7" s="248" t="inlineStr">
        <is>
          <t>Erick</t>
        </is>
      </c>
      <c r="B7" s="220">
        <f>MIN(F7:L7)</f>
        <v/>
      </c>
      <c r="C7" s="347">
        <f>AVERAGE(F7:L7)</f>
        <v/>
      </c>
      <c r="E7" s="248" t="inlineStr">
        <is>
          <t>Erick</t>
        </is>
      </c>
      <c r="F7" s="202">
        <f>IFERROR(VLOOKUP(E7,Spring2024!$AD$32:$AG$44,4,FALSE()),"")</f>
        <v/>
      </c>
      <c r="G7" s="202">
        <f>IFERROR(VLOOKUP(E7,Spring2024POST!$AE$32:$AH$44,4,FALSE()),"")</f>
        <v/>
      </c>
      <c r="H7" s="202">
        <f>IFERROR(VLOOKUP(E7,Fall2024PRE!$AF$33:$AI$43,4,FALSE()),"")</f>
        <v/>
      </c>
      <c r="I7" s="202">
        <f>IFERROR(VLOOKUP(E7,Fall2024!$AI$33:$AL$46,4,FALSE()),"")</f>
        <v/>
      </c>
      <c r="J7" s="202">
        <f>IFERROR(VLOOKUP(E7,Spring2025!$AI$33:$AL$46,4,FALSE()),"")</f>
        <v/>
      </c>
      <c r="K7" s="202">
        <f>IFERROR(VLOOKUP(E7,Fall2025PRE!$AI$33:$AL$46,4,FALSE()),"")</f>
        <v/>
      </c>
      <c r="L7" s="202">
        <f>IFERROR(VLOOKUP(E7,FALL2025!$AN$35:$AQ$51,4,FALSE()),"")</f>
        <v/>
      </c>
      <c r="P7" s="248" t="inlineStr">
        <is>
          <t>Anthony</t>
        </is>
      </c>
      <c r="Q7" s="220">
        <f>VLOOKUP(P7,$A$1:$C$23,2,FALSE())</f>
        <v/>
      </c>
      <c r="AA7" s="248" t="inlineStr">
        <is>
          <t>Anthony</t>
        </is>
      </c>
      <c r="AB7" s="347">
        <f>VLOOKUP(AA7,$A$1:$C$23,3,FALSE())</f>
        <v/>
      </c>
    </row>
    <row r="8" ht="14.25" customHeight="1" s="175">
      <c r="A8" s="248" t="inlineStr">
        <is>
          <t>Ethan</t>
        </is>
      </c>
      <c r="B8" s="220">
        <f>MIN(F8:L8)</f>
        <v/>
      </c>
      <c r="C8" s="347">
        <f>AVERAGE(F8:L8)</f>
        <v/>
      </c>
      <c r="E8" s="248" t="inlineStr">
        <is>
          <t>Ethan</t>
        </is>
      </c>
      <c r="F8" s="202">
        <f>IFERROR(VLOOKUP(E8,Spring2024!$AD$32:$AG$44,4,FALSE()),"")</f>
        <v/>
      </c>
      <c r="G8" s="202">
        <f>IFERROR(VLOOKUP(E8,Spring2024POST!$AE$32:$AH$44,4,FALSE()),"")</f>
        <v/>
      </c>
      <c r="H8" s="202">
        <f>IFERROR(VLOOKUP(E8,Fall2024PRE!$AF$33:$AI$43,4,FALSE()),"")</f>
        <v/>
      </c>
      <c r="I8" s="202">
        <f>IFERROR(VLOOKUP(E8,Fall2024!$AI$33:$AL$46,4,FALSE()),"")</f>
        <v/>
      </c>
      <c r="J8" s="202">
        <f>IFERROR(VLOOKUP(E8,Spring2025!$AI$33:$AL$46,4,FALSE()),"")</f>
        <v/>
      </c>
      <c r="K8" s="202">
        <f>IFERROR(VLOOKUP(E8,Fall2025PRE!$AI$33:$AL$46,4,FALSE()),"")</f>
        <v/>
      </c>
      <c r="L8" s="202">
        <f>IFERROR(VLOOKUP(E8,FALL2025!$AN$35:$AQ$51,4,FALSE()),"")</f>
        <v/>
      </c>
      <c r="P8" s="248" t="inlineStr">
        <is>
          <t>Carter</t>
        </is>
      </c>
      <c r="Q8" s="220">
        <f>VLOOKUP(P8,$A$1:$C$23,2,FALSE())</f>
        <v/>
      </c>
      <c r="AA8" s="248" t="inlineStr">
        <is>
          <t>Mikey</t>
        </is>
      </c>
      <c r="AB8" s="347">
        <f>VLOOKUP(AA8,$A$1:$C$23,3,FALSE())</f>
        <v/>
      </c>
    </row>
    <row r="9" ht="14.25" customHeight="1" s="175">
      <c r="A9" s="248" t="inlineStr">
        <is>
          <t>Evan</t>
        </is>
      </c>
      <c r="B9" s="220">
        <f>MIN(F9:L9)</f>
        <v/>
      </c>
      <c r="C9" s="347">
        <f>AVERAGE(F9:L9)</f>
        <v/>
      </c>
      <c r="E9" s="248" t="inlineStr">
        <is>
          <t>Evan</t>
        </is>
      </c>
      <c r="F9" s="202">
        <f>IFERROR(VLOOKUP(E9,Spring2024!$AD$32:$AG$44,4,FALSE()),"")</f>
        <v/>
      </c>
      <c r="G9" s="202">
        <f>IFERROR(VLOOKUP(E9,Spring2024POST!$AE$32:$AH$44,4,FALSE()),"")</f>
        <v/>
      </c>
      <c r="H9" s="202">
        <f>IFERROR(VLOOKUP(E9,Fall2024PRE!$AF$33:$AI$43,4,FALSE()),"")</f>
        <v/>
      </c>
      <c r="I9" s="202">
        <f>IFERROR(VLOOKUP(E9,Fall2024!$AI$33:$AL$46,4,FALSE()),"")</f>
        <v/>
      </c>
      <c r="J9" s="202">
        <f>IFERROR(VLOOKUP(E9,Spring2025!$AI$33:$AL$46,4,FALSE()),"")</f>
        <v/>
      </c>
      <c r="K9" s="202">
        <f>IFERROR(VLOOKUP(E9,Fall2025PRE!$AI$33:$AL$46,4,FALSE()),"")</f>
        <v/>
      </c>
      <c r="L9" s="202">
        <f>IFERROR(VLOOKUP(E9,FALL2025!$AN$35:$AQ$51,4,FALSE()),"")</f>
        <v/>
      </c>
      <c r="P9" s="248" t="inlineStr">
        <is>
          <t>Grady</t>
        </is>
      </c>
      <c r="Q9" s="220">
        <f>VLOOKUP(P9,$A$1:$C$23,2,FALSE())</f>
        <v/>
      </c>
      <c r="AA9" s="248" t="inlineStr">
        <is>
          <t>Carter</t>
        </is>
      </c>
      <c r="AB9" s="347">
        <f>VLOOKUP(AA9,$A$1:$C$23,3,FALSE())</f>
        <v/>
      </c>
    </row>
    <row r="10" ht="14.25" customHeight="1" s="175">
      <c r="A10" s="248" t="inlineStr">
        <is>
          <t>Grady</t>
        </is>
      </c>
      <c r="B10" s="220">
        <f>MIN(F10:L10)</f>
        <v/>
      </c>
      <c r="C10" s="347">
        <f>AVERAGE(F10:L10)</f>
        <v/>
      </c>
      <c r="E10" s="248" t="inlineStr">
        <is>
          <t>Grady</t>
        </is>
      </c>
      <c r="F10" s="202">
        <f>IFERROR(VLOOKUP(E10,Spring2024!$AD$32:$AG$44,4,FALSE()),"")</f>
        <v/>
      </c>
      <c r="G10" s="202">
        <f>IFERROR(VLOOKUP(E10,Spring2024POST!$AE$32:$AH$44,4,FALSE()),"")</f>
        <v/>
      </c>
      <c r="H10" s="202">
        <f>IFERROR(VLOOKUP(E10,Fall2024PRE!$AF$33:$AI$43,4,FALSE()),"")</f>
        <v/>
      </c>
      <c r="I10" s="202">
        <f>IFERROR(VLOOKUP(E10,Fall2024!$AI$33:$AL$46,4,FALSE()),"")</f>
        <v/>
      </c>
      <c r="J10" s="202">
        <f>IFERROR(VLOOKUP(E10,Spring2025!$AI$33:$AL$46,4,FALSE()),"")</f>
        <v/>
      </c>
      <c r="K10" s="202">
        <f>IFERROR(VLOOKUP(E10,Fall2025PRE!$AI$33:$AL$46,4,FALSE()),"")</f>
        <v/>
      </c>
      <c r="L10" s="202">
        <f>IFERROR(VLOOKUP(E10,FALL2025!$AN$35:$AQ$51,4,FALSE()),"")</f>
        <v/>
      </c>
      <c r="P10" s="248" t="inlineStr">
        <is>
          <t>Joey</t>
        </is>
      </c>
      <c r="Q10" s="220">
        <f>VLOOKUP(P10,$A$1:$C$23,2,FALSE())</f>
        <v/>
      </c>
      <c r="AA10" s="248" t="inlineStr">
        <is>
          <t>Jon</t>
        </is>
      </c>
      <c r="AB10" s="347">
        <f>VLOOKUP(AA10,$A$1:$C$23,3,FALSE())</f>
        <v/>
      </c>
    </row>
    <row r="11" ht="14.25" customHeight="1" s="175">
      <c r="A11" s="248" t="inlineStr">
        <is>
          <t>Joey</t>
        </is>
      </c>
      <c r="B11" s="220">
        <f>MIN(F11:L11)</f>
        <v/>
      </c>
      <c r="C11" s="347">
        <f>AVERAGE(F11:L11)</f>
        <v/>
      </c>
      <c r="E11" s="248" t="inlineStr">
        <is>
          <t>Joey</t>
        </is>
      </c>
      <c r="F11" s="202">
        <f>IFERROR(VLOOKUP(E11,Spring2024!$AD$32:$AG$44,4,FALSE()),"")</f>
        <v/>
      </c>
      <c r="G11" s="202">
        <f>IFERROR(VLOOKUP(E11,Spring2024POST!$AE$32:$AH$44,4,FALSE()),"")</f>
        <v/>
      </c>
      <c r="H11" s="202">
        <f>IFERROR(VLOOKUP(E11,Fall2024PRE!$AF$33:$AI$43,4,FALSE()),"")</f>
        <v/>
      </c>
      <c r="I11" s="202">
        <f>IFERROR(VLOOKUP(E11,Fall2024!$AI$33:$AL$46,4,FALSE()),"")</f>
        <v/>
      </c>
      <c r="J11" s="202">
        <f>IFERROR(VLOOKUP(E11,Spring2025!$AI$33:$AL$46,4,FALSE()),"")</f>
        <v/>
      </c>
      <c r="K11" s="202">
        <f>IFERROR(VLOOKUP(E11,Fall2025PRE!$AI$33:$AL$46,4,FALSE()),"")</f>
        <v/>
      </c>
      <c r="L11" s="202">
        <f>IFERROR(VLOOKUP(E11,FALL2025!$AN$35:$AQ$51,4,FALSE()),"")</f>
        <v/>
      </c>
      <c r="P11" s="248" t="inlineStr">
        <is>
          <t>Jon</t>
        </is>
      </c>
      <c r="Q11" s="220">
        <f>VLOOKUP(P11,$A$1:$C$23,2,FALSE())</f>
        <v/>
      </c>
      <c r="AA11" s="248" t="inlineStr">
        <is>
          <t>Will</t>
        </is>
      </c>
      <c r="AB11" s="347">
        <f>VLOOKUP(AA11,$A$1:$C$23,3,FALSE())</f>
        <v/>
      </c>
    </row>
    <row r="12" ht="14.25" customHeight="1" s="175">
      <c r="A12" s="248" t="inlineStr">
        <is>
          <t>Jon</t>
        </is>
      </c>
      <c r="B12" s="220">
        <f>MIN(F12:L12)</f>
        <v/>
      </c>
      <c r="C12" s="347">
        <f>AVERAGE(F12:L12)</f>
        <v/>
      </c>
      <c r="E12" s="248" t="inlineStr">
        <is>
          <t>Jon</t>
        </is>
      </c>
      <c r="F12" s="202">
        <f>IFERROR(VLOOKUP(E12,Spring2024!$AD$32:$AG$44,4,FALSE()),"")</f>
        <v/>
      </c>
      <c r="G12" s="202">
        <f>IFERROR(VLOOKUP(E12,Spring2024POST!$AE$32:$AH$44,4,FALSE()),"")</f>
        <v/>
      </c>
      <c r="H12" s="202">
        <f>IFERROR(VLOOKUP(E12,Fall2024PRE!$AF$33:$AI$43,4,FALSE()),"")</f>
        <v/>
      </c>
      <c r="I12" s="202">
        <f>IFERROR(VLOOKUP(E12,Fall2024!$AI$33:$AL$46,4,FALSE()),"")</f>
        <v/>
      </c>
      <c r="J12" s="202">
        <f>IFERROR(VLOOKUP(E12,Spring2025!$AI$33:$AL$46,4,FALSE()),"")</f>
        <v/>
      </c>
      <c r="K12" s="202">
        <f>IFERROR(VLOOKUP(E12,Fall2025PRE!$AI$33:$AL$46,4,FALSE()),"")</f>
        <v/>
      </c>
      <c r="L12" s="202">
        <f>IFERROR(VLOOKUP(E12,FALL2025!$AN$35:$AQ$51,4,FALSE()),"")</f>
        <v/>
      </c>
      <c r="P12" s="248" t="inlineStr">
        <is>
          <t>Mikey</t>
        </is>
      </c>
      <c r="Q12" s="220">
        <f>VLOOKUP(P12,$A$1:$C$23,2,FALSE())</f>
        <v/>
      </c>
      <c r="AA12" s="248" t="inlineStr">
        <is>
          <t>Lucy</t>
        </is>
      </c>
      <c r="AB12" s="347">
        <f>VLOOKUP(AA12,$A$1:$C$23,3,FALSE())</f>
        <v/>
      </c>
    </row>
    <row r="13" ht="14.25" customHeight="1" s="175">
      <c r="A13" s="248" t="inlineStr">
        <is>
          <t>Lucy</t>
        </is>
      </c>
      <c r="B13" s="220">
        <f>MIN(F13:L13)</f>
        <v/>
      </c>
      <c r="C13" s="347">
        <f>AVERAGE(F13:L13)</f>
        <v/>
      </c>
      <c r="E13" s="248" t="inlineStr">
        <is>
          <t>Lucy</t>
        </is>
      </c>
      <c r="F13" s="202">
        <f>IFERROR(VLOOKUP(E13,Spring2024!$AD$32:$AG$44,4,FALSE()),"")</f>
        <v/>
      </c>
      <c r="G13" s="202">
        <f>IFERROR(VLOOKUP(E13,Spring2024POST!$AE$32:$AH$44,4,FALSE()),"")</f>
        <v/>
      </c>
      <c r="H13" s="202">
        <f>IFERROR(VLOOKUP(E13,Fall2024PRE!$AF$33:$AI$43,4,FALSE()),"")</f>
        <v/>
      </c>
      <c r="I13" s="202">
        <f>IFERROR(VLOOKUP(E13,Fall2024!$AI$33:$AL$46,4,FALSE()),"")</f>
        <v/>
      </c>
      <c r="J13" s="202">
        <f>IFERROR(VLOOKUP(E13,Spring2025!$AI$33:$AL$46,4,FALSE()),"")</f>
        <v/>
      </c>
      <c r="K13" s="202">
        <f>IFERROR(VLOOKUP(E13,Fall2025PRE!$AI$33:$AL$46,4,FALSE()),"")</f>
        <v/>
      </c>
      <c r="L13" s="202">
        <f>IFERROR(VLOOKUP(E13,FALL2025!$AN$35:$AQ$51,4,FALSE()),"")</f>
        <v/>
      </c>
      <c r="P13" s="248" t="inlineStr">
        <is>
          <t>Erick</t>
        </is>
      </c>
      <c r="Q13" s="220">
        <f>VLOOKUP(P13,$A$1:$C$23,2,FALSE())</f>
        <v/>
      </c>
      <c r="AA13" s="248" t="inlineStr">
        <is>
          <t>Joey</t>
        </is>
      </c>
      <c r="AB13" s="347">
        <f>VLOOKUP(AA13,$A$1:$C$23,3,FALSE())</f>
        <v/>
      </c>
    </row>
    <row r="14" ht="14.25" customHeight="1" s="175">
      <c r="A14" s="248" t="inlineStr">
        <is>
          <t>Maxine</t>
        </is>
      </c>
      <c r="B14" s="220">
        <f>MIN(F14:L14)</f>
        <v/>
      </c>
      <c r="C14" s="347">
        <f>AVERAGE(F14:L14)</f>
        <v/>
      </c>
      <c r="E14" s="248" t="inlineStr">
        <is>
          <t>Maxine</t>
        </is>
      </c>
      <c r="F14" s="202">
        <f>IFERROR(VLOOKUP(E14,Spring2024!$AD$32:$AG$44,4,FALSE()),"")</f>
        <v/>
      </c>
      <c r="G14" s="202">
        <f>IFERROR(VLOOKUP(E14,Spring2024POST!$AE$32:$AH$44,4,FALSE()),"")</f>
        <v/>
      </c>
      <c r="H14" s="202">
        <f>IFERROR(VLOOKUP(E14,Fall2024PRE!$AF$33:$AI$43,4,FALSE()),"")</f>
        <v/>
      </c>
      <c r="I14" s="202">
        <f>IFERROR(VLOOKUP(E14,Fall2024!$AI$33:$AL$46,4,FALSE()),"")</f>
        <v/>
      </c>
      <c r="J14" s="202">
        <f>IFERROR(VLOOKUP(E14,Spring2025!$AI$33:$AL$46,4,FALSE()),"")</f>
        <v/>
      </c>
      <c r="K14" s="202">
        <f>IFERROR(VLOOKUP(E14,Fall2025PRE!$AI$33:$AL$46,4,FALSE()),"")</f>
        <v/>
      </c>
      <c r="L14" s="202">
        <f>IFERROR(VLOOKUP(E14,FALL2025!$AN$35:$AQ$51,4,FALSE()),"")</f>
        <v/>
      </c>
      <c r="P14" s="248" t="inlineStr">
        <is>
          <t>Evan</t>
        </is>
      </c>
      <c r="Q14" s="220">
        <f>VLOOKUP(P14,$A$1:$C$23,2,FALSE())</f>
        <v/>
      </c>
      <c r="AA14" s="248" t="inlineStr">
        <is>
          <t>Erick</t>
        </is>
      </c>
      <c r="AB14" s="347">
        <f>VLOOKUP(AA14,$A$1:$C$23,3,FALSE())</f>
        <v/>
      </c>
    </row>
    <row r="15" ht="14.25" customHeight="1" s="175">
      <c r="A15" s="248" t="inlineStr">
        <is>
          <t>Mikey</t>
        </is>
      </c>
      <c r="B15" s="220">
        <f>MIN(F15:L15)</f>
        <v/>
      </c>
      <c r="C15" s="347">
        <f>AVERAGE(F15:L15)</f>
        <v/>
      </c>
      <c r="E15" s="248" t="inlineStr">
        <is>
          <t>Mikey</t>
        </is>
      </c>
      <c r="F15" s="202">
        <f>IFERROR(VLOOKUP(E15,Spring2024!$AD$32:$AG$44,4,FALSE()),"")</f>
        <v/>
      </c>
      <c r="G15" s="202">
        <f>IFERROR(VLOOKUP(E15,Spring2024POST!$AE$32:$AH$44,4,FALSE()),"")</f>
        <v/>
      </c>
      <c r="H15" s="202">
        <f>IFERROR(VLOOKUP(E15,Fall2024PRE!$AF$33:$AI$43,4,FALSE()),"")</f>
        <v/>
      </c>
      <c r="I15" s="202">
        <f>IFERROR(VLOOKUP(E15,Fall2024!$AI$33:$AL$46,4,FALSE()),"")</f>
        <v/>
      </c>
      <c r="J15" s="202">
        <f>IFERROR(VLOOKUP(E15,Spring2025!$AI$33:$AL$46,4,FALSE()),"")</f>
        <v/>
      </c>
      <c r="K15" s="202">
        <f>IFERROR(VLOOKUP(E15,Fall2025PRE!$AI$33:$AL$46,4,FALSE()),"")</f>
        <v/>
      </c>
      <c r="L15" s="202">
        <f>IFERROR(VLOOKUP(E15,FALL2025!$AN$35:$AQ$51,4,FALSE()),"")</f>
        <v/>
      </c>
      <c r="P15" s="248" t="inlineStr">
        <is>
          <t>Tyler</t>
        </is>
      </c>
      <c r="Q15" s="220">
        <f>VLOOKUP(P15,$A$1:$C$23,2,FALSE())</f>
        <v/>
      </c>
      <c r="AA15" s="248" t="inlineStr">
        <is>
          <t>Vignesh</t>
        </is>
      </c>
      <c r="AB15" s="347">
        <f>VLOOKUP(AA15,$A$1:$C$23,3,FALSE())</f>
        <v/>
      </c>
    </row>
    <row r="16" ht="14.25" customHeight="1" s="175">
      <c r="A16" s="248" t="inlineStr">
        <is>
          <t>Peter</t>
        </is>
      </c>
      <c r="B16" s="220">
        <f>MIN(F16:L16)</f>
        <v/>
      </c>
      <c r="C16" s="347">
        <f>AVERAGE(F16:L16)</f>
        <v/>
      </c>
      <c r="E16" s="248" t="inlineStr">
        <is>
          <t>Peter</t>
        </is>
      </c>
      <c r="F16" s="202">
        <f>IFERROR(VLOOKUP(E16,Spring2024!$AD$32:$AG$44,4,FALSE()),"")</f>
        <v/>
      </c>
      <c r="G16" s="202">
        <f>IFERROR(VLOOKUP(E16,Spring2024POST!$AE$32:$AH$44,4,FALSE()),"")</f>
        <v/>
      </c>
      <c r="H16" s="202">
        <f>IFERROR(VLOOKUP(E16,Fall2024PRE!$AF$33:$AI$43,4,FALSE()),"")</f>
        <v/>
      </c>
      <c r="I16" s="202">
        <f>IFERROR(VLOOKUP(E16,Fall2024!$AI$33:$AL$46,4,FALSE()),"")</f>
        <v/>
      </c>
      <c r="J16" s="202">
        <f>IFERROR(VLOOKUP(E16,Spring2025!$AI$33:$AL$46,4,FALSE()),"")</f>
        <v/>
      </c>
      <c r="K16" s="202">
        <f>IFERROR(VLOOKUP(E16,Fall2025PRE!$AI$33:$AL$46,4,FALSE()),"")</f>
        <v/>
      </c>
      <c r="L16" s="202">
        <f>IFERROR(VLOOKUP(E16,FALL2025!$AN$35:$AQ$51,4,FALSE()),"")</f>
        <v/>
      </c>
      <c r="P16" s="248" t="inlineStr">
        <is>
          <t>Will</t>
        </is>
      </c>
      <c r="Q16" s="220">
        <f>VLOOKUP(P16,$A$1:$C$23,2,FALSE())</f>
        <v/>
      </c>
      <c r="AA16" s="248" t="inlineStr">
        <is>
          <t>Tyler</t>
        </is>
      </c>
      <c r="AB16" s="347">
        <f>VLOOKUP(AA16,$A$1:$C$23,3,FALSE())</f>
        <v/>
      </c>
    </row>
    <row r="17" ht="14.25" customHeight="1" s="175">
      <c r="A17" s="248" t="inlineStr">
        <is>
          <t>Reuben</t>
        </is>
      </c>
      <c r="B17" s="220">
        <f>MIN(F17:L17)</f>
        <v/>
      </c>
      <c r="C17" s="347">
        <f>AVERAGE(F17:L17)</f>
        <v/>
      </c>
      <c r="E17" s="248" t="inlineStr">
        <is>
          <t>Reuben</t>
        </is>
      </c>
      <c r="F17" s="202">
        <f>IFERROR(VLOOKUP(E17,Spring2024!$AD$32:$AG$44,4,FALSE()),"")</f>
        <v/>
      </c>
      <c r="G17" s="202">
        <f>IFERROR(VLOOKUP(E17,Spring2024POST!$AE$32:$AH$44,4,FALSE()),"")</f>
        <v/>
      </c>
      <c r="H17" s="202">
        <f>IFERROR(VLOOKUP(E17,Fall2024PRE!$AF$33:$AI$43,4,FALSE()),"")</f>
        <v/>
      </c>
      <c r="I17" s="202">
        <f>IFERROR(VLOOKUP(E17,Fall2024!$AI$33:$AL$46,4,FALSE()),"")</f>
        <v/>
      </c>
      <c r="J17" s="202">
        <f>IFERROR(VLOOKUP(E17,Spring2025!$AI$33:$AL$46,4,FALSE()),"")</f>
        <v/>
      </c>
      <c r="K17" s="202">
        <f>IFERROR(VLOOKUP(E17,Fall2025PRE!$AI$33:$AL$46,4,FALSE()),"")</f>
        <v/>
      </c>
      <c r="L17" s="202">
        <f>IFERROR(VLOOKUP(E17,FALL2025!$AN$35:$AQ$51,4,FALSE()),"")</f>
        <v/>
      </c>
      <c r="P17" s="248" t="inlineStr">
        <is>
          <t>Cooper</t>
        </is>
      </c>
      <c r="Q17" s="220">
        <f>VLOOKUP(P17,$A$1:$C$23,2,FALSE())</f>
        <v/>
      </c>
      <c r="AA17" s="248" t="inlineStr">
        <is>
          <t>Evan</t>
        </is>
      </c>
      <c r="AB17" s="347">
        <f>VLOOKUP(AA17,$A$1:$C$23,3,FALSE())</f>
        <v/>
      </c>
    </row>
    <row r="18" ht="14.25" customHeight="1" s="175">
      <c r="A18" s="248" t="inlineStr">
        <is>
          <t>Rob</t>
        </is>
      </c>
      <c r="B18" s="220">
        <f>MIN(F18:L18)</f>
        <v/>
      </c>
      <c r="C18" s="347">
        <f>AVERAGE(F18:L18)</f>
        <v/>
      </c>
      <c r="E18" s="248" t="inlineStr">
        <is>
          <t>Rob</t>
        </is>
      </c>
      <c r="F18" s="202">
        <f>IFERROR(VLOOKUP(E18,Spring2024!$AD$32:$AG$44,4,FALSE()),"")</f>
        <v/>
      </c>
      <c r="G18" s="202">
        <f>IFERROR(VLOOKUP(E18,Spring2024POST!$AE$32:$AH$44,4,FALSE()),"")</f>
        <v/>
      </c>
      <c r="H18" s="202">
        <f>IFERROR(VLOOKUP(E18,Fall2024PRE!$AF$33:$AI$43,4,FALSE()),"")</f>
        <v/>
      </c>
      <c r="I18" s="202">
        <f>IFERROR(VLOOKUP(E18,Fall2024!$AI$33:$AL$46,4,FALSE()),"")</f>
        <v/>
      </c>
      <c r="J18" s="202">
        <f>IFERROR(VLOOKUP(E18,Spring2025!$AI$33:$AL$46,4,FALSE()),"")</f>
        <v/>
      </c>
      <c r="K18" s="202">
        <f>IFERROR(VLOOKUP(E18,Fall2025PRE!$AI$33:$AL$46,4,FALSE()),"")</f>
        <v/>
      </c>
      <c r="L18" s="202">
        <f>IFERROR(VLOOKUP(E18,FALL2025!$AN$35:$AQ$51,4,FALSE()),"")</f>
        <v/>
      </c>
      <c r="P18" s="248" t="inlineStr">
        <is>
          <t>Lucy</t>
        </is>
      </c>
      <c r="Q18" s="220">
        <f>VLOOKUP(P18,$A$1:$C$23,2,FALSE())</f>
        <v/>
      </c>
      <c r="AA18" s="248" t="inlineStr">
        <is>
          <t>Grady</t>
        </is>
      </c>
      <c r="AB18" s="347">
        <f>VLOOKUP(AA18,$A$1:$C$23,3,FALSE())</f>
        <v/>
      </c>
    </row>
    <row r="19" ht="14.25" customHeight="1" s="175">
      <c r="A19" s="248" t="inlineStr">
        <is>
          <t>Sam</t>
        </is>
      </c>
      <c r="B19" s="220">
        <f>MIN(F19:L19)</f>
        <v/>
      </c>
      <c r="C19" s="347">
        <f>AVERAGE(F19:L19)</f>
        <v/>
      </c>
      <c r="E19" s="248" t="inlineStr">
        <is>
          <t>Sam</t>
        </is>
      </c>
      <c r="F19" s="202">
        <f>IFERROR(VLOOKUP(E19,Spring2024!$AD$32:$AG$44,4,FALSE()),"")</f>
        <v/>
      </c>
      <c r="G19" s="202">
        <f>IFERROR(VLOOKUP(E19,Spring2024POST!$AE$32:$AH$44,4,FALSE()),"")</f>
        <v/>
      </c>
      <c r="H19" s="202">
        <f>IFERROR(VLOOKUP(E19,Fall2024PRE!$AF$33:$AI$43,4,FALSE()),"")</f>
        <v/>
      </c>
      <c r="I19" s="202">
        <f>IFERROR(VLOOKUP(E19,Fall2024!$AI$33:$AL$46,4,FALSE()),"")</f>
        <v/>
      </c>
      <c r="J19" s="202">
        <f>IFERROR(VLOOKUP(E19,Spring2025!$AI$33:$AL$46,4,FALSE()),"")</f>
        <v/>
      </c>
      <c r="K19" s="202">
        <f>IFERROR(VLOOKUP(E19,Fall2025PRE!$AI$33:$AL$46,4,FALSE()),"")</f>
        <v/>
      </c>
      <c r="L19" s="202">
        <f>IFERROR(VLOOKUP(E19,FALL2025!$AN$35:$AQ$51,4,FALSE()),"")</f>
        <v/>
      </c>
      <c r="P19" s="248" t="inlineStr">
        <is>
          <t>Vignesh</t>
        </is>
      </c>
      <c r="Q19" s="220">
        <f>VLOOKUP(P19,$A$1:$C$23,2,FALSE())</f>
        <v/>
      </c>
      <c r="AA19" s="248" t="inlineStr">
        <is>
          <t>Cooper</t>
        </is>
      </c>
      <c r="AB19" s="347">
        <f>VLOOKUP(AA19,$A$1:$C$23,3,FALSE())</f>
        <v/>
      </c>
    </row>
    <row r="20" ht="14.25" customHeight="1" s="175">
      <c r="A20" s="248" t="inlineStr">
        <is>
          <t>Seth</t>
        </is>
      </c>
      <c r="B20" s="220">
        <f>MIN(F20:L20)</f>
        <v/>
      </c>
      <c r="C20" s="347">
        <f>AVERAGE(F20:L20)</f>
        <v/>
      </c>
      <c r="E20" s="248" t="inlineStr">
        <is>
          <t>Seth</t>
        </is>
      </c>
      <c r="F20" s="202">
        <f>IFERROR(VLOOKUP(E20,Spring2024!$AD$32:$AG$44,4,FALSE()),"")</f>
        <v/>
      </c>
      <c r="G20" s="202">
        <f>IFERROR(VLOOKUP(E20,Spring2024POST!$AE$32:$AH$44,4,FALSE()),"")</f>
        <v/>
      </c>
      <c r="H20" s="202">
        <f>IFERROR(VLOOKUP(E20,Fall2024PRE!$AF$33:$AI$43,4,FALSE()),"")</f>
        <v/>
      </c>
      <c r="I20" s="202">
        <f>IFERROR(VLOOKUP(E20,Fall2024!$AI$33:$AL$46,4,FALSE()),"")</f>
        <v/>
      </c>
      <c r="J20" s="202">
        <f>IFERROR(VLOOKUP(E20,Spring2025!$AI$33:$AL$46,4,FALSE()),"")</f>
        <v/>
      </c>
      <c r="K20" s="202">
        <f>IFERROR(VLOOKUP(E20,Fall2025PRE!$AI$33:$AL$46,4,FALSE()),"")</f>
        <v/>
      </c>
      <c r="L20" s="202">
        <f>IFERROR(VLOOKUP(E20,FALL2025!$AN$35:$AQ$51,4,FALSE()),"")</f>
        <v/>
      </c>
      <c r="P20" s="248" t="inlineStr">
        <is>
          <t>Reuben</t>
        </is>
      </c>
      <c r="Q20" s="220">
        <f>VLOOKUP(P20,$A$1:$C$23,2,FALSE())</f>
        <v/>
      </c>
      <c r="AA20" s="248" t="inlineStr">
        <is>
          <t>Seth</t>
        </is>
      </c>
      <c r="AB20" s="347">
        <f>VLOOKUP(AA20,$A$1:$C$23,3,FALSE())</f>
        <v/>
      </c>
    </row>
    <row r="21" ht="14.25" customHeight="1" s="175">
      <c r="A21" s="248" t="inlineStr">
        <is>
          <t>Tyler</t>
        </is>
      </c>
      <c r="B21" s="220">
        <f>MIN(F21:L21)</f>
        <v/>
      </c>
      <c r="C21" s="347">
        <f>AVERAGE(F21:L21)</f>
        <v/>
      </c>
      <c r="E21" s="248" t="inlineStr">
        <is>
          <t>Tyler</t>
        </is>
      </c>
      <c r="F21" s="202">
        <f>IFERROR(VLOOKUP(E21,Spring2024!$AD$32:$AG$44,4,FALSE()),"")</f>
        <v/>
      </c>
      <c r="G21" s="202">
        <f>IFERROR(VLOOKUP(E21,Spring2024POST!$AE$32:$AH$44,4,FALSE()),"")</f>
        <v/>
      </c>
      <c r="H21" s="202">
        <f>IFERROR(VLOOKUP(E21,Fall2024PRE!$AF$33:$AI$43,4,FALSE()),"")</f>
        <v/>
      </c>
      <c r="I21" s="202">
        <f>IFERROR(VLOOKUP(E21,Fall2024!$AI$33:$AL$46,4,FALSE()),"")</f>
        <v/>
      </c>
      <c r="J21" s="202">
        <f>IFERROR(VLOOKUP(E21,Spring2025!$AI$33:$AL$46,4,FALSE()),"")</f>
        <v/>
      </c>
      <c r="K21" s="202">
        <f>IFERROR(VLOOKUP(E21,Fall2025PRE!$AI$33:$AL$46,4,FALSE()),"")</f>
        <v/>
      </c>
      <c r="L21" s="202">
        <f>IFERROR(VLOOKUP(E21,FALL2025!$AN$35:$AQ$51,4,FALSE()),"")</f>
        <v/>
      </c>
      <c r="P21" s="248" t="inlineStr">
        <is>
          <t>Seth</t>
        </is>
      </c>
      <c r="Q21" s="220">
        <f>VLOOKUP(P21,$A$1:$C$23,2,FALSE())</f>
        <v/>
      </c>
      <c r="AA21" s="248" t="inlineStr">
        <is>
          <t>Reuben</t>
        </is>
      </c>
      <c r="AB21" s="347">
        <f>VLOOKUP(AA21,$A$1:$C$23,3,FALSE())</f>
        <v/>
      </c>
    </row>
    <row r="22" ht="14.25" customHeight="1" s="175">
      <c r="A22" s="248" t="inlineStr">
        <is>
          <t>Vignesh</t>
        </is>
      </c>
      <c r="B22" s="220">
        <f>MIN(F22:L22)</f>
        <v/>
      </c>
      <c r="C22" s="347">
        <f>AVERAGE(F22:L22)</f>
        <v/>
      </c>
      <c r="E22" s="248" t="inlineStr">
        <is>
          <t>Vignesh</t>
        </is>
      </c>
      <c r="F22" s="202">
        <f>IFERROR(VLOOKUP(E22,Spring2024!$AD$32:$AG$44,4,FALSE()),"")</f>
        <v/>
      </c>
      <c r="G22" s="202">
        <f>IFERROR(VLOOKUP(E22,Spring2024POST!$AE$32:$AH$44,4,FALSE()),"")</f>
        <v/>
      </c>
      <c r="H22" s="202">
        <f>IFERROR(VLOOKUP(E22,Fall2024PRE!$AF$33:$AI$43,4,FALSE()),"")</f>
        <v/>
      </c>
      <c r="I22" s="202">
        <f>IFERROR(VLOOKUP(E22,Fall2024!$AI$33:$AL$46,4,FALSE()),"")</f>
        <v/>
      </c>
      <c r="J22" s="202">
        <f>IFERROR(VLOOKUP(E22,Spring2025!$AI$33:$AL$46,4,FALSE()),"")</f>
        <v/>
      </c>
      <c r="K22" s="202">
        <f>IFERROR(VLOOKUP(E22,Fall2025PRE!$AI$33:$AL$46,4,FALSE()),"")</f>
        <v/>
      </c>
      <c r="L22" s="202">
        <f>IFERROR(VLOOKUP(E22,FALL2025!$AN$35:$AQ$51,4,FALSE()),"")</f>
        <v/>
      </c>
      <c r="P22" s="248" t="inlineStr">
        <is>
          <t>Rob</t>
        </is>
      </c>
      <c r="Q22" s="220">
        <f>VLOOKUP(P22,$A$1:$C$23,2,FALSE())</f>
        <v/>
      </c>
      <c r="AA22" s="248" t="inlineStr">
        <is>
          <t>Rob</t>
        </is>
      </c>
      <c r="AB22" s="347">
        <f>VLOOKUP(AA22,$A$1:$C$23,3,FALSE())</f>
        <v/>
      </c>
    </row>
    <row r="23" ht="14.25" customHeight="1" s="175">
      <c r="A23" s="248" t="inlineStr">
        <is>
          <t>Will</t>
        </is>
      </c>
      <c r="B23" s="220">
        <f>MIN(F23:L23)</f>
        <v/>
      </c>
      <c r="C23" s="347">
        <f>AVERAGE(F23:L23)</f>
        <v/>
      </c>
      <c r="E23" s="248" t="inlineStr">
        <is>
          <t>Will</t>
        </is>
      </c>
      <c r="F23" s="202">
        <f>IFERROR(VLOOKUP(E23,Spring2024!$AD$32:$AG$44,4,FALSE()),"")</f>
        <v/>
      </c>
      <c r="G23" s="202">
        <f>IFERROR(VLOOKUP(E23,Spring2024POST!$AE$32:$AH$44,4,FALSE()),"")</f>
        <v/>
      </c>
      <c r="H23" s="202">
        <f>IFERROR(VLOOKUP(E23,Fall2024PRE!$AF$33:$AI$43,4,FALSE()),"")</f>
        <v/>
      </c>
      <c r="I23" s="202">
        <f>IFERROR(VLOOKUP(E23,Fall2024!$AI$33:$AL$46,4,FALSE()),"")</f>
        <v/>
      </c>
      <c r="J23" s="202">
        <f>IFERROR(VLOOKUP(E23,Spring2025!$AI$33:$AL$46,4,FALSE()),"")</f>
        <v/>
      </c>
      <c r="K23" s="202">
        <f>IFERROR(VLOOKUP(E23,Fall2025PRE!$AI$33:$AL$46,4,FALSE()),"")</f>
        <v/>
      </c>
      <c r="L23" s="202">
        <f>IFERROR(VLOOKUP(E23,FALL2025!$AN$35:$AQ$51,4,FALSE()),"")</f>
        <v/>
      </c>
    </row>
    <row r="24" ht="14.25" customHeight="1" s="175"/>
    <row r="25" ht="14.25" customHeight="1" s="175"/>
    <row r="26" ht="14.25" customHeight="1" s="175"/>
    <row r="27" ht="14.25" customHeight="1" s="175"/>
    <row r="28" ht="14.25" customHeight="1" s="175"/>
    <row r="29" ht="14.25" customHeight="1" s="175"/>
    <row r="30" ht="14.25" customHeight="1" s="175"/>
    <row r="31" ht="14.25" customHeight="1" s="175"/>
    <row r="32" ht="14.25" customHeight="1" s="175"/>
    <row r="33" ht="14.25" customHeight="1" s="175"/>
    <row r="34" ht="14.25" customHeight="1" s="175"/>
    <row r="35" ht="14.25" customHeight="1" s="175"/>
    <row r="36" ht="14.25" customHeight="1" s="175"/>
    <row r="37" ht="14.25" customHeight="1" s="175"/>
    <row r="38" ht="14.25" customHeight="1" s="175"/>
    <row r="39" ht="14.25" customHeight="1" s="175"/>
    <row r="40" ht="14.25" customHeight="1" s="175"/>
    <row r="41" ht="14.25" customHeight="1" s="175"/>
    <row r="42" ht="14.25" customHeight="1" s="175"/>
    <row r="43" ht="14.25" customHeight="1" s="175"/>
    <row r="44" ht="14.25" customHeight="1" s="175"/>
    <row r="45" ht="14.25" customHeight="1" s="175"/>
    <row r="46" ht="14.25" customHeight="1" s="175"/>
    <row r="47" ht="14.25" customHeight="1" s="175"/>
    <row r="48" ht="14.25" customHeight="1" s="175"/>
    <row r="49" ht="14.25" customHeight="1" s="175"/>
    <row r="50" ht="14.25" customHeight="1" s="175"/>
    <row r="51" ht="14.25" customHeight="1" s="175"/>
    <row r="52" ht="14.25" customHeight="1" s="175"/>
    <row r="53" ht="14.25" customHeight="1" s="175"/>
    <row r="54" ht="14.25" customHeight="1" s="175"/>
    <row r="55" ht="14.25" customHeight="1" s="175"/>
    <row r="56" ht="14.25" customHeight="1" s="175"/>
    <row r="57" ht="14.25" customHeight="1" s="175"/>
    <row r="58" ht="14.25" customHeight="1" s="175"/>
    <row r="59" ht="14.25" customHeight="1" s="175"/>
    <row r="60" ht="14.25" customHeight="1" s="175"/>
    <row r="61" ht="14.25" customHeight="1" s="175"/>
    <row r="62" ht="14.25" customHeight="1" s="175"/>
    <row r="63" ht="14.25" customHeight="1" s="175"/>
    <row r="64" ht="14.25" customHeight="1" s="175"/>
    <row r="65" ht="14.25" customHeight="1" s="175"/>
    <row r="66" ht="14.25" customHeight="1" s="175"/>
    <row r="67" ht="14.25" customHeight="1" s="175"/>
    <row r="68" ht="14.25" customHeight="1" s="175"/>
    <row r="69" ht="14.25" customHeight="1" s="175"/>
    <row r="70" ht="14.25" customHeight="1" s="175"/>
    <row r="71" ht="14.25" customHeight="1" s="175"/>
    <row r="72" ht="14.25" customHeight="1" s="175"/>
    <row r="73" ht="14.25" customHeight="1" s="175"/>
    <row r="74" ht="14.25" customHeight="1" s="175"/>
    <row r="75" ht="14.25" customHeight="1" s="175"/>
    <row r="76" ht="14.25" customHeight="1" s="175"/>
    <row r="77" ht="14.25" customHeight="1" s="175"/>
    <row r="78" ht="14.25" customHeight="1" s="175"/>
    <row r="79" ht="14.25" customHeight="1" s="175"/>
    <row r="80" ht="14.25" customHeight="1" s="175"/>
    <row r="81" ht="14.25" customHeight="1" s="175"/>
    <row r="82" ht="14.25" customHeight="1" s="175"/>
    <row r="83" ht="14.25" customHeight="1" s="175"/>
    <row r="84" ht="14.25" customHeight="1" s="175"/>
    <row r="85" ht="14.25" customHeight="1" s="175"/>
    <row r="86" ht="14.25" customHeight="1" s="175"/>
    <row r="87" ht="14.25" customHeight="1" s="175"/>
    <row r="88" ht="14.25" customHeight="1" s="175"/>
    <row r="89" ht="14.25" customHeight="1" s="175"/>
    <row r="90" ht="14.25" customHeight="1" s="175"/>
    <row r="91" ht="14.25" customHeight="1" s="175"/>
    <row r="92" ht="14.25" customHeight="1" s="175"/>
    <row r="93" ht="14.25" customHeight="1" s="175"/>
    <row r="94" ht="14.25" customHeight="1" s="175"/>
    <row r="95" ht="14.25" customHeight="1" s="175"/>
    <row r="96" ht="14.25" customHeight="1" s="175"/>
    <row r="97" ht="14.25" customHeight="1" s="175"/>
    <row r="98" ht="14.25" customHeight="1" s="175"/>
    <row r="99" ht="14.25" customHeight="1" s="175"/>
    <row r="100" ht="14.25" customHeight="1" s="175"/>
    <row r="101" ht="14.25" customHeight="1" s="175"/>
    <row r="102" ht="14.25" customHeight="1" s="175"/>
    <row r="103" ht="14.25" customHeight="1" s="175"/>
    <row r="104" ht="14.25" customHeight="1" s="175"/>
    <row r="105" ht="14.25" customHeight="1" s="175"/>
    <row r="106" ht="14.25" customHeight="1" s="175"/>
    <row r="107" ht="14.25" customHeight="1" s="175"/>
    <row r="108" ht="14.25" customHeight="1" s="175"/>
    <row r="109" ht="14.25" customHeight="1" s="175"/>
    <row r="110" ht="14.25" customHeight="1" s="175"/>
    <row r="111" ht="14.25" customHeight="1" s="175"/>
    <row r="112" ht="14.25" customHeight="1" s="175"/>
    <row r="113" ht="14.25" customHeight="1" s="175"/>
    <row r="114" ht="14.25" customHeight="1" s="175"/>
    <row r="115" ht="14.25" customHeight="1" s="175"/>
    <row r="116" ht="14.25" customHeight="1" s="175"/>
    <row r="117" ht="14.25" customHeight="1" s="175"/>
    <row r="118" ht="14.25" customHeight="1" s="175"/>
    <row r="119" ht="14.25" customHeight="1" s="175"/>
    <row r="120" ht="14.25" customHeight="1" s="175"/>
    <row r="121" ht="14.25" customHeight="1" s="175"/>
    <row r="122" ht="14.25" customHeight="1" s="175"/>
    <row r="123" ht="14.25" customHeight="1" s="175"/>
    <row r="124" ht="14.25" customHeight="1" s="175"/>
    <row r="125" ht="14.25" customHeight="1" s="175"/>
    <row r="126" ht="14.25" customHeight="1" s="175"/>
    <row r="127" ht="14.25" customHeight="1" s="175"/>
    <row r="128" ht="14.25" customHeight="1" s="175"/>
    <row r="129" ht="14.25" customHeight="1" s="175"/>
    <row r="130" ht="14.25" customHeight="1" s="175"/>
    <row r="131" ht="14.25" customHeight="1" s="175"/>
    <row r="132" ht="14.25" customHeight="1" s="175"/>
    <row r="133" ht="14.25" customHeight="1" s="175"/>
    <row r="134" ht="14.25" customHeight="1" s="175"/>
    <row r="135" ht="14.25" customHeight="1" s="175"/>
    <row r="136" ht="14.25" customHeight="1" s="175"/>
    <row r="137" ht="14.25" customHeight="1" s="175"/>
    <row r="138" ht="14.25" customHeight="1" s="175"/>
    <row r="139" ht="14.25" customHeight="1" s="175"/>
    <row r="140" ht="14.25" customHeight="1" s="175"/>
    <row r="141" ht="14.25" customHeight="1" s="175"/>
    <row r="142" ht="14.25" customHeight="1" s="175"/>
    <row r="143" ht="14.25" customHeight="1" s="175"/>
    <row r="144" ht="14.25" customHeight="1" s="175"/>
    <row r="145" ht="14.25" customHeight="1" s="175"/>
    <row r="146" ht="14.25" customHeight="1" s="175"/>
    <row r="147" ht="14.25" customHeight="1" s="175"/>
    <row r="148" ht="14.25" customHeight="1" s="175"/>
    <row r="149" ht="14.25" customHeight="1" s="175"/>
    <row r="150" ht="14.25" customHeight="1" s="175"/>
    <row r="151" ht="14.25" customHeight="1" s="175"/>
    <row r="152" ht="14.25" customHeight="1" s="175"/>
    <row r="153" ht="14.25" customHeight="1" s="175"/>
    <row r="154" ht="14.25" customHeight="1" s="175"/>
    <row r="155" ht="14.25" customHeight="1" s="175"/>
    <row r="156" ht="14.25" customHeight="1" s="175"/>
    <row r="157" ht="14.25" customHeight="1" s="175"/>
    <row r="158" ht="14.25" customHeight="1" s="175"/>
    <row r="159" ht="14.25" customHeight="1" s="175"/>
    <row r="160" ht="14.25" customHeight="1" s="175"/>
    <row r="161" ht="14.25" customHeight="1" s="175"/>
    <row r="162" ht="14.25" customHeight="1" s="175"/>
    <row r="163" ht="14.25" customHeight="1" s="175"/>
    <row r="164" ht="14.25" customHeight="1" s="175"/>
    <row r="165" ht="14.25" customHeight="1" s="175"/>
    <row r="166" ht="14.25" customHeight="1" s="175"/>
    <row r="167" ht="14.25" customHeight="1" s="175"/>
    <row r="168" ht="14.25" customHeight="1" s="175"/>
    <row r="169" ht="14.25" customHeight="1" s="175"/>
    <row r="170" ht="14.25" customHeight="1" s="175"/>
    <row r="171" ht="14.25" customHeight="1" s="175"/>
    <row r="172" ht="14.25" customHeight="1" s="175"/>
    <row r="173" ht="14.25" customHeight="1" s="175"/>
    <row r="174" ht="14.25" customHeight="1" s="175"/>
    <row r="175" ht="14.25" customHeight="1" s="175"/>
    <row r="176" ht="14.25" customHeight="1" s="175"/>
    <row r="177" ht="14.25" customHeight="1" s="175"/>
    <row r="178" ht="14.25" customHeight="1" s="175"/>
    <row r="179" ht="14.25" customHeight="1" s="175"/>
    <row r="180" ht="14.25" customHeight="1" s="175"/>
    <row r="181" ht="14.25" customHeight="1" s="175"/>
    <row r="182" ht="14.25" customHeight="1" s="175"/>
    <row r="183" ht="14.25" customHeight="1" s="175"/>
    <row r="184" ht="14.25" customHeight="1" s="175"/>
    <row r="185" ht="14.25" customHeight="1" s="175"/>
    <row r="186" ht="14.25" customHeight="1" s="175"/>
    <row r="187" ht="14.25" customHeight="1" s="175"/>
    <row r="188" ht="14.25" customHeight="1" s="175"/>
    <row r="189" ht="14.25" customHeight="1" s="175"/>
    <row r="190" ht="14.25" customHeight="1" s="175"/>
    <row r="191" ht="14.25" customHeight="1" s="175"/>
    <row r="192" ht="14.25" customHeight="1" s="175"/>
    <row r="193" ht="14.25" customHeight="1" s="175"/>
    <row r="194" ht="14.25" customHeight="1" s="175"/>
    <row r="195" ht="14.25" customHeight="1" s="175"/>
    <row r="196" ht="14.25" customHeight="1" s="175"/>
    <row r="197" ht="14.25" customHeight="1" s="175"/>
    <row r="198" ht="14.25" customHeight="1" s="175"/>
    <row r="199" ht="14.25" customHeight="1" s="175"/>
    <row r="200" ht="14.25" customHeight="1" s="175"/>
    <row r="201" ht="14.25" customHeight="1" s="175"/>
    <row r="202" ht="14.25" customHeight="1" s="175"/>
    <row r="203" ht="14.25" customHeight="1" s="175"/>
    <row r="204" ht="14.25" customHeight="1" s="175"/>
    <row r="205" ht="14.25" customHeight="1" s="175"/>
    <row r="206" ht="14.25" customHeight="1" s="175"/>
    <row r="207" ht="14.25" customHeight="1" s="175"/>
    <row r="208" ht="14.25" customHeight="1" s="175"/>
    <row r="209" ht="14.25" customHeight="1" s="175"/>
    <row r="210" ht="14.25" customHeight="1" s="175"/>
    <row r="211" ht="14.25" customHeight="1" s="175"/>
    <row r="212" ht="14.25" customHeight="1" s="175"/>
    <row r="213" ht="14.25" customHeight="1" s="175"/>
    <row r="214" ht="14.25" customHeight="1" s="175"/>
    <row r="215" ht="14.25" customHeight="1" s="175"/>
    <row r="216" ht="14.25" customHeight="1" s="175"/>
    <row r="217" ht="14.25" customHeight="1" s="175"/>
    <row r="218" ht="14.25" customHeight="1" s="175"/>
    <row r="219" ht="14.25" customHeight="1" s="175"/>
    <row r="220" ht="14.25" customHeight="1" s="175"/>
    <row r="221" ht="14.25" customHeight="1" s="175"/>
    <row r="222" ht="14.25" customHeight="1" s="175"/>
    <row r="223" ht="14.25" customHeight="1" s="175"/>
    <row r="224" ht="14.25" customHeight="1" s="175"/>
    <row r="225" ht="14.25" customHeight="1" s="175"/>
    <row r="226" ht="14.25" customHeight="1" s="175"/>
    <row r="227" ht="14.25" customHeight="1" s="175"/>
    <row r="228" ht="14.25" customHeight="1" s="175"/>
    <row r="229" ht="14.25" customHeight="1" s="175"/>
    <row r="230" ht="14.25" customHeight="1" s="175"/>
    <row r="231" ht="14.25" customHeight="1" s="175"/>
    <row r="232" ht="14.25" customHeight="1" s="175"/>
    <row r="233" ht="14.25" customHeight="1" s="175"/>
    <row r="234" ht="14.25" customHeight="1" s="175"/>
    <row r="235" ht="14.25" customHeight="1" s="175"/>
    <row r="236" ht="14.25" customHeight="1" s="175"/>
    <row r="237" ht="14.25" customHeight="1" s="175"/>
    <row r="238" ht="14.25" customHeight="1" s="175"/>
    <row r="239" ht="14.25" customHeight="1" s="175"/>
    <row r="240" ht="14.25" customHeight="1" s="175"/>
    <row r="241" ht="14.25" customHeight="1" s="175"/>
    <row r="242" ht="14.25" customHeight="1" s="175"/>
    <row r="243" ht="14.25" customHeight="1" s="175"/>
    <row r="244" ht="14.25" customHeight="1" s="175"/>
    <row r="245" ht="14.25" customHeight="1" s="175"/>
    <row r="246" ht="14.25" customHeight="1" s="175"/>
    <row r="247" ht="14.25" customHeight="1" s="175"/>
    <row r="248" ht="14.25" customHeight="1" s="175"/>
    <row r="249" ht="14.25" customHeight="1" s="175"/>
    <row r="250" ht="14.25" customHeight="1" s="175"/>
    <row r="251" ht="14.25" customHeight="1" s="175"/>
    <row r="252" ht="14.25" customHeight="1" s="175"/>
    <row r="253" ht="14.25" customHeight="1" s="175"/>
    <row r="254" ht="14.25" customHeight="1" s="175"/>
    <row r="255" ht="14.25" customHeight="1" s="175"/>
    <row r="256" ht="14.25" customHeight="1" s="175"/>
    <row r="257" ht="14.25" customHeight="1" s="175"/>
    <row r="258" ht="14.25" customHeight="1" s="175"/>
    <row r="259" ht="14.25" customHeight="1" s="175"/>
    <row r="260" ht="14.25" customHeight="1" s="175"/>
    <row r="261" ht="14.25" customHeight="1" s="175"/>
    <row r="262" ht="14.25" customHeight="1" s="175"/>
    <row r="263" ht="14.25" customHeight="1" s="175"/>
    <row r="264" ht="14.25" customHeight="1" s="175"/>
    <row r="265" ht="14.25" customHeight="1" s="175"/>
    <row r="266" ht="14.25" customHeight="1" s="175"/>
    <row r="267" ht="14.25" customHeight="1" s="175"/>
    <row r="268" ht="14.25" customHeight="1" s="175"/>
    <row r="269" ht="14.25" customHeight="1" s="175"/>
    <row r="270" ht="14.25" customHeight="1" s="175"/>
    <row r="271" ht="14.25" customHeight="1" s="175"/>
    <row r="272" ht="14.25" customHeight="1" s="175"/>
    <row r="273" ht="14.25" customHeight="1" s="175"/>
    <row r="274" ht="14.25" customHeight="1" s="175"/>
    <row r="275" ht="14.25" customHeight="1" s="175"/>
    <row r="276" ht="14.25" customHeight="1" s="175"/>
    <row r="277" ht="14.25" customHeight="1" s="175"/>
    <row r="278" ht="14.25" customHeight="1" s="175"/>
    <row r="279" ht="14.25" customHeight="1" s="175"/>
    <row r="280" ht="14.25" customHeight="1" s="175"/>
    <row r="281" ht="14.25" customHeight="1" s="175"/>
    <row r="282" ht="14.25" customHeight="1" s="175"/>
    <row r="283" ht="14.25" customHeight="1" s="175"/>
    <row r="284" ht="14.25" customHeight="1" s="175"/>
    <row r="285" ht="14.25" customHeight="1" s="175"/>
    <row r="286" ht="14.25" customHeight="1" s="175"/>
    <row r="287" ht="14.25" customHeight="1" s="175"/>
    <row r="288" ht="14.25" customHeight="1" s="175"/>
    <row r="289" ht="14.25" customHeight="1" s="175"/>
    <row r="290" ht="14.25" customHeight="1" s="175"/>
    <row r="291" ht="14.25" customHeight="1" s="175"/>
    <row r="292" ht="14.25" customHeight="1" s="175"/>
    <row r="293" ht="14.25" customHeight="1" s="175"/>
    <row r="294" ht="14.25" customHeight="1" s="175"/>
    <row r="295" ht="14.25" customHeight="1" s="175"/>
    <row r="296" ht="14.25" customHeight="1" s="175"/>
    <row r="297" ht="14.25" customHeight="1" s="175"/>
    <row r="298" ht="14.25" customHeight="1" s="175"/>
    <row r="299" ht="14.25" customHeight="1" s="175"/>
    <row r="300" ht="14.25" customHeight="1" s="175"/>
    <row r="301" ht="14.25" customHeight="1" s="175"/>
    <row r="302" ht="14.25" customHeight="1" s="175"/>
    <row r="303" ht="14.25" customHeight="1" s="175"/>
    <row r="304" ht="14.25" customHeight="1" s="175"/>
    <row r="305" ht="14.25" customHeight="1" s="175"/>
    <row r="306" ht="14.25" customHeight="1" s="175"/>
    <row r="307" ht="14.25" customHeight="1" s="175"/>
    <row r="308" ht="14.25" customHeight="1" s="175"/>
    <row r="309" ht="14.25" customHeight="1" s="175"/>
    <row r="310" ht="14.25" customHeight="1" s="175"/>
    <row r="311" ht="14.25" customHeight="1" s="175"/>
    <row r="312" ht="14.25" customHeight="1" s="175"/>
    <row r="313" ht="14.25" customHeight="1" s="175"/>
    <row r="314" ht="14.25" customHeight="1" s="175"/>
    <row r="315" ht="14.25" customHeight="1" s="175"/>
    <row r="316" ht="14.25" customHeight="1" s="175"/>
    <row r="317" ht="14.25" customHeight="1" s="175"/>
    <row r="318" ht="14.25" customHeight="1" s="175"/>
    <row r="319" ht="14.25" customHeight="1" s="175"/>
    <row r="320" ht="14.25" customHeight="1" s="175"/>
    <row r="321" ht="14.25" customHeight="1" s="175"/>
    <row r="322" ht="14.25" customHeight="1" s="175"/>
    <row r="323" ht="14.25" customHeight="1" s="175"/>
    <row r="324" ht="14.25" customHeight="1" s="175"/>
    <row r="325" ht="14.25" customHeight="1" s="175"/>
    <row r="326" ht="14.25" customHeight="1" s="175"/>
    <row r="327" ht="14.25" customHeight="1" s="175"/>
    <row r="328" ht="14.25" customHeight="1" s="175"/>
    <row r="329" ht="14.25" customHeight="1" s="175"/>
    <row r="330" ht="14.25" customHeight="1" s="175"/>
    <row r="331" ht="14.25" customHeight="1" s="175"/>
    <row r="332" ht="14.25" customHeight="1" s="175"/>
    <row r="333" ht="14.25" customHeight="1" s="175"/>
    <row r="334" ht="14.25" customHeight="1" s="175"/>
    <row r="335" ht="14.25" customHeight="1" s="175"/>
    <row r="336" ht="14.25" customHeight="1" s="175"/>
    <row r="337" ht="14.25" customHeight="1" s="175"/>
    <row r="338" ht="14.25" customHeight="1" s="175"/>
    <row r="339" ht="14.25" customHeight="1" s="175"/>
    <row r="340" ht="14.25" customHeight="1" s="175"/>
    <row r="341" ht="14.25" customHeight="1" s="175"/>
    <row r="342" ht="14.25" customHeight="1" s="175"/>
    <row r="343" ht="14.25" customHeight="1" s="175"/>
    <row r="344" ht="14.25" customHeight="1" s="175"/>
    <row r="345" ht="14.25" customHeight="1" s="175"/>
    <row r="346" ht="14.25" customHeight="1" s="175"/>
    <row r="347" ht="14.25" customHeight="1" s="175"/>
    <row r="348" ht="14.25" customHeight="1" s="175"/>
    <row r="349" ht="14.25" customHeight="1" s="175"/>
    <row r="350" ht="14.25" customHeight="1" s="175"/>
    <row r="351" ht="14.25" customHeight="1" s="175"/>
    <row r="352" ht="14.25" customHeight="1" s="175"/>
    <row r="353" ht="14.25" customHeight="1" s="175"/>
    <row r="354" ht="14.25" customHeight="1" s="175"/>
    <row r="355" ht="14.25" customHeight="1" s="175"/>
    <row r="356" ht="14.25" customHeight="1" s="175"/>
    <row r="357" ht="14.25" customHeight="1" s="175"/>
    <row r="358" ht="14.25" customHeight="1" s="175"/>
    <row r="359" ht="14.25" customHeight="1" s="175"/>
    <row r="360" ht="14.25" customHeight="1" s="175"/>
    <row r="361" ht="14.25" customHeight="1" s="175"/>
    <row r="362" ht="14.25" customHeight="1" s="175"/>
    <row r="363" ht="14.25" customHeight="1" s="175"/>
    <row r="364" ht="14.25" customHeight="1" s="175"/>
    <row r="365" ht="14.25" customHeight="1" s="175"/>
    <row r="366" ht="14.25" customHeight="1" s="175"/>
    <row r="367" ht="14.25" customHeight="1" s="175"/>
    <row r="368" ht="14.25" customHeight="1" s="175"/>
    <row r="369" ht="14.25" customHeight="1" s="175"/>
    <row r="370" ht="14.25" customHeight="1" s="175"/>
    <row r="371" ht="14.25" customHeight="1" s="175"/>
    <row r="372" ht="14.25" customHeight="1" s="175"/>
    <row r="373" ht="14.25" customHeight="1" s="175"/>
    <row r="374" ht="14.25" customHeight="1" s="175"/>
    <row r="375" ht="14.25" customHeight="1" s="175"/>
    <row r="376" ht="14.25" customHeight="1" s="175"/>
    <row r="377" ht="14.25" customHeight="1" s="175"/>
    <row r="378" ht="14.25" customHeight="1" s="175"/>
    <row r="379" ht="14.25" customHeight="1" s="175"/>
    <row r="380" ht="14.25" customHeight="1" s="175"/>
    <row r="381" ht="14.25" customHeight="1" s="175"/>
    <row r="382" ht="14.25" customHeight="1" s="175"/>
    <row r="383" ht="14.25" customHeight="1" s="175"/>
    <row r="384" ht="14.25" customHeight="1" s="175"/>
    <row r="385" ht="14.25" customHeight="1" s="175"/>
    <row r="386" ht="14.25" customHeight="1" s="175"/>
    <row r="387" ht="14.25" customHeight="1" s="175"/>
    <row r="388" ht="14.25" customHeight="1" s="175"/>
    <row r="389" ht="14.25" customHeight="1" s="175"/>
    <row r="390" ht="14.25" customHeight="1" s="175"/>
    <row r="391" ht="14.25" customHeight="1" s="175"/>
    <row r="392" ht="14.25" customHeight="1" s="175"/>
    <row r="393" ht="14.25" customHeight="1" s="175"/>
    <row r="394" ht="14.25" customHeight="1" s="175"/>
    <row r="395" ht="14.25" customHeight="1" s="175"/>
    <row r="396" ht="14.25" customHeight="1" s="175"/>
    <row r="397" ht="14.25" customHeight="1" s="175"/>
    <row r="398" ht="14.25" customHeight="1" s="175"/>
    <row r="399" ht="14.25" customHeight="1" s="175"/>
    <row r="400" ht="14.25" customHeight="1" s="175"/>
    <row r="401" ht="14.25" customHeight="1" s="175"/>
    <row r="402" ht="14.25" customHeight="1" s="175"/>
    <row r="403" ht="14.25" customHeight="1" s="175"/>
    <row r="404" ht="14.25" customHeight="1" s="175"/>
    <row r="405" ht="14.25" customHeight="1" s="175"/>
    <row r="406" ht="14.25" customHeight="1" s="175"/>
    <row r="407" ht="14.25" customHeight="1" s="175"/>
    <row r="408" ht="14.25" customHeight="1" s="175"/>
    <row r="409" ht="14.25" customHeight="1" s="175"/>
    <row r="410" ht="14.25" customHeight="1" s="175"/>
    <row r="411" ht="14.25" customHeight="1" s="175"/>
    <row r="412" ht="14.25" customHeight="1" s="175"/>
    <row r="413" ht="14.25" customHeight="1" s="175"/>
    <row r="414" ht="14.25" customHeight="1" s="175"/>
    <row r="415" ht="14.25" customHeight="1" s="175"/>
    <row r="416" ht="14.25" customHeight="1" s="175"/>
    <row r="417" ht="14.25" customHeight="1" s="175"/>
    <row r="418" ht="14.25" customHeight="1" s="175"/>
    <row r="419" ht="14.25" customHeight="1" s="175"/>
    <row r="420" ht="14.25" customHeight="1" s="175"/>
    <row r="421" ht="14.25" customHeight="1" s="175"/>
    <row r="422" ht="14.25" customHeight="1" s="175"/>
    <row r="423" ht="14.25" customHeight="1" s="175"/>
    <row r="424" ht="14.25" customHeight="1" s="175"/>
    <row r="425" ht="14.25" customHeight="1" s="175"/>
    <row r="426" ht="14.25" customHeight="1" s="175"/>
    <row r="427" ht="14.25" customHeight="1" s="175"/>
    <row r="428" ht="14.25" customHeight="1" s="175"/>
    <row r="429" ht="14.25" customHeight="1" s="175"/>
    <row r="430" ht="14.25" customHeight="1" s="175"/>
    <row r="431" ht="14.25" customHeight="1" s="175"/>
    <row r="432" ht="14.25" customHeight="1" s="175"/>
    <row r="433" ht="14.25" customHeight="1" s="175"/>
    <row r="434" ht="14.25" customHeight="1" s="175"/>
    <row r="435" ht="14.25" customHeight="1" s="175"/>
    <row r="436" ht="14.25" customHeight="1" s="175"/>
    <row r="437" ht="14.25" customHeight="1" s="175"/>
    <row r="438" ht="14.25" customHeight="1" s="175"/>
    <row r="439" ht="14.25" customHeight="1" s="175"/>
    <row r="440" ht="14.25" customHeight="1" s="175"/>
    <row r="441" ht="14.25" customHeight="1" s="175"/>
    <row r="442" ht="14.25" customHeight="1" s="175"/>
    <row r="443" ht="14.25" customHeight="1" s="175"/>
    <row r="444" ht="14.25" customHeight="1" s="175"/>
    <row r="445" ht="14.25" customHeight="1" s="175"/>
    <row r="446" ht="14.25" customHeight="1" s="175"/>
    <row r="447" ht="14.25" customHeight="1" s="175"/>
    <row r="448" ht="14.25" customHeight="1" s="175"/>
    <row r="449" ht="14.25" customHeight="1" s="175"/>
    <row r="450" ht="14.25" customHeight="1" s="175"/>
    <row r="451" ht="14.25" customHeight="1" s="175"/>
    <row r="452" ht="14.25" customHeight="1" s="175"/>
    <row r="453" ht="14.25" customHeight="1" s="175"/>
    <row r="454" ht="14.25" customHeight="1" s="175"/>
    <row r="455" ht="14.25" customHeight="1" s="175"/>
    <row r="456" ht="14.25" customHeight="1" s="175"/>
    <row r="457" ht="14.25" customHeight="1" s="175"/>
    <row r="458" ht="14.25" customHeight="1" s="175"/>
    <row r="459" ht="14.25" customHeight="1" s="175"/>
    <row r="460" ht="14.25" customHeight="1" s="175"/>
    <row r="461" ht="14.25" customHeight="1" s="175"/>
    <row r="462" ht="14.25" customHeight="1" s="175"/>
    <row r="463" ht="14.25" customHeight="1" s="175"/>
    <row r="464" ht="14.25" customHeight="1" s="175"/>
    <row r="465" ht="14.25" customHeight="1" s="175"/>
    <row r="466" ht="14.25" customHeight="1" s="175"/>
    <row r="467" ht="14.25" customHeight="1" s="175"/>
    <row r="468" ht="14.25" customHeight="1" s="175"/>
    <row r="469" ht="14.25" customHeight="1" s="175"/>
    <row r="470" ht="14.25" customHeight="1" s="175"/>
    <row r="471" ht="14.25" customHeight="1" s="175"/>
    <row r="472" ht="14.25" customHeight="1" s="175"/>
    <row r="473" ht="14.25" customHeight="1" s="175"/>
    <row r="474" ht="14.25" customHeight="1" s="175"/>
    <row r="475" ht="14.25" customHeight="1" s="175"/>
    <row r="476" ht="14.25" customHeight="1" s="175"/>
    <row r="477" ht="14.25" customHeight="1" s="175"/>
    <row r="478" ht="14.25" customHeight="1" s="175"/>
    <row r="479" ht="14.25" customHeight="1" s="175"/>
    <row r="480" ht="14.25" customHeight="1" s="175"/>
    <row r="481" ht="14.25" customHeight="1" s="175"/>
    <row r="482" ht="14.25" customHeight="1" s="175"/>
    <row r="483" ht="14.25" customHeight="1" s="175"/>
    <row r="484" ht="14.25" customHeight="1" s="175"/>
    <row r="485" ht="14.25" customHeight="1" s="175"/>
    <row r="486" ht="14.25" customHeight="1" s="175"/>
    <row r="487" ht="14.25" customHeight="1" s="175"/>
    <row r="488" ht="14.25" customHeight="1" s="175"/>
    <row r="489" ht="14.25" customHeight="1" s="175"/>
    <row r="490" ht="14.25" customHeight="1" s="175"/>
    <row r="491" ht="14.25" customHeight="1" s="175"/>
    <row r="492" ht="14.25" customHeight="1" s="175"/>
    <row r="493" ht="14.25" customHeight="1" s="175"/>
    <row r="494" ht="14.25" customHeight="1" s="175"/>
    <row r="495" ht="14.25" customHeight="1" s="175"/>
    <row r="496" ht="14.25" customHeight="1" s="175"/>
    <row r="497" ht="14.25" customHeight="1" s="175"/>
    <row r="498" ht="14.25" customHeight="1" s="175"/>
    <row r="499" ht="14.25" customHeight="1" s="175"/>
    <row r="500" ht="14.25" customHeight="1" s="175"/>
    <row r="501" ht="14.25" customHeight="1" s="175"/>
    <row r="502" ht="14.25" customHeight="1" s="175"/>
    <row r="503" ht="14.25" customHeight="1" s="175"/>
    <row r="504" ht="14.25" customHeight="1" s="175"/>
    <row r="505" ht="14.25" customHeight="1" s="175"/>
    <row r="506" ht="14.25" customHeight="1" s="175"/>
    <row r="507" ht="14.25" customHeight="1" s="175"/>
    <row r="508" ht="14.25" customHeight="1" s="175"/>
    <row r="509" ht="14.25" customHeight="1" s="175"/>
    <row r="510" ht="14.25" customHeight="1" s="175"/>
    <row r="511" ht="14.25" customHeight="1" s="175"/>
    <row r="512" ht="14.25" customHeight="1" s="175"/>
    <row r="513" ht="14.25" customHeight="1" s="175"/>
    <row r="514" ht="14.25" customHeight="1" s="175"/>
    <row r="515" ht="14.25" customHeight="1" s="175"/>
    <row r="516" ht="14.25" customHeight="1" s="175"/>
    <row r="517" ht="14.25" customHeight="1" s="175"/>
    <row r="518" ht="14.25" customHeight="1" s="175"/>
    <row r="519" ht="14.25" customHeight="1" s="175"/>
    <row r="520" ht="14.25" customHeight="1" s="175"/>
    <row r="521" ht="14.25" customHeight="1" s="175"/>
    <row r="522" ht="14.25" customHeight="1" s="175"/>
    <row r="523" ht="14.25" customHeight="1" s="175"/>
    <row r="524" ht="14.25" customHeight="1" s="175"/>
    <row r="525" ht="14.25" customHeight="1" s="175"/>
    <row r="526" ht="14.25" customHeight="1" s="175"/>
    <row r="527" ht="14.25" customHeight="1" s="175"/>
    <row r="528" ht="14.25" customHeight="1" s="175"/>
    <row r="529" ht="14.25" customHeight="1" s="175"/>
    <row r="530" ht="14.25" customHeight="1" s="175"/>
    <row r="531" ht="14.25" customHeight="1" s="175"/>
    <row r="532" ht="14.25" customHeight="1" s="175"/>
    <row r="533" ht="14.25" customHeight="1" s="175"/>
    <row r="534" ht="14.25" customHeight="1" s="175"/>
    <row r="535" ht="14.25" customHeight="1" s="175"/>
    <row r="536" ht="14.25" customHeight="1" s="175"/>
    <row r="537" ht="14.25" customHeight="1" s="175"/>
    <row r="538" ht="14.25" customHeight="1" s="175"/>
    <row r="539" ht="14.25" customHeight="1" s="175"/>
    <row r="540" ht="14.25" customHeight="1" s="175"/>
    <row r="541" ht="14.25" customHeight="1" s="175"/>
    <row r="542" ht="14.25" customHeight="1" s="175"/>
    <row r="543" ht="14.25" customHeight="1" s="175"/>
    <row r="544" ht="14.25" customHeight="1" s="175"/>
    <row r="545" ht="14.25" customHeight="1" s="175"/>
    <row r="546" ht="14.25" customHeight="1" s="175"/>
    <row r="547" ht="14.25" customHeight="1" s="175"/>
    <row r="548" ht="14.25" customHeight="1" s="175"/>
    <row r="549" ht="14.25" customHeight="1" s="175"/>
    <row r="550" ht="14.25" customHeight="1" s="175"/>
    <row r="551" ht="14.25" customHeight="1" s="175"/>
    <row r="552" ht="14.25" customHeight="1" s="175"/>
    <row r="553" ht="14.25" customHeight="1" s="175"/>
    <row r="554" ht="14.25" customHeight="1" s="175"/>
    <row r="555" ht="14.25" customHeight="1" s="175"/>
    <row r="556" ht="14.25" customHeight="1" s="175"/>
    <row r="557" ht="14.25" customHeight="1" s="175"/>
    <row r="558" ht="14.25" customHeight="1" s="175"/>
    <row r="559" ht="14.25" customHeight="1" s="175"/>
    <row r="560" ht="14.25" customHeight="1" s="175"/>
    <row r="561" ht="14.25" customHeight="1" s="175"/>
    <row r="562" ht="14.25" customHeight="1" s="175"/>
    <row r="563" ht="14.25" customHeight="1" s="175"/>
    <row r="564" ht="14.25" customHeight="1" s="175"/>
    <row r="565" ht="14.25" customHeight="1" s="175"/>
    <row r="566" ht="14.25" customHeight="1" s="175"/>
    <row r="567" ht="14.25" customHeight="1" s="175"/>
    <row r="568" ht="14.25" customHeight="1" s="175"/>
    <row r="569" ht="14.25" customHeight="1" s="175"/>
    <row r="570" ht="14.25" customHeight="1" s="175"/>
    <row r="571" ht="14.25" customHeight="1" s="175"/>
    <row r="572" ht="14.25" customHeight="1" s="175"/>
    <row r="573" ht="14.25" customHeight="1" s="175"/>
    <row r="574" ht="14.25" customHeight="1" s="175"/>
    <row r="575" ht="14.25" customHeight="1" s="175"/>
    <row r="576" ht="14.25" customHeight="1" s="175"/>
    <row r="577" ht="14.25" customHeight="1" s="175"/>
    <row r="578" ht="14.25" customHeight="1" s="175"/>
    <row r="579" ht="14.25" customHeight="1" s="175"/>
    <row r="580" ht="14.25" customHeight="1" s="175"/>
    <row r="581" ht="14.25" customHeight="1" s="175"/>
    <row r="582" ht="14.25" customHeight="1" s="175"/>
    <row r="583" ht="14.25" customHeight="1" s="175"/>
    <row r="584" ht="14.25" customHeight="1" s="175"/>
    <row r="585" ht="14.25" customHeight="1" s="175"/>
    <row r="586" ht="14.25" customHeight="1" s="175"/>
    <row r="587" ht="14.25" customHeight="1" s="175"/>
    <row r="588" ht="14.25" customHeight="1" s="175"/>
    <row r="589" ht="14.25" customHeight="1" s="175"/>
    <row r="590" ht="14.25" customHeight="1" s="175"/>
    <row r="591" ht="14.25" customHeight="1" s="175"/>
    <row r="592" ht="14.25" customHeight="1" s="175"/>
    <row r="593" ht="14.25" customHeight="1" s="175"/>
    <row r="594" ht="14.25" customHeight="1" s="175"/>
    <row r="595" ht="14.25" customHeight="1" s="175"/>
    <row r="596" ht="14.25" customHeight="1" s="175"/>
    <row r="597" ht="14.25" customHeight="1" s="175"/>
    <row r="598" ht="14.25" customHeight="1" s="175"/>
    <row r="599" ht="14.25" customHeight="1" s="175"/>
    <row r="600" ht="14.25" customHeight="1" s="175"/>
    <row r="601" ht="14.25" customHeight="1" s="175"/>
    <row r="602" ht="14.25" customHeight="1" s="175"/>
    <row r="603" ht="14.25" customHeight="1" s="175"/>
    <row r="604" ht="14.25" customHeight="1" s="175"/>
    <row r="605" ht="14.25" customHeight="1" s="175"/>
    <row r="606" ht="14.25" customHeight="1" s="175"/>
    <row r="607" ht="14.25" customHeight="1" s="175"/>
    <row r="608" ht="14.25" customHeight="1" s="175"/>
    <row r="609" ht="14.25" customHeight="1" s="175"/>
    <row r="610" ht="14.25" customHeight="1" s="175"/>
    <row r="611" ht="14.25" customHeight="1" s="175"/>
    <row r="612" ht="14.25" customHeight="1" s="175"/>
    <row r="613" ht="14.25" customHeight="1" s="175"/>
    <row r="614" ht="14.25" customHeight="1" s="175"/>
    <row r="615" ht="14.25" customHeight="1" s="175"/>
    <row r="616" ht="14.25" customHeight="1" s="175"/>
    <row r="617" ht="14.25" customHeight="1" s="175"/>
    <row r="618" ht="14.25" customHeight="1" s="175"/>
    <row r="619" ht="14.25" customHeight="1" s="175"/>
    <row r="620" ht="14.25" customHeight="1" s="175"/>
    <row r="621" ht="14.25" customHeight="1" s="175"/>
    <row r="622" ht="14.25" customHeight="1" s="175"/>
    <row r="623" ht="14.25" customHeight="1" s="175"/>
    <row r="624" ht="14.25" customHeight="1" s="175"/>
    <row r="625" ht="14.25" customHeight="1" s="175"/>
    <row r="626" ht="14.25" customHeight="1" s="175"/>
    <row r="627" ht="14.25" customHeight="1" s="175"/>
    <row r="628" ht="14.25" customHeight="1" s="175"/>
    <row r="629" ht="14.25" customHeight="1" s="175"/>
    <row r="630" ht="14.25" customHeight="1" s="175"/>
    <row r="631" ht="14.25" customHeight="1" s="175"/>
    <row r="632" ht="14.25" customHeight="1" s="175"/>
    <row r="633" ht="14.25" customHeight="1" s="175"/>
    <row r="634" ht="14.25" customHeight="1" s="175"/>
    <row r="635" ht="14.25" customHeight="1" s="175"/>
    <row r="636" ht="14.25" customHeight="1" s="175"/>
    <row r="637" ht="14.25" customHeight="1" s="175"/>
    <row r="638" ht="14.25" customHeight="1" s="175"/>
    <row r="639" ht="14.25" customHeight="1" s="175"/>
    <row r="640" ht="14.25" customHeight="1" s="175"/>
    <row r="641" ht="14.25" customHeight="1" s="175"/>
    <row r="642" ht="14.25" customHeight="1" s="175"/>
    <row r="643" ht="14.25" customHeight="1" s="175"/>
    <row r="644" ht="14.25" customHeight="1" s="175"/>
    <row r="645" ht="14.25" customHeight="1" s="175"/>
    <row r="646" ht="14.25" customHeight="1" s="175"/>
    <row r="647" ht="14.25" customHeight="1" s="175"/>
    <row r="648" ht="14.25" customHeight="1" s="175"/>
    <row r="649" ht="14.25" customHeight="1" s="175"/>
    <row r="650" ht="14.25" customHeight="1" s="175"/>
    <row r="651" ht="14.25" customHeight="1" s="175"/>
    <row r="652" ht="14.25" customHeight="1" s="175"/>
    <row r="653" ht="14.25" customHeight="1" s="175"/>
    <row r="654" ht="14.25" customHeight="1" s="175"/>
    <row r="655" ht="14.25" customHeight="1" s="175"/>
    <row r="656" ht="14.25" customHeight="1" s="175"/>
    <row r="657" ht="14.25" customHeight="1" s="175"/>
    <row r="658" ht="14.25" customHeight="1" s="175"/>
    <row r="659" ht="14.25" customHeight="1" s="175"/>
    <row r="660" ht="14.25" customHeight="1" s="175"/>
    <row r="661" ht="14.25" customHeight="1" s="175"/>
    <row r="662" ht="14.25" customHeight="1" s="175"/>
    <row r="663" ht="14.25" customHeight="1" s="175"/>
    <row r="664" ht="14.25" customHeight="1" s="175"/>
    <row r="665" ht="14.25" customHeight="1" s="175"/>
    <row r="666" ht="14.25" customHeight="1" s="175"/>
    <row r="667" ht="14.25" customHeight="1" s="175"/>
    <row r="668" ht="14.25" customHeight="1" s="175"/>
    <row r="669" ht="14.25" customHeight="1" s="175"/>
    <row r="670" ht="14.25" customHeight="1" s="175"/>
    <row r="671" ht="14.25" customHeight="1" s="175"/>
    <row r="672" ht="14.25" customHeight="1" s="175"/>
    <row r="673" ht="14.25" customHeight="1" s="175"/>
    <row r="674" ht="14.25" customHeight="1" s="175"/>
    <row r="675" ht="14.25" customHeight="1" s="175"/>
    <row r="676" ht="14.25" customHeight="1" s="175"/>
    <row r="677" ht="14.25" customHeight="1" s="175"/>
    <row r="678" ht="14.25" customHeight="1" s="175"/>
    <row r="679" ht="14.25" customHeight="1" s="175"/>
    <row r="680" ht="14.25" customHeight="1" s="175"/>
    <row r="681" ht="14.25" customHeight="1" s="175"/>
    <row r="682" ht="14.25" customHeight="1" s="175"/>
    <row r="683" ht="14.25" customHeight="1" s="175"/>
    <row r="684" ht="14.25" customHeight="1" s="175"/>
    <row r="685" ht="14.25" customHeight="1" s="175"/>
    <row r="686" ht="14.25" customHeight="1" s="175"/>
    <row r="687" ht="14.25" customHeight="1" s="175"/>
    <row r="688" ht="14.25" customHeight="1" s="175"/>
    <row r="689" ht="14.25" customHeight="1" s="175"/>
    <row r="690" ht="14.25" customHeight="1" s="175"/>
    <row r="691" ht="14.25" customHeight="1" s="175"/>
    <row r="692" ht="14.25" customHeight="1" s="175"/>
    <row r="693" ht="14.25" customHeight="1" s="175"/>
    <row r="694" ht="14.25" customHeight="1" s="175"/>
    <row r="695" ht="14.25" customHeight="1" s="175"/>
    <row r="696" ht="14.25" customHeight="1" s="175"/>
    <row r="697" ht="14.25" customHeight="1" s="175"/>
    <row r="698" ht="14.25" customHeight="1" s="175"/>
    <row r="699" ht="14.25" customHeight="1" s="175"/>
    <row r="700" ht="14.25" customHeight="1" s="175"/>
    <row r="701" ht="14.25" customHeight="1" s="175"/>
    <row r="702" ht="14.25" customHeight="1" s="175"/>
    <row r="703" ht="14.25" customHeight="1" s="175"/>
    <row r="704" ht="14.25" customHeight="1" s="175"/>
    <row r="705" ht="14.25" customHeight="1" s="175"/>
    <row r="706" ht="14.25" customHeight="1" s="175"/>
    <row r="707" ht="14.25" customHeight="1" s="175"/>
    <row r="708" ht="14.25" customHeight="1" s="175"/>
    <row r="709" ht="14.25" customHeight="1" s="175"/>
    <row r="710" ht="14.25" customHeight="1" s="175"/>
    <row r="711" ht="14.25" customHeight="1" s="175"/>
    <row r="712" ht="14.25" customHeight="1" s="175"/>
    <row r="713" ht="14.25" customHeight="1" s="175"/>
    <row r="714" ht="14.25" customHeight="1" s="175"/>
    <row r="715" ht="14.25" customHeight="1" s="175"/>
    <row r="716" ht="14.25" customHeight="1" s="175"/>
    <row r="717" ht="14.25" customHeight="1" s="175"/>
    <row r="718" ht="14.25" customHeight="1" s="175"/>
    <row r="719" ht="14.25" customHeight="1" s="175"/>
    <row r="720" ht="14.25" customHeight="1" s="175"/>
    <row r="721" ht="14.25" customHeight="1" s="175"/>
    <row r="722" ht="14.25" customHeight="1" s="175"/>
    <row r="723" ht="14.25" customHeight="1" s="175"/>
    <row r="724" ht="14.25" customHeight="1" s="175"/>
    <row r="725" ht="14.25" customHeight="1" s="175"/>
    <row r="726" ht="14.25" customHeight="1" s="175"/>
    <row r="727" ht="14.25" customHeight="1" s="175"/>
    <row r="728" ht="14.25" customHeight="1" s="175"/>
    <row r="729" ht="14.25" customHeight="1" s="175"/>
    <row r="730" ht="14.25" customHeight="1" s="175"/>
    <row r="731" ht="14.25" customHeight="1" s="175"/>
    <row r="732" ht="14.25" customHeight="1" s="175"/>
    <row r="733" ht="14.25" customHeight="1" s="175"/>
    <row r="734" ht="14.25" customHeight="1" s="175"/>
    <row r="735" ht="14.25" customHeight="1" s="175"/>
    <row r="736" ht="14.25" customHeight="1" s="175"/>
    <row r="737" ht="14.25" customHeight="1" s="175"/>
    <row r="738" ht="14.25" customHeight="1" s="175"/>
    <row r="739" ht="14.25" customHeight="1" s="175"/>
    <row r="740" ht="14.25" customHeight="1" s="175"/>
    <row r="741" ht="14.25" customHeight="1" s="175"/>
    <row r="742" ht="14.25" customHeight="1" s="175"/>
    <row r="743" ht="14.25" customHeight="1" s="175"/>
    <row r="744" ht="14.25" customHeight="1" s="175"/>
    <row r="745" ht="14.25" customHeight="1" s="175"/>
    <row r="746" ht="14.25" customHeight="1" s="175"/>
    <row r="747" ht="14.25" customHeight="1" s="175"/>
    <row r="748" ht="14.25" customHeight="1" s="175"/>
    <row r="749" ht="14.25" customHeight="1" s="175"/>
    <row r="750" ht="14.25" customHeight="1" s="175"/>
    <row r="751" ht="14.25" customHeight="1" s="175"/>
    <row r="752" ht="14.25" customHeight="1" s="175"/>
    <row r="753" ht="14.25" customHeight="1" s="175"/>
    <row r="754" ht="14.25" customHeight="1" s="175"/>
    <row r="755" ht="14.25" customHeight="1" s="175"/>
    <row r="756" ht="14.25" customHeight="1" s="175"/>
    <row r="757" ht="14.25" customHeight="1" s="175"/>
    <row r="758" ht="14.25" customHeight="1" s="175"/>
    <row r="759" ht="14.25" customHeight="1" s="175"/>
    <row r="760" ht="14.25" customHeight="1" s="175"/>
    <row r="761" ht="14.25" customHeight="1" s="175"/>
    <row r="762" ht="14.25" customHeight="1" s="175"/>
    <row r="763" ht="14.25" customHeight="1" s="175"/>
    <row r="764" ht="14.25" customHeight="1" s="175"/>
    <row r="765" ht="14.25" customHeight="1" s="175"/>
    <row r="766" ht="14.25" customHeight="1" s="175"/>
    <row r="767" ht="14.25" customHeight="1" s="175"/>
    <row r="768" ht="14.25" customHeight="1" s="175"/>
    <row r="769" ht="14.25" customHeight="1" s="175"/>
    <row r="770" ht="14.25" customHeight="1" s="175"/>
    <row r="771" ht="14.25" customHeight="1" s="175"/>
    <row r="772" ht="14.25" customHeight="1" s="175"/>
    <row r="773" ht="14.25" customHeight="1" s="175"/>
    <row r="774" ht="14.25" customHeight="1" s="175"/>
    <row r="775" ht="14.25" customHeight="1" s="175"/>
    <row r="776" ht="14.25" customHeight="1" s="175"/>
    <row r="777" ht="14.25" customHeight="1" s="175"/>
    <row r="778" ht="14.25" customHeight="1" s="175"/>
    <row r="779" ht="14.25" customHeight="1" s="175"/>
    <row r="780" ht="14.25" customHeight="1" s="175"/>
    <row r="781" ht="14.25" customHeight="1" s="175"/>
    <row r="782" ht="14.25" customHeight="1" s="175"/>
    <row r="783" ht="14.25" customHeight="1" s="175"/>
    <row r="784" ht="14.25" customHeight="1" s="175"/>
    <row r="785" ht="14.25" customHeight="1" s="175"/>
    <row r="786" ht="14.25" customHeight="1" s="175"/>
    <row r="787" ht="14.25" customHeight="1" s="175"/>
    <row r="788" ht="14.25" customHeight="1" s="175"/>
    <row r="789" ht="14.25" customHeight="1" s="175"/>
    <row r="790" ht="14.25" customHeight="1" s="175"/>
    <row r="791" ht="14.25" customHeight="1" s="175"/>
    <row r="792" ht="14.25" customHeight="1" s="175"/>
    <row r="793" ht="14.25" customHeight="1" s="175"/>
    <row r="794" ht="14.25" customHeight="1" s="175"/>
    <row r="795" ht="14.25" customHeight="1" s="175"/>
    <row r="796" ht="14.25" customHeight="1" s="175"/>
    <row r="797" ht="14.25" customHeight="1" s="175"/>
    <row r="798" ht="14.25" customHeight="1" s="175"/>
    <row r="799" ht="14.25" customHeight="1" s="175"/>
    <row r="800" ht="14.25" customHeight="1" s="175"/>
    <row r="801" ht="14.25" customHeight="1" s="175"/>
    <row r="802" ht="14.25" customHeight="1" s="175"/>
    <row r="803" ht="14.25" customHeight="1" s="175"/>
    <row r="804" ht="14.25" customHeight="1" s="175"/>
    <row r="805" ht="14.25" customHeight="1" s="175"/>
    <row r="806" ht="14.25" customHeight="1" s="175"/>
    <row r="807" ht="14.25" customHeight="1" s="175"/>
    <row r="808" ht="14.25" customHeight="1" s="175"/>
    <row r="809" ht="14.25" customHeight="1" s="175"/>
    <row r="810" ht="14.25" customHeight="1" s="175"/>
    <row r="811" ht="14.25" customHeight="1" s="175"/>
    <row r="812" ht="14.25" customHeight="1" s="175"/>
    <row r="813" ht="14.25" customHeight="1" s="175"/>
    <row r="814" ht="14.25" customHeight="1" s="175"/>
    <row r="815" ht="14.25" customHeight="1" s="175"/>
    <row r="816" ht="14.25" customHeight="1" s="175"/>
    <row r="817" ht="14.25" customHeight="1" s="175"/>
    <row r="818" ht="14.25" customHeight="1" s="175"/>
    <row r="819" ht="14.25" customHeight="1" s="175"/>
    <row r="820" ht="14.25" customHeight="1" s="175"/>
    <row r="821" ht="14.25" customHeight="1" s="175"/>
    <row r="822" ht="14.25" customHeight="1" s="175"/>
    <row r="823" ht="14.25" customHeight="1" s="175"/>
    <row r="824" ht="14.25" customHeight="1" s="175"/>
    <row r="825" ht="14.25" customHeight="1" s="175"/>
    <row r="826" ht="14.25" customHeight="1" s="175"/>
    <row r="827" ht="14.25" customHeight="1" s="175"/>
    <row r="828" ht="14.25" customHeight="1" s="175"/>
    <row r="829" ht="14.25" customHeight="1" s="175"/>
    <row r="830" ht="14.25" customHeight="1" s="175"/>
    <row r="831" ht="14.25" customHeight="1" s="175"/>
    <row r="832" ht="14.25" customHeight="1" s="175"/>
    <row r="833" ht="14.25" customHeight="1" s="175"/>
    <row r="834" ht="14.25" customHeight="1" s="175"/>
    <row r="835" ht="14.25" customHeight="1" s="175"/>
    <row r="836" ht="14.25" customHeight="1" s="175"/>
    <row r="837" ht="14.25" customHeight="1" s="175"/>
    <row r="838" ht="14.25" customHeight="1" s="175"/>
    <row r="839" ht="14.25" customHeight="1" s="175"/>
    <row r="840" ht="14.25" customHeight="1" s="175"/>
    <row r="841" ht="14.25" customHeight="1" s="175"/>
    <row r="842" ht="14.25" customHeight="1" s="175"/>
    <row r="843" ht="14.25" customHeight="1" s="175"/>
    <row r="844" ht="14.25" customHeight="1" s="175"/>
    <row r="845" ht="14.25" customHeight="1" s="175"/>
    <row r="846" ht="14.25" customHeight="1" s="175"/>
    <row r="847" ht="14.25" customHeight="1" s="175"/>
    <row r="848" ht="14.25" customHeight="1" s="175"/>
    <row r="849" ht="14.25" customHeight="1" s="175"/>
    <row r="850" ht="14.25" customHeight="1" s="175"/>
    <row r="851" ht="14.25" customHeight="1" s="175"/>
    <row r="852" ht="14.25" customHeight="1" s="175"/>
    <row r="853" ht="14.25" customHeight="1" s="175"/>
    <row r="854" ht="14.25" customHeight="1" s="175"/>
    <row r="855" ht="14.25" customHeight="1" s="175"/>
    <row r="856" ht="14.25" customHeight="1" s="175"/>
    <row r="857" ht="14.25" customHeight="1" s="175"/>
    <row r="858" ht="14.25" customHeight="1" s="175"/>
    <row r="859" ht="14.25" customHeight="1" s="175"/>
    <row r="860" ht="14.25" customHeight="1" s="175"/>
    <row r="861" ht="14.25" customHeight="1" s="175"/>
    <row r="862" ht="14.25" customHeight="1" s="175"/>
    <row r="863" ht="14.25" customHeight="1" s="175"/>
    <row r="864" ht="14.25" customHeight="1" s="175"/>
    <row r="865" ht="14.25" customHeight="1" s="175"/>
    <row r="866" ht="14.25" customHeight="1" s="175"/>
    <row r="867" ht="14.25" customHeight="1" s="175"/>
    <row r="868" ht="14.25" customHeight="1" s="175"/>
    <row r="869" ht="14.25" customHeight="1" s="175"/>
    <row r="870" ht="14.25" customHeight="1" s="175"/>
    <row r="871" ht="14.25" customHeight="1" s="175"/>
    <row r="872" ht="14.25" customHeight="1" s="175"/>
    <row r="873" ht="14.25" customHeight="1" s="175"/>
    <row r="874" ht="14.25" customHeight="1" s="175"/>
    <row r="875" ht="14.25" customHeight="1" s="175"/>
    <row r="876" ht="14.25" customHeight="1" s="175"/>
    <row r="877" ht="14.25" customHeight="1" s="175"/>
    <row r="878" ht="14.25" customHeight="1" s="175"/>
    <row r="879" ht="14.25" customHeight="1" s="175"/>
    <row r="880" ht="14.25" customHeight="1" s="175"/>
    <row r="881" ht="14.25" customHeight="1" s="175"/>
    <row r="882" ht="14.25" customHeight="1" s="175"/>
    <row r="883" ht="14.25" customHeight="1" s="175"/>
    <row r="884" ht="14.25" customHeight="1" s="175"/>
    <row r="885" ht="14.25" customHeight="1" s="175"/>
    <row r="886" ht="14.25" customHeight="1" s="175"/>
    <row r="887" ht="14.25" customHeight="1" s="175"/>
    <row r="888" ht="14.25" customHeight="1" s="175"/>
    <row r="889" ht="14.25" customHeight="1" s="175"/>
    <row r="890" ht="14.25" customHeight="1" s="175"/>
    <row r="891" ht="14.25" customHeight="1" s="175"/>
    <row r="892" ht="14.25" customHeight="1" s="175"/>
    <row r="893" ht="14.25" customHeight="1" s="175"/>
    <row r="894" ht="14.25" customHeight="1" s="175"/>
    <row r="895" ht="14.25" customHeight="1" s="175"/>
    <row r="896" ht="14.25" customHeight="1" s="175"/>
    <row r="897" ht="14.25" customHeight="1" s="175"/>
    <row r="898" ht="14.25" customHeight="1" s="175"/>
    <row r="899" ht="14.25" customHeight="1" s="175"/>
    <row r="900" ht="14.25" customHeight="1" s="175"/>
    <row r="901" ht="14.25" customHeight="1" s="175"/>
    <row r="902" ht="14.25" customHeight="1" s="175"/>
    <row r="903" ht="14.25" customHeight="1" s="175"/>
    <row r="904" ht="14.25" customHeight="1" s="175"/>
    <row r="905" ht="14.25" customHeight="1" s="175"/>
    <row r="906" ht="14.25" customHeight="1" s="175"/>
    <row r="907" ht="14.25" customHeight="1" s="175"/>
    <row r="908" ht="14.25" customHeight="1" s="175"/>
    <row r="909" ht="14.25" customHeight="1" s="175"/>
    <row r="910" ht="14.25" customHeight="1" s="175"/>
    <row r="911" ht="14.25" customHeight="1" s="175"/>
    <row r="912" ht="14.25" customHeight="1" s="175"/>
    <row r="913" ht="14.25" customHeight="1" s="175"/>
    <row r="914" ht="14.25" customHeight="1" s="175"/>
    <row r="915" ht="14.25" customHeight="1" s="175"/>
    <row r="916" ht="14.25" customHeight="1" s="175"/>
    <row r="917" ht="14.25" customHeight="1" s="175"/>
    <row r="918" ht="14.25" customHeight="1" s="175"/>
    <row r="919" ht="14.25" customHeight="1" s="175"/>
    <row r="920" ht="14.25" customHeight="1" s="175"/>
    <row r="921" ht="14.25" customHeight="1" s="175"/>
    <row r="922" ht="14.25" customHeight="1" s="175"/>
    <row r="923" ht="14.25" customHeight="1" s="175"/>
    <row r="924" ht="14.25" customHeight="1" s="175"/>
    <row r="925" ht="14.25" customHeight="1" s="175"/>
    <row r="926" ht="14.25" customHeight="1" s="175"/>
    <row r="927" ht="14.25" customHeight="1" s="175"/>
    <row r="928" ht="14.25" customHeight="1" s="175"/>
    <row r="929" ht="14.25" customHeight="1" s="175"/>
    <row r="930" ht="14.25" customHeight="1" s="175"/>
    <row r="931" ht="14.25" customHeight="1" s="175"/>
    <row r="932" ht="14.25" customHeight="1" s="175"/>
    <row r="933" ht="14.25" customHeight="1" s="175"/>
    <row r="934" ht="14.25" customHeight="1" s="175"/>
    <row r="935" ht="14.25" customHeight="1" s="175"/>
    <row r="936" ht="14.25" customHeight="1" s="175"/>
    <row r="937" ht="14.25" customHeight="1" s="175"/>
    <row r="938" ht="14.25" customHeight="1" s="175"/>
    <row r="939" ht="14.25" customHeight="1" s="175"/>
    <row r="940" ht="14.25" customHeight="1" s="175"/>
    <row r="941" ht="14.25" customHeight="1" s="175"/>
    <row r="942" ht="14.25" customHeight="1" s="175"/>
    <row r="943" ht="14.25" customHeight="1" s="175"/>
    <row r="944" ht="14.25" customHeight="1" s="175"/>
    <row r="945" ht="14.25" customHeight="1" s="175"/>
    <row r="946" ht="14.25" customHeight="1" s="175"/>
    <row r="947" ht="14.25" customHeight="1" s="175"/>
    <row r="948" ht="14.25" customHeight="1" s="175"/>
    <row r="949" ht="14.25" customHeight="1" s="175"/>
    <row r="950" ht="14.25" customHeight="1" s="175"/>
    <row r="951" ht="14.25" customHeight="1" s="175"/>
    <row r="952" ht="14.25" customHeight="1" s="175"/>
    <row r="953" ht="14.25" customHeight="1" s="175"/>
    <row r="954" ht="14.25" customHeight="1" s="175"/>
    <row r="955" ht="14.25" customHeight="1" s="175"/>
    <row r="956" ht="14.25" customHeight="1" s="175"/>
    <row r="957" ht="14.25" customHeight="1" s="175"/>
    <row r="958" ht="14.25" customHeight="1" s="175"/>
    <row r="959" ht="14.25" customHeight="1" s="175"/>
    <row r="960" ht="14.25" customHeight="1" s="175"/>
    <row r="961" ht="14.25" customHeight="1" s="175"/>
    <row r="962" ht="14.25" customHeight="1" s="175"/>
    <row r="963" ht="14.25" customHeight="1" s="175"/>
    <row r="964" ht="14.25" customHeight="1" s="175"/>
    <row r="965" ht="14.25" customHeight="1" s="175"/>
    <row r="966" ht="14.25" customHeight="1" s="175"/>
    <row r="967" ht="14.25" customHeight="1" s="175"/>
    <row r="968" ht="14.25" customHeight="1" s="175"/>
    <row r="969" ht="14.25" customHeight="1" s="175"/>
    <row r="970" ht="14.25" customHeight="1" s="175"/>
    <row r="971" ht="14.25" customHeight="1" s="175"/>
    <row r="972" ht="14.25" customHeight="1" s="175"/>
    <row r="973" ht="14.25" customHeight="1" s="175"/>
    <row r="974" ht="14.25" customHeight="1" s="175"/>
    <row r="975" ht="14.25" customHeight="1" s="175"/>
    <row r="976" ht="14.25" customHeight="1" s="175"/>
    <row r="977" ht="14.25" customHeight="1" s="175"/>
    <row r="978" ht="14.25" customHeight="1" s="175"/>
    <row r="979" ht="14.25" customHeight="1" s="175"/>
    <row r="980" ht="14.25" customHeight="1" s="175"/>
    <row r="981" ht="14.25" customHeight="1" s="175"/>
    <row r="982" ht="14.25" customHeight="1" s="175"/>
    <row r="983" ht="14.25" customHeight="1" s="175"/>
    <row r="984" ht="14.25" customHeight="1" s="175"/>
    <row r="985" ht="14.25" customHeight="1" s="175"/>
    <row r="986" ht="14.25" customHeight="1" s="175"/>
    <row r="987" ht="14.25" customHeight="1" s="175"/>
    <row r="988" ht="14.25" customHeight="1" s="175"/>
    <row r="989" ht="14.25" customHeight="1" s="175"/>
    <row r="990" ht="14.25" customHeight="1" s="175"/>
    <row r="991" ht="14.25" customHeight="1" s="175"/>
    <row r="992" ht="14.25" customHeight="1" s="175"/>
    <row r="993" ht="14.25" customHeight="1" s="175"/>
    <row r="994" ht="14.25" customHeight="1" s="175"/>
    <row r="995" ht="14.25" customHeight="1" s="175"/>
    <row r="996" ht="14.25" customHeight="1" s="175"/>
    <row r="997" ht="14.25" customHeight="1" s="175"/>
    <row r="998" ht="14.25" customHeight="1" s="175"/>
    <row r="999" ht="14.25" customHeight="1" s="175"/>
    <row r="1000" ht="14.25" customHeight="1" s="175"/>
  </sheetData>
  <mergeCells count="2">
    <mergeCell ref="A1:C1"/>
    <mergeCell ref="E1:L1"/>
  </mergeCells>
  <conditionalFormatting sqref="F3:G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3:H18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K18 L3:L23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3:C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3:B23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C3:C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F3:F2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:G23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3:H23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I23"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23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3:K23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23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2:Q22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B2:AB22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Peter Mcauliffe (RIT Student)</dc:creator>
  <dc:language>en-US</dc:language>
  <dcterms:created xsi:type="dcterms:W3CDTF">2024-04-01T13:56:10Z</dcterms:created>
  <dcterms:modified xsi:type="dcterms:W3CDTF">2026-08-31T18:40:27Z</dcterms:modified>
  <cp:revision>1</cp:revision>
</cp:coreProperties>
</file>