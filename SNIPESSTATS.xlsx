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1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7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Records4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Records5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pivotCache/pivotCacheRecords3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5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olors79.xml" ContentType="application/vnd.ms-office.chartcolorstyle+xml"/>
  <Override PartName="/xl/charts/style79.xml" ContentType="application/vnd.ms-office.chartstyle+xml"/>
  <Override PartName="/xl/charts/colors78.xml" ContentType="application/vnd.ms-office.chartcolorstyle+xml"/>
  <Override PartName="/xl/charts/style78.xml" ContentType="application/vnd.ms-office.chartstyle+xml"/>
  <Override PartName="/xl/charts/colors77.xml" ContentType="application/vnd.ms-office.chartcolorstyle+xml"/>
  <Override PartName="/xl/charts/style77.xml" ContentType="application/vnd.ms-office.chartstyle+xml"/>
  <Override PartName="/xl/charts/colors76.xml" ContentType="application/vnd.ms-office.chartcolorstyle+xml"/>
  <Override PartName="/xl/charts/style76.xml" ContentType="application/vnd.ms-office.chartstyle+xml"/>
  <Override PartName="/xl/charts/colors75.xml" ContentType="application/vnd.ms-office.chartcolorstyle+xml"/>
  <Override PartName="/xl/charts/style75.xml" ContentType="application/vnd.ms-office.chartstyle+xml"/>
  <Override PartName="/xl/charts/style74.xml" ContentType="application/vnd.ms-office.chartstyle+xml"/>
  <Override PartName="/xl/charts/chart74.xml" ContentType="application/vnd.openxmlformats-officedocument.drawingml.chart+xml"/>
  <Override PartName="/xl/charts/style73.xml" ContentType="application/vnd.ms-office.chartstyle+xml"/>
  <Override PartName="/xl/charts/chart71.xml" ContentType="application/vnd.openxmlformats-officedocument.drawingml.chart+xml"/>
  <Override PartName="/xl/charts/colors70.xml" ContentType="application/vnd.ms-office.chartcolorstyle+xml"/>
  <Override PartName="/xl/charts/colors29.xml" ContentType="application/vnd.ms-office.chartcolorstyle+xml"/>
  <Override PartName="/xl/charts/style68.xml" ContentType="application/vnd.ms-office.chartstyle+xml"/>
  <Override PartName="/xl/charts/colors67.xml" ContentType="application/vnd.ms-office.chartcolorstyle+xml"/>
  <Override PartName="/xl/charts/style67.xml" ContentType="application/vnd.ms-office.chartstyle+xml"/>
  <Override PartName="/xl/charts/style65.xml" ContentType="application/vnd.ms-office.chartstyle+xml"/>
  <Override PartName="/xl/charts/style64.xml" ContentType="application/vnd.ms-office.chartstyle+xml"/>
  <Override PartName="/xl/charts/colors63.xml" ContentType="application/vnd.ms-office.chartcolorstyle+xml"/>
  <Override PartName="/xl/charts/style62.xml" ContentType="application/vnd.ms-office.chartstyle+xml"/>
  <Override PartName="/xl/charts/colors61.xml" ContentType="application/vnd.ms-office.chartcolorstyle+xml"/>
  <Override PartName="/xl/charts/colors59.xml" ContentType="application/vnd.ms-office.chartcolorstyle+xml"/>
  <Override PartName="/xl/charts/colors66.xml" ContentType="application/vnd.ms-office.chartcolorstyle+xml"/>
  <Override PartName="/xl/charts/colors58.xml" ContentType="application/vnd.ms-office.chartcolorstyle+xml"/>
  <Override PartName="/xl/charts/style57.xml" ContentType="application/vnd.ms-office.chartstyle+xml"/>
  <Override PartName="/xl/charts/colors56.xml" ContentType="application/vnd.ms-office.chartcolorstyle+xml"/>
  <Override PartName="/xl/charts/colors74.xml" ContentType="application/vnd.ms-office.chartcolorstyle+xml"/>
  <Override PartName="/xl/charts/style56.xml" ContentType="application/vnd.ms-office.chartstyle+xml"/>
  <Override PartName="/xl/charts/colors55.xml" ContentType="application/vnd.ms-office.chartcolorstyle+xml"/>
  <Override PartName="/xl/charts/chart55.xml" ContentType="application/vnd.openxmlformats-officedocument.drawingml.chart+xml"/>
  <Override PartName="/xl/charts/colors54.xml" ContentType="application/vnd.ms-office.chartcolorstyle+xml"/>
  <Override PartName="/xl/charts/style63.xml" ContentType="application/vnd.ms-office.chartstyle+xml"/>
  <Override PartName="/xl/charts/chart54.xml" ContentType="application/vnd.openxmlformats-officedocument.drawingml.chart+xml"/>
  <Override PartName="/xl/charts/colors73.xml" ContentType="application/vnd.ms-office.chartcolorstyle+xml"/>
  <Override PartName="/xl/charts/chart53.xml" ContentType="application/vnd.openxmlformats-officedocument.drawingml.chart+xml"/>
  <Override PartName="/xl/charts/colors52.xml" ContentType="application/vnd.ms-office.chartcolorstyle+xml"/>
  <Override PartName="/xl/charts/style52.xml" ContentType="application/vnd.ms-office.chartstyle+xml"/>
  <Override PartName="/xl/charts/chart52.xml" ContentType="application/vnd.openxmlformats-officedocument.drawingml.chart+xml"/>
  <Override PartName="/xl/charts/colors51.xml" ContentType="application/vnd.ms-office.chartcolorstyle+xml"/>
  <Override PartName="/xl/charts/chart51.xml" ContentType="application/vnd.openxmlformats-officedocument.drawingml.chart+xml"/>
  <Override PartName="/xl/charts/colors50.xml" ContentType="application/vnd.ms-office.chartcolorstyle+xml"/>
  <Override PartName="/xl/charts/colors71.xml" ContentType="application/vnd.ms-office.chartcolorstyle+xml"/>
  <Override PartName="/xl/charts/chart50.xml" ContentType="application/vnd.openxmlformats-officedocument.drawingml.chart+xml"/>
  <Override PartName="/xl/charts/chart90.xml" ContentType="application/vnd.openxmlformats-officedocument.drawingml.chart+xml"/>
  <Override PartName="/xl/charts/style48.xml" ContentType="application/vnd.ms-office.chartstyle+xml"/>
  <Override PartName="/xl/charts/style47.xml" ContentType="application/vnd.ms-office.chartstyle+xml"/>
  <Override PartName="/xl/charts/style45.xml" ContentType="application/vnd.ms-office.chartstyle+xml"/>
  <Override PartName="/xl/charts/chart79.xml" ContentType="application/vnd.openxmlformats-officedocument.drawingml.chart+xml"/>
  <Override PartName="/xl/charts/chart56.xml" ContentType="application/vnd.openxmlformats-officedocument.drawingml.chart+xml"/>
  <Override PartName="/xl/charts/colors49.xml" ContentType="application/vnd.ms-office.chartcolorstyle+xml"/>
  <Override PartName="/xl/charts/colors19.xml" ContentType="application/vnd.ms-office.chartcolorstyle+xml"/>
  <Override PartName="/xl/charts/colors72.xml" ContentType="application/vnd.ms-office.chartcolorstyle+xml"/>
  <Override PartName="/xl/charts/chart60.xml" ContentType="application/vnd.openxmlformats-officedocument.drawingml.chart+xml"/>
  <Override PartName="/xl/charts/colors42.xml" ContentType="application/vnd.ms-office.chartcolorstyle+xml"/>
  <Override PartName="/xl/charts/chart66.xml" ContentType="application/vnd.openxmlformats-officedocument.drawingml.chart+xml"/>
  <Override PartName="/xl/charts/style6.xml" ContentType="application/vnd.ms-office.chartstyle+xml"/>
  <Override PartName="/xl/charts/style31.xml" ContentType="application/vnd.ms-office.chartstyle+xml"/>
  <Override PartName="/xl/charts/chart61.xml" ContentType="application/vnd.openxmlformats-officedocument.drawingml.chart+xml"/>
  <Override PartName="/xl/charts/style39.xml" ContentType="application/vnd.ms-office.chartstyle+xml"/>
  <Override PartName="/xl/charts/style34.xml" ContentType="application/vnd.ms-office.chartstyle+xml"/>
  <Override PartName="/xl/charts/style49.xml" ContentType="application/vnd.ms-office.chartstyle+xml"/>
  <Override PartName="/xl/charts/colors32.xml" ContentType="application/vnd.ms-office.chartcolorstyle+xml"/>
  <Override PartName="/xl/charts/colors20.xml" ContentType="application/vnd.ms-office.chartcolorstyle+xml"/>
  <Override PartName="/xl/charts/chart39.xml" ContentType="application/vnd.openxmlformats-officedocument.drawingml.chart+xml"/>
  <Override PartName="/xl/charts/chart69.xml" ContentType="application/vnd.openxmlformats-officedocument.drawingml.chart+xml"/>
  <Override PartName="/xl/charts/chart27.xml" ContentType="application/vnd.openxmlformats-officedocument.drawingml.chart+xml"/>
  <Override PartName="/xl/charts/chart7.xml" ContentType="application/vnd.openxmlformats-officedocument.drawingml.chart+xml"/>
  <Override PartName="/xl/charts/style36.xml" ContentType="application/vnd.ms-office.chartstyle+xml"/>
  <Override PartName="/xl/charts/colors27.xml" ContentType="application/vnd.ms-office.chartcolorstyle+xml"/>
  <Override PartName="/xl/charts/chart67.xml" ContentType="application/vnd.openxmlformats-officedocument.drawingml.chart+xml"/>
  <Override PartName="/xl/charts/colors28.xml" ContentType="application/vnd.ms-office.chartcolorstyle+xml"/>
  <Override PartName="/xl/charts/chart28.xml" ContentType="application/vnd.openxmlformats-officedocument.drawingml.chart+xml"/>
  <Override PartName="/xl/charts/chart65.xml" ContentType="application/vnd.openxmlformats-officedocument.drawingml.chart+xml"/>
  <Override PartName="/xl/charts/colors86.xml" ContentType="application/vnd.ms-office.chartcolorstyle+xml"/>
  <Override PartName="/xl/charts/colors40.xml" ContentType="application/vnd.ms-office.chartcolorstyle+xml"/>
  <Override PartName="/xl/charts/style40.xml" ContentType="application/vnd.ms-office.chartstyle+xml"/>
  <Override PartName="/xl/charts/colors30.xml" ContentType="application/vnd.ms-office.chartcolorstyle+xml"/>
  <Override PartName="/xl/charts/colors81.xml" ContentType="application/vnd.ms-office.chartcolorstyle+xml"/>
  <Override PartName="/xl/charts/chart88.xml" ContentType="application/vnd.openxmlformats-officedocument.drawingml.chart+xml"/>
  <Override PartName="/xl/charts/style37.xml" ContentType="application/vnd.ms-office.chartstyle+xml"/>
  <Override PartName="/xl/charts/style106.xml" ContentType="application/vnd.ms-office.chartstyle+xml"/>
  <Override PartName="/xl/charts/colors88.xml" ContentType="application/vnd.ms-office.chartcolorstyle+xml"/>
  <Override PartName="/xl/charts/chart1.xml" ContentType="application/vnd.openxmlformats-officedocument.drawingml.chart+xml"/>
  <Override PartName="/xl/charts/style41.xml" ContentType="application/vnd.ms-office.chartstyle+xml"/>
  <Override PartName="/xl/charts/chart76.xml" ContentType="application/vnd.openxmlformats-officedocument.drawingml.chart+xml"/>
  <Override PartName="/xl/charts/colors90.xml" ContentType="application/vnd.ms-office.chartcolorstyle+xml"/>
  <Override PartName="/xl/charts/chart110.xml" ContentType="application/vnd.openxmlformats-officedocument.drawingml.chart+xml"/>
  <Override PartName="/xl/charts/style33.xml" ContentType="application/vnd.ms-office.chartstyle+xml"/>
  <Override PartName="/xl/charts/colors24.xml" ContentType="application/vnd.ms-office.chartcolorstyle+xml"/>
  <Override PartName="/xl/charts/chart104.xml" ContentType="application/vnd.openxmlformats-officedocument.drawingml.chart+xml"/>
  <Override PartName="/xl/charts/colors5.xml" ContentType="application/vnd.ms-office.chartcolorstyle+xml"/>
  <Override PartName="/xl/charts/colors26.xml" ContentType="application/vnd.ms-office.chartcolorstyle+xml"/>
  <Override PartName="/xl/charts/chart46.xml" ContentType="application/vnd.openxmlformats-officedocument.drawingml.chart+xml"/>
  <Override PartName="/xl/charts/colors91.xml" ContentType="application/vnd.ms-office.chartcolorstyle+xml"/>
  <Override PartName="/xl/charts/chart24.xml" ContentType="application/vnd.openxmlformats-officedocument.drawingml.chart+xml"/>
  <Override PartName="/xl/charts/style32.xml" ContentType="application/vnd.ms-office.chartstyle+xml"/>
  <Override PartName="/xl/charts/style92.xml" ContentType="application/vnd.ms-office.chartstyle+xml"/>
  <Override PartName="/xl/charts/chart101.xml" ContentType="application/vnd.openxmlformats-officedocument.drawingml.chart+xml"/>
  <Override PartName="/xl/charts/colors6.xml" ContentType="application/vnd.ms-office.chartcolorstyle+xml"/>
  <Override PartName="/xl/charts/style88.xml" ContentType="application/vnd.ms-office.chartstyle+xml"/>
  <Override PartName="/xl/charts/chart72.xml" ContentType="application/vnd.openxmlformats-officedocument.drawingml.chart+xml"/>
  <Override PartName="/xl/charts/style90.xml" ContentType="application/vnd.ms-office.chartstyle+xml"/>
  <Override PartName="/xl/charts/colors84.xml" ContentType="application/vnd.ms-office.chartcolorstyle+xml"/>
  <Override PartName="/xl/charts/style44.xml" ContentType="application/vnd.ms-office.chartstyle+xml"/>
  <Override PartName="/xl/charts/colors92.xml" ContentType="application/vnd.ms-office.chartcolorstyle+xml"/>
  <Override PartName="/xl/charts/style30.xml" ContentType="application/vnd.ms-office.chartstyle+xml"/>
  <Override PartName="/xl/charts/style108.xml" ContentType="application/vnd.ms-office.chartstyle+xml"/>
  <Override PartName="/xl/charts/chart91.xml" ContentType="application/vnd.openxmlformats-officedocument.drawingml.chart+xml"/>
  <Override PartName="/xl/charts/style103.xml" ContentType="application/vnd.ms-office.chartstyle+xml"/>
  <Override PartName="/xl/charts/colors62.xml" ContentType="application/vnd.ms-office.chartcolorstyle+xml"/>
  <Override PartName="/xl/charts/chart68.xml" ContentType="application/vnd.openxmlformats-officedocument.drawingml.chart+xml"/>
  <Override PartName="/xl/charts/colors103.xml" ContentType="application/vnd.ms-office.chartcolorstyle+xml"/>
  <Override PartName="/xl/charts/style72.xml" ContentType="application/vnd.ms-office.chartstyle+xml"/>
  <Override PartName="/xl/charts/style35.xml" ContentType="application/vnd.ms-office.chartstyle+xml"/>
  <Override PartName="/xl/charts/style86.xml" ContentType="application/vnd.ms-office.chartstyle+xml"/>
  <Override PartName="/xl/charts/style51.xml" ContentType="application/vnd.ms-office.chartstyle+xml"/>
  <Override PartName="/xl/charts/colors25.xml" ContentType="application/vnd.ms-office.chartcolorstyle+xml"/>
  <Override PartName="/xl/charts/colors43.xml" ContentType="application/vnd.ms-office.chartcolorstyle+xml"/>
  <Override PartName="/xl/charts/chart75.xml" ContentType="application/vnd.openxmlformats-officedocument.drawingml.chart+xml"/>
  <Override PartName="/xl/charts/chart32.xml" ContentType="application/vnd.openxmlformats-officedocument.drawingml.chart+xml"/>
  <Override PartName="/xl/charts/style94.xml" ContentType="application/vnd.ms-office.chartstyle+xml"/>
  <Override PartName="/xl/charts/style98.xml" ContentType="application/vnd.ms-office.chartstyle+xml"/>
  <Override PartName="/xl/charts/colors21.xml" ContentType="application/vnd.ms-office.chartcolorstyle+xml"/>
  <Override PartName="/xl/charts/colors60.xml" ContentType="application/vnd.ms-office.chartcolorstyle+xml"/>
  <Override PartName="/xl/charts/chart103.xml" ContentType="application/vnd.openxmlformats-officedocument.drawingml.chart+xml"/>
  <Override PartName="/xl/charts/colors38.xml" ContentType="application/vnd.ms-office.chartcolorstyle+xml"/>
  <Override PartName="/xl/charts/colors100.xml" ContentType="application/vnd.ms-office.chartcolorstyle+xml"/>
  <Override PartName="/xl/charts/style112.xml" ContentType="application/vnd.ms-office.chartstyle+xml"/>
  <Override PartName="/xl/charts/colors1.xml" ContentType="application/vnd.ms-office.chartcolorstyle+xml"/>
  <Override PartName="/xl/charts/chart109.xml" ContentType="application/vnd.openxmlformats-officedocument.drawingml.chart+xml"/>
  <Override PartName="/xl/charts/style19.xml" ContentType="application/vnd.ms-office.chartstyle+xml"/>
  <Override PartName="/xl/charts/chart96.xml" ContentType="application/vnd.openxmlformats-officedocument.drawingml.chart+xml"/>
  <Override PartName="/xl/charts/style99.xml" ContentType="application/vnd.ms-office.chartstyle+xml"/>
  <Override PartName="/xl/charts/chart47.xml" ContentType="application/vnd.openxmlformats-officedocument.drawingml.chart+xml"/>
  <Override PartName="/xl/charts/style29.xml" ContentType="application/vnd.ms-office.chartstyle+xml"/>
  <Override PartName="/xl/charts/colors108.xml" ContentType="application/vnd.ms-office.chartcolorstyle+xml"/>
  <Override PartName="/xl/charts/style100.xml" ContentType="application/vnd.ms-office.chartstyle+xml"/>
  <Override PartName="/xl/charts/style38.xml" ContentType="application/vnd.ms-office.chartstyle+xml"/>
  <Override PartName="/xl/charts/colors109.xml" ContentType="application/vnd.ms-office.chartcolorstyle+xml"/>
  <Override PartName="/xl/charts/style70.xml" ContentType="application/vnd.ms-office.chartstyle+xml"/>
  <Override PartName="/xl/charts/chart4.xml" ContentType="application/vnd.openxmlformats-officedocument.drawingml.chart+xml"/>
  <Override PartName="/xl/charts/chart106.xml" ContentType="application/vnd.openxmlformats-officedocument.drawingml.chart+xml"/>
  <Override PartName="/xl/charts/style1.xml" ContentType="application/vnd.ms-office.chartstyle+xml"/>
  <Override PartName="/xl/charts/style113.xml" ContentType="application/vnd.ms-office.chartstyle+xml"/>
  <Override PartName="/xl/charts/style110.xml" ContentType="application/vnd.ms-office.chartstyle+xml"/>
  <Override PartName="/xl/charts/chart29.xml" ContentType="application/vnd.openxmlformats-officedocument.drawingml.chart+xml"/>
  <Override PartName="/xl/charts/chart8.xml" ContentType="application/vnd.openxmlformats-officedocument.drawingml.chart+xml"/>
  <Override PartName="/xl/charts/colors114.xml" ContentType="application/vnd.ms-office.chartcolorstyle+xml"/>
  <Override PartName="/xl/charts/style91.xml" ContentType="application/vnd.ms-office.chartstyle+xml"/>
  <Override PartName="/xl/charts/colors80.xml" ContentType="application/vnd.ms-office.chartcolorstyle+xml"/>
  <Override PartName="/xl/charts/colors17.xml" ContentType="application/vnd.ms-office.chartcolorstyle+xml"/>
  <Override PartName="/xl/charts/colors23.xml" ContentType="application/vnd.ms-office.chartcolorstyle+xml"/>
  <Override PartName="/xl/charts/style17.xml" ContentType="application/vnd.ms-office.chartstyle+xml"/>
  <Override PartName="/xl/charts/style114.xml" ContentType="application/vnd.ms-office.chartstyle+xml"/>
  <Override PartName="/xl/charts/style12.xml" ContentType="application/vnd.ms-office.chartstyle+xml"/>
  <Override PartName="/xl/charts/chart11.xml" ContentType="application/vnd.openxmlformats-officedocument.drawingml.chart+xml"/>
  <Override PartName="/xl/charts/colors111.xml" ContentType="application/vnd.ms-office.chartcolorstyle+xml"/>
  <Override PartName="/xl/charts/style46.xml" ContentType="application/vnd.ms-office.chartstyle+xml"/>
  <Override PartName="/xl/charts/colors31.xml" ContentType="application/vnd.ms-office.chartcolorstyle+xml"/>
  <Override PartName="/xl/charts/style23.xml" ContentType="application/vnd.ms-office.chartstyle+xml"/>
  <Override PartName="/xl/charts/colors102.xml" ContentType="application/vnd.ms-office.chartcolorstyle+xml"/>
  <Override PartName="/xl/charts/colors106.xml" ContentType="application/vnd.ms-office.chartcolorstyle+xml"/>
  <Override PartName="/xl/charts/colors107.xml" ContentType="application/vnd.ms-office.chartcolorstyle+xml"/>
  <Override PartName="/xl/charts/colors98.xml" ContentType="application/vnd.ms-office.chartcolorstyle+xml"/>
  <Override PartName="/xl/charts/chart114.xml" ContentType="application/vnd.openxmlformats-officedocument.drawingml.chart+xml"/>
  <Override PartName="/xl/charts/colors47.xml" ContentType="application/vnd.ms-office.chartcolorstyle+xml"/>
  <Override PartName="/xl/charts/chart33.xml" ContentType="application/vnd.openxmlformats-officedocument.drawingml.chart+xml"/>
  <Override PartName="/xl/charts/style69.xml" ContentType="application/vnd.ms-office.chartstyle+xml"/>
  <Override PartName="/xl/charts/colors22.xml" ContentType="application/vnd.ms-office.chartcolorstyle+xml"/>
  <Override PartName="/xl/charts/colors11.xml" ContentType="application/vnd.ms-office.chartcolorstyle+xml"/>
  <Override PartName="/xl/charts/colors9.xml" ContentType="application/vnd.ms-office.chartcolorstyle+xml"/>
  <Override PartName="/xl/charts/chart18.xml" ContentType="application/vnd.openxmlformats-officedocument.drawingml.chart+xml"/>
  <Override PartName="/xl/charts/colors87.xml" ContentType="application/vnd.ms-office.chartcolorstyle+xml"/>
  <Override PartName="/xl/charts/style13.xml" ContentType="application/vnd.ms-office.chartstyle+xml"/>
  <Override PartName="/xl/charts/style87.xml" ContentType="application/vnd.ms-office.chartstyle+xml"/>
  <Override PartName="/xl/charts/colors96.xml" ContentType="application/vnd.ms-office.chartcolorstyle+xml"/>
  <Override PartName="/xl/charts/style58.xml" ContentType="application/vnd.ms-office.chartstyle+xml"/>
  <Override PartName="/xl/charts/style61.xml" ContentType="application/vnd.ms-office.chartstyle+xml"/>
  <Override PartName="/xl/charts/colors110.xml" ContentType="application/vnd.ms-office.chartcolorstyle+xml"/>
  <Override PartName="/xl/charts/chart49.xml" ContentType="application/vnd.openxmlformats-officedocument.drawingml.chart+xml"/>
  <Override PartName="/xl/charts/chart94.xml" ContentType="application/vnd.openxmlformats-officedocument.drawingml.chart+xml"/>
  <Override PartName="/xl/charts/chart9.xml" ContentType="application/vnd.openxmlformats-officedocument.drawingml.chart+xml"/>
  <Override PartName="/xl/charts/chart99.xml" ContentType="application/vnd.openxmlformats-officedocument.drawingml.chart+xml"/>
  <Override PartName="/xl/charts/chart25.xml" ContentType="application/vnd.openxmlformats-officedocument.drawingml.chart+xml"/>
  <Override PartName="/xl/charts/chart36.xml" ContentType="application/vnd.openxmlformats-officedocument.drawingml.chart+xml"/>
  <Override PartName="/xl/charts/style80.xml" ContentType="application/vnd.ms-office.chartstyle+xml"/>
  <Override PartName="/xl/charts/colors93.xml" ContentType="application/vnd.ms-office.chartcolorstyle+xml"/>
  <Override PartName="/xl/charts/style5.xml" ContentType="application/vnd.ms-office.chartstyle+xml"/>
  <Override PartName="/xl/charts/chart87.xml" ContentType="application/vnd.openxmlformats-officedocument.drawingml.chart+xml"/>
  <Override PartName="/xl/charts/style102.xml" ContentType="application/vnd.ms-office.chartstyle+xml"/>
  <Override PartName="/xl/charts/chart112.xml" ContentType="application/vnd.openxmlformats-officedocument.drawingml.chart+xml"/>
  <Override PartName="/xl/charts/colors8.xml" ContentType="application/vnd.ms-office.chartcolorstyle+xml"/>
  <Override PartName="/xl/charts/chart98.xml" ContentType="application/vnd.openxmlformats-officedocument.drawingml.chart+xml"/>
  <Override PartName="/xl/charts/chart80.xml" ContentType="application/vnd.openxmlformats-officedocument.drawingml.chart+xml"/>
  <Override PartName="/xl/charts/colors13.xml" ContentType="application/vnd.ms-office.chartcolorstyle+xml"/>
  <Override PartName="/xl/charts/style26.xml" ContentType="application/vnd.ms-office.chartstyle+xml"/>
  <Override PartName="/xl/charts/style95.xml" ContentType="application/vnd.ms-office.chartstyle+xml"/>
  <Override PartName="/xl/charts/colors53.xml" ContentType="application/vnd.ms-office.chartcolorstyle+xml"/>
  <Override PartName="/xl/charts/chart102.xml" ContentType="application/vnd.openxmlformats-officedocument.drawingml.chart+xml"/>
  <Override PartName="/xl/charts/chart111.xml" ContentType="application/vnd.openxmlformats-officedocument.drawingml.chart+xml"/>
  <Override PartName="/xl/charts/colors101.xml" ContentType="application/vnd.ms-office.chartcolorstyle+xml"/>
  <Override PartName="/xl/charts/chart38.xml" ContentType="application/vnd.openxmlformats-officedocument.drawingml.chart+xml"/>
  <Override PartName="/xl/charts/style101.xml" ContentType="application/vnd.ms-office.chartstyle+xml"/>
  <Override PartName="/xl/charts/colors99.xml" ContentType="application/vnd.ms-office.chartcolorstyle+xml"/>
  <Override PartName="/xl/charts/chart14.xml" ContentType="application/vnd.openxmlformats-officedocument.drawingml.chart+xml"/>
  <Override PartName="/xl/charts/chart92.xml" ContentType="application/vnd.openxmlformats-officedocument.drawingml.chart+xml"/>
  <Override PartName="/xl/charts/colors46.xml" ContentType="application/vnd.ms-office.chartcolorstyle+xml"/>
  <Override PartName="/xl/charts/colors68.xml" ContentType="application/vnd.ms-office.chartcolorstyle+xml"/>
  <Override PartName="/xl/charts/chart62.xml" ContentType="application/vnd.openxmlformats-officedocument.drawingml.chart+xml"/>
  <Override PartName="/xl/charts/chart57.xml" ContentType="application/vnd.openxmlformats-officedocument.drawingml.chart+xml"/>
  <Override PartName="/xl/charts/style104.xml" ContentType="application/vnd.ms-office.chartstyle+xml"/>
  <Override PartName="/xl/charts/style60.xml" ContentType="application/vnd.ms-office.chartstyle+xml"/>
  <Override PartName="/xl/charts/chart78.xml" ContentType="application/vnd.openxmlformats-officedocument.drawingml.chart+xml"/>
  <Override PartName="/xl/charts/chart30.xml" ContentType="application/vnd.openxmlformats-officedocument.drawingml.chart+xml"/>
  <Override PartName="/xl/charts/colors113.xml" ContentType="application/vnd.ms-office.chartcolorstyle+xml"/>
  <Override PartName="/xl/charts/colors64.xml" ContentType="application/vnd.ms-office.chartcolorstyle+xml"/>
  <Override PartName="/xl/charts/style97.xml" ContentType="application/vnd.ms-office.chartstyle+xml"/>
  <Override PartName="/xl/charts/colors44.xml" ContentType="application/vnd.ms-office.chartcolorstyle+xml"/>
  <Override PartName="/xl/charts/chart77.xml" ContentType="application/vnd.openxmlformats-officedocument.drawingml.chart+xml"/>
  <Override PartName="/xl/charts/style93.xml" ContentType="application/vnd.ms-office.chartstyle+xml"/>
  <Override PartName="/xl/charts/colors105.xml" ContentType="application/vnd.ms-office.chartcolorstyle+xml"/>
  <Override PartName="/xl/charts/chart84.xml" ContentType="application/vnd.openxmlformats-officedocument.drawingml.chart+xml"/>
  <Override PartName="/xl/charts/chart73.xml" ContentType="application/vnd.openxmlformats-officedocument.drawingml.chart+xml"/>
  <Override PartName="/xl/charts/chart31.xml" ContentType="application/vnd.openxmlformats-officedocument.drawingml.chart+xml"/>
  <Override PartName="/xl/charts/colors89.xml" ContentType="application/vnd.ms-office.chartcolorstyle+xml"/>
  <Override PartName="/xl/charts/colors112.xml" ContentType="application/vnd.ms-office.chartcolorstyle+xml"/>
  <Override PartName="/xl/charts/colors85.xml" ContentType="application/vnd.ms-office.chartcolorstyle+xml"/>
  <Override PartName="/xl/charts/chart97.xml" ContentType="application/vnd.openxmlformats-officedocument.drawingml.chart+xml"/>
  <Override PartName="/xl/charts/chart108.xml" ContentType="application/vnd.openxmlformats-officedocument.drawingml.chart+xml"/>
  <Override PartName="/xl/charts/colors4.xml" ContentType="application/vnd.ms-office.chartcolorstyle+xml"/>
  <Override PartName="/xl/charts/chart44.xml" ContentType="application/vnd.openxmlformats-officedocument.drawingml.chart+xml"/>
  <Override PartName="/xl/charts/style96.xml" ContentType="application/vnd.ms-office.chartstyle+xml"/>
  <Override PartName="/xl/charts/colors95.xml" ContentType="application/vnd.ms-office.chartcolorstyle+xml"/>
  <Override PartName="/xl/charts/colors82.xml" ContentType="application/vnd.ms-office.chartcolorstyle+xml"/>
  <Override PartName="/xl/charts/colors41.xml" ContentType="application/vnd.ms-office.chartcolorstyle+xml"/>
  <Override PartName="/xl/charts/colors2.xml" ContentType="application/vnd.ms-office.chartcolorstyle+xml"/>
  <Override PartName="/xl/charts/chart12.xml" ContentType="application/vnd.openxmlformats-officedocument.drawingml.chart+xml"/>
  <Override PartName="/xl/charts/colors7.xml" ContentType="application/vnd.ms-office.chartcolorstyle+xml"/>
  <Override PartName="/xl/charts/chart83.xml" ContentType="application/vnd.openxmlformats-officedocument.drawingml.chart+xml"/>
  <Override PartName="/xl/charts/style28.xml" ContentType="application/vnd.ms-office.chartstyle+xml"/>
  <Override PartName="/xl/charts/chart10.xml" ContentType="application/vnd.openxmlformats-officedocument.drawingml.chart+xml"/>
  <Override PartName="/xl/charts/style53.xml" ContentType="application/vnd.ms-office.chartstyle+xml"/>
  <Override PartName="/xl/charts/colors39.xml" ContentType="application/vnd.ms-office.chartcolorstyle+xml"/>
  <Override PartName="/xl/charts/style54.xml" ContentType="application/vnd.ms-office.chartstyle+xml"/>
  <Override PartName="/xl/charts/colors35.xml" ContentType="application/vnd.ms-office.chartcolorstyle+xml"/>
  <Override PartName="/xl/charts/chart21.xml" ContentType="application/vnd.openxmlformats-officedocument.drawingml.chart+xml"/>
  <Override PartName="/xl/charts/style89.xml" ContentType="application/vnd.ms-office.chartstyle+xml"/>
  <Override PartName="/xl/charts/chart64.xml" ContentType="application/vnd.openxmlformats-officedocument.drawingml.chart+xml"/>
  <Override PartName="/xl/charts/colors45.xml" ContentType="application/vnd.ms-office.chartcolorstyle+xml"/>
  <Override PartName="/xl/charts/colors34.xml" ContentType="application/vnd.ms-office.chartcolorstyle+xml"/>
  <Override PartName="/xl/charts/style42.xml" ContentType="application/vnd.ms-office.chartstyle+xml"/>
  <Override PartName="/xl/charts/style20.xml" ContentType="application/vnd.ms-office.chartstyle+xml"/>
  <Override PartName="/xl/charts/colors97.xml" ContentType="application/vnd.ms-office.chartcolorstyle+xml"/>
  <Override PartName="/xl/charts/chart34.xml" ContentType="application/vnd.openxmlformats-officedocument.drawingml.chart+xml"/>
  <Override PartName="/xl/charts/colors10.xml" ContentType="application/vnd.ms-office.chartcolorstyle+xml"/>
  <Override PartName="/xl/charts/chart2.xml" ContentType="application/vnd.openxmlformats-officedocument.drawingml.chart+xml"/>
  <Override PartName="/xl/charts/colors104.xml" ContentType="application/vnd.ms-office.chartcolorstyle+xml"/>
  <Override PartName="/xl/charts/colors36.xml" ContentType="application/vnd.ms-office.chartcolorstyle+xml"/>
  <Override PartName="/xl/charts/chart105.xml" ContentType="application/vnd.openxmlformats-officedocument.drawingml.chart+xml"/>
  <Override PartName="/xl/charts/style8.xml" ContentType="application/vnd.ms-office.chartstyle+xml"/>
  <Override PartName="/xl/charts/chart37.xml" ContentType="application/vnd.openxmlformats-officedocument.drawingml.chart+xml"/>
  <Override PartName="/xl/charts/chart5.xml" ContentType="application/vnd.openxmlformats-officedocument.drawingml.chart+xml"/>
  <Override PartName="/xl/charts/chart26.xml" ContentType="application/vnd.openxmlformats-officedocument.drawingml.chart+xml"/>
  <Override PartName="/xl/charts/chart113.xml" ContentType="application/vnd.openxmlformats-officedocument.drawingml.chart+xml"/>
  <Override PartName="/xl/charts/chart63.xml" ContentType="application/vnd.openxmlformats-officedocument.drawingml.chart+xml"/>
  <Override PartName="/xl/charts/chart6.xml" ContentType="application/vnd.openxmlformats-officedocument.drawingml.chart+xml"/>
  <Override PartName="/xl/charts/style66.xml" ContentType="application/vnd.ms-office.chartstyle+xml"/>
  <Override PartName="/xl/charts/chart35.xml" ContentType="application/vnd.openxmlformats-officedocument.drawingml.chart+xml"/>
  <Override PartName="/xl/charts/style59.xml" ContentType="application/vnd.ms-office.chartstyle+xml"/>
  <Override PartName="/xl/charts/colors37.xml" ContentType="application/vnd.ms-office.chartcolorstyle+xml"/>
  <Override PartName="/xl/charts/style9.xml" ContentType="application/vnd.ms-office.chartstyle+xml"/>
  <Override PartName="/xl/charts/colors48.xml" ContentType="application/vnd.ms-office.chartcolorstyle+xml"/>
  <Override PartName="/xl/charts/chart100.xml" ContentType="application/vnd.openxmlformats-officedocument.drawingml.chart+xml"/>
  <Override PartName="/xl/charts/chart20.xml" ContentType="application/vnd.openxmlformats-officedocument.drawingml.chart+xml"/>
  <Override PartName="/xl/charts/chart93.xml" ContentType="application/vnd.openxmlformats-officedocument.drawingml.chart+xml"/>
  <Override PartName="/xl/charts/chart15.xml" ContentType="application/vnd.openxmlformats-officedocument.drawingml.chart+xml"/>
  <Override PartName="/xl/charts/style71.xml" ContentType="application/vnd.ms-office.chartstyle+xml"/>
  <Override PartName="/xl/charts/style10.xml" ContentType="application/vnd.ms-office.chartstyle+xml"/>
  <Override PartName="/xl/charts/chart70.xml" ContentType="application/vnd.openxmlformats-officedocument.drawingml.chart+xml"/>
  <Override PartName="/xl/charts/colors94.xml" ContentType="application/vnd.ms-office.chartcolorstyle+xml"/>
  <Override PartName="/xl/charts/style14.xml" ContentType="application/vnd.ms-office.chartstyle+xml"/>
  <Override PartName="/xl/charts/style107.xml" ContentType="application/vnd.ms-office.chartstyle+xml"/>
  <Override PartName="/xl/charts/style43.xml" ContentType="application/vnd.ms-office.chartstyle+xml"/>
  <Override PartName="/xl/charts/chart48.xml" ContentType="application/vnd.openxmlformats-officedocument.drawingml.chart+xml"/>
  <Override PartName="/xl/charts/style3.xml" ContentType="application/vnd.ms-office.chartstyle+xml"/>
  <Override PartName="/xl/charts/style82.xml" ContentType="application/vnd.ms-office.chartstyle+xml"/>
  <Override PartName="/xl/charts/chart45.xml" ContentType="application/vnd.openxmlformats-officedocument.drawingml.chart+xml"/>
  <Override PartName="/xl/charts/style11.xml" ContentType="application/vnd.ms-office.chartstyle+xml"/>
  <Override PartName="/xl/charts/chart107.xml" ContentType="application/vnd.openxmlformats-officedocument.drawingml.chart+xml"/>
  <Override PartName="/xl/charts/style81.xml" ContentType="application/vnd.ms-office.chartstyle+xml"/>
  <Override PartName="/xl/charts/colors3.xml" ContentType="application/vnd.ms-office.chartcolorstyle+xml"/>
  <Override PartName="/xl/charts/chart58.xml" ContentType="application/vnd.openxmlformats-officedocument.drawingml.chart+xml"/>
  <Override PartName="/xl/charts/style4.xml" ContentType="application/vnd.ms-office.chartstyle+xml"/>
  <Override PartName="/xl/charts/style83.xml" ContentType="application/vnd.ms-office.chartstyle+xml"/>
  <Override PartName="/xl/charts/chart23.xml" ContentType="application/vnd.openxmlformats-officedocument.drawingml.chart+xml"/>
  <Override PartName="/xl/charts/chart85.xml" ContentType="application/vnd.openxmlformats-officedocument.drawingml.chart+xml"/>
  <Override PartName="/xl/charts/style21.xml" ContentType="application/vnd.ms-office.chartstyle+xml"/>
  <Override PartName="/xl/charts/style105.xml" ContentType="application/vnd.ms-office.chartstyle+xml"/>
  <Override PartName="/xl/charts/style111.xml" ContentType="application/vnd.ms-office.chartstyle+xml"/>
  <Override PartName="/xl/charts/colors12.xml" ContentType="application/vnd.ms-office.chartcolorstyle+xml"/>
  <Override PartName="/xl/charts/style16.xml" ContentType="application/vnd.ms-office.chartstyle+xml"/>
  <Override PartName="/xl/charts/style109.xml" ContentType="application/vnd.ms-office.chartstyle+xml"/>
  <Override PartName="/xl/charts/style84.xml" ContentType="application/vnd.ms-office.chartstyle+xml"/>
  <Override PartName="/xl/charts/style22.xml" ContentType="application/vnd.ms-office.chartstyle+xml"/>
  <Override PartName="/xl/charts/chart13.xml" ContentType="application/vnd.openxmlformats-officedocument.drawingml.chart+xml"/>
  <Override PartName="/xl/charts/chart81.xml" ContentType="application/vnd.openxmlformats-officedocument.drawingml.chart+xml"/>
  <Override PartName="/xl/charts/style2.xml" ContentType="application/vnd.ms-office.chartstyle+xml"/>
  <Override PartName="/xl/charts/chart59.xml" ContentType="application/vnd.openxmlformats-officedocument.drawingml.chart+xml"/>
  <Override PartName="/xl/charts/colors69.xml" ContentType="application/vnd.ms-office.chartcolorstyle+xml"/>
  <Override PartName="/xl/charts/style85.xml" ContentType="application/vnd.ms-office.chartstyle+xml"/>
  <Override PartName="/xl/charts/chart82.xml" ContentType="application/vnd.openxmlformats-officedocument.drawingml.chart+xml"/>
  <Override PartName="/xl/charts/colors14.xml" ContentType="application/vnd.ms-office.chartcolorstyle+xml"/>
  <Override PartName="/xl/charts/style18.xml" ContentType="application/vnd.ms-office.chartstyle+xml"/>
  <Override PartName="/xl/charts/style7.xml" ContentType="application/vnd.ms-office.chartstyle+xml"/>
  <Override PartName="/xl/charts/colors33.xml" ContentType="application/vnd.ms-office.chartcolorstyle+xml"/>
  <Override PartName="/xl/charts/chart3.xml" ContentType="application/vnd.openxmlformats-officedocument.drawingml.chart+xml"/>
  <Override PartName="/xl/charts/style24.xml" ContentType="application/vnd.ms-office.chartstyle+xml"/>
  <Override PartName="/xl/charts/chart40.xml" ContentType="application/vnd.openxmlformats-officedocument.drawingml.chart+xml"/>
  <Override PartName="/xl/charts/chart89.xml" ContentType="application/vnd.openxmlformats-officedocument.drawingml.chart+xml"/>
  <Override PartName="/xl/charts/colors15.xml" ContentType="application/vnd.ms-office.chartcolorstyle+xml"/>
  <Override PartName="/xl/charts/chart95.xml" ContentType="application/vnd.openxmlformats-officedocument.drawingml.chart+xml"/>
  <Override PartName="/xl/charts/colors83.xml" ContentType="application/vnd.ms-office.chartcolorstyle+xml"/>
  <Override PartName="/xl/charts/style15.xml" ContentType="application/vnd.ms-office.chartstyle+xml"/>
  <Override PartName="/xl/charts/style25.xml" ContentType="application/vnd.ms-office.chartstyle+xml"/>
  <Override PartName="/xl/charts/chart16.xml" ContentType="application/vnd.openxmlformats-officedocument.drawingml.chart+xml"/>
  <Override PartName="/xl/charts/chart41.xml" ContentType="application/vnd.openxmlformats-officedocument.drawingml.chart+xml"/>
  <Override PartName="/xl/charts/chart22.xml" ContentType="application/vnd.openxmlformats-officedocument.drawingml.chart+xml"/>
  <Override PartName="/xl/charts/colors16.xml" ContentType="application/vnd.ms-office.chartcolorstyle+xml"/>
  <Override PartName="/xl/charts/chart17.xml" ContentType="application/vnd.openxmlformats-officedocument.drawingml.chart+xml"/>
  <Override PartName="/xl/charts/chart42.xml" ContentType="application/vnd.openxmlformats-officedocument.drawingml.chart+xml"/>
  <Override PartName="/xl/charts/style27.xml" ContentType="application/vnd.ms-office.chartstyle+xml"/>
  <Override PartName="/xl/charts/style50.xml" ContentType="application/vnd.ms-office.chartstyle+xml"/>
  <Override PartName="/xl/charts/colors65.xml" ContentType="application/vnd.ms-office.chartcolorstyle+xml"/>
  <Override PartName="/xl/charts/style55.xml" ContentType="application/vnd.ms-office.chartstyle+xml"/>
  <Override PartName="/xl/charts/chart86.xml" ContentType="application/vnd.openxmlformats-officedocument.drawingml.chart+xml"/>
  <Override PartName="/xl/charts/colors57.xml" ContentType="application/vnd.ms-office.chartcolorstyle+xml"/>
  <Override PartName="/xl/charts/chart43.xml" ContentType="application/vnd.openxmlformats-officedocument.drawingml.chart+xml"/>
  <Override PartName="/xl/charts/colors18.xml" ContentType="application/vnd.ms-office.chartcolorstyle+xml"/>
  <Override PartName="/xl/charts/chart1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PRING2026POST" sheetId="1" state="visible" r:id="rId3"/>
    <sheet name="SPRING2026" sheetId="2" state="visible" r:id="rId4"/>
    <sheet name="FALL2025" sheetId="3" state="visible" r:id="rId5"/>
    <sheet name="Fall2025PRE" sheetId="4" state="visible" r:id="rId6"/>
    <sheet name="Spring2025" sheetId="5" state="visible" r:id="rId7"/>
    <sheet name="Fall2024" sheetId="6" state="visible" r:id="rId8"/>
    <sheet name="Fall2024PRE" sheetId="7" state="visible" r:id="rId9"/>
    <sheet name="Spring2024POST" sheetId="8" state="visible" r:id="rId10"/>
    <sheet name="Spring2024" sheetId="9" state="visible" r:id="rId11"/>
    <sheet name="OVERALL" sheetId="10" state="visible" r:id="rId12"/>
  </sheets>
  <definedNames>
    <definedName function="false" hidden="false" name="_xleta.IFERROR" vbProcedure="false">#NAME?</definedName>
  </definedNames>
  <calcPr iterateCount="100" refMode="A1" iterate="false" iterateDelta="0.0001"/>
  <pivotCaches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<sst xmlns="http://schemas.openxmlformats.org/spreadsheetml/2006/main" count="8896" uniqueCount="2090">
  <si>
    <t xml:space="preserve">Sniper</t>
  </si>
  <si>
    <t xml:space="preserve">Points</t>
  </si>
  <si>
    <t xml:space="preserve">Snipee</t>
  </si>
  <si>
    <t xml:space="preserve">Link:</t>
  </si>
  <si>
    <t xml:space="preserve">Data by Person:</t>
  </si>
  <si>
    <t xml:space="preserve">Kill and Death Points Pivot Table (kill points at right, death points at bottom)</t>
  </si>
  <si>
    <t xml:space="preserve">Ties?</t>
  </si>
  <si>
    <t xml:space="preserve">Name</t>
  </si>
  <si>
    <t xml:space="preserve">Value</t>
  </si>
  <si>
    <t xml:space="preserve">Various Stats:</t>
  </si>
  <si>
    <t xml:space="preserve">Part</t>
  </si>
  <si>
    <t xml:space="preserve">Peter</t>
  </si>
  <si>
    <t xml:space="preserve">Alumni</t>
  </si>
  <si>
    <t xml:space="preserve">2026-01-22 12:48:27</t>
  </si>
  <si>
    <t xml:space="preserve">https://cdn.discordapp.com/ephemeral-attachments/1450933256630440049/1463953458653827136/RDT_20260115_0729213001306827711469532.jpg?ex=6973b467&amp;is=697262e7&amp;hm=abddde1990f77dd09947cbd6cafc421033b30a956f63f0ac302b85f328ba9efb&amp;</t>
  </si>
  <si>
    <t xml:space="preserve">290654652838576130</t>
  </si>
  <si>
    <t xml:space="preserve">Kills</t>
  </si>
  <si>
    <t xml:space="preserve">Deaths</t>
  </si>
  <si>
    <t xml:space="preserve">KDR</t>
  </si>
  <si>
    <t xml:space="preserve">Kill Points</t>
  </si>
  <si>
    <t xml:space="preserve">Death Points</t>
  </si>
  <si>
    <t xml:space="preserve">KpDpR</t>
  </si>
  <si>
    <t xml:space="preserve">KPts/Kill</t>
  </si>
  <si>
    <t xml:space="preserve">DPts/Death</t>
  </si>
  <si>
    <t xml:space="preserve">Full Sweep %</t>
  </si>
  <si>
    <t xml:space="preserve">Sum of Points</t>
  </si>
  <si>
    <t xml:space="preserve">Unique</t>
  </si>
  <si>
    <t xml:space="preserve">Total Snipes</t>
  </si>
  <si>
    <t xml:space="preserve">2026-01-22 12:50:13</t>
  </si>
  <si>
    <t xml:space="preserve">https://cdn.discordapp.com/ephemeral-attachments/1450933256630440049/1463953905699258553/addressMe.jpg?ex=6973b4d2&amp;is=69726352&amp;hm=d535f07ed7a4d0de92469b97b0cb528e6b860f1845d43e0c01d58b17b6082216&amp;</t>
  </si>
  <si>
    <t xml:space="preserve">Carter</t>
  </si>
  <si>
    <t xml:space="preserve">Mikey</t>
  </si>
  <si>
    <t xml:space="preserve">Rob</t>
  </si>
  <si>
    <t xml:space="preserve">Anthony</t>
  </si>
  <si>
    <t xml:space="preserve">Lucy</t>
  </si>
  <si>
    <t xml:space="preserve">Reuben</t>
  </si>
  <si>
    <t xml:space="preserve">Evan</t>
  </si>
  <si>
    <t xml:space="preserve">Will</t>
  </si>
  <si>
    <t xml:space="preserve">Vignesh</t>
  </si>
  <si>
    <t xml:space="preserve">Ethan</t>
  </si>
  <si>
    <t xml:space="preserve">Cooper</t>
  </si>
  <si>
    <t xml:space="preserve">Maxine</t>
  </si>
  <si>
    <t xml:space="preserve">Grady</t>
  </si>
  <si>
    <t xml:space="preserve">Erick</t>
  </si>
  <si>
    <t xml:space="preserve">Total Result</t>
  </si>
  <si>
    <t xml:space="preserve">Total Points</t>
  </si>
  <si>
    <t xml:space="preserve">2026-01-22 12:56:11</t>
  </si>
  <si>
    <t xml:space="preserve">https://cdn.discordapp.com/ephemeral-attachments/1450933256630440049/1463955403951046798/im-a-big-fan.png?ex=6973b637&amp;is=697264b7&amp;hm=7e3be5a35b9edc261db08ee0f2f289acf04d6b845f60192f95eeb8964b6122d5&amp;</t>
  </si>
  <si>
    <t xml:space="preserve">601936524044664852</t>
  </si>
  <si>
    <t xml:space="preserve">Most Kills</t>
  </si>
  <si>
    <t xml:space="preserve">2026-01-22 13:53:32</t>
  </si>
  <si>
    <t xml:space="preserve">https://cdn.discordapp.com/ephemeral-attachments/1450933256630440049/1463969837284982917/IMG_2487.jpg?ex=6973c3a8&amp;is=69727228&amp;hm=c53817c1e975bd1c38a7abb5d10629697a8abf2b7a8e581f8752acc38b38c753&amp;</t>
  </si>
  <si>
    <t xml:space="preserve">1031639054846021672</t>
  </si>
  <si>
    <t xml:space="preserve">619268961393049601</t>
  </si>
  <si>
    <t xml:space="preserve">Most Deaths</t>
  </si>
  <si>
    <t xml:space="preserve">2026-01-22 17:55:17</t>
  </si>
  <si>
    <t xml:space="preserve">https://cdn.discordapp.com/ephemeral-attachments/1450933256630440049/1464030673936584714/20260122_175055.jpg?ex=6973fc51&amp;is=6972aad1&amp;hm=e0cf27aa857f1bdb73acdfc9bce5d4cd87c15b97c81112278263366df7c285b6&amp;</t>
  </si>
  <si>
    <t xml:space="preserve">423221841872814081</t>
  </si>
  <si>
    <t xml:space="preserve">689822943307759670</t>
  </si>
  <si>
    <t xml:space="preserve">Most Kill Pts</t>
  </si>
  <si>
    <t xml:space="preserve">2026-01-23 09:58:44</t>
  </si>
  <si>
    <t xml:space="preserve">https://cdn.discordapp.com/ephemeral-attachments/1450933256630440049/1464273124320350372/IMG_1859.jpg?ex=6974de1d&amp;is=69738c9d&amp;hm=86f4e9ba3edae8ffeff2af198126d56e02617416571980856a3049f3f7007d55&amp;</t>
  </si>
  <si>
    <t xml:space="preserve">707377558940811335</t>
  </si>
  <si>
    <t xml:space="preserve">Most Death Pts</t>
  </si>
  <si>
    <t xml:space="preserve">2026-01-23 11:45:24</t>
  </si>
  <si>
    <t xml:space="preserve">https://cdn.discordapp.com/ephemeral-attachments/1450933256630440049/1464299959141798166/IMG_1862.jpg?ex=6974f71b&amp;is=6973a59b&amp;hm=2bc563a4c5b3e5fd54bd683d3ed1b9b6b0f5cf983116d5e763d9207d118e1740&amp;</t>
  </si>
  <si>
    <t xml:space="preserve">1021390383915204648</t>
  </si>
  <si>
    <t xml:space="preserve">Best KDR</t>
  </si>
  <si>
    <t xml:space="preserve">2026-01-24 13:09:51</t>
  </si>
  <si>
    <t xml:space="preserve">https://cdn.discordapp.com/ephemeral-attachments/1450933256630440049/1464683610203357204/IMG_1906.jpg?ex=69765c69&amp;is=69750ae9&amp;hm=4b909292d0456161d7833ebe419dc22b90c1f21819a2b7818aa166313d0b4f76&amp;</t>
  </si>
  <si>
    <t xml:space="preserve">0000</t>
  </si>
  <si>
    <t xml:space="preserve">Worst KDR</t>
  </si>
  <si>
    <t xml:space="preserve">2026-01-27 09:31:45</t>
  </si>
  <si>
    <t xml:space="preserve">https://cdn.discordapp.com/ephemeral-attachments/1450933256630440049/1465715902304751750/IMG_1871.jpg?ex=697a1dce&amp;is=6978cc4e&amp;hm=cf29717cb908270f1b8bfa6af845fd65816251e7b854931403eef80838b2be3a&amp;</t>
  </si>
  <si>
    <t xml:space="preserve">Best KpDpR</t>
  </si>
  <si>
    <t xml:space="preserve">2026-01-27 10:53:31</t>
  </si>
  <si>
    <t xml:space="preserve">https://cdn.discordapp.com/ephemeral-attachments/1450933256630440049/1465736478859591741/IMG_6685.jpg?ex=697a30f8&amp;is=6978df78&amp;hm=fe1f12e862d2597c103a307748c06366a12780b54a1256d69a8250e21b75265d&amp;</t>
  </si>
  <si>
    <t xml:space="preserve">525816152161648680</t>
  </si>
  <si>
    <t xml:space="preserve">310453864866512907</t>
  </si>
  <si>
    <t xml:space="preserve">Worst KpDpR</t>
  </si>
  <si>
    <t xml:space="preserve">2026-01-27 10:54:57</t>
  </si>
  <si>
    <t xml:space="preserve">https://cdn.discordapp.com/ephemeral-attachments/1450933256630440049/1465736837287903332/20260127_104927.jpg?ex=697a314e&amp;is=6978dfce&amp;hm=bb5e1bb458ed655bd416148308a310c9bba7c633f6f5519d30fd423999ec52c4&amp;</t>
  </si>
  <si>
    <t xml:space="preserve">2026-01-27 12:19:37</t>
  </si>
  <si>
    <t xml:space="preserve">https://cdn.discordapp.com/ephemeral-attachments/1450933256630440049/1465758143660425217/IMG_2202.jpg?ex=697a4525&amp;is=6978f3a5&amp;hm=f86900c8371f658d30000058e571e874e3f0131c434009c87ec5be623824f24f&amp;</t>
  </si>
  <si>
    <t xml:space="preserve">288299360557465600</t>
  </si>
  <si>
    <t xml:space="preserve">Overall Winner Chart Decision Matrix</t>
  </si>
  <si>
    <t xml:space="preserve">2026-01-27 12:30:04</t>
  </si>
  <si>
    <t xml:space="preserve">https://cdn.discordapp.com/ephemeral-attachments/1450933256630440049/1465760776831762649/IMG_1873.jpg?ex=697a4799&amp;is=6978f619&amp;hm=bdae59f474166a56ed08cd16a9871f627f40f74e64601b15b3d8f9dc3e3a18e5&amp;</t>
  </si>
  <si>
    <t xml:space="preserve">Person:</t>
  </si>
  <si>
    <t xml:space="preserve">2026-01-27 13:26:00</t>
  </si>
  <si>
    <t xml:space="preserve">https://cdn.discordapp.com/ephemeral-attachments/1450933256630440049/1465774845538078820/20260127_132424.jpg?ex=697a54b3&amp;is=69790333&amp;hm=fc235a270f4ca5faeeb0a5a06f0b91ee07298b2356987d8a35a44ffc3115efae&amp;</t>
  </si>
  <si>
    <t xml:space="preserve">Weight:</t>
  </si>
  <si>
    <t xml:space="preserve">Totals:</t>
  </si>
  <si>
    <t xml:space="preserve">2026-01-27 13:28:54</t>
  </si>
  <si>
    <t xml:space="preserve">https://cdn.discordapp.com/ephemeral-attachments/1450933256630440049/1465775571597394133/20260127_132429.jpg?ex=697a5561&amp;is=697903e1&amp;hm=8ab8529063ff73b11049b09dde9a2a6d931c91c74ec20981d336cb4c13bb656b&amp;</t>
  </si>
  <si>
    <t xml:space="preserve">Joey</t>
  </si>
  <si>
    <t xml:space="preserve">2026-01-27 13:29:11</t>
  </si>
  <si>
    <t xml:space="preserve">https://cdn.discordapp.com/ephemeral-attachments/1450933256630440049/1465775644741730526/20260127_132802.jpg?ex=697a5572&amp;is=697903f2&amp;hm=9c27e546ab9c73cc77f8c0375cc0951fe876586726fc87be5b26c45984ed2b11&amp;</t>
  </si>
  <si>
    <t xml:space="preserve">688178971183153173</t>
  </si>
  <si>
    <t xml:space="preserve">2026-01-27 13:45:11</t>
  </si>
  <si>
    <t xml:space="preserve">https://cdn.discordapp.com/ephemeral-attachments/1450933256630440049/1465779676013269023/IMG_6686.jpg?ex=697a5933&amp;is=697907b3&amp;hm=8660feaeb254fff9ebba3cb7595a185d66f15ec5e2fa04aef6ab2fb2eed8297d&amp;</t>
  </si>
  <si>
    <t xml:space="preserve">2026-01-27 13:54:19</t>
  </si>
  <si>
    <t xml:space="preserve">https://cdn.discordapp.com/ephemeral-attachments/1450933256630440049/1465781973506330841/IMG_1977.jpg?ex=697a5b57&amp;is=697909d7&amp;hm=99500f8b3ae178669e49a2e1f3e933fd5859c7248b464e85437b2a15473436ae&amp;</t>
  </si>
  <si>
    <t xml:space="preserve">2026-01-28 16:58:47</t>
  </si>
  <si>
    <t xml:space="preserve">https://cdn.discordapp.com/ephemeral-attachments/1450933256630440049/1466190787858530515/IMG_2209.jpg?ex=697bd814&amp;is=697a8694&amp;hm=e8b7bd9bedcf72bf221185f9144803fddbdcc9cc40a47805ba67d6c79c65b9c4&amp;</t>
  </si>
  <si>
    <t xml:space="preserve">Data By Voice Part (average/person):</t>
  </si>
  <si>
    <t xml:space="preserve">2026-01-28 16:59:16</t>
  </si>
  <si>
    <t xml:space="preserve">https://cdn.discordapp.com/ephemeral-attachments/1450933256630440049/1466190904380620901/IMG_6692.jpg?ex=697bd830&amp;is=697a86b0&amp;hm=672ec29f4affdeb3c5cda078242af7cc7f309448e4a9668a135c12d0ac0d570c&amp;</t>
  </si>
  <si>
    <t xml:space="preserve">Part:</t>
  </si>
  <si>
    <t xml:space="preserve">2026-01-28 18:01:05</t>
  </si>
  <si>
    <t xml:space="preserve">https://cdn.discordapp.com/ephemeral-attachments/1450933256630440049/1466206465181093970/IMG_2210.jpg?ex=697be6ae&amp;is=697a952e&amp;hm=abb00051a14bb8fce1be078b8ccdfa922df701d49eb57a9e0effc156ef516af1&amp;</t>
  </si>
  <si>
    <t xml:space="preserve">Tenors</t>
  </si>
  <si>
    <t xml:space="preserve">2026-01-29 10:52:51</t>
  </si>
  <si>
    <t xml:space="preserve">https://cdn.discordapp.com/ephemeral-attachments/1450933256630440049/1466461074281992488/20260129_105147.jpg?ex=697cd3cd&amp;is=697b824d&amp;hm=ceeae3d78c62ff407e32cac00d137a25b210f1ab3d81da47f4cb48734aae9de3&amp;</t>
  </si>
  <si>
    <t xml:space="preserve">Leads</t>
  </si>
  <si>
    <t xml:space="preserve">2026-01-29 12:20:20</t>
  </si>
  <si>
    <t xml:space="preserve">https://cdn.discordapp.com/ephemeral-attachments/1450933256630440049/1466483084395548742/B0594F0C-A8EF-4D4B-9FB1-B967F698C654.jpg?ex=697ce84d&amp;is=697b96cd&amp;hm=0b4edc04f72784b2f19893c2498d1db5ba1a9272360cb21683354e4ef170bba7&amp;</t>
  </si>
  <si>
    <t xml:space="preserve">Baris</t>
  </si>
  <si>
    <t xml:space="preserve">2026-01-29 12:27:04</t>
  </si>
  <si>
    <t xml:space="preserve">https://cdn.discordapp.com/ephemeral-attachments/1450933256630440049/1466484781415141556/IMG_1878.jpg?ex=697ce9e1&amp;is=697b9861&amp;hm=988a726a62bb0f204a4e0be273539f2ddcc1184f97b1065918f140ba27fba8aa&amp;</t>
  </si>
  <si>
    <t xml:space="preserve">Basses</t>
  </si>
  <si>
    <t xml:space="preserve">2026-01-29 13:35:19</t>
  </si>
  <si>
    <t xml:space="preserve">https://cdn.discordapp.com/ephemeral-attachments/1450933256630440049/1466501956507009054/IMG_6695.jpg?ex=697cf9e0&amp;is=697ba860&amp;hm=de9936e25169084ae817716d611ba93c9383c9d89395201a5725191895920e4b&amp;</t>
  </si>
  <si>
    <t xml:space="preserve">Basses (No Reuben)</t>
  </si>
  <si>
    <t xml:space="preserve">2026-01-29 13:48:05</t>
  </si>
  <si>
    <t xml:space="preserve">https://cdn.discordapp.com/ephemeral-attachments/1450933256630440049/1466505167519355043/IMG_2220.jpg?ex=697cfcde&amp;is=697bab5e&amp;hm=f105d68f7fe594d9835bf202d25f037f0d28b44bcd1bc2849afa135b90c539a6&amp;</t>
  </si>
  <si>
    <t xml:space="preserve">2026-01-29 13:48:38</t>
  </si>
  <si>
    <t xml:space="preserve">https://cdn.discordapp.com/ephemeral-attachments/1450933256630440049/1466505300096979149/9D82CD61-99D0-4297-8E6B-7D7E21D07F48.jpg?ex=697cfcfd&amp;is=697bab7d&amp;hm=7b1bb71d9b3bd500e1d747d2e0efccbc6c1a0bffddb24cfaf1bb6aa76bfc0cc0&amp;</t>
  </si>
  <si>
    <t xml:space="preserve">2026-01-29 15:20:05</t>
  </si>
  <si>
    <t xml:space="preserve">https://cdn.discordapp.com/ephemeral-attachments/1450933256630440049/1466528318617551094/IMG_6696.png?ex=697d126d&amp;is=697bc0ed&amp;hm=7f525ee4234f887397e5bb5a625986b7b9b97e50513cb9ccd952912e543e1ffa&amp;</t>
  </si>
  <si>
    <t xml:space="preserve">2026-01-30 09:56:34</t>
  </si>
  <si>
    <t xml:space="preserve">https://cdn.discordapp.com/ephemeral-attachments/1450933256630440049/1466809307021705463/IMG_1885.jpg?ex=697e181e&amp;is=697cc69e&amp;hm=7cc9c28c4f72eb5b602486120e78cef1c0f6d4764275f06ad42b4079fa73204b&amp;</t>
  </si>
  <si>
    <t xml:space="preserve">678304540856025153</t>
  </si>
  <si>
    <t xml:space="preserve">2026-01-30 19:35:21</t>
  </si>
  <si>
    <t xml:space="preserve">https://cdn.discordapp.com/ephemeral-attachments/1450933256630440049/1466954958590050507/IMG_1888.jpg?ex=697e9fc4&amp;is=697d4e44&amp;hm=22ed064a4da54bb126516fe908746923c4250f1b703f4167c5a8dacfb7410caa&amp;</t>
  </si>
  <si>
    <t xml:space="preserve">2026-01-30 19:36:21</t>
  </si>
  <si>
    <t xml:space="preserve">https://cdn.discordapp.com/ephemeral-attachments/1450933256630440049/1466955212412555264/20260130_193449.jpg?ex=697ea001&amp;is=697d4e81&amp;hm=fd79e0b5351c691b5f0722bd5f52fa6e637d4ba03d0cce4280a1eb160f96e1c5&amp;</t>
  </si>
  <si>
    <t xml:space="preserve">2026-01-30 20:17:51</t>
  </si>
  <si>
    <t xml:space="preserve">https://cdn.discordapp.com/ephemeral-attachments/1450933256630440049/1466965655726063812/20260130_201704.jpg?ex=697ea9bb&amp;is=697d583b&amp;hm=67c45ff04de6c23b572ecc9217c90289dc7a567e75fc9ca3df6f5668ce7ad524&amp;</t>
  </si>
  <si>
    <t xml:space="preserve">2026-01-30 20:18:46</t>
  </si>
  <si>
    <t xml:space="preserve">https://cdn.discordapp.com/ephemeral-attachments/1450933256630440049/1466965884680536065/BC64918C-BCF2-4575-9DFA-52ECCA5E5301.jpg?ex=697ea9f1&amp;is=697d5871&amp;hm=93fab4fcaa7626ab468fe9ed02ef7cb48e276bd09a0b9b4033663fadc0f9a558&amp;</t>
  </si>
  <si>
    <t xml:space="preserve">2026-01-30 20:25:01</t>
  </si>
  <si>
    <t xml:space="preserve">https://cdn.discordapp.com/ephemeral-attachments/1450933256630440049/1466967456986693815/IMG_1889.jpg?ex=697eab68&amp;is=697d59e8&amp;hm=14e096ccbee184010e9a079487d7b3e26536d77b988a090d4936fe7afb15f34c&amp;</t>
  </si>
  <si>
    <t xml:space="preserve">Score</t>
  </si>
  <si>
    <t xml:space="preserve">Adjusted</t>
  </si>
  <si>
    <t xml:space="preserve">2026-02-02 14:03:09</t>
  </si>
  <si>
    <t xml:space="preserve">https://cdn.discordapp.com/ephemeral-attachments/1450933256630440049/1467958503074172958/IMG_1909.jpg?ex=69824664&amp;is=6980f4e4&amp;hm=f8b71e54aa0c2dea916ba8d3b14ab17e809415b76e0d03a6397b2dc58b95db07&amp;</t>
  </si>
  <si>
    <t xml:space="preserve">Hmm maybe it's rigged</t>
  </si>
  <si>
    <t xml:space="preserve">2026-02-02 14:45:39</t>
  </si>
  <si>
    <t xml:space="preserve">https://cdn.discordapp.com/ephemeral-attachments/1450933256630440049/1467969197710512303/PXL_20260202_194449365.jpg?ex=6982505a&amp;is=6980feda&amp;hm=0af2d792e9dcbd293cd892f60fbbc4c9b453b9dd013e919e5dfc35e28c985550&amp;</t>
  </si>
  <si>
    <t xml:space="preserve">2026-02-02 14:45:47</t>
  </si>
  <si>
    <t xml:space="preserve">https://cdn.discordapp.com/ephemeral-attachments/1450933256630440049/1467969228752556155/IMG_6714.jpg?ex=69825061&amp;is=6980fee1&amp;hm=0d47feb0d4d00f15acfc502cdf3cb5f367b2b70b5f4c40becaa4b629d86cd7c1&amp;</t>
  </si>
  <si>
    <t xml:space="preserve">2026-02-02 14:45:52</t>
  </si>
  <si>
    <t xml:space="preserve">https://cdn.discordapp.com/ephemeral-attachments/1450933256630440049/1467969250227523645/PXL_20260202_194502543.jpg?ex=69825066&amp;is=6980fee6&amp;hm=7658d52728ecaba56757d8913c388dcf012e201808cbe8165dce0bd9d872e45b&amp;</t>
  </si>
  <si>
    <t xml:space="preserve">2026-02-02 17:05:49</t>
  </si>
  <si>
    <t xml:space="preserve">https://cdn.discordapp.com/ephemeral-attachments/1450933256630440049/1468004469202489526/E5BB0A1C-6047-4100-9411-CEDD0B8DED5D.jpg?ex=69827133&amp;is=69811fb3&amp;hm=8bdc04c9ed1cb562a9bd322f3b9290e2f67f65f1ffb6d3c0888fa6f4be875f5d&amp;</t>
  </si>
  <si>
    <t xml:space="preserve">2026-02-02 17:16:46</t>
  </si>
  <si>
    <t xml:space="preserve">https://cdn.discordapp.com/ephemeral-attachments/1450933256630440049/1468007226076692540/IMG_2298.jpg?ex=698273c4&amp;is=69812244&amp;hm=b198fa47e6cf0b52fcf6135f72d6274b5424233bc5a626056c76efeab7a00c8c&amp;</t>
  </si>
  <si>
    <t xml:space="preserve">2026-02-02 17:17:15</t>
  </si>
  <si>
    <t xml:space="preserve">https://cdn.discordapp.com/ephemeral-attachments/1450933256630440049/1468007345949900912/115BA10D-B850-4F9B-AA3E-E47916468D55.jpg?ex=698273e1&amp;is=69812261&amp;hm=fcf371122c981ee21f1d690ca9dfc94491b2c66bc75b50c85df0e01bc27b4b2e&amp;</t>
  </si>
  <si>
    <t xml:space="preserve">2026-02-02 17:18:02</t>
  </si>
  <si>
    <t xml:space="preserve">https://cdn.discordapp.com/ephemeral-attachments/1450933256630440049/1468007544772497428/IMG_2299.jpg?ex=69827410&amp;is=69812290&amp;hm=729feba9dfb43c2f182f2f6b88385f3c0cd9cb7aebeb6d44f227c4c84c71af87&amp;</t>
  </si>
  <si>
    <t xml:space="preserve">2026-02-02 17:18:17</t>
  </si>
  <si>
    <t xml:space="preserve">https://cdn.discordapp.com/ephemeral-attachments/1450933256630440049/1468007608190242977/IMG_3698.jpg?ex=69827420&amp;is=698122a0&amp;hm=c8160d7a5669a9dfa7393a19704ff0acbd7b66ce33ca1325d596a40a7f13c065&amp;</t>
  </si>
  <si>
    <t xml:space="preserve">2026-02-02 17:18:43</t>
  </si>
  <si>
    <t xml:space="preserve">https://cdn.discordapp.com/ephemeral-attachments/1450933256630440049/1468007714268643501/20260202_171722.jpg?ex=69827439&amp;is=698122b9&amp;hm=148fd8e8395361425897936aac9b599c4272de2bca688597a281d6bbf33b127d&amp;</t>
  </si>
  <si>
    <t xml:space="preserve">2026-02-02 17:19:43</t>
  </si>
  <si>
    <t xml:space="preserve">https://cdn.discordapp.com/ephemeral-attachments/1450933256630440049/1468007966287335606/20260202_171722.jpg?ex=69827475&amp;is=698122f5&amp;hm=906e89582ef5b8241ed030c186c0bf4b5e7e9dcd24b1be47cf5d7c0d5c8e66e6&amp;</t>
  </si>
  <si>
    <t xml:space="preserve">2026-02-02 17:31:38</t>
  </si>
  <si>
    <t xml:space="preserve">https://cdn.discordapp.com/ephemeral-attachments/1450933256630440049/1468010966573777099/IMG_3699.jpg?ex=69827740&amp;is=698125c0&amp;hm=ece5ea47ff777526424e0e5506187200dd59e70e57edf1c43972c6ec82bf2027&amp;</t>
  </si>
  <si>
    <t xml:space="preserve">2026-02-02 17:32:00</t>
  </si>
  <si>
    <t xml:space="preserve">https://cdn.discordapp.com/ephemeral-attachments/1450933256630440049/1468011055732232316/20260202_173103.jpg?ex=69827756&amp;is=698125d6&amp;hm=a4fe194afe9cf1ae503a7708c16af9facb0851130ccf07a5472e4b4d8b463b3d&amp;</t>
  </si>
  <si>
    <t xml:space="preserve">2026-02-02 17:32:03</t>
  </si>
  <si>
    <t xml:space="preserve">https://cdn.discordapp.com/ephemeral-attachments/1450933256630440049/1468011062929654013/IMG_2300.jpg?ex=69827757&amp;is=698125d7&amp;hm=3d5e61c5d40c6191b92158799e735be855faf36ad0b8d417427f0fcc20d5aa19&amp;</t>
  </si>
  <si>
    <t xml:space="preserve">2026-02-03 10:43:37</t>
  </si>
  <si>
    <t xml:space="preserve">https://cdn.discordapp.com/ephemeral-attachments/1450933256630440049/1468270662958321735/20260203_104252.jpg?ex=6983691d&amp;is=6982179d&amp;hm=fb5ce47fe3e6a68d17b751925db8733c09f35503b0892c51665d8d738d2959bd&amp;</t>
  </si>
  <si>
    <t xml:space="preserve">Best fodder</t>
  </si>
  <si>
    <t xml:space="preserve">2026-02-03 10:44:43</t>
  </si>
  <si>
    <t xml:space="preserve">https://cdn.discordapp.com/ephemeral-attachments/1450933256630440049/1468270939845427353/IMG_6735.jpg?ex=6983695f&amp;is=698217df&amp;hm=417dfedb11c65b9225eb0ce38f49a45ec2a751c57729a8dbd86cbf080923ae79&amp;</t>
  </si>
  <si>
    <t xml:space="preserve">Same as it ever was</t>
  </si>
  <si>
    <t xml:space="preserve">2026-02-04 09:56:24</t>
  </si>
  <si>
    <t xml:space="preserve">https://cdn.discordapp.com/ephemeral-attachments/1450933256630440049/1468621152057295003/20260204_095453.jpg?ex=6984af88&amp;is=69835e08&amp;hm=f5e67bf856db730c995110685842d1ae3c73b32e9ca1056d6ecde16d3fa229c2&amp;</t>
  </si>
  <si>
    <t xml:space="preserve">2026-02-04 14:04:15</t>
  </si>
  <si>
    <t xml:space="preserve">https://cdn.discordapp.com/ephemeral-attachments/1450933256630440049/1468683524008841338/IMG20260204140307.jpg?ex=6984e99e&amp;is=6983981e&amp;hm=99c010cc9410587d569bfc375ea6be5ba87184e0b22617c49dca40b4c9284177&amp;</t>
  </si>
  <si>
    <t xml:space="preserve">483162151046086657</t>
  </si>
  <si>
    <t xml:space="preserve">2026-02-04 14:50:56</t>
  </si>
  <si>
    <t xml:space="preserve">https://cdn.discordapp.com/ephemeral-attachments/1450933256630440049/1468695266986295347/PXL_20260204_194954045.jpg?ex=6984f48e&amp;is=6983a30e&amp;hm=d9d92ebd01a0f68cb17a9eb744ca5a3f8f6fa6461f8d461d3a4145384f96af0d&amp;</t>
  </si>
  <si>
    <t xml:space="preserve">2026-02-04 16:12:44</t>
  </si>
  <si>
    <t xml:space="preserve">https://cdn.discordapp.com/ephemeral-attachments/1450933256630440049/1468715854597460021/20260204_161156.jpg?ex=698507bb&amp;is=6983b63b&amp;hm=32013d5dc72a30d958138f617d39eb88cda5ea09d2d5ae8faa2b6d41e7c506bf&amp;</t>
  </si>
  <si>
    <t xml:space="preserve">2026-02-05 10:21:34</t>
  </si>
  <si>
    <t xml:space="preserve">https://cdn.discordapp.com/ephemeral-attachments/1450933256630440049/1468989929676865577/IMG20260205101725.jpg?ex=698606fb&amp;is=6984b57b&amp;hm=6e074e92a0ea2f20b148e90f18c6d1f5b08abbcf1906a5f53726defc6bf69b22&amp;</t>
  </si>
  <si>
    <t xml:space="preserve">Overall Part Winner Chart Decision Matrix</t>
  </si>
  <si>
    <t xml:space="preserve">2026-02-07 23:10:16</t>
  </si>
  <si>
    <t xml:space="preserve">https://cdn.discordapp.com/ephemeral-attachments/1450933256630440049/1469908130992357477/IMG_2334.jpg?ex=69895e20&amp;is=69880ca0&amp;hm=2240f18a968b3750d286092b91c6d087002edb5d794318919972888d7a8c2177&amp;</t>
  </si>
  <si>
    <t xml:space="preserve">MATRIX</t>
  </si>
  <si>
    <t xml:space="preserve">2026-02-07 23:11:17</t>
  </si>
  <si>
    <t xml:space="preserve">https://cdn.discordapp.com/ephemeral-attachments/1450933256630440049/1469908387776041056/IMG_3725.jpg?ex=69895e5d&amp;is=69880cdd&amp;hm=42fa55393d21fe8b8872520fac750fb134815c06434b5b4e19009f5018c44ff6&amp;</t>
  </si>
  <si>
    <t xml:space="preserve">2026-02-09 09:56:07</t>
  </si>
  <si>
    <t xml:space="preserve">https://cdn.discordapp.com/ephemeral-attachments/1450933256630440049/1470433072251011112/PXL_20260209_145519035.jpg?ex=698b4703&amp;is=6989f583&amp;hm=f605092ae86f1b02288806188da34499d3cced1f575f92ecfa2c90c621d9ba2d&amp;</t>
  </si>
  <si>
    <t xml:space="preserve">2026-02-09 11:45:01</t>
  </si>
  <si>
    <t xml:space="preserve">https://cdn.discordapp.com/ephemeral-attachments/1450933256630440049/1470460478110306407/IMG_6754.jpg?ex=698b6089&amp;is=698a0f09&amp;hm=bfafbfe724e099daa29de117003c79d19256421771381b190b823a05bd01a810&amp;</t>
  </si>
  <si>
    <t xml:space="preserve">2026-02-09 11:51:29</t>
  </si>
  <si>
    <t xml:space="preserve">https://cdn.discordapp.com/ephemeral-attachments/1450933256630440049/1470462107651801341/20260209_115058.jpg?ex=698b620e&amp;is=698a108e&amp;hm=13598c6f9c4cafce4ed564e3fec66ff44a141d9084fd5a0ab9eb794aea55b4e2&amp;</t>
  </si>
  <si>
    <t xml:space="preserve">2026-02-09 11:51:52</t>
  </si>
  <si>
    <t xml:space="preserve">https://cdn.discordapp.com/ephemeral-attachments/1450933256630440049/1470462203432800421/IMG_1935.jpg?ex=698b6225&amp;is=698a10a5&amp;hm=2adcd4c01411150ecd8dd59e84d82507c9fe22ebcda21ee8216c1bc79368a4fc&amp;</t>
  </si>
  <si>
    <t xml:space="preserve">2026-02-09 11:57:37</t>
  </si>
  <si>
    <t xml:space="preserve">https://cdn.discordapp.com/ephemeral-attachments/1450933256630440049/1470463650887372954/20260209_115655.jpg?ex=698b637e&amp;is=698a11fe&amp;hm=71713036fc4ee5e4e5ae529c232dc17f48ef1893ad5146ce1c87a8d7984ac096&amp;</t>
  </si>
  <si>
    <t xml:space="preserve">2026-02-09 11:58:48</t>
  </si>
  <si>
    <t xml:space="preserve">https://cdn.discordapp.com/ephemeral-attachments/1450933256630440049/1470463947785240771/20260209_115750.jpg?ex=698b63c5&amp;is=698a1245&amp;hm=8c1b553c2255a21ea1c916f97d18311c7c6e8c97e56f3947926f27d4f0ddd621&amp;</t>
  </si>
  <si>
    <t xml:space="preserve">2026-02-09 12:58:04</t>
  </si>
  <si>
    <t xml:space="preserve">https://cdn.discordapp.com/ephemeral-attachments/1450933256630440049/1470478863141175356/IMG_1936.jpg?ex=698b71a9&amp;is=698a2029&amp;hm=0f43be9885c97a7528fc68c79b7fecc75c5cd1866be425075dd8b0b18f5d857e&amp;</t>
  </si>
  <si>
    <t xml:space="preserve">2026-02-09 13:44:34</t>
  </si>
  <si>
    <t xml:space="preserve">https://cdn.discordapp.com/ephemeral-attachments/1450933256630440049/1470490565694062743/PXL_20260209_184407473.jpg?ex=698b7c8f&amp;is=698a2b0f&amp;hm=c7b89f7919109eda4cb2dea3884c17c325960cf7af66820e7ae9c4dd84a4fabf&amp;</t>
  </si>
  <si>
    <t xml:space="preserve">2026-02-09 13:46:25</t>
  </si>
  <si>
    <t xml:space="preserve">https://cdn.discordapp.com/ephemeral-attachments/1450933256630440049/1470491031530246210/PXL_20260209_184552970.jpg?ex=698b7cfe&amp;is=698a2b7e&amp;hm=c02d95038330402b5403ce5fb95ddc959799808b7aa1e251d92406f307751a2c&amp;</t>
  </si>
  <si>
    <t xml:space="preserve">2026-02-09 13:47:52</t>
  </si>
  <si>
    <t xml:space="preserve">https://cdn.discordapp.com/ephemeral-attachments/1450933256630440049/1470491389321281670/PXL_20260209_184722167.jpg?ex=698b7d53&amp;is=698a2bd3&amp;hm=f0f7d4478a46b94bccc8696ed20ce91f9e5bdabe941625d307f7ea843879ce3f&amp;</t>
  </si>
  <si>
    <t xml:space="preserve">2026-02-09 13:48:56</t>
  </si>
  <si>
    <t xml:space="preserve">https://cdn.discordapp.com/ephemeral-attachments/1450933256630440049/1470491660092707072/IMG_6756.jpg?ex=698b7d94&amp;is=698a2c14&amp;hm=9a1248e929ac06b59d585aef998a71c24f2fe9c048a079078f9ac27af97fb0d2&amp;</t>
  </si>
  <si>
    <t xml:space="preserve">2026-02-10 10:49:26</t>
  </si>
  <si>
    <t xml:space="preserve">https://cdn.discordapp.com/ephemeral-attachments/1450933256630440049/1470808885827731688/20260210_104854.jpg?ex=698ca504&amp;is=698b5384&amp;hm=bd1e5f76befd0aa809c8216cbba0096d020b83ac841f462daccd75a7b6540cb4&amp;</t>
  </si>
  <si>
    <t xml:space="preserve">2026-02-10 10:49:28</t>
  </si>
  <si>
    <t xml:space="preserve">https://cdn.discordapp.com/ephemeral-attachments/1450933256630440049/1470808887132164188/IMG_6759.jpg?ex=698ca505&amp;is=698b5385&amp;hm=cff408e4a0ddd55513d49ac1452a85397bb2b0a72117db9d41046ef7d2a1ece0&amp;</t>
  </si>
  <si>
    <t xml:space="preserve">2026-02-10 10:49:56</t>
  </si>
  <si>
    <t xml:space="preserve">https://cdn.discordapp.com/ephemeral-attachments/1450933256630440049/1470809009912025158/20260210_104837.jpg?ex=698ca522&amp;is=698b53a2&amp;hm=8949591e1b38ee5c21e9ebd6fae0ec8b6d98feedc94a8fef9b9f5976e6bf1f11&amp;</t>
  </si>
  <si>
    <t xml:space="preserve">2026-02-10 10:50:23</t>
  </si>
  <si>
    <t xml:space="preserve">https://cdn.discordapp.com/ephemeral-attachments/1450933256630440049/1470809121778434180/IMG_6760.jpg?ex=698ca53c&amp;is=698b53bc&amp;hm=db794f16bbc7fe430a1dc2b3eca771ecc292c8de995a472bcf09d56cae4ed067&amp;</t>
  </si>
  <si>
    <t xml:space="preserve">2026-02-10 10:53:15</t>
  </si>
  <si>
    <t xml:space="preserve">https://cdn.discordapp.com/ephemeral-attachments/1450933256630440049/1470809842426974420/20260210_104847.jpg?ex=698ca5e8&amp;is=698b5468&amp;hm=13e60a80f78931c6c3e1c7d41d5adbe6998a7e2e9134f64bdc098a89032cbebb&amp;</t>
  </si>
  <si>
    <t xml:space="preserve">2026-02-10 10:53:47</t>
  </si>
  <si>
    <t xml:space="preserve">https://cdn.discordapp.com/ephemeral-attachments/1450933256630440049/1470809979043975475/20260210_104847.jpg?ex=698ca609&amp;is=698b5489&amp;hm=712db9d66af311a517e8b322ecb34b895f99aa470d7d0e3fd7ea9bcbd296561e&amp;</t>
  </si>
  <si>
    <t xml:space="preserve">2026-02-10 13:50:49</t>
  </si>
  <si>
    <t xml:space="preserve">https://cdn.discordapp.com/ephemeral-attachments/1450933256630440049/1470854529770852506/705FFCAE-550A-454D-959F-35C87497828B.jpg?ex=698ccf87&amp;is=698b7e07&amp;hm=30e7d347a25749b2454bf1dc727b05c40ae0956ac2cf0bcab520dd4235a686e6&amp;</t>
  </si>
  <si>
    <t xml:space="preserve">2026-02-10 16:50:58</t>
  </si>
  <si>
    <t xml:space="preserve">https://cdn.discordapp.com/ephemeral-attachments/1450933256630440049/1470899864551424111/20260210_164939.jpg?ex=698cf9bf&amp;is=698ba83f&amp;hm=1ccab3f13a0a3310dae2d4014d211cfd2eec2de44e2a009b99c8422a12f53732&amp;</t>
  </si>
  <si>
    <t xml:space="preserve">2026-02-10 16:51:08</t>
  </si>
  <si>
    <t xml:space="preserve">https://cdn.discordapp.com/ephemeral-attachments/1450933256630440049/1470899907417215039/IMG_2346.jpg?ex=698cf9c9&amp;is=698ba849&amp;hm=07b8fe84dd4c647ebcdd1fad1c5466746b4aac4b2349fed16a816c45f3a6b5db&amp;</t>
  </si>
  <si>
    <t xml:space="preserve">2026-02-10 20:12:43</t>
  </si>
  <si>
    <t xml:space="preserve">https://cdn.discordapp.com/ephemeral-attachments/1450933256630440049/1470950634688741529/IMG20260210201156.jpg?ex=698d2908&amp;is=698bd788&amp;hm=49c92bc3e54d986538a69fb1a674f449504e33e4aaec6d7257b31ab693732588&amp;</t>
  </si>
  <si>
    <t xml:space="preserve">2026-02-10 20:13:06</t>
  </si>
  <si>
    <t xml:space="preserve">https://cdn.discordapp.com/ephemeral-attachments/1450933256630440049/1470950727978455196/IMG_2604.jpg?ex=698d291e&amp;is=698bd79e&amp;hm=34c5767e67a26a6489fab74cb3c8cb06e072642935b471b86f0109ed7b4f5c13&amp;</t>
  </si>
  <si>
    <t xml:space="preserve">2026-02-11 09:53:35</t>
  </si>
  <si>
    <t xml:space="preserve">https://cdn.discordapp.com/ephemeral-attachments/1450933256630440049/1471157346121027724/IMG_2236.jpg?ex=698de98c&amp;is=698c980c&amp;hm=73933bd956eeb0bdb8127c26dca9fbc8dff5ec711780966f6e9b219392e040a6&amp;</t>
  </si>
  <si>
    <t xml:space="preserve">2026-02-11 10:54:56</t>
  </si>
  <si>
    <t xml:space="preserve">https://cdn.discordapp.com/ephemeral-attachments/1450933256630440049/1471172795013660808/PXL_20260211_155431150.jpg?ex=698df7ef&amp;is=698ca66f&amp;hm=504fc33fa1382af15356750a8b7fd5722ef06dfaa713f0b0d71558ebd77915c7&amp;</t>
  </si>
  <si>
    <t xml:space="preserve">2026-02-11 10:55:34</t>
  </si>
  <si>
    <t xml:space="preserve">https://cdn.discordapp.com/ephemeral-attachments/1450933256630440049/1471172958251782317/IMG_2350.jpg?ex=698df816&amp;is=698ca696&amp;hm=7fc812b6ff66139303226cfbea5b4358f791917d3f8dd5c4349ed644962eccfa&amp;</t>
  </si>
  <si>
    <t xml:space="preserve">2026-02-11 10:58:21</t>
  </si>
  <si>
    <t xml:space="preserve">https://cdn.discordapp.com/ephemeral-attachments/1450933256630440049/1471173661061812367/IMG20260211105821.jpg?ex=698df8bd&amp;is=698ca73d&amp;hm=99c840568907763d8dbe081f974ce9e4ae9a153282afdee4d538721bcfbb3f15&amp;</t>
  </si>
  <si>
    <t xml:space="preserve">2026-02-11 10:58:23</t>
  </si>
  <si>
    <t xml:space="preserve">https://cdn.discordapp.com/ephemeral-attachments/1450933256630440049/1471173667357724826/IMG_2607.jpg?ex=698df8bf&amp;is=698ca73f&amp;hm=3a1b936dfdd5f9e5f27a4232e8004bc071b1b3e861c9b701d07500fc1f10ec70&amp;</t>
  </si>
  <si>
    <t xml:space="preserve">2026-02-11 11:30:55</t>
  </si>
  <si>
    <t xml:space="preserve">https://cdn.discordapp.com/ephemeral-attachments/1450933256630440049/1471181859349200996/20260211_113050.jpg?ex=698e0060&amp;is=698caee0&amp;hm=fdc91074c0922ba0dbe7639bea53ab5765328b38420291bed8dd847822a61d48&amp;</t>
  </si>
  <si>
    <t xml:space="preserve">2026-02-11 11:31:12</t>
  </si>
  <si>
    <t xml:space="preserve">https://cdn.discordapp.com/ephemeral-attachments/1450933256630440049/1471181933537923203/IMG_2609.jpg?ex=698e0072&amp;is=698caef2&amp;hm=b7abf49be9e5c0611767cf1c5d69358dc463380ff3e17cab2427c9d272dcbc54&amp;</t>
  </si>
  <si>
    <t xml:space="preserve">2026-02-11 11:59:54</t>
  </si>
  <si>
    <t xml:space="preserve">https://cdn.discordapp.com/ephemeral-attachments/1450933256630440049/1471189157408932053/IMG_6768.jpg?ex=698e072c&amp;is=698cb5ac&amp;hm=f69a1809b0d7990d2f59344e769444ea4ccc351965d37eaf045ff71ce94c9a70&amp;</t>
  </si>
  <si>
    <t xml:space="preserve">2026-02-11 12:02:03</t>
  </si>
  <si>
    <t xml:space="preserve">https://cdn.discordapp.com/ephemeral-attachments/1450933256630440049/1471189701946773554/PXL_20260211_170147558.MP.jpg?ex=698e07ae&amp;is=698cb62e&amp;hm=99fb1c3537b8fc2878ae9eaaf2101d0e842dc712afc726a797e60dd5e78e414f&amp;</t>
  </si>
  <si>
    <t xml:space="preserve">2026-02-11 12:08:59</t>
  </si>
  <si>
    <t xml:space="preserve">https://cdn.discordapp.com/ephemeral-attachments/1450933256630440049/1471191447985455318/IMG_6769.jpg?ex=698e094e&amp;is=698cb7ce&amp;hm=87366e615c60a4afa3f95d3394ba34e52f2f2e27f83873bd69e136d963d557ac&amp;</t>
  </si>
  <si>
    <t xml:space="preserve">2026-02-11 12:09:04</t>
  </si>
  <si>
    <t xml:space="preserve">https://cdn.discordapp.com/ephemeral-attachments/1450933256630440049/1471191472304033927/20260211_120840.jpg?ex=698e0954&amp;is=698cb7d4&amp;hm=9d2d365dcf2ebe3adf51523af2842a92cdb02a911882d97e7e06dc7e17e42c82&amp;</t>
  </si>
  <si>
    <t xml:space="preserve">2026-02-11 13:21:54</t>
  </si>
  <si>
    <t xml:space="preserve">https://cdn.discordapp.com/ephemeral-attachments/1450933256630440049/1471209813093515275/C2EC0D91-76C7-483F-B0F5-F8D6C8CC105C.jpg?ex=698e1a69&amp;is=698cc8e9&amp;hm=ad6c2592dc6990c7e0fe511352876c0e2eca273e6b00d338907cb2ae10327bf6&amp;</t>
  </si>
  <si>
    <t xml:space="preserve">2026-02-11 14:00:51</t>
  </si>
  <si>
    <t xml:space="preserve">https://cdn.discordapp.com/ephemeral-attachments/1450933256630440049/1471219622157221889/IMG_1943.jpg?ex=698e238b&amp;is=698cd20b&amp;hm=e73d8ea223581a56464ffae4f1d7674624261a41c6ce98dfc6a235f2ffac988a&amp;</t>
  </si>
  <si>
    <t xml:space="preserve">2026-02-11 14:01:11</t>
  </si>
  <si>
    <t xml:space="preserve">https://cdn.discordapp.com/ephemeral-attachments/1450933256630440049/1471219704533221421/IMG_2351.jpg?ex=698e239f&amp;is=698cd21f&amp;hm=8297e8d530a26e88b300892b0c71998f087a8ad1f878fd2d645083a130688b5d&amp;</t>
  </si>
  <si>
    <t xml:space="preserve">2026-02-11 14:20:56</t>
  </si>
  <si>
    <t xml:space="preserve">https://cdn.discordapp.com/ephemeral-attachments/1450933256630440049/1471224687005667432/IMG_2611.jpg?ex=698e2843&amp;is=698cd6c3&amp;hm=2fd82e34be3164093a5b5ae74df90059735060c5c03e40e4542ec9987cccf384&amp;</t>
  </si>
  <si>
    <t xml:space="preserve">2026-02-11 14:40:24</t>
  </si>
  <si>
    <t xml:space="preserve">https://cdn.discordapp.com/ephemeral-attachments/1450933256630440049/1471229586028232796/PXL_20260211_194039011.jpg?ex=698e2cd3&amp;is=698cdb53&amp;hm=d669f25f7664d06c955f4091a8a9448f308c72b054e68c8dbfc6d0f23c76ffaa&amp;</t>
  </si>
  <si>
    <t xml:space="preserve">2026-02-11 14:40:54</t>
  </si>
  <si>
    <t xml:space="preserve">https://cdn.discordapp.com/ephemeral-attachments/1450933256630440049/1471229711899295885/IMG_6770.jpg?ex=698e2cf1&amp;is=698cdb71&amp;hm=eac93bdb4988b15d50a190f0d40b412f2c92c67e70f5b95d67fb0a3e3be97a1f&amp;</t>
  </si>
  <si>
    <t xml:space="preserve">2026-02-11 18:31:54</t>
  </si>
  <si>
    <t xml:space="preserve">https://cdn.discordapp.com/ephemeral-attachments/1450933256630440049/1471287901894611174/IMG_2353.jpg?ex=698e6323&amp;is=698d11a3&amp;hm=67eca6e05af3ce7129bbe44da11044182d952051a0c6392e071aded797ea5299&amp;</t>
  </si>
  <si>
    <t xml:space="preserve">2026-02-12 12:08:40</t>
  </si>
  <si>
    <t xml:space="preserve">https://cdn.discordapp.com/ephemeral-attachments/1450933256630440049/1471553597102620726/IMG20260212120754.jpg?ex=698f5a95&amp;is=698e0915&amp;hm=549abf7ce6393fd77dae6f6355cbb369bf970de0044c32c8682506c070218ae0&amp;</t>
  </si>
  <si>
    <t xml:space="preserve">2026-02-12 12:18:43</t>
  </si>
  <si>
    <t xml:space="preserve">https://cdn.discordapp.com/ephemeral-attachments/1450933256630440049/1471556120081600735/IMG_2617.jpg?ex=698f5cef&amp;is=698e0b6f&amp;hm=f2eafd5ad0bc5bde6e19036ed825d70145a166f24cec64f7c405e643d65541a0&amp;</t>
  </si>
  <si>
    <t xml:space="preserve">2026-02-12 13:30:00</t>
  </si>
  <si>
    <t xml:space="preserve">https://cdn.discordapp.com/ephemeral-attachments/1450933256630440049/1471574058272297141/IMG_2618.jpg?ex=698f6da4&amp;is=698e1c24&amp;hm=345b3cee7478dc50d29fa11ccdfab487450e807bfe954df4a4160a964b9e244a&amp;</t>
  </si>
  <si>
    <t xml:space="preserve">2026-02-12 13:50:17</t>
  </si>
  <si>
    <t xml:space="preserve">https://cdn.discordapp.com/ephemeral-attachments/1450933256630440049/1471579165244395580/IMG_2356.jpg?ex=698f7265&amp;is=698e20e5&amp;hm=70a6088520a1029d7543dbf929e0108883c6c0192eed5970f6f37d84e88ab09a&amp;</t>
  </si>
  <si>
    <t xml:space="preserve">2026-02-12 13:51:17</t>
  </si>
  <si>
    <t xml:space="preserve">https://cdn.discordapp.com/ephemeral-attachments/1450933256630440049/1471579416613224542/20260212_134958.jpg?ex=698f72a1&amp;is=698e2121&amp;hm=278d47ee8e3f2eb2e88fc6d906fd5c8e634bb457e83c29d1963abdf33e771f77&amp;</t>
  </si>
  <si>
    <t xml:space="preserve">2026-02-12 18:39:23</t>
  </si>
  <si>
    <t xml:space="preserve">https://cdn.discordapp.com/ephemeral-attachments/1450933256630440049/1471651911890637000/20260212_183832.jpg?ex=698fb625&amp;is=698e64a5&amp;hm=78bf1518582e5c9c3ed3fb685eb232be4a9212b6da71ec0d34c8bc6f7cbf259b&amp;</t>
  </si>
  <si>
    <t xml:space="preserve">2026-02-13 08:47:59</t>
  </si>
  <si>
    <t xml:space="preserve">https://cdn.discordapp.com/ephemeral-attachments/1450933256630440049/1471865481978712256/PXL_20260213_134725029.jpg?ex=69907d0c&amp;is=698f2b8c&amp;hm=01adde4fd5811904199b5aab077cbbface42aa343555d097eedb9d7ea079e29f&amp;</t>
  </si>
  <si>
    <t xml:space="preserve">2026-02-13 11:53:14</t>
  </si>
  <si>
    <t xml:space="preserve">https://cdn.discordapp.com/ephemeral-attachments/1450933256630440049/1471912095334268978/20260213_115222.jpg?ex=6990a876&amp;is=698f56f6&amp;hm=9e7021c686a3b4a6a8eebb7483845c4b2ad5b37a2ea033ab2885b17d33296d12&amp;</t>
  </si>
  <si>
    <t xml:space="preserve">2026-02-13 13:11:02</t>
  </si>
  <si>
    <t xml:space="preserve">https://cdn.discordapp.com/ephemeral-attachments/1450933256630440049/1471931666497798234/C9E7C323-516D-49CE-9837-28D57A4F5C27.jpg?ex=6990bab0&amp;is=698f6930&amp;hm=2ce7242fb319303e2ba1f3c99db7d8892d9dc58ec5762f8da7fcc36710cd4f04&amp;</t>
  </si>
  <si>
    <t xml:space="preserve">2026-02-14 17:50:04</t>
  </si>
  <si>
    <t xml:space="preserve">https://cdn.discordapp.com/ephemeral-attachments/1450933256630440049/1472364282292207800/IMG_1951.jpg?ex=69924d98&amp;is=6990fc18&amp;hm=264b0e70c6454348eac3dd73e72012c5bd2cf48e3c8dcc09339c39fb05bcdfb0&amp;</t>
  </si>
  <si>
    <t xml:space="preserve">2026-02-16 10:36:04</t>
  </si>
  <si>
    <t xml:space="preserve">https://cdn.discordapp.com/ephemeral-attachments/1450933256630440049/1472979838510825502/IMG20260216103536.jpg?ex=69948ae0&amp;is=69933960&amp;hm=860eda6a46f1ef0911989d525ff7bd1f328851a32b2d186eeb1d97a657f14ba9&amp;</t>
  </si>
  <si>
    <t xml:space="preserve">2026-02-16 12:04:51</t>
  </si>
  <si>
    <t xml:space="preserve">https://cdn.discordapp.com/ephemeral-attachments/1450933256630440049/1473002185800286424/PXL_20260216_170406158.jpg?ex=69949fb0&amp;is=69934e30&amp;hm=bdb37ca17a87df51807c8620df5c49a38987613f20f5558f0ab46354c77fc3ba&amp;</t>
  </si>
  <si>
    <t xml:space="preserve">2026-02-16 12:05:00</t>
  </si>
  <si>
    <t xml:space="preserve">https://cdn.discordapp.com/ephemeral-attachments/1450933256630440049/1473002223847080101/IMG20260216120418.jpg?ex=69949fb9&amp;is=69934e39&amp;hm=522af52c850b27f370be256996c781bd2897550b47ef7ba69b7b3b4b4fef654d&amp;</t>
  </si>
  <si>
    <t xml:space="preserve">2026-02-16 13:11:21</t>
  </si>
  <si>
    <t xml:space="preserve">https://cdn.discordapp.com/ephemeral-attachments/1450933256630440049/1473018921144815761/IMG_2409.jpg?ex=6994af46&amp;is=69935dc6&amp;hm=dbe4e2c1fbe53202b092098639aa66e15631759110f56544225a5870d36f3994&amp;</t>
  </si>
  <si>
    <t xml:space="preserve">2026-02-16 13:11:38</t>
  </si>
  <si>
    <t xml:space="preserve">https://cdn.discordapp.com/ephemeral-attachments/1450933256630440049/1473018989020975319/20260216_131057.jpg?ex=6994af56&amp;is=69935dd6&amp;hm=c02b0dd95cc82aade98927a56a26cf32bbc9f618806048b16947d5fa3972d45c&amp;</t>
  </si>
  <si>
    <t xml:space="preserve">2026-02-16 13:52:55</t>
  </si>
  <si>
    <t xml:space="preserve">https://cdn.discordapp.com/ephemeral-attachments/1450933256630440049/1473029378060451960/IMG_6791.jpg?ex=6994b903&amp;is=69936783&amp;hm=ead6e97e706adb6b6365a35436bb64a12061a0655cc4665962b5ba6a47fcee44&amp;</t>
  </si>
  <si>
    <t xml:space="preserve">2026-02-16 13:54:34</t>
  </si>
  <si>
    <t xml:space="preserve">https://cdn.discordapp.com/ephemeral-attachments/1450933256630440049/1473029795712598169/IMG20260216135327.jpg?ex=6994b966&amp;is=699367e6&amp;hm=c523c6c58496c92890cc38d92e5686bdb3634d389ad1343ce2c6a411ae22384e&amp;</t>
  </si>
  <si>
    <t xml:space="preserve">2026-02-16 13:54:36</t>
  </si>
  <si>
    <t xml:space="preserve">https://cdn.discordapp.com/ephemeral-attachments/1450933256630440049/1473029803211886733/20260216_135256.jpg?ex=6994b968&amp;is=699367e8&amp;hm=880b22854f5f1bd7894be91c6571363a3c0e887470416fa1c0748ec7c80fdc1c&amp;</t>
  </si>
  <si>
    <t xml:space="preserve">2026-02-16 13:58:38</t>
  </si>
  <si>
    <t xml:space="preserve">https://cdn.discordapp.com/ephemeral-attachments/1450933256630440049/1473030818866921634/IMG20260216135800.jpg?ex=6994ba5a&amp;is=699368da&amp;hm=0801c6f5f02753332bdf6bb47ab98ae80806f0057144595352b15c5d332260a6&amp;</t>
  </si>
  <si>
    <t xml:space="preserve">2026-02-16 15:46:04</t>
  </si>
  <si>
    <t xml:space="preserve">https://cdn.discordapp.com/ephemeral-attachments/1450933256630440049/1473057856612991139/PXL_20260216_204455735.jpg?ex=6994d389&amp;is=69938209&amp;hm=c1ba7cdbebfc366616fce026b20f616fad48a1535f5f3e519c2c320f97e7f852&amp;</t>
  </si>
  <si>
    <t xml:space="preserve">2026-02-16 15:46:07</t>
  </si>
  <si>
    <t xml:space="preserve">https://cdn.discordapp.com/ephemeral-attachments/1450933256630440049/1473057863004852471/IMG20260216154455.jpg?ex=6994d38a&amp;is=6993820a&amp;hm=bebabcba4cf50ee48d7ec6e06176f031537ceb8e542127f495dd78aeec6da960&amp;</t>
  </si>
  <si>
    <t xml:space="preserve">2026-02-17 10:51:28</t>
  </si>
  <si>
    <t xml:space="preserve">https://cdn.discordapp.com/ephemeral-attachments/1450933256630440049/1473346100307038473/20260217_105029.jpg?ex=6995dffb&amp;is=69948e7b&amp;hm=a6d780e83cc1067011f3ae49ee11a91b69590b704ee885ff53b9b02b323b76b7&amp;</t>
  </si>
  <si>
    <t xml:space="preserve">2026-02-17 10:51:33</t>
  </si>
  <si>
    <t xml:space="preserve">https://cdn.discordapp.com/ephemeral-attachments/1450933256630440049/1473346127456637082/88CFA6F4-F25D-4058-B4CF-AC4E92B4979F.jpg?ex=6995e002&amp;is=69948e82&amp;hm=a40e66c9fccd34f0796724ad75886f97a29c992d3124010de1142f19cd66dfed&amp;</t>
  </si>
  <si>
    <t xml:space="preserve">2026-02-17 13:13:49</t>
  </si>
  <si>
    <t xml:space="preserve">https://cdn.discordapp.com/ephemeral-attachments/1450933256630440049/1473381922116735169/IMG_6802.jpg?ex=69960158&amp;is=6994afd8&amp;hm=eb26ddd3fb7bd240510ccffbb5c5db622d21ef94740e8e8a1353297b2ddceb4d&amp;</t>
  </si>
  <si>
    <t xml:space="preserve">2026-02-17 13:14:40</t>
  </si>
  <si>
    <t xml:space="preserve">https://cdn.discordapp.com/ephemeral-attachments/1450933256630440049/1473382145329201385/20260217_131416.jpg?ex=6996018d&amp;is=6994b00d&amp;hm=de68b2757f30f5827735517bb697ef475b0607f9c52c3c6b7ee74c3f35f1d28c&amp;</t>
  </si>
  <si>
    <t xml:space="preserve">2026-02-17 13:16:02</t>
  </si>
  <si>
    <t xml:space="preserve">https://cdn.discordapp.com/ephemeral-attachments/1450933256630440049/1473382489270648874/IMG_6803.jpg?ex=699601df&amp;is=6994b05f&amp;hm=e7c9569857959b41be3a649b07ce7ebe6d1a0334498f4969b80950d4eccb209e&amp;</t>
  </si>
  <si>
    <t xml:space="preserve">2026-02-17 13:17:55</t>
  </si>
  <si>
    <t xml:space="preserve">https://cdn.discordapp.com/ephemeral-attachments/1450933256630440049/1473382964292223148/20260217_131636.jpg?ex=69960250&amp;is=6994b0d0&amp;hm=5f3b214a931e3cf86c30fc5ba99d967a0784fbbd57507392caa9d1695451ad90&amp;</t>
  </si>
  <si>
    <t xml:space="preserve">2026-02-17 13:37:57</t>
  </si>
  <si>
    <t xml:space="preserve">https://cdn.discordapp.com/ephemeral-attachments/1450933256630440049/1473388003199291503/20260217_133605.jpg?ex=69960702&amp;is=6994b582&amp;hm=ed34b12dc8d04a97e0a28bed19948eeaf4352de4d4ebeb5806a22256143f8e69&amp;</t>
  </si>
  <si>
    <t xml:space="preserve">2026-02-17 13:46:50</t>
  </si>
  <si>
    <t xml:space="preserve">https://cdn.discordapp.com/ephemeral-attachments/1450933256630440049/1473390231032955007/1BB9CF37-76D1-467E-BC82-304B4D756B36.jpg?ex=69960915&amp;is=6994b795&amp;hm=e2d7afd240537afd45b7ceeb95c5f4002b7c7d89524b5c52636ffb9a7a252b2f&amp;</t>
  </si>
  <si>
    <t xml:space="preserve">2026-02-17 21:56:28</t>
  </si>
  <si>
    <t xml:space="preserve">https://cdn.discordapp.com/ephemeral-attachments/1450933256630440049/1473513453183438941/IMG_2413.jpg?ex=69967bd7&amp;is=69952a57&amp;hm=f921bdd014657aa460a44fb0b9c45fe1b844c5cb7633c23e723cd8f23f2e9700&amp;</t>
  </si>
  <si>
    <t xml:space="preserve">2026-02-18 12:05:45</t>
  </si>
  <si>
    <t xml:space="preserve">https://cdn.discordapp.com/ephemeral-attachments/1450933256630440049/1473727189508690051/PXL_20260218_170508033.jpg?ex=699742e6&amp;is=6995f166&amp;hm=2e747c847989e6bded299148785132d9b837ed1bee834626ef1dad3398108ab3&amp;</t>
  </si>
  <si>
    <t xml:space="preserve">2026-02-18 12:07:14</t>
  </si>
  <si>
    <t xml:space="preserve">https://cdn.discordapp.com/ephemeral-attachments/1450933256630440049/1473727552987070474/PXL_20260218_170614198.jpg?ex=6997433d&amp;is=6995f1bd&amp;hm=815ac9adeaa8dc9150fd5c345a0543532fdbd45cbf0a672136044656467ea8b4&amp;</t>
  </si>
  <si>
    <t xml:space="preserve">2026-02-18 12:55:18</t>
  </si>
  <si>
    <t xml:space="preserve">https://cdn.discordapp.com/ephemeral-attachments/1450933256630440049/1473739653726081202/20260218_125434.jpg?ex=69974e82&amp;is=6995fd02&amp;hm=30723ed91c7b9c841a83761d97ccaf3c5baa7ab65b0d2937a7c2f87f61eceef4&amp;</t>
  </si>
  <si>
    <t xml:space="preserve">2026-02-18 12:55:23</t>
  </si>
  <si>
    <t xml:space="preserve">https://cdn.discordapp.com/ephemeral-attachments/1450933256630440049/1473739675960348825/IMG_6810.jpg?ex=69974e87&amp;is=6995fd07&amp;hm=42cc1c1d8d1f8c82aea66d730b3ab9e48b6be05d486e3ea2e389970d2564e2c0&amp;</t>
  </si>
  <si>
    <t xml:space="preserve">2026-02-18 12:55:46</t>
  </si>
  <si>
    <t xml:space="preserve">https://cdn.discordapp.com/ephemeral-attachments/1450933256630440049/1473739776103419926/20260218_125434.jpg?ex=69974e9f&amp;is=6995fd1f&amp;hm=df167034c53f89239d2be843e53abf7aa4ccd9282f22e5c2c26702fea45dbaa2&amp;</t>
  </si>
  <si>
    <t xml:space="preserve">2026-02-18 14:41:21</t>
  </si>
  <si>
    <t xml:space="preserve">https://cdn.discordapp.com/ephemeral-attachments/1450933256630440049/1473766344351809758/PXL_20260218_194017576.jpg?ex=6997675d&amp;is=699615dd&amp;hm=ffca965e50607d2e0d285ff7e939d9a067cd72387ceb37a9b5c6152b83cca71a&amp;</t>
  </si>
  <si>
    <t xml:space="preserve">2026-02-18 14:42:11</t>
  </si>
  <si>
    <t xml:space="preserve">https://cdn.discordapp.com/ephemeral-attachments/1450933256630440049/1473766555409055825/PXL_20260218_194126654.jpg?ex=69976790&amp;is=69961610&amp;hm=7e332a5ccdef62eff55b8e3a29b4a0789284fb7e1a4ea42462067dc639434dea&amp;</t>
  </si>
  <si>
    <t xml:space="preserve">2026-02-18 18:22:29</t>
  </si>
  <si>
    <t xml:space="preserve">https://cdn.discordapp.com/ephemeral-attachments/1450933256630440049/1473821987343433790/20260218_182139.jpg?ex=69979b30&amp;is=699649b0&amp;hm=adbbedecfed02c590d42b86dba89f1b17622aeea0ef28d9ffe87a09b98060ea3&amp;</t>
  </si>
  <si>
    <t xml:space="preserve">2026-02-18 20:28:11</t>
  </si>
  <si>
    <t xml:space="preserve">https://cdn.discordapp.com/ephemeral-attachments/1450933256630440049/1473853621769605120/4B86D950-4801-4074-8B6E-5BFE1F83C8F7.jpg?ex=6997b8a6&amp;is=69966726&amp;hm=09ec608b22a1548b72d152d5b8eb17303e3abce629edd6009b8e4b50f8a256e5&amp;</t>
  </si>
  <si>
    <t xml:space="preserve">2026-02-18 20:28:15</t>
  </si>
  <si>
    <t xml:space="preserve">https://cdn.discordapp.com/ephemeral-attachments/1450933256630440049/1473853641323708558/IMG_2415.jpg?ex=6997b8aa&amp;is=6996672a&amp;hm=44b62cb8f495c3537c8550ef342ff295d986872f9eb25e731318bc737e8d07aa&amp;</t>
  </si>
  <si>
    <t xml:space="preserve">2026-02-19 09:35:02</t>
  </si>
  <si>
    <t xml:space="preserve">https://cdn.discordapp.com/ephemeral-attachments/1450933256630440049/1474051649931575398/IMG_1964.jpg?ex=69987113&amp;is=69971f93&amp;hm=81b1d3c918688af7f52956943fb57a30cd0babba4089d0e1de924cb2566b0bb8&amp;</t>
  </si>
  <si>
    <t xml:space="preserve">2026-02-19 09:35:13</t>
  </si>
  <si>
    <t xml:space="preserve">https://cdn.discordapp.com/ephemeral-attachments/1450933256630440049/1474051691748786258/4105728E-C933-4BAF-BC23-3A5DED53A69D.jpg?ex=6998711d&amp;is=69971f9d&amp;hm=df5482d1d58f2598101bbcb9c6c73c9e6d57dd14e555c65d581bbc942e8f732d&amp;</t>
  </si>
  <si>
    <t xml:space="preserve">2026-02-19 12:22:56</t>
  </si>
  <si>
    <t xml:space="preserve">https://cdn.discordapp.com/ephemeral-attachments/1450933256630440049/1474093900133044264/20260219_122138.jpg?ex=6998986d&amp;is=699746ed&amp;hm=fc9aac0dc1c4c9060f0e2a829631d9c221a64b0af328d540d51da3751477446f&amp;</t>
  </si>
  <si>
    <t xml:space="preserve">2026-02-19 13:42:04</t>
  </si>
  <si>
    <t xml:space="preserve">https://cdn.discordapp.com/ephemeral-attachments/1450933256630440049/1474113812843200688/IMG_2420.jpg?ex=6998aaf8&amp;is=69975978&amp;hm=0ada038c51a92d1499f57af61a27b0a72b10c9c50737db29868b8ba272ca3f77&amp;</t>
  </si>
  <si>
    <t xml:space="preserve">2026-02-19 13:42:55</t>
  </si>
  <si>
    <t xml:space="preserve">https://cdn.discordapp.com/ephemeral-attachments/1450933256630440049/1474114028614717490/20260219_134130.jpg?ex=6998ab2c&amp;is=699759ac&amp;hm=895923932afe0bea652c7940c2d748e5d29ca526c7a4d1a61ebf5771a5094413&amp;</t>
  </si>
  <si>
    <t xml:space="preserve">2026-02-19 13:52:14</t>
  </si>
  <si>
    <t xml:space="preserve">https://cdn.discordapp.com/ephemeral-attachments/1450933256630440049/1474116367367143516/IMG_4343.jpg?ex=6998ad59&amp;is=69975bd9&amp;hm=fd895d2ca65d1836ef42c78abf2f846f095d55012219a76b68349765817b8b9d&amp;</t>
  </si>
  <si>
    <t xml:space="preserve">2026-02-19 15:59:53</t>
  </si>
  <si>
    <t xml:space="preserve">https://cdn.discordapp.com/ephemeral-attachments/1450933256630440049/1474148493596692652/IMG_2423.jpg?ex=6998cb45&amp;is=699779c5&amp;hm=feb55fa41bd528b469446314627f8e2fc2812684477cc9844dd96b7c5682c6ec&amp;</t>
  </si>
  <si>
    <t xml:space="preserve">2026-02-19 16:00:33</t>
  </si>
  <si>
    <t xml:space="preserve">https://cdn.discordapp.com/ephemeral-attachments/1450933256630440049/1474148657975660659/IMG_3765.jpg?ex=6998cb6c&amp;is=699779ec&amp;hm=e037070aebe34cf6b68d1d757e1bac77c6d67c216227fd8a56387ed3290fa642&amp;</t>
  </si>
  <si>
    <t xml:space="preserve">2026-02-19 17:06:34</t>
  </si>
  <si>
    <t xml:space="preserve">https://cdn.discordapp.com/ephemeral-attachments/1450933256630440049/1474165269944336515/IMG_2424.jpg?ex=6998dae5&amp;is=69978965&amp;hm=cb18a08bc5c2779ce61d06bd91ce5f52bf7feceb4d186f6709381984f4674878&amp;</t>
  </si>
  <si>
    <t xml:space="preserve">2026-02-19 17:06:49</t>
  </si>
  <si>
    <t xml:space="preserve">https://cdn.discordapp.com/ephemeral-attachments/1450933256630440049/1474165340404580383/IMG_3766.jpg?ex=6998daf5&amp;is=69978975&amp;hm=20fa37312eda9a48a1a614f7228948f892ee8ba52893e6491f709265b39294d9&amp;</t>
  </si>
  <si>
    <t xml:space="preserve">2026-02-20 15:19:02</t>
  </si>
  <si>
    <t xml:space="preserve">https://cdn.discordapp.com/ephemeral-attachments/1450933256630440049/1474500600942039111/IMG_2426.jpg?ex=699a1332&amp;is=6998c1b2&amp;hm=310159303b265f1561b9526e92717cabae6367fdd1b4753df0126399a4d4d954&amp;</t>
  </si>
  <si>
    <t xml:space="preserve">2026-02-20 15:19:26</t>
  </si>
  <si>
    <t xml:space="preserve">https://cdn.discordapp.com/ephemeral-attachments/1450933256630440049/1474500701362192427/7E40F19A-643F-4391-A356-4EFCFECB0BD8.jpg?ex=699a134a&amp;is=6998c1ca&amp;hm=a9eb7fc7f7807cce30f8ea7c4c5b44fbac78a487bcb72cca6342d24a7f3b72fa&amp;</t>
  </si>
  <si>
    <t xml:space="preserve">2026-02-21 21:34:26</t>
  </si>
  <si>
    <t xml:space="preserve">https://cdn.discordapp.com/ephemeral-attachments/1450933256630440049/1474957459687866480/IMG_3776.jpg?ex=699bbcad&amp;is=699a6b2d&amp;hm=492ca5907abfbad5933a414ccfc0c583e2c27273707321636eefd4ad972e6de5&amp;</t>
  </si>
  <si>
    <t xml:space="preserve">2026-02-21 21:34:35</t>
  </si>
  <si>
    <t xml:space="preserve">https://cdn.discordapp.com/ephemeral-attachments/1450933256630440049/1474957500834123836/20260221_213339.jpg?ex=699bbcb7&amp;is=699a6b37&amp;hm=ab0c539d33d46254145ebc4e839b73af9168d1cc2919ef1e084569a036215ea8&amp;</t>
  </si>
  <si>
    <t xml:space="preserve">2026-02-22 10:58:26</t>
  </si>
  <si>
    <t xml:space="preserve">https://cdn.discordapp.com/ephemeral-attachments/1450933256630440049/1475159794221318307/20260212_160911.jpg?ex=699c791e&amp;is=699b279e&amp;hm=28b798410caa632f941a80c1264f58748bd68d45895218abcc827030d5b22a42&amp;</t>
  </si>
  <si>
    <t xml:space="preserve">2026-02-22 17:05:06</t>
  </si>
  <si>
    <t xml:space="preserve">https://cdn.discordapp.com/ephemeral-attachments/1450933256630440049/1475252071216185415/IMG_2436.jpg?ex=699ccf0e&amp;is=699b7d8e&amp;hm=b7cce5ca8397e40caba7bcda443e20be88853f8e3ff00e26eb6a47c709b0eb76&amp;</t>
  </si>
  <si>
    <t xml:space="preserve">2026-02-23 12:48:02</t>
  </si>
  <si>
    <t xml:space="preserve">https://cdn.discordapp.com/ephemeral-attachments/1450933256630440049/1475549768380977404/20260223_124725.jpg?ex=699de44f&amp;is=699c92cf&amp;hm=e8b7233d8eb67af643e5c666aaf73de3823ef9c6ef3966444a59376d2e693a88&amp;</t>
  </si>
  <si>
    <t xml:space="preserve">2026-02-23 12:48:08</t>
  </si>
  <si>
    <t xml:space="preserve">https://cdn.discordapp.com/ephemeral-attachments/1450933256630440049/1475549791508496658/PXL_20260223_174716276.jpg?ex=699de454&amp;is=699c92d4&amp;hm=ee2790cf85a42005fd3c0883de09389fda70908f2817711e4728b1d5f579cd1a&amp;</t>
  </si>
  <si>
    <t xml:space="preserve">2026-02-23 12:52:24</t>
  </si>
  <si>
    <t xml:space="preserve">https://cdn.discordapp.com/ephemeral-attachments/1450933256630440049/1475550865615097897/IMG_3777.jpg?ex=699de554&amp;is=699c93d4&amp;hm=7318a952c4542aeb4932ae66763492be9a3a168191bd3ae9176f2a141ce89b49&amp;</t>
  </si>
  <si>
    <t xml:space="preserve">2026-02-23 14:36:59</t>
  </si>
  <si>
    <t xml:space="preserve">https://cdn.discordapp.com/ephemeral-attachments/1450933256630440049/1475577186193768700/PXL_20260223_193626408.jpg?ex=699dfdd8&amp;is=699cac58&amp;hm=27ec68ac1fad40ccf5a0f9658ba3cf1ff37273c3a66f4797e06dc280320f9cfe&amp;</t>
  </si>
  <si>
    <t xml:space="preserve">2026-02-23 14:38:24</t>
  </si>
  <si>
    <t xml:space="preserve">https://cdn.discordapp.com/ephemeral-attachments/1450933256630440049/1475577544865746964/PXL_20260223_193742104.jpg?ex=699dfe2d&amp;is=699cacad&amp;hm=d5d9f44c16a5b32f68e19b468315972d2840fb5e798ea5a5039c741ff6d21a47&amp;</t>
  </si>
  <si>
    <t xml:space="preserve">2026-02-23 14:48:15</t>
  </si>
  <si>
    <t xml:space="preserve">https://cdn.discordapp.com/ephemeral-attachments/1450933256630440049/1475580020742160535/20260223_144621.jpg?ex=699e007b&amp;is=699caefb&amp;hm=493500f2ed6de97df37856be91851891d9df21b51bdec3da49d45d67c6d48830&amp;</t>
  </si>
  <si>
    <t xml:space="preserve">2026-02-23 16:56:04</t>
  </si>
  <si>
    <t xml:space="preserve">https://cdn.discordapp.com/ephemeral-attachments/1450933256630440049/1475612185706107033/7C58C947-4463-4D0C-844E-179DF7F9B77D.jpg?ex=699e1e70&amp;is=699cccf0&amp;hm=f1dbb5132cb4db810f26cc9a1bb0e34e9b44f7733b4eb9691cbe3bb9ae84a11b&amp;</t>
  </si>
  <si>
    <t xml:space="preserve">2026-02-23 16:56:07</t>
  </si>
  <si>
    <t xml:space="preserve">https://cdn.discordapp.com/ephemeral-attachments/1450933256630440049/1475612199509692677/IMG_1979.jpg?ex=699e1e73&amp;is=699cccf3&amp;hm=cb08868f62db2a91ef5407a426b18aeb867dfc5c56c465a83dce8384fb4dfb6f&amp;</t>
  </si>
  <si>
    <t xml:space="preserve">2026-02-23 17:46:42</t>
  </si>
  <si>
    <t xml:space="preserve">https://cdn.discordapp.com/ephemeral-attachments/1450933256630440049/1475624927611846796/20260223_174513.jpg?ex=699e2a4e&amp;is=699cd8ce&amp;hm=33e12fd2263466ad3eda87a32b1d13b9e3f61074f19a5871baf034956bb87045&amp;</t>
  </si>
  <si>
    <t xml:space="preserve">2026-02-23 17:47:31</t>
  </si>
  <si>
    <t xml:space="preserve">https://cdn.discordapp.com/ephemeral-attachments/1450933256630440049/1475625133962952736/20260223_174513.jpg?ex=699e2a7f&amp;is=699cd8ff&amp;hm=8f20248757cff74d1c9e2fdfb1c7ed145740f6eb425bf9aa01b097e517e7f228&amp;</t>
  </si>
  <si>
    <t xml:space="preserve">2026-02-23 17:49:27</t>
  </si>
  <si>
    <t xml:space="preserve">https://cdn.discordapp.com/ephemeral-attachments/1450933256630440049/1475625619327811664/20260223_174513.jpg?ex=699e2af3&amp;is=699cd973&amp;hm=c75e2f7329962984122721ad0ae9974774228e9dd2de93b203eb1d741729bb2b&amp;</t>
  </si>
  <si>
    <t xml:space="preserve">2026-02-24 10:48:51</t>
  </si>
  <si>
    <t xml:space="preserve">https://cdn.discordapp.com/ephemeral-attachments/1450933256630440049/1475882163768660149/20260224_104753.jpg?ex=699f19e0&amp;is=699dc860&amp;hm=085f1b9a3fe5e42f9f82825a600a2094a9948efd21d1b8ff62e021f82dc8662f&amp;</t>
  </si>
  <si>
    <t xml:space="preserve">2026-02-24 10:49:05</t>
  </si>
  <si>
    <t xml:space="preserve">https://cdn.discordapp.com/ephemeral-attachments/1450933256630440049/1475882221347930162/20260224_104752.jpg?ex=699f19ee&amp;is=699dc86e&amp;hm=fe1e9c2c693f84bc97b26046d07451570ef1553947735d1c71bced1126f4723a&amp;</t>
  </si>
  <si>
    <t xml:space="preserve">2026-02-24 10:49:33</t>
  </si>
  <si>
    <t xml:space="preserve">https://cdn.discordapp.com/ephemeral-attachments/1450933256630440049/1475882341657219092/20260224_104903.jpg?ex=699f1a0a&amp;is=699dc88a&amp;hm=84a78618b92312dc67c6df129aaf5f51f09c84ea18162725d8467379527e1adb&amp;</t>
  </si>
  <si>
    <t xml:space="preserve">2026-02-24 11:52:25</t>
  </si>
  <si>
    <t xml:space="preserve">https://cdn.discordapp.com/ephemeral-attachments/1450933256630440049/1475898158046249023/20260224_115132.jpg?ex=699f28c5&amp;is=699dd745&amp;hm=9519c4ce0472332b3b678e9bf7a245f9fdae9990d33178dbb5984c12f8de8478&amp;</t>
  </si>
  <si>
    <t xml:space="preserve">2026-02-24 12:18:48</t>
  </si>
  <si>
    <t xml:space="preserve">https://cdn.discordapp.com/ephemeral-attachments/1450933256630440049/1475904797080031242/20260224_121731.jpg?ex=699f2ef4&amp;is=699ddd74&amp;hm=f58d8f6d0f25c4318bcf1c286e2e5e871ace5d1cdb784ace45c3d62edb16b754&amp;</t>
  </si>
  <si>
    <t xml:space="preserve">2026-02-24 13:45:06</t>
  </si>
  <si>
    <t xml:space="preserve">https://cdn.discordapp.com/ephemeral-attachments/1450933256630440049/1475926515672682516/IMG_2666.jpg?ex=699f432e&amp;is=699df1ae&amp;hm=64d2cb5c099dcf15ddf51eca97e54dd469beaf2845d248f409fa8f7b1db06f03&amp;</t>
  </si>
  <si>
    <t xml:space="preserve">2026-02-24 13:51:07</t>
  </si>
  <si>
    <t xml:space="preserve">https://cdn.discordapp.com/ephemeral-attachments/1450933256630440049/1475928028814115007/IMG20260224135013.jpg?ex=699f4497&amp;is=699df317&amp;hm=eb97e5eb998735dd9a500de759047a0d7d1a5353c68b62d1f8c49a4a8fdab2a3&amp;</t>
  </si>
  <si>
    <t xml:space="preserve">2026-02-24 15:24:35</t>
  </si>
  <si>
    <t xml:space="preserve">https://cdn.discordapp.com/ephemeral-attachments/1450933256630440049/1475951548495302791/IMG20260224152353.jpg?ex=699f5a7f&amp;is=699e08ff&amp;hm=a42b40492776a2f2a156bac941ca459506773973b39cec7b72f4f412d7c96e89&amp;</t>
  </si>
  <si>
    <t xml:space="preserve">2026-02-24 15:24:57</t>
  </si>
  <si>
    <t xml:space="preserve">https://cdn.discordapp.com/ephemeral-attachments/1450933256630440049/1475951644800712756/88D8045D-B69D-47E5-A977-E53F7D8D150C.jpg?ex=699f5a95&amp;is=699e0915&amp;hm=6b3ddc497a4dff020ae285ae4fe6d6cc23c438adfdf284156aa3295cb06d91a9&amp;</t>
  </si>
  <si>
    <t xml:space="preserve">2026-02-24 19:53:54</t>
  </si>
  <si>
    <t xml:space="preserve">https://cdn.discordapp.com/ephemeral-attachments/1450933256630440049/1476019324908212467/IMG_1981.jpg?ex=699f999e&amp;is=699e481e&amp;hm=80ec027d933a692c8d82ecdb95a790c0ebdaa7c7a1fb24c4f81c7ff7770ba0d4&amp;</t>
  </si>
  <si>
    <t xml:space="preserve">2026-02-24 19:54:20</t>
  </si>
  <si>
    <t xml:space="preserve">https://cdn.discordapp.com/ephemeral-attachments/1450933256630440049/1476019434224226374/20260224_195247.jpg?ex=699f99b8&amp;is=699e4838&amp;hm=c8abee8e70508dfc689a3cde72d9ae47a62a1a203ba6fe3c324ad2876116ad10&amp;</t>
  </si>
  <si>
    <t xml:space="preserve">2026-02-25 13:03:53</t>
  </si>
  <si>
    <t xml:space="preserve">https://cdn.discordapp.com/ephemeral-attachments/1450933256630440049/1476278533985927168/IMG_1987.jpg?ex=69a08b06&amp;is=699f3986&amp;hm=4221415269f9bd1479fc3286a222fa3f0c66fc9fb12e51f03c252744b2345356&amp;</t>
  </si>
  <si>
    <t xml:space="preserve">2026-02-25 13:04:31</t>
  </si>
  <si>
    <t xml:space="preserve">https://cdn.discordapp.com/ephemeral-attachments/1450933256630440049/1476278695500189829/20260225_130316.jpg?ex=69a08b2c&amp;is=699f39ac&amp;hm=006b873ae49c9f69e92a553eaefbfe41deea15a732dd77fa9b2db34787af51d6&amp;</t>
  </si>
  <si>
    <t xml:space="preserve">2026-02-25 14:48:24</t>
  </si>
  <si>
    <t xml:space="preserve">https://cdn.discordapp.com/ephemeral-attachments/1450933256630440049/1476304825154142218/PXL_20260225_194747053.MP.jpg?ex=69a0a382&amp;is=699f5202&amp;hm=4b1b733bd6b515c8d6a784808638a69a567a83712f4dcf845446406e5d39eb93&amp;</t>
  </si>
  <si>
    <t xml:space="preserve">2026-02-25 15:18:39</t>
  </si>
  <si>
    <t xml:space="preserve">https://cdn.discordapp.com/ephemeral-attachments/1450933256630440049/1476312433407557823/IMG_2493.jpg?ex=69a0aa98&amp;is=699f5918&amp;hm=c32edc06e28c6d11c1865d10e136c16f71a28dcf930bf3a387688b270f1f9af4&amp;</t>
  </si>
  <si>
    <t xml:space="preserve">2026-02-25 17:39:39</t>
  </si>
  <si>
    <t xml:space="preserve">https://cdn.discordapp.com/ephemeral-attachments/1450933256630440049/1476347924060311715/20260225_173836.jpg?ex=69a0cba6&amp;is=699f7a26&amp;hm=4b7aed3ea6785412127da088bff69f77a5212a7bb4f032250634aeff7dacb1ed&amp;</t>
  </si>
  <si>
    <t xml:space="preserve">2026-02-26 12:05:46</t>
  </si>
  <si>
    <t xml:space="preserve">https://cdn.discordapp.com/ephemeral-attachments/1450933256630440049/1476626297248547127/IMG20260226120441.jpg?ex=69a1cee7&amp;is=69a07d67&amp;hm=c93201a1f43979334af835dcac4afa7fd8e2d776d0e048914aa7b9dc408ca6aa&amp;</t>
  </si>
  <si>
    <t xml:space="preserve">2026-02-26 12:06:30</t>
  </si>
  <si>
    <t xml:space="preserve">https://cdn.discordapp.com/ephemeral-attachments/1450933256630440049/1476626481651122226/IMG_2505.jpg?ex=69a1cf13&amp;is=69a07d93&amp;hm=b69a589d194576919ffb0f09bf5706ab2e3856006813bf880d7263a251d69c51&amp;</t>
  </si>
  <si>
    <t xml:space="preserve">2026-02-26 13:46:10</t>
  </si>
  <si>
    <t xml:space="preserve">https://cdn.discordapp.com/ephemeral-attachments/1450933256630440049/1476651559315181650/IMG_4363.jpg?ex=69a1e66e&amp;is=69a094ee&amp;hm=19eb855da132835d546c16c8d2d8076e80ad75bc5c5bda01a06d3f80a0de36b4&amp;</t>
  </si>
  <si>
    <t xml:space="preserve">2026-02-26 14:03:08</t>
  </si>
  <si>
    <t xml:space="preserve">https://cdn.discordapp.com/ephemeral-attachments/1450933256630440049/1476655828483182766/IMG_2466.jpg?ex=69a1ea68&amp;is=69a098e8&amp;hm=267d8f1fe3ecf1a3918f1fb70efa2c75c1d3ed02541c0c298d394061009439c8&amp;</t>
  </si>
  <si>
    <t xml:space="preserve">2026-02-26 16:55:21</t>
  </si>
  <si>
    <t xml:space="preserve">https://cdn.discordapp.com/ephemeral-attachments/1450933256630440049/1476699166939021322/20260226_165442.jpg?ex=69a212c5&amp;is=69a0c145&amp;hm=e47241b434f79907e7c4167e50bae8b8fc3dea5aab28a29402721d77f4fb287c&amp;</t>
  </si>
  <si>
    <t xml:space="preserve">2026-02-26 22:11:26</t>
  </si>
  <si>
    <t xml:space="preserve">https://cdn.discordapp.com/ephemeral-attachments/1450933256630440049/1476778709078773911/IMG_1990.jpg?ex=69a25cd9&amp;is=69a10b59&amp;hm=51504a3d72d51c77ce442f6b7c440cf66fed7810c981d4367d62df43eee5602c&amp;</t>
  </si>
  <si>
    <t xml:space="preserve">2026-02-26 22:14:30</t>
  </si>
  <si>
    <t xml:space="preserve">https://cdn.discordapp.com/ephemeral-attachments/1450933256630440049/1476779481170706493/IMG_1991.jpg?ex=69a25d91&amp;is=69a10c11&amp;hm=c58f8a596fd81837f609ba8e04a740743a6d0025eb300012a25bcd08a2fc8adb&amp;</t>
  </si>
  <si>
    <t xml:space="preserve">2026-02-26 22:15:02</t>
  </si>
  <si>
    <t xml:space="preserve">https://cdn.discordapp.com/ephemeral-attachments/1450933256630440049/1476779616499667025/20260226_221359.jpg?ex=69a25db1&amp;is=69a10c31&amp;hm=dbd8742239afc12ea931254388329454d4142ddb333199dd3174098c6b6011e7&amp;</t>
  </si>
  <si>
    <t xml:space="preserve">2026-02-27 11:40:56</t>
  </si>
  <si>
    <t xml:space="preserve">https://cdn.discordapp.com/ephemeral-attachments/1450933256630440049/1476982430522146816/IMG_2005.jpg?ex=69a31a94&amp;is=69a1c914&amp;hm=eebd86c2c4441ce02537211e03e730ec3429702e199e8493bf94bbf77042283b&amp;</t>
  </si>
  <si>
    <t xml:space="preserve">2026-02-27 14:43:59</t>
  </si>
  <si>
    <t xml:space="preserve">https://cdn.discordapp.com/ephemeral-attachments/1450933256630440049/1477028497649041699/IMG_2680.jpg?ex=69a3457b&amp;is=69a1f3fb&amp;hm=59262da0b8e52ecb98e6fc2e10b8bc5a3b48e336e0985134d74508b266682d29&amp;</t>
  </si>
  <si>
    <t xml:space="preserve">2026-02-27 23:31:10</t>
  </si>
  <si>
    <t xml:space="preserve">https://cdn.discordapp.com/ephemeral-attachments/1450933256630440049/1477161156584935600/IMG_3794.jpg?ex=69a3c108&amp;is=69a26f88&amp;hm=c338b32d44f6d825e7ea598058b8e8f3561a4abb9a62e607fe1b79bc9a516069&amp;</t>
  </si>
  <si>
    <t xml:space="preserve">2026-02-27 23:31:19</t>
  </si>
  <si>
    <t xml:space="preserve">https://cdn.discordapp.com/ephemeral-attachments/1450933256630440049/1477161200004628562/20260227_232959.jpg?ex=69a3c112&amp;is=69a26f92&amp;hm=6216c9a5d3b6845ee49a63cb4923942d62523384ebcee148c4563cde315fb888&amp;</t>
  </si>
  <si>
    <t xml:space="preserve">2026-02-28 19:59:36</t>
  </si>
  <si>
    <t xml:space="preserve">https://cdn.discordapp.com/ephemeral-attachments/1450933256630440049/1477470309669146784/IMG_2009.jpg?ex=69a4e0f3&amp;is=69a38f73&amp;hm=d1a78ebff851b13cbe25b05528a777e6e3d11b8c31f032a69e5c3bbc090ae77c&amp;</t>
  </si>
  <si>
    <t xml:space="preserve">2026-02-28 19:59:53</t>
  </si>
  <si>
    <t xml:space="preserve">https://cdn.discordapp.com/ephemeral-attachments/1450933256630440049/1477470383002222683/20260228_195852.jpg?ex=69a4e105&amp;is=69a38f85&amp;hm=fc6c4d6dd80e69b69c16039bb006b7cd988a9b779e865d033ec0eb4e3a0eea82&amp;</t>
  </si>
  <si>
    <t xml:space="preserve">2026-02-28 22:01:06</t>
  </si>
  <si>
    <t xml:space="preserve">https://cdn.discordapp.com/ephemeral-attachments/1450933256630440049/1477500888565153855/20260228_220000.jpg?ex=69a4fd6e&amp;is=69a3abee&amp;hm=0158e8cde3758c4adbc85a6cc7b520d49fcc15fc7dad76a65b12ae36ed0472a1&amp;</t>
  </si>
  <si>
    <t xml:space="preserve">2026-03-02 10:56:42</t>
  </si>
  <si>
    <t xml:space="preserve">https://cdn.discordapp.com/ephemeral-attachments/1450933256630440049/1478058468001714217/IMG_2693.jpg?ex=69a704b7&amp;is=69a5b337&amp;hm=635b7a31df43d0f7f682ad78176c5b0b6dd7ecaaa793691b5d5e27d3aacac815&amp;</t>
  </si>
  <si>
    <t xml:space="preserve">2026-03-02 10:56:54</t>
  </si>
  <si>
    <t xml:space="preserve">https://cdn.discordapp.com/ephemeral-attachments/1450933256630440049/1478058517897412750/IMG20260302105601.jpg?ex=69a704c3&amp;is=69a5b343&amp;hm=3fc5f3f0475f1922e1c1140214306be830d6a3e72c07303a14cf5bc6b65f72ff&amp;</t>
  </si>
  <si>
    <t xml:space="preserve">2026-03-02 11:46:32</t>
  </si>
  <si>
    <t xml:space="preserve">https://cdn.discordapp.com/ephemeral-attachments/1450933256630440049/1478071006269669606/IMG_2694.jpg?ex=69a71065&amp;is=69a5bee5&amp;hm=988c705401d50e51e749c015955f5cc11b55669bd69fc81147f4bbf803d367fa&amp;</t>
  </si>
  <si>
    <t xml:space="preserve">2026-03-02 13:58:07</t>
  </si>
  <si>
    <t xml:space="preserve">https://cdn.discordapp.com/ephemeral-attachments/1450933256630440049/1478104117422456954/IMG_2695.jpg?ex=69a72f3b&amp;is=69a5ddbb&amp;hm=a3e8bdaa5404a15c049223751121bea67118273ede7ed1244080e2286a4d8d59&amp;</t>
  </si>
  <si>
    <t xml:space="preserve">2026-03-02 13:58:27</t>
  </si>
  <si>
    <t xml:space="preserve">https://cdn.discordapp.com/ephemeral-attachments/1450933256630440049/1478104203103571968/20260302_135654.jpg?ex=69a72f4f&amp;is=69a5ddcf&amp;hm=01c9355b8c5ef4170018f2bdc76f7abbbfe360a7775acaa9085060c6e8617379&amp;</t>
  </si>
  <si>
    <t xml:space="preserve">2026-03-02 17:39:46</t>
  </si>
  <si>
    <t xml:space="preserve">https://cdn.discordapp.com/ephemeral-attachments/1450933256630440049/1478159890047570023/IMG_3804.jpg?ex=69a7632c&amp;is=69a611ac&amp;hm=90f772c467ff68d834827a1f40c921f6245f42cd616d8dfc0a89a339b9687d3c&amp;</t>
  </si>
  <si>
    <t xml:space="preserve">2026-03-03 12:05:39</t>
  </si>
  <si>
    <t xml:space="preserve">https://cdn.discordapp.com/ephemeral-attachments/1450933256630440049/1478438204443983983/IMG20260303120426.jpg?ex=69a8665f&amp;is=69a714df&amp;hm=3246369a61075173588544f766e0e7ee93bcbeea7d407730aa22fe984321fe13&amp;</t>
  </si>
  <si>
    <t xml:space="preserve">2026-03-03 12:22:38</t>
  </si>
  <si>
    <t xml:space="preserve">https://cdn.discordapp.com/ephemeral-attachments/1450933256630440049/1478442479027093634/IMG_2015.jpg?ex=69a86a5b&amp;is=69a718db&amp;hm=c9bef7c09b0749014d09c024d4f794abd8295b605a545153ec09a121d5fe9895&amp;</t>
  </si>
  <si>
    <t xml:space="preserve">2026-03-03 12:25:15</t>
  </si>
  <si>
    <t xml:space="preserve">https://cdn.discordapp.com/ephemeral-attachments/1450933256630440049/1478443135934664714/20260303_122429.jpg?ex=69a86af7&amp;is=69a71977&amp;hm=41f5e7ddd355cb77bae27562e6d4fd74f3d98cc746499e28a312a858d865bb69&amp;</t>
  </si>
  <si>
    <t xml:space="preserve">2026-03-03 12:25:45</t>
  </si>
  <si>
    <t xml:space="preserve">https://cdn.discordapp.com/ephemeral-attachments/1450933256630440049/1478443265672876186/IMG_6880.jpg?ex=69a86b16&amp;is=69a71996&amp;hm=44b0d10d04cafd1ced10f8cb50b80860df8220b93504df8545047780e47ca0f9&amp;</t>
  </si>
  <si>
    <t xml:space="preserve">2026-03-03 18:05:15</t>
  </si>
  <si>
    <t xml:space="preserve">https://cdn.discordapp.com/ephemeral-attachments/1450933256630440049/1478528698364989511/IMG_2016.jpg?ex=69a8baa7&amp;is=69a76927&amp;hm=e7502ad4d38a524ba322007104175e8bf9fc961a365f546788d1750cd3645bb0&amp;</t>
  </si>
  <si>
    <t xml:space="preserve">2026-03-05 10:50:16</t>
  </si>
  <si>
    <t xml:space="preserve">https://cdn.discordapp.com/ephemeral-attachments/1450933256630440049/1479143989557985360/IMG_2510.jpg?ex=69aaf7b0&amp;is=69a9a630&amp;hm=279cd162da5772ecb8b0daee7c6c31ee840719f5ed561976ca9839fcbe6c1b9a&amp;</t>
  </si>
  <si>
    <t xml:space="preserve">2026-03-05 12:20:14</t>
  </si>
  <si>
    <t xml:space="preserve">https://cdn.discordapp.com/ephemeral-attachments/1450933256630440049/1479166633766289588/20260305_121912.jpg?ex=69ab0cc7&amp;is=69a9bb47&amp;hm=1f0b4b956cacb3e8bba7576147773291b89c2ec545aa8d70b9d4a83749a6fb9a&amp;</t>
  </si>
  <si>
    <t xml:space="preserve">2026-03-05 19:06:26</t>
  </si>
  <si>
    <t xml:space="preserve">https://cdn.discordapp.com/ephemeral-attachments/1450933256630440049/1479268846811484160/IMG_2027.jpg?ex=69ab6bf8&amp;is=69aa1a78&amp;hm=ded225562b94d607c8a0260ec898f203829967f83c15eb7ed59585b5381b93de&amp;</t>
  </si>
  <si>
    <t xml:space="preserve">2026-03-05 23:05:03</t>
  </si>
  <si>
    <t xml:space="preserve">https://cdn.discordapp.com/ephemeral-attachments/1450933256630440049/1479328898033647852/IMG_2513.jpg?ex=69aba3e5&amp;is=69aa5265&amp;hm=52f0222753af43bfee74f197738f9bd29f2a65f6ca322107988ff5291a78bd8d&amp;</t>
  </si>
  <si>
    <t xml:space="preserve">2026-03-05 23:05:04</t>
  </si>
  <si>
    <t xml:space="preserve">https://cdn.discordapp.com/ephemeral-attachments/1450933256630440049/1479328901237837864/20260305_230403.jpg?ex=69aba3e6&amp;is=69aa5266&amp;hm=46b9e57899d90316a6abd37d5abbc59634ac14bd72248b88373d7f45e6112522&amp;</t>
  </si>
  <si>
    <t xml:space="preserve">2026-03-06 11:38:50</t>
  </si>
  <si>
    <t xml:space="preserve">https://cdn.discordapp.com/ephemeral-attachments/1450933256630440049/1479518626406076446/20260306_113759.jpg?ex=69ac5498&amp;is=69ab0318&amp;hm=afd0d02afe13b6da0eb5dc15cc652fde63f6fa529c906c1c3147367e5ede9616&amp;</t>
  </si>
  <si>
    <t xml:space="preserve">2026-03-06 14:55:02</t>
  </si>
  <si>
    <t xml:space="preserve">https://cdn.discordapp.com/ephemeral-attachments/1450933256630440049/1479567995197198366/IMG_3827.jpg?ex=69ac8293&amp;is=69ab3113&amp;hm=b19c58adf7a4a15eee682326ad0f45f849ae44e69e7315ab73fc0d340dfeef04&amp;</t>
  </si>
  <si>
    <t xml:space="preserve">2026-03-06 19:34:25</t>
  </si>
  <si>
    <t xml:space="preserve">https://cdn.discordapp.com/ephemeral-attachments/1450933256630440049/1479638302222057513/IMG_2517.jpg?ex=69acc40d&amp;is=69ab728d&amp;hm=22777d91a204b46dab659df4549471efde8513a1e4de55af64f3689f7d8e8c02&amp;</t>
  </si>
  <si>
    <t xml:space="preserve">2026-03-06 19:35:35</t>
  </si>
  <si>
    <t xml:space="preserve">https://cdn.discordapp.com/ephemeral-attachments/1450933256630440049/1479638593969328179/IMG_2029.jpg?ex=69acc453&amp;is=69ab72d3&amp;hm=bcfdcfdd2ac823890f263059b7155f17c7818cb1567b63f92a3174acbc92380e&amp;</t>
  </si>
  <si>
    <t xml:space="preserve">2026-03-16 18:24:06</t>
  </si>
  <si>
    <t xml:space="preserve">https://cdn.discordapp.com/ephemeral-attachments/1450933256630440049/1483229289460662302/IMG_2885.jpg?ex=69b9d46b&amp;is=69b882eb&amp;hm=5f17e802d9853700faaa00d79348e928c342f1f6ba6e8bca7f097bef1d1a376b&amp;</t>
  </si>
  <si>
    <t xml:space="preserve">2026-03-16 18:24:13</t>
  </si>
  <si>
    <t xml:space="preserve">https://cdn.discordapp.com/ephemeral-attachments/1450933256630440049/1483229325099532359/IMG_2886.jpg?ex=69b9d474&amp;is=69b882f4&amp;hm=40a7081dc8f74003371708a097df33370826e565006939d06162f040d22bdd6f&amp;</t>
  </si>
  <si>
    <t xml:space="preserve">2026-03-17 13:47:23</t>
  </si>
  <si>
    <t xml:space="preserve">https://cdn.discordapp.com/ephemeral-attachments/1450933256630440049/1483522134897856635/IMG20260317134610.jpg?ex=69bae527&amp;is=69b993a7&amp;hm=fcc873486f75699500d07cc40f6c462ed59d9050e8032c178f2f3202331c58db&amp;</t>
  </si>
  <si>
    <t xml:space="preserve">2026-03-17 13:54:32</t>
  </si>
  <si>
    <t xml:space="preserve">https://cdn.discordapp.com/ephemeral-attachments/1450933256630440049/1483523934577234012/7F5D9542-582C-4311-AF49-FA0752169A3F.jpg?ex=69bae6d4&amp;is=69b99554&amp;hm=5c4d433a64b39baaa135639cd557ed6fb94191fc65726fc82240408a4493ed20&amp;</t>
  </si>
  <si>
    <t xml:space="preserve">2026-03-17 13:56:59</t>
  </si>
  <si>
    <t xml:space="preserve">https://cdn.discordapp.com/ephemeral-attachments/1450933256630440049/1483524553887056153/IMG_2890.jpg?ex=69bae768&amp;is=69b995e8&amp;hm=db39a57b1f3b797cb3e377774acaa30aa010f665ab39b18696bf5d3613a0cbf8&amp;</t>
  </si>
  <si>
    <t xml:space="preserve">2026-03-18 08:52:32</t>
  </si>
  <si>
    <t xml:space="preserve">https://cdn.discordapp.com/ephemeral-attachments/1450933256630440049/1483810327211806801/IMG_2823.jpg?ex=69bbf18d&amp;is=69baa00d&amp;hm=79f4d5bf1c5eb2bbb446fb7c74ea18461aadc52c2423ac37a50ed94f7c912091&amp;</t>
  </si>
  <si>
    <t xml:space="preserve">2026-03-18 08:52:48</t>
  </si>
  <si>
    <t xml:space="preserve">https://cdn.discordapp.com/ephemeral-attachments/1450933256630440049/1483810396040331414/IMG20260318085157.jpg?ex=69bbf19e&amp;is=69baa01e&amp;hm=37ac85e27755a9e764bf5b131cead4dde9abb83b7f88295c4010362478311736&amp;</t>
  </si>
  <si>
    <t xml:space="preserve">2026-03-18 08:54:59</t>
  </si>
  <si>
    <t xml:space="preserve">https://cdn.discordapp.com/ephemeral-attachments/1450933256630440049/1483810944072024274/PXL_20260318_125306016.jpg?ex=69bbf220&amp;is=69baa0a0&amp;hm=f73559d1fb3da23ff75e327af4a5f821928097a66660f1d4eacec4dbdcf64d9a&amp;</t>
  </si>
  <si>
    <t xml:space="preserve">2026-03-18 10:53:17</t>
  </si>
  <si>
    <t xml:space="preserve">https://cdn.discordapp.com/ephemeral-attachments/1450933256630440049/1483840714004500580/IMG20260318105249.jpg?ex=69bc0dda&amp;is=69babc5a&amp;hm=bee9b151791ecb8cfaa5e89d225f529d5723bd191c247a4fca9dedf724897e6d&amp;</t>
  </si>
  <si>
    <t xml:space="preserve">2026-03-18 10:56:54</t>
  </si>
  <si>
    <t xml:space="preserve">https://cdn.discordapp.com/ephemeral-attachments/1450933256630440049/1483841622046408806/IMG_2824.jpg?ex=69bc0eb3&amp;is=69babd33&amp;hm=b89f48c98fec08ee7aea958ed7f6f2ea953d95f50dd63557af6e9af090b130fe&amp;</t>
  </si>
  <si>
    <t xml:space="preserve">2026-03-18 11:48:37</t>
  </si>
  <si>
    <t xml:space="preserve">https://cdn.discordapp.com/ephemeral-attachments/1450933256630440049/1483854638733197382/IMG_2055.jpg?ex=69bc1ad2&amp;is=69bac952&amp;hm=8df76c419e1fd704c0c6fbab035a882c0e2bcd5929e40dc84692554196c88209&amp;</t>
  </si>
  <si>
    <t xml:space="preserve">2026-03-18 12:10:58</t>
  </si>
  <si>
    <t xml:space="preserve">https://cdn.discordapp.com/ephemeral-attachments/1450933256630440049/1483860262925897818/IMG_2825.jpg?ex=69bc200f&amp;is=69bace8f&amp;hm=bcba0ab90b4bb1a79a307cf10c828bc8ad70fa4013812aef896439fdf88c81ca&amp;</t>
  </si>
  <si>
    <t xml:space="preserve">2026-03-18 12:11:07</t>
  </si>
  <si>
    <t xml:space="preserve">https://cdn.discordapp.com/ephemeral-attachments/1450933256630440049/1483860302746488964/IMG_2825.jpg?ex=69bc2018&amp;is=69bace98&amp;hm=3f7fd61fb3d9f721de59875456854194a3f3c4d5b5bc87db63b1fce66e5238a2&amp;</t>
  </si>
  <si>
    <t xml:space="preserve">2026-03-18 18:41:55</t>
  </si>
  <si>
    <t xml:space="preserve">https://cdn.discordapp.com/ephemeral-attachments/1450933256630440049/1483958641575858266/20260318_184110.jpg?ex=69bc7bae&amp;is=69bb2a2e&amp;hm=af68314656dc900a796f03608a95c0142a1058401425e9b40e9fdc4661b4a2cc&amp;</t>
  </si>
  <si>
    <t xml:space="preserve">2026-03-18 18:47:34</t>
  </si>
  <si>
    <t xml:space="preserve">https://cdn.discordapp.com/ephemeral-attachments/1450933256630440049/1483960067081502940/IMG_2827.jpg?ex=69bc7d02&amp;is=69bb2b82&amp;hm=8cd40e7deeeb51401f2cdeaed3c5542a304a78545713155adbdacefd19c93c09&amp;</t>
  </si>
  <si>
    <t xml:space="preserve">2026-03-18 19:48:43</t>
  </si>
  <si>
    <t xml:space="preserve">https://cdn.discordapp.com/ephemeral-attachments/1450933256630440049/1483975456049860670/7BAEE726-FB8F-46B1-BF43-61676E8D0262.jpg?ex=69bc8b57&amp;is=69bb39d7&amp;hm=ad4989e7417f01ac7bc261d10b7b8900b8783e45f20a2edd046be8cc61c70b4c&amp;</t>
  </si>
  <si>
    <t xml:space="preserve">2026-03-19 10:48:24</t>
  </si>
  <si>
    <t xml:space="preserve">https://cdn.discordapp.com/ephemeral-attachments/1450933256630440049/1484201874944163930/IMG20260319104746.jpg?ex=69bd5e36&amp;is=69bc0cb6&amp;hm=409adae0ffd183869abb52978b26ff7a0b4b13066f95ab8bde9dde61f8d8c63d&amp;</t>
  </si>
  <si>
    <t xml:space="preserve">436349094915604491</t>
  </si>
  <si>
    <t xml:space="preserve">2026-03-19 10:49:22</t>
  </si>
  <si>
    <t xml:space="preserve">https://cdn.discordapp.com/ephemeral-attachments/1450933256630440049/1484202114023424071/20260319_104758.jpg?ex=69bd5e6f&amp;is=69bc0cef&amp;hm=f8a7150fa3f4199a7c1191d2cba9ccf084053bdbbf7da5c4163dad13e97d60c4&amp;</t>
  </si>
  <si>
    <t xml:space="preserve">2026-03-19 10:50:00</t>
  </si>
  <si>
    <t xml:space="preserve">https://cdn.discordapp.com/ephemeral-attachments/1450933256630440049/1484202277991485601/20260319_104902.jpg?ex=69bd5e96&amp;is=69bc0d16&amp;hm=bc5b65bdbca742b5741358fc456cfe618007abbc82e9ba9d6471254d25fd92db&amp;</t>
  </si>
  <si>
    <t xml:space="preserve">2026-03-19 12:00:49</t>
  </si>
  <si>
    <t xml:space="preserve">https://cdn.discordapp.com/ephemeral-attachments/1450933256630440049/1484220097294766321/IMG_2829.jpg?ex=69bd6f2e&amp;is=69bc1dae&amp;hm=0691dbd24a88d9c7a799cc2c5700277747128dc49281f8900743c1ee159d4957&amp;</t>
  </si>
  <si>
    <t xml:space="preserve">2026-03-19 12:11:28</t>
  </si>
  <si>
    <t xml:space="preserve">https://cdn.discordapp.com/ephemeral-attachments/1450933256630440049/1484222778247745576/IMG_2830.jpg?ex=69bd71ad&amp;is=69bc202d&amp;hm=2653f0d35e869078aea67a35508f590016ad8b463ea5b6b2200d9086693853e5&amp;</t>
  </si>
  <si>
    <t xml:space="preserve">2026-03-19 13:46:23</t>
  </si>
  <si>
    <t xml:space="preserve">https://cdn.discordapp.com/ephemeral-attachments/1450933256630440049/1484246664221819012/2D09A140-79CD-4E2D-8271-F7BEFB188F4F.jpg?ex=69bd87ec&amp;is=69bc366c&amp;hm=0db3d45d2f284340fa89200efd2e130b797cff7b2ee530221b45d8317d97d8df&amp;</t>
  </si>
  <si>
    <t xml:space="preserve">2026-03-19 15:14:01</t>
  </si>
  <si>
    <t xml:space="preserve">https://cdn.discordapp.com/ephemeral-attachments/1450933256630440049/1484268713032290404/373E3C3D-446E-4928-A8C3-0EE6C7AE0EB6.jpg?ex=69bd9c75&amp;is=69bc4af5&amp;hm=6dca413a0baf6a8ff6686b0e4791f04561b9d9d63417697052635408b332ddf8&amp;</t>
  </si>
  <si>
    <t xml:space="preserve">2026-03-19 15:15:58</t>
  </si>
  <si>
    <t xml:space="preserve">https://cdn.discordapp.com/ephemeral-attachments/1450933256630440049/1484269201286893609/IMG_2927.jpg?ex=69bd9ce9&amp;is=69bc4b69&amp;hm=7b354d1ca6a2fb11ba4cb7051aabe0d22a5a404dd40862786956405b58762277&amp;</t>
  </si>
  <si>
    <t xml:space="preserve">2026-03-19 15:41:06</t>
  </si>
  <si>
    <t xml:space="preserve">https://cdn.discordapp.com/ephemeral-attachments/1450933256630440049/1484275531099668602/20260319_154018.jpg?ex=69bda2cf&amp;is=69bc514f&amp;hm=e82b9068f320cc6fc339a67c1477f5ba8494f57e55491a9c966722883af1eb9e&amp;</t>
  </si>
  <si>
    <t xml:space="preserve">2026-03-20 08:52:45</t>
  </si>
  <si>
    <t xml:space="preserve">https://cdn.discordapp.com/ephemeral-attachments/1450933256630440049/1484535159494807613/IMG_3154.jpg?ex=69be949b&amp;is=69bd431b&amp;hm=a230e063fef3da590d18e09748138727d3d03673ded1516243e4004458213a0e&amp;</t>
  </si>
  <si>
    <t xml:space="preserve">2026-03-20 08:53:01</t>
  </si>
  <si>
    <t xml:space="preserve">https://cdn.discordapp.com/ephemeral-attachments/1450933256630440049/1484535225907155144/IMG_4469.jpg?ex=69be94ab&amp;is=69bd432b&amp;hm=54bdb31431d6744217147aeb9c06f764260d1ea9d4bcc5b96cbbac998dedaaae&amp;</t>
  </si>
  <si>
    <t xml:space="preserve">2026-03-21 21:02:40</t>
  </si>
  <si>
    <t xml:space="preserve">https://cdn.discordapp.com/ephemeral-attachments/1450933256630440049/1485081226976170115/IMG_2934.jpg?ex=69c0912b&amp;is=69bf3fab&amp;hm=da7994b4ee335b95b7221b301aa83a61298329736d338a12471cdac34972b482&amp;</t>
  </si>
  <si>
    <t xml:space="preserve">2026-03-21 21:03:18</t>
  </si>
  <si>
    <t xml:space="preserve">https://cdn.discordapp.com/ephemeral-attachments/1450933256630440049/1485081386342809621/20260321_210219.jpg?ex=69c09151&amp;is=69bf3fd1&amp;hm=4615897323488cbd0181426df706b5a479788d8cdd45d9db0f78dd7022d8af5f&amp;</t>
  </si>
  <si>
    <t xml:space="preserve">https://discord.com/channels/191975109500731392/1212839710439776287/1419363284024557692</t>
  </si>
  <si>
    <t xml:space="preserve">https://discord.com/channels/191975109500731392/1212839710439776287/1419363764053999811</t>
  </si>
  <si>
    <t xml:space="preserve">https://discord.com/channels/191975109500731392/1212839710439776287/1419366484614053991</t>
  </si>
  <si>
    <t xml:space="preserve">https://discord.com/channels/191975109500731392/1212839710439776287/1419378672720281750</t>
  </si>
  <si>
    <t xml:space="preserve">https://discord.com/channels/191975109500731392/1212839710439776287/1419378808863068313</t>
  </si>
  <si>
    <t xml:space="preserve">https://discord.com/channels/191975109500731392/1212839710439776287/1419405161918631997</t>
  </si>
  <si>
    <t xml:space="preserve">https://discord.com/channels/191975109500731392/1212839710439776287/1419465621518680136</t>
  </si>
  <si>
    <t xml:space="preserve">https://discord.com/channels/191975109500731392/1212839710439776287/1419465870274465792</t>
  </si>
  <si>
    <t xml:space="preserve">https://discord.com/channels/191975109500731392/1212839710439776287/1419480877158760448</t>
  </si>
  <si>
    <t xml:space="preserve">https://discord.com/channels/191975109500731392/1212839710439776287/1419732269135958197</t>
  </si>
  <si>
    <t xml:space="preserve">https://discord.com/channels/191975109500731392/1212839710439776287/1419783656406257714</t>
  </si>
  <si>
    <t xml:space="preserve">https://discord.com/channels/191975109500731392/1212839710439776287/1419783660680511589</t>
  </si>
  <si>
    <t xml:space="preserve">https://discord.com/channels/191975109500731392/1212839710439776287/1419822491425312829</t>
  </si>
  <si>
    <t xml:space="preserve">https://discord.com/channels/191975109500731392/1212839710439776287/1419822494646272070</t>
  </si>
  <si>
    <t xml:space="preserve">https://discord.com/channels/191975109500731392/1212839710439776287/1420063890565501049</t>
  </si>
  <si>
    <t xml:space="preserve">https://discord.com/channels/191975109500731392/1212839710439776287/1420064085852033054</t>
  </si>
  <si>
    <t xml:space="preserve">https://discord.com/channels/191975109500731392/1212839710439776287/1420101635236958320</t>
  </si>
  <si>
    <t xml:space="preserve">https://discord.com/channels/191975109500731392/1212839710439776287/1420101685250101381</t>
  </si>
  <si>
    <t xml:space="preserve">https://discord.com/channels/191975109500731392/1212839710439776287/1420102339200548905</t>
  </si>
  <si>
    <t xml:space="preserve">https://discord.com/channels/191975109500731392/1212839710439776287/1420102383278624777</t>
  </si>
  <si>
    <t xml:space="preserve">https://discord.com/channels/191975109500731392/1212839710439776287/1420102435720003705</t>
  </si>
  <si>
    <t xml:space="preserve">https://discord.com/channels/191975109500731392/1212839710439776287/1420102971760574614</t>
  </si>
  <si>
    <t xml:space="preserve">Carter Data :)</t>
  </si>
  <si>
    <t xml:space="preserve">Total</t>
  </si>
  <si>
    <t xml:space="preserve">Yes</t>
  </si>
  <si>
    <t xml:space="preserve">No</t>
  </si>
  <si>
    <t xml:space="preserve">Ratio</t>
  </si>
  <si>
    <t xml:space="preserve">https://discord.com/channels/191975109500731392/1212839710439776287/1420103099741372607</t>
  </si>
  <si>
    <t xml:space="preserve">Asriel Data:</t>
  </si>
  <si>
    <t xml:space="preserve">https://discord.com/channels/191975109500731392/1212839710439776287/1420103397784293377</t>
  </si>
  <si>
    <t xml:space="preserve">https://discord.com/channels/191975109500731392/1212839710439776287/1420103554626228224</t>
  </si>
  <si>
    <t xml:space="preserve">https://discord.com/channels/191975109500731392/1212839710439776287/1420103705457463347</t>
  </si>
  <si>
    <t xml:space="preserve">https://discord.com/channels/191975109500731392/1212839710439776287/1420103843362115646</t>
  </si>
  <si>
    <t xml:space="preserve">https://discord.com/channels/191975109500731392/1212839710439776287/1420158522225856686</t>
  </si>
  <si>
    <t xml:space="preserve">https://discord.com/channels/191975109500731392/1212839710439776287/1420158594686521365</t>
  </si>
  <si>
    <t xml:space="preserve">https://discord.com/channels/191975109500731392/1212839710439776287/1420453031706624031</t>
  </si>
  <si>
    <t xml:space="preserve">https://discord.com/channels/191975109500731392/1212839710439776287/1420453334799749190</t>
  </si>
  <si>
    <t xml:space="preserve">https://discord.com/channels/191975109500731392/1212839710439776287/1420458640204234815</t>
  </si>
  <si>
    <t xml:space="preserve">https://discord.com/channels/191975109500731392/1212839710439776287/1420458766629077002</t>
  </si>
  <si>
    <t xml:space="preserve">https://discord.com/channels/191975109500731392/1212839710439776287/1420464307665371259</t>
  </si>
  <si>
    <t xml:space="preserve">https://discord.com/channels/191975109500731392/1212839710439776287/1420482926235095144</t>
  </si>
  <si>
    <t xml:space="preserve">https://discord.com/channels/191975109500731392/1212839710439776287/1420531902288498780</t>
  </si>
  <si>
    <t xml:space="preserve">https://discord.com/channels/191975109500731392/1212839710439776287/1420532055254630421</t>
  </si>
  <si>
    <t xml:space="preserve">https://discord.com/channels/191975109500731392/1212839710439776287/1420532255947755560</t>
  </si>
  <si>
    <t xml:space="preserve">https://discord.com/channels/191975109500731392/1212839710439776287/1420532446423814266</t>
  </si>
  <si>
    <t xml:space="preserve">https://discord.com/channels/191975109500731392/1212839710439776287/1420585040429056091</t>
  </si>
  <si>
    <t xml:space="preserve">https://discord.com/channels/191975109500731392/1212839710439776287/1420588014006177833</t>
  </si>
  <si>
    <t xml:space="preserve">https://discord.com/channels/191975109500731392/1212839710439776287/1420785728446795960</t>
  </si>
  <si>
    <t xml:space="preserve">https://discord.com/channels/191975109500731392/1212839710439776287/1420785838920302643</t>
  </si>
  <si>
    <t xml:space="preserve">https://discord.com/channels/191975109500731392/1212839710439776287/1420806418411425834</t>
  </si>
  <si>
    <t xml:space="preserve">https://discord.com/channels/191975109500731392/1212839710439776287/1420806463412113468</t>
  </si>
  <si>
    <t xml:space="preserve">https://discord.com/channels/191975109500731392/1212839710439776287/1420830515983810560</t>
  </si>
  <si>
    <t xml:space="preserve">https://discord.com/channels/191975109500731392/1212839710439776287/1420830660007952435</t>
  </si>
  <si>
    <t xml:space="preserve">https://discord.com/channels/191975109500731392/1212839710439776287/1420852388289581187</t>
  </si>
  <si>
    <t xml:space="preserve">https://discord.com/channels/191975109500731392/1212839710439776287/1420887409108979803</t>
  </si>
  <si>
    <t xml:space="preserve">https://discord.com/channels/191975109500731392/1212839710439776287/1420913791779995658</t>
  </si>
  <si>
    <t xml:space="preserve">https://discord.com/channels/191975109500731392/1212839710439776287/1420913811631640668</t>
  </si>
  <si>
    <t xml:space="preserve">https://discord.com/channels/191975109500731392/1212839710439776287/1421115623563329578</t>
  </si>
  <si>
    <t xml:space="preserve">https://discord.com/channels/191975109500731392/1212839710439776287/1421115662129954927</t>
  </si>
  <si>
    <t xml:space="preserve">https://discord.com/channels/191975109500731392/1212839710439776287/1421179013124063322</t>
  </si>
  <si>
    <t xml:space="preserve">https://discord.com/channels/191975109500731392/1212839710439776287/1421199939832254566</t>
  </si>
  <si>
    <t xml:space="preserve">https://discord.com/channels/191975109500731392/1212839710439776287/1421239319351267438</t>
  </si>
  <si>
    <t xml:space="preserve">https://discord.com/channels/191975109500731392/1212839710439776287/1421239328075546754</t>
  </si>
  <si>
    <t xml:space="preserve">https://discord.com/channels/191975109500731392/1212839710439776287/1421570676350914792</t>
  </si>
  <si>
    <t xml:space="preserve">https://discord.com/channels/191975109500731392/1212839710439776287/1421590635676303370</t>
  </si>
  <si>
    <t xml:space="preserve">https://discord.com/channels/191975109500731392/1212839710439776287/1421917936066498591</t>
  </si>
  <si>
    <t xml:space="preserve">https://discord.com/channels/191975109500731392/1212839710439776287/1422066651402338366</t>
  </si>
  <si>
    <t xml:space="preserve">https://discord.com/channels/191975109500731392/1212839710439776287/1422066685174878271</t>
  </si>
  <si>
    <t xml:space="preserve">https://discord.com/channels/191975109500731392/1212839710439776287/1422279926337241099</t>
  </si>
  <si>
    <t xml:space="preserve">https://discord.com/channels/191975109500731392/1212839710439776287/1422280329690877974</t>
  </si>
  <si>
    <t xml:space="preserve">https://discord.com/channels/191975109500731392/1212839710439776287/1422282336204095539</t>
  </si>
  <si>
    <t xml:space="preserve">https://discord.com/channels/191975109500731392/1212839710439776287/1422282460548563006</t>
  </si>
  <si>
    <t xml:space="preserve">https://discord.com/channels/191975109500731392/1212839710439776287/1422288409614880908</t>
  </si>
  <si>
    <t xml:space="preserve">https://discord.com/channels/191975109500731392/1212839710439776287/1422316967649611887</t>
  </si>
  <si>
    <t xml:space="preserve">https://discord.com/channels/191975109500731392/1212839710439776287/1422318729622192228</t>
  </si>
  <si>
    <t xml:space="preserve">https://discord.com/channels/191975109500731392/1212839710439776287/1422318736995520684</t>
  </si>
  <si>
    <t xml:space="preserve">https://discord.com/channels/191975109500731392/1212839710439776287/1422321480485699666</t>
  </si>
  <si>
    <t xml:space="preserve">https://discord.com/channels/191975109500731392/1212839710439776287/1422321541991108618</t>
  </si>
  <si>
    <t xml:space="preserve">https://discord.com/channels/191975109500731392/1212839710439776287/1422321543731740915</t>
  </si>
  <si>
    <t xml:space="preserve">https://discord.com/channels/191975109500731392/1212839710439776287/1422398052718870618</t>
  </si>
  <si>
    <t xml:space="preserve">https://discord.com/channels/191975109500731392/1212839710439776287/1422398101800357888</t>
  </si>
  <si>
    <t xml:space="preserve">https://discord.com/channels/191975109500731392/1212839710439776287/1422597187493167124</t>
  </si>
  <si>
    <t xml:space="preserve">https://discord.com/channels/191975109500731392/1212839710439776287/1422597425083973682</t>
  </si>
  <si>
    <t xml:space="preserve">https://discord.com/channels/191975109500731392/1212839710439776287/1422597431589212330</t>
  </si>
  <si>
    <t xml:space="preserve">https://discord.com/channels/191975109500731392/1212839710439776287/1422618283399712839</t>
  </si>
  <si>
    <t xml:space="preserve">https://discord.com/channels/191975109500731392/1212839710439776287/1422618411816452158</t>
  </si>
  <si>
    <t xml:space="preserve">https://discord.com/channels/191975109500731392/1212839710439776287/1422641097771061338</t>
  </si>
  <si>
    <t xml:space="preserve">https://discord.com/channels/191975109500731392/1212839710439776287/1422641428064108696</t>
  </si>
  <si>
    <t xml:space="preserve">https://discord.com/channels/191975109500731392/1212839710439776287/1422687767955116043</t>
  </si>
  <si>
    <t xml:space="preserve">https://discord.com/channels/191975109500731392/1212839710439776287/1422701907612405872</t>
  </si>
  <si>
    <t xml:space="preserve">https://discord.com/channels/191975109500731392/1212839710439776287/1422708513246941346</t>
  </si>
  <si>
    <t xml:space="preserve">https://discord.com/channels/191975109500731392/1212839710439776287/1422708646801969153</t>
  </si>
  <si>
    <t xml:space="preserve">https://discord.com/channels/191975109500731392/1212839710439776287/1422716315738574958</t>
  </si>
  <si>
    <t xml:space="preserve">https://discord.com/channels/191975109500731392/1212839710439776287/1422716319064789153</t>
  </si>
  <si>
    <t xml:space="preserve">https://discord.com/channels/191975109500731392/1212839710439776287/1422930687736156242</t>
  </si>
  <si>
    <t xml:space="preserve">https://discord.com/channels/191975109500731392/1212839710439776287/1422932091376631899</t>
  </si>
  <si>
    <t xml:space="preserve">https://discord.com/channels/191975109500731392/1212839710439776287/1422932605564616804</t>
  </si>
  <si>
    <t xml:space="preserve">https://discord.com/channels/191975109500731392/1212839710439776287/1422944868795285534</t>
  </si>
  <si>
    <t xml:space="preserve">https://discord.com/channels/191975109500731392/1212839710439776287/1422974224015818863</t>
  </si>
  <si>
    <t xml:space="preserve">https://discord.com/channels/191975109500731392/1212839710439776287/1423000140687610020</t>
  </si>
  <si>
    <t xml:space="preserve">https://discord.com/channels/191975109500731392/1212839710439776287/1423000231645024508</t>
  </si>
  <si>
    <t xml:space="preserve">https://discord.com/channels/191975109500731392/1212839710439776287/1423002619533726038</t>
  </si>
  <si>
    <t xml:space="preserve">https://discord.com/channels/191975109500731392/1212839710439776287/1423002699275829269</t>
  </si>
  <si>
    <t xml:space="preserve">https://discord.com/channels/191975109500731392/1212839710439776287/1423046468742418504</t>
  </si>
  <si>
    <t xml:space="preserve">https://discord.com/channels/191975109500731392/1212839710439776287/1423047196173140020</t>
  </si>
  <si>
    <t xml:space="preserve">https://discord.com/channels/191975109500731392/1212839710439776287/1423049231068958781</t>
  </si>
  <si>
    <t xml:space="preserve">https://discord.com/channels/191975109500731392/1212839710439776287/1423049298513498223</t>
  </si>
  <si>
    <t xml:space="preserve">https://discord.com/channels/191975109500731392/1212839710439776287/1423121080586993705</t>
  </si>
  <si>
    <t xml:space="preserve">https://discord.com/channels/191975109500731392/1212839710439776287/1423318449207120054</t>
  </si>
  <si>
    <t xml:space="preserve">https://discord.com/channels/191975109500731392/1212839710439776287/1423318495445389323</t>
  </si>
  <si>
    <t xml:space="preserve">https://discord.com/channels/191975109500731392/1212839710439776287/1423335820886151168</t>
  </si>
  <si>
    <t xml:space="preserve">https://discord.com/channels/191975109500731392/1212839710439776287/1423368239680852141</t>
  </si>
  <si>
    <t xml:space="preserve">https://discord.com/channels/191975109500731392/1212839710439776287/1423369969219014747</t>
  </si>
  <si>
    <t xml:space="preserve">https://discord.com/channels/191975109500731392/1212839710439776287/1423389103046529124</t>
  </si>
  <si>
    <t xml:space="preserve">https://discord.com/channels/191975109500731392/1212839710439776287/1423389289626075281</t>
  </si>
  <si>
    <t xml:space="preserve">https://discord.com/channels/191975109500731392/1212839710439776287/1423390938226491462</t>
  </si>
  <si>
    <t xml:space="preserve">https://discord.com/channels/191975109500731392/1212839710439776287/1423391001128599757</t>
  </si>
  <si>
    <t xml:space="preserve">https://discord.com/channels/191975109500731392/1212839710439776287/1423449352277459028</t>
  </si>
  <si>
    <t xml:space="preserve">https://discord.com/channels/191975109500731392/1212839710439776287/1423449458762580018</t>
  </si>
  <si>
    <t xml:space="preserve">https://discord.com/channels/191975109500731392/1212839710439776287/1423462108175143004</t>
  </si>
  <si>
    <t xml:space="preserve">https://discord.com/channels/191975109500731392/1212839710439776287/1423653744888778805</t>
  </si>
  <si>
    <t xml:space="preserve">https://discord.com/channels/191975109500731392/1212839710439776287/1423653774861406208</t>
  </si>
  <si>
    <t xml:space="preserve">https://discord.com/channels/191975109500731392/1212839710439776287/1423653925021679618</t>
  </si>
  <si>
    <t xml:space="preserve">https://discord.com/channels/191975109500731392/1212839710439776287/1423654199782015067</t>
  </si>
  <si>
    <t xml:space="preserve">https://discord.com/channels/191975109500731392/1212839710439776287/1423654670781517974</t>
  </si>
  <si>
    <t xml:space="preserve">https://discord.com/channels/191975109500731392/1212839710439776287/1423654761324089446</t>
  </si>
  <si>
    <t xml:space="preserve">https://discord.com/channels/191975109500731392/1212839710439776287/1423718721720946832</t>
  </si>
  <si>
    <t xml:space="preserve">https://discord.com/channels/191975109500731392/1212839710439776287/1423718756353573006</t>
  </si>
  <si>
    <t xml:space="preserve">https://discord.com/channels/191975109500731392/1212839710439776287/1423724820507656283</t>
  </si>
  <si>
    <t xml:space="preserve">https://discord.com/channels/191975109500731392/1212839710439776287/1423724859799638117</t>
  </si>
  <si>
    <t xml:space="preserve">https://discord.com/channels/191975109500731392/1212839710439776287/1423751386570555474</t>
  </si>
  <si>
    <t xml:space="preserve">https://discord.com/channels/191975109500731392/1212839710439776287/1423752629539831919</t>
  </si>
  <si>
    <t xml:space="preserve">https://discord.com/channels/191975109500731392/1212839710439776287/1423752705922437230</t>
  </si>
  <si>
    <t xml:space="preserve">https://discord.com/channels/191975109500731392/1212839710439776287/1424081739432591372</t>
  </si>
  <si>
    <t xml:space="preserve">https://discord.com/channels/191975109500731392/1212839710439776287/1424101843105222656</t>
  </si>
  <si>
    <t xml:space="preserve">https://discord.com/channels/191975109500731392/1212839710439776287/1424142857694085232</t>
  </si>
  <si>
    <t xml:space="preserve">https://discord.com/channels/191975109500731392/1212839710439776287/1424502722731708416</t>
  </si>
  <si>
    <t xml:space="preserve">https://discord.com/channels/191975109500731392/1212839710439776287/1424505028730945746</t>
  </si>
  <si>
    <t xml:space="preserve">https://discord.com/channels/191975109500731392/1212839710439776287/1424563411097747536</t>
  </si>
  <si>
    <t xml:space="preserve">https://discord.com/channels/191975109500731392/1212839710439776287/1424563495961231391</t>
  </si>
  <si>
    <t xml:space="preserve">https://discord.com/channels/191975109500731392/1212839710439776287/1424569041066000538</t>
  </si>
  <si>
    <t xml:space="preserve">https://discord.com/channels/191975109500731392/1212839710439776287/1424569145785188352</t>
  </si>
  <si>
    <t xml:space="preserve">https://discord.com/channels/191975109500731392/1212839710439776287/1424739635099078706</t>
  </si>
  <si>
    <t xml:space="preserve">https://discord.com/channels/191975109500731392/1212839710439776287/1424741401404375090</t>
  </si>
  <si>
    <t xml:space="preserve">https://discord.com/channels/191975109500731392/1212839710439776287/1424756681077948575</t>
  </si>
  <si>
    <t xml:space="preserve">https://discord.com/channels/191975109500731392/1212839710439776287/1424757607196921886</t>
  </si>
  <si>
    <t xml:space="preserve">https://discord.com/channels/191975109500731392/1212839710439776287/1424784822198337647</t>
  </si>
  <si>
    <t xml:space="preserve">https://discord.com/channels/191975109500731392/1212839710439776287/1424784867820044318</t>
  </si>
  <si>
    <t xml:space="preserve">https://discord.com/channels/191975109500731392/1212839710439776287/1424785078361391196</t>
  </si>
  <si>
    <t xml:space="preserve">https://discord.com/channels/191975109500731392/1212839710439776287/1424801219192422663</t>
  </si>
  <si>
    <t xml:space="preserve">https://discord.com/channels/191975109500731392/1212839710439776287/1424816079041073282</t>
  </si>
  <si>
    <t xml:space="preserve">https://discord.com/channels/191975109500731392/1212839710439776287/1424816527726874886</t>
  </si>
  <si>
    <t xml:space="preserve">https://discord.com/channels/191975109500731392/1212839710439776287/1424816644093513919</t>
  </si>
  <si>
    <t xml:space="preserve">https://discord.com/channels/191975109500731392/1212839710439776287/1424818636589371503</t>
  </si>
  <si>
    <t xml:space="preserve">https://discord.com/channels/191975109500731392/1212839710439776287/1424820271486861322</t>
  </si>
  <si>
    <t xml:space="preserve">https://discord.com/channels/191975109500731392/1212839710439776287/1424831240141537282</t>
  </si>
  <si>
    <t xml:space="preserve">https://discord.com/channels/191975109500731392/1212839710439776287/1424845349922803912</t>
  </si>
  <si>
    <t xml:space="preserve">https://discord.com/channels/191975109500731392/1212839710439776287/1424845365047463956</t>
  </si>
  <si>
    <t xml:space="preserve">https://discord.com/channels/191975109500731392/1212839710439776287/1424853342718525511</t>
  </si>
  <si>
    <t xml:space="preserve">https://discord.com/channels/191975109500731392/1212839710439776287/1424853403221102634</t>
  </si>
  <si>
    <t xml:space="preserve">https://discord.com/channels/191975109500731392/1212839710439776287/1424854280954712194</t>
  </si>
  <si>
    <t xml:space="preserve">https://discord.com/channels/191975109500731392/1212839710439776287/1425129589054636053</t>
  </si>
  <si>
    <t xml:space="preserve">https://discord.com/channels/191975109500731392/1212839710439776287/1425134584869294131</t>
  </si>
  <si>
    <t xml:space="preserve">https://discord.com/channels/191975109500731392/1212839710439776287/1425155500160450712</t>
  </si>
  <si>
    <t xml:space="preserve">https://discord.com/channels/191975109500731392/1212839710439776287/1425155602535026748</t>
  </si>
  <si>
    <t xml:space="preserve">https://discord.com/channels/191975109500731392/1212839710439776287/1425175715388588133</t>
  </si>
  <si>
    <t xml:space="preserve">https://discord.com/channels/191975109500731392/1212839710439776287/1425254196885717132</t>
  </si>
  <si>
    <t xml:space="preserve">https://discord.com/channels/191975109500731392/1212839710439776287/1425254663942307952</t>
  </si>
  <si>
    <t xml:space="preserve">https://discord.com/channels/191975109500731392/1212839710439776287/1425259210924363859</t>
  </si>
  <si>
    <t xml:space="preserve">https://discord.com/channels/191975109500731392/1212839710439776287/1425259397122232484</t>
  </si>
  <si>
    <t xml:space="preserve">https://discord.com/channels/191975109500731392/1212839710439776287/1425261736105213974</t>
  </si>
  <si>
    <t xml:space="preserve">https://discord.com/channels/191975109500731392/1212839710439776287/1425479482038419657</t>
  </si>
  <si>
    <t xml:space="preserve">https://discord.com/channels/191975109500731392/1212839710439776287/1425555891461292153</t>
  </si>
  <si>
    <t xml:space="preserve">https://discord.com/channels/191975109500731392/1212839710439776287/1425556330562850947</t>
  </si>
  <si>
    <t xml:space="preserve">https://discord.com/channels/191975109500731392/1212839710439776287/1425843226702778368</t>
  </si>
  <si>
    <t xml:space="preserve">https://discord.com/channels/191975109500731392/1212839710439776287/1425843287654142113</t>
  </si>
  <si>
    <t xml:space="preserve">https://discord.com/channels/191975109500731392/1212839710439776287/1425861807272235010</t>
  </si>
  <si>
    <t xml:space="preserve">https://discord.com/channels/191975109500731392/1212839710439776287/1425873487880519711</t>
  </si>
  <si>
    <t xml:space="preserve">https://discord.com/channels/191975109500731392/1212839710439776287/1425873746522148945</t>
  </si>
  <si>
    <t xml:space="preserve">https://discord.com/channels/191975109500731392/1212839710439776287/1425880410407178352</t>
  </si>
  <si>
    <t xml:space="preserve">https://discord.com/channels/191975109500731392/1212839710439776287/1425881815306211421</t>
  </si>
  <si>
    <t xml:space="preserve">https://discord.com/channels/191975109500731392/1212839710439776287/1425905068120473610</t>
  </si>
  <si>
    <t xml:space="preserve">https://discord.com/channels/191975109500731392/1212839710439776287/1425923041048793282</t>
  </si>
  <si>
    <t xml:space="preserve">https://discord.com/channels/191975109500731392/1212839710439776287/1425952376941969418</t>
  </si>
  <si>
    <t xml:space="preserve">https://discord.com/channels/191975109500731392/1212839710439776287/1425952976308142151</t>
  </si>
  <si>
    <t xml:space="preserve">https://discord.com/channels/191975109500731392/1212839710439776287/1425997321115668550</t>
  </si>
  <si>
    <t xml:space="preserve">https://discord.com/channels/191975109500731392/1212839710439776287/1425997886726078494</t>
  </si>
  <si>
    <t xml:space="preserve">https://discord.com/channels/191975109500731392/1212839710439776287/1426205592493752341</t>
  </si>
  <si>
    <t xml:space="preserve">https://discord.com/channels/191975109500731392/1212839710439776287/1426205665122062546</t>
  </si>
  <si>
    <t xml:space="preserve">https://discord.com/channels/191975109500731392/1212839710439776287/1426251432729776219</t>
  </si>
  <si>
    <t xml:space="preserve">https://discord.com/channels/191975109500731392/1212839710439776287/1426251550531260579</t>
  </si>
  <si>
    <t xml:space="preserve">https://discord.com/channels/191975109500731392/1212839710439776287/1426344983480373278</t>
  </si>
  <si>
    <t xml:space="preserve">https://discord.com/channels/191975109500731392/1212839710439776287/1427446963443466311</t>
  </si>
  <si>
    <t xml:space="preserve">https://discord.com/channels/191975109500731392/1212839710439776287/1427806880863883419</t>
  </si>
  <si>
    <t xml:space="preserve">https://discord.com/channels/191975109500731392/1212839710439776287/1428064551601180825</t>
  </si>
  <si>
    <t xml:space="preserve">https://discord.com/channels/191975109500731392/1212839710439776287/1428073974025289840</t>
  </si>
  <si>
    <t xml:space="preserve">https://discord.com/channels/191975109500731392/1212839710439776287/1428074042455359609</t>
  </si>
  <si>
    <t xml:space="preserve">https://discord.com/channels/191975109500731392/1212839710439776287/1428112782200406147</t>
  </si>
  <si>
    <t xml:space="preserve">https://discord.com/channels/191975109500731392/1212839710439776287/1428146711364112487</t>
  </si>
  <si>
    <t xml:space="preserve">https://discord.com/channels/191975109500731392/1212839710439776287/1428381695878627358</t>
  </si>
  <si>
    <t xml:space="preserve">https://discord.com/channels/191975109500731392/1212839710439776287/1428381767160696832</t>
  </si>
  <si>
    <t xml:space="preserve">https://discord.com/channels/191975109500731392/1212839710439776287/1428394857852043308</t>
  </si>
  <si>
    <t xml:space="preserve">https://discord.com/channels/191975109500731392/1212839710439776287/1428395134692753492</t>
  </si>
  <si>
    <t xml:space="preserve">https://discord.com/channels/191975109500731392/1212839710439776287/1428397119907168336</t>
  </si>
  <si>
    <t xml:space="preserve">https://discord.com/channels/191975109500731392/1212839710439776287/1428417924359651500</t>
  </si>
  <si>
    <t xml:space="preserve">https://discord.com/channels/191975109500731392/1212839710439776287/1428440311226437682</t>
  </si>
  <si>
    <t xml:space="preserve">https://discord.com/channels/191975109500731392/1212839710439776287/1428440501119615098</t>
  </si>
  <si>
    <t xml:space="preserve">https://discord.com/channels/191975109500731392/1212839710439776287/1428455310728630362</t>
  </si>
  <si>
    <t xml:space="preserve">https://discord.com/channels/191975109500731392/1212839710439776287/1428480940069355561</t>
  </si>
  <si>
    <t xml:space="preserve">https://discord.com/channels/191975109500731392/1212839710439776287/1428480980200460401</t>
  </si>
  <si>
    <t xml:space="preserve">https://discord.com/channels/191975109500731392/1212839710439776287/1428486027479351431</t>
  </si>
  <si>
    <t xml:space="preserve">https://discord.com/channels/191975109500731392/1212839710439776287/1428487329357631599</t>
  </si>
  <si>
    <t xml:space="preserve">https://discord.com/channels/191975109500731392/1212839710439776287/1428487397674582176</t>
  </si>
  <si>
    <t xml:space="preserve">https://discord.com/channels/191975109500731392/1212839710439776287/1428492697986924544</t>
  </si>
  <si>
    <t xml:space="preserve">https://discord.com/channels/191975109500731392/1212839710439776287/1428492767079694337</t>
  </si>
  <si>
    <t xml:space="preserve">https://discord.com/channels/191975109500731392/1212839710439776287/1428743006466605237</t>
  </si>
  <si>
    <t xml:space="preserve">https://discord.com/channels/191975109500731392/1212839710439776287/1428744168129433672</t>
  </si>
  <si>
    <t xml:space="preserve">https://discord.com/channels/191975109500731392/1212839710439776287/1428765385481519134</t>
  </si>
  <si>
    <t xml:space="preserve">https://discord.com/channels/191975109500731392/1212839710439776287/1428765406675341364</t>
  </si>
  <si>
    <t xml:space="preserve">https://discord.com/channels/191975109500731392/1212839710439776287/1428765782082588823</t>
  </si>
  <si>
    <t xml:space="preserve">https://discord.com/channels/191975109500731392/1212839710439776287/1428771201802829969</t>
  </si>
  <si>
    <t xml:space="preserve">https://discord.com/channels/191975109500731392/1212839710439776287/1428872858490245220</t>
  </si>
  <si>
    <t xml:space="preserve">https://discord.com/channels/191975109500731392/1212839710439776287/1428876729266737353</t>
  </si>
  <si>
    <t xml:space="preserve">https://discord.com/channels/191975109500731392/1212839710439776287/1428876848753938452</t>
  </si>
  <si>
    <t xml:space="preserve">https://discord.com/channels/191975109500731392/1212839710439776287/1428880895703781416</t>
  </si>
  <si>
    <t xml:space="preserve">https://discord.com/channels/191975109500731392/1212839710439776287/1428909806969946227</t>
  </si>
  <si>
    <t xml:space="preserve">https://discord.com/channels/191975109500731392/1212839710439776287/1429136407976349849</t>
  </si>
  <si>
    <t xml:space="preserve">https://discord.com/channels/191975109500731392/1212839710439776287/1429149692629094612</t>
  </si>
  <si>
    <t xml:space="preserve">https://discord.com/channels/191975109500731392/1212839710439776287/1429162751187620022</t>
  </si>
  <si>
    <t xml:space="preserve">https://discord.com/channels/191975109500731392/1212839710439776287/1429162822004379699</t>
  </si>
  <si>
    <t xml:space="preserve">https://discord.com/channels/191975109500731392/1212839710439776287/1429530076529033356</t>
  </si>
  <si>
    <t xml:space="preserve">https://discord.com/channels/191975109500731392/1212839710439776287/1429890719618961550</t>
  </si>
  <si>
    <t xml:space="preserve">https://discord.com/channels/191975109500731392/1212839710439776287/1430206749830549504</t>
  </si>
  <si>
    <t xml:space="preserve">https://discord.com/channels/191975109500731392/1212839710439776287/1430229218247180409</t>
  </si>
  <si>
    <t xml:space="preserve">https://discord.com/channels/191975109500731392/1212839710439776287/1430248621349142558</t>
  </si>
  <si>
    <t xml:space="preserve">https://discord.com/channels/191975109500731392/1212839710439776287/1430252033570508961</t>
  </si>
  <si>
    <t xml:space="preserve">https://discord.com/channels/191975109500731392/1212839710439776287/1430252086557409280</t>
  </si>
  <si>
    <t xml:space="preserve">https://discord.com/channels/191975109500731392/1212839710439776287/1430273982497558621</t>
  </si>
  <si>
    <t xml:space="preserve">https://discord.com/channels/191975109500731392/1212839710439776287/1430274011266285578</t>
  </si>
  <si>
    <t xml:space="preserve">https://discord.com/channels/191975109500731392/1212839710439776287/1430280671053611010</t>
  </si>
  <si>
    <t xml:space="preserve">https://discord.com/channels/191975109500731392/1212839710439776287/1430280885013450793</t>
  </si>
  <si>
    <t xml:space="preserve">https://discord.com/channels/191975109500731392/1212839710439776287/1430283351205351424</t>
  </si>
  <si>
    <t xml:space="preserve">https://discord.com/channels/191975109500731392/1212839710439776287/1430298138706444308</t>
  </si>
  <si>
    <t xml:space="preserve">https://discord.com/channels/191975109500731392/1212839710439776287/1430330733091754155</t>
  </si>
  <si>
    <t xml:space="preserve">https://discord.com/channels/191975109500731392/1212839710439776287/1430555928377299016</t>
  </si>
  <si>
    <t xml:space="preserve">https://discord.com/channels/191975109500731392/1212839710439776287/1430569523810930859</t>
  </si>
  <si>
    <t xml:space="preserve">https://discord.com/channels/191975109500731392/1212839710439776287/1430569688961908746</t>
  </si>
  <si>
    <t xml:space="preserve">https://discord.com/channels/191975109500731392/1212839710439776287/1430574717428826164</t>
  </si>
  <si>
    <t xml:space="preserve">https://discord.com/channels/191975109500731392/1212839710439776287/1430595630996258987</t>
  </si>
  <si>
    <t xml:space="preserve">https://discord.com/channels/191975109500731392/1212839710439776287/1430614479388934255</t>
  </si>
  <si>
    <t xml:space="preserve">https://discord.com/channels/191975109500731392/1212839710439776287/1430614744812884028</t>
  </si>
  <si>
    <t xml:space="preserve">https://discord.com/channels/191975109500731392/1212839710439776287/1430628529816735928</t>
  </si>
  <si>
    <t xml:space="preserve">https://discord.com/channels/191975109500731392/1212839710439776287/1430628625736011796</t>
  </si>
  <si>
    <t xml:space="preserve">https://discord.com/channels/191975109500731392/1212839710439776287/1430660142780649513</t>
  </si>
  <si>
    <t xml:space="preserve">https://discord.com/channels/191975109500731392/1212839710439776287/1430660207540703453</t>
  </si>
  <si>
    <t xml:space="preserve">https://discord.com/channels/191975109500731392/1212839710439776287/1430668079335080026</t>
  </si>
  <si>
    <t xml:space="preserve">https://discord.com/channels/191975109500731392/1212839710439776287/1430668141922615438</t>
  </si>
  <si>
    <t xml:space="preserve">https://discord.com/channels/191975109500731392/1212839710439776287/1430749029653942353</t>
  </si>
  <si>
    <t xml:space="preserve">https://discord.com/channels/191975109500731392/1212839710439776287/1430749070124646441</t>
  </si>
  <si>
    <t xml:space="preserve">https://discord.com/channels/191975109500731392/1212839710439776287/1430931149059915858</t>
  </si>
  <si>
    <t xml:space="preserve">https://discord.com/channels/191975109500731392/1212839710439776287/1430998897362468884</t>
  </si>
  <si>
    <t xml:space="preserve">https://discord.com/channels/191975109500731392/1212839710439776287/1430999227814772957</t>
  </si>
  <si>
    <t xml:space="preserve">https://discord.com/channels/191975109500731392/1212839710439776287/1431021008243916953</t>
  </si>
  <si>
    <t xml:space="preserve">https://discord.com/channels/191975109500731392/1212839710439776287/1431022940916547605</t>
  </si>
  <si>
    <t xml:space="preserve">https://discord.com/channels/191975109500731392/1212839710439776287/1431298130166677645</t>
  </si>
  <si>
    <t xml:space="preserve">https://discord.com/channels/191975109500731392/1212839710439776287/1431298153033760770</t>
  </si>
  <si>
    <t xml:space="preserve">https://discord.com/channels/191975109500731392/1212839710439776287/1431298162928128234</t>
  </si>
  <si>
    <t xml:space="preserve">https://discord.com/channels/191975109500731392/1212839710439776287/1431298167680536596</t>
  </si>
  <si>
    <t xml:space="preserve">https://discord.com/channels/191975109500731392/1212839710439776287/1431303648503136400</t>
  </si>
  <si>
    <t xml:space="preserve">https://discord.com/channels/191975109500731392/1212839710439776287/1431410139776417822</t>
  </si>
  <si>
    <t xml:space="preserve">https://discord.com/channels/191975109500731392/1212839710439776287/1432415008649777373</t>
  </si>
  <si>
    <t xml:space="preserve">https://discord.com/channels/191975109500731392/1212839710439776287/1432415089474142300</t>
  </si>
  <si>
    <t xml:space="preserve">https://discord.com/channels/191975109500731392/1212839710439776287/1432472823233777697</t>
  </si>
  <si>
    <t xml:space="preserve">https://discord.com/channels/191975109500731392/1212839710439776287/1432473732235923588</t>
  </si>
  <si>
    <t xml:space="preserve">https://discord.com/channels/191975109500731392/1212839710439776287/1432473827698544711</t>
  </si>
  <si>
    <t xml:space="preserve">https://discord.com/channels/191975109500731392/1212839710439776287/1432484131136339989</t>
  </si>
  <si>
    <t xml:space="preserve">https://discord.com/channels/191975109500731392/1212839710439776287/1432484189017604137</t>
  </si>
  <si>
    <t xml:space="preserve">https://discord.com/channels/191975109500731392/1212839710439776287/1432743716174565497</t>
  </si>
  <si>
    <t xml:space="preserve">https://discord.com/channels/191975109500731392/1212839710439776287/1432758769623896075</t>
  </si>
  <si>
    <t xml:space="preserve">https://discord.com/channels/191975109500731392/1212839710439776287/1432773418297593858</t>
  </si>
  <si>
    <t xml:space="preserve">https://discord.com/channels/191975109500731392/1212839710439776287/1432773468004290640</t>
  </si>
  <si>
    <t xml:space="preserve">https://discord.com/channels/191975109500731392/1212839710439776287/1432774005684830350</t>
  </si>
  <si>
    <t xml:space="preserve">https://discord.com/channels/191975109500731392/1212839710439776287/1432781547249074227</t>
  </si>
  <si>
    <t xml:space="preserve">https://discord.com/channels/191975109500731392/1212839710439776287/1432781582556725298</t>
  </si>
  <si>
    <t xml:space="preserve">https://discord.com/channels/191975109500731392/1212839710439776287/1432781640580599838</t>
  </si>
  <si>
    <t xml:space="preserve">https://discord.com/channels/191975109500731392/1212839710439776287/1432781780183679126</t>
  </si>
  <si>
    <t xml:space="preserve">https://discord.com/channels/191975109500731392/1212839710439776287/1432789305805377590</t>
  </si>
  <si>
    <t xml:space="preserve">https://discord.com/channels/191975109500731392/1212839710439776287/1432849582206746758</t>
  </si>
  <si>
    <t xml:space="preserve">https://discord.com/channels/191975109500731392/1212839710439776287/1432849612787552409</t>
  </si>
  <si>
    <t xml:space="preserve">https://discord.com/channels/191975109500731392/1212839710439776287/1432861850386567209</t>
  </si>
  <si>
    <t xml:space="preserve">https://discord.com/channels/191975109500731392/1212839710439776287/1432867609975591075</t>
  </si>
  <si>
    <t xml:space="preserve">https://discord.com/channels/191975109500731392/1212839710439776287/1432867643614040104</t>
  </si>
  <si>
    <t xml:space="preserve">https://discord.com/channels/191975109500731392/1212839710439776287/1432868102764494970</t>
  </si>
  <si>
    <t xml:space="preserve">https://discord.com/channels/191975109500731392/1212839710439776287/1432868162990510273</t>
  </si>
  <si>
    <t xml:space="preserve">https://discord.com/channels/191975109500731392/1212839710439776287/1432870238893903893</t>
  </si>
  <si>
    <t xml:space="preserve">https://discord.com/channels/191975109500731392/1212839710439776287/1432871338653122641</t>
  </si>
  <si>
    <t xml:space="preserve">https://discord.com/channels/191975109500731392/1212839710439776287/1433091137358397512</t>
  </si>
  <si>
    <t xml:space="preserve">https://discord.com/channels/191975109500731392/1212839710439776287/1433091183219048469</t>
  </si>
  <si>
    <t xml:space="preserve">https://discord.com/channels/191975109500731392/1212839710439776287/1433113874529390762</t>
  </si>
  <si>
    <t xml:space="preserve">https://discord.com/channels/191975109500731392/1212839710439776287/1433114152942964889</t>
  </si>
  <si>
    <t xml:space="preserve">https://discord.com/channels/191975109500731392/1212839710439776287/1433131175571882068</t>
  </si>
  <si>
    <t xml:space="preserve">https://discord.com/channels/191975109500731392/1212839710439776287/1433132488825503807</t>
  </si>
  <si>
    <t xml:space="preserve">https://discord.com/channels/191975109500731392/1212839710439776287/1433132765561356461</t>
  </si>
  <si>
    <t xml:space="preserve">https://discord.com/channels/191975109500731392/1212839710439776287/1433148664863260682</t>
  </si>
  <si>
    <t xml:space="preserve">https://discord.com/channels/191975109500731392/1212839710439776287/1433210389411135529</t>
  </si>
  <si>
    <t xml:space="preserve">https://discord.com/channels/191975109500731392/1212839710439776287/1433210588531654808</t>
  </si>
  <si>
    <t xml:space="preserve">https://discord.com/channels/191975109500731392/1212839710439776287/1433212022018936833</t>
  </si>
  <si>
    <t xml:space="preserve">https://discord.com/channels/191975109500731392/1212839710439776287/1433219474156294195</t>
  </si>
  <si>
    <t xml:space="preserve">https://discord.com/channels/191975109500731392/1212839710439776287/1433220706711240785</t>
  </si>
  <si>
    <t xml:space="preserve">https://discord.com/channels/191975109500731392/1212839710439776287/1433221102431244330</t>
  </si>
  <si>
    <t xml:space="preserve">https://discord.com/channels/191975109500731392/1212839710439776287/1433221218382647477</t>
  </si>
  <si>
    <t xml:space="preserve">https://discord.com/channels/191975109500731392/1212839710439776287/1433450564137652346</t>
  </si>
  <si>
    <t xml:space="preserve">https://discord.com/channels/191975109500731392/1212839710439776287/1433450605325848616</t>
  </si>
  <si>
    <t xml:space="preserve">https://discord.com/channels/191975109500731392/1212839710439776287/1433468821708079115</t>
  </si>
  <si>
    <t xml:space="preserve">https://discord.com/channels/191975109500731392/1212839710439776287/1433468824862064680</t>
  </si>
  <si>
    <t xml:space="preserve">https://discord.com/channels/191975109500731392/1212839710439776287/1433483750125076510</t>
  </si>
  <si>
    <t xml:space="preserve">https://discord.com/channels/191975109500731392/1212839710439776287/1433483807528452106</t>
  </si>
  <si>
    <t xml:space="preserve">https://discord.com/channels/191975109500731392/1212839710439776287/1433506288737718537</t>
  </si>
  <si>
    <t xml:space="preserve">https://discord.com/channels/191975109500731392/1212839710439776287/1433506615620796507</t>
  </si>
  <si>
    <t xml:space="preserve">https://discord.com/channels/191975109500731392/1212839710439776287/1433507138302378246</t>
  </si>
  <si>
    <t xml:space="preserve">https://discord.com/channels/191975109500731392/1212839710439776287/1433507168728125561</t>
  </si>
  <si>
    <t xml:space="preserve">https://discord.com/channels/191975109500731392/1212839710439776287/1433507176793509899</t>
  </si>
  <si>
    <t xml:space="preserve">https://discord.com/channels/191975109500731392/1212839710439776287/1433817673715814421</t>
  </si>
  <si>
    <t xml:space="preserve">https://discord.com/channels/191975109500731392/1212839710439776287/1433832991645372468</t>
  </si>
  <si>
    <t xml:space="preserve">https://discord.com/channels/191975109500731392/1212839710439776287/1433835912210415776</t>
  </si>
  <si>
    <t xml:space="preserve">https://discord.com/channels/191975109500731392/1212839710439776287/1433836133678059600</t>
  </si>
  <si>
    <t xml:space="preserve">https://discord.com/channels/191975109500731392/1212839710439776287/1433877762979926037</t>
  </si>
  <si>
    <t xml:space="preserve">https://discord.com/channels/191975109500731392/1212839710439776287/1433878753599160411</t>
  </si>
  <si>
    <t xml:space="preserve">https://discord.com/channels/191975109500731392/1212839710439776287/1433879444434583572</t>
  </si>
  <si>
    <t xml:space="preserve">https://discord.com/channels/191975109500731392/1212839710439776287/1433879638156902430</t>
  </si>
  <si>
    <t xml:space="preserve">https://discord.com/channels/191975109500731392/1212839710439776287/1433880909299323013</t>
  </si>
  <si>
    <t xml:space="preserve">https://discord.com/channels/191975109500731392/1212839710439776287/1433965564321337467</t>
  </si>
  <si>
    <t xml:space="preserve">https://discord.com/channels/191975109500731392/1212839710439776287/1433992907559272548</t>
  </si>
  <si>
    <t xml:space="preserve">https://discord.com/channels/191975109500731392/1212839710439776287/1433994671922745424</t>
  </si>
  <si>
    <t xml:space="preserve">https://discord.com/channels/191975109500731392/1212839710439776287/1434296841805103195</t>
  </si>
  <si>
    <t xml:space="preserve">https://discord.com/channels/191975109500731392/1212839710439776287/1434312898884403270</t>
  </si>
  <si>
    <t xml:space="preserve">https://discord.com/channels/191975109500731392/1212839710439776287/1434312917599391848</t>
  </si>
  <si>
    <t xml:space="preserve">https://discord.com/channels/191975109500731392/1212839710439776287/1434372311477129359</t>
  </si>
  <si>
    <t xml:space="preserve">https://discord.com/channels/191975109500731392/1212839710439776287/1434373176116252764</t>
  </si>
  <si>
    <t xml:space="preserve">https://discord.com/channels/191975109500731392/1212839710439776287/1434608530647945468</t>
  </si>
  <si>
    <t xml:space="preserve">https://discord.com/channels/191975109500731392/1212839710439776287/1434981222903189575</t>
  </si>
  <si>
    <t xml:space="preserve">https://discord.com/channels/191975109500731392/1212839710439776287/1434981962614968493</t>
  </si>
  <si>
    <t xml:space="preserve">https://discord.com/channels/191975109500731392/1212839710439776287/1434982299144818719</t>
  </si>
  <si>
    <t xml:space="preserve">https://discord.com/channels/191975109500731392/1212839710439776287/1434982456171167785</t>
  </si>
  <si>
    <t xml:space="preserve">https://discord.com/channels/191975109500731392/1212839710439776287/1434982488866029588</t>
  </si>
  <si>
    <t xml:space="preserve">https://discord.com/channels/191975109500731392/1212839710439776287/1434983665741598783</t>
  </si>
  <si>
    <t xml:space="preserve">https://discord.com/channels/191975109500731392/1212839710439776287/1434983792644460636</t>
  </si>
  <si>
    <t xml:space="preserve">https://discord.com/channels/191975109500731392/1212839710439776287/1434983874072543255</t>
  </si>
  <si>
    <t xml:space="preserve">https://discord.com/channels/191975109500731392/1212839710439776287/1435014936505090201</t>
  </si>
  <si>
    <t xml:space="preserve">https://discord.com/channels/191975109500731392/1212839710439776287/1435017572138619093</t>
  </si>
  <si>
    <t xml:space="preserve">https://discord.com/channels/191975109500731392/1212839710439776287/1435025917213802577</t>
  </si>
  <si>
    <t xml:space="preserve">https://discord.com/channels/191975109500731392/1212839710439776287/1435029637142024365</t>
  </si>
  <si>
    <t xml:space="preserve">https://discord.com/channels/191975109500731392/1212839710439776287/1435029882282447018</t>
  </si>
  <si>
    <t xml:space="preserve">https://discord.com/channels/191975109500731392/1212839710439776287/1435308678675828808</t>
  </si>
  <si>
    <t xml:space="preserve">https://discord.com/channels/191975109500731392/1212839710439776287/1435308760641048656</t>
  </si>
  <si>
    <t xml:space="preserve">https://discord.com/channels/191975109500731392/1212839710439776287/1435317567823810641</t>
  </si>
  <si>
    <t xml:space="preserve">https://discord.com/channels/191975109500731392/1212839710439776287/1435317611846963300</t>
  </si>
  <si>
    <t xml:space="preserve">https://discord.com/channels/191975109500731392/1212839710439776287/1435340419927117938</t>
  </si>
  <si>
    <t xml:space="preserve">https://discord.com/channels/191975109500731392/1212839710439776287/1435375343728066742</t>
  </si>
  <si>
    <t xml:space="preserve">https://discord.com/channels/191975109500731392/1212839710439776287/1435375397289066698</t>
  </si>
  <si>
    <t xml:space="preserve">https://discord.com/channels/191975109500731392/1212839710439776287/1435385049091674254</t>
  </si>
  <si>
    <t xml:space="preserve">https://discord.com/channels/191975109500731392/1212839710439776287/1435426002493771928</t>
  </si>
  <si>
    <t xml:space="preserve">https://discord.com/channels/191975109500731392/1212839710439776287/1435426004163231755</t>
  </si>
  <si>
    <t xml:space="preserve">https://discord.com/channels/191975109500731392/1212839710439776287/1435426108312129606</t>
  </si>
  <si>
    <t xml:space="preserve">https://discord.com/channels/191975109500731392/1212839710439776287/1435426158911946753</t>
  </si>
  <si>
    <t xml:space="preserve">https://discord.com/channels/191975109500731392/1212839710439776287/1435426176679280732</t>
  </si>
  <si>
    <t xml:space="preserve">https://discord.com/channels/191975109500731392/1212839710439776287/1435694535123533824</t>
  </si>
  <si>
    <t xml:space="preserve">https://discord.com/channels/191975109500731392/1212839710439776287/1435703687321485374</t>
  </si>
  <si>
    <t xml:space="preserve">https://discord.com/channels/191975109500731392/1212839710439776287/1435770043064647782</t>
  </si>
  <si>
    <t xml:space="preserve">https://discord.com/channels/191975109500731392/1212839710439776287/1436043005713711195</t>
  </si>
  <si>
    <t xml:space="preserve">https://discord.com/channels/191975109500731392/1212839710439776287/1436074714257690819</t>
  </si>
  <si>
    <t xml:space="preserve">https://discord.com/channels/191975109500731392/1212839710439776287/1436075919138623659</t>
  </si>
  <si>
    <t xml:space="preserve">https://discord.com/channels/191975109500731392/1212839710439776287/1436096960829456446</t>
  </si>
  <si>
    <t xml:space="preserve">https://discord.com/channels/191975109500731392/1212839710439776287/1436386678217638022</t>
  </si>
  <si>
    <t xml:space="preserve">https://discord.com/channels/191975109500731392/1212839710439776287/1436388024870240356</t>
  </si>
  <si>
    <t xml:space="preserve">https://discord.com/channels/191975109500731392/1212839710439776287/1436388611246264320</t>
  </si>
  <si>
    <t xml:space="preserve">https://discord.com/channels/191975109500731392/1212839710439776287/1436388735783665674</t>
  </si>
  <si>
    <t xml:space="preserve">https://discord.com/channels/191975109500731392/1212839710439776287/1436388765236072580</t>
  </si>
  <si>
    <t xml:space="preserve">https://discord.com/channels/191975109500731392/1212839710439776287/1436389173568471050</t>
  </si>
  <si>
    <t xml:space="preserve">https://discord.com/channels/191975109500731392/1212839710439776287/1436396269093523486</t>
  </si>
  <si>
    <t xml:space="preserve">https://discord.com/channels/191975109500731392/1212839710439776287/1436396284687810693</t>
  </si>
  <si>
    <t xml:space="preserve">https://discord.com/channels/191975109500731392/1212839710439776287/1436413341538062347</t>
  </si>
  <si>
    <t xml:space="preserve">https://discord.com/channels/191975109500731392/1212839710439776287/1436413449486864466</t>
  </si>
  <si>
    <t xml:space="preserve">https://discord.com/channels/191975109500731392/1212839710439776287/1436442655151226891</t>
  </si>
  <si>
    <t xml:space="preserve">https://discord.com/channels/191975109500731392/1212839710439776287/1436444846922530898</t>
  </si>
  <si>
    <t xml:space="preserve">https://discord.com/channels/191975109500731392/1212839710439776287/1436461454298579005</t>
  </si>
  <si>
    <t xml:space="preserve">https://discord.com/channels/191975109500731392/1212839710439776287/1436461464121774162</t>
  </si>
  <si>
    <t xml:space="preserve">https://discord.com/channels/191975109500731392/1212839710439776287/1436482833165058149</t>
  </si>
  <si>
    <t xml:space="preserve">https://discord.com/channels/191975109500731392/1212839710439776287/1436558637844791298</t>
  </si>
  <si>
    <t xml:space="preserve">https://discord.com/channels/191975109500731392/1212839710439776287/1436579559201046538</t>
  </si>
  <si>
    <t xml:space="preserve">https://discord.com/channels/191975109500731392/1212839710439776287/1436771193955815555</t>
  </si>
  <si>
    <t xml:space="preserve">https://discord.com/channels/191975109500731392/1212839710439776287/1436829634242019339</t>
  </si>
  <si>
    <t xml:space="preserve">https://discord.com/channels/191975109500731392/1212839710439776287/1437150750387208203</t>
  </si>
  <si>
    <t xml:space="preserve">https://discord.com/channels/191975109500731392/1212839710439776287/1437485775422750740</t>
  </si>
  <si>
    <t xml:space="preserve">https://discord.com/channels/191975109500731392/1212839710439776287/1437486720525533396</t>
  </si>
  <si>
    <t xml:space="preserve">https://discord.com/channels/191975109500731392/1212839710439776287/1437487227297988770</t>
  </si>
  <si>
    <t xml:space="preserve">https://discord.com/channels/191975109500731392/1212839710439776287/1437518354935185580</t>
  </si>
  <si>
    <t xml:space="preserve">https://discord.com/channels/191975109500731392/1212839710439776287/1437521069576818890</t>
  </si>
  <si>
    <t xml:space="preserve">https://discord.com/channels/191975109500731392/1212839710439776287/1437631468405788792</t>
  </si>
  <si>
    <t xml:space="preserve">https://discord.com/channels/191975109500731392/1212839710439776287/1437828174078677106</t>
  </si>
  <si>
    <t xml:space="preserve">https://discord.com/channels/191975109500731392/1212839710439776287/1437832450784100454</t>
  </si>
  <si>
    <t xml:space="preserve">https://discord.com/channels/191975109500731392/1212839710439776287/1437845154185875586</t>
  </si>
  <si>
    <t xml:space="preserve">https://discord.com/channels/191975109500731392/1212839710439776287/1437852337841504316</t>
  </si>
  <si>
    <t xml:space="preserve">https://discord.com/channels/191975109500731392/1212839710439776287/1437852362063740959</t>
  </si>
  <si>
    <t xml:space="preserve">https://discord.com/channels/191975109500731392/1212839710439776287/1437867249762439249</t>
  </si>
  <si>
    <t xml:space="preserve">https://discord.com/channels/191975109500731392/1212839710439776287/1437878291586613389</t>
  </si>
  <si>
    <t xml:space="preserve">https://discord.com/channels/191975109500731392/1212839710439776287/1437878332988592160</t>
  </si>
  <si>
    <t xml:space="preserve">https://discord.com/channels/191975109500731392/1212839710439776287/1437921243834880073</t>
  </si>
  <si>
    <t xml:space="preserve">https://discord.com/channels/191975109500731392/1212839710439776287/1437921525238988942</t>
  </si>
  <si>
    <t xml:space="preserve">https://discord.com/channels/191975109500731392/1212839710439776287/1437946045614133248</t>
  </si>
  <si>
    <t xml:space="preserve">https://discord.com/channels/191975109500731392/1212839710439776287/1438199553449918544</t>
  </si>
  <si>
    <t xml:space="preserve">https://discord.com/channels/191975109500731392/1212839710439776287/1438199941582291074</t>
  </si>
  <si>
    <t xml:space="preserve">https://discord.com/channels/191975109500731392/1212839710439776287/1438211173945315579</t>
  </si>
  <si>
    <t xml:space="preserve">https://discord.com/channels/191975109500731392/1212839710439776287/1438234771431100558</t>
  </si>
  <si>
    <t xml:space="preserve">https://discord.com/channels/191975109500731392/1212839710439776287/1438555365577982093</t>
  </si>
  <si>
    <t xml:space="preserve">https://discord.com/channels/191975109500731392/1212839710439776287/1438555587209203733</t>
  </si>
  <si>
    <t xml:space="preserve">https://discord.com/channels/191975109500731392/1212839710439776287/1438555949697732801</t>
  </si>
  <si>
    <t xml:space="preserve">https://discord.com/channels/191975109500731392/1212839710439776287/1438555992819368038</t>
  </si>
  <si>
    <t xml:space="preserve">https://discord.com/channels/191975109500731392/1212839710439776287/1438566397012611132</t>
  </si>
  <si>
    <t xml:space="preserve">https://discord.com/channels/191975109500731392/1212839710439776287/1438575374865793217</t>
  </si>
  <si>
    <t xml:space="preserve">https://discord.com/channels/191975109500731392/1212839710439776287/1438582388950302720</t>
  </si>
  <si>
    <t xml:space="preserve">https://discord.com/channels/191975109500731392/1212839710439776287/1438582678881566720</t>
  </si>
  <si>
    <t xml:space="preserve">https://discord.com/channels/191975109500731392/1212839710439776287/1438598517072461845</t>
  </si>
  <si>
    <t xml:space="preserve">https://discord.com/channels/191975109500731392/1212839710439776287/1438600403590582382</t>
  </si>
  <si>
    <t xml:space="preserve">https://discord.com/channels/191975109500731392/1212839710439776287/1438600524286001154</t>
  </si>
  <si>
    <t xml:space="preserve">https://discord.com/channels/191975109500731392/1212839710439776287/1438934606396133438</t>
  </si>
  <si>
    <t xml:space="preserve">https://discord.com/channels/191975109500731392/1212839710439776287/1438949041730752594</t>
  </si>
  <si>
    <t xml:space="preserve">https://discord.com/channels/191975109500731392/1212839710439776287/1438949126011097300</t>
  </si>
  <si>
    <t xml:space="preserve">https://discord.com/channels/191975109500731392/1212839710439776287/1438974675681284340</t>
  </si>
  <si>
    <t xml:space="preserve">https://discord.com/channels/191975109500731392/1212839710439776287/1438992321407488161</t>
  </si>
  <si>
    <t xml:space="preserve">https://discord.com/channels/191975109500731392/1212839710439776287/1439017965927399544</t>
  </si>
  <si>
    <t xml:space="preserve">https://discord.com/channels/191975109500731392/1212839710439776287/1439019830970810501</t>
  </si>
  <si>
    <t xml:space="preserve">https://discord.com/channels/191975109500731392/1212839710439776287/1439977472429920367</t>
  </si>
  <si>
    <t xml:space="preserve">https://discord.com/channels/191975109500731392/1212839710439776287/1440040440307908618</t>
  </si>
  <si>
    <t xml:space="preserve">https://discord.com/channels/191975109500731392/1212839710439776287/1440040706621309008</t>
  </si>
  <si>
    <t xml:space="preserve">https://discord.com/channels/191975109500731392/1212839710439776287/1440046034028990558</t>
  </si>
  <si>
    <t xml:space="preserve">https://discord.com/channels/191975109500731392/1212839710439776287/1440095417449840832</t>
  </si>
  <si>
    <t xml:space="preserve">https://discord.com/channels/191975109500731392/1212839710439776287/1440095826205478994</t>
  </si>
  <si>
    <t xml:space="preserve">https://discord.com/channels/191975109500731392/1212839710439776287/1440387203716087808</t>
  </si>
  <si>
    <t xml:space="preserve">https://discord.com/channels/191975109500731392/1212839710439776287/1440394156261511228</t>
  </si>
  <si>
    <t xml:space="preserve">https://discord.com/channels/191975109500731392/1212839710439776287/1440437080319594528</t>
  </si>
  <si>
    <t xml:space="preserve">https://discord.com/channels/191975109500731392/1212839710439776287/1440437190118080664</t>
  </si>
  <si>
    <t xml:space="preserve">https://discord.com/channels/191975109500731392/1212839710439776287/1440487462123344106</t>
  </si>
  <si>
    <t xml:space="preserve">https://discord.com/channels/191975109500731392/1212839710439776287/1440742041578373261</t>
  </si>
  <si>
    <t xml:space="preserve">https://discord.com/channels/191975109500731392/1212839710439776287/1440762971776356443</t>
  </si>
  <si>
    <t xml:space="preserve">https://discord.com/channels/191975109500731392/1212839710439776287/1440831924431229089</t>
  </si>
  <si>
    <t xml:space="preserve">https://discord.com/channels/191975109500731392/1212839710439776287/1441115437080383651</t>
  </si>
  <si>
    <t xml:space="preserve">https://discord.com/channels/191975109500731392/1212839710439776287/1441116824589828127</t>
  </si>
  <si>
    <t xml:space="preserve">https://discord.com/channels/191975109500731392/1212839710439776287/1441162830802849904</t>
  </si>
  <si>
    <t xml:space="preserve">https://discord.com/channels/191975109500731392/1212839710439776287/1441162864902803467</t>
  </si>
  <si>
    <t xml:space="preserve">https://discord.com/channels/191975109500731392/1212839710439776287/1441226429286191185</t>
  </si>
  <si>
    <t xml:space="preserve">https://discord.com/channels/191975109500731392/1212839710439776287/1441226769989373963</t>
  </si>
  <si>
    <t xml:space="preserve">https://discord.com/channels/191975109500731392/1212839710439776287/1441544558465777837</t>
  </si>
  <si>
    <t xml:space="preserve">https://discord.com/channels/191975109500731392/1212839710439776287/1441913898407039137</t>
  </si>
  <si>
    <t xml:space="preserve">https://discord.com/channels/191975109500731392/1212839710439776287/1441913909299904707</t>
  </si>
  <si>
    <t xml:space="preserve">https://discord.com/channels/191975109500731392/1212839710439776287/1442212556625412229</t>
  </si>
  <si>
    <t xml:space="preserve">https://discord.com/channels/191975109500731392/1212839710439776287/1442212669208793148</t>
  </si>
  <si>
    <t xml:space="preserve">https://discord.com/channels/191975109500731392/1212839710439776287/1442252942957744252</t>
  </si>
  <si>
    <t xml:space="preserve">https://discord.com/channels/191975109500731392/1212839710439776287/1442253161703149761</t>
  </si>
  <si>
    <t xml:space="preserve">https://discord.com/channels/191975109500731392/1212839710439776287/1442549040561782834</t>
  </si>
  <si>
    <t xml:space="preserve">https://discord.com/channels/191975109500731392/1212839710439776287/1442549096190836836</t>
  </si>
  <si>
    <t xml:space="preserve">https://discord.com/channels/191975109500731392/1212839710439776287/1442553402109329469</t>
  </si>
  <si>
    <t xml:space="preserve">https://discord.com/channels/191975109500731392/1212839710439776287/1442591539879739452</t>
  </si>
  <si>
    <t xml:space="preserve">https://discord.com/channels/191975109500731392/1212839710439776287/1442619241822949477</t>
  </si>
  <si>
    <t xml:space="preserve">https://discord.com/channels/191975109500731392/1212839710439776287/1442619325956493443</t>
  </si>
  <si>
    <t xml:space="preserve">https://discord.com/channels/191975109500731392/1212839710439776287/1442897805625659541</t>
  </si>
  <si>
    <t xml:space="preserve">https://discord.com/channels/191975109500731392/1212839710439776287/1442947550075158702</t>
  </si>
  <si>
    <t xml:space="preserve">https://discord.com/channels/191975109500731392/1212839710439776287/1442973717532643439</t>
  </si>
  <si>
    <t xml:space="preserve">https://discord.com/channels/191975109500731392/1212839710439776287/1442973846423732318</t>
  </si>
  <si>
    <t xml:space="preserve">https://discord.com/channels/191975109500731392/1212839710439776287/1444912391643987979</t>
  </si>
  <si>
    <t xml:space="preserve">https://discord.com/channels/191975109500731392/1212839710439776287/1444912437919748126</t>
  </si>
  <si>
    <t xml:space="preserve">https://discord.com/channels/191975109500731392/1212839710439776287/1445010018435858465</t>
  </si>
  <si>
    <t xml:space="preserve">https://discord.com/channels/191975109500731392/1212839710439776287/1445010157481365594</t>
  </si>
  <si>
    <t xml:space="preserve">https://discord.com/channels/191975109500731392/1212839710439776287/1445048927089987668</t>
  </si>
  <si>
    <t xml:space="preserve">https://discord.com/channels/191975109500731392/1212839710439776287/1445049549625364560</t>
  </si>
  <si>
    <t xml:space="preserve">https://discord.com/channels/191975109500731392/1212839710439776287/1445065213253779599</t>
  </si>
  <si>
    <t xml:space="preserve">https://discord.com/channels/191975109500731392/1212839710439776287/1445066385431728220</t>
  </si>
  <si>
    <t xml:space="preserve">https://discord.com/channels/191975109500731392/1212839710439776287/1445070278974767214</t>
  </si>
  <si>
    <t xml:space="preserve">https://discord.com/channels/191975109500731392/1212839710439776287/1445087131147173990</t>
  </si>
  <si>
    <t xml:space="preserve">https://discord.com/channels/191975109500731392/1212839710439776287/1445088290309935135</t>
  </si>
  <si>
    <t xml:space="preserve">https://discord.com/channels/191975109500731392/1212839710439776287/1445102633424785603</t>
  </si>
  <si>
    <t xml:space="preserve">https://discord.com/channels/191975109500731392/1212839710439776287/1445102754925379715</t>
  </si>
  <si>
    <t xml:space="preserve">https://discord.com/channels/191975109500731392/1212839710439776287/1445159339043066010</t>
  </si>
  <si>
    <t xml:space="preserve">https://discord.com/channels/191975109500731392/1212839710439776287/1445465167113752627</t>
  </si>
  <si>
    <t xml:space="preserve">https://discord.com/channels/191975109500731392/1212839710439776287/1445465361397977148</t>
  </si>
  <si>
    <t xml:space="preserve">https://discord.com/channels/191975109500731392/1212839710439776287/1445483717106602047</t>
  </si>
  <si>
    <t xml:space="preserve">https://discord.com/channels/191975109500731392/1212839710439776287/1445518176807948359</t>
  </si>
  <si>
    <t xml:space="preserve">https://discord.com/channels/191975109500731392/1212839710439776287/1445518178821079050</t>
  </si>
  <si>
    <t xml:space="preserve">https://discord.com/channels/191975109500731392/1212839710439776287/1445568230801277049</t>
  </si>
  <si>
    <t xml:space="preserve">https://discord.com/channels/191975109500731392/1212839710439776287/1445568781404471316</t>
  </si>
  <si>
    <t xml:space="preserve">https://discord.com/channels/191975109500731392/1212839710439776287/1445806164922335364</t>
  </si>
  <si>
    <t xml:space="preserve">https://discord.com/channels/191975109500731392/1212839710439776287/1445850535134756874</t>
  </si>
  <si>
    <t xml:space="preserve">https://discord.com/channels/191975109500731392/1212839710439776287/1445850891247943690</t>
  </si>
  <si>
    <t xml:space="preserve">https://discord.com/channels/191975109500731392/1212839710439776287/1445853599090344088</t>
  </si>
  <si>
    <t xml:space="preserve">https://discord.com/channels/191975109500731392/1212839710439776287/1445912760121556994</t>
  </si>
  <si>
    <t xml:space="preserve">https://discord.com/channels/191975109500731392/1212839710439776287/1445923152415690885</t>
  </si>
  <si>
    <t xml:space="preserve">https://discord.com/channels/191975109500731392/1212839710439776287/1445932757715779677</t>
  </si>
  <si>
    <t xml:space="preserve">https://discord.com/channels/191975109500731392/1212839710439776287/1445933062117654620</t>
  </si>
  <si>
    <t xml:space="preserve">https://discord.com/channels/191975109500731392/1212839710439776287/1445933084888535165</t>
  </si>
  <si>
    <t xml:space="preserve">https://discord.com/channels/191975109500731392/1212839710439776287/1445933095961235597</t>
  </si>
  <si>
    <t xml:space="preserve">https://discord.com/channels/191975109500731392/1212839710439776287/1446189963145117818</t>
  </si>
  <si>
    <t xml:space="preserve">https://discord.com/channels/191975109500731392/1212839710439776287/1446190034712658161</t>
  </si>
  <si>
    <t xml:space="preserve">https://discord.com/channels/191975109500731392/1212839710439776287/1446212932244607209</t>
  </si>
  <si>
    <t xml:space="preserve">https://discord.com/channels/191975109500731392/1212839710439776287/1446213372407185508</t>
  </si>
  <si>
    <t xml:space="preserve">https://discord.com/channels/191975109500731392/1212839710439776287/1446239787504762995</t>
  </si>
  <si>
    <t xml:space="preserve">https://discord.com/channels/191975109500731392/1212839710439776287/1446240218318639267</t>
  </si>
  <si>
    <t xml:space="preserve">https://discord.com/channels/191975109500731392/1212839710439776287/1446559479712976977</t>
  </si>
  <si>
    <t xml:space="preserve">https://discord.com/channels/191975109500731392/1212839710439776287/1446607248074739842</t>
  </si>
  <si>
    <t xml:space="preserve">https://discord.com/channels/191975109500731392/1212839710439776287/1447700729992314960</t>
  </si>
  <si>
    <t xml:space="preserve">https://discord.com/channels/191975109500731392/1212839710439776287/1447701064643248199</t>
  </si>
  <si>
    <t xml:space="preserve">https://discord.com/channels/191975109500731392/1212839710439776287/1409581809095676055</t>
  </si>
  <si>
    <t xml:space="preserve">https://discord.com/channels/191975109500731392/1212839710439776287/1409582854777737299</t>
  </si>
  <si>
    <t xml:space="preserve">https://discord.com/channels/191975109500731392/1212839710439776287/1409595159611576521</t>
  </si>
  <si>
    <t xml:space="preserve">https://discord.com/channels/191975109500731392/1212839710439776287/1409872720593813606</t>
  </si>
  <si>
    <t xml:space="preserve">https://discord.com/channels/191975109500731392/1212839710439776287/1409942854607835166</t>
  </si>
  <si>
    <t xml:space="preserve">https://discord.com/channels/191975109500731392/1212839710439776287/1409944673740652585</t>
  </si>
  <si>
    <t xml:space="preserve">https://discord.com/channels/191975109500731392/1212839710439776287/1409958479485210664</t>
  </si>
  <si>
    <t xml:space="preserve">https://discord.com/channels/191975109500731392/1212839710439776287/1409990026045165854</t>
  </si>
  <si>
    <t xml:space="preserve">https://discord.com/channels/191975109500731392/1212839710439776287/1409991811086286928</t>
  </si>
  <si>
    <t xml:space="preserve">https://discord.com/channels/191975109500731392/1212839710439776287/1409991864072798218</t>
  </si>
  <si>
    <t xml:space="preserve">https://discord.com/channels/191975109500731392/1212839710439776287/1410007630017073277</t>
  </si>
  <si>
    <t xml:space="preserve">https://discord.com/channels/191975109500731392/1212839710439776287/1410008608875348160</t>
  </si>
  <si>
    <t xml:space="preserve">https://discord.com/channels/191975109500731392/1212839710439776287/1410332558209843361</t>
  </si>
  <si>
    <t xml:space="preserve">https://discord.com/channels/191975109500731392/1212839710439776287/1410335945701720236</t>
  </si>
  <si>
    <t xml:space="preserve">https://discord.com/channels/191975109500731392/1212839710439776287/1410336024990580896</t>
  </si>
  <si>
    <t xml:space="preserve">https://discord.com/channels/191975109500731392/1212839710439776287/1410639167771246605</t>
  </si>
  <si>
    <t xml:space="preserve">https://discord.com/channels/191975109500731392/1212839710439776287/1410663859739562084</t>
  </si>
  <si>
    <t xml:space="preserve">https://discord.com/channels/191975109500731392/1212839710439776287/1410663870829166733</t>
  </si>
  <si>
    <t xml:space="preserve">https://discord.com/channels/191975109500731392/1212839710439776287/1410705434746159115</t>
  </si>
  <si>
    <t xml:space="preserve">https://discord.com/channels/191975109500731392/1212839710439776287/1410705462600667298</t>
  </si>
  <si>
    <t xml:space="preserve">https://discord.com/channels/191975109500731392/1212839710439776287/1410705595178160138</t>
  </si>
  <si>
    <t xml:space="preserve">https://discord.com/channels/191975109500731392/1212839710439776287/1410732645112877098</t>
  </si>
  <si>
    <t xml:space="preserve">https://discord.com/channels/191975109500731392/1212839710439776287/1410732710246223934</t>
  </si>
  <si>
    <t xml:space="preserve">https://discord.com/channels/191975109500731392/1212839710439776287/1411033855988863098</t>
  </si>
  <si>
    <t xml:space="preserve">https://discord.com/channels/191975109500731392/1212839710439776287/1411811860440682547</t>
  </si>
  <si>
    <t xml:space="preserve">https://discord.com/channels/191975109500731392/1212839710439776287/1411815966194667591</t>
  </si>
  <si>
    <t xml:space="preserve">https://discord.com/channels/191975109500731392/1212839710439776287/1411815996720812116</t>
  </si>
  <si>
    <t xml:space="preserve">https://discord.com/channels/191975109500731392/1212839710439776287/1412484871879917660</t>
  </si>
  <si>
    <t xml:space="preserve">https://discord.com/channels/191975109500731392/1212839710439776287/1412517564520861759</t>
  </si>
  <si>
    <t xml:space="preserve">https://discord.com/channels/191975109500731392/1212839710439776287/1412552046980235394</t>
  </si>
  <si>
    <t xml:space="preserve">https://discord.com/channels/191975109500731392/1212839710439776287/1412855132667777065</t>
  </si>
  <si>
    <t xml:space="preserve">https://discord.com/channels/191975109500731392/1212839710439776287/1412855140234563624</t>
  </si>
  <si>
    <t xml:space="preserve">https://discord.com/channels/191975109500731392/1212839710439776287/1412857125738119229</t>
  </si>
  <si>
    <t xml:space="preserve">https://discord.com/channels/191975109500731392/1212839710439776287/1412862807992438894</t>
  </si>
  <si>
    <t xml:space="preserve">https://discord.com/channels/191975109500731392/1212839710439776287/1412939894787145749</t>
  </si>
  <si>
    <t xml:space="preserve">https://discord.com/channels/191975109500731392/1212839710439776287/1413181751593009286</t>
  </si>
  <si>
    <t xml:space="preserve">https://discord.com/channels/191975109500731392/1212839710439776287/1413182175276437615</t>
  </si>
  <si>
    <t xml:space="preserve">https://discord.com/channels/191975109500731392/1212839710439776287/1413196597344338002</t>
  </si>
  <si>
    <t xml:space="preserve">https://discord.com/channels/191975109500731392/1212839710439776287/1413242418664308887</t>
  </si>
  <si>
    <t xml:space="preserve">https://discord.com/channels/191975109500731392/1212839710439776287/1413946943511728179</t>
  </si>
  <si>
    <t xml:space="preserve">https://discord.com/channels/191975109500731392/1212839710439776287/1414594927035285646</t>
  </si>
  <si>
    <t xml:space="preserve">https://discord.com/channels/191975109500731392/1212839710439776287/1414616457731510443</t>
  </si>
  <si>
    <t xml:space="preserve">https://discord.com/channels/191975109500731392/1212839710439776287/1414672036004892752</t>
  </si>
  <si>
    <t xml:space="preserve">https://discord.com/channels/191975109500731392/1212839710439776287/1415028242263576608</t>
  </si>
  <si>
    <t xml:space="preserve">https://discord.com/channels/191975109500731392/1212839710439776287/1415733029313183764</t>
  </si>
  <si>
    <t xml:space="preserve">https://discord.com/channels/191975109500731392/1212839710439776287/1415733118287216651</t>
  </si>
  <si>
    <t xml:space="preserve">https://discord.com/channels/191975109500731392/1212839710439776287/1415755369980100680</t>
  </si>
  <si>
    <t xml:space="preserve">https://discord.com/channels/191975109500731392/1212839710439776287/1415755524766699591</t>
  </si>
  <si>
    <t xml:space="preserve">https://discord.com/channels/191975109500731392/1212839710439776287/1415812925611966625</t>
  </si>
  <si>
    <t xml:space="preserve">https://discord.com/channels/191975109500731392/1212839710439776287/1416044470549610597</t>
  </si>
  <si>
    <t xml:space="preserve">https://discord.com/channels/191975109500731392/1212839710439776287/1416044479923753140</t>
  </si>
  <si>
    <t xml:space="preserve">https://discord.com/channels/191975109500731392/1212839710439776287/1416045253475176558</t>
  </si>
  <si>
    <t xml:space="preserve">https://discord.com/channels/191975109500731392/1212839710439776287/1417130713777700997</t>
  </si>
  <si>
    <t xml:space="preserve">https://discord.com/channels/191975109500731392/1212839710439776287/1417220663105683610</t>
  </si>
  <si>
    <t xml:space="preserve">https://discord.com/channels/191975109500731392/1212839710439776287/1417220730533449778</t>
  </si>
  <si>
    <t xml:space="preserve">https://discord.com/channels/191975109500731392/1212839710439776287/1417237376492896388</t>
  </si>
  <si>
    <t xml:space="preserve">https://discord.com/channels/191975109500731392/1212839710439776287/1417544767855919224</t>
  </si>
  <si>
    <t xml:space="preserve">https://discord.com/channels/191975109500731392/1212839710439776287/1417591091888394441</t>
  </si>
  <si>
    <t xml:space="preserve">https://discord.com/channels/191975109500731392/1212839710439776287/1417856563330416700</t>
  </si>
  <si>
    <t xml:space="preserve">https://discord.com/channels/191975109500731392/1212839710439776287/1417922464117166201</t>
  </si>
  <si>
    <t xml:space="preserve">https://discord.com/channels/191975109500731392/1212839710439776287/1417922609768697956</t>
  </si>
  <si>
    <t xml:space="preserve">https://discord.com/channels/191975109500731392/1212839710439776287/1418007018140205069</t>
  </si>
  <si>
    <t xml:space="preserve">https://discord.com/channels/191975109500731392/1212839710439776287/1418355219242422292</t>
  </si>
  <si>
    <t xml:space="preserve">https://discord.com/channels/191975109500731392/1212839710439776287/1418356701522034768</t>
  </si>
  <si>
    <t xml:space="preserve">https://discord.com/channels/191975109500731392/1212839710439776287/1418580447340007524</t>
  </si>
  <si>
    <t xml:space="preserve">https://discord.com/channels/191975109500731392/1212839710439776287/1418580431900774490</t>
  </si>
  <si>
    <t xml:space="preserve">https://discord.com/channels/191975109500731392/1212839710439776287/1418581366886367354</t>
  </si>
  <si>
    <t xml:space="preserve">https://discord.com/channels/191975109500731392/1212839710439776287/1409985917745369240</t>
  </si>
  <si>
    <t xml:space="preserve">https://discord.com/channels/191975109500731392/1212839710439776287/1419078657917583401</t>
  </si>
  <si>
    <t xml:space="preserve">David</t>
  </si>
  <si>
    <t xml:space="preserve">https://discord.com/channels/191975109500731392/1212839710439776287/1328421980986146921</t>
  </si>
  <si>
    <t xml:space="preserve">https://discord.com/channels/191975109500731392/1212839710439776287/1328431840729632870</t>
  </si>
  <si>
    <t xml:space="preserve">Tyler</t>
  </si>
  <si>
    <t xml:space="preserve">https://discord.com/channels/191975109500731392/1212839710439776287/1328431903224627242</t>
  </si>
  <si>
    <t xml:space="preserve">https://discord.com/channels/191975109500731392/1212839710439776287/1328433170911334531</t>
  </si>
  <si>
    <t xml:space="preserve">https://discord.com/channels/191975109500731392/1212839710439776287/1328444788130709625</t>
  </si>
  <si>
    <t xml:space="preserve">https://discord.com/channels/191975109500731392/1212839710439776287/1328445062979260502</t>
  </si>
  <si>
    <t xml:space="preserve">https://discord.com/channels/191975109500731392/1212839710439776287/1329111887442477077</t>
  </si>
  <si>
    <t xml:space="preserve">https://discord.com/channels/191975109500731392/1212839710439776287/1329116428619485304</t>
  </si>
  <si>
    <t xml:space="preserve">https://discord.com/channels/191975109500731392/1212839710439776287/1329116512476205076</t>
  </si>
  <si>
    <t xml:space="preserve">https://discord.com/channels/191975109500731392/1212839710439776287/1329131165818290278</t>
  </si>
  <si>
    <t xml:space="preserve">https://discord.com/channels/191975109500731392/1212839710439776287/1329131257900306494</t>
  </si>
  <si>
    <t xml:space="preserve">https://discord.com/channels/191975109500731392/1212839710439776287/1329131398652629064</t>
  </si>
  <si>
    <t xml:space="preserve">https://discord.com/channels/191975109500731392/1212839710439776287/1329131490126336062</t>
  </si>
  <si>
    <t xml:space="preserve">https://discord.com/channels/191975109500731392/1212839710439776287/1329151146488762451</t>
  </si>
  <si>
    <t xml:space="preserve">https://discord.com/channels/191975109500731392/1212839710439776287/1329161563461910689</t>
  </si>
  <si>
    <t xml:space="preserve">https://discord.com/channels/191975109500731392/1212839710439776287/1329161651131383898</t>
  </si>
  <si>
    <t xml:space="preserve">https://discord.com/channels/191975109500731392/1212839710439776287/1329181717759791157</t>
  </si>
  <si>
    <t xml:space="preserve">https://discord.com/channels/191975109500731392/1212839710439776287/1329181858163982406</t>
  </si>
  <si>
    <t xml:space="preserve">https://discord.com/channels/191975109500731392/1212839710439776287/1329182904450027561</t>
  </si>
  <si>
    <t xml:space="preserve">https://discord.com/channels/191975109500731392/1212839710439776287/1329182932362858589</t>
  </si>
  <si>
    <t xml:space="preserve">https://discord.com/channels/191975109500731392/1212839710439776287/1329182941196189789</t>
  </si>
  <si>
    <t xml:space="preserve">https://discord.com/channels/191975109500731392/1212839710439776287/1329183050772381796</t>
  </si>
  <si>
    <t xml:space="preserve">https://discord.com/channels/191975109500731392/1212839710439776287/1329246301044342805</t>
  </si>
  <si>
    <t xml:space="preserve">https://discord.com/channels/191975109500731392/1212839710439776287/1329509325592592394</t>
  </si>
  <si>
    <t xml:space="preserve">https://discord.com/channels/191975109500731392/1212839710439776287/1329509355078291498</t>
  </si>
  <si>
    <t xml:space="preserve">https://discord.com/channels/191975109500731392/1212839710439776287/1329857265335013376</t>
  </si>
  <si>
    <t xml:space="preserve">https://discord.com/channels/191975109500731392/1212839710439776287/1329859194093965419</t>
  </si>
  <si>
    <t xml:space="preserve">https://discord.com/channels/191975109500731392/1212839710439776287/1329862981613387958</t>
  </si>
  <si>
    <t xml:space="preserve">https://discord.com/channels/191975109500731392/1212839710439776287/1329867541530673194</t>
  </si>
  <si>
    <t xml:space="preserve">https://discord.com/channels/191975109500731392/1212839710439776287/1329867782556356639</t>
  </si>
  <si>
    <t xml:space="preserve">https://discord.com/channels/191975109500731392/1212839710439776287/1329904236166647870</t>
  </si>
  <si>
    <t xml:space="preserve">https://discord.com/channels/191975109500731392/1212839710439776287/1329904517151719514</t>
  </si>
  <si>
    <t xml:space="preserve">Award:</t>
  </si>
  <si>
    <t xml:space="preserve">https://discord.com/channels/191975109500731392/1212839710439776287/1330341309906554880</t>
  </si>
  <si>
    <t xml:space="preserve">Height Advantage</t>
  </si>
  <si>
    <t xml:space="preserve">https://discord.com/channels/191975109500731392/1212839710439776287/1330341537489616977</t>
  </si>
  <si>
    <t xml:space="preserve">Couldn't find tyler for the full sweep</t>
  </si>
  <si>
    <t xml:space="preserve">https://discord.com/channels/191975109500731392/1212839710439776287/1330581678808371290</t>
  </si>
  <si>
    <t xml:space="preserve">Most Improved</t>
  </si>
  <si>
    <t xml:space="preserve">https://discord.com/channels/191975109500731392/1212839710439776287/1330581843099254804</t>
  </si>
  <si>
    <t xml:space="preserve">Kinda fell off</t>
  </si>
  <si>
    <t xml:space="preserve">https://discord.com/channels/191975109500731392/1212839710439776287/1331077419272110152</t>
  </si>
  <si>
    <t xml:space="preserve">"Hey its YOU, David"</t>
  </si>
  <si>
    <t xml:space="preserve">https://discord.com/channels/191975109500731392/1212839710439776287/1331407502687862784</t>
  </si>
  <si>
    <t xml:space="preserve">That is the expression of a man that has a Matsci midterm in 2 hours</t>
  </si>
  <si>
    <t xml:space="preserve">https://discord.com/channels/191975109500731392/1212839710439776287/1331408868491919422</t>
  </si>
  <si>
    <t xml:space="preserve">Almost a deathless semester</t>
  </si>
  <si>
    <t xml:space="preserve">https://discord.com/channels/191975109500731392/1212839710439776287/1331654158717288450</t>
  </si>
  <si>
    <t xml:space="preserve">"He did not fucking get me for 2"</t>
  </si>
  <si>
    <t xml:space="preserve">https://discord.com/channels/191975109500731392/1212839710439776287/1331654170029064233</t>
  </si>
  <si>
    <t xml:space="preserve">Hardest to find</t>
  </si>
  <si>
    <t xml:space="preserve">https://discord.com/channels/191975109500731392/1212839710439776287/1331688189005402142</t>
  </si>
  <si>
    <t xml:space="preserve">Had more death points than reuben??</t>
  </si>
  <si>
    <t xml:space="preserve">https://discord.com/channels/191975109500731392/1212839710439776287/1331743984330215535</t>
  </si>
  <si>
    <t xml:space="preserve">Sitting duck</t>
  </si>
  <si>
    <t xml:space="preserve">https://discord.com/channels/191975109500731392/1212839710439776287/1331786709192675419</t>
  </si>
  <si>
    <t xml:space="preserve">Eaten Alive</t>
  </si>
  <si>
    <t xml:space="preserve">https://discord.com/channels/191975109500731392/1212839710439776287/1331786975774244975</t>
  </si>
  <si>
    <t xml:space="preserve">https://discord.com/channels/191975109500731392/1212839710439776287/1331991826516934778</t>
  </si>
  <si>
    <t xml:space="preserve">https://discord.com/channels/191975109500731392/1212839710439776287/1332045218534527127</t>
  </si>
  <si>
    <t xml:space="preserve">https://discord.com/channels/191975109500731392/1212839710439776287/1332096889293770873</t>
  </si>
  <si>
    <t xml:space="preserve">https://discord.com/channels/191975109500731392/1212839710439776287/1332099532758057011</t>
  </si>
  <si>
    <t xml:space="preserve">https://discord.com/channels/191975109500731392/1212839710439776287/1332100493094420480</t>
  </si>
  <si>
    <t xml:space="preserve">https://discord.com/channels/191975109500731392/1212839710439776287/1332104635577532449</t>
  </si>
  <si>
    <t xml:space="preserve">https://discord.com/channels/191975109500731392/1212839710439776287/1332396565783908362</t>
  </si>
  <si>
    <t xml:space="preserve">https://discord.com/channels/191975109500731392/1212839710439776287/1332396703084576798</t>
  </si>
  <si>
    <t xml:space="preserve">https://discord.com/channels/191975109500731392/1212839710439776287/1332758550572826674</t>
  </si>
  <si>
    <t xml:space="preserve">https://discord.com/channels/191975109500731392/1212839710439776287/1332758561222037577</t>
  </si>
  <si>
    <t xml:space="preserve">https://discord.com/channels/191975109500731392/1212839710439776287/1333252518011994253</t>
  </si>
  <si>
    <t xml:space="preserve">https://discord.com/channels/191975109500731392/1212839710439776287/1333464966027677778</t>
  </si>
  <si>
    <t xml:space="preserve">https://discord.com/channels/191975109500731392/1212839710439776287/1333464994943209593</t>
  </si>
  <si>
    <t xml:space="preserve">https://discord.com/channels/191975109500731392/1212839710439776287/1333480379675316277</t>
  </si>
  <si>
    <t xml:space="preserve">https://discord.com/channels/191975109500731392/1212839710439776287/1333514929801662505</t>
  </si>
  <si>
    <t xml:space="preserve">https://discord.com/channels/191975109500731392/1212839710439776287/1333558175005409313</t>
  </si>
  <si>
    <t xml:space="preserve">https://discord.com/channels/191975109500731392/1212839710439776287/1333558391276048495</t>
  </si>
  <si>
    <t xml:space="preserve">https://discord.com/channels/191975109500731392/1212839710439776287/1333558804989874278</t>
  </si>
  <si>
    <t xml:space="preserve">https://discord.com/channels/191975109500731392/1212839710439776287/1333558805123829893</t>
  </si>
  <si>
    <t xml:space="preserve">https://discord.com/channels/191975109500731392/1212839710439776287/1333559303616991283</t>
  </si>
  <si>
    <t xml:space="preserve">https://discord.com/channels/191975109500731392/1212839710439776287/1333825481069428786</t>
  </si>
  <si>
    <t xml:space="preserve">https://discord.com/channels/191975109500731392/1212839710439776287/1333825533158359090</t>
  </si>
  <si>
    <t xml:space="preserve">https://discord.com/channels/191975109500731392/1212839710439776287/1333854212227989586</t>
  </si>
  <si>
    <t xml:space="preserve">https://discord.com/channels/191975109500731392/1212839710439776287/1333851020677222432</t>
  </si>
  <si>
    <t xml:space="preserve">https://discord.com/channels/191975109500731392/1212839710439776287/1333871228082982922</t>
  </si>
  <si>
    <t xml:space="preserve">https://discord.com/channels/191975109500731392/1212839710439776287/1333921376012206121</t>
  </si>
  <si>
    <t xml:space="preserve">https://discord.com/channels/191975109500731392/1212839710439776287/1333921623165894749</t>
  </si>
  <si>
    <t xml:space="preserve">https://discord.com/channels/191975109500731392/1212839710439776287/1333931546851278890</t>
  </si>
  <si>
    <t xml:space="preserve">https://discord.com/channels/191975109500731392/1212839710439776287/1334275891035115641</t>
  </si>
  <si>
    <t xml:space="preserve">https://discord.com/channels/191975109500731392/1212839710439776287/1334276198993236153</t>
  </si>
  <si>
    <t xml:space="preserve">https://discord.com/channels/191975109500731392/1212839710439776287/1334575420816883773</t>
  </si>
  <si>
    <t xml:space="preserve">https://discord.com/channels/191975109500731392/1212839710439776287/1334594959239811185</t>
  </si>
  <si>
    <t xml:space="preserve">https://discord.com/channels/191975109500731392/1212839710439776287/1334596039281217557</t>
  </si>
  <si>
    <t xml:space="preserve">https://discord.com/channels/191975109500731392/1212839710439776287/1334596071099469908</t>
  </si>
  <si>
    <t xml:space="preserve">https://discord.com/channels/191975109500731392/1212839710439776287/1336050544099328003</t>
  </si>
  <si>
    <t xml:space="preserve">https://discord.com/channels/191975109500731392/1212839710439776287/1336086194437754950</t>
  </si>
  <si>
    <t xml:space="preserve">https://discord.com/channels/191975109500731392/1212839710439776287/1336088861847191594</t>
  </si>
  <si>
    <t xml:space="preserve">https://discord.com/channels/191975109500731392/1212839710439776287/1336361440008863885</t>
  </si>
  <si>
    <t xml:space="preserve">https://discord.com/channels/191975109500731392/1212839710439776287/1336408731923120271</t>
  </si>
  <si>
    <t xml:space="preserve">https://discord.com/channels/191975109500731392/1212839710439776287/1336409376155635755</t>
  </si>
  <si>
    <t xml:space="preserve">https://discord.com/channels/191975109500731392/1212839710439776287/1336409407520505967</t>
  </si>
  <si>
    <t xml:space="preserve">https://discord.com/channels/191975109500731392/1212839710439776287/1336410695096598618</t>
  </si>
  <si>
    <t xml:space="preserve">https://discord.com/channels/191975109500731392/1212839710439776287/1336461389643907112</t>
  </si>
  <si>
    <t xml:space="preserve">https://discord.com/channels/191975109500731392/1212839710439776287/1336797518549483521</t>
  </si>
  <si>
    <t xml:space="preserve">https://discord.com/channels/191975109500731392/1212839710439776287/1336798568614461480</t>
  </si>
  <si>
    <t xml:space="preserve">https://discord.com/channels/191975109500731392/1212839710439776287/1337119501745127427</t>
  </si>
  <si>
    <t xml:space="preserve">https://discord.com/channels/191975109500731392/1212839710439776287/1337156508512817264</t>
  </si>
  <si>
    <t xml:space="preserve">https://discord.com/channels/191975109500731392/1212839710439776287/1337156721315151963</t>
  </si>
  <si>
    <t xml:space="preserve">https://discord.com/channels/191975109500731392/1212839710439776287/1337858088270565417</t>
  </si>
  <si>
    <t xml:space="preserve">https://discord.com/channels/191975109500731392/1212839710439776287/1337858167828385842</t>
  </si>
  <si>
    <t xml:space="preserve">https://discord.com/channels/191975109500731392/1212839710439776287/1338279561623769160</t>
  </si>
  <si>
    <t xml:space="preserve">https://discord.com/channels/191975109500731392/1212839710439776287/1338279608512020593</t>
  </si>
  <si>
    <t xml:space="preserve">https://discord.com/channels/191975109500731392/1212839710439776287/1338879997624189059</t>
  </si>
  <si>
    <t xml:space="preserve">https://discord.com/channels/191975109500731392/1212839710439776287/1338945799152996394</t>
  </si>
  <si>
    <t xml:space="preserve">https://discord.com/channels/191975109500731392/1212839710439776287/1338945866093957150</t>
  </si>
  <si>
    <t xml:space="preserve">https://discord.com/channels/191975109500731392/1212839710439776287/1339291879346536629</t>
  </si>
  <si>
    <t xml:space="preserve">https://discord.com/channels/191975109500731392/1212839710439776287/1339298061058314243</t>
  </si>
  <si>
    <t xml:space="preserve">https://discord.com/channels/191975109500731392/1212839710439776287/1339310722940665959</t>
  </si>
  <si>
    <t xml:space="preserve">https://discord.com/channels/191975109500731392/1212839710439776287/1339344638355570688</t>
  </si>
  <si>
    <t xml:space="preserve">https://discord.com/channels/191975109500731392/1212839710439776287/1339352139624874045</t>
  </si>
  <si>
    <t xml:space="preserve">https://discord.com/channels/191975109500731392/1212839710439776287/1339392369073717338</t>
  </si>
  <si>
    <t xml:space="preserve">https://discord.com/channels/191975109500731392/1212839710439776287/1339617845885009934</t>
  </si>
  <si>
    <t xml:space="preserve">https://discord.com/channels/191975109500731392/1212839710439776287/1339617990538432585</t>
  </si>
  <si>
    <t xml:space="preserve">https://discord.com/channels/191975109500731392/1212839710439776287/1339620357551947867</t>
  </si>
  <si>
    <t xml:space="preserve">https://discord.com/channels/191975109500731392/1212839710439776287/1339993719579086940</t>
  </si>
  <si>
    <t xml:space="preserve">https://discord.com/channels/191975109500731392/1212839710439776287/1340060963424178187</t>
  </si>
  <si>
    <t xml:space="preserve">https://discord.com/channels/191975109500731392/1212839710439776287/1340456559288909844</t>
  </si>
  <si>
    <t xml:space="preserve">https://discord.com/channels/191975109500731392/1212839710439776287/1340470228131385354</t>
  </si>
  <si>
    <t xml:space="preserve">https://discord.com/channels/191975109500731392/1212839710439776287/1340814410985242836</t>
  </si>
  <si>
    <t xml:space="preserve">https://discord.com/channels/191975109500731392/1212839710439776287/1340814469818749068</t>
  </si>
  <si>
    <t xml:space="preserve">https://discord.com/channels/191975109500731392/1212839710439776287/1340814596830920714</t>
  </si>
  <si>
    <t xml:space="preserve">https://discord.com/channels/191975109500731392/1212839710439776287/1341415788745195561</t>
  </si>
  <si>
    <t xml:space="preserve">https://discord.com/channels/191975109500731392/1212839710439776287/1341446113479098399</t>
  </si>
  <si>
    <t xml:space="preserve">https://discord.com/channels/191975109500731392/1212839710439776287/1341480819440488548</t>
  </si>
  <si>
    <t xml:space="preserve">https://discord.com/channels/191975109500731392/1212839710439776287/1341790549224718436</t>
  </si>
  <si>
    <t xml:space="preserve">https://discord.com/channels/191975109500731392/1212839710439776287/1341844758166896741</t>
  </si>
  <si>
    <t xml:space="preserve">https://discord.com/channels/191975109500731392/1212839710439776287/1342189844323110972</t>
  </si>
  <si>
    <t xml:space="preserve">https://discord.com/channels/191975109500731392/1212839710439776287/1342194813344288871</t>
  </si>
  <si>
    <t xml:space="preserve">https://discord.com/channels/191975109500731392/1212839710439776287/1342195006043324517</t>
  </si>
  <si>
    <t xml:space="preserve">https://discord.com/channels/191975109500731392/1212839710439776287/1342195278786072659</t>
  </si>
  <si>
    <t xml:space="preserve">https://discord.com/channels/191975109500731392/1212839710439776287/1342614511055671398</t>
  </si>
  <si>
    <t xml:space="preserve">https://discord.com/channels/191975109500731392/1212839710439776287/1343627918710145105</t>
  </si>
  <si>
    <t xml:space="preserve">https://discord.com/channels/191975109500731392/1212839710439776287/1343628662699987004</t>
  </si>
  <si>
    <t xml:space="preserve">https://discord.com/channels/191975109500731392/1212839710439776287/1343690688692355134</t>
  </si>
  <si>
    <t xml:space="preserve">https://discord.com/channels/191975109500731392/1212839710439776287/1343702770301014118</t>
  </si>
  <si>
    <t xml:space="preserve">https://discord.com/channels/191975109500731392/1212839710439776287/1343702796142379059</t>
  </si>
  <si>
    <t xml:space="preserve">https://discord.com/channels/191975109500731392/1212839710439776287/1343706189300633770</t>
  </si>
  <si>
    <t xml:space="preserve">https://discord.com/channels/191975109500731392/1212839710439776287/1343706528879738901</t>
  </si>
  <si>
    <t xml:space="preserve">https://discord.com/channels/191975109500731392/1212839710439776287/1343707381795913781</t>
  </si>
  <si>
    <t xml:space="preserve">https://discord.com/channels/191975109500731392/1212839710439776287/1343712668623831133</t>
  </si>
  <si>
    <t xml:space="preserve">https://discord.com/channels/191975109500731392/1212839710439776287/1343712848416866387</t>
  </si>
  <si>
    <t xml:space="preserve">https://discord.com/channels/191975109500731392/1212839710439776287/1343720707510505607</t>
  </si>
  <si>
    <t xml:space="preserve">https://discord.com/channels/191975109500731392/1212839710439776287/1343952984916361266</t>
  </si>
  <si>
    <t xml:space="preserve">https://discord.com/channels/191975109500731392/1212839710439776287/1344367936374177934</t>
  </si>
  <si>
    <t xml:space="preserve">https://discord.com/channels/191975109500731392/1212839710439776287/1344425839986606090</t>
  </si>
  <si>
    <t xml:space="preserve">https://discord.com/channels/191975109500731392/1212839710439776287/1344708736735907890</t>
  </si>
  <si>
    <t xml:space="preserve">https://discord.com/channels/191975109500731392/1212839710439776287/1344741665251921920</t>
  </si>
  <si>
    <t xml:space="preserve">https://discord.com/channels/191975109500731392/1212839710439776287/1344861519917355008</t>
  </si>
  <si>
    <t xml:space="preserve">https://discord.com/channels/191975109500731392/1212839710439776287/1346160114897256458</t>
  </si>
  <si>
    <t xml:space="preserve">https://discord.com/channels/191975109500731392/1212839710439776287/1346179213174247547</t>
  </si>
  <si>
    <t xml:space="preserve">https://discord.com/channels/191975109500731392/1212839710439776287/1346193745388896386</t>
  </si>
  <si>
    <t xml:space="preserve">https://discord.com/channels/191975109500731392/1212839710439776287/1346193861789224992</t>
  </si>
  <si>
    <t xml:space="preserve">https://discord.com/channels/191975109500731392/1212839710439776287/1346488484424192181</t>
  </si>
  <si>
    <t xml:space="preserve">https://discord.com/channels/191975109500731392/1212839710439776287/1346545818928156805</t>
  </si>
  <si>
    <t xml:space="preserve">https://discord.com/channels/191975109500731392/1212839710439776287/1346545932799442974</t>
  </si>
  <si>
    <t xml:space="preserve">https://discord.com/channels/191975109500731392/1212839710439776287/1346555382922739723</t>
  </si>
  <si>
    <t xml:space="preserve">https://discord.com/channels/191975109500731392/1212839710439776287/1346576321454800938</t>
  </si>
  <si>
    <t xml:space="preserve">https://discord.com/channels/191975109500731392/1212839710439776287/1346849302554607666</t>
  </si>
  <si>
    <t xml:space="preserve">https://discord.com/channels/191975109500731392/1212839710439776287/1346904891976585236</t>
  </si>
  <si>
    <t xml:space="preserve">https://discord.com/channels/191975109500731392/1212839710439776287/1347235338384441344</t>
  </si>
  <si>
    <t xml:space="preserve">https://discord.com/channels/191975109500731392/1212839710439776287/1347235348127940692</t>
  </si>
  <si>
    <t xml:space="preserve">https://discord.com/channels/191975109500731392/1212839710439776287/1347301920145932509</t>
  </si>
  <si>
    <t xml:space="preserve">https://discord.com/channels/191975109500731392/1212839710439776287/1347353448391381114</t>
  </si>
  <si>
    <t xml:space="preserve">https://discord.com/channels/191975109500731392/1212839710439776287/1347356314673741855</t>
  </si>
  <si>
    <t xml:space="preserve">https://discord.com/channels/191975109500731392/1212839710439776287/1351235573238726677</t>
  </si>
  <si>
    <t xml:space="preserve">https://discord.com/channels/191975109500731392/1212839710439776287/1351235973652152342</t>
  </si>
  <si>
    <t xml:space="preserve">https://discord.com/channels/191975109500731392/1212839710439776287/1351252845374083104</t>
  </si>
  <si>
    <t xml:space="preserve">https://discord.com/channels/191975109500731392/1212839710439776287/1351253067772989533</t>
  </si>
  <si>
    <t xml:space="preserve">https://discord.com/channels/191975109500731392/1212839710439776287/1351294305876185220</t>
  </si>
  <si>
    <t xml:space="preserve">https://discord.com/channels/191975109500731392/1212839710439776287/1351294976255983720</t>
  </si>
  <si>
    <t xml:space="preserve">https://discord.com/channels/191975109500731392/1212839710439776287/1351295109521739951</t>
  </si>
  <si>
    <t xml:space="preserve">https://discord.com/channels/191975109500731392/1212839710439776287/1351300795911635104</t>
  </si>
  <si>
    <t xml:space="preserve">https://discord.com/channels/191975109500731392/1212839710439776287/1351301018268340408</t>
  </si>
  <si>
    <t xml:space="preserve">https://discord.com/channels/191975109500731392/1212839710439776287/1351301030918361219</t>
  </si>
  <si>
    <t xml:space="preserve">https://discord.com/channels/191975109500731392/1212839710439776287/1351395127351967776</t>
  </si>
  <si>
    <t xml:space="preserve">https://discord.com/channels/191975109500731392/1212839710439776287/1351592195156873341</t>
  </si>
  <si>
    <t xml:space="preserve">https://discord.com/channels/191975109500731392/1212839710439776287/1351594933588590733</t>
  </si>
  <si>
    <t xml:space="preserve">https://discord.com/channels/191975109500731392/1212839710439776287/1351601720370794528</t>
  </si>
  <si>
    <t xml:space="preserve">https://discord.com/channels/191975109500731392/1212839710439776287/1351601751182147655</t>
  </si>
  <si>
    <t xml:space="preserve">https://discord.com/channels/191975109500731392/1212839710439776287/1351612495961395232</t>
  </si>
  <si>
    <t xml:space="preserve">https://discord.com/channels/191975109500731392/1212839710439776287/1351612804251258891</t>
  </si>
  <si>
    <t xml:space="preserve">https://discord.com/channels/191975109500731392/1212839710439776287/1351672302345130024</t>
  </si>
  <si>
    <t xml:space="preserve">https://discord.com/channels/191975109500731392/1212839710439776287/1351673920130121750</t>
  </si>
  <si>
    <t xml:space="preserve">https://discord.com/channels/191975109500731392/1212839710439776287/1351673930376810588</t>
  </si>
  <si>
    <t xml:space="preserve">https://discord.com/channels/191975109500731392/1212839710439776287/1351932797085941830</t>
  </si>
  <si>
    <t xml:space="preserve">https://discord.com/channels/191975109500731392/1212839710439776287/1351932993161265294</t>
  </si>
  <si>
    <t xml:space="preserve">https://discord.com/channels/191975109500731392/1212839710439776287/1351961908424474686</t>
  </si>
  <si>
    <t xml:space="preserve">https://discord.com/channels/191975109500731392/1212839710439776287/1351964783322333236</t>
  </si>
  <si>
    <t xml:space="preserve">https://discord.com/channels/191975109500731392/1212839710439776287/1351965552800694323</t>
  </si>
  <si>
    <t xml:space="preserve">https://discord.com/channels/191975109500731392/1212839710439776287/1351972703233642678</t>
  </si>
  <si>
    <t xml:space="preserve">https://discord.com/channels/191975109500731392/1212839710439776287/1351981909118287983</t>
  </si>
  <si>
    <t xml:space="preserve">https://discord.com/channels/191975109500731392/1212839710439776287/1351982939621298258</t>
  </si>
  <si>
    <t xml:space="preserve">https://discord.com/channels/191975109500731392/1212839710439776287/1352015886357106768</t>
  </si>
  <si>
    <t xml:space="preserve">https://discord.com/channels/191975109500731392/1212839710439776287/1352017064180842506</t>
  </si>
  <si>
    <t xml:space="preserve">https://discord.com/channels/191975109500731392/1212839710439776287/1352018624700747937</t>
  </si>
  <si>
    <t xml:space="preserve">https://discord.com/channels/191975109500731392/1212839710439776287/1352082603515056209</t>
  </si>
  <si>
    <t xml:space="preserve">https://discord.com/channels/191975109500731392/1212839710439776287/1352082886706204853</t>
  </si>
  <si>
    <t xml:space="preserve">https://discord.com/channels/191975109500731392/1212839710439776287/1352273832723087431</t>
  </si>
  <si>
    <t xml:space="preserve">https://discord.com/channels/191975109500731392/1212839710439776287/1352274044879114260</t>
  </si>
  <si>
    <t xml:space="preserve">https://discord.com/channels/191975109500731392/1212839710439776287/1352317255253364847</t>
  </si>
  <si>
    <t xml:space="preserve">https://discord.com/channels/191975109500731392/1212839710439776287/1352326678076063905</t>
  </si>
  <si>
    <t xml:space="preserve">https://discord.com/channels/191975109500731392/1212839710439776287/1352327429448007730</t>
  </si>
  <si>
    <t xml:space="preserve">https://discord.com/channels/191975109500731392/1212839710439776287/1352358322120036475</t>
  </si>
  <si>
    <t xml:space="preserve">https://discord.com/channels/191975109500731392/1212839710439776287/1352358371646505051</t>
  </si>
  <si>
    <t xml:space="preserve">https://discord.com/channels/191975109500731392/1212839710439776287/1352383659214110730</t>
  </si>
  <si>
    <t xml:space="preserve">https://discord.com/channels/191975109500731392/1212839710439776287/1352431514255622165</t>
  </si>
  <si>
    <t xml:space="preserve">https://discord.com/channels/191975109500731392/1212839710439776287/1352431532731797586</t>
  </si>
  <si>
    <t xml:space="preserve">https://discord.com/channels/191975109500731392/1212839710439776287/1353829471794233414</t>
  </si>
  <si>
    <t xml:space="preserve">https://discord.com/channels/191975109500731392/1212839710439776287/1353831568761946133</t>
  </si>
  <si>
    <t xml:space="preserve">https://discord.com/channels/191975109500731392/1212839710439776287/1353832501587476480</t>
  </si>
  <si>
    <t xml:space="preserve">https://discord.com/channels/191975109500731392/1212839710439776287/1353832508826976319</t>
  </si>
  <si>
    <t xml:space="preserve">https://discord.com/channels/191975109500731392/1212839710439776287/1354150400697172082</t>
  </si>
  <si>
    <t xml:space="preserve">https://discord.com/channels/191975109500731392/1212839710439776287/1354179666960977930</t>
  </si>
  <si>
    <t xml:space="preserve">https://discord.com/channels/191975109500731392/1212839710439776287/1354179700137656553</t>
  </si>
  <si>
    <t xml:space="preserve">https://discord.com/channels/191975109500731392/1212839710439776287/1354468838862749768</t>
  </si>
  <si>
    <t xml:space="preserve">https://discord.com/channels/191975109500731392/1212839710439776287/1354469030504824922</t>
  </si>
  <si>
    <t xml:space="preserve">https://discord.com/channels/191975109500731392/1212839710439776287/1354515951810248704</t>
  </si>
  <si>
    <t xml:space="preserve">https://discord.com/channels/191975109500731392/1212839710439776287/1354516058039652593</t>
  </si>
  <si>
    <t xml:space="preserve">https://discord.com/channels/191975109500731392/1212839710439776287/1354518686475747388</t>
  </si>
  <si>
    <t xml:space="preserve">https://discord.com/channels/191975109500731392/1212839710439776287/1354518724048191709</t>
  </si>
  <si>
    <t xml:space="preserve">https://discord.com/channels/191975109500731392/1212839710439776287/1354518810471694386</t>
  </si>
  <si>
    <t xml:space="preserve">https://discord.com/channels/191975109500731392/1212839710439776287/1354528488022867989</t>
  </si>
  <si>
    <t xml:space="preserve">https://discord.com/channels/191975109500731392/1212839710439776287/1354528540032503872</t>
  </si>
  <si>
    <t xml:space="preserve">https://discord.com/channels/191975109500731392/1212839710439776287/1354528600832999606</t>
  </si>
  <si>
    <t xml:space="preserve">https://discord.com/channels/191975109500731392/1212839710439776287/1354528640766840985</t>
  </si>
  <si>
    <t xml:space="preserve">https://discord.com/channels/191975109500731392/1212839710439776287/1354529773782696149</t>
  </si>
  <si>
    <t xml:space="preserve">https://discord.com/channels/191975109500731392/1212839710439776287/1354529834209902683</t>
  </si>
  <si>
    <t xml:space="preserve">https://discord.com/channels/191975109500731392/1212839710439776287/1354529853197652151</t>
  </si>
  <si>
    <t xml:space="preserve">https://discord.com/channels/191975109500731392/1212839710439776287/1354529974207381586</t>
  </si>
  <si>
    <t xml:space="preserve">https://discord.com/channels/191975109500731392/1212839710439776287/1354588341198262394</t>
  </si>
  <si>
    <t xml:space="preserve">https://discord.com/channels/191975109500731392/1212839710439776287/1354588525994971429</t>
  </si>
  <si>
    <t xml:space="preserve">https://discord.com/channels/191975109500731392/1212839710439776287/1354630452715061308</t>
  </si>
  <si>
    <t xml:space="preserve">https://discord.com/channels/191975109500731392/1212839710439776287/1354826675942195210</t>
  </si>
  <si>
    <t xml:space="preserve">https://discord.com/channels/191975109500731392/1212839710439776287/1354845006682263837</t>
  </si>
  <si>
    <t xml:space="preserve">https://discord.com/channels/191975109500731392/1212839710439776287/1354845300552110230</t>
  </si>
  <si>
    <t xml:space="preserve">https://discord.com/channels/191975109500731392/1212839710439776287/1354851687998816347</t>
  </si>
  <si>
    <t xml:space="preserve">https://discord.com/channels/191975109500731392/1212839710439776287/1354853809394024635</t>
  </si>
  <si>
    <t xml:space="preserve">https://discord.com/channels/191975109500731392/1212839710439776287/1354854293513048105</t>
  </si>
  <si>
    <t xml:space="preserve">https://discord.com/channels/191975109500731392/1212839710439776287/1354862220969906207</t>
  </si>
  <si>
    <t xml:space="preserve">https://discord.com/channels/191975109500731392/1212839710439776287/1354862374028574840</t>
  </si>
  <si>
    <t xml:space="preserve">https://discord.com/channels/191975109500731392/1212839710439776287/1354862474901586200</t>
  </si>
  <si>
    <t xml:space="preserve">https://discord.com/channels/191975109500731392/1212839710439776287/1354862519679975565</t>
  </si>
  <si>
    <t xml:space="preserve">https://discord.com/channels/191975109500731392/1212839710439776287/1354862526952636627</t>
  </si>
  <si>
    <t xml:space="preserve">https://discord.com/channels/191975109500731392/1212839710439776287/1354862570644836545</t>
  </si>
  <si>
    <t xml:space="preserve">https://discord.com/channels/191975109500731392/1212839710439776287/1354862904473550919</t>
  </si>
  <si>
    <t xml:space="preserve">https://discord.com/channels/191975109500731392/1212839710439776287/1354863189430370405</t>
  </si>
  <si>
    <t xml:space="preserve">https://discord.com/channels/191975109500731392/1212839710439776287/1354863814352572497</t>
  </si>
  <si>
    <t xml:space="preserve">https://discord.com/channels/191975109500731392/1212839710439776287/1354871434035593328</t>
  </si>
  <si>
    <t xml:space="preserve">https://discord.com/channels/191975109500731392/1212839710439776287/1354896361493103024</t>
  </si>
  <si>
    <t xml:space="preserve">https://discord.com/channels/191975109500731392/1212839710439776287/1355967006993809468</t>
  </si>
  <si>
    <t xml:space="preserve">https://discord.com/channels/191975109500731392/1212839710439776287/1356012019215503390</t>
  </si>
  <si>
    <t xml:space="preserve">https://discord.com/channels/191975109500731392/1212839710439776287/1356312886955212990</t>
  </si>
  <si>
    <t xml:space="preserve">https://discord.com/channels/191975109500731392/1212839710439776287/1356313009693261894</t>
  </si>
  <si>
    <t xml:space="preserve">https://discord.com/channels/191975109500731392/1212839710439776287/1356324508730134823</t>
  </si>
  <si>
    <t xml:space="preserve">https://discord.com/channels/191975109500731392/1212839710439776287/1356369285668274198</t>
  </si>
  <si>
    <t xml:space="preserve">https://discord.com/channels/191975109500731392/1212839710439776287/1356675432283639828</t>
  </si>
  <si>
    <t xml:space="preserve">https://discord.com/channels/191975109500731392/1212839710439776287/1357048619202642090</t>
  </si>
  <si>
    <t xml:space="preserve">https://discord.com/channels/191975109500731392/1212839710439776287/1357048642157936783</t>
  </si>
  <si>
    <t xml:space="preserve">https://discord.com/channels/191975109500731392/1212839710439776287/1357051076053958798</t>
  </si>
  <si>
    <t xml:space="preserve">https://discord.com/channels/191975109500731392/1212839710439776287/1357119641797005393</t>
  </si>
  <si>
    <t xml:space="preserve">https://discord.com/channels/191975109500731392/1212839710439776287/1357374425887936694</t>
  </si>
  <si>
    <t xml:space="preserve">https://discord.com/channels/191975109500731392/1212839710439776287/1357374605085511780</t>
  </si>
  <si>
    <t xml:space="preserve">https://discord.com/channels/191975109500731392/1212839710439776287/1357390221062443079</t>
  </si>
  <si>
    <t xml:space="preserve">https://discord.com/channels/191975109500731392/1212839710439776287/1357390411399696475</t>
  </si>
  <si>
    <t xml:space="preserve">https://discord.com/channels/191975109500731392/1212839710439776287/1359202750101196811</t>
  </si>
  <si>
    <t xml:space="preserve">https://discord.com/channels/191975109500731392/1212839710439776287/1359211778919370972</t>
  </si>
  <si>
    <t xml:space="preserve">https://discord.com/channels/191975109500731392/1212839710439776287/1359212271645102151</t>
  </si>
  <si>
    <t xml:space="preserve">https://discord.com/channels/191975109500731392/1212839710439776287/1359224437945270313</t>
  </si>
  <si>
    <t xml:space="preserve">https://discord.com/channels/191975109500731392/1212839710439776287/1359244657036628191</t>
  </si>
  <si>
    <t xml:space="preserve">https://discord.com/channels/191975109500731392/1212839710439776287/1359244713550680164</t>
  </si>
  <si>
    <t xml:space="preserve">https://discord.com/channels/191975109500731392/1212839710439776287/1359270956165763242</t>
  </si>
  <si>
    <t xml:space="preserve">https://discord.com/channels/191975109500731392/1212839710439776287/1359300778774233148</t>
  </si>
  <si>
    <t xml:space="preserve">https://discord.com/channels/191975109500731392/1212839710439776287/1359535174525784074</t>
  </si>
  <si>
    <t xml:space="preserve">https://discord.com/channels/191975109500731392/1212839710439776287/1359535311876784268</t>
  </si>
  <si>
    <t xml:space="preserve">https://discord.com/channels/191975109500731392/1212839710439776287/1359599304934817922</t>
  </si>
  <si>
    <t xml:space="preserve">https://discord.com/channels/191975109500731392/1212839710439776287/1359599307870834811</t>
  </si>
  <si>
    <t xml:space="preserve">https://discord.com/channels/191975109500731392/1212839710439776287/1359611405216514158</t>
  </si>
  <si>
    <t xml:space="preserve">https://discord.com/channels/191975109500731392/1212839710439776287/1359669562823545013</t>
  </si>
  <si>
    <t xml:space="preserve">https://discord.com/channels/191975109500731392/1212839710439776287/1359669614602096651</t>
  </si>
  <si>
    <t xml:space="preserve">https://discord.com/channels/191975109500731392/1212839710439776287/1359947228437024878</t>
  </si>
  <si>
    <t xml:space="preserve">https://discord.com/channels/191975109500731392/1212839710439776287/1359971298109034626</t>
  </si>
  <si>
    <t xml:space="preserve">https://discord.com/channels/191975109500731392/1212839710439776287/1359971388814917705</t>
  </si>
  <si>
    <t xml:space="preserve">Jon</t>
  </si>
  <si>
    <t xml:space="preserve">https://discord.com/channels/191975109500731392/1212839710439776287/1285260427307257971</t>
  </si>
  <si>
    <t xml:space="preserve">Kill</t>
  </si>
  <si>
    <t xml:space="preserve">https://discord.com/channels/191975109500731392/1212839710439776287/1285263030640185488</t>
  </si>
  <si>
    <t xml:space="preserve">Sam</t>
  </si>
  <si>
    <t xml:space="preserve">Count</t>
  </si>
  <si>
    <t xml:space="preserve">https://discord.com/channels/191975109500731392/1212839710439776287/1285296696158322728</t>
  </si>
  <si>
    <t xml:space="preserve">https://discord.com/channels/191975109500731392/1212839710439776287/1285342723410366515</t>
  </si>
  <si>
    <t xml:space="preserve">https://discord.com/channels/191975109500731392/1212839710439776287/1285342764967530509</t>
  </si>
  <si>
    <t xml:space="preserve">https://discord.com/channels/191975109500731392/1212839710439776287/1285355267998879776</t>
  </si>
  <si>
    <t xml:space="preserve">https://discord.com/channels/191975109500731392/1212839710439776287/1285371141011144745</t>
  </si>
  <si>
    <t xml:space="preserve">https://discord.com/channels/191975109500731392/1212839710439776287/1285429507347714118</t>
  </si>
  <si>
    <t xml:space="preserve">https://discord.com/channels/191975109500731392/1212839710439776287/1285432576420483072</t>
  </si>
  <si>
    <t xml:space="preserve">https://discord.com/channels/191975109500731392/1212839710439776287/1285586723618820151</t>
  </si>
  <si>
    <t xml:space="preserve">https://discord.com/channels/191975109500731392/1212839710439776287/1285612718031900764</t>
  </si>
  <si>
    <t xml:space="preserve">https://discord.com/channels/191975109500731392/1212839710439776287/1285650837821067404</t>
  </si>
  <si>
    <t xml:space="preserve">https://discord.com/channels/191975109500731392/1212839710439776287/1285674946533785691</t>
  </si>
  <si>
    <t xml:space="preserve">https://discord.com/channels/191975109500731392/1212839710439776287/1285702116328869990</t>
  </si>
  <si>
    <t xml:space="preserve">https://discord.com/channels/191975109500731392/1212839710439776287/1285702513923719292</t>
  </si>
  <si>
    <t xml:space="preserve">https://discord.com/channels/191975109500731392/1212839710439776287/1285765526525710501</t>
  </si>
  <si>
    <t xml:space="preserve">https://discord.com/channels/191975109500731392/1212839710439776287/1285765585501945899</t>
  </si>
  <si>
    <t xml:space="preserve">https://discord.com/channels/191975109500731392/1212839710439776287/1285961159060750368</t>
  </si>
  <si>
    <t xml:space="preserve">https://discord.com/channels/191975109500731392/1212839710439776287/1285961174847852658</t>
  </si>
  <si>
    <t xml:space="preserve">https://discord.com/channels/191975109500731392/1212839710439776287/1285977613059358793</t>
  </si>
  <si>
    <t xml:space="preserve">https://discord.com/channels/191975109500731392/1212839710439776287/1285977789069000704</t>
  </si>
  <si>
    <t xml:space="preserve">https://discord.com/channels/191975109500731392/1212839710439776287/1285977828910825605</t>
  </si>
  <si>
    <t xml:space="preserve">https://discord.com/channels/191975109500731392/1212839710439776287/1285980216316923916</t>
  </si>
  <si>
    <t xml:space="preserve">https://discord.com/channels/191975109500731392/1212839710439776287/1285986154109472848</t>
  </si>
  <si>
    <t xml:space="preserve">https://discord.com/channels/191975109500731392/1212839710439776287/1285986371651240022</t>
  </si>
  <si>
    <t xml:space="preserve">https://discord.com/channels/191975109500731392/1212839710439776287/1286014962879172670</t>
  </si>
  <si>
    <t xml:space="preserve">https://discord.com/channels/191975109500731392/1212839710439776287/1286019698692984945</t>
  </si>
  <si>
    <t xml:space="preserve">https://discord.com/channels/191975109500731392/1212839710439776287/1286038040904728618</t>
  </si>
  <si>
    <t xml:space="preserve">https://discord.com/channels/191975109500731392/1212839710439776287/1286039450220105821</t>
  </si>
  <si>
    <t xml:space="preserve">https://discord.com/channels/191975109500731392/1212839710439776287/1286039853137530903</t>
  </si>
  <si>
    <t xml:space="preserve">https://discord.com/channels/191975109500731392/1212839710439776287/1286040046176305285</t>
  </si>
  <si>
    <t xml:space="preserve">https://discord.com/channels/191975109500731392/1212839710439776287/1286087979957223504</t>
  </si>
  <si>
    <t xml:space="preserve">https://discord.com/channels/191975109500731392/1212839710439776287/1286087961284313158</t>
  </si>
  <si>
    <t xml:space="preserve">https://discord.com/channels/191975109500731392/1212839710439776287/1286360436786204756</t>
  </si>
  <si>
    <t xml:space="preserve">https://discord.com/channels/191975109500731392/1212839710439776287/1286360481405206529</t>
  </si>
  <si>
    <t xml:space="preserve">https://discord.com/channels/191975109500731392/1212839710439776287/1286369624551719092</t>
  </si>
  <si>
    <t xml:space="preserve">https://discord.com/channels/191975109500731392/1212839710439776287/1286369778591858699</t>
  </si>
  <si>
    <t xml:space="preserve">https://discord.com/channels/191975109500731392/1212839710439776287/1286375997989585087</t>
  </si>
  <si>
    <t xml:space="preserve">https://discord.com/channels/191975109500731392/1212839710439776287/1286376008773140673</t>
  </si>
  <si>
    <t xml:space="preserve">https://discord.com/channels/191975109500731392/1212839710439776287/1286458632640401428</t>
  </si>
  <si>
    <t xml:space="preserve">https://discord.com/channels/191975109500731392/1212839710439776287/1286512963582169110</t>
  </si>
  <si>
    <t xml:space="preserve">https://discord.com/channels/191975109500731392/1212839710439776287/1286513081358221424</t>
  </si>
  <si>
    <t xml:space="preserve">https://discord.com/channels/191975109500731392/1212839710439776287/1286748816795635712</t>
  </si>
  <si>
    <t xml:space="preserve">https://discord.com/channels/191975109500731392/1212839710439776287/1286816065132822539</t>
  </si>
  <si>
    <t xml:space="preserve">https://discord.com/channels/191975109500731392/1212839710439776287/1286829992050954261</t>
  </si>
  <si>
    <t xml:space="preserve">https://discord.com/channels/191975109500731392/1212839710439776287/1286829996564021268</t>
  </si>
  <si>
    <t xml:space="preserve">https://discord.com/channels/191975109500731392/1212839710439776287/1287551613078081668</t>
  </si>
  <si>
    <t xml:space="preserve">https://discord.com/channels/191975109500731392/1212839710439776287/1287791850396192769</t>
  </si>
  <si>
    <t xml:space="preserve">https://discord.com/channels/191975109500731392/1212839710439776287/1287827532657332368</t>
  </si>
  <si>
    <t xml:space="preserve">https://discord.com/channels/191975109500731392/1212839710439776287/1287868910284046369</t>
  </si>
  <si>
    <t xml:space="preserve">https://discord.com/channels/191975109500731392/1212839710439776287/1288178959791427708</t>
  </si>
  <si>
    <t xml:space="preserve">https://discord.com/channels/191975109500731392/1212839710439776287/1288262622797500511</t>
  </si>
  <si>
    <t xml:space="preserve">https://discord.com/channels/191975109500731392/1212839710439776287/1288262934421835819</t>
  </si>
  <si>
    <t xml:space="preserve">https://discord.com/channels/191975109500731392/1212839710439776287/1288263870020063262</t>
  </si>
  <si>
    <t xml:space="preserve">https://discord.com/channels/191975109500731392/1212839710439776287/1288508953801785436</t>
  </si>
  <si>
    <t xml:space="preserve">https://discord.com/channels/191975109500731392/1212839710439776287/1288525464402399256</t>
  </si>
  <si>
    <t xml:space="preserve">https://discord.com/channels/191975109500731392/1212839710439776287/1288525756883931137</t>
  </si>
  <si>
    <t xml:space="preserve">https://discord.com/channels/191975109500731392/1212839710439776287/1288546245672960061</t>
  </si>
  <si>
    <t xml:space="preserve">https://discord.com/channels/191975109500731392/1212839710439776287/1288547123046121483</t>
  </si>
  <si>
    <t xml:space="preserve">https://discord.com/channels/191975109500731392/1212839710439776287/1288560810326757439</t>
  </si>
  <si>
    <t xml:space="preserve">https://discord.com/channels/191975109500731392/1212839710439776287/1288561026769358868</t>
  </si>
  <si>
    <t xml:space="preserve">https://discord.com/channels/191975109500731392/1212839710439776287/1288571888972464209</t>
  </si>
  <si>
    <t xml:space="preserve">https://discord.com/channels/191975109500731392/1212839710439776287/1288573267795382334</t>
  </si>
  <si>
    <t xml:space="preserve">https://discord.com/channels/191975109500731392/1212839710439776287/1288574963170676918</t>
  </si>
  <si>
    <t xml:space="preserve">https://discord.com/channels/191975109500731392/1212839710439776287/1288575004086108273</t>
  </si>
  <si>
    <t xml:space="preserve">https://discord.com/channels/191975109500731392/1212839710439776287/1288596600649678858</t>
  </si>
  <si>
    <t xml:space="preserve">https://discord.com/channels/191975109500731392/1212839710439776287/1288602417843146821</t>
  </si>
  <si>
    <t xml:space="preserve">https://discord.com/channels/191975109500731392/1212839710439776287/1288602480032223286</t>
  </si>
  <si>
    <t xml:space="preserve">https://discord.com/channels/191975109500731392/1212839710439776287/1288605418951540908</t>
  </si>
  <si>
    <t xml:space="preserve">https://discord.com/channels/191975109500731392/1212839710439776287/1288621162783313991</t>
  </si>
  <si>
    <t xml:space="preserve">https://discord.com/channels/191975109500731392/1212839710439776287/1288862077666070588</t>
  </si>
  <si>
    <t xml:space="preserve">https://discord.com/channels/191975109500731392/1212839710439776287/1288862838940499968</t>
  </si>
  <si>
    <t xml:space="preserve">https://discord.com/channels/191975109500731392/1212839710439776287/1289222688744931402</t>
  </si>
  <si>
    <t xml:space="preserve">https://discord.com/channels/191975109500731392/1212839710439776287/1289268925586214913</t>
  </si>
  <si>
    <t xml:space="preserve">https://discord.com/channels/191975109500731392/1212839710439776287/1289270523481686048</t>
  </si>
  <si>
    <t xml:space="preserve">https://discord.com/channels/191975109500731392/1212839710439776287/1289270611599954031</t>
  </si>
  <si>
    <t xml:space="preserve">https://discord.com/channels/191975109500731392/1212839710439776287/1289270651529597049</t>
  </si>
  <si>
    <t xml:space="preserve">https://discord.com/channels/191975109500731392/1212839710439776287/1289271820272533546</t>
  </si>
  <si>
    <t xml:space="preserve">https://discord.com/channels/191975109500731392/1212839710439776287/1289272404878688326</t>
  </si>
  <si>
    <t xml:space="preserve">https://discord.com/channels/191975109500731392/1212839710439776287/1289272434742267979</t>
  </si>
  <si>
    <t xml:space="preserve">https://discord.com/channels/191975109500731392/1212839710439776287/1289272484444635147</t>
  </si>
  <si>
    <t xml:space="preserve">https://discord.com/channels/191975109500731392/1212839710439776287/1289282085479124993</t>
  </si>
  <si>
    <t xml:space="preserve">https://discord.com/channels/191975109500731392/1212839710439776287/1289282751769612438</t>
  </si>
  <si>
    <t xml:space="preserve">https://discord.com/channels/191975109500731392/1212839710439776287/1289282855163396096</t>
  </si>
  <si>
    <t xml:space="preserve">https://discord.com/channels/191975109500731392/1212839710439776287/1289283155701792879</t>
  </si>
  <si>
    <t xml:space="preserve">https://discord.com/channels/191975109500731392/1212839710439776287/1289283198223646792</t>
  </si>
  <si>
    <t xml:space="preserve">https://discord.com/channels/191975109500731392/1212839710439776287/1289990173660151848</t>
  </si>
  <si>
    <t xml:space="preserve">https://discord.com/channels/191975109500731392/1212839710439776287/1289995602708529404</t>
  </si>
  <si>
    <t xml:space="preserve">https://discord.com/channels/191975109500731392/1212839710439776287/1290035083327311904</t>
  </si>
  <si>
    <t xml:space="preserve">https://discord.com/channels/191975109500731392/1212839710439776287/1290035808983842826</t>
  </si>
  <si>
    <t xml:space="preserve">https://discord.com/channels/191975109500731392/1212839710439776287/1290036062353096724</t>
  </si>
  <si>
    <t xml:space="preserve">https://discord.com/channels/191975109500731392/1212839710439776287/1290036073963196496</t>
  </si>
  <si>
    <t xml:space="preserve">https://discord.com/channels/191975109500731392/1212839710439776287/1290036600893345867</t>
  </si>
  <si>
    <t xml:space="preserve">https://discord.com/channels/191975109500731392/1212839710439776287/1290036072390201396</t>
  </si>
  <si>
    <t xml:space="preserve">https://discord.com/channels/191975109500731392/1212839710439776287/1290282146430193727</t>
  </si>
  <si>
    <t xml:space="preserve">https://discord.com/channels/191975109500731392/1212839710439776287/1290295026290655242</t>
  </si>
  <si>
    <t xml:space="preserve">https://discord.com/channels/191975109500731392/1212839710439776287/1290309295099084800</t>
  </si>
  <si>
    <t xml:space="preserve">https://discord.com/channels/191975109500731392/1212839710439776287/1290355180528734351</t>
  </si>
  <si>
    <t xml:space="preserve">https://discord.com/channels/191975109500731392/1212839710439776287/1290368245190365195</t>
  </si>
  <si>
    <t xml:space="preserve">https://discord.com/channels/191975109500731392/1212839710439776287/1290368541480194058</t>
  </si>
  <si>
    <t xml:space="preserve">https://discord.com/channels/191975109500731392/1212839710439776287/1290369298052812913</t>
  </si>
  <si>
    <t xml:space="preserve">https://discord.com/channels/191975109500731392/1212839710439776287/1290407101528674379</t>
  </si>
  <si>
    <t xml:space="preserve">https://discord.com/channels/191975109500731392/1212839710439776287/1290407117886586921</t>
  </si>
  <si>
    <t xml:space="preserve">https://discord.com/channels/191975109500731392/1212839710439776287/1290421491527188591</t>
  </si>
  <si>
    <t xml:space="preserve">https://discord.com/channels/191975109500731392/1212839710439776287/1290421550704496732</t>
  </si>
  <si>
    <t xml:space="preserve">https://discord.com/channels/191975109500731392/1212839710439776287/1290422233399033958</t>
  </si>
  <si>
    <t xml:space="preserve">https://discord.com/channels/191975109500731392/1212839710439776287/1290422307944271913</t>
  </si>
  <si>
    <t xml:space="preserve">https://discord.com/channels/191975109500731392/1212839710439776287/1290766441573781515</t>
  </si>
  <si>
    <t xml:space="preserve">https://discord.com/channels/191975109500731392/1212839710439776287/1290766483265163376</t>
  </si>
  <si>
    <t xml:space="preserve">https://discord.com/channels/191975109500731392/1212839710439776287/1290796428410617856</t>
  </si>
  <si>
    <t xml:space="preserve">https://discord.com/channels/191975109500731392/1212839710439776287/1290823145518796831</t>
  </si>
  <si>
    <t xml:space="preserve">https://discord.com/channels/191975109500731392/1212839710439776287/1291056190020653149</t>
  </si>
  <si>
    <t xml:space="preserve">https://discord.com/channels/191975109500731392/1212839710439776287/1291104039890587810</t>
  </si>
  <si>
    <t xml:space="preserve">https://discord.com/channels/191975109500731392/1212839710439776287/1291104434092249181</t>
  </si>
  <si>
    <t xml:space="preserve">https://discord.com/channels/191975109500731392/1212839710439776287/1291104867829547080</t>
  </si>
  <si>
    <t xml:space="preserve">https://discord.com/channels/191975109500731392/1212839710439776287/1291403288717037750</t>
  </si>
  <si>
    <t xml:space="preserve">https://discord.com/channels/191975109500731392/1212839710439776287/1291403367779930264</t>
  </si>
  <si>
    <t xml:space="preserve">https://discord.com/channels/191975109500731392/1212839710439776287/1291479137151746048</t>
  </si>
  <si>
    <t xml:space="preserve">https://discord.com/channels/191975109500731392/1212839710439776287/1291479190889037834</t>
  </si>
  <si>
    <t xml:space="preserve">https://discord.com/channels/191975109500731392/1212839710439776287/1292216183675949087</t>
  </si>
  <si>
    <t xml:space="preserve">https://discord.com/channels/191975109500731392/1212839710439776287/1292629502060527647</t>
  </si>
  <si>
    <t xml:space="preserve">https://discord.com/channels/191975109500731392/1212839710439776287/1292862096991850587</t>
  </si>
  <si>
    <t xml:space="preserve">https://discord.com/channels/191975109500731392/1212839710439776287/1292863629892386839</t>
  </si>
  <si>
    <t xml:space="preserve">https://discord.com/channels/191975109500731392/1212839710439776287/1292905307764428903</t>
  </si>
  <si>
    <t xml:space="preserve">https://discord.com/channels/191975109500731392/1212839710439776287/1292907229623746630</t>
  </si>
  <si>
    <t xml:space="preserve">https://discord.com/channels/191975109500731392/1212839710439776287/1292907231674630336</t>
  </si>
  <si>
    <t xml:space="preserve">https://discord.com/channels/191975109500731392/1212839710439776287/1292908176769028169</t>
  </si>
  <si>
    <t xml:space="preserve">https://discord.com/channels/191975109500731392/1212839710439776287/1292908236889919499</t>
  </si>
  <si>
    <t xml:space="preserve">https://discord.com/channels/191975109500731392/1212839710439776287/1292960282154369177</t>
  </si>
  <si>
    <t xml:space="preserve">https://discord.com/channels/191975109500731392/1212839710439776287/1292964878822150155</t>
  </si>
  <si>
    <t xml:space="preserve">https://discord.com/channels/191975109500731392/1212839710439776287/1292964943087403089</t>
  </si>
  <si>
    <t xml:space="preserve">https://discord.com/channels/191975109500731392/1212839710439776287/1293223030633402481</t>
  </si>
  <si>
    <t xml:space="preserve">https://discord.com/channels/191975109500731392/1212839710439776287/1293223601461395517</t>
  </si>
  <si>
    <t xml:space="preserve">https://discord.com/channels/191975109500731392/1212839710439776287/1293239912711061608</t>
  </si>
  <si>
    <t xml:space="preserve">https://discord.com/channels/191975109500731392/1212839710439776287/1293240048128360532</t>
  </si>
  <si>
    <t xml:space="preserve">https://discord.com/channels/191975109500731392/1212839710439776287/1293242945192857680</t>
  </si>
  <si>
    <t xml:space="preserve">https://discord.com/channels/191975109500731392/1212839710439776287/1293242188385222737</t>
  </si>
  <si>
    <t xml:space="preserve">https://discord.com/channels/191975109500731392/1212839710439776287/1293242272921423930</t>
  </si>
  <si>
    <t xml:space="preserve">https://discord.com/channels/191975109500731392/1212839710439776287/1293246868729499678</t>
  </si>
  <si>
    <t xml:space="preserve">https://discord.com/channels/191975109500731392/1212839710439776287/1293281359023833190</t>
  </si>
  <si>
    <t xml:space="preserve">https://discord.com/channels/191975109500731392/1212839710439776287/1293287518246141952</t>
  </si>
  <si>
    <t xml:space="preserve">https://discord.com/channels/191975109500731392/1212839710439776287/1293335485502062633</t>
  </si>
  <si>
    <t xml:space="preserve">https://discord.com/channels/191975109500731392/1212839710439776287/1293344194219343883</t>
  </si>
  <si>
    <t xml:space="preserve">https://discord.com/channels/191975109500731392/1212839710439776287/1293344225563246674</t>
  </si>
  <si>
    <t xml:space="preserve">https://discord.com/channels/191975109500731392/1212839710439776287/1293571461700911134</t>
  </si>
  <si>
    <t xml:space="preserve">https://discord.com/channels/191975109500731392/1212839710439776287/1293571750994640988</t>
  </si>
  <si>
    <t xml:space="preserve">https://discord.com/channels/191975109500731392/1212839710439776287/1293572307817730049</t>
  </si>
  <si>
    <t xml:space="preserve">https://discord.com/channels/191975109500731392/1212839710439776287/1293574196030607361</t>
  </si>
  <si>
    <t xml:space="preserve">https://discord.com/channels/191975109500731392/1212839710439776287/1293587461108400208</t>
  </si>
  <si>
    <t xml:space="preserve">https://discord.com/channels/191975109500731392/1212839710439776287/1293587778986311680</t>
  </si>
  <si>
    <t xml:space="preserve">https://discord.com/channels/191975109500731392/1212839710439776287/1293588092770320444</t>
  </si>
  <si>
    <t xml:space="preserve">https://discord.com/channels/191975109500731392/1212839710439776287/1293592520101724160</t>
  </si>
  <si>
    <t xml:space="preserve">https://discord.com/channels/191975109500731392/1212839710439776287/1293629213999370290</t>
  </si>
  <si>
    <t xml:space="preserve">https://discord.com/channels/191975109500731392/1212839710439776287/1293630132866650132</t>
  </si>
  <si>
    <t xml:space="preserve">https://discord.com/channels/191975109500731392/1212839710439776287/1293630192459317292</t>
  </si>
  <si>
    <t xml:space="preserve">https://discord.com/channels/191975109500731392/1212839710439776287/1293632751089614899</t>
  </si>
  <si>
    <t xml:space="preserve">https://discord.com/channels/191975109500731392/1212839710439776287/1293647114810818602</t>
  </si>
  <si>
    <t xml:space="preserve">https://discord.com/channels/191975109500731392/1212839710439776287/1293674670872068137</t>
  </si>
  <si>
    <t xml:space="preserve">https://discord.com/channels/191975109500731392/1212839710439776287/1293947512327110737</t>
  </si>
  <si>
    <t xml:space="preserve">https://discord.com/channels/191975109500731392/1212839710439776287/1293947593843408916</t>
  </si>
  <si>
    <t xml:space="preserve">https://discord.com/channels/191975109500731392/1212839710439776287/1293950802251218999</t>
  </si>
  <si>
    <t xml:space="preserve">https://discord.com/channels/191975109500731392/1212839710439776287/1293950834337382483</t>
  </si>
  <si>
    <t xml:space="preserve">https://discord.com/channels/191975109500731392/1212839710439776287/1293969830248054915</t>
  </si>
  <si>
    <t xml:space="preserve">https://discord.com/channels/191975109500731392/1212839710439776287/1293970020954538057</t>
  </si>
  <si>
    <t xml:space="preserve">https://discord.com/channels/191975109500731392/1212839710439776287/1293975246247821485</t>
  </si>
  <si>
    <t xml:space="preserve">https://discord.com/channels/191975109500731392/1212839710439776287/1294034281542193172</t>
  </si>
  <si>
    <t xml:space="preserve">https://discord.com/channels/191975109500731392/1212839710439776287/1294034560782303283</t>
  </si>
  <si>
    <t xml:space="preserve">https://discord.com/channels/191975109500731392/1212839710439776287/1294076228604788736</t>
  </si>
  <si>
    <t xml:space="preserve">https://discord.com/channels/191975109500731392/1212839710439776287/1294087546548129916</t>
  </si>
  <si>
    <t xml:space="preserve">https://discord.com/channels/191975109500731392/1212839710439776287/1294090531680292975</t>
  </si>
  <si>
    <t xml:space="preserve">https://discord.com/channels/191975109500731392/1212839710439776287/1294312572740309043</t>
  </si>
  <si>
    <t xml:space="preserve">https://discord.com/channels/191975109500731392/1212839710439776287/1295850423638298744</t>
  </si>
  <si>
    <t xml:space="preserve">https://discord.com/channels/191975109500731392/1212839710439776287/1295850440369639586</t>
  </si>
  <si>
    <t xml:space="preserve">https://discord.com/channels/191975109500731392/1212839710439776287/1296094171144261705</t>
  </si>
  <si>
    <t xml:space="preserve">https://discord.com/channels/191975109500731392/1212839710439776287/1296095040355045440</t>
  </si>
  <si>
    <t xml:space="preserve">https://discord.com/channels/191975109500731392/1212839710439776287/1296125989914415135</t>
  </si>
  <si>
    <t xml:space="preserve">https://discord.com/channels/191975109500731392/1212839710439776287/1296127938869330006</t>
  </si>
  <si>
    <t xml:space="preserve">https://discord.com/channels/191975109500731392/1212839710439776287/1296140023258939493</t>
  </si>
  <si>
    <t xml:space="preserve">https://discord.com/channels/191975109500731392/1212839710439776287/1296140183669833859</t>
  </si>
  <si>
    <t xml:space="preserve">https://discord.com/channels/191975109500731392/1212839710439776287/1296156369560272926</t>
  </si>
  <si>
    <t xml:space="preserve">https://discord.com/channels/191975109500731392/1212839710439776287/1296160171176886312</t>
  </si>
  <si>
    <t xml:space="preserve">https://discord.com/channels/191975109500731392/1212839710439776287/1296167009863864361</t>
  </si>
  <si>
    <t xml:space="preserve">https://discord.com/channels/191975109500731392/1212839710439776287/1296167392430264371</t>
  </si>
  <si>
    <t xml:space="preserve">https://discord.com/channels/191975109500731392/1212839710439776287/1296168389907189800</t>
  </si>
  <si>
    <t xml:space="preserve">https://discord.com/channels/191975109500731392/1212839710439776287/1296170409355378700</t>
  </si>
  <si>
    <t xml:space="preserve">https://discord.com/channels/191975109500731392/1212839710439776287/1296170424664850453</t>
  </si>
  <si>
    <t xml:space="preserve">https://discord.com/channels/191975109500731392/1212839710439776287/1296184927087497298</t>
  </si>
  <si>
    <t xml:space="preserve">https://discord.com/channels/191975109500731392/1212839710439776287/1296243249723478079</t>
  </si>
  <si>
    <t xml:space="preserve">https://discord.com/channels/191975109500731392/1212839710439776287/1296244472010506311</t>
  </si>
  <si>
    <t xml:space="preserve">https://discord.com/channels/191975109500731392/1212839710439776287/1296261583072133141</t>
  </si>
  <si>
    <t xml:space="preserve">https://discord.com/channels/191975109500731392/1212839710439776287/1296261764849205280</t>
  </si>
  <si>
    <t xml:space="preserve">https://discord.com/channels/191975109500731392/1212839710439776287/1296534062344962069</t>
  </si>
  <si>
    <t xml:space="preserve">https://discord.com/channels/191975109500731392/1212839710439776287/1296534064710549678</t>
  </si>
  <si>
    <t xml:space="preserve">https://discord.com/channels/191975109500731392/1212839710439776287/1296550122045440091</t>
  </si>
  <si>
    <t xml:space="preserve">https://discord.com/channels/191975109500731392/1212839710439776287/1296586115175678013</t>
  </si>
  <si>
    <t xml:space="preserve">https://discord.com/channels/191975109500731392/1212839710439776287/1296595829418627104</t>
  </si>
  <si>
    <t xml:space="preserve">https://discord.com/channels/191975109500731392/1212839710439776287/1296812737988657243</t>
  </si>
  <si>
    <t xml:space="preserve">https://discord.com/channels/191975109500731392/1212839710439776287/1296813341725167616</t>
  </si>
  <si>
    <t xml:space="preserve">https://discord.com/channels/191975109500731392/1212839710439776287/1296818769628495996</t>
  </si>
  <si>
    <t xml:space="preserve">https://discord.com/channels/191975109500731392/1212839710439776287/1296818864356593738</t>
  </si>
  <si>
    <t xml:space="preserve">https://discord.com/channels/191975109500731392/1212839710439776287/1296892654545535069</t>
  </si>
  <si>
    <t xml:space="preserve">https://discord.com/channels/191975109500731392/1212839710439776287/1296897823375229111</t>
  </si>
  <si>
    <t xml:space="preserve">https://discord.com/channels/191975109500731392/1212839710439776287/1296920448038211675</t>
  </si>
  <si>
    <t xml:space="preserve">https://discord.com/channels/191975109500731392/1212839710439776287/1296968677052125234</t>
  </si>
  <si>
    <t xml:space="preserve">https://discord.com/channels/191975109500731392/1212839710439776287/1297978585549897780</t>
  </si>
  <si>
    <t xml:space="preserve">https://discord.com/channels/191975109500731392/1212839710439776287/1297981299432230923</t>
  </si>
  <si>
    <t xml:space="preserve">https://discord.com/channels/191975109500731392/1212839710439776287/1297981327802634344</t>
  </si>
  <si>
    <t xml:space="preserve">https://discord.com/channels/191975109500731392/1212839710439776287/1298313410978644029</t>
  </si>
  <si>
    <t xml:space="preserve">https://discord.com/channels/191975109500731392/1212839710439776287/1298313615656484875</t>
  </si>
  <si>
    <t xml:space="preserve">https://discord.com/channels/191975109500731392/1212839710439776287/1298319294949621828</t>
  </si>
  <si>
    <t xml:space="preserve">https://discord.com/channels/191975109500731392/1212839710439776287/1298342818225455194</t>
  </si>
  <si>
    <t xml:space="preserve">https://discord.com/channels/191975109500731392/1212839710439776287/1298387666299129907</t>
  </si>
  <si>
    <t xml:space="preserve">https://discord.com/channels/191975109500731392/1212839710439776287/1298390473110454346</t>
  </si>
  <si>
    <t xml:space="preserve">https://discord.com/channels/191975109500731392/1212839710439776287/1298440005529768017</t>
  </si>
  <si>
    <t xml:space="preserve">https://discord.com/channels/191975109500731392/1212839710439776287/1298441855142199297</t>
  </si>
  <si>
    <t xml:space="preserve">https://discord.com/channels/191975109500731392/1212839710439776287/1298442470732071040</t>
  </si>
  <si>
    <t xml:space="preserve">https://discord.com/channels/191975109500731392/1212839710439776287/1298662491810828351</t>
  </si>
  <si>
    <t xml:space="preserve">https://discord.com/channels/191975109500731392/1212839710439776287/1298662528141758545</t>
  </si>
  <si>
    <t xml:space="preserve">https://discord.com/channels/191975109500731392/1212839710439776287/1298692339421810709</t>
  </si>
  <si>
    <t xml:space="preserve">https://discord.com/channels/191975109500731392/1212839710439776287/1298692382308565053</t>
  </si>
  <si>
    <t xml:space="preserve">https://discord.com/channels/191975109500731392/1212839710439776287/1298692840171245670</t>
  </si>
  <si>
    <t xml:space="preserve">https://discord.com/channels/191975109500731392/1212839710439776287/1298696788643020852</t>
  </si>
  <si>
    <t xml:space="preserve">https://discord.com/channels/191975109500731392/1212839710439776287/1298705969605378179</t>
  </si>
  <si>
    <t xml:space="preserve">https://discord.com/channels/191975109500731392/1212839710439776287/1298739083710955621</t>
  </si>
  <si>
    <t xml:space="preserve">https://discord.com/channels/191975109500731392/1212839710439776287/1298770779873480706</t>
  </si>
  <si>
    <t xml:space="preserve">https://discord.com/channels/191975109500731392/1212839710439776287/1298770822315511890</t>
  </si>
  <si>
    <t xml:space="preserve">https://discord.com/channels/191975109500731392/1212839710439776287/1299019317358235690</t>
  </si>
  <si>
    <t xml:space="preserve">https://discord.com/channels/191975109500731392/1212839710439776287/1299045270968864839</t>
  </si>
  <si>
    <t xml:space="preserve">https://discord.com/channels/191975109500731392/1212839710439776287/1299045436115517471</t>
  </si>
  <si>
    <t xml:space="preserve">https://discord.com/channels/191975109500731392/1212839710439776287/1299045445888114763</t>
  </si>
  <si>
    <t xml:space="preserve">https://discord.com/channels/191975109500731392/1212839710439776287/1299046691739013120</t>
  </si>
  <si>
    <t xml:space="preserve">https://discord.com/channels/191975109500731392/1212839710439776287/1299052846703972396</t>
  </si>
  <si>
    <t xml:space="preserve">https://discord.com/channels/191975109500731392/1212839710439776287/1299052890467602575</t>
  </si>
  <si>
    <t xml:space="preserve">https://discord.com/channels/191975109500731392/1212839710439776287/1299113290332639245</t>
  </si>
  <si>
    <t xml:space="preserve">https://discord.com/channels/191975109500731392/1212839710439776287/1299113654519861259</t>
  </si>
  <si>
    <t xml:space="preserve">https://discord.com/channels/191975109500731392/1212839710439776287/1299129713008054345</t>
  </si>
  <si>
    <t xml:space="preserve">https://discord.com/channels/191975109500731392/1212839710439776287/1299137160464564245</t>
  </si>
  <si>
    <t xml:space="preserve">https://discord.com/channels/191975109500731392/1212839710439776287/1299137517307691068</t>
  </si>
  <si>
    <t xml:space="preserve">https://discord.com/channels/191975109500731392/1212839710439776287/1299155094134198342</t>
  </si>
  <si>
    <t xml:space="preserve">https://discord.com/channels/191975109500731392/1212839710439776287/1299385909531246673</t>
  </si>
  <si>
    <t xml:space="preserve">https://discord.com/channels/191975109500731392/1212839710439776287/1299385959946780793</t>
  </si>
  <si>
    <t xml:space="preserve">https://discord.com/channels/191975109500731392/1212839710439776287/1299386030197178398</t>
  </si>
  <si>
    <t xml:space="preserve">https://discord.com/channels/191975109500731392/1212839710439776287/1299386498159869992</t>
  </si>
  <si>
    <t xml:space="preserve">https://discord.com/channels/191975109500731392/1212839710439776287/1299544397939212330</t>
  </si>
  <si>
    <t xml:space="preserve">https://discord.com/channels/191975109500731392/1212839710439776287/1299544439684988950</t>
  </si>
  <si>
    <t xml:space="preserve">https://discord.com/channels/191975109500731392/1212839710439776287/1299819106643738646</t>
  </si>
  <si>
    <t xml:space="preserve">https://discord.com/channels/191975109500731392/1212839710439776287/1300458488551575643</t>
  </si>
  <si>
    <t xml:space="preserve">https://discord.com/channels/191975109500731392/1212839710439776287/1300459031445504021</t>
  </si>
  <si>
    <t xml:space="preserve">https://discord.com/channels/191975109500731392/1212839710439776287/1300459137607532564</t>
  </si>
  <si>
    <t xml:space="preserve">https://discord.com/channels/191975109500731392/1212839710439776287/1300459176786657331</t>
  </si>
  <si>
    <t xml:space="preserve">https://discord.com/channels/191975109500731392/1212839710439776287/1300473966758199347</t>
  </si>
  <si>
    <t xml:space="preserve">https://discord.com/channels/191975109500731392/1212839710439776287/1300473990548291696</t>
  </si>
  <si>
    <t xml:space="preserve">https://discord.com/channels/191975109500731392/1212839710439776287/1300507902179807436</t>
  </si>
  <si>
    <t xml:space="preserve">https://discord.com/channels/191975109500731392/1212839710439776287/1300516195090567219</t>
  </si>
  <si>
    <t xml:space="preserve">https://discord.com/channels/191975109500731392/1212839710439776287/1300834232586866688</t>
  </si>
  <si>
    <t xml:space="preserve">https://discord.com/channels/191975109500731392/1212839710439776287/1300867076054843522</t>
  </si>
  <si>
    <t xml:space="preserve">https://discord.com/channels/191975109500731392/1212839710439776287/1300882387923632219</t>
  </si>
  <si>
    <t xml:space="preserve">https://discord.com/channels/191975109500731392/1212839710439776287/1300896180347342848</t>
  </si>
  <si>
    <t xml:space="preserve">https://discord.com/channels/191975109500731392/1212839710439776287/1300896193584431184</t>
  </si>
  <si>
    <t xml:space="preserve">https://discord.com/channels/191975109500731392/1212839710439776287/1300896365609484341</t>
  </si>
  <si>
    <t xml:space="preserve">https://discord.com/channels/191975109500731392/1212839710439776287/1300896378377076836</t>
  </si>
  <si>
    <t xml:space="preserve">https://discord.com/channels/191975109500731392/1212839710439776287/1300931014926798918</t>
  </si>
  <si>
    <t xml:space="preserve">https://discord.com/channels/191975109500731392/1212839710439776287/1300931385921503415</t>
  </si>
  <si>
    <t xml:space="preserve">https://discord.com/channels/191975109500731392/1212839710439776287/1300931427948564501</t>
  </si>
  <si>
    <t xml:space="preserve">https://discord.com/channels/191975109500731392/1212839710439776287/1300931638296969337</t>
  </si>
  <si>
    <t xml:space="preserve">https://discord.com/channels/191975109500731392/1212839710439776287/1300950301284765736</t>
  </si>
  <si>
    <t xml:space="preserve">https://discord.com/channels/191975109500731392/1212839710439776287/1300958985662238840</t>
  </si>
  <si>
    <t xml:space="preserve">https://discord.com/channels/191975109500731392/1212839710439776287/1300969829297160324</t>
  </si>
  <si>
    <t xml:space="preserve">https://discord.com/channels/191975109500731392/1212839710439776287/1301167966271836162</t>
  </si>
  <si>
    <t xml:space="preserve">https://discord.com/channels/191975109500731392/1212839710439776287/1301167991135670354</t>
  </si>
  <si>
    <t xml:space="preserve">https://discord.com/channels/191975109500731392/1212839710439776287/1301181076215042089</t>
  </si>
  <si>
    <t xml:space="preserve">https://discord.com/channels/191975109500731392/1212839710439776287/1301201046399619202</t>
  </si>
  <si>
    <t xml:space="preserve">https://discord.com/channels/191975109500731392/1212839710439776287/1301201233666900021</t>
  </si>
  <si>
    <t xml:space="preserve">https://discord.com/channels/191975109500731392/1212839710439776287/1301201564626714704</t>
  </si>
  <si>
    <t xml:space="preserve">https://discord.com/channels/191975109500731392/1212839710439776287/1301201599846154261</t>
  </si>
  <si>
    <t xml:space="preserve">https://discord.com/channels/191975109500731392/1212839710439776287/1301231657218474105</t>
  </si>
  <si>
    <t xml:space="preserve">https://discord.com/channels/191975109500731392/1212839710439776287/1301241300988989510</t>
  </si>
  <si>
    <t xml:space="preserve">https://discord.com/channels/191975109500731392/1212839710439776287/1301241323596025986</t>
  </si>
  <si>
    <t xml:space="preserve">https://discord.com/channels/191975109500731392/1212839710439776287/1301259164135325697</t>
  </si>
  <si>
    <t xml:space="preserve">https://discord.com/channels/191975109500731392/1212839710439776287/1301264507984941182</t>
  </si>
  <si>
    <t xml:space="preserve">https://discord.com/channels/191975109500731392/1212839710439776287/1301290268015984680</t>
  </si>
  <si>
    <t xml:space="preserve">https://discord.com/channels/191975109500731392/1212839710439776287/1301321427055808643</t>
  </si>
  <si>
    <t xml:space="preserve">https://discord.com/channels/191975109500731392/1212839710439776287/1301532860066431078</t>
  </si>
  <si>
    <t xml:space="preserve">https://discord.com/channels/191975109500731392/1212839710439776287/1301582622199123978</t>
  </si>
  <si>
    <t xml:space="preserve">https://discord.com/channels/191975109500731392/1212839710439776287/1301582656395542560</t>
  </si>
  <si>
    <t xml:space="preserve">https://discord.com/channels/191975109500731392/1212839710439776287/1301625862650859530</t>
  </si>
  <si>
    <t xml:space="preserve">https://discord.com/channels/191975109500731392/1212839710439776287/1301626006012039340</t>
  </si>
  <si>
    <t xml:space="preserve">https://discord.com/channels/191975109500731392/1212839710439776287/1301627568478359602</t>
  </si>
  <si>
    <t xml:space="preserve">https://discord.com/channels/191975109500731392/1212839710439776287/1301627851375644714</t>
  </si>
  <si>
    <t xml:space="preserve">https://discord.com/channels/191975109500731392/1212839710439776287/1301630013728096387</t>
  </si>
  <si>
    <t xml:space="preserve">https://discord.com/channels/191975109500731392/1212839710439776287/1301646003325374485</t>
  </si>
  <si>
    <t xml:space="preserve">https://discord.com/channels/191975109500731392/1212839710439776287/1301742297393664012</t>
  </si>
  <si>
    <t xml:space="preserve">https://discord.com/channels/191975109500731392/1212839710439776287/1301742331631763488</t>
  </si>
  <si>
    <t xml:space="preserve">https://discord.com/channels/191975109500731392/1212839710439776287/1301919686220316757</t>
  </si>
  <si>
    <t xml:space="preserve">https://discord.com/channels/191975109500731392/1212839710439776287/1301919699117805673</t>
  </si>
  <si>
    <t xml:space="preserve">https://discord.com/channels/191975109500731392/1212839710439776287/1301969881172021338</t>
  </si>
  <si>
    <t xml:space="preserve">https://discord.com/channels/191975109500731392/1212839710439776287/1302373502787256392</t>
  </si>
  <si>
    <t xml:space="preserve">https://discord.com/channels/191975109500731392/1212839710439776287/1302690184013549669</t>
  </si>
  <si>
    <t xml:space="preserve">https://discord.com/channels/191975109500731392/1212839710439776287/1302698179560472596</t>
  </si>
  <si>
    <t xml:space="preserve">https://discord.com/channels/191975109500731392/1212839710439776287/1302797557172408320</t>
  </si>
  <si>
    <t xml:space="preserve">https://discord.com/channels/191975109500731392/1212839710439776287/1302797773501890652</t>
  </si>
  <si>
    <t xml:space="preserve">https://discord.com/channels/191975109500731392/1212839710439776287/1302843267167162379</t>
  </si>
  <si>
    <t xml:space="preserve">https://discord.com/channels/191975109500731392/1212839710439776287/1303007868261236736</t>
  </si>
  <si>
    <t xml:space="preserve">https://discord.com/channels/191975109500731392/1212839710439776287/1303020809064939580</t>
  </si>
  <si>
    <t xml:space="preserve">https://discord.com/channels/191975109500731392/1212839710439776287/1303031486206840914</t>
  </si>
  <si>
    <t xml:space="preserve">https://discord.com/channels/191975109500731392/1212839710439776287/1303032055533277204</t>
  </si>
  <si>
    <t xml:space="preserve">https://discord.com/channels/191975109500731392/1212839710439776287/1303067172477734993</t>
  </si>
  <si>
    <t xml:space="preserve">https://discord.com/channels/191975109500731392/1212839710439776287/1303105423943143425</t>
  </si>
  <si>
    <t xml:space="preserve">https://discord.com/channels/191975109500731392/1212839710439776287/1303105483858509835</t>
  </si>
  <si>
    <t xml:space="preserve">https://discord.com/channels/191975109500731392/1212839710439776287/1303122021475160114</t>
  </si>
  <si>
    <t xml:space="preserve">https://discord.com/channels/191975109500731392/1212839710439776287/1303122029377097821</t>
  </si>
  <si>
    <t xml:space="preserve">https://discord.com/channels/191975109500731392/1212839710439776287/1303128647032635482</t>
  </si>
  <si>
    <t xml:space="preserve">https://discord.com/channels/191975109500731392/1212839710439776287/1303385540112027780</t>
  </si>
  <si>
    <t xml:space="preserve">https://discord.com/channels/191975109500731392/1212839710439776287/1303410789629296661</t>
  </si>
  <si>
    <t xml:space="preserve">https://discord.com/channels/191975109500731392/1212839710439776287/1303415768654024867</t>
  </si>
  <si>
    <t xml:space="preserve">https://discord.com/channels/191975109500731392/1212839710439776287/1303429920600490044</t>
  </si>
  <si>
    <t xml:space="preserve">https://discord.com/channels/191975109500731392/1212839710439776287/1303430346809020491</t>
  </si>
  <si>
    <t xml:space="preserve">https://discord.com/channels/191975109500731392/1212839710439776287/1303752308647002214</t>
  </si>
  <si>
    <t xml:space="preserve">https://discord.com/channels/191975109500731392/1212839710439776287/1303874643798523916</t>
  </si>
  <si>
    <t xml:space="preserve">https://discord.com/channels/191975109500731392/1212839710439776287/1304247656612364320</t>
  </si>
  <si>
    <t xml:space="preserve">https://discord.com/channels/191975109500731392/1212839710439776287/1304459504380936233</t>
  </si>
  <si>
    <t xml:space="preserve">https://discord.com/channels/191975109500731392/1212839710439776287/1304459592280969246</t>
  </si>
  <si>
    <t xml:space="preserve">https://discord.com/channels/191975109500731392/1212839710439776287/1304534355435061260</t>
  </si>
  <si>
    <t xml:space="preserve">https://discord.com/channels/191975109500731392/1212839710439776287/1304534744494510080</t>
  </si>
  <si>
    <t xml:space="preserve">https://discord.com/channels/191975109500731392/1212839710439776287/1305566241100140545</t>
  </si>
  <si>
    <t xml:space="preserve">https://discord.com/channels/191975109500731392/1212839710439776287/1305629130473214055</t>
  </si>
  <si>
    <t xml:space="preserve">https://discord.com/channels/191975109500731392/1212839710439776287/1305644540702494851</t>
  </si>
  <si>
    <t xml:space="preserve">https://discord.com/channels/191975109500731392/1212839710439776287/1305644637977051196</t>
  </si>
  <si>
    <t xml:space="preserve">https://discord.com/channels/191975109500731392/1212839710439776287/1305916213112606791</t>
  </si>
  <si>
    <t xml:space="preserve">https://discord.com/channels/191975109500731392/1212839710439776287/1305916269425590292</t>
  </si>
  <si>
    <t xml:space="preserve">https://discord.com/channels/191975109500731392/1212839710439776287/1305991430577197189</t>
  </si>
  <si>
    <t xml:space="preserve">https://discord.com/channels/191975109500731392/1212839710439776287/1306269682105585744</t>
  </si>
  <si>
    <t xml:space="preserve">https://discord.com/channels/191975109500731392/1212839710439776287/1306269738594472048</t>
  </si>
  <si>
    <t xml:space="preserve">https://discord.com/channels/191975109500731392/1212839710439776287/1306286895415824486</t>
  </si>
  <si>
    <t xml:space="preserve">https://discord.com/channels/191975109500731392/1212839710439776287/1306291084233674812</t>
  </si>
  <si>
    <t xml:space="preserve">https://discord.com/channels/191975109500731392/1212839710439776287/1306320647663779951</t>
  </si>
  <si>
    <t xml:space="preserve">https://discord.com/channels/191975109500731392/1212839710439776287/1306321532456534077</t>
  </si>
  <si>
    <t xml:space="preserve">https://discord.com/channels/191975109500731392/1212839710439776287/1306322011169099806</t>
  </si>
  <si>
    <t xml:space="preserve">https://discord.com/channels/191975109500731392/1212839710439776287/1306323790631796746</t>
  </si>
  <si>
    <t xml:space="preserve">https://discord.com/channels/191975109500731392/1212839710439776287/1306325863213830194</t>
  </si>
  <si>
    <t xml:space="preserve">https://discord.com/channels/191975109500731392/1212839710439776287/1306347646314876960</t>
  </si>
  <si>
    <t xml:space="preserve">https://discord.com/channels/191975109500731392/1212839710439776287/1306348424131641394</t>
  </si>
  <si>
    <t xml:space="preserve">https://discord.com/channels/191975109500731392/1212839710439776287/1306647744668242045</t>
  </si>
  <si>
    <t xml:space="preserve">https://discord.com/channels/191975109500731392/1212839710439776287/1306647855506657343</t>
  </si>
  <si>
    <t xml:space="preserve">https://discord.com/channels/191975109500731392/1212839710439776287/1307003349559672863</t>
  </si>
  <si>
    <t xml:space="preserve">https://discord.com/channels/191975109500731392/1212839710439776287/1307003512877613138</t>
  </si>
  <si>
    <t xml:space="preserve">https://discord.com/channels/191975109500731392/1212839710439776287/1307012159531913257</t>
  </si>
  <si>
    <t xml:space="preserve">https://discord.com/channels/191975109500731392/1212839710439776287/1307087908112568380</t>
  </si>
  <si>
    <t xml:space="preserve">https://discord.com/channels/191975109500731392/1212839710439776287/1307088382123446464</t>
  </si>
  <si>
    <t xml:space="preserve">https://discord.com/channels/191975109500731392/1212839710439776287/1307405725676601464</t>
  </si>
  <si>
    <t xml:space="preserve">https://discord.com/channels/191975109500731392/1212839710439776287/1307474919642366042</t>
  </si>
  <si>
    <t xml:space="preserve">https://discord.com/channels/191975109500731392/1212839710439776287/1307765604966465546</t>
  </si>
  <si>
    <t xml:space="preserve">https://discord.com/channels/191975109500731392/1212839710439776287/1307768734617833483</t>
  </si>
  <si>
    <t xml:space="preserve">https://discord.com/channels/191975109500731392/1212839710439776287/1307852452627742730</t>
  </si>
  <si>
    <t xml:space="preserve">https://discord.com/channels/191975109500731392/1212839710439776287/1307852883529568306</t>
  </si>
  <si>
    <t xml:space="preserve">https://discord.com/channels/191975109500731392/1212839710439776287/1307853676982833152</t>
  </si>
  <si>
    <t xml:space="preserve">https://discord.com/channels/191975109500731392/1212839710439776287/1308082267284832397</t>
  </si>
  <si>
    <t xml:space="preserve">https://discord.com/channels/191975109500731392/1212839710439776287/1308102933140738151</t>
  </si>
  <si>
    <t xml:space="preserve">https://discord.com/channels/191975109500731392/1212839710439776287/1308113966425182248</t>
  </si>
  <si>
    <t xml:space="preserve">https://discord.com/channels/191975109500731392/1212839710439776287/1308121411226964082</t>
  </si>
  <si>
    <t xml:space="preserve">https://discord.com/channels/191975109500731392/1212839710439776287/1308121535399067651</t>
  </si>
  <si>
    <t xml:space="preserve">https://discord.com/channels/191975109500731392/1212839710439776287/1308124387198763048</t>
  </si>
  <si>
    <t xml:space="preserve">https://discord.com/channels/191975109500731392/1212839710439776287/1308143286195720253</t>
  </si>
  <si>
    <t xml:space="preserve">https://discord.com/channels/191975109500731392/1212839710439776287/1308143316772192276</t>
  </si>
  <si>
    <t xml:space="preserve">https://discord.com/channels/191975109500731392/1212839710439776287/1308504076975345684</t>
  </si>
  <si>
    <t xml:space="preserve">https://discord.com/channels/191975109500731392/1212839710439776287/1308854195683852301</t>
  </si>
  <si>
    <t xml:space="preserve">https://discord.com/channels/191975109500731392/1212839710439776287/1308906961777201264</t>
  </si>
  <si>
    <t xml:space="preserve">https://discord.com/channels/191975109500731392/1212839710439776287/1308944897876689008</t>
  </si>
  <si>
    <t xml:space="preserve">https://discord.com/channels/191975109500731392/1212839710439776287/1309266779520106639</t>
  </si>
  <si>
    <t xml:space="preserve">https://discord.com/channels/191975109500731392/1212839710439776287/1309266850651312210</t>
  </si>
  <si>
    <t xml:space="preserve">https://discord.com/channels/191975109500731392/1212839710439776287/1309286635040669760</t>
  </si>
  <si>
    <t xml:space="preserve">https://discord.com/channels/191975109500731392/1212839710439776287/1309298750392500224</t>
  </si>
  <si>
    <t xml:space="preserve">https://discord.com/channels/191975109500731392/1212839710439776287/1309555847516524585</t>
  </si>
  <si>
    <t xml:space="preserve">https://discord.com/channels/191975109500731392/1212839710439776287/1309556636158787696</t>
  </si>
  <si>
    <t xml:space="preserve">https://discord.com/channels/191975109500731392/1212839710439776287/1309558746346815488</t>
  </si>
  <si>
    <t xml:space="preserve">https://discord.com/channels/191975109500731392/1212839710439776287/1309559081740271716</t>
  </si>
  <si>
    <t xml:space="preserve">https://discord.com/channels/191975109500731392/1212839710439776287/1309578429578088488</t>
  </si>
  <si>
    <t xml:space="preserve">https://discord.com/channels/191975109500731392/1212839710439776287/1309591299304853606</t>
  </si>
  <si>
    <t xml:space="preserve">https://discord.com/channels/191975109500731392/1212839710439776287/1309591449180045332</t>
  </si>
  <si>
    <t xml:space="preserve">https://discord.com/channels/191975109500731392/1212839710439776287/1309632194163118111</t>
  </si>
  <si>
    <t xml:space="preserve">https://discord.com/channels/191975109500731392/1212839710439776287/1310288988925333596</t>
  </si>
  <si>
    <t xml:space="preserve">https://discord.com/channels/191975109500731392/1212839710439776287/1310289007694970911</t>
  </si>
  <si>
    <t xml:space="preserve">https://discord.com/channels/191975109500731392/1212839710439776287/1310383929705894059</t>
  </si>
  <si>
    <t xml:space="preserve">https://discord.com/channels/191975109500731392/1212839710439776287/1310384039307513866</t>
  </si>
  <si>
    <t xml:space="preserve">https://discord.com/channels/191975109500731392/1212839710439776287/1310386669328924743</t>
  </si>
  <si>
    <t xml:space="preserve">https://discord.com/channels/191975109500731392/1212839710439776287/1310386702732361849</t>
  </si>
  <si>
    <t xml:space="preserve">https://discord.com/channels/191975109500731392/1212839710439776287/1310386713373179966</t>
  </si>
  <si>
    <t xml:space="preserve">https://discord.com/channels/191975109500731392/1212839710439776287/1310647810495877181</t>
  </si>
  <si>
    <t xml:space="preserve">https://discord.com/channels/191975109500731392/1212839710439776287/1310755500517888103</t>
  </si>
  <si>
    <t xml:space="preserve">https://discord.com/channels/191975109500731392/1212839710439776287/1311030514810880082</t>
  </si>
  <si>
    <t xml:space="preserve">https://discord.com/channels/191975109500731392/1212839710439776287/1311032210320654397</t>
  </si>
  <si>
    <t xml:space="preserve">https://discord.com/channels/191975109500731392/1212839710439776287/1311060693117698192</t>
  </si>
  <si>
    <t xml:space="preserve">https://discord.com/channels/191975109500731392/1212839710439776287/1311060735585161286</t>
  </si>
  <si>
    <t xml:space="preserve">https://discord.com/channels/191975109500731392/1212839710439776287/1313173452471009412</t>
  </si>
  <si>
    <t xml:space="preserve">https://discord.com/channels/191975109500731392/1212839710439776287/1313233013265666138</t>
  </si>
  <si>
    <t xml:space="preserve">https://discord.com/channels/191975109500731392/1212839710439776287/1313252282225262672</t>
  </si>
  <si>
    <t xml:space="preserve">https://discord.com/channels/191975109500731392/1212839710439776287/1313252325305090159</t>
  </si>
  <si>
    <t xml:space="preserve">https://discord.com/channels/191975109500731392/1212839710439776287/1313257092437512223</t>
  </si>
  <si>
    <t xml:space="preserve">https://discord.com/channels/191975109500731392/1212839710439776287/1313265054287659049</t>
  </si>
  <si>
    <t xml:space="preserve">https://discord.com/channels/191975109500731392/1212839710439776287/1313573221735465011</t>
  </si>
  <si>
    <t xml:space="preserve">https://discord.com/channels/191975109500731392/1212839710439776287/1313573294737461252</t>
  </si>
  <si>
    <t xml:space="preserve">https://discord.com/channels/191975109500731392/1212839710439776287/1313582823126470769</t>
  </si>
  <si>
    <t xml:space="preserve">https://discord.com/channels/191975109500731392/1212839710439776287/1313582996934365185</t>
  </si>
  <si>
    <t xml:space="preserve">https://discord.com/channels/191975109500731392/1212839710439776287/1313651624417431644</t>
  </si>
  <si>
    <t xml:space="preserve">https://discord.com/channels/191975109500731392/1212839710439776287/1313652514222243842</t>
  </si>
  <si>
    <t xml:space="preserve">https://discord.com/channels/191975109500731392/1212839710439776287/1313880232931098706</t>
  </si>
  <si>
    <t xml:space="preserve">https://discord.com/channels/191975109500731392/1212839710439776287/1313888013629132822</t>
  </si>
  <si>
    <t xml:space="preserve">https://discord.com/channels/191975109500731392/1212839710439776287/1313978787951546418</t>
  </si>
  <si>
    <t xml:space="preserve">https://discord.com/channels/191975109500731392/1212839710439776287/1313978885066588271</t>
  </si>
  <si>
    <t xml:space="preserve">https://discord.com/channels/191975109500731392/1212839710439776287/1313979554393751704</t>
  </si>
  <si>
    <t xml:space="preserve">https://discord.com/channels/191975109500731392/1212839710439776287/1313979668109594644</t>
  </si>
  <si>
    <t xml:space="preserve">https://discord.com/channels/191975109500731392/1212839710439776287/1314256983800549419</t>
  </si>
  <si>
    <t xml:space="preserve">https://discord.com/channels/191975109500731392/1212839710439776287/1314257591911583755</t>
  </si>
  <si>
    <t xml:space="preserve">https://discord.com/channels/191975109500731392/1212839710439776287/1314257814335520838</t>
  </si>
  <si>
    <t xml:space="preserve">https://discord.com/channels/191975109500731392/1212839710439776287/1314717323059396648</t>
  </si>
  <si>
    <t xml:space="preserve">https://discord.com/channels/191975109500731392/1212839710439776287/1314764613304193036</t>
  </si>
  <si>
    <t xml:space="preserve">https://discord.com/channels/191975109500731392/1212839710439776287/1314764643943583804</t>
  </si>
  <si>
    <t xml:space="preserve">https://discord.com/channels/191975109500731392/1212839710439776287/1314992864324882665</t>
  </si>
  <si>
    <t xml:space="preserve">https://discord.com/channels/191975109500731392/1212839710439776287/1314993395613302925</t>
  </si>
  <si>
    <t xml:space="preserve">https://discord.com/channels/191975109500731392/1212839710439776287/1315741543428128778</t>
  </si>
  <si>
    <t xml:space="preserve">https://discord.com/channels/191975109500731392/1212839710439776287/1315801234598395984</t>
  </si>
  <si>
    <t xml:space="preserve">https://media.discordapp.net/attachments/1212839710439776287/1277352689910677635/IMG_9684.jpg?ex=66d8b865&amp;is=66d766e5&amp;hm=1f04f119402691c1c7c379953474404873dbc457ad84821a86985cf0d3239f08&amp;=&amp;format=webp&amp;width=657&amp;height=876</t>
  </si>
  <si>
    <t xml:space="preserve">https://media.discordapp.net/attachments/1212839710439776287/1277678736518676593/IMG_9689.jpg?ex=66d8968c&amp;is=66d7450c&amp;hm=a11669997033ca54e9ba2a6fccf0585abccd20628527f4f86b4c6460975c62f1&amp;=&amp;format=webp&amp;width=657&amp;height=876</t>
  </si>
  <si>
    <t xml:space="preserve">https://media.discordapp.net/attachments/1212839710439776287/1278367063504851005/IMG_0812.jpg?ex=66d8749a&amp;is=66d7231a&amp;hm=57547a3819aded153769ffd8af3cf7b760ec145af46b599fc15eb26a2d32abee&amp;=&amp;format=webp&amp;width=657&amp;height=876</t>
  </si>
  <si>
    <t xml:space="preserve">https://media.discordapp.net/attachments/1212839710439776287/1278458508433428555/IMG_9700.jpg?ex=66d8c9c5&amp;is=66d77845&amp;hm=82b333d6203994e5578dd04b08e7110709ebd687029c1d50431459e413a90de4&amp;=&amp;format=webp&amp;width=657&amp;height=876</t>
  </si>
  <si>
    <t xml:space="preserve">https://media.discordapp.net/attachments/1212839710439776287/1278734487240314950/IMG_3593.jpg?ex=66d8794b&amp;is=66d727cb&amp;hm=a40481608cfdca9cf9ec703b972faf3a8984f20beafa8a1aed60ff972219755f&amp;=&amp;format=webp&amp;width=915&amp;height=876</t>
  </si>
  <si>
    <t xml:space="preserve">https://media.discordapp.net/attachments/1212839710439776287/1278753785367494759/IMG_5474.jpg?ex=66d88b44&amp;is=66d739c4&amp;hm=e03b370c9bb8c684a596f4e86f03627281065cb94e2887597bb98b0161e2228d&amp;=&amp;format=webp&amp;width=657&amp;height=876</t>
  </si>
  <si>
    <t xml:space="preserve">https://media.discordapp.net/attachments/1212839710439776287/1278753593067049022/IMG_0819.jpg?ex=66d88b16&amp;is=66d73996&amp;hm=f4fe36faa51759a98e210d23c29870faa342786a30197879f765665efe17152f&amp;=&amp;format=webp&amp;width=657&amp;height=876</t>
  </si>
  <si>
    <t xml:space="preserve">https://media.discordapp.net/attachments/1212839710439776287/1279106776695836714/IMG_0843.jpg?ex=66d88284&amp;is=66d73104&amp;hm=010b512e8223a54b5a1d81d227cc367b6c3fef75279ecae536541c3e65712252&amp;=&amp;format=webp&amp;width=657&amp;height=876</t>
  </si>
  <si>
    <t xml:space="preserve">https://media.discordapp.net/attachments/1212839710439776287/1279107376691150948/IMG_0844.jpg?ex=66d88313&amp;is=66d73193&amp;hm=66e41315e43a774944f74c29dc23dddfe5e09cc7c23ca3ce40f6209b654a0479&amp;=&amp;format=webp&amp;width=1168&amp;height=876</t>
  </si>
  <si>
    <t xml:space="preserve">https://media.discordapp.net/attachments/1212839710439776287/1280577132384358520/IMG_0872.jpg?ex=66d895e4&amp;is=66d74464&amp;hm=1130131adc8d5ba29e822f1ca87db1d7063aebf23c6e12e41ebebfcd9d2c63cb&amp;=&amp;format=webp&amp;width=657&amp;height=876</t>
  </si>
  <si>
    <t xml:space="preserve">https://media.discordapp.net/attachments/1212839710439776287/1280579388139901020/IMG_9966.jpg?ex=66d897fe&amp;is=66d7467e&amp;hm=73c302d02f6ee1de7338c13995ca8d1dde9cab3f88602347cbf4fe213c5c6d17&amp;=&amp;format=webp&amp;width=657&amp;height=876</t>
  </si>
  <si>
    <t xml:space="preserve">https://media.discordapp.net/attachments/1212839710439776287/1280605895658831975/IMG_9752.jpg?ex=66d8b0ae&amp;is=66d75f2e&amp;hm=d94495abcb20d45a16577c43eae7d0f324a051516c3569c38e775301f8fab5f2&amp;=&amp;format=webp&amp;width=657&amp;height=876</t>
  </si>
  <si>
    <t xml:space="preserve">https://media.discordapp.net/attachments/1212839710439776287/1280605974172008592/IMG_6209.jpg?ex=66d8b0c0&amp;is=66d75f40&amp;hm=48bd9fde8e4c7c1c64acdec60431c7a7e545a04bb07f6dced21315e9b629e4cb&amp;=&amp;format=webp&amp;width=657&amp;height=876</t>
  </si>
  <si>
    <t xml:space="preserve">https://media.discordapp.net/attachments/1212839710439776287/1280630187544936488/IMG_9753.jpg?ex=66d8c74d&amp;is=66d775cd&amp;hm=90d2b7948f8d2b7a17f0a4cad33d5d8a3d2975dfd6330d612e1605695cb691b2&amp;=&amp;format=webp&amp;width=657&amp;height=876</t>
  </si>
  <si>
    <t xml:space="preserve">https://media.discordapp.net/attachments/1212839710439776287/1280630326091059260/PXL_20240903_204639273.jpg?ex=66d8c76e&amp;is=66d775ee&amp;hm=65a8ae2788e22f89af6a777799657322196b90324a1b781cc1c71abde196f3ef&amp;=&amp;format=webp&amp;width=492&amp;height=874</t>
  </si>
  <si>
    <t xml:space="preserve">https://media.discordapp.net/attachments/1212839710439776287/1280904760328982630/image.jpg?ex=66d9c704&amp;is=66d87584&amp;hm=cba73453ebae8a9e51455943096591d0274c7f4f90193e0bbbc93150b6d3fe3b&amp;=&amp;format=webp&amp;width=657&amp;height=876</t>
  </si>
  <si>
    <t xml:space="preserve">Involvement</t>
  </si>
  <si>
    <t xml:space="preserve">https://media.discordapp.net/attachments/1212839710439776287/1280904799382011994/IMG_0888.jpg?ex=66d9c70e&amp;is=66d8758e&amp;hm=af14c120eff3cd3fd3d7bcdedc4fb4dac0ebd45a4b5f26e2b96cc091f4bf7a46&amp;=&amp;format=webp&amp;width=657&amp;height=876</t>
  </si>
  <si>
    <t xml:space="preserve">https://media.discordapp.net/attachments/1212839710439776287/1280906666250076182/IMG_9755.jpg?ex=66d9c8cb&amp;is=66d8774b&amp;hm=e94195946302b35c2eaead8e00f8cb09510aea8175389518142a979a265556dd&amp;=&amp;format=webp&amp;width=657&amp;height=876</t>
  </si>
  <si>
    <t xml:space="preserve">https://media.discordapp.net/attachments/1212839710439776287/1280916301723865118/IMG_0024.jpg?ex=66d9d1c4&amp;is=66d88044&amp;hm=b75ac0c4a302721e8e3a8ce2eda33b33fc7232283ce9ff9b0fd16a87dd2159c9&amp;=&amp;format=webp&amp;width=657&amp;height=876</t>
  </si>
  <si>
    <t xml:space="preserve">https://media.discordapp.net/attachments/1212839710439776287/1280949676497174639/IMG_0029.jpg?ex=66d9f0d9&amp;is=66d89f59&amp;hm=9536c6c2071867f78706d4a44cc19e60cbbe0145ca9d73d99bad928264e9fbd8&amp;=&amp;format=webp&amp;width=657&amp;height=876</t>
  </si>
  <si>
    <t xml:space="preserve">https://media.discordapp.net/attachments/1212839710439776287/1280949677205880893/IMG_0031.jpg?ex=66d9f0d9&amp;is=66d89f59&amp;hm=95c63ae3123fbba409cf3f1b3a39e042671a7883f86273b1d968360625784a42&amp;=&amp;format=webp&amp;width=657&amp;height=876</t>
  </si>
  <si>
    <t xml:space="preserve">https://media.discordapp.net/attachments/1212839710439776287/1281017660481601622/6011E0D7-56D7-4C16-996D-1C335FB7A821.jpg?ex=66e01eea&amp;is=66decd6a&amp;hm=498f8d5c3c9633d3e8adefdae6800e3e2d5dff02d55f615022603c1567f25c98&amp;=&amp;format=webp&amp;width=657&amp;height=876</t>
  </si>
  <si>
    <t xml:space="preserve">https://media.discordapp.net/attachments/1212839710439776287/1281021962260451339/IMG_9758.jpg?ex=66e022ec&amp;is=66ded16c&amp;hm=83a7b63cf6146f6c88438bf3ac2642b7b5f29a7e5c3fbb847082bb49173c4728&amp;=&amp;format=webp&amp;width=657&amp;height=876</t>
  </si>
  <si>
    <t xml:space="preserve">https://media.discordapp.net/attachments/1212839710439776287/1281273353717551214/IMG_9761.jpg?ex=66e0644c&amp;is=66df12cc&amp;hm=3810ed2172daec7b4e2c440c4a5aa966b61380497260b406c63c1a10f29f3e67&amp;=&amp;format=webp&amp;width=657&amp;height=876</t>
  </si>
  <si>
    <t xml:space="preserve">https://media.discordapp.net/attachments/1212839710439776287/1281288238845399141/PXL_20240905_162109539.jpg?ex=66e07229&amp;is=66df20a9&amp;hm=8470c5ab0bb304c517e2106c13f83ce51bdb512f8ab42580251b97e9160ab88d&amp;=&amp;format=webp&amp;width=492&amp;height=874</t>
  </si>
  <si>
    <t xml:space="preserve">https://media.discordapp.net/attachments/1212839710439776287/1282083076163240027/IMG_6245.jpg?ex=66e00aa9&amp;is=66deb929&amp;hm=d42a28dacaac4c05bf07b794186f748d300585ac2c95495f0911166ab4d84212&amp;=&amp;format=webp&amp;width=657&amp;height=876</t>
  </si>
  <si>
    <t xml:space="preserve">https://media.discordapp.net/attachments/1212839710439776287/1282720914332582031/PXL_20240909_1513352522.jpg?ex=66e06271&amp;is=66df10f1&amp;hm=b2cdb44f4395a96d4ec22a541140c9ce28dcff9e81adca04046511c7b9ee6b36&amp;=&amp;format=webp&amp;width=492&amp;height=874</t>
  </si>
  <si>
    <t xml:space="preserve">https://media.discordapp.net/attachments/1212839710439776287/1282745595345240207/IMG_9781.jpg?ex=66e0796e&amp;is=66df27ee&amp;hm=da964e0128b0e77eb97a447f18ab5f856ca93640a489e27eb8e73a35362471b4&amp;=&amp;format=webp&amp;width=657&amp;height=876</t>
  </si>
  <si>
    <t xml:space="preserve">https://media.discordapp.net/attachments/1212839710439776287/1282747756225630288/image.jpg?ex=66e07b71&amp;is=66df29f1&amp;hm=a0f96c6e96335b4f9dd4ef4c06a359f8d87ecf605692ec41487652c6c43b02f3&amp;=&amp;format=webp&amp;width=657&amp;height=876</t>
  </si>
  <si>
    <t xml:space="preserve">https://media.discordapp.net/attachments/1212839710439776287/1282747813091872940/IMG_0906.jpg?ex=66e07b7e&amp;is=66df29fe&amp;hm=737ee5eb3d8d7b01f28adbf80d3b8a9df356ff9434cc8946f46a379b12b2d942&amp;=&amp;format=webp&amp;width=657&amp;height=876</t>
  </si>
  <si>
    <t xml:space="preserve">https://media.discordapp.net/attachments/1212839710439776287/1282754419263406183/IMG_0907.jpg?ex=66e081a5&amp;is=66df3025&amp;hm=a0a27f4c773019c06cc5ab5e52950030f825b859e7772789925650e143b6d742&amp;=&amp;format=webp&amp;width=657&amp;height=876</t>
  </si>
  <si>
    <t xml:space="preserve">https://media.discordapp.net/attachments/1212839710439776287/1282755803501170879/IMG_0113.jpg?ex=66e082f0&amp;is=66df3170&amp;hm=737ce410b7fc698a1fefd89455bc95977f51bc4e762e62fec4bc68b4b213e69a&amp;=&amp;format=webp&amp;width=657&amp;height=876</t>
  </si>
  <si>
    <t xml:space="preserve">https://media.discordapp.net/attachments/1212839710439776287/1282762630439899228/IMG_0908.jpg?ex=66e47dcb&amp;is=66e32c4b&amp;hm=32bb1b8402c99cffc01a9ef7653a61c4c9c606cee5e840213f50c96e9ee701f1&amp;=&amp;format=webp&amp;width=657&amp;height=876</t>
  </si>
  <si>
    <t xml:space="preserve">https://media.discordapp.net/attachments/1212839710439776287/1283455781148164116/PXL_20240911_155058535.jpg?ex=66e46057&amp;is=66e30ed7&amp;hm=c12f6d3a7fa965997c1b541cad7094438b4e8242923061cb93237db352647687&amp;=&amp;format=webp&amp;width=492&amp;height=874</t>
  </si>
  <si>
    <t xml:space="preserve">https://media.discordapp.net/attachments/1212839710439776287/1283501454258212944/IMG_9785.jpg?ex=66e48ae0&amp;is=66e33960&amp;hm=5e8339fe8485b1cf6dfe92e5cbbb183baa739119fedf006cd8231f0982b0c370&amp;=&amp;format=webp&amp;width=657&amp;height=876</t>
  </si>
  <si>
    <t xml:space="preserve">https://media.discordapp.net/attachments/1212839710439776287/1283533540964958279/IMG_5655.jpg?ex=66e40003&amp;is=66e2ae83&amp;hm=95cb63f6908820d9dc759eed0fb808a4fe869461a7b5ca615c5ae9364fd96d1b&amp;=&amp;format=webp&amp;width=657&amp;height=876</t>
  </si>
  <si>
    <t xml:space="preserve">https://media.discordapp.net/attachments/1212839710439776287/1283843454975348737/20240912_133453.jpg?ex=66e477e4&amp;is=66e32664&amp;hm=13384f356856b2409880f16f0181add6cb98a76ab905dd9cb41408f2c2bed0a6&amp;=&amp;format=webp&amp;width=1168&amp;height=876</t>
  </si>
  <si>
    <t xml:space="preserve">https://media.discordapp.net/attachments/1212839710439776287/1283843643538411561/IMG_0920.jpg?ex=66e47811&amp;is=66e32691&amp;hm=882424e9b8565bd98315bed01491f7b281fedfcf70cf99281bd834cf41cd9878&amp;=&amp;format=webp&amp;width=657&amp;height=876</t>
  </si>
  <si>
    <t xml:space="preserve">https://media.discordapp.net/attachments/1212839710439776287/1283849948168847391/IMG_0921.jpg?ex=66e47df0&amp;is=66e32c70&amp;hm=27e1226a7895f63b4242f14df4106adb90ac201eff723823d32441119d155966&amp;=&amp;format=webp&amp;width=657&amp;height=876</t>
  </si>
  <si>
    <t xml:space="preserve">https://media.discordapp.net/attachments/1212839710439776287/1283852063020810250/PXL_20240912_180905725.jpg?ex=66e47fe8&amp;is=66e32e68&amp;hm=9ac3c0083feed6ddf85d299bb5bb457c8988c3790da62d9403d173c148227141&amp;=&amp;format=webp&amp;width=492&amp;height=874</t>
  </si>
  <si>
    <t xml:space="preserve">https://media.discordapp.net/attachments/1212839710439776287/1283872800414892108/IMG_0922.jpg?ex=66e49338&amp;is=66e341b8&amp;hm=90f1579e96845b0ad80d2b76d88a3681b25d295d378e3b5f3f2247c7f0aa55ba&amp;=&amp;format=webp&amp;width=1168&amp;height=876</t>
  </si>
  <si>
    <t xml:space="preserve">https://media.discordapp.net/attachments/1212839710439776287/1283872916475215912/65EB0CCE-33C6-48A6-AE5E-E6DACDD833EF.jpg?ex=66e49354&amp;is=66e341d4&amp;hm=5bae8bdd199e9770d26eac89b84157813bef5ee5af3a0f2d9aed68f15577b522&amp;=&amp;format=webp&amp;width=657&amp;height=876</t>
  </si>
  <si>
    <t xml:space="preserve">https://media.discordapp.net/attachments/1212839710439776287/1284206593042419743/IMG_5671.jpg?ex=66e5ca17&amp;is=66e47897&amp;hm=ee7c1ead33ea9fa6b6fbfb33ee7588c647f14217b54b00179195b531ddf50dd4&amp;=&amp;format=webp&amp;width=657&amp;height=876</t>
  </si>
  <si>
    <t xml:space="preserve">https://media.discordapp.net/attachments/1212839710439776287/1284206473274069073/20240913_133733.jpg?ex=66e5c9fa&amp;is=66e4787a&amp;hm=e34ca0a1a2ca5462fb5519f08ac1ede1271d39c37c6447530dae553098ad3526&amp;=&amp;format=webp&amp;width=657&amp;height=876</t>
  </si>
  <si>
    <t xml:space="preserve">https://media.discordapp.net/attachments/1212839710439776287/1284208928892125194/IMG_0927.jpg?ex=66e5cc44&amp;is=66e47ac4&amp;hm=6f87c1bc770c0ada4da7320aad068279bcc24330dd0e774325a20c4bd87fa4bf&amp;=&amp;format=webp&amp;width=394&amp;height=525</t>
  </si>
  <si>
    <t xml:space="preserve">https://media.discordapp.net/attachments/1212839710439776287/1284209185575276574/F47ECE56-F318-4BFF-B7EE-F580DE7EC85B.jpg?ex=66e5cc81&amp;is=66e47b01&amp;hm=f34f017c4bac363c0048aa122eec58f7c091106b40811f5fbe17e7f0ab3de082&amp;=&amp;format=webp&amp;width=394&amp;height=525</t>
  </si>
  <si>
    <t xml:space="preserve">https://media.discordapp.net/attachments/1212839710439776287/1284245010111271014/IMG_9792.jpg?ex=66e9399e&amp;is=66e7e81e&amp;hm=e50e875a4769266af805aff5336b77f9d79bf01d466de121021e9280de1b64f7&amp;=&amp;format=webp&amp;width=657&amp;height=876</t>
  </si>
  <si>
    <t xml:space="preserve">Totals</t>
  </si>
  <si>
    <t xml:space="preserve">Total Snipes:</t>
  </si>
  <si>
    <t xml:space="preserve">Discord</t>
  </si>
  <si>
    <t xml:space="preserve">Seth</t>
  </si>
  <si>
    <t xml:space="preserve">Total Points:</t>
  </si>
  <si>
    <t xml:space="preserve">Most Kills:</t>
  </si>
  <si>
    <t xml:space="preserve">Most Deaths:</t>
  </si>
  <si>
    <t xml:space="preserve">Most Kill Pts:</t>
  </si>
  <si>
    <t xml:space="preserve">Most Death Pts:</t>
  </si>
  <si>
    <t xml:space="preserve">Best KDR:</t>
  </si>
  <si>
    <t xml:space="preserve">Best KpDpR:</t>
  </si>
  <si>
    <t xml:space="preserve">Data By Voice Part:</t>
  </si>
  <si>
    <t xml:space="preserve">Seth + Grady</t>
  </si>
  <si>
    <t xml:space="preserve">https://discord.com/channels/191975109500731392/1212839710439776287/1212845263862108160</t>
  </si>
  <si>
    <t xml:space="preserve">https://discord.com/channels/191975109500731392/1212839710439776287/1212845397924646943</t>
  </si>
  <si>
    <t xml:space="preserve">https://discord.com/channels/191975109500731392/1212839710439776287/1212879934528421971</t>
  </si>
  <si>
    <t xml:space="preserve">https://discord.com/channels/191975109500731392/1212839710439776287/1213187873935728680</t>
  </si>
  <si>
    <t xml:space="preserve">https://discord.com/channels/191975109500731392/1212839710439776287/1213194839336816710</t>
  </si>
  <si>
    <t xml:space="preserve">https://discord.com/channels/191975109500731392/1212839710439776287/1214299533304135760</t>
  </si>
  <si>
    <t xml:space="preserve">https://discord.com/channels/191975109500731392/1212839710439776287/1214328987526897704</t>
  </si>
  <si>
    <t xml:space="preserve">https://discord.com/channels/191975109500731392/1212839710439776287/1214411804231340092</t>
  </si>
  <si>
    <t xml:space="preserve">Worst KDR:</t>
  </si>
  <si>
    <t xml:space="preserve">https://discord.com/channels/191975109500731392/1212839710439776287/1214593533567307806</t>
  </si>
  <si>
    <t xml:space="preserve">https://discord.com/channels/191975109500731392/1212839710439776287/1214963667682992178</t>
  </si>
  <si>
    <t xml:space="preserve">Worst KpDpR:</t>
  </si>
  <si>
    <t xml:space="preserve">https://discord.com/channels/191975109500731392/1212839710439776287/1214964509249241108</t>
  </si>
  <si>
    <t xml:space="preserve">https://discord.com/channels/191975109500731392/1212839710439776287/1215015942325665893</t>
  </si>
  <si>
    <t xml:space="preserve">https://discord.com/channels/191975109500731392/1212839710439776287/1215050831033012354</t>
  </si>
  <si>
    <t xml:space="preserve">https://discord.com/channels/191975109500731392/1212839710439776287/1215326037072678973</t>
  </si>
  <si>
    <t xml:space="preserve">https://discord.com/channels/191975109500731392/1212839710439776287/1215363180306636860</t>
  </si>
  <si>
    <t xml:space="preserve">https://discord.com/channels/191975109500731392/1212839710439776287/1215371451373199452</t>
  </si>
  <si>
    <t xml:space="preserve">https://discord.com/channels/191975109500731392/1212839710439776287/1215409481089945600</t>
  </si>
  <si>
    <t xml:space="preserve">https://discord.com/channels/191975109500731392/1212839710439776287/1215409500413104139</t>
  </si>
  <si>
    <t xml:space="preserve">https://discord.com/channels/191975109500731392/1212839710439776287/1215736616535064616</t>
  </si>
  <si>
    <t xml:space="preserve">https://discord.com/channels/191975109500731392/1212839710439776287/1217278694968524851</t>
  </si>
  <si>
    <t xml:space="preserve">https://discord.com/channels/191975109500731392/1212839710439776287/1217278712123494532</t>
  </si>
  <si>
    <t xml:space="preserve">https://discord.com/channels/191975109500731392/1212839710439776287/1217278716401422427</t>
  </si>
  <si>
    <t xml:space="preserve">https://discord.com/channels/191975109500731392/1212839710439776287/1217580596029558795</t>
  </si>
  <si>
    <t xml:space="preserve">https://discord.com/channels/191975109500731392/1212839710439776287/1217581037366935612</t>
  </si>
  <si>
    <t xml:space="preserve">https://discord.com/channels/191975109500731392/1212839710439776287/1217630872862199838</t>
  </si>
  <si>
    <t xml:space="preserve">https://discord.com/channels/191975109500731392/1212839710439776287/1219245898601730089</t>
  </si>
  <si>
    <t xml:space="preserve">https://discord.com/channels/191975109500731392/1212839710439776287/1219252492815171635</t>
  </si>
  <si>
    <t xml:space="preserve">https://discord.com/channels/191975109500731392/1212839710439776287/1219266551681777768</t>
  </si>
  <si>
    <t xml:space="preserve">https://discord.com/channels/191975109500731392/1212839710439776287/1219266586351763497</t>
  </si>
  <si>
    <t xml:space="preserve">https://discord.com/channels/191975109500731392/1212839710439776287/1219268789347156079</t>
  </si>
  <si>
    <t xml:space="preserve">https://discord.com/channels/191975109500731392/1212839710439776287/1219270203163148398</t>
  </si>
  <si>
    <t xml:space="preserve">https://discord.com/channels/191975109500731392/1212839710439776287/1219272488073035776</t>
  </si>
  <si>
    <t xml:space="preserve">https://discord.com/channels/191975109500731392/1212839710439776287/1219298736786636871</t>
  </si>
  <si>
    <t xml:space="preserve">https://discord.com/channels/191975109500731392/1212839710439776287/1219345397273858078</t>
  </si>
  <si>
    <t xml:space="preserve">https://discord.com/channels/191975109500731392/1212839710439776287/1219406481494114335</t>
  </si>
  <si>
    <t xml:space="preserve">https://discord.com/channels/191975109500731392/1212839710439776287/1219421345780334592</t>
  </si>
  <si>
    <t xml:space="preserve">https://discord.com/channels/191975109500731392/1212839710439776287/1219595394082930709</t>
  </si>
  <si>
    <t xml:space="preserve">https://discord.com/channels/191975109500731392/1212839710439776287/1219710101775056970</t>
  </si>
  <si>
    <t xml:space="preserve">https://discord.com/channels/191975109500731392/1212839710439776287/1219710227507712136</t>
  </si>
  <si>
    <t xml:space="preserve">https://discord.com/channels/191975109500731392/1212839710439776287/1219711546171588628</t>
  </si>
  <si>
    <t xml:space="preserve">https://discord.com/channels/191975109500731392/1212839710439776287/1219711573963309127</t>
  </si>
  <si>
    <t xml:space="preserve">https://discord.com/channels/191975109500731392/1212839710439776287/1219711838334353451</t>
  </si>
  <si>
    <t xml:space="preserve">https://discord.com/channels/191975109500731392/1212839710439776287/1219711888896557127</t>
  </si>
  <si>
    <t xml:space="preserve">https://discord.com/channels/191975109500731392/1212839710439776287/1219717026302529607</t>
  </si>
  <si>
    <t xml:space="preserve">https://discord.com/channels/191975109500731392/1212839710439776287/1219750366896324769</t>
  </si>
  <si>
    <t xml:space="preserve">https://discord.com/channels/191975109500731392/1212839710439776287/1219796370324717590</t>
  </si>
  <si>
    <t xml:space="preserve">https://discord.com/channels/191975109500731392/1212839710439776287/1219796743496142958</t>
  </si>
  <si>
    <t xml:space="preserve">https://discord.com/channels/191975109500731392/1212839710439776287/1220096079752593451</t>
  </si>
  <si>
    <t xml:space="preserve">https://discord.com/channels/191975109500731392/1212839710439776287/1220385279660003409</t>
  </si>
  <si>
    <t xml:space="preserve">https://discord.com/channels/191975109500731392/1212839710439776287/1220406189653757993</t>
  </si>
  <si>
    <t xml:space="preserve">https://discord.com/channels/191975109500731392/1212839710439776287/1220406740907069542</t>
  </si>
  <si>
    <t xml:space="preserve">https://discord.com/channels/191975109500731392/1212839710439776287/1220408100037722192</t>
  </si>
  <si>
    <t xml:space="preserve">https://discord.com/channels/191975109500731392/1212839710439776287/1220476124786724885</t>
  </si>
  <si>
    <t xml:space="preserve">https://discord.com/channels/191975109500731392/1212839710439776287/1220488388558327938</t>
  </si>
  <si>
    <t xml:space="preserve">https://discord.com/channels/191975109500731392/1212839710439776287/1220731024535978005</t>
  </si>
  <si>
    <t xml:space="preserve">https://discord.com/channels/191975109500731392/1212839710439776287/1221263132413132891</t>
  </si>
  <si>
    <t xml:space="preserve">https://discord.com/channels/191975109500731392/1212839710439776287/1221263433807171595</t>
  </si>
  <si>
    <t xml:space="preserve">https://discord.com/channels/191975109500731392/1212839710439776287/1221263437636702349</t>
  </si>
  <si>
    <t xml:space="preserve">https://discord.com/channels/191975109500731392/1212839710439776287/1221783029178040360</t>
  </si>
  <si>
    <t xml:space="preserve">https://discord.com/channels/191975109500731392/1212839710439776287/1221910366011916398</t>
  </si>
  <si>
    <t xml:space="preserve">https://discord.com/channels/191975109500731392/1212839710439776287/1222197416833454111</t>
  </si>
  <si>
    <t xml:space="preserve">https://discord.com/channels/191975109500731392/1212839710439776287/1222215044725477477</t>
  </si>
  <si>
    <t xml:space="preserve">https://discord.com/channels/191975109500731392/1212839710439776287/1222253420258267167</t>
  </si>
  <si>
    <t xml:space="preserve">https://discord.com/channels/191975109500731392/1212839710439776287/1222253537065439355</t>
  </si>
  <si>
    <t xml:space="preserve">https://discord.com/channels/191975109500731392/1212839710439776287/1222261872129216532</t>
  </si>
  <si>
    <t xml:space="preserve">https://discord.com/channels/191975109500731392/1212839710439776287/1222277073545199706</t>
  </si>
  <si>
    <t xml:space="preserve">https://discord.com/channels/191975109500731392/1212839710439776287/1222287420687515678</t>
  </si>
  <si>
    <t xml:space="preserve">https://discord.com/channels/191975109500731392/1212839710439776287/1222287492456124456</t>
  </si>
  <si>
    <t xml:space="preserve">https://discord.com/channels/191975109500731392/1212839710439776287/1222287510219259941</t>
  </si>
  <si>
    <t xml:space="preserve">https://discord.com/channels/191975109500731392/1212839710439776287/1222298274715664525</t>
  </si>
  <si>
    <t xml:space="preserve">https://discord.com/channels/191975109500731392/1212839710439776287/1222315290457804961</t>
  </si>
  <si>
    <t xml:space="preserve">https://discord.com/channels/191975109500731392/1212839710439776287/1222315297923534959</t>
  </si>
  <si>
    <t xml:space="preserve">https://discord.com/channels/191975109500731392/1212839710439776287/1222322935625154640</t>
  </si>
  <si>
    <t xml:space="preserve">https://discord.com/channels/191975109500731392/1212839710439776287/1222368036095529073</t>
  </si>
  <si>
    <t xml:space="preserve">https://discord.com/channels/191975109500731392/1212839710439776287/1222368158862807153</t>
  </si>
  <si>
    <t xml:space="preserve">https://discord.com/channels/191975109500731392/1212839710439776287/1222533818150293554</t>
  </si>
  <si>
    <t xml:space="preserve">https://discord.com/channels/191975109500731392/1212839710439776287/1222534815576756295</t>
  </si>
  <si>
    <t xml:space="preserve">https://discord.com/channels/191975109500731392/1212839710439776287/1222558554175705188</t>
  </si>
  <si>
    <t xml:space="preserve">https://discord.com/channels/191975109500731392/1212839710439776287/1222604785233166416</t>
  </si>
  <si>
    <t xml:space="preserve">https://discord.com/channels/191975109500731392/1212839710439776287/1222700232337264701</t>
  </si>
  <si>
    <t xml:space="preserve">https://discord.com/channels/191975109500731392/1212839710439776287/1222908170171846686</t>
  </si>
  <si>
    <t xml:space="preserve">https://discord.com/channels/191975109500731392/1212839710439776287/1222908612024864868</t>
  </si>
  <si>
    <t xml:space="preserve">https://discord.com/channels/191975109500731392/1212839710439776287/1222914026804351037</t>
  </si>
  <si>
    <t xml:space="preserve">https://discord.com/channels/191975109500731392/1212839710439776287/1223013195459854458</t>
  </si>
  <si>
    <t xml:space="preserve">https://discord.com/channels/191975109500731392/1212839710439776287/1223396457541931028</t>
  </si>
  <si>
    <t xml:space="preserve">https://discord.com/channels/191975109500731392/1212839710439776287/1223800487279853629</t>
  </si>
  <si>
    <t xml:space="preserve">https://discord.com/channels/191975109500731392/1212839710439776287/1224318023197003828</t>
  </si>
  <si>
    <t xml:space="preserve">https://discord.com/channels/191975109500731392/1212839710439776287/1224413473463603351</t>
  </si>
  <si>
    <t xml:space="preserve">https://discord.com/channels/191975109500731392/1212839710439776287/1224494320686600283</t>
  </si>
  <si>
    <t xml:space="preserve">https://discord.com/channels/191975109500731392/1212839710439776287/1224494416534831134</t>
  </si>
  <si>
    <t xml:space="preserve">https://discord.com/channels/191975109500731392/1212839710439776287/1224495843927916595</t>
  </si>
  <si>
    <t xml:space="preserve">https://discord.com/channels/191975109500731392/1212839710439776287/1224495874017591317</t>
  </si>
  <si>
    <t xml:space="preserve">https://discord.com/channels/191975109500731392/1212839710439776287/1224733429761839185</t>
  </si>
  <si>
    <t xml:space="preserve">https://discord.com/channels/191975109500731392/1212839710439776287/1224795928284631160</t>
  </si>
  <si>
    <t xml:space="preserve">https://discord.com/channels/191975109500731392/1212839710439776287/1224798353326604338</t>
  </si>
  <si>
    <t xml:space="preserve">https://discord.com/channels/191975109500731392/1212839710439776287/1224798449040359524</t>
  </si>
  <si>
    <t xml:space="preserve">https://discord.com/channels/191975109500731392/1212839710439776287/1224798642817466508</t>
  </si>
  <si>
    <t xml:space="preserve">https://discord.com/channels/191975109500731392/1212839710439776287/1224798651235438613</t>
  </si>
  <si>
    <t xml:space="preserve">https://discord.com/channels/191975109500731392/1212839710439776287/1225078759875416084</t>
  </si>
  <si>
    <t xml:space="preserve">https://discord.com/channels/191975109500731392/1212839710439776287/1225095202717306910</t>
  </si>
  <si>
    <t xml:space="preserve">https://discord.com/channels/191975109500731392/1212839710439776287/1225124387020210176</t>
  </si>
  <si>
    <t xml:space="preserve">https://discord.com/channels/191975109500731392/1212839710439776287/1225124544679907410</t>
  </si>
  <si>
    <t xml:space="preserve">https://discord.com/channels/191975109500731392/1212839710439776287/1225125481498546338</t>
  </si>
  <si>
    <t xml:space="preserve">https://discord.com/channels/191975109500731392/1212839710439776287/1225129677174345839</t>
  </si>
  <si>
    <t xml:space="preserve">https://discord.com/channels/191975109500731392/1212839710439776287/1225153939230429365</t>
  </si>
  <si>
    <t xml:space="preserve">https://discord.com/channels/191975109500731392/1212839710439776287/1225154023905034301</t>
  </si>
  <si>
    <t xml:space="preserve">https://discord.com/channels/191975109500731392/1212839710439776287/1225158087925825596</t>
  </si>
  <si>
    <t xml:space="preserve">https://discord.com/channels/191975109500731392/1212839710439776287/1225158089192509640</t>
  </si>
  <si>
    <t xml:space="preserve">https://discord.com/channels/191975109500731392/1212839710439776287/1225160331194667159</t>
  </si>
  <si>
    <t xml:space="preserve">https://discord.com/channels/191975109500731392/1212839710439776287/1225160354863251517</t>
  </si>
  <si>
    <t xml:space="preserve">https://discord.com/channels/191975109500731392/1212839710439776287/1225162622731550834</t>
  </si>
  <si>
    <t xml:space="preserve">https://discord.com/channels/191975109500731392/1212839710439776287/1225162648547495966</t>
  </si>
  <si>
    <t xml:space="preserve">https://discord.com/channels/191975109500731392/1212839710439776287/1225162687030493295</t>
  </si>
  <si>
    <t xml:space="preserve">https://discord.com/channels/191975109500731392/1212839710439776287/1225167633549234309</t>
  </si>
  <si>
    <t xml:space="preserve">https://discord.com/channels/191975109500731392/1212839710439776287/1225201914510049432</t>
  </si>
  <si>
    <t xml:space="preserve">https://discord.com/channels/191975109500731392/1212839710439776287/1225203291345129482</t>
  </si>
  <si>
    <t xml:space="preserve">https://discord.com/channels/191975109500731392/1212839710439776287/1225203932528119911</t>
  </si>
  <si>
    <t xml:space="preserve">https://discord.com/channels/191975109500731392/1212839710439776287/1225459927469002934</t>
  </si>
  <si>
    <t xml:space="preserve">https://discord.com/channels/191975109500731392/1212839710439776287/1225460612138668082</t>
  </si>
  <si>
    <t xml:space="preserve">https://discord.com/channels/191975109500731392/1212839710439776287/1225468408771121293</t>
  </si>
  <si>
    <t xml:space="preserve">https://discord.com/channels/191975109500731392/1212839710439776287/1225473157562105968</t>
  </si>
  <si>
    <t xml:space="preserve">https://discord.com/channels/191975109500731392/1212839710439776287/1225478335602229248</t>
  </si>
  <si>
    <t xml:space="preserve">https://discord.com/channels/191975109500731392/1212839710439776287/1225522310396514586</t>
  </si>
  <si>
    <t xml:space="preserve">https://discord.com/channels/191975109500731392/1212839710439776287/1225522342893977621</t>
  </si>
  <si>
    <t xml:space="preserve">https://discord.com/channels/191975109500731392/1212839710439776287/1225531934365712446</t>
  </si>
  <si>
    <t xml:space="preserve">https://discord.com/channels/191975109500731392/1212839710439776287/1225532509023113329</t>
  </si>
  <si>
    <t xml:space="preserve">https://discord.com/channels/191975109500731392/1212839710439776287/1225542007179706418</t>
  </si>
  <si>
    <t xml:space="preserve">https://discord.com/channels/191975109500731392/1212839710439776287/1225543345875583128</t>
  </si>
  <si>
    <t xml:space="preserve">https://discord.com/channels/191975109500731392/1212839710439776287/1225544189668888739</t>
  </si>
  <si>
    <t xml:space="preserve">https://discord.com/channels/191975109500731392/1212839710439776287/1225545596543434863</t>
  </si>
  <si>
    <t xml:space="preserve">https://discord.com/channels/191975109500731392/1212839710439776287/1225546996954304613</t>
  </si>
  <si>
    <t xml:space="preserve">https://discord.com/channels/191975109500731392/1212839710439776287/1225559101229105335</t>
  </si>
  <si>
    <t xml:space="preserve">https://discord.com/channels/191975109500731392/1212839710439776287/1225559724305416223</t>
  </si>
  <si>
    <t xml:space="preserve">https://discord.com/channels/191975109500731392/1212839710439776287/1225559808346947614</t>
  </si>
  <si>
    <t xml:space="preserve">https://discord.com/channels/191975109500731392/1212839710439776287/1225560962870804553</t>
  </si>
  <si>
    <t xml:space="preserve">https://discord.com/channels/191975109500731392/1212839710439776287/1225561119180062873</t>
  </si>
  <si>
    <t xml:space="preserve">https://discord.com/channels/191975109500731392/1212839710439776287/1225566632504725564</t>
  </si>
  <si>
    <t xml:space="preserve">https://discord.com/channels/191975109500731392/1212839710439776287/1225566637759926324</t>
  </si>
  <si>
    <t xml:space="preserve">https://discord.com/channels/191975109500731392/1212839710439776287/1225571415940530176</t>
  </si>
  <si>
    <t xml:space="preserve">https://discord.com/channels/191975109500731392/1212839710439776287/1225571524941975563</t>
  </si>
  <si>
    <t xml:space="preserve">https://discord.com/channels/191975109500731392/1212839710439776287/1225609763468083370</t>
  </si>
  <si>
    <t xml:space="preserve">https://discord.com/channels/191975109500731392/1212839710439776287/1225881158189973594</t>
  </si>
  <si>
    <t xml:space="preserve">https://discord.com/channels/191975109500731392/1212839710439776287/1225884240932241529</t>
  </si>
  <si>
    <t xml:space="preserve">https://discord.com/channels/191975109500731392/1212839710439776287/1225903317331218574</t>
  </si>
  <si>
    <t xml:space="preserve">https://discord.com/channels/191975109500731392/1212839710439776287/1225903337447358597</t>
  </si>
  <si>
    <t xml:space="preserve">https://discord.com/channels/191975109500731392/1212839710439776287/1225965820455292928</t>
  </si>
  <si>
    <t xml:space="preserve">https://discord.com/channels/191975109500731392/1212839710439776287/1225966325097304146</t>
  </si>
  <si>
    <t xml:space="preserve">https://discord.com/channels/191975109500731392/1212839710439776287/1226242812450705479</t>
  </si>
  <si>
    <t xml:space="preserve">Overall Placings</t>
  </si>
  <si>
    <t xml:space="preserve">Places from all seaons</t>
  </si>
  <si>
    <t xml:space="preserve">Best Place:</t>
  </si>
  <si>
    <t xml:space="preserve">Average:</t>
  </si>
  <si>
    <t xml:space="preserve">Spr24</t>
  </si>
  <si>
    <t xml:space="preserve">Spr24POST</t>
  </si>
  <si>
    <t xml:space="preserve">Fall24PRE</t>
  </si>
  <si>
    <t xml:space="preserve">Fall24</t>
  </si>
  <si>
    <t xml:space="preserve">Spr25</t>
  </si>
  <si>
    <t xml:space="preserve">Fall25PRE</t>
  </si>
  <si>
    <t xml:space="preserve">Fall25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</si>
</sst>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0.0%"/>
    <numFmt numFmtId="167" formatCode="0.00%"/>
  </numFmts>
  <fonts count="18">
    <font>
      <sz val="11"/>
      <color theme="1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ptos Narrow"/>
      <family val="0"/>
      <charset val="1"/>
    </font>
    <font>
      <b val="true"/>
      <sz val="11"/>
      <color rgb="FF000118"/>
      <name val="Aptos Narrow"/>
      <family val="0"/>
      <charset val="1"/>
    </font>
    <font>
      <u val="single"/>
      <sz val="11"/>
      <color theme="10"/>
      <name val="Aptos Narrow"/>
      <family val="0"/>
      <charset val="1"/>
    </font>
    <font>
      <u val="single"/>
      <sz val="11"/>
      <color rgb="FFF2F2F2"/>
      <name val="Aptos Narrow"/>
      <family val="0"/>
      <charset val="1"/>
    </font>
    <font>
      <sz val="11"/>
      <color rgb="FFF2F2F2"/>
      <name val="Aptos Narrow"/>
      <family val="0"/>
      <charset val="1"/>
    </font>
    <font>
      <b val="true"/>
      <sz val="8"/>
      <color theme="1"/>
      <name val="Aptos Narrow"/>
      <family val="0"/>
      <charset val="1"/>
    </font>
    <font>
      <sz val="11"/>
      <color theme="1"/>
      <name val="Aptos Narrow"/>
      <family val="2"/>
      <charset val="1"/>
    </font>
    <font>
      <sz val="14"/>
      <color rgb="FF757575"/>
      <name val="Aptos Narrow"/>
      <family val="2"/>
    </font>
    <font>
      <sz val="9"/>
      <color rgb="FF000000"/>
      <name val="Aptos Narrow"/>
      <family val="2"/>
    </font>
    <font>
      <sz val="10"/>
      <color rgb="FF000000"/>
      <name val="Aptos Narrow"/>
      <family val="2"/>
    </font>
    <font>
      <sz val="11"/>
      <color theme="1"/>
      <name val="Arial"/>
      <family val="0"/>
      <charset val="1"/>
    </font>
    <font>
      <sz val="14"/>
      <color rgb="FF000000"/>
      <name val="Aptos Narrow"/>
      <family val="2"/>
    </font>
    <font>
      <sz val="11"/>
      <color theme="0"/>
      <name val="Aptos Narrow"/>
      <family val="0"/>
      <charset val="1"/>
    </font>
    <font>
      <sz val="11"/>
      <color rgb="FFBFBFBF"/>
      <name val="Aptos Narrow"/>
      <family val="0"/>
      <charset val="1"/>
    </font>
  </fonts>
  <fills count="21">
    <fill>
      <patternFill patternType="none"/>
    </fill>
    <fill>
      <patternFill patternType="gray125"/>
    </fill>
    <fill>
      <patternFill patternType="solid">
        <fgColor theme="9" tint="0.5999"/>
        <bgColor rgb="FFB3E5A1"/>
      </patternFill>
    </fill>
    <fill>
      <patternFill patternType="solid">
        <fgColor rgb="FFFF5050"/>
        <bgColor rgb="FFE97132"/>
      </patternFill>
    </fill>
    <fill>
      <patternFill patternType="solid">
        <fgColor rgb="FFD8D8D8"/>
        <bgColor rgb="FFD9D9D9"/>
      </patternFill>
    </fill>
    <fill>
      <patternFill patternType="solid">
        <fgColor rgb="FFC1E4F5"/>
        <bgColor rgb="FFC1E5F5"/>
      </patternFill>
    </fill>
    <fill>
      <patternFill patternType="solid">
        <fgColor rgb="FF83CAEB"/>
        <bgColor rgb="FF95DCF7"/>
      </patternFill>
    </fill>
    <fill>
      <patternFill patternType="solid">
        <fgColor theme="7" tint="0.7999"/>
        <bgColor rgb="FFCAEDFB"/>
      </patternFill>
    </fill>
    <fill>
      <patternFill patternType="solid">
        <fgColor rgb="FFCAEDFB"/>
        <bgColor rgb="FFCAEEFB"/>
      </patternFill>
    </fill>
    <fill>
      <patternFill patternType="solid">
        <fgColor rgb="FFB3E5A1"/>
        <bgColor rgb="FFB4E5A2"/>
      </patternFill>
    </fill>
    <fill>
      <patternFill patternType="solid">
        <fgColor rgb="FFF6C6AC"/>
        <bgColor rgb="FFFFC7CE"/>
      </patternFill>
    </fill>
    <fill>
      <patternFill patternType="solid">
        <fgColor rgb="FFDBE9F7"/>
        <bgColor rgb="FFCAEDFB"/>
      </patternFill>
    </fill>
    <fill>
      <patternFill patternType="solid">
        <fgColor theme="4" tint="0.7999"/>
        <bgColor rgb="FFC1E4F5"/>
      </patternFill>
    </fill>
    <fill>
      <patternFill patternType="solid">
        <fgColor rgb="FF7F7F7F"/>
        <bgColor rgb="FF757575"/>
      </patternFill>
    </fill>
    <fill>
      <patternFill patternType="solid">
        <fgColor rgb="FFD9F2D0"/>
        <bgColor rgb="FFDBE9F7"/>
      </patternFill>
    </fill>
    <fill>
      <patternFill patternType="solid">
        <fgColor rgb="FFF1CEEE"/>
        <bgColor rgb="FFFFC7CE"/>
      </patternFill>
    </fill>
    <fill>
      <patternFill patternType="solid">
        <fgColor theme="0"/>
        <bgColor rgb="FFF2F2F2"/>
      </patternFill>
    </fill>
    <fill>
      <patternFill patternType="solid">
        <fgColor rgb="FFA6C9EB"/>
        <bgColor rgb="FF95DCF7"/>
      </patternFill>
    </fill>
    <fill>
      <patternFill patternType="solid">
        <fgColor rgb="FF95DCF7"/>
        <bgColor rgb="FF83CAEB"/>
      </patternFill>
    </fill>
    <fill>
      <patternFill patternType="solid">
        <fgColor rgb="FFFAE2D5"/>
        <bgColor rgb="FFF2F2F2"/>
      </patternFill>
    </fill>
    <fill>
      <patternFill patternType="solid">
        <fgColor theme="1"/>
        <bgColor rgb="FF000118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thin"/>
      <right style="thin"/>
      <top style="thin"/>
      <bottom style="thin">
        <color rgb="FF45B0E1"/>
      </bottom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5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6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3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5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1" xfId="23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2" xfId="25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7" borderId="11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2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6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5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4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5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25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6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7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9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1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1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6" borderId="1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12" borderId="13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12" borderId="22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12" borderId="23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4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5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6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7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28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1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2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9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0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2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1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2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3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4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1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1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3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2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3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8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6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6" borderId="1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1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1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3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5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9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1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8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19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4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orner" xfId="21"/>
    <cellStyle name="Pivot Table Value" xfId="22"/>
    <cellStyle name="Pivot Table Field" xfId="23"/>
    <cellStyle name="Pivot Table Category" xfId="24"/>
    <cellStyle name="Pivot Table Title" xfId="25"/>
    <cellStyle name="Pivot Table Result" xfId="26"/>
    <cellStyle name="*unknown*" xfId="20" builtinId="8"/>
  </cellStyles>
  <dxfs count="4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/>
    <dxf/>
    <dxf/>
    <dxf/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fill>
        <patternFill>
          <bgColor theme="7" tint="0.7999"/>
        </patternFill>
      </fill>
    </dxf>
    <dxf>
      <font>
        <b val="1"/>
      </font>
    </dxf>
    <dxf/>
    <dxf/>
    <dxf/>
    <dxf/>
    <dxf/>
    <dxf/>
    <dxf/>
    <dxf/>
    <dxf/>
    <dxf/>
    <dxf/>
    <dxf/>
    <dxf>
      <fill>
        <patternFill>
          <bgColor theme="4" tint="0.7999"/>
        </patternFill>
      </fill>
    </dxf>
    <dxf>
      <fill>
        <patternFill>
          <bgColor theme="4" tint="0.7999"/>
        </patternFill>
      </fill>
    </dxf>
    <dxf>
      <fill>
        <patternFill>
          <bgColor theme="4" tint="0.7999"/>
        </patternFill>
      </fill>
    </dxf>
    <dxf>
      <fill>
        <patternFill>
          <bgColor theme="4" tint="0.7999"/>
        </patternFill>
      </fill>
    </dxf>
    <dxf>
      <fill>
        <patternFill>
          <bgColor theme="4" tint="0.7999"/>
        </patternFill>
      </fill>
    </dxf>
    <dxf>
      <fill>
        <patternFill>
          <bgColor theme="4" tint="0.7999"/>
        </patternFill>
      </fill>
    </dxf>
    <dxf>
      <fill>
        <patternFill>
          <bgColor theme="4" tint="0.7999"/>
        </patternFill>
      </fill>
    </dxf>
    <dxf>
      <fill>
        <patternFill>
          <bgColor theme="4" tint="0.7999"/>
        </patternFill>
      </fill>
    </dxf>
    <dxf>
      <fill>
        <patternFill>
          <bgColor theme="4" tint="0.7999"/>
        </patternFill>
      </fill>
    </dxf>
    <dxf>
      <border diagonalUp="false" diagonalDown="false">
        <left style="thin"/>
        <right style="thin"/>
        <top style="thin"/>
        <bottom style="thin"/>
        <diagonal/>
      </border>
    </dxf>
  </dxfs>
  <colors>
    <indexedColors>
      <rgbColor rgb="FF000000"/>
      <rgbColor rgb="FFFFFFFF"/>
      <rgbColor rgb="FFFF0000"/>
      <rgbColor rgb="FF00FF00"/>
      <rgbColor rgb="FF0000FF"/>
      <rgbColor rgb="FFD9D9D9"/>
      <rgbColor rgb="FFFF00FF"/>
      <rgbColor rgb="FFC1E5F5"/>
      <rgbColor rgb="FF9C0006"/>
      <rgbColor rgb="FF196B24"/>
      <rgbColor rgb="FF000118"/>
      <rgbColor rgb="FF808000"/>
      <rgbColor rgb="FF800080"/>
      <rgbColor rgb="FF156082"/>
      <rgbColor rgb="FFBFBFBF"/>
      <rgbColor rgb="FF7F7F7F"/>
      <rgbColor rgb="FF83CAEB"/>
      <rgbColor rgb="FFA02B93"/>
      <rgbColor rgb="FFF2F2F2"/>
      <rgbColor rgb="FFCAEEFB"/>
      <rgbColor rgb="FF660066"/>
      <rgbColor rgb="FFFF5050"/>
      <rgbColor rgb="FF0066CC"/>
      <rgbColor rgb="FFD8D8D8"/>
      <rgbColor rgb="FF000080"/>
      <rgbColor rgb="FFFF00FF"/>
      <rgbColor rgb="FFDBE9F7"/>
      <rgbColor rgb="FFC1E4F5"/>
      <rgbColor rgb="FF800080"/>
      <rgbColor rgb="FF800000"/>
      <rgbColor rgb="FF467886"/>
      <rgbColor rgb="FF0000FF"/>
      <rgbColor rgb="FF95DCF7"/>
      <rgbColor rgb="FFCAEDFB"/>
      <rgbColor rgb="FFD9F2D0"/>
      <rgbColor rgb="FFFAE2D5"/>
      <rgbColor rgb="FFA6C9EB"/>
      <rgbColor rgb="FFFFC7CE"/>
      <rgbColor rgb="FFB7B7B7"/>
      <rgbColor rgb="FFF6C6AC"/>
      <rgbColor rgb="FF3366FF"/>
      <rgbColor rgb="FF45B0E1"/>
      <rgbColor rgb="FFB3E5A1"/>
      <rgbColor rgb="FFB4E5A2"/>
      <rgbColor rgb="FFF1CEEE"/>
      <rgbColor rgb="FFE97132"/>
      <rgbColor rgb="FF757575"/>
      <rgbColor rgb="FF8B8B8B"/>
      <rgbColor rgb="FF003366"/>
      <rgbColor rgb="FF4EA72E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<Relationship Id="rId14" Type="http://schemas.openxmlformats.org/officeDocument/2006/relationships/pivotCacheDefinition" Target="pivotCache/pivotCacheDefinition1.xml"/><Relationship Id="rId15" Type="http://schemas.openxmlformats.org/officeDocument/2006/relationships/pivotCacheDefinition" Target="pivotCache/pivotCacheDefinition2.xml"/><Relationship Id="rId16" Type="http://schemas.openxmlformats.org/officeDocument/2006/relationships/pivotCacheDefinition" Target="pivotCache/pivotCacheDefinition3.xml"/><Relationship Id="rId17" Type="http://schemas.openxmlformats.org/officeDocument/2006/relationships/pivotCacheDefinition" Target="pivotCache/pivotCacheDefinition4.xml"/><Relationship Id="rId18" Type="http://schemas.openxmlformats.org/officeDocument/2006/relationships/pivotCacheDefinition" Target="pivotCache/pivotCacheDefinition5.xml"/><Relationship Id="rId19" Type="http://schemas.openxmlformats.org/officeDocument/2006/relationships/pivotCacheDefinition" Target="pivotCache/pivotCacheDefinition6.xml"/><Relationship Id="rId20" Type="http://schemas.openxmlformats.org/officeDocument/2006/relationships/pivotCacheDefinition" Target="pivotCache/pivotCacheDefinition7.xml"/><Relationship Id="rId21" Type="http://schemas.openxmlformats.org/officeDocument/2006/relationships/pivotCacheDefinition" Target="pivotCache/pivotCacheDefinition8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_rels/chart9.xml.rels><?xml version="1.0" encoding="UTF-8"?>
<Relationships xmlns="http://schemas.openxmlformats.org/package/2006/relationships"><Relationship Id="rId1" Type="http://schemas.microsoft.com/office/2011/relationships/chartStyle" Target="style9.xml"/><Relationship Id="rId2" Type="http://schemas.microsoft.com/office/2011/relationships/chartColorStyle" Target="colors9.xml"/>
</Relationships>
</file>

<file path=xl/charts/_rels/chart10.xml.rels><?xml version="1.0" encoding="UTF-8"?>
<Relationships xmlns="http://schemas.openxmlformats.org/package/2006/relationships"><Relationship Id="rId1" Type="http://schemas.microsoft.com/office/2011/relationships/chartStyle" Target="style10.xml"/><Relationship Id="rId2" Type="http://schemas.microsoft.com/office/2011/relationships/chartColorStyle" Target="colors10.xml"/>
</Relationships>
</file>

<file path=xl/charts/_rels/chart11.xml.rels><?xml version="1.0" encoding="UTF-8"?>
<Relationships xmlns="http://schemas.openxmlformats.org/package/2006/relationships"><Relationship Id="rId1" Type="http://schemas.microsoft.com/office/2011/relationships/chartStyle" Target="style11.xml"/><Relationship Id="rId2" Type="http://schemas.microsoft.com/office/2011/relationships/chartColorStyle" Target="colors11.xml"/>
</Relationships>
</file>

<file path=xl/charts/_rels/chart12.xml.rels><?xml version="1.0" encoding="UTF-8"?>
<Relationships xmlns="http://schemas.openxmlformats.org/package/2006/relationships"><Relationship Id="rId1" Type="http://schemas.microsoft.com/office/2011/relationships/chartStyle" Target="style12.xml"/><Relationship Id="rId2" Type="http://schemas.microsoft.com/office/2011/relationships/chartColorStyle" Target="colors12.xml"/>
</Relationships>
</file>

<file path=xl/charts/_rels/chart13.xml.rels><?xml version="1.0" encoding="UTF-8"?>
<Relationships xmlns="http://schemas.openxmlformats.org/package/2006/relationships"><Relationship Id="rId1" Type="http://schemas.microsoft.com/office/2011/relationships/chartStyle" Target="style13.xml"/><Relationship Id="rId2" Type="http://schemas.microsoft.com/office/2011/relationships/chartColorStyle" Target="colors13.xml"/>
</Relationships>
</file>

<file path=xl/charts/_rels/chart14.xml.rels><?xml version="1.0" encoding="UTF-8"?>
<Relationships xmlns="http://schemas.openxmlformats.org/package/2006/relationships"><Relationship Id="rId1" Type="http://schemas.microsoft.com/office/2011/relationships/chartStyle" Target="style14.xml"/><Relationship Id="rId2" Type="http://schemas.microsoft.com/office/2011/relationships/chartColorStyle" Target="colors14.xml"/>
</Relationships>
</file>

<file path=xl/charts/_rels/chart15.xml.rels><?xml version="1.0" encoding="UTF-8"?>
<Relationships xmlns="http://schemas.openxmlformats.org/package/2006/relationships"><Relationship Id="rId1" Type="http://schemas.microsoft.com/office/2011/relationships/chartStyle" Target="style15.xml"/><Relationship Id="rId2" Type="http://schemas.microsoft.com/office/2011/relationships/chartColorStyle" Target="colors15.xml"/>
</Relationships>
</file>

<file path=xl/charts/_rels/chart16.xml.rels><?xml version="1.0" encoding="UTF-8"?>
<Relationships xmlns="http://schemas.openxmlformats.org/package/2006/relationships"><Relationship Id="rId1" Type="http://schemas.microsoft.com/office/2011/relationships/chartStyle" Target="style16.xml"/><Relationship Id="rId2" Type="http://schemas.microsoft.com/office/2011/relationships/chartColorStyle" Target="colors16.xml"/>
</Relationships>
</file>

<file path=xl/charts/_rels/chart17.xml.rels><?xml version="1.0" encoding="UTF-8"?>
<Relationships xmlns="http://schemas.openxmlformats.org/package/2006/relationships"><Relationship Id="rId1" Type="http://schemas.microsoft.com/office/2011/relationships/chartStyle" Target="style17.xml"/><Relationship Id="rId2" Type="http://schemas.microsoft.com/office/2011/relationships/chartColorStyle" Target="colors17.xml"/>
</Relationships>
</file>

<file path=xl/charts/_rels/chart18.xml.rels><?xml version="1.0" encoding="UTF-8"?>
<Relationships xmlns="http://schemas.openxmlformats.org/package/2006/relationships"><Relationship Id="rId1" Type="http://schemas.microsoft.com/office/2011/relationships/chartStyle" Target="style18.xml"/><Relationship Id="rId2" Type="http://schemas.microsoft.com/office/2011/relationships/chartColorStyle" Target="colors18.xml"/>
</Relationships>
</file>

<file path=xl/charts/_rels/chart19.xml.rels><?xml version="1.0" encoding="UTF-8"?>
<Relationships xmlns="http://schemas.openxmlformats.org/package/2006/relationships"><Relationship Id="rId1" Type="http://schemas.microsoft.com/office/2011/relationships/chartStyle" Target="style19.xml"/><Relationship Id="rId2" Type="http://schemas.microsoft.com/office/2011/relationships/chartColorStyle" Target="colors19.xml"/>
</Relationships>
</file>

<file path=xl/charts/_rels/chart20.xml.rels><?xml version="1.0" encoding="UTF-8"?>
<Relationships xmlns="http://schemas.openxmlformats.org/package/2006/relationships"><Relationship Id="rId1" Type="http://schemas.microsoft.com/office/2011/relationships/chartStyle" Target="style20.xml"/><Relationship Id="rId2" Type="http://schemas.microsoft.com/office/2011/relationships/chartColorStyle" Target="colors20.xml"/>
</Relationships>
</file>

<file path=xl/charts/_rels/chart21.xml.rels><?xml version="1.0" encoding="UTF-8"?>
<Relationships xmlns="http://schemas.openxmlformats.org/package/2006/relationships"><Relationship Id="rId1" Type="http://schemas.microsoft.com/office/2011/relationships/chartStyle" Target="style21.xml"/><Relationship Id="rId2" Type="http://schemas.microsoft.com/office/2011/relationships/chartColorStyle" Target="colors21.xml"/>
</Relationships>
</file>

<file path=xl/charts/_rels/chart22.xml.rels><?xml version="1.0" encoding="UTF-8"?>
<Relationships xmlns="http://schemas.openxmlformats.org/package/2006/relationships"><Relationship Id="rId1" Type="http://schemas.microsoft.com/office/2011/relationships/chartStyle" Target="style22.xml"/><Relationship Id="rId2" Type="http://schemas.microsoft.com/office/2011/relationships/chartColorStyle" Target="colors22.xml"/>
</Relationships>
</file>

<file path=xl/charts/_rels/chart23.xml.rels><?xml version="1.0" encoding="UTF-8"?>
<Relationships xmlns="http://schemas.openxmlformats.org/package/2006/relationships"><Relationship Id="rId1" Type="http://schemas.microsoft.com/office/2011/relationships/chartStyle" Target="style23.xml"/><Relationship Id="rId2" Type="http://schemas.microsoft.com/office/2011/relationships/chartColorStyle" Target="colors23.xml"/>
</Relationships>
</file>

<file path=xl/charts/_rels/chart24.xml.rels><?xml version="1.0" encoding="UTF-8"?>
<Relationships xmlns="http://schemas.openxmlformats.org/package/2006/relationships"><Relationship Id="rId1" Type="http://schemas.microsoft.com/office/2011/relationships/chartStyle" Target="style24.xml"/><Relationship Id="rId2" Type="http://schemas.microsoft.com/office/2011/relationships/chartColorStyle" Target="colors24.xml"/>
</Relationships>
</file>

<file path=xl/charts/_rels/chart25.xml.rels><?xml version="1.0" encoding="UTF-8"?>
<Relationships xmlns="http://schemas.openxmlformats.org/package/2006/relationships"><Relationship Id="rId1" Type="http://schemas.microsoft.com/office/2011/relationships/chartStyle" Target="style25.xml"/><Relationship Id="rId2" Type="http://schemas.microsoft.com/office/2011/relationships/chartColorStyle" Target="colors25.xml"/>
</Relationships>
</file>

<file path=xl/charts/_rels/chart26.xml.rels><?xml version="1.0" encoding="UTF-8"?>
<Relationships xmlns="http://schemas.openxmlformats.org/package/2006/relationships"><Relationship Id="rId1" Type="http://schemas.microsoft.com/office/2011/relationships/chartStyle" Target="style26.xml"/><Relationship Id="rId2" Type="http://schemas.microsoft.com/office/2011/relationships/chartColorStyle" Target="colors26.xml"/>
</Relationships>
</file>

<file path=xl/charts/_rels/chart27.xml.rels><?xml version="1.0" encoding="UTF-8"?>
<Relationships xmlns="http://schemas.openxmlformats.org/package/2006/relationships"><Relationship Id="rId1" Type="http://schemas.microsoft.com/office/2011/relationships/chartStyle" Target="style27.xml"/><Relationship Id="rId2" Type="http://schemas.microsoft.com/office/2011/relationships/chartColorStyle" Target="colors27.xml"/>
</Relationships>
</file>

<file path=xl/charts/_rels/chart28.xml.rels><?xml version="1.0" encoding="UTF-8"?>
<Relationships xmlns="http://schemas.openxmlformats.org/package/2006/relationships"><Relationship Id="rId1" Type="http://schemas.microsoft.com/office/2011/relationships/chartStyle" Target="style28.xml"/><Relationship Id="rId2" Type="http://schemas.microsoft.com/office/2011/relationships/chartColorStyle" Target="colors28.xml"/>
</Relationships>
</file>

<file path=xl/charts/_rels/chart29.xml.rels><?xml version="1.0" encoding="UTF-8"?>
<Relationships xmlns="http://schemas.openxmlformats.org/package/2006/relationships"><Relationship Id="rId1" Type="http://schemas.microsoft.com/office/2011/relationships/chartStyle" Target="style29.xml"/><Relationship Id="rId2" Type="http://schemas.microsoft.com/office/2011/relationships/chartColorStyle" Target="colors29.xml"/>
</Relationships>
</file>

<file path=xl/charts/_rels/chart30.xml.rels><?xml version="1.0" encoding="UTF-8"?>
<Relationships xmlns="http://schemas.openxmlformats.org/package/2006/relationships"><Relationship Id="rId1" Type="http://schemas.microsoft.com/office/2011/relationships/chartStyle" Target="style30.xml"/><Relationship Id="rId2" Type="http://schemas.microsoft.com/office/2011/relationships/chartColorStyle" Target="colors30.xml"/>
</Relationships>
</file>

<file path=xl/charts/_rels/chart31.xml.rels><?xml version="1.0" encoding="UTF-8"?>
<Relationships xmlns="http://schemas.openxmlformats.org/package/2006/relationships"><Relationship Id="rId1" Type="http://schemas.microsoft.com/office/2011/relationships/chartStyle" Target="style31.xml"/><Relationship Id="rId2" Type="http://schemas.microsoft.com/office/2011/relationships/chartColorStyle" Target="colors31.xml"/>
</Relationships>
</file>

<file path=xl/charts/_rels/chart32.xml.rels><?xml version="1.0" encoding="UTF-8"?>
<Relationships xmlns="http://schemas.openxmlformats.org/package/2006/relationships"><Relationship Id="rId1" Type="http://schemas.microsoft.com/office/2011/relationships/chartStyle" Target="style32.xml"/><Relationship Id="rId2" Type="http://schemas.microsoft.com/office/2011/relationships/chartColorStyle" Target="colors32.xml"/>
</Relationships>
</file>

<file path=xl/charts/_rels/chart33.xml.rels><?xml version="1.0" encoding="UTF-8"?>
<Relationships xmlns="http://schemas.openxmlformats.org/package/2006/relationships"><Relationship Id="rId1" Type="http://schemas.microsoft.com/office/2011/relationships/chartStyle" Target="style33.xml"/><Relationship Id="rId2" Type="http://schemas.microsoft.com/office/2011/relationships/chartColorStyle" Target="colors33.xml"/>
</Relationships>
</file>

<file path=xl/charts/_rels/chart34.xml.rels><?xml version="1.0" encoding="UTF-8"?>
<Relationships xmlns="http://schemas.openxmlformats.org/package/2006/relationships"><Relationship Id="rId1" Type="http://schemas.microsoft.com/office/2011/relationships/chartStyle" Target="style34.xml"/><Relationship Id="rId2" Type="http://schemas.microsoft.com/office/2011/relationships/chartColorStyle" Target="colors34.xml"/>
</Relationships>
</file>

<file path=xl/charts/_rels/chart35.xml.rels><?xml version="1.0" encoding="UTF-8"?>
<Relationships xmlns="http://schemas.openxmlformats.org/package/2006/relationships"><Relationship Id="rId1" Type="http://schemas.microsoft.com/office/2011/relationships/chartStyle" Target="style35.xml"/><Relationship Id="rId2" Type="http://schemas.microsoft.com/office/2011/relationships/chartColorStyle" Target="colors35.xml"/>
</Relationships>
</file>

<file path=xl/charts/_rels/chart36.xml.rels><?xml version="1.0" encoding="UTF-8"?>
<Relationships xmlns="http://schemas.openxmlformats.org/package/2006/relationships"><Relationship Id="rId1" Type="http://schemas.microsoft.com/office/2011/relationships/chartStyle" Target="style36.xml"/><Relationship Id="rId2" Type="http://schemas.microsoft.com/office/2011/relationships/chartColorStyle" Target="colors36.xml"/>
</Relationships>
</file>

<file path=xl/charts/_rels/chart37.xml.rels><?xml version="1.0" encoding="UTF-8"?>
<Relationships xmlns="http://schemas.openxmlformats.org/package/2006/relationships"><Relationship Id="rId1" Type="http://schemas.microsoft.com/office/2011/relationships/chartStyle" Target="style37.xml"/><Relationship Id="rId2" Type="http://schemas.microsoft.com/office/2011/relationships/chartColorStyle" Target="colors37.xml"/>
</Relationships>
</file>

<file path=xl/charts/_rels/chart38.xml.rels><?xml version="1.0" encoding="UTF-8"?>
<Relationships xmlns="http://schemas.openxmlformats.org/package/2006/relationships"><Relationship Id="rId1" Type="http://schemas.microsoft.com/office/2011/relationships/chartStyle" Target="style38.xml"/><Relationship Id="rId2" Type="http://schemas.microsoft.com/office/2011/relationships/chartColorStyle" Target="colors38.xml"/>
</Relationships>
</file>

<file path=xl/charts/_rels/chart39.xml.rels><?xml version="1.0" encoding="UTF-8"?>
<Relationships xmlns="http://schemas.openxmlformats.org/package/2006/relationships"><Relationship Id="rId1" Type="http://schemas.microsoft.com/office/2011/relationships/chartStyle" Target="style39.xml"/><Relationship Id="rId2" Type="http://schemas.microsoft.com/office/2011/relationships/chartColorStyle" Target="colors39.xml"/>
</Relationships>
</file>

<file path=xl/charts/_rels/chart40.xml.rels><?xml version="1.0" encoding="UTF-8"?>
<Relationships xmlns="http://schemas.openxmlformats.org/package/2006/relationships"><Relationship Id="rId1" Type="http://schemas.microsoft.com/office/2011/relationships/chartStyle" Target="style40.xml"/><Relationship Id="rId2" Type="http://schemas.microsoft.com/office/2011/relationships/chartColorStyle" Target="colors40.xml"/>
</Relationships>
</file>

<file path=xl/charts/_rels/chart41.xml.rels><?xml version="1.0" encoding="UTF-8"?>
<Relationships xmlns="http://schemas.openxmlformats.org/package/2006/relationships"><Relationship Id="rId1" Type="http://schemas.microsoft.com/office/2011/relationships/chartStyle" Target="style41.xml"/><Relationship Id="rId2" Type="http://schemas.microsoft.com/office/2011/relationships/chartColorStyle" Target="colors41.xml"/>
</Relationships>
</file>

<file path=xl/charts/_rels/chart42.xml.rels><?xml version="1.0" encoding="UTF-8"?>
<Relationships xmlns="http://schemas.openxmlformats.org/package/2006/relationships"><Relationship Id="rId1" Type="http://schemas.microsoft.com/office/2011/relationships/chartStyle" Target="style42.xml"/><Relationship Id="rId2" Type="http://schemas.microsoft.com/office/2011/relationships/chartColorStyle" Target="colors42.xml"/>
</Relationships>
</file>

<file path=xl/charts/_rels/chart43.xml.rels><?xml version="1.0" encoding="UTF-8"?>
<Relationships xmlns="http://schemas.openxmlformats.org/package/2006/relationships"><Relationship Id="rId1" Type="http://schemas.microsoft.com/office/2011/relationships/chartStyle" Target="style43.xml"/><Relationship Id="rId2" Type="http://schemas.microsoft.com/office/2011/relationships/chartColorStyle" Target="colors43.xml"/>
</Relationships>
</file>

<file path=xl/charts/_rels/chart44.xml.rels><?xml version="1.0" encoding="UTF-8"?>
<Relationships xmlns="http://schemas.openxmlformats.org/package/2006/relationships"><Relationship Id="rId1" Type="http://schemas.microsoft.com/office/2011/relationships/chartStyle" Target="style44.xml"/><Relationship Id="rId2" Type="http://schemas.microsoft.com/office/2011/relationships/chartColorStyle" Target="colors44.xml"/>
</Relationships>
</file>

<file path=xl/charts/_rels/chart45.xml.rels><?xml version="1.0" encoding="UTF-8"?>
<Relationships xmlns="http://schemas.openxmlformats.org/package/2006/relationships"><Relationship Id="rId1" Type="http://schemas.microsoft.com/office/2011/relationships/chartStyle" Target="style45.xml"/><Relationship Id="rId2" Type="http://schemas.microsoft.com/office/2011/relationships/chartColorStyle" Target="colors45.xml"/>
</Relationships>
</file>

<file path=xl/charts/_rels/chart46.xml.rels><?xml version="1.0" encoding="UTF-8"?>
<Relationships xmlns="http://schemas.openxmlformats.org/package/2006/relationships"><Relationship Id="rId1" Type="http://schemas.microsoft.com/office/2011/relationships/chartStyle" Target="style46.xml"/><Relationship Id="rId2" Type="http://schemas.microsoft.com/office/2011/relationships/chartColorStyle" Target="colors46.xml"/>
</Relationships>
</file>

<file path=xl/charts/_rels/chart47.xml.rels><?xml version="1.0" encoding="UTF-8"?>
<Relationships xmlns="http://schemas.openxmlformats.org/package/2006/relationships"><Relationship Id="rId1" Type="http://schemas.microsoft.com/office/2011/relationships/chartStyle" Target="style47.xml"/><Relationship Id="rId2" Type="http://schemas.microsoft.com/office/2011/relationships/chartColorStyle" Target="colors47.xml"/>
</Relationships>
</file>

<file path=xl/charts/_rels/chart48.xml.rels><?xml version="1.0" encoding="UTF-8"?>
<Relationships xmlns="http://schemas.openxmlformats.org/package/2006/relationships"><Relationship Id="rId1" Type="http://schemas.microsoft.com/office/2011/relationships/chartStyle" Target="style48.xml"/><Relationship Id="rId2" Type="http://schemas.microsoft.com/office/2011/relationships/chartColorStyle" Target="colors48.xml"/>
</Relationships>
</file>

<file path=xl/charts/_rels/chart49.xml.rels><?xml version="1.0" encoding="UTF-8"?>
<Relationships xmlns="http://schemas.openxmlformats.org/package/2006/relationships"><Relationship Id="rId1" Type="http://schemas.microsoft.com/office/2011/relationships/chartStyle" Target="style49.xml"/><Relationship Id="rId2" Type="http://schemas.microsoft.com/office/2011/relationships/chartColorStyle" Target="colors49.xml"/>
</Relationships>
</file>

<file path=xl/charts/_rels/chart50.xml.rels><?xml version="1.0" encoding="UTF-8"?>
<Relationships xmlns="http://schemas.openxmlformats.org/package/2006/relationships"><Relationship Id="rId1" Type="http://schemas.microsoft.com/office/2011/relationships/chartStyle" Target="style50.xml"/><Relationship Id="rId2" Type="http://schemas.microsoft.com/office/2011/relationships/chartColorStyle" Target="colors50.xml"/>
</Relationships>
</file>

<file path=xl/charts/_rels/chart51.xml.rels><?xml version="1.0" encoding="UTF-8"?>
<Relationships xmlns="http://schemas.openxmlformats.org/package/2006/relationships"><Relationship Id="rId1" Type="http://schemas.microsoft.com/office/2011/relationships/chartStyle" Target="style51.xml"/><Relationship Id="rId2" Type="http://schemas.microsoft.com/office/2011/relationships/chartColorStyle" Target="colors51.xml"/>
</Relationships>
</file>

<file path=xl/charts/_rels/chart52.xml.rels><?xml version="1.0" encoding="UTF-8"?>
<Relationships xmlns="http://schemas.openxmlformats.org/package/2006/relationships"><Relationship Id="rId1" Type="http://schemas.microsoft.com/office/2011/relationships/chartStyle" Target="style52.xml"/><Relationship Id="rId2" Type="http://schemas.microsoft.com/office/2011/relationships/chartColorStyle" Target="colors52.xml"/>
</Relationships>
</file>

<file path=xl/charts/_rels/chart53.xml.rels><?xml version="1.0" encoding="UTF-8"?>
<Relationships xmlns="http://schemas.openxmlformats.org/package/2006/relationships"><Relationship Id="rId1" Type="http://schemas.microsoft.com/office/2011/relationships/chartStyle" Target="style53.xml"/><Relationship Id="rId2" Type="http://schemas.microsoft.com/office/2011/relationships/chartColorStyle" Target="colors53.xml"/>
</Relationships>
</file>

<file path=xl/charts/_rels/chart54.xml.rels><?xml version="1.0" encoding="UTF-8"?>
<Relationships xmlns="http://schemas.openxmlformats.org/package/2006/relationships"><Relationship Id="rId1" Type="http://schemas.microsoft.com/office/2011/relationships/chartStyle" Target="style54.xml"/><Relationship Id="rId2" Type="http://schemas.microsoft.com/office/2011/relationships/chartColorStyle" Target="colors54.xml"/>
</Relationships>
</file>

<file path=xl/charts/_rels/chart55.xml.rels><?xml version="1.0" encoding="UTF-8"?>
<Relationships xmlns="http://schemas.openxmlformats.org/package/2006/relationships"><Relationship Id="rId1" Type="http://schemas.microsoft.com/office/2011/relationships/chartStyle" Target="style55.xml"/><Relationship Id="rId2" Type="http://schemas.microsoft.com/office/2011/relationships/chartColorStyle" Target="colors55.xml"/>
</Relationships>
</file>

<file path=xl/charts/_rels/chart56.xml.rels><?xml version="1.0" encoding="UTF-8"?>
<Relationships xmlns="http://schemas.openxmlformats.org/package/2006/relationships"><Relationship Id="rId1" Type="http://schemas.microsoft.com/office/2011/relationships/chartStyle" Target="style56.xml"/><Relationship Id="rId2" Type="http://schemas.microsoft.com/office/2011/relationships/chartColorStyle" Target="colors56.xml"/>
</Relationships>
</file>

<file path=xl/charts/_rels/chart57.xml.rels><?xml version="1.0" encoding="UTF-8"?>
<Relationships xmlns="http://schemas.openxmlformats.org/package/2006/relationships"><Relationship Id="rId1" Type="http://schemas.microsoft.com/office/2011/relationships/chartStyle" Target="style57.xml"/><Relationship Id="rId2" Type="http://schemas.microsoft.com/office/2011/relationships/chartColorStyle" Target="colors57.xml"/>
</Relationships>
</file>

<file path=xl/charts/_rels/chart58.xml.rels><?xml version="1.0" encoding="UTF-8"?>
<Relationships xmlns="http://schemas.openxmlformats.org/package/2006/relationships"><Relationship Id="rId1" Type="http://schemas.microsoft.com/office/2011/relationships/chartStyle" Target="style58.xml"/><Relationship Id="rId2" Type="http://schemas.microsoft.com/office/2011/relationships/chartColorStyle" Target="colors58.xml"/>
</Relationships>
</file>

<file path=xl/charts/_rels/chart59.xml.rels><?xml version="1.0" encoding="UTF-8"?>
<Relationships xmlns="http://schemas.openxmlformats.org/package/2006/relationships"><Relationship Id="rId1" Type="http://schemas.microsoft.com/office/2011/relationships/chartStyle" Target="style59.xml"/><Relationship Id="rId2" Type="http://schemas.microsoft.com/office/2011/relationships/chartColorStyle" Target="colors59.xml"/>
</Relationships>
</file>

<file path=xl/charts/_rels/chart60.xml.rels><?xml version="1.0" encoding="UTF-8"?>
<Relationships xmlns="http://schemas.openxmlformats.org/package/2006/relationships"><Relationship Id="rId1" Type="http://schemas.microsoft.com/office/2011/relationships/chartStyle" Target="style60.xml"/><Relationship Id="rId2" Type="http://schemas.microsoft.com/office/2011/relationships/chartColorStyle" Target="colors60.xml"/>
</Relationships>
</file>

<file path=xl/charts/_rels/chart61.xml.rels><?xml version="1.0" encoding="UTF-8"?>
<Relationships xmlns="http://schemas.openxmlformats.org/package/2006/relationships"><Relationship Id="rId1" Type="http://schemas.microsoft.com/office/2011/relationships/chartStyle" Target="style61.xml"/><Relationship Id="rId2" Type="http://schemas.microsoft.com/office/2011/relationships/chartColorStyle" Target="colors61.xml"/>
</Relationships>
</file>

<file path=xl/charts/_rels/chart62.xml.rels><?xml version="1.0" encoding="UTF-8"?>
<Relationships xmlns="http://schemas.openxmlformats.org/package/2006/relationships"><Relationship Id="rId1" Type="http://schemas.microsoft.com/office/2011/relationships/chartStyle" Target="style62.xml"/><Relationship Id="rId2" Type="http://schemas.microsoft.com/office/2011/relationships/chartColorStyle" Target="colors62.xml"/>
</Relationships>
</file>

<file path=xl/charts/_rels/chart63.xml.rels><?xml version="1.0" encoding="UTF-8"?>
<Relationships xmlns="http://schemas.openxmlformats.org/package/2006/relationships"><Relationship Id="rId1" Type="http://schemas.microsoft.com/office/2011/relationships/chartStyle" Target="style63.xml"/><Relationship Id="rId2" Type="http://schemas.microsoft.com/office/2011/relationships/chartColorStyle" Target="colors63.xml"/>
</Relationships>
</file>

<file path=xl/charts/_rels/chart64.xml.rels><?xml version="1.0" encoding="UTF-8"?>
<Relationships xmlns="http://schemas.openxmlformats.org/package/2006/relationships"><Relationship Id="rId1" Type="http://schemas.microsoft.com/office/2011/relationships/chartStyle" Target="style64.xml"/><Relationship Id="rId2" Type="http://schemas.microsoft.com/office/2011/relationships/chartColorStyle" Target="colors64.xml"/>
</Relationships>
</file>

<file path=xl/charts/_rels/chart65.xml.rels><?xml version="1.0" encoding="UTF-8"?>
<Relationships xmlns="http://schemas.openxmlformats.org/package/2006/relationships"><Relationship Id="rId1" Type="http://schemas.microsoft.com/office/2011/relationships/chartStyle" Target="style65.xml"/><Relationship Id="rId2" Type="http://schemas.microsoft.com/office/2011/relationships/chartColorStyle" Target="colors65.xml"/>
</Relationships>
</file>

<file path=xl/charts/_rels/chart66.xml.rels><?xml version="1.0" encoding="UTF-8"?>
<Relationships xmlns="http://schemas.openxmlformats.org/package/2006/relationships"><Relationship Id="rId1" Type="http://schemas.microsoft.com/office/2011/relationships/chartStyle" Target="style66.xml"/><Relationship Id="rId2" Type="http://schemas.microsoft.com/office/2011/relationships/chartColorStyle" Target="colors66.xml"/>
</Relationships>
</file>

<file path=xl/charts/_rels/chart67.xml.rels><?xml version="1.0" encoding="UTF-8"?>
<Relationships xmlns="http://schemas.openxmlformats.org/package/2006/relationships"><Relationship Id="rId1" Type="http://schemas.microsoft.com/office/2011/relationships/chartStyle" Target="style67.xml"/><Relationship Id="rId2" Type="http://schemas.microsoft.com/office/2011/relationships/chartColorStyle" Target="colors67.xml"/>
</Relationships>
</file>

<file path=xl/charts/_rels/chart68.xml.rels><?xml version="1.0" encoding="UTF-8"?>
<Relationships xmlns="http://schemas.openxmlformats.org/package/2006/relationships"><Relationship Id="rId1" Type="http://schemas.microsoft.com/office/2011/relationships/chartStyle" Target="style68.xml"/><Relationship Id="rId2" Type="http://schemas.microsoft.com/office/2011/relationships/chartColorStyle" Target="colors68.xml"/>
</Relationships>
</file>

<file path=xl/charts/_rels/chart69.xml.rels><?xml version="1.0" encoding="UTF-8"?>
<Relationships xmlns="http://schemas.openxmlformats.org/package/2006/relationships"><Relationship Id="rId1" Type="http://schemas.microsoft.com/office/2011/relationships/chartStyle" Target="style69.xml"/><Relationship Id="rId2" Type="http://schemas.microsoft.com/office/2011/relationships/chartColorStyle" Target="colors69.xml"/>
</Relationships>
</file>

<file path=xl/charts/_rels/chart70.xml.rels><?xml version="1.0" encoding="UTF-8"?>
<Relationships xmlns="http://schemas.openxmlformats.org/package/2006/relationships"><Relationship Id="rId1" Type="http://schemas.microsoft.com/office/2011/relationships/chartStyle" Target="style70.xml"/><Relationship Id="rId2" Type="http://schemas.microsoft.com/office/2011/relationships/chartColorStyle" Target="colors70.xml"/>
</Relationships>
</file>

<file path=xl/charts/_rels/chart71.xml.rels><?xml version="1.0" encoding="UTF-8"?>
<Relationships xmlns="http://schemas.openxmlformats.org/package/2006/relationships"><Relationship Id="rId1" Type="http://schemas.microsoft.com/office/2011/relationships/chartStyle" Target="style71.xml"/><Relationship Id="rId2" Type="http://schemas.microsoft.com/office/2011/relationships/chartColorStyle" Target="colors71.xml"/>
</Relationships>
</file>

<file path=xl/charts/_rels/chart72.xml.rels><?xml version="1.0" encoding="UTF-8"?>
<Relationships xmlns="http://schemas.openxmlformats.org/package/2006/relationships"><Relationship Id="rId1" Type="http://schemas.microsoft.com/office/2011/relationships/chartStyle" Target="style72.xml"/><Relationship Id="rId2" Type="http://schemas.microsoft.com/office/2011/relationships/chartColorStyle" Target="colors72.xml"/>
</Relationships>
</file>

<file path=xl/charts/_rels/chart73.xml.rels><?xml version="1.0" encoding="UTF-8"?>
<Relationships xmlns="http://schemas.openxmlformats.org/package/2006/relationships"><Relationship Id="rId1" Type="http://schemas.microsoft.com/office/2011/relationships/chartStyle" Target="style73.xml"/><Relationship Id="rId2" Type="http://schemas.microsoft.com/office/2011/relationships/chartColorStyle" Target="colors73.xml"/>
</Relationships>
</file>

<file path=xl/charts/_rels/chart74.xml.rels><?xml version="1.0" encoding="UTF-8"?>
<Relationships xmlns="http://schemas.openxmlformats.org/package/2006/relationships"><Relationship Id="rId1" Type="http://schemas.microsoft.com/office/2011/relationships/chartStyle" Target="style74.xml"/><Relationship Id="rId2" Type="http://schemas.microsoft.com/office/2011/relationships/chartColorStyle" Target="colors74.xml"/>
</Relationships>
</file>

<file path=xl/charts/_rels/chart75.xml.rels><?xml version="1.0" encoding="UTF-8"?>
<Relationships xmlns="http://schemas.openxmlformats.org/package/2006/relationships"><Relationship Id="rId1" Type="http://schemas.microsoft.com/office/2011/relationships/chartStyle" Target="style75.xml"/><Relationship Id="rId2" Type="http://schemas.microsoft.com/office/2011/relationships/chartColorStyle" Target="colors75.xml"/>
</Relationships>
</file>

<file path=xl/charts/_rels/chart76.xml.rels><?xml version="1.0" encoding="UTF-8"?>
<Relationships xmlns="http://schemas.openxmlformats.org/package/2006/relationships"><Relationship Id="rId1" Type="http://schemas.microsoft.com/office/2011/relationships/chartStyle" Target="style76.xml"/><Relationship Id="rId2" Type="http://schemas.microsoft.com/office/2011/relationships/chartColorStyle" Target="colors76.xml"/>
</Relationships>
</file>

<file path=xl/charts/_rels/chart77.xml.rels><?xml version="1.0" encoding="UTF-8"?>
<Relationships xmlns="http://schemas.openxmlformats.org/package/2006/relationships"><Relationship Id="rId1" Type="http://schemas.microsoft.com/office/2011/relationships/chartStyle" Target="style77.xml"/><Relationship Id="rId2" Type="http://schemas.microsoft.com/office/2011/relationships/chartColorStyle" Target="colors77.xml"/>
</Relationships>
</file>

<file path=xl/charts/_rels/chart78.xml.rels><?xml version="1.0" encoding="UTF-8"?>
<Relationships xmlns="http://schemas.openxmlformats.org/package/2006/relationships"><Relationship Id="rId1" Type="http://schemas.microsoft.com/office/2011/relationships/chartStyle" Target="style78.xml"/><Relationship Id="rId2" Type="http://schemas.microsoft.com/office/2011/relationships/chartColorStyle" Target="colors78.xml"/>
</Relationships>
</file>

<file path=xl/charts/_rels/chart79.xml.rels><?xml version="1.0" encoding="UTF-8"?>
<Relationships xmlns="http://schemas.openxmlformats.org/package/2006/relationships"><Relationship Id="rId1" Type="http://schemas.microsoft.com/office/2011/relationships/chartStyle" Target="style79.xml"/><Relationship Id="rId2" Type="http://schemas.microsoft.com/office/2011/relationships/chartColorStyle" Target="colors79.xml"/>
</Relationships>
</file>

<file path=xl/charts/_rels/chart80.xml.rels><?xml version="1.0" encoding="UTF-8"?>
<Relationships xmlns="http://schemas.openxmlformats.org/package/2006/relationships"><Relationship Id="rId1" Type="http://schemas.microsoft.com/office/2011/relationships/chartStyle" Target="style80.xml"/><Relationship Id="rId2" Type="http://schemas.microsoft.com/office/2011/relationships/chartColorStyle" Target="colors80.xml"/>
</Relationships>
</file>

<file path=xl/charts/_rels/chart81.xml.rels><?xml version="1.0" encoding="UTF-8"?>
<Relationships xmlns="http://schemas.openxmlformats.org/package/2006/relationships"><Relationship Id="rId1" Type="http://schemas.microsoft.com/office/2011/relationships/chartStyle" Target="style81.xml"/><Relationship Id="rId2" Type="http://schemas.microsoft.com/office/2011/relationships/chartColorStyle" Target="colors81.xml"/>
</Relationships>
</file>

<file path=xl/charts/_rels/chart82.xml.rels><?xml version="1.0" encoding="UTF-8"?>
<Relationships xmlns="http://schemas.openxmlformats.org/package/2006/relationships"><Relationship Id="rId1" Type="http://schemas.microsoft.com/office/2011/relationships/chartStyle" Target="style82.xml"/><Relationship Id="rId2" Type="http://schemas.microsoft.com/office/2011/relationships/chartColorStyle" Target="colors82.xml"/>
</Relationships>
</file>

<file path=xl/charts/_rels/chart83.xml.rels><?xml version="1.0" encoding="UTF-8"?>
<Relationships xmlns="http://schemas.openxmlformats.org/package/2006/relationships"><Relationship Id="rId1" Type="http://schemas.microsoft.com/office/2011/relationships/chartStyle" Target="style83.xml"/><Relationship Id="rId2" Type="http://schemas.microsoft.com/office/2011/relationships/chartColorStyle" Target="colors83.xml"/>
</Relationships>
</file>

<file path=xl/charts/_rels/chart84.xml.rels><?xml version="1.0" encoding="UTF-8"?>
<Relationships xmlns="http://schemas.openxmlformats.org/package/2006/relationships"><Relationship Id="rId1" Type="http://schemas.microsoft.com/office/2011/relationships/chartStyle" Target="style84.xml"/><Relationship Id="rId2" Type="http://schemas.microsoft.com/office/2011/relationships/chartColorStyle" Target="colors84.xml"/>
</Relationships>
</file>

<file path=xl/charts/_rels/chart85.xml.rels><?xml version="1.0" encoding="UTF-8"?>
<Relationships xmlns="http://schemas.openxmlformats.org/package/2006/relationships"><Relationship Id="rId1" Type="http://schemas.microsoft.com/office/2011/relationships/chartStyle" Target="style85.xml"/><Relationship Id="rId2" Type="http://schemas.microsoft.com/office/2011/relationships/chartColorStyle" Target="colors85.xml"/>
</Relationships>
</file>

<file path=xl/charts/_rels/chart86.xml.rels><?xml version="1.0" encoding="UTF-8"?>
<Relationships xmlns="http://schemas.openxmlformats.org/package/2006/relationships"><Relationship Id="rId1" Type="http://schemas.microsoft.com/office/2011/relationships/chartStyle" Target="style86.xml"/><Relationship Id="rId2" Type="http://schemas.microsoft.com/office/2011/relationships/chartColorStyle" Target="colors86.xml"/>
</Relationships>
</file>

<file path=xl/charts/_rels/chart87.xml.rels><?xml version="1.0" encoding="UTF-8"?>
<Relationships xmlns="http://schemas.openxmlformats.org/package/2006/relationships"><Relationship Id="rId1" Type="http://schemas.microsoft.com/office/2011/relationships/chartStyle" Target="style87.xml"/><Relationship Id="rId2" Type="http://schemas.microsoft.com/office/2011/relationships/chartColorStyle" Target="colors87.xml"/>
</Relationships>
</file>

<file path=xl/charts/_rels/chart88.xml.rels><?xml version="1.0" encoding="UTF-8"?>
<Relationships xmlns="http://schemas.openxmlformats.org/package/2006/relationships"><Relationship Id="rId1" Type="http://schemas.microsoft.com/office/2011/relationships/chartStyle" Target="style88.xml"/><Relationship Id="rId2" Type="http://schemas.microsoft.com/office/2011/relationships/chartColorStyle" Target="colors88.xml"/>
</Relationships>
</file>

<file path=xl/charts/_rels/chart89.xml.rels><?xml version="1.0" encoding="UTF-8"?>
<Relationships xmlns="http://schemas.openxmlformats.org/package/2006/relationships"><Relationship Id="rId1" Type="http://schemas.microsoft.com/office/2011/relationships/chartStyle" Target="style89.xml"/><Relationship Id="rId2" Type="http://schemas.microsoft.com/office/2011/relationships/chartColorStyle" Target="colors89.xml"/>
</Relationships>
</file>

<file path=xl/charts/_rels/chart90.xml.rels><?xml version="1.0" encoding="UTF-8"?>
<Relationships xmlns="http://schemas.openxmlformats.org/package/2006/relationships"><Relationship Id="rId1" Type="http://schemas.microsoft.com/office/2011/relationships/chartStyle" Target="style90.xml"/><Relationship Id="rId2" Type="http://schemas.microsoft.com/office/2011/relationships/chartColorStyle" Target="colors90.xml"/>
</Relationships>
</file>

<file path=xl/charts/_rels/chart91.xml.rels><?xml version="1.0" encoding="UTF-8"?>
<Relationships xmlns="http://schemas.openxmlformats.org/package/2006/relationships"><Relationship Id="rId1" Type="http://schemas.microsoft.com/office/2011/relationships/chartStyle" Target="style91.xml"/><Relationship Id="rId2" Type="http://schemas.microsoft.com/office/2011/relationships/chartColorStyle" Target="colors91.xml"/>
</Relationships>
</file>

<file path=xl/charts/_rels/chart92.xml.rels><?xml version="1.0" encoding="UTF-8"?>
<Relationships xmlns="http://schemas.openxmlformats.org/package/2006/relationships"><Relationship Id="rId1" Type="http://schemas.microsoft.com/office/2011/relationships/chartStyle" Target="style92.xml"/><Relationship Id="rId2" Type="http://schemas.microsoft.com/office/2011/relationships/chartColorStyle" Target="colors92.xml"/>
</Relationships>
</file>

<file path=xl/charts/_rels/chart93.xml.rels><?xml version="1.0" encoding="UTF-8"?>
<Relationships xmlns="http://schemas.openxmlformats.org/package/2006/relationships"><Relationship Id="rId1" Type="http://schemas.microsoft.com/office/2011/relationships/chartStyle" Target="style93.xml"/><Relationship Id="rId2" Type="http://schemas.microsoft.com/office/2011/relationships/chartColorStyle" Target="colors93.xml"/>
</Relationships>
</file>

<file path=xl/charts/_rels/chart94.xml.rels><?xml version="1.0" encoding="UTF-8"?>
<Relationships xmlns="http://schemas.openxmlformats.org/package/2006/relationships"><Relationship Id="rId1" Type="http://schemas.microsoft.com/office/2011/relationships/chartStyle" Target="style94.xml"/><Relationship Id="rId2" Type="http://schemas.microsoft.com/office/2011/relationships/chartColorStyle" Target="colors94.xml"/>
</Relationships>
</file>

<file path=xl/charts/_rels/chart95.xml.rels><?xml version="1.0" encoding="UTF-8"?>
<Relationships xmlns="http://schemas.openxmlformats.org/package/2006/relationships"><Relationship Id="rId1" Type="http://schemas.microsoft.com/office/2011/relationships/chartStyle" Target="style95.xml"/><Relationship Id="rId2" Type="http://schemas.microsoft.com/office/2011/relationships/chartColorStyle" Target="colors95.xml"/>
</Relationships>
</file>

<file path=xl/charts/_rels/chart96.xml.rels><?xml version="1.0" encoding="UTF-8"?>
<Relationships xmlns="http://schemas.openxmlformats.org/package/2006/relationships"><Relationship Id="rId1" Type="http://schemas.microsoft.com/office/2011/relationships/chartStyle" Target="style96.xml"/><Relationship Id="rId2" Type="http://schemas.microsoft.com/office/2011/relationships/chartColorStyle" Target="colors96.xml"/>
</Relationships>
</file>

<file path=xl/charts/_rels/chart97.xml.rels><?xml version="1.0" encoding="UTF-8"?>
<Relationships xmlns="http://schemas.openxmlformats.org/package/2006/relationships"><Relationship Id="rId1" Type="http://schemas.microsoft.com/office/2011/relationships/chartStyle" Target="style97.xml"/><Relationship Id="rId2" Type="http://schemas.microsoft.com/office/2011/relationships/chartColorStyle" Target="colors97.xml"/>
</Relationships>
</file>

<file path=xl/charts/_rels/chart98.xml.rels><?xml version="1.0" encoding="UTF-8"?>
<Relationships xmlns="http://schemas.openxmlformats.org/package/2006/relationships"><Relationship Id="rId1" Type="http://schemas.microsoft.com/office/2011/relationships/chartStyle" Target="style98.xml"/><Relationship Id="rId2" Type="http://schemas.microsoft.com/office/2011/relationships/chartColorStyle" Target="colors98.xml"/>
</Relationships>
</file>

<file path=xl/charts/_rels/chart99.xml.rels><?xml version="1.0" encoding="UTF-8"?>
<Relationships xmlns="http://schemas.openxmlformats.org/package/2006/relationships"><Relationship Id="rId1" Type="http://schemas.microsoft.com/office/2011/relationships/chartStyle" Target="style99.xml"/><Relationship Id="rId2" Type="http://schemas.microsoft.com/office/2011/relationships/chartColorStyle" Target="colors99.xml"/>
</Relationships>
</file>

<file path=xl/charts/_rels/chart100.xml.rels><?xml version="1.0" encoding="UTF-8"?>
<Relationships xmlns="http://schemas.openxmlformats.org/package/2006/relationships"><Relationship Id="rId1" Type="http://schemas.microsoft.com/office/2011/relationships/chartStyle" Target="style100.xml"/><Relationship Id="rId2" Type="http://schemas.microsoft.com/office/2011/relationships/chartColorStyle" Target="colors100.xml"/>
</Relationships>
</file>

<file path=xl/charts/_rels/chart101.xml.rels><?xml version="1.0" encoding="UTF-8"?>
<Relationships xmlns="http://schemas.openxmlformats.org/package/2006/relationships"><Relationship Id="rId1" Type="http://schemas.microsoft.com/office/2011/relationships/chartStyle" Target="style101.xml"/><Relationship Id="rId2" Type="http://schemas.microsoft.com/office/2011/relationships/chartColorStyle" Target="colors101.xml"/>
</Relationships>
</file>

<file path=xl/charts/_rels/chart102.xml.rels><?xml version="1.0" encoding="UTF-8"?>
<Relationships xmlns="http://schemas.openxmlformats.org/package/2006/relationships"><Relationship Id="rId1" Type="http://schemas.microsoft.com/office/2011/relationships/chartStyle" Target="style102.xml"/><Relationship Id="rId2" Type="http://schemas.microsoft.com/office/2011/relationships/chartColorStyle" Target="colors102.xml"/>
</Relationships>
</file>

<file path=xl/charts/_rels/chart103.xml.rels><?xml version="1.0" encoding="UTF-8"?>
<Relationships xmlns="http://schemas.openxmlformats.org/package/2006/relationships"><Relationship Id="rId1" Type="http://schemas.microsoft.com/office/2011/relationships/chartStyle" Target="style103.xml"/><Relationship Id="rId2" Type="http://schemas.microsoft.com/office/2011/relationships/chartColorStyle" Target="colors103.xml"/>
</Relationships>
</file>

<file path=xl/charts/_rels/chart104.xml.rels><?xml version="1.0" encoding="UTF-8"?>
<Relationships xmlns="http://schemas.openxmlformats.org/package/2006/relationships"><Relationship Id="rId1" Type="http://schemas.microsoft.com/office/2011/relationships/chartStyle" Target="style104.xml"/><Relationship Id="rId2" Type="http://schemas.microsoft.com/office/2011/relationships/chartColorStyle" Target="colors104.xml"/>
</Relationships>
</file>

<file path=xl/charts/_rels/chart105.xml.rels><?xml version="1.0" encoding="UTF-8"?>
<Relationships xmlns="http://schemas.openxmlformats.org/package/2006/relationships"><Relationship Id="rId1" Type="http://schemas.microsoft.com/office/2011/relationships/chartStyle" Target="style105.xml"/><Relationship Id="rId2" Type="http://schemas.microsoft.com/office/2011/relationships/chartColorStyle" Target="colors105.xml"/>
</Relationships>
</file>

<file path=xl/charts/_rels/chart106.xml.rels><?xml version="1.0" encoding="UTF-8"?>
<Relationships xmlns="http://schemas.openxmlformats.org/package/2006/relationships"><Relationship Id="rId1" Type="http://schemas.microsoft.com/office/2011/relationships/chartStyle" Target="style106.xml"/><Relationship Id="rId2" Type="http://schemas.microsoft.com/office/2011/relationships/chartColorStyle" Target="colors106.xml"/>
</Relationships>
</file>

<file path=xl/charts/_rels/chart107.xml.rels><?xml version="1.0" encoding="UTF-8"?>
<Relationships xmlns="http://schemas.openxmlformats.org/package/2006/relationships"><Relationship Id="rId1" Type="http://schemas.microsoft.com/office/2011/relationships/chartStyle" Target="style107.xml"/><Relationship Id="rId2" Type="http://schemas.microsoft.com/office/2011/relationships/chartColorStyle" Target="colors107.xml"/>
</Relationships>
</file>

<file path=xl/charts/_rels/chart108.xml.rels><?xml version="1.0" encoding="UTF-8"?>
<Relationships xmlns="http://schemas.openxmlformats.org/package/2006/relationships"><Relationship Id="rId1" Type="http://schemas.microsoft.com/office/2011/relationships/chartStyle" Target="style108.xml"/><Relationship Id="rId2" Type="http://schemas.microsoft.com/office/2011/relationships/chartColorStyle" Target="colors108.xml"/>
</Relationships>
</file>

<file path=xl/charts/_rels/chart109.xml.rels><?xml version="1.0" encoding="UTF-8"?>
<Relationships xmlns="http://schemas.openxmlformats.org/package/2006/relationships"><Relationship Id="rId1" Type="http://schemas.microsoft.com/office/2011/relationships/chartStyle" Target="style109.xml"/><Relationship Id="rId2" Type="http://schemas.microsoft.com/office/2011/relationships/chartColorStyle" Target="colors109.xml"/>
</Relationships>
</file>

<file path=xl/charts/_rels/chart110.xml.rels><?xml version="1.0" encoding="UTF-8"?>
<Relationships xmlns="http://schemas.openxmlformats.org/package/2006/relationships"><Relationship Id="rId1" Type="http://schemas.microsoft.com/office/2011/relationships/chartStyle" Target="style110.xml"/><Relationship Id="rId2" Type="http://schemas.microsoft.com/office/2011/relationships/chartColorStyle" Target="colors110.xml"/>
</Relationships>
</file>

<file path=xl/charts/_rels/chart111.xml.rels><?xml version="1.0" encoding="UTF-8"?>
<Relationships xmlns="http://schemas.openxmlformats.org/package/2006/relationships"><Relationship Id="rId1" Type="http://schemas.microsoft.com/office/2011/relationships/chartStyle" Target="style111.xml"/><Relationship Id="rId2" Type="http://schemas.microsoft.com/office/2011/relationships/chartColorStyle" Target="colors111.xml"/>
</Relationships>
</file>

<file path=xl/charts/_rels/chart112.xml.rels><?xml version="1.0" encoding="UTF-8"?>
<Relationships xmlns="http://schemas.openxmlformats.org/package/2006/relationships"><Relationship Id="rId1" Type="http://schemas.microsoft.com/office/2011/relationships/chartStyle" Target="style112.xml"/><Relationship Id="rId2" Type="http://schemas.microsoft.com/office/2011/relationships/chartColorStyle" Target="colors112.xml"/>
</Relationships>
</file>

<file path=xl/charts/_rels/chart113.xml.rels><?xml version="1.0" encoding="UTF-8"?>
<Relationships xmlns="http://schemas.openxmlformats.org/package/2006/relationships"><Relationship Id="rId1" Type="http://schemas.microsoft.com/office/2011/relationships/chartStyle" Target="style113.xml"/><Relationship Id="rId2" Type="http://schemas.microsoft.com/office/2011/relationships/chartColorStyle" Target="colors113.xml"/>
</Relationships>
</file>

<file path=xl/charts/_rels/chart114.xml.rels><?xml version="1.0" encoding="UTF-8"?>
<Relationships xmlns="http://schemas.openxmlformats.org/package/2006/relationships"><Relationship Id="rId1" Type="http://schemas.microsoft.com/office/2011/relationships/chartStyle" Target="style114.xml"/><Relationship Id="rId2" Type="http://schemas.microsoft.com/office/2011/relationships/chartColorStyle" Target="colors114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Kills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12069612182132"/>
          <c:y val="0.107546481954065"/>
          <c:w val="0.860550596354362"/>
          <c:h val="0.729857819905213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"Kills"</c:f>
              <c:strCache>
                <c:ptCount val="1"/>
                <c:pt idx="0">
                  <c:v>Kills</c:v>
                </c:pt>
              </c:strCache>
            </c:strRef>
          </c:tx>
          <c:spPr>
            <a:solidFill>
              <a:srgbClr val="196B24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5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SPRING2026!$I$29:$I$44</c:f>
              <c:strCache>
                <c:ptCount val="16"/>
                <c:pt idx="0">
                  <c:v>Mikey</c:v>
                </c:pt>
                <c:pt idx="1">
                  <c:v>Rob</c:v>
                </c:pt>
                <c:pt idx="2">
                  <c:v>Lucy</c:v>
                </c:pt>
                <c:pt idx="3">
                  <c:v>Will</c:v>
                </c:pt>
                <c:pt idx="4">
                  <c:v>Peter</c:v>
                </c:pt>
                <c:pt idx="5">
                  <c:v>Evan</c:v>
                </c:pt>
                <c:pt idx="6">
                  <c:v>Anthony</c:v>
                </c:pt>
                <c:pt idx="7">
                  <c:v>Carter</c:v>
                </c:pt>
                <c:pt idx="8">
                  <c:v>Vignesh</c:v>
                </c:pt>
                <c:pt idx="9">
                  <c:v>Ethan</c:v>
                </c:pt>
                <c:pt idx="10">
                  <c:v>Maxine</c:v>
                </c:pt>
                <c:pt idx="11">
                  <c:v>Grady</c:v>
                </c:pt>
                <c:pt idx="12">
                  <c:v>Cooper</c:v>
                </c:pt>
                <c:pt idx="13">
                  <c:v>Joey</c:v>
                </c:pt>
                <c:pt idx="14">
                  <c:v>Erick</c:v>
                </c:pt>
                <c:pt idx="15">
                  <c:v>Reuben</c:v>
                </c:pt>
              </c:strCache>
            </c:strRef>
          </c:cat>
          <c:val>
            <c:numRef>
              <c:f>SPRING2026!$J$29:$J$44</c:f>
              <c:numCache>
                <c:formatCode>General</c:formatCode>
                <c:ptCount val="16"/>
                <c:pt idx="0">
                  <c:v>38</c:v>
                </c:pt>
                <c:pt idx="1">
                  <c:v>33</c:v>
                </c:pt>
                <c:pt idx="2">
                  <c:v>37</c:v>
                </c:pt>
                <c:pt idx="3">
                  <c:v>36</c:v>
                </c:pt>
                <c:pt idx="4">
                  <c:v>30</c:v>
                </c:pt>
                <c:pt idx="5">
                  <c:v>26</c:v>
                </c:pt>
                <c:pt idx="6">
                  <c:v>23</c:v>
                </c:pt>
                <c:pt idx="7">
                  <c:v>25</c:v>
                </c:pt>
                <c:pt idx="8">
                  <c:v>20</c:v>
                </c:pt>
                <c:pt idx="9">
                  <c:v>25</c:v>
                </c:pt>
                <c:pt idx="10">
                  <c:v>11</c:v>
                </c:pt>
                <c:pt idx="11">
                  <c:v>3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</c:ser>
        <c:gapWidth val="150"/>
        <c:overlap val="0"/>
        <c:axId val="19787275"/>
        <c:axId val="67259998"/>
      </c:barChart>
      <c:catAx>
        <c:axId val="1978727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67259998"/>
        <c:crosses val="autoZero"/>
        <c:auto val="1"/>
        <c:lblAlgn val="ctr"/>
        <c:lblOffset val="100"/>
        <c:noMultiLvlLbl val="0"/>
      </c:catAx>
      <c:valAx>
        <c:axId val="67259998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978727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Kill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6119184108786"/>
          <c:y val="0.117315007976439"/>
          <c:w val="0.867950939874683"/>
          <c:h val="0.718493066633943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"Kill Points"</c:f>
              <c:strCache>
                <c:ptCount val="1"/>
                <c:pt idx="0">
                  <c:v>Kill Points</c:v>
                </c:pt>
              </c:strCache>
            </c:strRef>
          </c:tx>
          <c:spPr>
            <a:solidFill>
              <a:srgbClr val="196B24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5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SPRING2026!$S$29:$S$44</c:f>
              <c:strCache>
                <c:ptCount val="16"/>
                <c:pt idx="0">
                  <c:v>Will</c:v>
                </c:pt>
                <c:pt idx="1">
                  <c:v>Peter</c:v>
                </c:pt>
                <c:pt idx="2">
                  <c:v>Mikey</c:v>
                </c:pt>
                <c:pt idx="3">
                  <c:v>Lucy</c:v>
                </c:pt>
                <c:pt idx="4">
                  <c:v>Rob</c:v>
                </c:pt>
                <c:pt idx="5">
                  <c:v>Evan</c:v>
                </c:pt>
                <c:pt idx="6">
                  <c:v>Anthony</c:v>
                </c:pt>
                <c:pt idx="7">
                  <c:v>Carter</c:v>
                </c:pt>
                <c:pt idx="8">
                  <c:v>Vignesh</c:v>
                </c:pt>
                <c:pt idx="9">
                  <c:v>Ethan</c:v>
                </c:pt>
                <c:pt idx="10">
                  <c:v>Maxine</c:v>
                </c:pt>
                <c:pt idx="11">
                  <c:v>Grady</c:v>
                </c:pt>
                <c:pt idx="12">
                  <c:v>Cooper</c:v>
                </c:pt>
                <c:pt idx="13">
                  <c:v>Joey</c:v>
                </c:pt>
                <c:pt idx="14">
                  <c:v>Erick</c:v>
                </c:pt>
                <c:pt idx="15">
                  <c:v>Reuben</c:v>
                </c:pt>
              </c:strCache>
            </c:strRef>
          </c:cat>
          <c:val>
            <c:numRef>
              <c:f>SPRING2026!$T$29:$T$44</c:f>
              <c:numCache>
                <c:formatCode>General</c:formatCode>
                <c:ptCount val="16"/>
                <c:pt idx="0">
                  <c:v>54</c:v>
                </c:pt>
                <c:pt idx="1">
                  <c:v>50</c:v>
                </c:pt>
                <c:pt idx="2">
                  <c:v>50</c:v>
                </c:pt>
                <c:pt idx="3">
                  <c:v>52</c:v>
                </c:pt>
                <c:pt idx="4">
                  <c:v>45</c:v>
                </c:pt>
                <c:pt idx="5">
                  <c:v>37</c:v>
                </c:pt>
                <c:pt idx="6">
                  <c:v>40</c:v>
                </c:pt>
                <c:pt idx="7">
                  <c:v>43</c:v>
                </c:pt>
                <c:pt idx="8">
                  <c:v>30</c:v>
                </c:pt>
                <c:pt idx="9">
                  <c:v>44</c:v>
                </c:pt>
                <c:pt idx="10">
                  <c:v>30</c:v>
                </c:pt>
                <c:pt idx="11">
                  <c:v>5</c:v>
                </c:pt>
                <c:pt idx="12">
                  <c:v>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</c:ser>
        <c:gapWidth val="150"/>
        <c:overlap val="0"/>
        <c:axId val="77147395"/>
        <c:axId val="57562428"/>
      </c:barChart>
      <c:catAx>
        <c:axId val="7714739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57562428"/>
        <c:crosses val="autoZero"/>
        <c:auto val="1"/>
        <c:lblAlgn val="ctr"/>
        <c:lblOffset val="100"/>
        <c:noMultiLvlLbl val="0"/>
      </c:catAx>
      <c:valAx>
        <c:axId val="57562428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7714739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Deaths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15292295780101"/>
          <c:y val="0.13639189357205"/>
          <c:w val="0.856523422377081"/>
          <c:h val="0.706950142981475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"Deaths"</c:f>
              <c:strCache>
                <c:ptCount val="1"/>
                <c:pt idx="0">
                  <c:v>Deaths</c:v>
                </c:pt>
              </c:strCache>
            </c:strRef>
          </c:tx>
          <c:spPr>
            <a:solidFill>
              <a:srgbClr val="FF0000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5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SPRING2026!$I$47:$I$62</c:f>
              <c:strCache>
                <c:ptCount val="16"/>
                <c:pt idx="0">
                  <c:v>Mikey</c:v>
                </c:pt>
                <c:pt idx="1">
                  <c:v>Rob</c:v>
                </c:pt>
                <c:pt idx="2">
                  <c:v>Lucy</c:v>
                </c:pt>
                <c:pt idx="3">
                  <c:v>Anthony</c:v>
                </c:pt>
                <c:pt idx="4">
                  <c:v>Reuben</c:v>
                </c:pt>
                <c:pt idx="5">
                  <c:v>Evan</c:v>
                </c:pt>
                <c:pt idx="6">
                  <c:v>Will</c:v>
                </c:pt>
                <c:pt idx="7">
                  <c:v>Vignesh</c:v>
                </c:pt>
                <c:pt idx="8">
                  <c:v>Ethan</c:v>
                </c:pt>
                <c:pt idx="9">
                  <c:v>Carter</c:v>
                </c:pt>
                <c:pt idx="10">
                  <c:v>Peter</c:v>
                </c:pt>
                <c:pt idx="11">
                  <c:v>Cooper</c:v>
                </c:pt>
                <c:pt idx="12">
                  <c:v>Maxine</c:v>
                </c:pt>
                <c:pt idx="13">
                  <c:v>Grady</c:v>
                </c:pt>
                <c:pt idx="14">
                  <c:v>Erick</c:v>
                </c:pt>
                <c:pt idx="15">
                  <c:v>Joey</c:v>
                </c:pt>
              </c:strCache>
            </c:strRef>
          </c:cat>
          <c:val>
            <c:numRef>
              <c:f>SPRING2026!$J$47:$J$62</c:f>
              <c:numCache>
                <c:formatCode>General</c:formatCode>
                <c:ptCount val="16"/>
                <c:pt idx="0">
                  <c:v>43</c:v>
                </c:pt>
                <c:pt idx="1">
                  <c:v>39</c:v>
                </c:pt>
                <c:pt idx="2">
                  <c:v>35</c:v>
                </c:pt>
                <c:pt idx="3">
                  <c:v>36</c:v>
                </c:pt>
                <c:pt idx="4">
                  <c:v>29</c:v>
                </c:pt>
                <c:pt idx="5">
                  <c:v>22</c:v>
                </c:pt>
                <c:pt idx="6">
                  <c:v>24</c:v>
                </c:pt>
                <c:pt idx="7">
                  <c:v>15</c:v>
                </c:pt>
                <c:pt idx="8">
                  <c:v>13</c:v>
                </c:pt>
                <c:pt idx="9">
                  <c:v>13</c:v>
                </c:pt>
                <c:pt idx="10">
                  <c:v>11</c:v>
                </c:pt>
                <c:pt idx="11">
                  <c:v>9</c:v>
                </c:pt>
                <c:pt idx="12">
                  <c:v>7</c:v>
                </c:pt>
                <c:pt idx="13">
                  <c:v>4</c:v>
                </c:pt>
                <c:pt idx="14">
                  <c:v>1</c:v>
                </c:pt>
                <c:pt idx="15">
                  <c:v>0</c:v>
                </c:pt>
              </c:numCache>
            </c:numRef>
          </c:val>
        </c:ser>
        <c:gapWidth val="150"/>
        <c:overlap val="0"/>
        <c:axId val="96690538"/>
        <c:axId val="98087036"/>
      </c:barChart>
      <c:catAx>
        <c:axId val="9669053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8087036"/>
        <c:crosses val="autoZero"/>
        <c:auto val="1"/>
        <c:lblAlgn val="ctr"/>
        <c:lblOffset val="100"/>
        <c:noMultiLvlLbl val="0"/>
      </c:catAx>
      <c:valAx>
        <c:axId val="98087036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669053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Death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5374635954461"/>
          <c:y val="0.115808600847971"/>
          <c:w val="0.868877415938576"/>
          <c:h val="0.709267110841914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"Death Points"</c:f>
              <c:strCache>
                <c:ptCount val="1"/>
                <c:pt idx="0">
                  <c:v>Death Points</c:v>
                </c:pt>
              </c:strCache>
            </c:strRef>
          </c:tx>
          <c:spPr>
            <a:solidFill>
              <a:srgbClr val="FF0000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5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SPRING2026!$S$47:$S$62</c:f>
              <c:strCache>
                <c:ptCount val="16"/>
                <c:pt idx="0">
                  <c:v>Mikey</c:v>
                </c:pt>
                <c:pt idx="1">
                  <c:v>Rob</c:v>
                </c:pt>
                <c:pt idx="2">
                  <c:v>Lucy</c:v>
                </c:pt>
                <c:pt idx="3">
                  <c:v>Anthony</c:v>
                </c:pt>
                <c:pt idx="4">
                  <c:v>Reuben</c:v>
                </c:pt>
                <c:pt idx="5">
                  <c:v>Evan</c:v>
                </c:pt>
                <c:pt idx="6">
                  <c:v>Will</c:v>
                </c:pt>
                <c:pt idx="7">
                  <c:v>Ethan</c:v>
                </c:pt>
                <c:pt idx="8">
                  <c:v>Vignesh</c:v>
                </c:pt>
                <c:pt idx="9">
                  <c:v>Carter</c:v>
                </c:pt>
                <c:pt idx="10">
                  <c:v>Cooper</c:v>
                </c:pt>
                <c:pt idx="11">
                  <c:v>Peter</c:v>
                </c:pt>
                <c:pt idx="12">
                  <c:v>Grady</c:v>
                </c:pt>
                <c:pt idx="13">
                  <c:v>Maxine</c:v>
                </c:pt>
                <c:pt idx="14">
                  <c:v>Erick</c:v>
                </c:pt>
                <c:pt idx="15">
                  <c:v>Joey</c:v>
                </c:pt>
              </c:strCache>
            </c:strRef>
          </c:cat>
          <c:val>
            <c:numRef>
              <c:f>SPRING2026!$T$47:$T$62</c:f>
              <c:numCache>
                <c:formatCode>General</c:formatCode>
                <c:ptCount val="16"/>
                <c:pt idx="0">
                  <c:v>66</c:v>
                </c:pt>
                <c:pt idx="1">
                  <c:v>62</c:v>
                </c:pt>
                <c:pt idx="2">
                  <c:v>49</c:v>
                </c:pt>
                <c:pt idx="3">
                  <c:v>49</c:v>
                </c:pt>
                <c:pt idx="4">
                  <c:v>47</c:v>
                </c:pt>
                <c:pt idx="5">
                  <c:v>35</c:v>
                </c:pt>
                <c:pt idx="6">
                  <c:v>34</c:v>
                </c:pt>
                <c:pt idx="7">
                  <c:v>20</c:v>
                </c:pt>
                <c:pt idx="8">
                  <c:v>21</c:v>
                </c:pt>
                <c:pt idx="9">
                  <c:v>19</c:v>
                </c:pt>
                <c:pt idx="10">
                  <c:v>16</c:v>
                </c:pt>
                <c:pt idx="11">
                  <c:v>13</c:v>
                </c:pt>
                <c:pt idx="12">
                  <c:v>6</c:v>
                </c:pt>
                <c:pt idx="13">
                  <c:v>8</c:v>
                </c:pt>
                <c:pt idx="14">
                  <c:v>2</c:v>
                </c:pt>
                <c:pt idx="15">
                  <c:v>0</c:v>
                </c:pt>
              </c:numCache>
            </c:numRef>
          </c:val>
        </c:ser>
        <c:gapWidth val="150"/>
        <c:overlap val="0"/>
        <c:axId val="39947612"/>
        <c:axId val="12733041"/>
      </c:barChart>
      <c:catAx>
        <c:axId val="3994761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2733041"/>
        <c:crosses val="autoZero"/>
        <c:auto val="1"/>
        <c:lblAlgn val="ctr"/>
        <c:lblOffset val="100"/>
        <c:noMultiLvlLbl val="0"/>
      </c:catAx>
      <c:valAx>
        <c:axId val="12733041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3994761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KDR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60806738273704"/>
          <c:y val="0.182559288537549"/>
          <c:w val="0.773356000309095"/>
          <c:h val="0.635622529644269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"KDR"</c:f>
              <c:strCache>
                <c:ptCount val="1"/>
                <c:pt idx="0">
                  <c:v>KDR</c:v>
                </c:pt>
              </c:strCache>
            </c:strRef>
          </c:tx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5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SPRING2026!$I$65:$I$80</c:f>
              <c:strCache>
                <c:ptCount val="16"/>
                <c:pt idx="0">
                  <c:v>Peter</c:v>
                </c:pt>
                <c:pt idx="1">
                  <c:v>Will</c:v>
                </c:pt>
                <c:pt idx="2">
                  <c:v>Carter</c:v>
                </c:pt>
                <c:pt idx="3">
                  <c:v>Vignesh</c:v>
                </c:pt>
                <c:pt idx="4">
                  <c:v>Ethan</c:v>
                </c:pt>
                <c:pt idx="5">
                  <c:v>Evan</c:v>
                </c:pt>
                <c:pt idx="6">
                  <c:v>Maxine</c:v>
                </c:pt>
                <c:pt idx="7">
                  <c:v>Lucy</c:v>
                </c:pt>
                <c:pt idx="8">
                  <c:v>Mikey</c:v>
                </c:pt>
                <c:pt idx="9">
                  <c:v>Rob</c:v>
                </c:pt>
                <c:pt idx="10">
                  <c:v>Grady</c:v>
                </c:pt>
                <c:pt idx="11">
                  <c:v>Anthony</c:v>
                </c:pt>
                <c:pt idx="12">
                  <c:v>Cooper</c:v>
                </c:pt>
                <c:pt idx="13">
                  <c:v>Joey</c:v>
                </c:pt>
                <c:pt idx="14">
                  <c:v>Erick</c:v>
                </c:pt>
                <c:pt idx="15">
                  <c:v>Reuben</c:v>
                </c:pt>
              </c:strCache>
            </c:strRef>
          </c:cat>
          <c:val>
            <c:numRef>
              <c:f>SPRING2026!$J$65:$J$80</c:f>
              <c:numCache>
                <c:formatCode>0.00</c:formatCode>
                <c:ptCount val="16"/>
                <c:pt idx="0">
                  <c:v>2.72727272727273</c:v>
                </c:pt>
                <c:pt idx="1">
                  <c:v>1.5</c:v>
                </c:pt>
                <c:pt idx="2">
                  <c:v>1.92307692307692</c:v>
                </c:pt>
                <c:pt idx="3">
                  <c:v>1.33333333333333</c:v>
                </c:pt>
                <c:pt idx="4">
                  <c:v>1.92307692307692</c:v>
                </c:pt>
                <c:pt idx="5">
                  <c:v>1.18181818181818</c:v>
                </c:pt>
                <c:pt idx="6">
                  <c:v>1.57142857142857</c:v>
                </c:pt>
                <c:pt idx="7">
                  <c:v>1.05714285714286</c:v>
                </c:pt>
                <c:pt idx="8">
                  <c:v>0.883720930232558</c:v>
                </c:pt>
                <c:pt idx="9">
                  <c:v>0.846153846153846</c:v>
                </c:pt>
                <c:pt idx="10">
                  <c:v>0.75</c:v>
                </c:pt>
                <c:pt idx="11">
                  <c:v>0.638888888888889</c:v>
                </c:pt>
                <c:pt idx="12">
                  <c:v>0.111111111111111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</c:ser>
        <c:gapWidth val="150"/>
        <c:overlap val="0"/>
        <c:axId val="61578913"/>
        <c:axId val="90332099"/>
      </c:barChart>
      <c:catAx>
        <c:axId val="6157891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0332099"/>
        <c:crosses val="autoZero"/>
        <c:auto val="1"/>
        <c:lblAlgn val="ctr"/>
        <c:lblOffset val="100"/>
        <c:noMultiLvlLbl val="0"/>
      </c:catAx>
      <c:valAx>
        <c:axId val="90332099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6157891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KpDpR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1"/>
        <c:ser>
          <c:idx val="0"/>
          <c:order val="0"/>
          <c:tx>
            <c:strRef>
              <c:f>"KpDpR"</c:f>
              <c:strCache>
                <c:ptCount val="1"/>
                <c:pt idx="0">
                  <c:v>KpDpR</c:v>
                </c:pt>
              </c:strCache>
            </c:strRef>
          </c:tx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5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SPRING2026!$S$65:$S$80</c:f>
              <c:strCache>
                <c:ptCount val="16"/>
                <c:pt idx="0">
                  <c:v>Peter</c:v>
                </c:pt>
                <c:pt idx="1">
                  <c:v>Maxine</c:v>
                </c:pt>
                <c:pt idx="2">
                  <c:v>Will</c:v>
                </c:pt>
                <c:pt idx="3">
                  <c:v>Carter</c:v>
                </c:pt>
                <c:pt idx="4">
                  <c:v>Vignesh</c:v>
                </c:pt>
                <c:pt idx="5">
                  <c:v>Ethan</c:v>
                </c:pt>
                <c:pt idx="6">
                  <c:v>Evan</c:v>
                </c:pt>
                <c:pt idx="7">
                  <c:v>Lucy</c:v>
                </c:pt>
                <c:pt idx="8">
                  <c:v>Grady</c:v>
                </c:pt>
                <c:pt idx="9">
                  <c:v>Mikey</c:v>
                </c:pt>
                <c:pt idx="10">
                  <c:v>Anthony</c:v>
                </c:pt>
                <c:pt idx="11">
                  <c:v>Rob</c:v>
                </c:pt>
                <c:pt idx="12">
                  <c:v>Cooper</c:v>
                </c:pt>
                <c:pt idx="13">
                  <c:v>Joey</c:v>
                </c:pt>
                <c:pt idx="14">
                  <c:v>Erick</c:v>
                </c:pt>
                <c:pt idx="15">
                  <c:v>Reuben</c:v>
                </c:pt>
              </c:strCache>
            </c:strRef>
          </c:cat>
          <c:val>
            <c:numRef>
              <c:f>SPRING2026!$T$65:$T$80</c:f>
              <c:numCache>
                <c:formatCode>0.00</c:formatCode>
                <c:ptCount val="16"/>
                <c:pt idx="0">
                  <c:v>3.84615384615385</c:v>
                </c:pt>
                <c:pt idx="1">
                  <c:v>3.75</c:v>
                </c:pt>
                <c:pt idx="2">
                  <c:v>1.58823529411765</c:v>
                </c:pt>
                <c:pt idx="3">
                  <c:v>2.26315789473684</c:v>
                </c:pt>
                <c:pt idx="4">
                  <c:v>1.42857142857143</c:v>
                </c:pt>
                <c:pt idx="5">
                  <c:v>2.2</c:v>
                </c:pt>
                <c:pt idx="6">
                  <c:v>1.05714285714286</c:v>
                </c:pt>
                <c:pt idx="7">
                  <c:v>1.06122448979592</c:v>
                </c:pt>
                <c:pt idx="8">
                  <c:v>0.833333333333333</c:v>
                </c:pt>
                <c:pt idx="9">
                  <c:v>0.757575757575758</c:v>
                </c:pt>
                <c:pt idx="10">
                  <c:v>0.816326530612245</c:v>
                </c:pt>
                <c:pt idx="11">
                  <c:v>0.725806451612903</c:v>
                </c:pt>
                <c:pt idx="12">
                  <c:v>0.125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</c:ser>
        <c:gapWidth val="150"/>
        <c:overlap val="0"/>
        <c:axId val="5725004"/>
        <c:axId val="26504532"/>
      </c:barChart>
      <c:catAx>
        <c:axId val="572500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26504532"/>
        <c:crosses val="autoZero"/>
        <c:auto val="1"/>
        <c:lblAlgn val="ctr"/>
        <c:lblOffset val="100"/>
        <c:noMultiLvlLbl val="0"/>
      </c:catAx>
      <c:valAx>
        <c:axId val="26504532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572500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Kills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"Kills"</c:f>
              <c:strCache>
                <c:ptCount val="1"/>
                <c:pt idx="0">
                  <c:v>Kills</c:v>
                </c:pt>
              </c:strCache>
            </c:strRef>
          </c:tx>
          <c:spPr>
            <a:solidFill>
              <a:srgbClr val="4EA72E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SPRING2026!$I$83:$I$86</c:f>
              <c:strCache>
                <c:ptCount val="4"/>
                <c:pt idx="0">
                  <c:v>Baris</c:v>
                </c:pt>
                <c:pt idx="1">
                  <c:v>Tenors</c:v>
                </c:pt>
                <c:pt idx="2">
                  <c:v>Leads</c:v>
                </c:pt>
                <c:pt idx="3">
                  <c:v>Basses</c:v>
                </c:pt>
              </c:strCache>
            </c:strRef>
          </c:cat>
          <c:val>
            <c:numRef>
              <c:f>SPRING2026!$J$83:$J$86</c:f>
              <c:numCache>
                <c:formatCode>0.00</c:formatCode>
                <c:ptCount val="4"/>
                <c:pt idx="0">
                  <c:v>29.25</c:v>
                </c:pt>
                <c:pt idx="1">
                  <c:v>21.25</c:v>
                </c:pt>
                <c:pt idx="2">
                  <c:v>19</c:v>
                </c:pt>
                <c:pt idx="3">
                  <c:v>10</c:v>
                </c:pt>
              </c:numCache>
            </c:numRef>
          </c:val>
        </c:ser>
        <c:gapWidth val="150"/>
        <c:overlap val="0"/>
        <c:axId val="12963032"/>
        <c:axId val="87195728"/>
      </c:barChart>
      <c:catAx>
        <c:axId val="12963032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87195728"/>
        <c:crosses val="autoZero"/>
        <c:auto val="1"/>
        <c:lblAlgn val="ctr"/>
        <c:lblOffset val="100"/>
        <c:noMultiLvlLbl val="0"/>
      </c:catAx>
      <c:valAx>
        <c:axId val="87195728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2963032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Kill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"Kill Points"</c:f>
              <c:strCache>
                <c:ptCount val="1"/>
                <c:pt idx="0">
                  <c:v>Kill Points</c:v>
                </c:pt>
              </c:strCache>
            </c:strRef>
          </c:tx>
          <c:spPr>
            <a:solidFill>
              <a:srgbClr val="4EA72E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SPRING2026!$S$83:$S$86</c:f>
              <c:strCache>
                <c:ptCount val="4"/>
                <c:pt idx="0">
                  <c:v>Baris</c:v>
                </c:pt>
                <c:pt idx="1">
                  <c:v>Tenors</c:v>
                </c:pt>
                <c:pt idx="2">
                  <c:v>Leads</c:v>
                </c:pt>
                <c:pt idx="3">
                  <c:v>Basses</c:v>
                </c:pt>
              </c:strCache>
            </c:strRef>
          </c:cat>
          <c:val>
            <c:numRef>
              <c:f>SPRING2026!$T$83:$T$86</c:f>
              <c:numCache>
                <c:formatCode>0.00</c:formatCode>
                <c:ptCount val="4"/>
                <c:pt idx="0">
                  <c:v>34.5</c:v>
                </c:pt>
                <c:pt idx="1">
                  <c:v>25.5</c:v>
                </c:pt>
                <c:pt idx="2">
                  <c:v>23</c:v>
                </c:pt>
                <c:pt idx="3">
                  <c:v>14</c:v>
                </c:pt>
              </c:numCache>
            </c:numRef>
          </c:val>
        </c:ser>
        <c:gapWidth val="150"/>
        <c:overlap val="0"/>
        <c:axId val="71180980"/>
        <c:axId val="69240587"/>
      </c:barChart>
      <c:catAx>
        <c:axId val="71180980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69240587"/>
        <c:crosses val="autoZero"/>
        <c:auto val="1"/>
        <c:lblAlgn val="ctr"/>
        <c:lblOffset val="100"/>
        <c:noMultiLvlLbl val="0"/>
      </c:catAx>
      <c:valAx>
        <c:axId val="69240587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71180980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Deaths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"Deaths"</c:f>
              <c:strCache>
                <c:ptCount val="1"/>
                <c:pt idx="0">
                  <c:v>Deaths</c:v>
                </c:pt>
              </c:strCache>
            </c:strRef>
          </c:tx>
          <c:spPr>
            <a:solidFill>
              <a:srgbClr val="FF0000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SPRING2026!$I$94:$I$97</c:f>
              <c:strCache>
                <c:ptCount val="4"/>
                <c:pt idx="0">
                  <c:v>Baris</c:v>
                </c:pt>
                <c:pt idx="1">
                  <c:v>Leads</c:v>
                </c:pt>
                <c:pt idx="2">
                  <c:v>Basses</c:v>
                </c:pt>
                <c:pt idx="3">
                  <c:v>Tenors</c:v>
                </c:pt>
              </c:strCache>
            </c:strRef>
          </c:cat>
          <c:val>
            <c:numRef>
              <c:f>SPRING2026!$J$94:$J$97</c:f>
              <c:numCache>
                <c:formatCode>0.00</c:formatCode>
                <c:ptCount val="4"/>
                <c:pt idx="0">
                  <c:v>28</c:v>
                </c:pt>
                <c:pt idx="1">
                  <c:v>20.25</c:v>
                </c:pt>
                <c:pt idx="2">
                  <c:v>13.3333333333333</c:v>
                </c:pt>
                <c:pt idx="3">
                  <c:v>16.75</c:v>
                </c:pt>
              </c:numCache>
            </c:numRef>
          </c:val>
        </c:ser>
        <c:gapWidth val="150"/>
        <c:overlap val="0"/>
        <c:axId val="31390973"/>
        <c:axId val="84183093"/>
      </c:barChart>
      <c:catAx>
        <c:axId val="31390973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84183093"/>
        <c:crosses val="autoZero"/>
        <c:auto val="1"/>
        <c:lblAlgn val="ctr"/>
        <c:lblOffset val="100"/>
        <c:noMultiLvlLbl val="0"/>
      </c:catAx>
      <c:valAx>
        <c:axId val="84183093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31390973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Death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"Death Points"</c:f>
              <c:strCache>
                <c:ptCount val="1"/>
                <c:pt idx="0">
                  <c:v>Death Points</c:v>
                </c:pt>
              </c:strCache>
            </c:strRef>
          </c:tx>
          <c:spPr>
            <a:solidFill>
              <a:srgbClr val="FF0000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SPRING2026!$S$94:$S$97</c:f>
              <c:strCache>
                <c:ptCount val="4"/>
                <c:pt idx="0">
                  <c:v>Baris</c:v>
                </c:pt>
                <c:pt idx="1">
                  <c:v>Leads</c:v>
                </c:pt>
                <c:pt idx="2">
                  <c:v>Basses</c:v>
                </c:pt>
                <c:pt idx="3">
                  <c:v>Tenors</c:v>
                </c:pt>
              </c:strCache>
            </c:strRef>
          </c:cat>
          <c:val>
            <c:numRef>
              <c:f>SPRING2026!$T$94:$T$97</c:f>
              <c:numCache>
                <c:formatCode>0.00</c:formatCode>
                <c:ptCount val="4"/>
                <c:pt idx="0">
                  <c:v>32.5</c:v>
                </c:pt>
                <c:pt idx="1">
                  <c:v>24.75</c:v>
                </c:pt>
                <c:pt idx="2">
                  <c:v>15.6666666666667</c:v>
                </c:pt>
                <c:pt idx="3">
                  <c:v>20.25</c:v>
                </c:pt>
              </c:numCache>
            </c:numRef>
          </c:val>
        </c:ser>
        <c:gapWidth val="150"/>
        <c:overlap val="0"/>
        <c:axId val="68868195"/>
        <c:axId val="10390678"/>
      </c:barChart>
      <c:catAx>
        <c:axId val="68868195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0390678"/>
        <c:crosses val="autoZero"/>
        <c:auto val="1"/>
        <c:lblAlgn val="ctr"/>
        <c:lblOffset val="100"/>
        <c:noMultiLvlLbl val="0"/>
      </c:catAx>
      <c:valAx>
        <c:axId val="10390678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68868195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KDR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"KDR"</c:f>
              <c:strCache>
                <c:ptCount val="1"/>
                <c:pt idx="0">
                  <c:v>KDR</c:v>
                </c:pt>
              </c:strCache>
            </c:strRef>
          </c:tx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SPRING2026!$I$105:$I$108</c:f>
              <c:strCache>
                <c:ptCount val="4"/>
                <c:pt idx="0">
                  <c:v>Tenors</c:v>
                </c:pt>
                <c:pt idx="1">
                  <c:v>Baris</c:v>
                </c:pt>
                <c:pt idx="2">
                  <c:v>Leads</c:v>
                </c:pt>
                <c:pt idx="3">
                  <c:v>Basses</c:v>
                </c:pt>
              </c:strCache>
            </c:strRef>
          </c:cat>
          <c:val>
            <c:numRef>
              <c:f>SPRING2026!$J$105:$J$108</c:f>
              <c:numCache>
                <c:formatCode>0.00</c:formatCode>
                <c:ptCount val="4"/>
                <c:pt idx="0">
                  <c:v>1.26865671641791</c:v>
                </c:pt>
                <c:pt idx="1">
                  <c:v>1.04464285714286</c:v>
                </c:pt>
                <c:pt idx="2">
                  <c:v>0.938271604938272</c:v>
                </c:pt>
                <c:pt idx="3">
                  <c:v>0.75</c:v>
                </c:pt>
              </c:numCache>
            </c:numRef>
          </c:val>
        </c:ser>
        <c:gapWidth val="150"/>
        <c:overlap val="0"/>
        <c:axId val="32115659"/>
        <c:axId val="57074169"/>
      </c:barChart>
      <c:catAx>
        <c:axId val="32115659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57074169"/>
        <c:crosses val="autoZero"/>
        <c:auto val="1"/>
        <c:lblAlgn val="ctr"/>
        <c:lblOffset val="100"/>
        <c:noMultiLvlLbl val="0"/>
      </c:catAx>
      <c:valAx>
        <c:axId val="57074169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32115659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KpDpR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"KpDpR"</c:f>
              <c:strCache>
                <c:ptCount val="1"/>
                <c:pt idx="0">
                  <c:v>KpDpR</c:v>
                </c:pt>
              </c:strCache>
            </c:strRef>
          </c:tx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SPRING2026!$S$105:$S$108</c:f>
              <c:strCache>
                <c:ptCount val="4"/>
                <c:pt idx="0">
                  <c:v>Tenors</c:v>
                </c:pt>
                <c:pt idx="1">
                  <c:v>Baris</c:v>
                </c:pt>
                <c:pt idx="2">
                  <c:v>Leads</c:v>
                </c:pt>
                <c:pt idx="3">
                  <c:v>Basses</c:v>
                </c:pt>
              </c:strCache>
            </c:strRef>
          </c:cat>
          <c:val>
            <c:numRef>
              <c:f>SPRING2026!$T$105:$T$108</c:f>
              <c:numCache>
                <c:formatCode>0.00</c:formatCode>
                <c:ptCount val="4"/>
                <c:pt idx="0">
                  <c:v>1.25925925925926</c:v>
                </c:pt>
                <c:pt idx="1">
                  <c:v>1.06153846153846</c:v>
                </c:pt>
                <c:pt idx="2">
                  <c:v>0.929292929292929</c:v>
                </c:pt>
                <c:pt idx="3">
                  <c:v>0.893617021276596</c:v>
                </c:pt>
              </c:numCache>
            </c:numRef>
          </c:val>
        </c:ser>
        <c:gapWidth val="150"/>
        <c:overlap val="0"/>
        <c:axId val="77389241"/>
        <c:axId val="21052951"/>
      </c:barChart>
      <c:catAx>
        <c:axId val="77389241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21052951"/>
        <c:crosses val="autoZero"/>
        <c:auto val="1"/>
        <c:lblAlgn val="ctr"/>
        <c:lblOffset val="100"/>
        <c:noMultiLvlLbl val="0"/>
      </c:catAx>
      <c:valAx>
        <c:axId val="21052951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77389241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Overall Individual Winner Chart (adjusted scores)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15089514066496"/>
          <c:y val="0.104716790969563"/>
          <c:w val="0.862006251776073"/>
          <c:h val="0.75549284418464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"Adjusted"</c:f>
              <c:strCache>
                <c:ptCount val="1"/>
                <c:pt idx="0">
                  <c:v>Adjusted</c:v>
                </c:pt>
              </c:strCache>
            </c:strRef>
          </c:tx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5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SPRING2026!$AP$36:$AP$51</c:f>
              <c:strCache>
                <c:ptCount val="16"/>
                <c:pt idx="0">
                  <c:v>Peter</c:v>
                </c:pt>
                <c:pt idx="1">
                  <c:v>Will</c:v>
                </c:pt>
                <c:pt idx="2">
                  <c:v>Carter</c:v>
                </c:pt>
                <c:pt idx="3">
                  <c:v>Evan</c:v>
                </c:pt>
                <c:pt idx="4">
                  <c:v>Vignesh</c:v>
                </c:pt>
                <c:pt idx="5">
                  <c:v>Ethan</c:v>
                </c:pt>
                <c:pt idx="6">
                  <c:v>Maxine</c:v>
                </c:pt>
                <c:pt idx="7">
                  <c:v>Lucy</c:v>
                </c:pt>
                <c:pt idx="8">
                  <c:v>Mikey</c:v>
                </c:pt>
                <c:pt idx="9">
                  <c:v>Rob</c:v>
                </c:pt>
                <c:pt idx="10">
                  <c:v>Anthony</c:v>
                </c:pt>
                <c:pt idx="11">
                  <c:v>Grady</c:v>
                </c:pt>
                <c:pt idx="12">
                  <c:v>Joey</c:v>
                </c:pt>
                <c:pt idx="13">
                  <c:v>Erick</c:v>
                </c:pt>
                <c:pt idx="14">
                  <c:v>Cooper</c:v>
                </c:pt>
                <c:pt idx="15">
                  <c:v>Reuben</c:v>
                </c:pt>
              </c:strCache>
            </c:strRef>
          </c:cat>
          <c:val>
            <c:numRef>
              <c:f>SPRING2026!$AR$36:$AR$51</c:f>
              <c:numCache>
                <c:formatCode>0.00</c:formatCode>
                <c:ptCount val="16"/>
                <c:pt idx="0">
                  <c:v>1402.11309380275</c:v>
                </c:pt>
                <c:pt idx="1">
                  <c:v>1104.78634212306</c:v>
                </c:pt>
                <c:pt idx="2">
                  <c:v>1123.23889431802</c:v>
                </c:pt>
                <c:pt idx="3">
                  <c:v>864.531175720831</c:v>
                </c:pt>
                <c:pt idx="4">
                  <c:v>911.461412151067</c:v>
                </c:pt>
                <c:pt idx="5">
                  <c:v>1106.25481874447</c:v>
                </c:pt>
                <c:pt idx="6">
                  <c:v>1036.80448574414</c:v>
                </c:pt>
                <c:pt idx="7">
                  <c:v>905.981084885026</c:v>
                </c:pt>
                <c:pt idx="8">
                  <c:v>754.897658687069</c:v>
                </c:pt>
                <c:pt idx="9">
                  <c:v>706.357322692139</c:v>
                </c:pt>
                <c:pt idx="10">
                  <c:v>700.521231731073</c:v>
                </c:pt>
                <c:pt idx="11">
                  <c:v>606.830459770115</c:v>
                </c:pt>
                <c:pt idx="12">
                  <c:v>511.913793103448</c:v>
                </c:pt>
                <c:pt idx="13">
                  <c:v>452.913793103448</c:v>
                </c:pt>
                <c:pt idx="14">
                  <c:v>405.427681992337</c:v>
                </c:pt>
                <c:pt idx="15">
                  <c:v>0</c:v>
                </c:pt>
              </c:numCache>
            </c:numRef>
          </c:val>
        </c:ser>
        <c:gapWidth val="150"/>
        <c:overlap val="0"/>
        <c:axId val="76443838"/>
        <c:axId val="23020066"/>
      </c:barChart>
      <c:catAx>
        <c:axId val="7644383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23020066"/>
        <c:crosses val="autoZero"/>
        <c:auto val="1"/>
        <c:lblAlgn val="ctr"/>
        <c:lblOffset val="100"/>
        <c:noMultiLvlLbl val="0"/>
      </c:catAx>
      <c:valAx>
        <c:axId val="23020066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7644383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Overall Part Winner Chart (adjusted scores)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13064681724846"/>
          <c:y val="0.123425131006801"/>
          <c:w val="0.861460472279261"/>
          <c:h val="0.773553350429256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"Adjusted"</c:f>
              <c:strCache>
                <c:ptCount val="1"/>
                <c:pt idx="0">
                  <c:v>Adjusted</c:v>
                </c:pt>
              </c:strCache>
            </c:strRef>
          </c:tx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SPRING2026!$AP$66:$AP$70</c:f>
              <c:strCache>
                <c:ptCount val="5"/>
                <c:pt idx="0">
                  <c:v>Basses (No Reuben)</c:v>
                </c:pt>
                <c:pt idx="1">
                  <c:v>Tenors</c:v>
                </c:pt>
                <c:pt idx="2">
                  <c:v>Baris</c:v>
                </c:pt>
                <c:pt idx="3">
                  <c:v>Leads</c:v>
                </c:pt>
                <c:pt idx="4">
                  <c:v>Basses</c:v>
                </c:pt>
              </c:strCache>
            </c:strRef>
          </c:cat>
          <c:val>
            <c:numRef>
              <c:f>SPRING2026!$AR$66:$AR$70</c:f>
              <c:numCache>
                <c:formatCode>0.00</c:formatCode>
                <c:ptCount val="5"/>
                <c:pt idx="0">
                  <c:v>336.129271437782</c:v>
                </c:pt>
                <c:pt idx="1">
                  <c:v>149.261702715736</c:v>
                </c:pt>
                <c:pt idx="2">
                  <c:v>128.647898643909</c:v>
                </c:pt>
                <c:pt idx="3">
                  <c:v>44.3231030285435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28302749"/>
        <c:axId val="25413832"/>
      </c:barChart>
      <c:catAx>
        <c:axId val="2830274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25413832"/>
        <c:crosses val="autoZero"/>
        <c:auto val="1"/>
        <c:lblAlgn val="ctr"/>
        <c:lblOffset val="100"/>
        <c:noMultiLvlLbl val="0"/>
      </c:catAx>
      <c:valAx>
        <c:axId val="25413832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2830274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Kills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1204954954955"/>
          <c:y val="0.107546481954065"/>
          <c:w val="0.860571509009009"/>
          <c:h val="0.729857819905213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"Kills"</c:f>
              <c:strCache>
                <c:ptCount val="1"/>
                <c:pt idx="0">
                  <c:v>Kills</c:v>
                </c:pt>
              </c:strCache>
            </c:strRef>
          </c:tx>
          <c:spPr>
            <a:solidFill>
              <a:srgbClr val="196B24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5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FALL2025!$G$29:$G$44</c:f>
              <c:strCache>
                <c:ptCount val="16"/>
                <c:pt idx="0">
                  <c:v>Will</c:v>
                </c:pt>
                <c:pt idx="1">
                  <c:v>Mikey</c:v>
                </c:pt>
                <c:pt idx="2">
                  <c:v>Ethan</c:v>
                </c:pt>
                <c:pt idx="3">
                  <c:v>Lucy</c:v>
                </c:pt>
                <c:pt idx="4">
                  <c:v>Evan</c:v>
                </c:pt>
                <c:pt idx="5">
                  <c:v>Anthony</c:v>
                </c:pt>
                <c:pt idx="6">
                  <c:v>Carter</c:v>
                </c:pt>
                <c:pt idx="7">
                  <c:v>Rob</c:v>
                </c:pt>
                <c:pt idx="8">
                  <c:v>Grady</c:v>
                </c:pt>
                <c:pt idx="9">
                  <c:v>Vignesh</c:v>
                </c:pt>
                <c:pt idx="10">
                  <c:v>Maxine</c:v>
                </c:pt>
                <c:pt idx="11">
                  <c:v>Peter</c:v>
                </c:pt>
                <c:pt idx="12">
                  <c:v>Joey</c:v>
                </c:pt>
                <c:pt idx="13">
                  <c:v>Erick</c:v>
                </c:pt>
                <c:pt idx="14">
                  <c:v>Cooper</c:v>
                </c:pt>
                <c:pt idx="15">
                  <c:v>Reuben</c:v>
                </c:pt>
              </c:strCache>
            </c:strRef>
          </c:cat>
          <c:val>
            <c:numRef>
              <c:f>FALL2025!$H$29:$H$44</c:f>
              <c:numCache>
                <c:formatCode>General</c:formatCode>
                <c:ptCount val="16"/>
                <c:pt idx="0">
                  <c:v>85</c:v>
                </c:pt>
                <c:pt idx="1">
                  <c:v>83</c:v>
                </c:pt>
                <c:pt idx="2">
                  <c:v>66</c:v>
                </c:pt>
                <c:pt idx="3">
                  <c:v>62</c:v>
                </c:pt>
                <c:pt idx="4">
                  <c:v>39</c:v>
                </c:pt>
                <c:pt idx="5">
                  <c:v>30</c:v>
                </c:pt>
                <c:pt idx="6">
                  <c:v>26</c:v>
                </c:pt>
                <c:pt idx="7">
                  <c:v>26</c:v>
                </c:pt>
                <c:pt idx="8">
                  <c:v>26</c:v>
                </c:pt>
                <c:pt idx="9">
                  <c:v>26</c:v>
                </c:pt>
                <c:pt idx="10">
                  <c:v>25</c:v>
                </c:pt>
                <c:pt idx="11">
                  <c:v>15</c:v>
                </c:pt>
                <c:pt idx="12">
                  <c:v>8</c:v>
                </c:pt>
                <c:pt idx="13">
                  <c:v>7</c:v>
                </c:pt>
                <c:pt idx="14">
                  <c:v>7</c:v>
                </c:pt>
                <c:pt idx="15">
                  <c:v>0</c:v>
                </c:pt>
              </c:numCache>
            </c:numRef>
          </c:val>
        </c:ser>
        <c:gapWidth val="150"/>
        <c:overlap val="0"/>
        <c:axId val="85013482"/>
        <c:axId val="11752457"/>
      </c:barChart>
      <c:catAx>
        <c:axId val="8501348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1752457"/>
        <c:crosses val="autoZero"/>
        <c:auto val="1"/>
        <c:lblAlgn val="ctr"/>
        <c:lblOffset val="100"/>
        <c:noMultiLvlLbl val="0"/>
      </c:catAx>
      <c:valAx>
        <c:axId val="11752457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8501348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Kill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6119184108786"/>
          <c:y val="0.117315007976439"/>
          <c:w val="0.867950939874683"/>
          <c:h val="0.718493066633943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"Kill Points"</c:f>
              <c:strCache>
                <c:ptCount val="1"/>
                <c:pt idx="0">
                  <c:v>Kill Points</c:v>
                </c:pt>
              </c:strCache>
            </c:strRef>
          </c:tx>
          <c:spPr>
            <a:solidFill>
              <a:srgbClr val="196B24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5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FALL2025!$Q$29:$Q$44</c:f>
              <c:strCache>
                <c:ptCount val="16"/>
                <c:pt idx="0">
                  <c:v>Will</c:v>
                </c:pt>
                <c:pt idx="1">
                  <c:v>Mikey</c:v>
                </c:pt>
                <c:pt idx="2">
                  <c:v>Ethan</c:v>
                </c:pt>
                <c:pt idx="3">
                  <c:v>Lucy</c:v>
                </c:pt>
                <c:pt idx="4">
                  <c:v>Maxine</c:v>
                </c:pt>
                <c:pt idx="5">
                  <c:v>Evan</c:v>
                </c:pt>
                <c:pt idx="6">
                  <c:v>Anthony</c:v>
                </c:pt>
                <c:pt idx="7">
                  <c:v>Carter</c:v>
                </c:pt>
                <c:pt idx="8">
                  <c:v>Vignesh</c:v>
                </c:pt>
                <c:pt idx="9">
                  <c:v>Grady</c:v>
                </c:pt>
                <c:pt idx="10">
                  <c:v>Rob</c:v>
                </c:pt>
                <c:pt idx="11">
                  <c:v>Peter</c:v>
                </c:pt>
                <c:pt idx="12">
                  <c:v>Cooper</c:v>
                </c:pt>
                <c:pt idx="13">
                  <c:v>Joey</c:v>
                </c:pt>
                <c:pt idx="14">
                  <c:v>Erick</c:v>
                </c:pt>
                <c:pt idx="15">
                  <c:v>Reuben</c:v>
                </c:pt>
              </c:strCache>
            </c:strRef>
          </c:cat>
          <c:val>
            <c:numRef>
              <c:f>FALL2025!$R$29:$R$44</c:f>
              <c:numCache>
                <c:formatCode>General</c:formatCode>
                <c:ptCount val="16"/>
                <c:pt idx="0">
                  <c:v>122</c:v>
                </c:pt>
                <c:pt idx="1">
                  <c:v>118</c:v>
                </c:pt>
                <c:pt idx="2">
                  <c:v>99</c:v>
                </c:pt>
                <c:pt idx="3">
                  <c:v>85</c:v>
                </c:pt>
                <c:pt idx="4">
                  <c:v>57</c:v>
                </c:pt>
                <c:pt idx="5">
                  <c:v>51</c:v>
                </c:pt>
                <c:pt idx="6">
                  <c:v>42</c:v>
                </c:pt>
                <c:pt idx="7">
                  <c:v>39</c:v>
                </c:pt>
                <c:pt idx="8">
                  <c:v>37</c:v>
                </c:pt>
                <c:pt idx="9">
                  <c:v>36</c:v>
                </c:pt>
                <c:pt idx="10">
                  <c:v>33</c:v>
                </c:pt>
                <c:pt idx="11">
                  <c:v>23</c:v>
                </c:pt>
                <c:pt idx="12">
                  <c:v>13</c:v>
                </c:pt>
                <c:pt idx="13">
                  <c:v>13</c:v>
                </c:pt>
                <c:pt idx="14">
                  <c:v>10</c:v>
                </c:pt>
                <c:pt idx="15">
                  <c:v>0</c:v>
                </c:pt>
              </c:numCache>
            </c:numRef>
          </c:val>
        </c:ser>
        <c:gapWidth val="150"/>
        <c:overlap val="0"/>
        <c:axId val="96415615"/>
        <c:axId val="5223422"/>
      </c:barChart>
      <c:catAx>
        <c:axId val="9641561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5223422"/>
        <c:crosses val="autoZero"/>
        <c:auto val="1"/>
        <c:lblAlgn val="ctr"/>
        <c:lblOffset val="100"/>
        <c:noMultiLvlLbl val="0"/>
      </c:catAx>
      <c:valAx>
        <c:axId val="5223422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641561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Deaths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152704366085"/>
          <c:y val="0.13639189357205"/>
          <c:w val="0.856563608717689"/>
          <c:h val="0.706950142981475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"Deaths"</c:f>
              <c:strCache>
                <c:ptCount val="1"/>
                <c:pt idx="0">
                  <c:v>Deaths</c:v>
                </c:pt>
              </c:strCache>
            </c:strRef>
          </c:tx>
          <c:spPr>
            <a:solidFill>
              <a:srgbClr val="FF0000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5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FALL2025!$G$47:$G$62</c:f>
              <c:strCache>
                <c:ptCount val="16"/>
                <c:pt idx="0">
                  <c:v>Mikey</c:v>
                </c:pt>
                <c:pt idx="1">
                  <c:v>Will</c:v>
                </c:pt>
                <c:pt idx="2">
                  <c:v>Rob</c:v>
                </c:pt>
                <c:pt idx="3">
                  <c:v>Lucy</c:v>
                </c:pt>
                <c:pt idx="4">
                  <c:v>Evan</c:v>
                </c:pt>
                <c:pt idx="5">
                  <c:v>Ethan</c:v>
                </c:pt>
                <c:pt idx="6">
                  <c:v>Grady</c:v>
                </c:pt>
                <c:pt idx="7">
                  <c:v>Anthony</c:v>
                </c:pt>
                <c:pt idx="8">
                  <c:v>Vignesh</c:v>
                </c:pt>
                <c:pt idx="9">
                  <c:v>Carter</c:v>
                </c:pt>
                <c:pt idx="10">
                  <c:v>Reuben</c:v>
                </c:pt>
                <c:pt idx="11">
                  <c:v>Cooper</c:v>
                </c:pt>
                <c:pt idx="12">
                  <c:v>Maxine</c:v>
                </c:pt>
                <c:pt idx="13">
                  <c:v>Erick</c:v>
                </c:pt>
                <c:pt idx="14">
                  <c:v>Joey</c:v>
                </c:pt>
                <c:pt idx="15">
                  <c:v>Peter</c:v>
                </c:pt>
              </c:strCache>
            </c:strRef>
          </c:cat>
          <c:val>
            <c:numRef>
              <c:f>FALL2025!$H$47:$H$62</c:f>
              <c:numCache>
                <c:formatCode>General</c:formatCode>
                <c:ptCount val="16"/>
                <c:pt idx="0">
                  <c:v>76</c:v>
                </c:pt>
                <c:pt idx="1">
                  <c:v>70</c:v>
                </c:pt>
                <c:pt idx="2">
                  <c:v>53</c:v>
                </c:pt>
                <c:pt idx="3">
                  <c:v>49</c:v>
                </c:pt>
                <c:pt idx="4">
                  <c:v>45</c:v>
                </c:pt>
                <c:pt idx="5">
                  <c:v>43</c:v>
                </c:pt>
                <c:pt idx="6">
                  <c:v>38</c:v>
                </c:pt>
                <c:pt idx="7">
                  <c:v>32</c:v>
                </c:pt>
                <c:pt idx="8">
                  <c:v>30</c:v>
                </c:pt>
                <c:pt idx="9">
                  <c:v>21</c:v>
                </c:pt>
                <c:pt idx="10">
                  <c:v>16</c:v>
                </c:pt>
                <c:pt idx="11">
                  <c:v>13</c:v>
                </c:pt>
                <c:pt idx="12">
                  <c:v>12</c:v>
                </c:pt>
                <c:pt idx="13">
                  <c:v>8</c:v>
                </c:pt>
                <c:pt idx="14">
                  <c:v>8</c:v>
                </c:pt>
                <c:pt idx="15">
                  <c:v>7</c:v>
                </c:pt>
              </c:numCache>
            </c:numRef>
          </c:val>
        </c:ser>
        <c:gapWidth val="150"/>
        <c:overlap val="0"/>
        <c:axId val="89270156"/>
        <c:axId val="17213215"/>
      </c:barChart>
      <c:catAx>
        <c:axId val="8927015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7213215"/>
        <c:crosses val="autoZero"/>
        <c:auto val="1"/>
        <c:lblAlgn val="ctr"/>
        <c:lblOffset val="100"/>
        <c:noMultiLvlLbl val="0"/>
      </c:catAx>
      <c:valAx>
        <c:axId val="17213215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8927015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Death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5374635954461"/>
          <c:y val="0.115808600847971"/>
          <c:w val="0.868877415938576"/>
          <c:h val="0.709267110841914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"Death Points"</c:f>
              <c:strCache>
                <c:ptCount val="1"/>
                <c:pt idx="0">
                  <c:v>Death Points</c:v>
                </c:pt>
              </c:strCache>
            </c:strRef>
          </c:tx>
          <c:spPr>
            <a:solidFill>
              <a:srgbClr val="FF0000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5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FALL2025!$Q$47:$Q$62</c:f>
              <c:strCache>
                <c:ptCount val="16"/>
                <c:pt idx="0">
                  <c:v>Mikey</c:v>
                </c:pt>
                <c:pt idx="1">
                  <c:v>Will</c:v>
                </c:pt>
                <c:pt idx="2">
                  <c:v>Rob</c:v>
                </c:pt>
                <c:pt idx="3">
                  <c:v>Lucy</c:v>
                </c:pt>
                <c:pt idx="4">
                  <c:v>Evan</c:v>
                </c:pt>
                <c:pt idx="5">
                  <c:v>Grady</c:v>
                </c:pt>
                <c:pt idx="6">
                  <c:v>Ethan</c:v>
                </c:pt>
                <c:pt idx="7">
                  <c:v>Vignesh</c:v>
                </c:pt>
                <c:pt idx="8">
                  <c:v>Anthony</c:v>
                </c:pt>
                <c:pt idx="9">
                  <c:v>Carter</c:v>
                </c:pt>
                <c:pt idx="10">
                  <c:v>Reuben</c:v>
                </c:pt>
                <c:pt idx="11">
                  <c:v>Cooper</c:v>
                </c:pt>
                <c:pt idx="12">
                  <c:v>Maxine</c:v>
                </c:pt>
                <c:pt idx="13">
                  <c:v>Erick</c:v>
                </c:pt>
                <c:pt idx="14">
                  <c:v>Joey</c:v>
                </c:pt>
                <c:pt idx="15">
                  <c:v>Peter</c:v>
                </c:pt>
              </c:strCache>
            </c:strRef>
          </c:cat>
          <c:val>
            <c:numRef>
              <c:f>FALL2025!$R$47:$R$62</c:f>
              <c:numCache>
                <c:formatCode>General</c:formatCode>
                <c:ptCount val="16"/>
                <c:pt idx="0">
                  <c:v>106</c:v>
                </c:pt>
                <c:pt idx="1">
                  <c:v>102</c:v>
                </c:pt>
                <c:pt idx="2">
                  <c:v>86</c:v>
                </c:pt>
                <c:pt idx="3">
                  <c:v>66</c:v>
                </c:pt>
                <c:pt idx="4">
                  <c:v>65</c:v>
                </c:pt>
                <c:pt idx="5">
                  <c:v>57</c:v>
                </c:pt>
                <c:pt idx="6">
                  <c:v>51</c:v>
                </c:pt>
                <c:pt idx="7">
                  <c:v>41</c:v>
                </c:pt>
                <c:pt idx="8">
                  <c:v>39</c:v>
                </c:pt>
                <c:pt idx="9">
                  <c:v>29</c:v>
                </c:pt>
                <c:pt idx="10">
                  <c:v>27</c:v>
                </c:pt>
                <c:pt idx="11">
                  <c:v>15</c:v>
                </c:pt>
                <c:pt idx="12">
                  <c:v>14</c:v>
                </c:pt>
                <c:pt idx="13">
                  <c:v>12</c:v>
                </c:pt>
                <c:pt idx="14">
                  <c:v>10</c:v>
                </c:pt>
                <c:pt idx="15">
                  <c:v>8</c:v>
                </c:pt>
              </c:numCache>
            </c:numRef>
          </c:val>
        </c:ser>
        <c:gapWidth val="150"/>
        <c:overlap val="0"/>
        <c:axId val="75023688"/>
        <c:axId val="93542404"/>
      </c:barChart>
      <c:catAx>
        <c:axId val="7502368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3542404"/>
        <c:crosses val="autoZero"/>
        <c:auto val="1"/>
        <c:lblAlgn val="ctr"/>
        <c:lblOffset val="100"/>
        <c:noMultiLvlLbl val="0"/>
      </c:catAx>
      <c:valAx>
        <c:axId val="93542404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7502368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KDR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845151536966381"/>
          <c:y val="0.158720355731225"/>
          <c:w val="0.86336476855518"/>
          <c:h val="0.66699604743083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"KDR"</c:f>
              <c:strCache>
                <c:ptCount val="1"/>
                <c:pt idx="0">
                  <c:v>KDR</c:v>
                </c:pt>
              </c:strCache>
            </c:strRef>
          </c:tx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5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FALL2025!$G$65:$G$80</c:f>
              <c:strCache>
                <c:ptCount val="16"/>
                <c:pt idx="0">
                  <c:v>Peter</c:v>
                </c:pt>
                <c:pt idx="1">
                  <c:v>Maxine</c:v>
                </c:pt>
                <c:pt idx="2">
                  <c:v>Ethan</c:v>
                </c:pt>
                <c:pt idx="3">
                  <c:v>Lucy</c:v>
                </c:pt>
                <c:pt idx="4">
                  <c:v>Carter</c:v>
                </c:pt>
                <c:pt idx="5">
                  <c:v>Will</c:v>
                </c:pt>
                <c:pt idx="6">
                  <c:v>Mikey</c:v>
                </c:pt>
                <c:pt idx="7">
                  <c:v>Joey</c:v>
                </c:pt>
                <c:pt idx="8">
                  <c:v>Anthony</c:v>
                </c:pt>
                <c:pt idx="9">
                  <c:v>Erick</c:v>
                </c:pt>
                <c:pt idx="10">
                  <c:v>Evan</c:v>
                </c:pt>
                <c:pt idx="11">
                  <c:v>Vignesh</c:v>
                </c:pt>
                <c:pt idx="12">
                  <c:v>Grady</c:v>
                </c:pt>
                <c:pt idx="13">
                  <c:v>Cooper</c:v>
                </c:pt>
                <c:pt idx="14">
                  <c:v>Rob</c:v>
                </c:pt>
                <c:pt idx="15">
                  <c:v>Reuben</c:v>
                </c:pt>
              </c:strCache>
            </c:strRef>
          </c:cat>
          <c:val>
            <c:numRef>
              <c:f>FALL2025!$H$65:$H$80</c:f>
              <c:numCache>
                <c:formatCode>0.00</c:formatCode>
                <c:ptCount val="16"/>
                <c:pt idx="0">
                  <c:v>2.14285714285714</c:v>
                </c:pt>
                <c:pt idx="1">
                  <c:v>2.08333333333333</c:v>
                </c:pt>
                <c:pt idx="2">
                  <c:v>1.53488372093023</c:v>
                </c:pt>
                <c:pt idx="3">
                  <c:v>1.26530612244898</c:v>
                </c:pt>
                <c:pt idx="4">
                  <c:v>1.23809523809524</c:v>
                </c:pt>
                <c:pt idx="5">
                  <c:v>1.21428571428571</c:v>
                </c:pt>
                <c:pt idx="6">
                  <c:v>1.09210526315789</c:v>
                </c:pt>
                <c:pt idx="7">
                  <c:v>1</c:v>
                </c:pt>
                <c:pt idx="8">
                  <c:v>0.9375</c:v>
                </c:pt>
                <c:pt idx="9">
                  <c:v>0.875</c:v>
                </c:pt>
                <c:pt idx="10">
                  <c:v>0.866666666666667</c:v>
                </c:pt>
                <c:pt idx="11">
                  <c:v>0.866666666666667</c:v>
                </c:pt>
                <c:pt idx="12">
                  <c:v>0.68421052631579</c:v>
                </c:pt>
                <c:pt idx="13">
                  <c:v>0.538461538461538</c:v>
                </c:pt>
                <c:pt idx="14">
                  <c:v>0.490566037735849</c:v>
                </c:pt>
                <c:pt idx="15">
                  <c:v>0</c:v>
                </c:pt>
              </c:numCache>
            </c:numRef>
          </c:val>
        </c:ser>
        <c:gapWidth val="150"/>
        <c:overlap val="0"/>
        <c:axId val="15353016"/>
        <c:axId val="33520469"/>
      </c:barChart>
      <c:catAx>
        <c:axId val="1535301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33520469"/>
        <c:crosses val="autoZero"/>
        <c:auto val="1"/>
        <c:lblAlgn val="ctr"/>
        <c:lblOffset val="100"/>
        <c:noMultiLvlLbl val="0"/>
      </c:catAx>
      <c:valAx>
        <c:axId val="33520469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535301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KpDpR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1"/>
        <c:ser>
          <c:idx val="0"/>
          <c:order val="0"/>
          <c:tx>
            <c:strRef>
              <c:f>"KpDpR"</c:f>
              <c:strCache>
                <c:ptCount val="1"/>
                <c:pt idx="0">
                  <c:v>KpDpR</c:v>
                </c:pt>
              </c:strCache>
            </c:strRef>
          </c:tx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5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FALL2025!$Q$65:$Q$80</c:f>
              <c:strCache>
                <c:ptCount val="16"/>
                <c:pt idx="0">
                  <c:v>Maxine</c:v>
                </c:pt>
                <c:pt idx="1">
                  <c:v>Peter</c:v>
                </c:pt>
                <c:pt idx="2">
                  <c:v>Ethan</c:v>
                </c:pt>
                <c:pt idx="3">
                  <c:v>Carter</c:v>
                </c:pt>
                <c:pt idx="4">
                  <c:v>Joey</c:v>
                </c:pt>
                <c:pt idx="5">
                  <c:v>Lucy</c:v>
                </c:pt>
                <c:pt idx="6">
                  <c:v>Will</c:v>
                </c:pt>
                <c:pt idx="7">
                  <c:v>Mikey</c:v>
                </c:pt>
                <c:pt idx="8">
                  <c:v>Anthony</c:v>
                </c:pt>
                <c:pt idx="9">
                  <c:v>Vignesh</c:v>
                </c:pt>
                <c:pt idx="10">
                  <c:v>Cooper</c:v>
                </c:pt>
                <c:pt idx="11">
                  <c:v>Erick</c:v>
                </c:pt>
                <c:pt idx="12">
                  <c:v>Evan</c:v>
                </c:pt>
                <c:pt idx="13">
                  <c:v>Grady</c:v>
                </c:pt>
                <c:pt idx="14">
                  <c:v>Rob</c:v>
                </c:pt>
                <c:pt idx="15">
                  <c:v>Reuben</c:v>
                </c:pt>
              </c:strCache>
            </c:strRef>
          </c:cat>
          <c:val>
            <c:numRef>
              <c:f>FALL2025!$R$65:$R$80</c:f>
              <c:numCache>
                <c:formatCode>0.00</c:formatCode>
                <c:ptCount val="16"/>
                <c:pt idx="0">
                  <c:v>4.07142857142857</c:v>
                </c:pt>
                <c:pt idx="1">
                  <c:v>2.875</c:v>
                </c:pt>
                <c:pt idx="2">
                  <c:v>1.94117647058824</c:v>
                </c:pt>
                <c:pt idx="3">
                  <c:v>1.3448275862069</c:v>
                </c:pt>
                <c:pt idx="4">
                  <c:v>1.3</c:v>
                </c:pt>
                <c:pt idx="5">
                  <c:v>1.28787878787879</c:v>
                </c:pt>
                <c:pt idx="6">
                  <c:v>1.19607843137255</c:v>
                </c:pt>
                <c:pt idx="7">
                  <c:v>1.11320754716981</c:v>
                </c:pt>
                <c:pt idx="8">
                  <c:v>1.07692307692308</c:v>
                </c:pt>
                <c:pt idx="9">
                  <c:v>0.902439024390244</c:v>
                </c:pt>
                <c:pt idx="10">
                  <c:v>0.866666666666667</c:v>
                </c:pt>
                <c:pt idx="11">
                  <c:v>0.833333333333333</c:v>
                </c:pt>
                <c:pt idx="12">
                  <c:v>0.784615384615385</c:v>
                </c:pt>
                <c:pt idx="13">
                  <c:v>0.631578947368421</c:v>
                </c:pt>
                <c:pt idx="14">
                  <c:v>0.383720930232558</c:v>
                </c:pt>
                <c:pt idx="15">
                  <c:v>0</c:v>
                </c:pt>
              </c:numCache>
            </c:numRef>
          </c:val>
        </c:ser>
        <c:gapWidth val="150"/>
        <c:overlap val="0"/>
        <c:axId val="44868829"/>
        <c:axId val="39571501"/>
      </c:barChart>
      <c:catAx>
        <c:axId val="4486882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39571501"/>
        <c:crosses val="autoZero"/>
        <c:auto val="1"/>
        <c:lblAlgn val="ctr"/>
        <c:lblOffset val="100"/>
        <c:noMultiLvlLbl val="0"/>
      </c:catAx>
      <c:valAx>
        <c:axId val="39571501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4486882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Kills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"Kills"</c:f>
              <c:strCache>
                <c:ptCount val="1"/>
                <c:pt idx="0">
                  <c:v>Kills</c:v>
                </c:pt>
              </c:strCache>
            </c:strRef>
          </c:tx>
          <c:spPr>
            <a:solidFill>
              <a:srgbClr val="4EA72E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FALL2025!$G$83:$G$86</c:f>
              <c:strCache>
                <c:ptCount val="4"/>
                <c:pt idx="0">
                  <c:v>Basses</c:v>
                </c:pt>
                <c:pt idx="1">
                  <c:v>Tenors</c:v>
                </c:pt>
                <c:pt idx="2">
                  <c:v>Leads</c:v>
                </c:pt>
                <c:pt idx="3">
                  <c:v>Baris</c:v>
                </c:pt>
              </c:strCache>
            </c:strRef>
          </c:cat>
          <c:val>
            <c:numRef>
              <c:f>FALL2025!$H$83:$H$86</c:f>
              <c:numCache>
                <c:formatCode>0.00</c:formatCode>
                <c:ptCount val="4"/>
                <c:pt idx="0">
                  <c:v>7.5</c:v>
                </c:pt>
                <c:pt idx="1">
                  <c:v>35</c:v>
                </c:pt>
                <c:pt idx="2">
                  <c:v>38.5</c:v>
                </c:pt>
                <c:pt idx="3">
                  <c:v>51.75</c:v>
                </c:pt>
              </c:numCache>
            </c:numRef>
          </c:val>
        </c:ser>
        <c:gapWidth val="150"/>
        <c:overlap val="0"/>
        <c:axId val="2067665"/>
        <c:axId val="73497929"/>
      </c:barChart>
      <c:catAx>
        <c:axId val="2067665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73497929"/>
        <c:crosses val="autoZero"/>
        <c:auto val="1"/>
        <c:lblAlgn val="ctr"/>
        <c:lblOffset val="100"/>
        <c:noMultiLvlLbl val="0"/>
      </c:catAx>
      <c:valAx>
        <c:axId val="73497929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2067665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Kill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"Kill Points"</c:f>
              <c:strCache>
                <c:ptCount val="1"/>
                <c:pt idx="0">
                  <c:v>Kill Points</c:v>
                </c:pt>
              </c:strCache>
            </c:strRef>
          </c:tx>
          <c:spPr>
            <a:solidFill>
              <a:srgbClr val="4EA72E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FALL2025!$Q$83:$Q$86</c:f>
              <c:strCache>
                <c:ptCount val="4"/>
                <c:pt idx="0">
                  <c:v>Basses</c:v>
                </c:pt>
                <c:pt idx="1">
                  <c:v>Tenors</c:v>
                </c:pt>
                <c:pt idx="2">
                  <c:v>Leads</c:v>
                </c:pt>
                <c:pt idx="3">
                  <c:v>Baris</c:v>
                </c:pt>
              </c:strCache>
            </c:strRef>
          </c:cat>
          <c:val>
            <c:numRef>
              <c:f>FALL2025!$R$83:$R$86</c:f>
              <c:numCache>
                <c:formatCode>0.00</c:formatCode>
                <c:ptCount val="4"/>
                <c:pt idx="0">
                  <c:v>11.5</c:v>
                </c:pt>
                <c:pt idx="1">
                  <c:v>49.25</c:v>
                </c:pt>
                <c:pt idx="2">
                  <c:v>59.75</c:v>
                </c:pt>
                <c:pt idx="3">
                  <c:v>74</c:v>
                </c:pt>
              </c:numCache>
            </c:numRef>
          </c:val>
        </c:ser>
        <c:gapWidth val="150"/>
        <c:overlap val="0"/>
        <c:axId val="14613896"/>
        <c:axId val="58917561"/>
      </c:barChart>
      <c:catAx>
        <c:axId val="14613896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58917561"/>
        <c:crosses val="autoZero"/>
        <c:auto val="1"/>
        <c:lblAlgn val="ctr"/>
        <c:lblOffset val="100"/>
        <c:noMultiLvlLbl val="0"/>
      </c:catAx>
      <c:valAx>
        <c:axId val="58917561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4613896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Deaths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"Deaths"</c:f>
              <c:strCache>
                <c:ptCount val="1"/>
                <c:pt idx="0">
                  <c:v>Deaths</c:v>
                </c:pt>
              </c:strCache>
            </c:strRef>
          </c:tx>
          <c:spPr>
            <a:solidFill>
              <a:srgbClr val="FF0000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FALL2025!$G$94:$G$97</c:f>
              <c:strCache>
                <c:ptCount val="4"/>
                <c:pt idx="0">
                  <c:v>Basses</c:v>
                </c:pt>
                <c:pt idx="1">
                  <c:v>Tenors</c:v>
                </c:pt>
                <c:pt idx="2">
                  <c:v>Leads</c:v>
                </c:pt>
                <c:pt idx="3">
                  <c:v>Baris</c:v>
                </c:pt>
              </c:strCache>
            </c:strRef>
          </c:cat>
          <c:val>
            <c:numRef>
              <c:f>FALL2025!$H$94:$H$97</c:f>
              <c:numCache>
                <c:formatCode>0.00</c:formatCode>
                <c:ptCount val="4"/>
                <c:pt idx="0">
                  <c:v>11.5</c:v>
                </c:pt>
                <c:pt idx="1">
                  <c:v>34.5</c:v>
                </c:pt>
                <c:pt idx="2">
                  <c:v>36.5</c:v>
                </c:pt>
                <c:pt idx="3">
                  <c:v>49.5</c:v>
                </c:pt>
              </c:numCache>
            </c:numRef>
          </c:val>
        </c:ser>
        <c:gapWidth val="150"/>
        <c:overlap val="0"/>
        <c:axId val="29799959"/>
        <c:axId val="38724546"/>
      </c:barChart>
      <c:catAx>
        <c:axId val="29799959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38724546"/>
        <c:crosses val="autoZero"/>
        <c:auto val="1"/>
        <c:lblAlgn val="ctr"/>
        <c:lblOffset val="100"/>
        <c:noMultiLvlLbl val="0"/>
      </c:catAx>
      <c:valAx>
        <c:axId val="38724546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29799959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Death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"Death Points"</c:f>
              <c:strCache>
                <c:ptCount val="1"/>
                <c:pt idx="0">
                  <c:v>Death Points</c:v>
                </c:pt>
              </c:strCache>
            </c:strRef>
          </c:tx>
          <c:spPr>
            <a:solidFill>
              <a:srgbClr val="FF0000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FALL2025!$Q$94:$Q$97</c:f>
              <c:strCache>
                <c:ptCount val="4"/>
                <c:pt idx="0">
                  <c:v>Basses</c:v>
                </c:pt>
                <c:pt idx="1">
                  <c:v>Tenors</c:v>
                </c:pt>
                <c:pt idx="2">
                  <c:v>Leads</c:v>
                </c:pt>
                <c:pt idx="3">
                  <c:v>Baris</c:v>
                </c:pt>
              </c:strCache>
            </c:strRef>
          </c:cat>
          <c:val>
            <c:numRef>
              <c:f>FALL2025!$R$94:$R$97</c:f>
              <c:numCache>
                <c:formatCode>0.00</c:formatCode>
                <c:ptCount val="4"/>
                <c:pt idx="0">
                  <c:v>17.5</c:v>
                </c:pt>
                <c:pt idx="1">
                  <c:v>48.25</c:v>
                </c:pt>
                <c:pt idx="2">
                  <c:v>50</c:v>
                </c:pt>
                <c:pt idx="3">
                  <c:v>69.5</c:v>
                </c:pt>
              </c:numCache>
            </c:numRef>
          </c:val>
        </c:ser>
        <c:gapWidth val="150"/>
        <c:overlap val="0"/>
        <c:axId val="68307614"/>
        <c:axId val="94776454"/>
      </c:barChart>
      <c:catAx>
        <c:axId val="68307614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4776454"/>
        <c:crosses val="autoZero"/>
        <c:auto val="1"/>
        <c:lblAlgn val="ctr"/>
        <c:lblOffset val="100"/>
        <c:noMultiLvlLbl val="0"/>
      </c:catAx>
      <c:valAx>
        <c:axId val="94776454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68307614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KDR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"KDR"</c:f>
              <c:strCache>
                <c:ptCount val="1"/>
                <c:pt idx="0">
                  <c:v>KDR</c:v>
                </c:pt>
              </c:strCache>
            </c:strRef>
          </c:tx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FALL2025!$G$105:$G$108</c:f>
              <c:strCache>
                <c:ptCount val="4"/>
                <c:pt idx="0">
                  <c:v>Basses</c:v>
                </c:pt>
                <c:pt idx="1">
                  <c:v>Tenors</c:v>
                </c:pt>
                <c:pt idx="2">
                  <c:v>Baris</c:v>
                </c:pt>
                <c:pt idx="3">
                  <c:v>Leads</c:v>
                </c:pt>
              </c:strCache>
            </c:strRef>
          </c:cat>
          <c:val>
            <c:numRef>
              <c:f>FALL2025!$H$105:$H$108</c:f>
              <c:numCache>
                <c:formatCode>0.00</c:formatCode>
                <c:ptCount val="4"/>
                <c:pt idx="0">
                  <c:v>0.652173913043478</c:v>
                </c:pt>
                <c:pt idx="1">
                  <c:v>1.01449275362319</c:v>
                </c:pt>
                <c:pt idx="2">
                  <c:v>1.04545454545455</c:v>
                </c:pt>
                <c:pt idx="3">
                  <c:v>1.05479452054795</c:v>
                </c:pt>
              </c:numCache>
            </c:numRef>
          </c:val>
        </c:ser>
        <c:gapWidth val="150"/>
        <c:overlap val="0"/>
        <c:axId val="86754658"/>
        <c:axId val="88942182"/>
      </c:barChart>
      <c:catAx>
        <c:axId val="86754658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88942182"/>
        <c:crosses val="autoZero"/>
        <c:auto val="1"/>
        <c:lblAlgn val="ctr"/>
        <c:lblOffset val="100"/>
        <c:noMultiLvlLbl val="0"/>
      </c:catAx>
      <c:valAx>
        <c:axId val="88942182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86754658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KpDpR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"KpDpR"</c:f>
              <c:strCache>
                <c:ptCount val="1"/>
                <c:pt idx="0">
                  <c:v>KpDpR</c:v>
                </c:pt>
              </c:strCache>
            </c:strRef>
          </c:tx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FALL2025!$Q$105:$Q$108</c:f>
              <c:strCache>
                <c:ptCount val="4"/>
                <c:pt idx="0">
                  <c:v>Basses</c:v>
                </c:pt>
                <c:pt idx="1">
                  <c:v>Tenors</c:v>
                </c:pt>
                <c:pt idx="2">
                  <c:v>Baris</c:v>
                </c:pt>
                <c:pt idx="3">
                  <c:v>Leads</c:v>
                </c:pt>
              </c:strCache>
            </c:strRef>
          </c:cat>
          <c:val>
            <c:numRef>
              <c:f>FALL2025!$R$105:$R$108</c:f>
              <c:numCache>
                <c:formatCode>0.00</c:formatCode>
                <c:ptCount val="4"/>
                <c:pt idx="0">
                  <c:v>0.657142857142857</c:v>
                </c:pt>
                <c:pt idx="1">
                  <c:v>1.02072538860104</c:v>
                </c:pt>
                <c:pt idx="2">
                  <c:v>1.06474820143885</c:v>
                </c:pt>
                <c:pt idx="3">
                  <c:v>1.195</c:v>
                </c:pt>
              </c:numCache>
            </c:numRef>
          </c:val>
        </c:ser>
        <c:gapWidth val="150"/>
        <c:overlap val="0"/>
        <c:axId val="68996339"/>
        <c:axId val="95274239"/>
      </c:barChart>
      <c:catAx>
        <c:axId val="68996339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5274239"/>
        <c:crosses val="autoZero"/>
        <c:auto val="1"/>
        <c:lblAlgn val="ctr"/>
        <c:lblOffset val="100"/>
        <c:noMultiLvlLbl val="0"/>
      </c:catAx>
      <c:valAx>
        <c:axId val="95274239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68996339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Overall Individual Winner Chart (adjusted scores)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15089514066496"/>
          <c:y val="0.104716790969563"/>
          <c:w val="0.862006251776073"/>
          <c:h val="0.75549284418464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"Adjusted"</c:f>
              <c:strCache>
                <c:ptCount val="1"/>
                <c:pt idx="0">
                  <c:v>Adjusted</c:v>
                </c:pt>
              </c:strCache>
            </c:strRef>
          </c:tx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5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FALL2025!$AN$36:$AN$51</c:f>
              <c:strCache>
                <c:ptCount val="16"/>
                <c:pt idx="0">
                  <c:v>Ethan</c:v>
                </c:pt>
                <c:pt idx="1">
                  <c:v>Will</c:v>
                </c:pt>
                <c:pt idx="2">
                  <c:v>Maxine</c:v>
                </c:pt>
                <c:pt idx="3">
                  <c:v>Mikey</c:v>
                </c:pt>
                <c:pt idx="4">
                  <c:v>Lucy</c:v>
                </c:pt>
                <c:pt idx="5">
                  <c:v>Carter</c:v>
                </c:pt>
                <c:pt idx="6">
                  <c:v>Peter</c:v>
                </c:pt>
                <c:pt idx="7">
                  <c:v>Anthony</c:v>
                </c:pt>
                <c:pt idx="8">
                  <c:v>Vignesh</c:v>
                </c:pt>
                <c:pt idx="9">
                  <c:v>Evan</c:v>
                </c:pt>
                <c:pt idx="10">
                  <c:v>Joey</c:v>
                </c:pt>
                <c:pt idx="11">
                  <c:v>Erick</c:v>
                </c:pt>
                <c:pt idx="12">
                  <c:v>Cooper</c:v>
                </c:pt>
                <c:pt idx="13">
                  <c:v>Grady</c:v>
                </c:pt>
                <c:pt idx="14">
                  <c:v>Rob</c:v>
                </c:pt>
                <c:pt idx="15">
                  <c:v>Reuben</c:v>
                </c:pt>
              </c:strCache>
            </c:strRef>
          </c:cat>
          <c:val>
            <c:numRef>
              <c:f>FALL2025!$AP$36:$AP$51</c:f>
              <c:numCache>
                <c:formatCode>0.00</c:formatCode>
                <c:ptCount val="16"/>
                <c:pt idx="0">
                  <c:v>1378.76390788874</c:v>
                </c:pt>
                <c:pt idx="1">
                  <c:v>1156.57212885154</c:v>
                </c:pt>
                <c:pt idx="2">
                  <c:v>1140.38571428571</c:v>
                </c:pt>
                <c:pt idx="3">
                  <c:v>1024.75515168918</c:v>
                </c:pt>
                <c:pt idx="4">
                  <c:v>1000.72686875337</c:v>
                </c:pt>
                <c:pt idx="5">
                  <c:v>817.537356321839</c:v>
                </c:pt>
                <c:pt idx="6">
                  <c:v>752.505952380952</c:v>
                </c:pt>
                <c:pt idx="7">
                  <c:v>679.06891025641</c:v>
                </c:pt>
                <c:pt idx="8">
                  <c:v>580.272514071295</c:v>
                </c:pt>
                <c:pt idx="9">
                  <c:v>543.963675213675</c:v>
                </c:pt>
                <c:pt idx="10">
                  <c:v>511.083333333333</c:v>
                </c:pt>
                <c:pt idx="11">
                  <c:v>458.029761904762</c:v>
                </c:pt>
                <c:pt idx="12">
                  <c:v>425.277472527473</c:v>
                </c:pt>
                <c:pt idx="13">
                  <c:v>421.670377867746</c:v>
                </c:pt>
                <c:pt idx="14">
                  <c:v>85.205626061813</c:v>
                </c:pt>
                <c:pt idx="15">
                  <c:v>0</c:v>
                </c:pt>
              </c:numCache>
            </c:numRef>
          </c:val>
        </c:ser>
        <c:gapWidth val="150"/>
        <c:overlap val="0"/>
        <c:axId val="53322175"/>
        <c:axId val="18196516"/>
      </c:barChart>
      <c:catAx>
        <c:axId val="5332217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8196516"/>
        <c:crosses val="autoZero"/>
        <c:auto val="1"/>
        <c:lblAlgn val="ctr"/>
        <c:lblOffset val="100"/>
        <c:noMultiLvlLbl val="0"/>
      </c:catAx>
      <c:valAx>
        <c:axId val="18196516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5332217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Overall Part Winner Chart (adjusted scores)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13064681724846"/>
          <c:y val="0.123425131006801"/>
          <c:w val="0.861460472279261"/>
          <c:h val="0.773553350429256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"Adjusted"</c:f>
              <c:strCache>
                <c:ptCount val="1"/>
                <c:pt idx="0">
                  <c:v>Adjusted</c:v>
                </c:pt>
              </c:strCache>
            </c:strRef>
          </c:tx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FALL2025!$AN$66:$AN$70</c:f>
              <c:strCache>
                <c:ptCount val="5"/>
                <c:pt idx="0">
                  <c:v>Basses (No Reuben)</c:v>
                </c:pt>
                <c:pt idx="1">
                  <c:v>Baris</c:v>
                </c:pt>
                <c:pt idx="2">
                  <c:v>Leads</c:v>
                </c:pt>
                <c:pt idx="3">
                  <c:v>Tenors</c:v>
                </c:pt>
                <c:pt idx="4">
                  <c:v>Basses</c:v>
                </c:pt>
              </c:strCache>
            </c:strRef>
          </c:cat>
          <c:val>
            <c:numRef>
              <c:f>FALL2025!$AP$66:$AP$70</c:f>
              <c:numCache>
                <c:formatCode>0.00</c:formatCode>
                <c:ptCount val="5"/>
                <c:pt idx="0">
                  <c:v>343.041149068323</c:v>
                </c:pt>
                <c:pt idx="1">
                  <c:v>317.433491095323</c:v>
                </c:pt>
                <c:pt idx="2">
                  <c:v>308.296760466058</c:v>
                </c:pt>
                <c:pt idx="3">
                  <c:v>207.33749289308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12452297"/>
        <c:axId val="83877983"/>
      </c:barChart>
      <c:catAx>
        <c:axId val="1245229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83877983"/>
        <c:crosses val="autoZero"/>
        <c:auto val="1"/>
        <c:lblAlgn val="ctr"/>
        <c:lblOffset val="100"/>
        <c:noMultiLvlLbl val="0"/>
      </c:catAx>
      <c:valAx>
        <c:axId val="83877983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245229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Kills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1"/>
        <c:ser>
          <c:idx val="0"/>
          <c:order val="0"/>
          <c:tx>
            <c:strRef>
              <c:f>"Kills"</c:f>
              <c:strCache>
                <c:ptCount val="1"/>
                <c:pt idx="0">
                  <c:v>Kills</c:v>
                </c:pt>
              </c:strCache>
            </c:strRef>
          </c:tx>
          <c:spPr>
            <a:solidFill>
              <a:srgbClr val="196B24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Fall2025PRE!$G$26:$G$36</c:f>
              <c:strCache>
                <c:ptCount val="11"/>
                <c:pt idx="0">
                  <c:v>Ethan</c:v>
                </c:pt>
                <c:pt idx="1">
                  <c:v>Maxine</c:v>
                </c:pt>
                <c:pt idx="2">
                  <c:v>Anthony</c:v>
                </c:pt>
                <c:pt idx="3">
                  <c:v>Evan</c:v>
                </c:pt>
                <c:pt idx="4">
                  <c:v>Peter</c:v>
                </c:pt>
                <c:pt idx="5">
                  <c:v>Joey</c:v>
                </c:pt>
                <c:pt idx="6">
                  <c:v>Carter</c:v>
                </c:pt>
                <c:pt idx="7">
                  <c:v>Grady</c:v>
                </c:pt>
                <c:pt idx="8">
                  <c:v>Cooper</c:v>
                </c:pt>
                <c:pt idx="9">
                  <c:v>Erick</c:v>
                </c:pt>
                <c:pt idx="10">
                  <c:v>Reuben</c:v>
                </c:pt>
              </c:strCache>
            </c:strRef>
          </c:cat>
          <c:val>
            <c:numRef>
              <c:f>Fall2025PRE!$H$26:$H$36</c:f>
              <c:numCache>
                <c:formatCode>General</c:formatCode>
                <c:ptCount val="11"/>
                <c:pt idx="0">
                  <c:v>18</c:v>
                </c:pt>
                <c:pt idx="1">
                  <c:v>13</c:v>
                </c:pt>
                <c:pt idx="2">
                  <c:v>11</c:v>
                </c:pt>
                <c:pt idx="3">
                  <c:v>10</c:v>
                </c:pt>
                <c:pt idx="4">
                  <c:v>7</c:v>
                </c:pt>
                <c:pt idx="5">
                  <c:v>5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1</c:v>
                </c:pt>
                <c:pt idx="10">
                  <c:v>0</c:v>
                </c:pt>
              </c:numCache>
            </c:numRef>
          </c:val>
        </c:ser>
        <c:gapWidth val="150"/>
        <c:overlap val="0"/>
        <c:axId val="91077563"/>
        <c:axId val="2702048"/>
      </c:barChart>
      <c:catAx>
        <c:axId val="9107756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2702048"/>
        <c:crosses val="autoZero"/>
        <c:auto val="1"/>
        <c:lblAlgn val="ctr"/>
        <c:lblOffset val="100"/>
        <c:noMultiLvlLbl val="0"/>
      </c:catAx>
      <c:valAx>
        <c:axId val="2702048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107756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Kill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1"/>
        <c:ser>
          <c:idx val="0"/>
          <c:order val="0"/>
          <c:tx>
            <c:strRef>
              <c:f>"Kill Points"</c:f>
              <c:strCache>
                <c:ptCount val="1"/>
                <c:pt idx="0">
                  <c:v>Kill Points</c:v>
                </c:pt>
              </c:strCache>
            </c:strRef>
          </c:tx>
          <c:spPr>
            <a:solidFill>
              <a:srgbClr val="196B24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Fall2025PRE!$Q$26:$Q$36</c:f>
              <c:strCache>
                <c:ptCount val="11"/>
                <c:pt idx="0">
                  <c:v>Ethan</c:v>
                </c:pt>
                <c:pt idx="1">
                  <c:v>Maxine</c:v>
                </c:pt>
                <c:pt idx="2">
                  <c:v>Anthony</c:v>
                </c:pt>
                <c:pt idx="3">
                  <c:v>Evan</c:v>
                </c:pt>
                <c:pt idx="4">
                  <c:v>Peter</c:v>
                </c:pt>
                <c:pt idx="5">
                  <c:v>Joey</c:v>
                </c:pt>
                <c:pt idx="6">
                  <c:v>Carter</c:v>
                </c:pt>
                <c:pt idx="7">
                  <c:v>Cooper</c:v>
                </c:pt>
                <c:pt idx="8">
                  <c:v>Grady</c:v>
                </c:pt>
                <c:pt idx="9">
                  <c:v>Erick</c:v>
                </c:pt>
                <c:pt idx="10">
                  <c:v>Reuben</c:v>
                </c:pt>
              </c:strCache>
            </c:strRef>
          </c:cat>
          <c:val>
            <c:numRef>
              <c:f>Fall2025PRE!$R$26:$R$36</c:f>
              <c:numCache>
                <c:formatCode>General</c:formatCode>
                <c:ptCount val="11"/>
                <c:pt idx="0">
                  <c:v>28</c:v>
                </c:pt>
                <c:pt idx="1">
                  <c:v>21</c:v>
                </c:pt>
                <c:pt idx="2">
                  <c:v>18</c:v>
                </c:pt>
                <c:pt idx="3">
                  <c:v>13</c:v>
                </c:pt>
                <c:pt idx="4">
                  <c:v>11</c:v>
                </c:pt>
                <c:pt idx="5">
                  <c:v>10</c:v>
                </c:pt>
                <c:pt idx="6">
                  <c:v>4</c:v>
                </c:pt>
                <c:pt idx="7">
                  <c:v>4</c:v>
                </c:pt>
                <c:pt idx="8">
                  <c:v>3</c:v>
                </c:pt>
                <c:pt idx="9">
                  <c:v>1</c:v>
                </c:pt>
                <c:pt idx="10">
                  <c:v>0</c:v>
                </c:pt>
              </c:numCache>
            </c:numRef>
          </c:val>
        </c:ser>
        <c:gapWidth val="150"/>
        <c:overlap val="0"/>
        <c:axId val="43084947"/>
        <c:axId val="51772264"/>
      </c:barChart>
      <c:catAx>
        <c:axId val="4308494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51772264"/>
        <c:crosses val="autoZero"/>
        <c:auto val="1"/>
        <c:lblAlgn val="ctr"/>
        <c:lblOffset val="100"/>
        <c:noMultiLvlLbl val="0"/>
      </c:catAx>
      <c:valAx>
        <c:axId val="51772264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4308494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Deaths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1"/>
        <c:ser>
          <c:idx val="0"/>
          <c:order val="0"/>
          <c:tx>
            <c:strRef>
              <c:f>"Deaths"</c:f>
              <c:strCache>
                <c:ptCount val="1"/>
                <c:pt idx="0">
                  <c:v>Deaths</c:v>
                </c:pt>
              </c:strCache>
            </c:strRef>
          </c:tx>
          <c:spPr>
            <a:solidFill>
              <a:srgbClr val="FF0000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Fall2025PRE!$G$42:$G$52</c:f>
              <c:strCache>
                <c:ptCount val="11"/>
                <c:pt idx="0">
                  <c:v>Evan</c:v>
                </c:pt>
                <c:pt idx="1">
                  <c:v>Grady</c:v>
                </c:pt>
                <c:pt idx="2">
                  <c:v>Ethan</c:v>
                </c:pt>
                <c:pt idx="3">
                  <c:v>Maxine</c:v>
                </c:pt>
                <c:pt idx="4">
                  <c:v>Erick</c:v>
                </c:pt>
                <c:pt idx="5">
                  <c:v>Anthony</c:v>
                </c:pt>
                <c:pt idx="6">
                  <c:v>Reuben</c:v>
                </c:pt>
                <c:pt idx="7">
                  <c:v>Cooper</c:v>
                </c:pt>
                <c:pt idx="8">
                  <c:v>Carter</c:v>
                </c:pt>
                <c:pt idx="9">
                  <c:v>Peter</c:v>
                </c:pt>
                <c:pt idx="10">
                  <c:v>Joey</c:v>
                </c:pt>
              </c:strCache>
            </c:strRef>
          </c:cat>
          <c:val>
            <c:numRef>
              <c:f>Fall2025PRE!$H$42:$H$52</c:f>
              <c:numCache>
                <c:formatCode>General</c:formatCode>
                <c:ptCount val="11"/>
                <c:pt idx="0">
                  <c:v>13</c:v>
                </c:pt>
                <c:pt idx="1">
                  <c:v>12</c:v>
                </c:pt>
                <c:pt idx="2">
                  <c:v>8</c:v>
                </c:pt>
                <c:pt idx="3">
                  <c:v>7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</c:numCache>
            </c:numRef>
          </c:val>
        </c:ser>
        <c:gapWidth val="150"/>
        <c:overlap val="0"/>
        <c:axId val="20311158"/>
        <c:axId val="62669268"/>
      </c:barChart>
      <c:catAx>
        <c:axId val="2031115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62669268"/>
        <c:crosses val="autoZero"/>
        <c:auto val="1"/>
        <c:lblAlgn val="ctr"/>
        <c:lblOffset val="100"/>
        <c:noMultiLvlLbl val="0"/>
      </c:catAx>
      <c:valAx>
        <c:axId val="62669268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2031115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Death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1"/>
        <c:ser>
          <c:idx val="0"/>
          <c:order val="0"/>
          <c:tx>
            <c:strRef>
              <c:f>"Death Points"</c:f>
              <c:strCache>
                <c:ptCount val="1"/>
                <c:pt idx="0">
                  <c:v>Death Points</c:v>
                </c:pt>
              </c:strCache>
            </c:strRef>
          </c:tx>
          <c:spPr>
            <a:solidFill>
              <a:srgbClr val="FF0000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Fall2025PRE!$Q$42:$Q$52</c:f>
              <c:strCache>
                <c:ptCount val="11"/>
                <c:pt idx="0">
                  <c:v>Grady</c:v>
                </c:pt>
                <c:pt idx="1">
                  <c:v>Evan</c:v>
                </c:pt>
                <c:pt idx="2">
                  <c:v>Ethan</c:v>
                </c:pt>
                <c:pt idx="3">
                  <c:v>Maxine</c:v>
                </c:pt>
                <c:pt idx="4">
                  <c:v>Erick</c:v>
                </c:pt>
                <c:pt idx="5">
                  <c:v>Reuben</c:v>
                </c:pt>
                <c:pt idx="6">
                  <c:v>Peter</c:v>
                </c:pt>
                <c:pt idx="7">
                  <c:v>Cooper</c:v>
                </c:pt>
                <c:pt idx="8">
                  <c:v>Carter</c:v>
                </c:pt>
                <c:pt idx="9">
                  <c:v>Anthony</c:v>
                </c:pt>
                <c:pt idx="10">
                  <c:v>Joey</c:v>
                </c:pt>
              </c:strCache>
            </c:strRef>
          </c:cat>
          <c:val>
            <c:numRef>
              <c:f>Fall2025PRE!$R$42:$R$52</c:f>
              <c:numCache>
                <c:formatCode>General</c:formatCode>
                <c:ptCount val="11"/>
                <c:pt idx="0">
                  <c:v>20</c:v>
                </c:pt>
                <c:pt idx="1">
                  <c:v>19</c:v>
                </c:pt>
                <c:pt idx="2">
                  <c:v>10</c:v>
                </c:pt>
                <c:pt idx="3">
                  <c:v>9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4</c:v>
                </c:pt>
              </c:numCache>
            </c:numRef>
          </c:val>
        </c:ser>
        <c:gapWidth val="150"/>
        <c:overlap val="0"/>
        <c:axId val="35195519"/>
        <c:axId val="51834469"/>
      </c:barChart>
      <c:catAx>
        <c:axId val="3519551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51834469"/>
        <c:crosses val="autoZero"/>
        <c:auto val="1"/>
        <c:lblAlgn val="ctr"/>
        <c:lblOffset val="100"/>
        <c:noMultiLvlLbl val="0"/>
      </c:catAx>
      <c:valAx>
        <c:axId val="51834469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3519551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KDR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1"/>
        <c:ser>
          <c:idx val="0"/>
          <c:order val="0"/>
          <c:tx>
            <c:strRef>
              <c:f>"KDR"</c:f>
              <c:strCache>
                <c:ptCount val="1"/>
                <c:pt idx="0">
                  <c:v>KDR</c:v>
                </c:pt>
              </c:strCache>
            </c:strRef>
          </c:tx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Fall2025PRE!$G$58:$G$68</c:f>
              <c:strCache>
                <c:ptCount val="11"/>
                <c:pt idx="0">
                  <c:v>Ethan</c:v>
                </c:pt>
                <c:pt idx="1">
                  <c:v>Anthony</c:v>
                </c:pt>
                <c:pt idx="2">
                  <c:v>Maxine</c:v>
                </c:pt>
                <c:pt idx="3">
                  <c:v>Peter</c:v>
                </c:pt>
                <c:pt idx="4">
                  <c:v>Joey</c:v>
                </c:pt>
                <c:pt idx="5">
                  <c:v>Evan</c:v>
                </c:pt>
                <c:pt idx="6">
                  <c:v>Carter</c:v>
                </c:pt>
                <c:pt idx="7">
                  <c:v>Cooper</c:v>
                </c:pt>
                <c:pt idx="8">
                  <c:v>Grady</c:v>
                </c:pt>
                <c:pt idx="9">
                  <c:v>Erick</c:v>
                </c:pt>
                <c:pt idx="10">
                  <c:v>Reuben</c:v>
                </c:pt>
              </c:strCache>
            </c:strRef>
          </c:cat>
          <c:val>
            <c:numRef>
              <c:f>Fall2025PRE!$H$58:$H$68</c:f>
              <c:numCache>
                <c:formatCode>0.00</c:formatCode>
                <c:ptCount val="11"/>
                <c:pt idx="0">
                  <c:v>2.25</c:v>
                </c:pt>
                <c:pt idx="1">
                  <c:v>2.2</c:v>
                </c:pt>
                <c:pt idx="2">
                  <c:v>1.85714285714286</c:v>
                </c:pt>
                <c:pt idx="3">
                  <c:v>1.75</c:v>
                </c:pt>
                <c:pt idx="4">
                  <c:v>1.66666666666667</c:v>
                </c:pt>
                <c:pt idx="5">
                  <c:v>0.769230769230769</c:v>
                </c:pt>
                <c:pt idx="6">
                  <c:v>0.75</c:v>
                </c:pt>
                <c:pt idx="7">
                  <c:v>0.6</c:v>
                </c:pt>
                <c:pt idx="8">
                  <c:v>0.25</c:v>
                </c:pt>
                <c:pt idx="9">
                  <c:v>0.2</c:v>
                </c:pt>
                <c:pt idx="10">
                  <c:v>0</c:v>
                </c:pt>
              </c:numCache>
            </c:numRef>
          </c:val>
        </c:ser>
        <c:gapWidth val="150"/>
        <c:overlap val="0"/>
        <c:axId val="84960777"/>
        <c:axId val="17227100"/>
      </c:barChart>
      <c:catAx>
        <c:axId val="8496077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7227100"/>
        <c:crosses val="autoZero"/>
        <c:auto val="1"/>
        <c:lblAlgn val="ctr"/>
        <c:lblOffset val="100"/>
        <c:noMultiLvlLbl val="0"/>
      </c:catAx>
      <c:valAx>
        <c:axId val="17227100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8496077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KpDpR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1"/>
        <c:ser>
          <c:idx val="0"/>
          <c:order val="0"/>
          <c:tx>
            <c:strRef>
              <c:f>"KpDpR"</c:f>
              <c:strCache>
                <c:ptCount val="1"/>
                <c:pt idx="0">
                  <c:v>KpDpR</c:v>
                </c:pt>
              </c:strCache>
            </c:strRef>
          </c:tx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Fall2025PRE!$Q$58:$Q$68</c:f>
              <c:strCache>
                <c:ptCount val="11"/>
                <c:pt idx="0">
                  <c:v>Anthony</c:v>
                </c:pt>
                <c:pt idx="1">
                  <c:v>Ethan</c:v>
                </c:pt>
                <c:pt idx="2">
                  <c:v>Joey</c:v>
                </c:pt>
                <c:pt idx="3">
                  <c:v>Maxine</c:v>
                </c:pt>
                <c:pt idx="4">
                  <c:v>Peter</c:v>
                </c:pt>
                <c:pt idx="5">
                  <c:v>Carter</c:v>
                </c:pt>
                <c:pt idx="6">
                  <c:v>Evan</c:v>
                </c:pt>
                <c:pt idx="7">
                  <c:v>Cooper</c:v>
                </c:pt>
                <c:pt idx="8">
                  <c:v>Grady</c:v>
                </c:pt>
                <c:pt idx="9">
                  <c:v>Erick</c:v>
                </c:pt>
                <c:pt idx="10">
                  <c:v>Reuben</c:v>
                </c:pt>
              </c:strCache>
            </c:strRef>
          </c:cat>
          <c:val>
            <c:numRef>
              <c:f>Fall2025PRE!$R$58:$R$68</c:f>
              <c:numCache>
                <c:formatCode>0.00</c:formatCode>
                <c:ptCount val="11"/>
                <c:pt idx="0">
                  <c:v>3.6</c:v>
                </c:pt>
                <c:pt idx="1">
                  <c:v>2.8</c:v>
                </c:pt>
                <c:pt idx="2">
                  <c:v>2.5</c:v>
                </c:pt>
                <c:pt idx="3">
                  <c:v>2.33333333333333</c:v>
                </c:pt>
                <c:pt idx="4">
                  <c:v>1.83333333333333</c:v>
                </c:pt>
                <c:pt idx="5">
                  <c:v>0.8</c:v>
                </c:pt>
                <c:pt idx="6">
                  <c:v>0.68421052631579</c:v>
                </c:pt>
                <c:pt idx="7">
                  <c:v>0.666666666666667</c:v>
                </c:pt>
                <c:pt idx="8">
                  <c:v>0.15</c:v>
                </c:pt>
                <c:pt idx="9">
                  <c:v>0.142857142857143</c:v>
                </c:pt>
                <c:pt idx="10">
                  <c:v>0</c:v>
                </c:pt>
              </c:numCache>
            </c:numRef>
          </c:val>
        </c:ser>
        <c:gapWidth val="150"/>
        <c:overlap val="0"/>
        <c:axId val="98310834"/>
        <c:axId val="1890455"/>
      </c:barChart>
      <c:catAx>
        <c:axId val="9831083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890455"/>
        <c:crosses val="autoZero"/>
        <c:auto val="1"/>
        <c:lblAlgn val="ctr"/>
        <c:lblOffset val="100"/>
        <c:noMultiLvlLbl val="0"/>
      </c:catAx>
      <c:valAx>
        <c:axId val="1890455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831083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Kills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"Kills"</c:f>
              <c:strCache>
                <c:ptCount val="1"/>
                <c:pt idx="0">
                  <c:v>Kills</c:v>
                </c:pt>
              </c:strCache>
            </c:strRef>
          </c:tx>
          <c:spPr>
            <a:solidFill>
              <a:srgbClr val="4EA72E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Fall2025PRE!$G$74:$G$77</c:f>
              <c:strCache>
                <c:ptCount val="4"/>
                <c:pt idx="0">
                  <c:v>Tenors</c:v>
                </c:pt>
                <c:pt idx="1">
                  <c:v>Basses</c:v>
                </c:pt>
                <c:pt idx="2">
                  <c:v>Leads</c:v>
                </c:pt>
                <c:pt idx="3">
                  <c:v>Baris</c:v>
                </c:pt>
              </c:strCache>
            </c:strRef>
          </c:cat>
          <c:val>
            <c:numRef>
              <c:f>Fall2025PRE!$H$74:$H$77</c:f>
              <c:numCache>
                <c:formatCode>0.00</c:formatCode>
                <c:ptCount val="4"/>
                <c:pt idx="0">
                  <c:v>3</c:v>
                </c:pt>
                <c:pt idx="1">
                  <c:v>3.25</c:v>
                </c:pt>
                <c:pt idx="2">
                  <c:v>8.66666666666667</c:v>
                </c:pt>
                <c:pt idx="3">
                  <c:v>14.5</c:v>
                </c:pt>
              </c:numCache>
            </c:numRef>
          </c:val>
        </c:ser>
        <c:gapWidth val="150"/>
        <c:overlap val="0"/>
        <c:axId val="24300094"/>
        <c:axId val="82346242"/>
      </c:barChart>
      <c:catAx>
        <c:axId val="24300094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82346242"/>
        <c:crosses val="autoZero"/>
        <c:auto val="1"/>
        <c:lblAlgn val="ctr"/>
        <c:lblOffset val="100"/>
        <c:noMultiLvlLbl val="0"/>
      </c:catAx>
      <c:valAx>
        <c:axId val="82346242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24300094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Kill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"Kill Points"</c:f>
              <c:strCache>
                <c:ptCount val="1"/>
                <c:pt idx="0">
                  <c:v>Kill Points</c:v>
                </c:pt>
              </c:strCache>
            </c:strRef>
          </c:tx>
          <c:spPr>
            <a:solidFill>
              <a:srgbClr val="4EA72E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Fall2025PRE!$Q$74:$Q$77</c:f>
              <c:strCache>
                <c:ptCount val="4"/>
                <c:pt idx="0">
                  <c:v>Tenors</c:v>
                </c:pt>
                <c:pt idx="1">
                  <c:v>Basses</c:v>
                </c:pt>
                <c:pt idx="2">
                  <c:v>Leads</c:v>
                </c:pt>
                <c:pt idx="3">
                  <c:v>Baris</c:v>
                </c:pt>
              </c:strCache>
            </c:strRef>
          </c:cat>
          <c:val>
            <c:numRef>
              <c:f>Fall2025PRE!$R$74:$R$77</c:f>
              <c:numCache>
                <c:formatCode>0.00</c:formatCode>
                <c:ptCount val="4"/>
                <c:pt idx="0">
                  <c:v>3.5</c:v>
                </c:pt>
                <c:pt idx="1">
                  <c:v>5.5</c:v>
                </c:pt>
                <c:pt idx="2">
                  <c:v>12.6666666666667</c:v>
                </c:pt>
                <c:pt idx="3">
                  <c:v>23</c:v>
                </c:pt>
              </c:numCache>
            </c:numRef>
          </c:val>
        </c:ser>
        <c:gapWidth val="150"/>
        <c:overlap val="0"/>
        <c:axId val="36020924"/>
        <c:axId val="68686945"/>
      </c:barChart>
      <c:catAx>
        <c:axId val="36020924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68686945"/>
        <c:crosses val="autoZero"/>
        <c:auto val="1"/>
        <c:lblAlgn val="ctr"/>
        <c:lblOffset val="100"/>
        <c:noMultiLvlLbl val="0"/>
      </c:catAx>
      <c:valAx>
        <c:axId val="68686945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36020924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Deaths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"Deaths"</c:f>
              <c:strCache>
                <c:ptCount val="1"/>
                <c:pt idx="0">
                  <c:v>Deaths</c:v>
                </c:pt>
              </c:strCache>
            </c:strRef>
          </c:tx>
          <c:spPr>
            <a:solidFill>
              <a:srgbClr val="FF0000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Fall2025PRE!$G$85:$G$88</c:f>
              <c:strCache>
                <c:ptCount val="4"/>
                <c:pt idx="0">
                  <c:v>Basses</c:v>
                </c:pt>
                <c:pt idx="1">
                  <c:v>Baris</c:v>
                </c:pt>
                <c:pt idx="2">
                  <c:v>Tenors</c:v>
                </c:pt>
                <c:pt idx="3">
                  <c:v>Leads</c:v>
                </c:pt>
              </c:strCache>
            </c:strRef>
          </c:cat>
          <c:val>
            <c:numRef>
              <c:f>Fall2025PRE!$H$85:$H$88</c:f>
              <c:numCache>
                <c:formatCode>0.00</c:formatCode>
                <c:ptCount val="4"/>
                <c:pt idx="0">
                  <c:v>4.25</c:v>
                </c:pt>
                <c:pt idx="1">
                  <c:v>6.5</c:v>
                </c:pt>
                <c:pt idx="2">
                  <c:v>8</c:v>
                </c:pt>
                <c:pt idx="3">
                  <c:v>8.33333333333333</c:v>
                </c:pt>
              </c:numCache>
            </c:numRef>
          </c:val>
        </c:ser>
        <c:gapWidth val="150"/>
        <c:overlap val="0"/>
        <c:axId val="50127340"/>
        <c:axId val="84898335"/>
      </c:barChart>
      <c:catAx>
        <c:axId val="50127340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84898335"/>
        <c:crosses val="autoZero"/>
        <c:auto val="1"/>
        <c:lblAlgn val="ctr"/>
        <c:lblOffset val="100"/>
        <c:noMultiLvlLbl val="0"/>
      </c:catAx>
      <c:valAx>
        <c:axId val="84898335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50127340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Death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"Death Points"</c:f>
              <c:strCache>
                <c:ptCount val="1"/>
                <c:pt idx="0">
                  <c:v>Death Points</c:v>
                </c:pt>
              </c:strCache>
            </c:strRef>
          </c:tx>
          <c:spPr>
            <a:solidFill>
              <a:srgbClr val="FF0000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Fall2025PRE!$Q$85:$Q$88</c:f>
              <c:strCache>
                <c:ptCount val="4"/>
                <c:pt idx="0">
                  <c:v>Basses</c:v>
                </c:pt>
                <c:pt idx="1">
                  <c:v>Baris</c:v>
                </c:pt>
                <c:pt idx="2">
                  <c:v>Leads</c:v>
                </c:pt>
                <c:pt idx="3">
                  <c:v>Tenors</c:v>
                </c:pt>
              </c:strCache>
            </c:strRef>
          </c:cat>
          <c:val>
            <c:numRef>
              <c:f>Fall2025PRE!$R$85:$R$88</c:f>
              <c:numCache>
                <c:formatCode>0.00</c:formatCode>
                <c:ptCount val="4"/>
                <c:pt idx="0">
                  <c:v>6</c:v>
                </c:pt>
                <c:pt idx="1">
                  <c:v>7.5</c:v>
                </c:pt>
                <c:pt idx="2">
                  <c:v>11.3333333333333</c:v>
                </c:pt>
                <c:pt idx="3">
                  <c:v>12.5</c:v>
                </c:pt>
              </c:numCache>
            </c:numRef>
          </c:val>
        </c:ser>
        <c:gapWidth val="150"/>
        <c:overlap val="0"/>
        <c:axId val="17132987"/>
        <c:axId val="24897191"/>
      </c:barChart>
      <c:catAx>
        <c:axId val="17132987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24897191"/>
        <c:crosses val="autoZero"/>
        <c:auto val="1"/>
        <c:lblAlgn val="ctr"/>
        <c:lblOffset val="100"/>
        <c:noMultiLvlLbl val="0"/>
      </c:catAx>
      <c:valAx>
        <c:axId val="24897191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7132987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KDR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"KDR"</c:f>
              <c:strCache>
                <c:ptCount val="1"/>
                <c:pt idx="0">
                  <c:v>KDR</c:v>
                </c:pt>
              </c:strCache>
            </c:strRef>
          </c:tx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Fall2025PRE!$G$96:$G$99</c:f>
              <c:strCache>
                <c:ptCount val="4"/>
                <c:pt idx="0">
                  <c:v>Tenors</c:v>
                </c:pt>
                <c:pt idx="1">
                  <c:v>Basses</c:v>
                </c:pt>
                <c:pt idx="2">
                  <c:v>Leads</c:v>
                </c:pt>
                <c:pt idx="3">
                  <c:v>Baris</c:v>
                </c:pt>
              </c:strCache>
            </c:strRef>
          </c:cat>
          <c:val>
            <c:numRef>
              <c:f>Fall2025PRE!$H$96:$H$99</c:f>
              <c:numCache>
                <c:formatCode>0.00</c:formatCode>
                <c:ptCount val="4"/>
                <c:pt idx="0">
                  <c:v>0.375</c:v>
                </c:pt>
                <c:pt idx="1">
                  <c:v>0.764705882352941</c:v>
                </c:pt>
                <c:pt idx="2">
                  <c:v>1.04</c:v>
                </c:pt>
                <c:pt idx="3">
                  <c:v>2.23076923076923</c:v>
                </c:pt>
              </c:numCache>
            </c:numRef>
          </c:val>
        </c:ser>
        <c:gapWidth val="150"/>
        <c:overlap val="0"/>
        <c:axId val="29348333"/>
        <c:axId val="92013204"/>
      </c:barChart>
      <c:catAx>
        <c:axId val="29348333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2013204"/>
        <c:crosses val="autoZero"/>
        <c:auto val="1"/>
        <c:lblAlgn val="ctr"/>
        <c:lblOffset val="100"/>
        <c:noMultiLvlLbl val="0"/>
      </c:catAx>
      <c:valAx>
        <c:axId val="92013204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29348333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KpDpR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"KpDpR"</c:f>
              <c:strCache>
                <c:ptCount val="1"/>
                <c:pt idx="0">
                  <c:v>KpDpR</c:v>
                </c:pt>
              </c:strCache>
            </c:strRef>
          </c:tx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Fall2025PRE!$Q$96:$Q$99</c:f>
              <c:strCache>
                <c:ptCount val="4"/>
                <c:pt idx="0">
                  <c:v>Tenors</c:v>
                </c:pt>
                <c:pt idx="1">
                  <c:v>Basses</c:v>
                </c:pt>
                <c:pt idx="2">
                  <c:v>Leads</c:v>
                </c:pt>
                <c:pt idx="3">
                  <c:v>Baris</c:v>
                </c:pt>
              </c:strCache>
            </c:strRef>
          </c:cat>
          <c:val>
            <c:numRef>
              <c:f>Fall2025PRE!$R$96:$R$99</c:f>
              <c:numCache>
                <c:formatCode>0.00</c:formatCode>
                <c:ptCount val="4"/>
                <c:pt idx="0">
                  <c:v>0.28</c:v>
                </c:pt>
                <c:pt idx="1">
                  <c:v>0.916666666666667</c:v>
                </c:pt>
                <c:pt idx="2">
                  <c:v>1.11764705882353</c:v>
                </c:pt>
                <c:pt idx="3">
                  <c:v>3.06666666666667</c:v>
                </c:pt>
              </c:numCache>
            </c:numRef>
          </c:val>
        </c:ser>
        <c:gapWidth val="150"/>
        <c:overlap val="0"/>
        <c:axId val="61963186"/>
        <c:axId val="26990000"/>
      </c:barChart>
      <c:catAx>
        <c:axId val="61963186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26990000"/>
        <c:crosses val="autoZero"/>
        <c:auto val="1"/>
        <c:lblAlgn val="ctr"/>
        <c:lblOffset val="100"/>
        <c:noMultiLvlLbl val="0"/>
      </c:catAx>
      <c:valAx>
        <c:axId val="26990000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61963186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Overall Individual Winner Chart (adjusted scores)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273542600896861"/>
          <c:y val="0.115040335948724"/>
          <c:w val="0.949775784753363"/>
          <c:h val="0.810255276826169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"Adjusted"</c:f>
              <c:strCache>
                <c:ptCount val="1"/>
                <c:pt idx="0">
                  <c:v>Adjusted</c:v>
                </c:pt>
              </c:strCache>
            </c:strRef>
          </c:tx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Fall2025PRE!$AI$34:$AI$44</c:f>
              <c:strCache>
                <c:ptCount val="11"/>
                <c:pt idx="0">
                  <c:v>Ethan</c:v>
                </c:pt>
                <c:pt idx="1">
                  <c:v>Maxine</c:v>
                </c:pt>
                <c:pt idx="2">
                  <c:v>Anthony</c:v>
                </c:pt>
                <c:pt idx="3">
                  <c:v>Joey</c:v>
                </c:pt>
                <c:pt idx="4">
                  <c:v>Peter</c:v>
                </c:pt>
                <c:pt idx="5">
                  <c:v>Evan</c:v>
                </c:pt>
                <c:pt idx="6">
                  <c:v>Cooper</c:v>
                </c:pt>
                <c:pt idx="7">
                  <c:v>Carter</c:v>
                </c:pt>
                <c:pt idx="8">
                  <c:v>Erick</c:v>
                </c:pt>
                <c:pt idx="9">
                  <c:v>Reuben</c:v>
                </c:pt>
                <c:pt idx="10">
                  <c:v>Grady</c:v>
                </c:pt>
              </c:strCache>
            </c:strRef>
          </c:cat>
          <c:val>
            <c:numRef>
              <c:f>Fall2025PRE!$AK$34:$AK$44</c:f>
              <c:numCache>
                <c:formatCode>0.00</c:formatCode>
                <c:ptCount val="11"/>
                <c:pt idx="0">
                  <c:v>699.694444444445</c:v>
                </c:pt>
                <c:pt idx="1">
                  <c:v>594.188644688645</c:v>
                </c:pt>
                <c:pt idx="2">
                  <c:v>588.060606060606</c:v>
                </c:pt>
                <c:pt idx="3">
                  <c:v>428.333333333333</c:v>
                </c:pt>
                <c:pt idx="4">
                  <c:v>356.345238095238</c:v>
                </c:pt>
                <c:pt idx="5">
                  <c:v>249.438596491228</c:v>
                </c:pt>
                <c:pt idx="6">
                  <c:v>204.166666666667</c:v>
                </c:pt>
                <c:pt idx="7">
                  <c:v>197.75</c:v>
                </c:pt>
                <c:pt idx="8">
                  <c:v>73.4047619047619</c:v>
                </c:pt>
                <c:pt idx="9">
                  <c:v>3.83333333333334</c:v>
                </c:pt>
                <c:pt idx="10">
                  <c:v>0</c:v>
                </c:pt>
              </c:numCache>
            </c:numRef>
          </c:val>
        </c:ser>
        <c:gapWidth val="150"/>
        <c:overlap val="0"/>
        <c:axId val="1098644"/>
        <c:axId val="51864744"/>
      </c:barChart>
      <c:catAx>
        <c:axId val="109864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51864744"/>
        <c:crosses val="autoZero"/>
        <c:auto val="1"/>
        <c:lblAlgn val="ctr"/>
        <c:lblOffset val="100"/>
        <c:noMultiLvlLbl val="0"/>
      </c:catAx>
      <c:valAx>
        <c:axId val="51864744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09864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Overall Part Winner Chart (adjusted scores)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254561984544451"/>
          <c:y val="0.0994536737651912"/>
          <c:w val="0.949022663809338"/>
          <c:h val="0.813691604415208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"Adjusted"</c:f>
              <c:strCache>
                <c:ptCount val="1"/>
                <c:pt idx="0">
                  <c:v>Adjusted</c:v>
                </c:pt>
              </c:strCache>
            </c:strRef>
          </c:tx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Fall2025PRE!$AI$61:$AI$65</c:f>
              <c:strCache>
                <c:ptCount val="5"/>
                <c:pt idx="0">
                  <c:v>Baris</c:v>
                </c:pt>
                <c:pt idx="1">
                  <c:v>Leads</c:v>
                </c:pt>
                <c:pt idx="2">
                  <c:v>Basses (No Reuben)</c:v>
                </c:pt>
                <c:pt idx="3">
                  <c:v>Basses</c:v>
                </c:pt>
                <c:pt idx="4">
                  <c:v>Tenors</c:v>
                </c:pt>
              </c:strCache>
            </c:strRef>
          </c:cat>
          <c:val>
            <c:numRef>
              <c:f>Fall2025PRE!$AK$61:$AK$65</c:f>
              <c:numCache>
                <c:formatCode>0.00</c:formatCode>
                <c:ptCount val="5"/>
                <c:pt idx="0">
                  <c:v>426.124778956676</c:v>
                </c:pt>
                <c:pt idx="1">
                  <c:v>173.513612368024</c:v>
                </c:pt>
                <c:pt idx="2">
                  <c:v>167.490761689291</c:v>
                </c:pt>
                <c:pt idx="3">
                  <c:v>122.811840120664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37425332"/>
        <c:axId val="21381281"/>
      </c:barChart>
      <c:catAx>
        <c:axId val="3742533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21381281"/>
        <c:crosses val="autoZero"/>
        <c:auto val="1"/>
        <c:lblAlgn val="ctr"/>
        <c:lblOffset val="100"/>
        <c:noMultiLvlLbl val="0"/>
      </c:catAx>
      <c:valAx>
        <c:axId val="21381281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3742533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Kills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1"/>
        <c:ser>
          <c:idx val="0"/>
          <c:order val="0"/>
          <c:tx>
            <c:strRef>
              <c:f>"Kills"</c:f>
              <c:strCache>
                <c:ptCount val="1"/>
                <c:pt idx="0">
                  <c:v>Kills</c:v>
                </c:pt>
              </c:strCache>
            </c:strRef>
          </c:tx>
          <c:spPr>
            <a:solidFill>
              <a:srgbClr val="196B24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Spring2025!$G$26:$G$37</c:f>
              <c:strCache>
                <c:ptCount val="12"/>
                <c:pt idx="0">
                  <c:v>Ethan</c:v>
                </c:pt>
                <c:pt idx="1">
                  <c:v>David</c:v>
                </c:pt>
                <c:pt idx="2">
                  <c:v>Evan</c:v>
                </c:pt>
                <c:pt idx="3">
                  <c:v>Grady</c:v>
                </c:pt>
                <c:pt idx="4">
                  <c:v>Carter</c:v>
                </c:pt>
                <c:pt idx="5">
                  <c:v>Maxine</c:v>
                </c:pt>
                <c:pt idx="6">
                  <c:v>Anthony</c:v>
                </c:pt>
                <c:pt idx="7">
                  <c:v>Cooper</c:v>
                </c:pt>
                <c:pt idx="8">
                  <c:v>Tyler</c:v>
                </c:pt>
                <c:pt idx="9">
                  <c:v>Erick</c:v>
                </c:pt>
                <c:pt idx="10">
                  <c:v>Joey</c:v>
                </c:pt>
                <c:pt idx="11">
                  <c:v>Reuben</c:v>
                </c:pt>
              </c:strCache>
            </c:strRef>
          </c:cat>
          <c:val>
            <c:numRef>
              <c:f>Spring2025!$H$26:$H$37</c:f>
              <c:numCache>
                <c:formatCode>General</c:formatCode>
                <c:ptCount val="12"/>
                <c:pt idx="0">
                  <c:v>77</c:v>
                </c:pt>
                <c:pt idx="1">
                  <c:v>54</c:v>
                </c:pt>
                <c:pt idx="2">
                  <c:v>50</c:v>
                </c:pt>
                <c:pt idx="3">
                  <c:v>42</c:v>
                </c:pt>
                <c:pt idx="4">
                  <c:v>28</c:v>
                </c:pt>
                <c:pt idx="5">
                  <c:v>19</c:v>
                </c:pt>
                <c:pt idx="6">
                  <c:v>15</c:v>
                </c:pt>
                <c:pt idx="7">
                  <c:v>6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99450733"/>
        <c:axId val="80705469"/>
      </c:barChart>
      <c:catAx>
        <c:axId val="9945073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80705469"/>
        <c:crosses val="autoZero"/>
        <c:auto val="1"/>
        <c:lblAlgn val="ctr"/>
        <c:lblOffset val="100"/>
        <c:noMultiLvlLbl val="0"/>
      </c:catAx>
      <c:valAx>
        <c:axId val="80705469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945073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Kill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1"/>
        <c:ser>
          <c:idx val="0"/>
          <c:order val="0"/>
          <c:tx>
            <c:strRef>
              <c:f>"Kill Points"</c:f>
              <c:strCache>
                <c:ptCount val="1"/>
                <c:pt idx="0">
                  <c:v>Kill Points</c:v>
                </c:pt>
              </c:strCache>
            </c:strRef>
          </c:tx>
          <c:spPr>
            <a:solidFill>
              <a:srgbClr val="196B24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Spring2025!$Q$26:$Q$37</c:f>
              <c:strCache>
                <c:ptCount val="12"/>
                <c:pt idx="0">
                  <c:v>Ethan</c:v>
                </c:pt>
                <c:pt idx="1">
                  <c:v>David</c:v>
                </c:pt>
                <c:pt idx="2">
                  <c:v>Evan</c:v>
                </c:pt>
                <c:pt idx="3">
                  <c:v>Grady</c:v>
                </c:pt>
                <c:pt idx="4">
                  <c:v>Carter</c:v>
                </c:pt>
                <c:pt idx="5">
                  <c:v>Maxine</c:v>
                </c:pt>
                <c:pt idx="6">
                  <c:v>Anthony</c:v>
                </c:pt>
                <c:pt idx="7">
                  <c:v>Cooper</c:v>
                </c:pt>
                <c:pt idx="8">
                  <c:v>Tyler</c:v>
                </c:pt>
                <c:pt idx="9">
                  <c:v>Erick</c:v>
                </c:pt>
                <c:pt idx="10">
                  <c:v>Joey</c:v>
                </c:pt>
                <c:pt idx="11">
                  <c:v>Reuben</c:v>
                </c:pt>
              </c:strCache>
            </c:strRef>
          </c:cat>
          <c:val>
            <c:numRef>
              <c:f>Spring2025!$R$26:$R$37</c:f>
              <c:numCache>
                <c:formatCode>General</c:formatCode>
                <c:ptCount val="12"/>
                <c:pt idx="0">
                  <c:v>117</c:v>
                </c:pt>
                <c:pt idx="1">
                  <c:v>67</c:v>
                </c:pt>
                <c:pt idx="2">
                  <c:v>62</c:v>
                </c:pt>
                <c:pt idx="3">
                  <c:v>56</c:v>
                </c:pt>
                <c:pt idx="4">
                  <c:v>33</c:v>
                </c:pt>
                <c:pt idx="5">
                  <c:v>0</c:v>
                </c:pt>
                <c:pt idx="6">
                  <c:v>22</c:v>
                </c:pt>
                <c:pt idx="7">
                  <c:v>8</c:v>
                </c:pt>
                <c:pt idx="8">
                  <c:v>4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34733854"/>
        <c:axId val="60411828"/>
      </c:barChart>
      <c:catAx>
        <c:axId val="3473385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60411828"/>
        <c:crosses val="autoZero"/>
        <c:auto val="1"/>
        <c:lblAlgn val="ctr"/>
        <c:lblOffset val="100"/>
        <c:noMultiLvlLbl val="0"/>
      </c:catAx>
      <c:valAx>
        <c:axId val="60411828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3473385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Deaths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1"/>
        <c:ser>
          <c:idx val="0"/>
          <c:order val="0"/>
          <c:tx>
            <c:strRef>
              <c:f>"Deaths"</c:f>
              <c:strCache>
                <c:ptCount val="1"/>
                <c:pt idx="0">
                  <c:v>Deaths</c:v>
                </c:pt>
              </c:strCache>
            </c:strRef>
          </c:tx>
          <c:spPr>
            <a:solidFill>
              <a:srgbClr val="FF0000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Spring2025!$G$42:$G$53</c:f>
              <c:strCache>
                <c:ptCount val="12"/>
                <c:pt idx="0">
                  <c:v>Evan</c:v>
                </c:pt>
                <c:pt idx="1">
                  <c:v>Reuben</c:v>
                </c:pt>
                <c:pt idx="2">
                  <c:v>Ethan</c:v>
                </c:pt>
                <c:pt idx="3">
                  <c:v>David</c:v>
                </c:pt>
                <c:pt idx="4">
                  <c:v>Grady</c:v>
                </c:pt>
                <c:pt idx="5">
                  <c:v>Carter</c:v>
                </c:pt>
                <c:pt idx="6">
                  <c:v>Maxine</c:v>
                </c:pt>
                <c:pt idx="7">
                  <c:v>Cooper</c:v>
                </c:pt>
                <c:pt idx="8">
                  <c:v>Anthony</c:v>
                </c:pt>
                <c:pt idx="9">
                  <c:v>Tyler</c:v>
                </c:pt>
                <c:pt idx="10">
                  <c:v>Joey</c:v>
                </c:pt>
                <c:pt idx="11">
                  <c:v>Erick</c:v>
                </c:pt>
              </c:strCache>
            </c:strRef>
          </c:cat>
          <c:val>
            <c:numRef>
              <c:f>Spring2025!$H$42:$H$53</c:f>
              <c:numCache>
                <c:formatCode>General</c:formatCode>
                <c:ptCount val="12"/>
                <c:pt idx="0">
                  <c:v>63</c:v>
                </c:pt>
                <c:pt idx="1">
                  <c:v>45</c:v>
                </c:pt>
                <c:pt idx="2">
                  <c:v>43</c:v>
                </c:pt>
                <c:pt idx="3">
                  <c:v>42</c:v>
                </c:pt>
                <c:pt idx="4">
                  <c:v>25</c:v>
                </c:pt>
                <c:pt idx="5">
                  <c:v>25</c:v>
                </c:pt>
                <c:pt idx="6">
                  <c:v>17</c:v>
                </c:pt>
                <c:pt idx="7">
                  <c:v>16</c:v>
                </c:pt>
                <c:pt idx="8">
                  <c:v>14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</c:ser>
        <c:gapWidth val="150"/>
        <c:overlap val="0"/>
        <c:axId val="15078383"/>
        <c:axId val="38532365"/>
      </c:barChart>
      <c:catAx>
        <c:axId val="1507838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38532365"/>
        <c:crosses val="autoZero"/>
        <c:auto val="1"/>
        <c:lblAlgn val="ctr"/>
        <c:lblOffset val="100"/>
        <c:noMultiLvlLbl val="0"/>
      </c:catAx>
      <c:valAx>
        <c:axId val="38532365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507838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Death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1"/>
        <c:ser>
          <c:idx val="0"/>
          <c:order val="0"/>
          <c:tx>
            <c:strRef>
              <c:f>"Death Points"</c:f>
              <c:strCache>
                <c:ptCount val="1"/>
                <c:pt idx="0">
                  <c:v>Death Points</c:v>
                </c:pt>
              </c:strCache>
            </c:strRef>
          </c:tx>
          <c:spPr>
            <a:solidFill>
              <a:srgbClr val="FF0000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Spring2025!$Q$42:$Q$53</c:f>
              <c:strCache>
                <c:ptCount val="12"/>
                <c:pt idx="0">
                  <c:v>Evan</c:v>
                </c:pt>
                <c:pt idx="1">
                  <c:v>Reuben</c:v>
                </c:pt>
                <c:pt idx="2">
                  <c:v>Ethan</c:v>
                </c:pt>
                <c:pt idx="3">
                  <c:v>David</c:v>
                </c:pt>
                <c:pt idx="4">
                  <c:v>Carter</c:v>
                </c:pt>
                <c:pt idx="5">
                  <c:v>Grady</c:v>
                </c:pt>
                <c:pt idx="6">
                  <c:v>Cooper</c:v>
                </c:pt>
                <c:pt idx="7">
                  <c:v>Maxine</c:v>
                </c:pt>
                <c:pt idx="8">
                  <c:v>Anthony</c:v>
                </c:pt>
                <c:pt idx="9">
                  <c:v>Tyler</c:v>
                </c:pt>
                <c:pt idx="10">
                  <c:v>Joey</c:v>
                </c:pt>
                <c:pt idx="11">
                  <c:v>Erick</c:v>
                </c:pt>
              </c:strCache>
            </c:strRef>
          </c:cat>
          <c:val>
            <c:numRef>
              <c:f>Spring2025!$R$42:$R$53</c:f>
              <c:numCache>
                <c:formatCode>General</c:formatCode>
                <c:ptCount val="12"/>
                <c:pt idx="0">
                  <c:v>87</c:v>
                </c:pt>
                <c:pt idx="1">
                  <c:v>77</c:v>
                </c:pt>
                <c:pt idx="2">
                  <c:v>53</c:v>
                </c:pt>
                <c:pt idx="3">
                  <c:v>48</c:v>
                </c:pt>
                <c:pt idx="4">
                  <c:v>33</c:v>
                </c:pt>
                <c:pt idx="5">
                  <c:v>34</c:v>
                </c:pt>
                <c:pt idx="6">
                  <c:v>22</c:v>
                </c:pt>
                <c:pt idx="7">
                  <c:v>0</c:v>
                </c:pt>
                <c:pt idx="8">
                  <c:v>15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</c:ser>
        <c:gapWidth val="150"/>
        <c:overlap val="0"/>
        <c:axId val="51625348"/>
        <c:axId val="96229637"/>
      </c:barChart>
      <c:catAx>
        <c:axId val="5162534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6229637"/>
        <c:crosses val="autoZero"/>
        <c:auto val="1"/>
        <c:lblAlgn val="ctr"/>
        <c:lblOffset val="100"/>
        <c:noMultiLvlLbl val="0"/>
      </c:catAx>
      <c:valAx>
        <c:axId val="96229637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5162534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KDR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1"/>
        <c:ser>
          <c:idx val="0"/>
          <c:order val="0"/>
          <c:tx>
            <c:strRef>
              <c:f>"KDR"</c:f>
              <c:strCache>
                <c:ptCount val="1"/>
                <c:pt idx="0">
                  <c:v>KDR</c:v>
                </c:pt>
              </c:strCache>
            </c:strRef>
          </c:tx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Spring2025!$G$58:$G$69</c:f>
              <c:strCache>
                <c:ptCount val="12"/>
                <c:pt idx="0">
                  <c:v>Erick</c:v>
                </c:pt>
                <c:pt idx="1">
                  <c:v>Ethan</c:v>
                </c:pt>
                <c:pt idx="2">
                  <c:v>Grady</c:v>
                </c:pt>
                <c:pt idx="3">
                  <c:v>David</c:v>
                </c:pt>
                <c:pt idx="4">
                  <c:v>Carter</c:v>
                </c:pt>
                <c:pt idx="5">
                  <c:v>Maxine</c:v>
                </c:pt>
                <c:pt idx="6">
                  <c:v>Anthony</c:v>
                </c:pt>
                <c:pt idx="7">
                  <c:v>Tyler</c:v>
                </c:pt>
                <c:pt idx="8">
                  <c:v>Joey</c:v>
                </c:pt>
                <c:pt idx="9">
                  <c:v>Evan</c:v>
                </c:pt>
                <c:pt idx="10">
                  <c:v>Cooper</c:v>
                </c:pt>
                <c:pt idx="11">
                  <c:v>Reuben</c:v>
                </c:pt>
              </c:strCache>
            </c:strRef>
          </c:cat>
          <c:val>
            <c:numRef>
              <c:f>Spring2025!$H$58:$H$69</c:f>
              <c:numCache>
                <c:formatCode>0.00</c:formatCode>
                <c:ptCount val="12"/>
                <c:pt idx="0">
                  <c:v>2</c:v>
                </c:pt>
                <c:pt idx="1">
                  <c:v>1.7906976744186</c:v>
                </c:pt>
                <c:pt idx="2">
                  <c:v>1.68</c:v>
                </c:pt>
                <c:pt idx="3">
                  <c:v>1.28571428571429</c:v>
                </c:pt>
                <c:pt idx="4">
                  <c:v>1.12</c:v>
                </c:pt>
                <c:pt idx="5">
                  <c:v>1.11764705882353</c:v>
                </c:pt>
                <c:pt idx="6">
                  <c:v>1.07142857142857</c:v>
                </c:pt>
                <c:pt idx="7">
                  <c:v>1</c:v>
                </c:pt>
                <c:pt idx="8">
                  <c:v>1</c:v>
                </c:pt>
                <c:pt idx="9">
                  <c:v>0.793650793650794</c:v>
                </c:pt>
                <c:pt idx="10">
                  <c:v>0.375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26531755"/>
        <c:axId val="25245853"/>
      </c:barChart>
      <c:catAx>
        <c:axId val="2653175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25245853"/>
        <c:crosses val="autoZero"/>
        <c:auto val="1"/>
        <c:lblAlgn val="ctr"/>
        <c:lblOffset val="100"/>
        <c:noMultiLvlLbl val="0"/>
      </c:catAx>
      <c:valAx>
        <c:axId val="25245853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2653175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KpDpR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1"/>
        <c:ser>
          <c:idx val="0"/>
          <c:order val="0"/>
          <c:tx>
            <c:strRef>
              <c:f>"KpDpR"</c:f>
              <c:strCache>
                <c:ptCount val="1"/>
                <c:pt idx="0">
                  <c:v>KpDpR</c:v>
                </c:pt>
              </c:strCache>
            </c:strRef>
          </c:tx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Spring2025!$Q$58:$Q$69</c:f>
              <c:strCache>
                <c:ptCount val="12"/>
                <c:pt idx="0">
                  <c:v>Erick</c:v>
                </c:pt>
                <c:pt idx="1">
                  <c:v>Ethan</c:v>
                </c:pt>
                <c:pt idx="2">
                  <c:v>Tyler</c:v>
                </c:pt>
                <c:pt idx="3">
                  <c:v>Joey</c:v>
                </c:pt>
                <c:pt idx="4">
                  <c:v>Grady</c:v>
                </c:pt>
                <c:pt idx="5">
                  <c:v>Anthony</c:v>
                </c:pt>
                <c:pt idx="6">
                  <c:v>David</c:v>
                </c:pt>
                <c:pt idx="7">
                  <c:v>Maxine</c:v>
                </c:pt>
                <c:pt idx="8">
                  <c:v>Carter</c:v>
                </c:pt>
                <c:pt idx="9">
                  <c:v>Evan</c:v>
                </c:pt>
                <c:pt idx="10">
                  <c:v>Cooper</c:v>
                </c:pt>
                <c:pt idx="11">
                  <c:v>Reuben</c:v>
                </c:pt>
              </c:strCache>
            </c:strRef>
          </c:cat>
          <c:val>
            <c:numRef>
              <c:f>Spring2025!$R$58:$R$69</c:f>
              <c:numCache>
                <c:formatCode>0.00</c:formatCode>
                <c:ptCount val="12"/>
                <c:pt idx="0">
                  <c:v>2</c:v>
                </c:pt>
                <c:pt idx="1">
                  <c:v>2.20754716981132</c:v>
                </c:pt>
                <c:pt idx="2">
                  <c:v>2</c:v>
                </c:pt>
                <c:pt idx="3">
                  <c:v>2</c:v>
                </c:pt>
                <c:pt idx="4">
                  <c:v>1.64705882352941</c:v>
                </c:pt>
                <c:pt idx="5">
                  <c:v>1.46666666666667</c:v>
                </c:pt>
                <c:pt idx="6">
                  <c:v>1.39583333333333</c:v>
                </c:pt>
                <c:pt idx="7">
                  <c:v>0</c:v>
                </c:pt>
                <c:pt idx="8">
                  <c:v>1</c:v>
                </c:pt>
                <c:pt idx="9">
                  <c:v>0.71264367816092</c:v>
                </c:pt>
                <c:pt idx="10">
                  <c:v>0.363636363636364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61798860"/>
        <c:axId val="71489003"/>
      </c:barChart>
      <c:catAx>
        <c:axId val="6179886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71489003"/>
        <c:crosses val="autoZero"/>
        <c:auto val="1"/>
        <c:lblAlgn val="ctr"/>
        <c:lblOffset val="100"/>
        <c:noMultiLvlLbl val="0"/>
      </c:catAx>
      <c:valAx>
        <c:axId val="71489003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6179886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Kills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"Kills"</c:f>
              <c:strCache>
                <c:ptCount val="1"/>
                <c:pt idx="0">
                  <c:v>Kills</c:v>
                </c:pt>
              </c:strCache>
            </c:strRef>
          </c:tx>
          <c:spPr>
            <a:solidFill>
              <a:srgbClr val="4EA72E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Spring2025!$G$74:$G$77</c:f>
              <c:strCache>
                <c:ptCount val="4"/>
                <c:pt idx="0">
                  <c:v>Basses</c:v>
                </c:pt>
                <c:pt idx="1">
                  <c:v>Baris</c:v>
                </c:pt>
                <c:pt idx="2">
                  <c:v>Leads</c:v>
                </c:pt>
                <c:pt idx="3">
                  <c:v>Tenors</c:v>
                </c:pt>
              </c:strCache>
            </c:strRef>
          </c:cat>
          <c:val>
            <c:numRef>
              <c:f>Spring2025!$H$74:$H$77</c:f>
              <c:numCache>
                <c:formatCode>0.00</c:formatCode>
                <c:ptCount val="4"/>
                <c:pt idx="0">
                  <c:v>1</c:v>
                </c:pt>
                <c:pt idx="1">
                  <c:v>31.3333333333333</c:v>
                </c:pt>
                <c:pt idx="2">
                  <c:v>32.25</c:v>
                </c:pt>
                <c:pt idx="3">
                  <c:v>35</c:v>
                </c:pt>
              </c:numCache>
            </c:numRef>
          </c:val>
        </c:ser>
        <c:gapWidth val="150"/>
        <c:overlap val="0"/>
        <c:axId val="37362479"/>
        <c:axId val="41477878"/>
      </c:barChart>
      <c:catAx>
        <c:axId val="37362479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41477878"/>
        <c:crosses val="autoZero"/>
        <c:auto val="1"/>
        <c:lblAlgn val="ctr"/>
        <c:lblOffset val="100"/>
        <c:noMultiLvlLbl val="0"/>
      </c:catAx>
      <c:valAx>
        <c:axId val="41477878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37362479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Kill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"Kill Points"</c:f>
              <c:strCache>
                <c:ptCount val="1"/>
                <c:pt idx="0">
                  <c:v>Kill Points</c:v>
                </c:pt>
              </c:strCache>
            </c:strRef>
          </c:tx>
          <c:spPr>
            <a:solidFill>
              <a:srgbClr val="4EA72E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Spring2025!$Q$74:$Q$77</c:f>
              <c:strCache>
                <c:ptCount val="4"/>
                <c:pt idx="0">
                  <c:v>Basses</c:v>
                </c:pt>
                <c:pt idx="1">
                  <c:v>Leads</c:v>
                </c:pt>
                <c:pt idx="2">
                  <c:v>Tenors</c:v>
                </c:pt>
                <c:pt idx="3">
                  <c:v>Baris</c:v>
                </c:pt>
              </c:strCache>
            </c:strRef>
          </c:cat>
          <c:val>
            <c:numRef>
              <c:f>Spring2025!$R$74:$R$77</c:f>
              <c:numCache>
                <c:formatCode>0.00</c:formatCode>
                <c:ptCount val="4"/>
                <c:pt idx="0">
                  <c:v>1.33333333333333</c:v>
                </c:pt>
                <c:pt idx="1">
                  <c:v>34.25</c:v>
                </c:pt>
                <c:pt idx="2">
                  <c:v>44.5</c:v>
                </c:pt>
                <c:pt idx="3">
                  <c:v>47.6666666666667</c:v>
                </c:pt>
              </c:numCache>
            </c:numRef>
          </c:val>
        </c:ser>
        <c:gapWidth val="150"/>
        <c:overlap val="0"/>
        <c:axId val="98066775"/>
        <c:axId val="49965648"/>
      </c:barChart>
      <c:catAx>
        <c:axId val="98066775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49965648"/>
        <c:crosses val="autoZero"/>
        <c:auto val="1"/>
        <c:lblAlgn val="ctr"/>
        <c:lblOffset val="100"/>
        <c:noMultiLvlLbl val="0"/>
      </c:catAx>
      <c:valAx>
        <c:axId val="49965648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8066775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Deaths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"Deaths"</c:f>
              <c:strCache>
                <c:ptCount val="1"/>
                <c:pt idx="0">
                  <c:v>Deaths</c:v>
                </c:pt>
              </c:strCache>
            </c:strRef>
          </c:tx>
          <c:spPr>
            <a:solidFill>
              <a:srgbClr val="FF0000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Spring2025!$G$85:$G$88</c:f>
              <c:strCache>
                <c:ptCount val="4"/>
                <c:pt idx="0">
                  <c:v>Basses</c:v>
                </c:pt>
                <c:pt idx="1">
                  <c:v>Baris</c:v>
                </c:pt>
                <c:pt idx="2">
                  <c:v>Tenors</c:v>
                </c:pt>
                <c:pt idx="3">
                  <c:v>Leads</c:v>
                </c:pt>
              </c:strCache>
            </c:strRef>
          </c:cat>
          <c:val>
            <c:numRef>
              <c:f>Spring2025!$H$85:$H$88</c:f>
              <c:numCache>
                <c:formatCode>0.00</c:formatCode>
                <c:ptCount val="4"/>
                <c:pt idx="0">
                  <c:v>15.6666666666667</c:v>
                </c:pt>
                <c:pt idx="1">
                  <c:v>19.6666666666667</c:v>
                </c:pt>
                <c:pt idx="2">
                  <c:v>25</c:v>
                </c:pt>
                <c:pt idx="3">
                  <c:v>34.5</c:v>
                </c:pt>
              </c:numCache>
            </c:numRef>
          </c:val>
        </c:ser>
        <c:gapWidth val="150"/>
        <c:overlap val="0"/>
        <c:axId val="93440799"/>
        <c:axId val="77376966"/>
      </c:barChart>
      <c:catAx>
        <c:axId val="93440799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77376966"/>
        <c:crosses val="autoZero"/>
        <c:auto val="1"/>
        <c:lblAlgn val="ctr"/>
        <c:lblOffset val="100"/>
        <c:noMultiLvlLbl val="0"/>
      </c:catAx>
      <c:valAx>
        <c:axId val="77376966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3440799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Death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"Death Points"</c:f>
              <c:strCache>
                <c:ptCount val="1"/>
                <c:pt idx="0">
                  <c:v>Death Points</c:v>
                </c:pt>
              </c:strCache>
            </c:strRef>
          </c:tx>
          <c:spPr>
            <a:solidFill>
              <a:srgbClr val="FF0000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Spring2025!$Q$85:$Q$88</c:f>
              <c:strCache>
                <c:ptCount val="4"/>
                <c:pt idx="0">
                  <c:v>Baris</c:v>
                </c:pt>
                <c:pt idx="1">
                  <c:v>Basses</c:v>
                </c:pt>
                <c:pt idx="2">
                  <c:v>Tenors</c:v>
                </c:pt>
                <c:pt idx="3">
                  <c:v>Leads</c:v>
                </c:pt>
              </c:strCache>
            </c:strRef>
          </c:cat>
          <c:val>
            <c:numRef>
              <c:f>Spring2025!$R$85:$R$88</c:f>
              <c:numCache>
                <c:formatCode>0.00</c:formatCode>
                <c:ptCount val="4"/>
                <c:pt idx="0">
                  <c:v>23.3333333333333</c:v>
                </c:pt>
                <c:pt idx="1">
                  <c:v>26.3333333333333</c:v>
                </c:pt>
                <c:pt idx="2">
                  <c:v>33.5</c:v>
                </c:pt>
                <c:pt idx="3">
                  <c:v>39.25</c:v>
                </c:pt>
              </c:numCache>
            </c:numRef>
          </c:val>
        </c:ser>
        <c:gapWidth val="150"/>
        <c:overlap val="0"/>
        <c:axId val="19674797"/>
        <c:axId val="8372067"/>
      </c:barChart>
      <c:catAx>
        <c:axId val="19674797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8372067"/>
        <c:crosses val="autoZero"/>
        <c:auto val="1"/>
        <c:lblAlgn val="ctr"/>
        <c:lblOffset val="100"/>
        <c:noMultiLvlLbl val="0"/>
      </c:catAx>
      <c:valAx>
        <c:axId val="8372067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9674797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KDR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"KDR"</c:f>
              <c:strCache>
                <c:ptCount val="1"/>
                <c:pt idx="0">
                  <c:v>KDR</c:v>
                </c:pt>
              </c:strCache>
            </c:strRef>
          </c:tx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Spring2025!$G$96:$G$99</c:f>
              <c:strCache>
                <c:ptCount val="4"/>
                <c:pt idx="0">
                  <c:v>Basses</c:v>
                </c:pt>
                <c:pt idx="1">
                  <c:v>Leads</c:v>
                </c:pt>
                <c:pt idx="2">
                  <c:v>Tenors</c:v>
                </c:pt>
                <c:pt idx="3">
                  <c:v>Baris</c:v>
                </c:pt>
              </c:strCache>
            </c:strRef>
          </c:cat>
          <c:val>
            <c:numRef>
              <c:f>Spring2025!$H$96:$H$99</c:f>
              <c:numCache>
                <c:formatCode>0.00</c:formatCode>
                <c:ptCount val="4"/>
                <c:pt idx="0">
                  <c:v>0.0638297872340426</c:v>
                </c:pt>
                <c:pt idx="1">
                  <c:v>0.934782608695652</c:v>
                </c:pt>
                <c:pt idx="2">
                  <c:v>1.4</c:v>
                </c:pt>
                <c:pt idx="3">
                  <c:v>1.59322033898305</c:v>
                </c:pt>
              </c:numCache>
            </c:numRef>
          </c:val>
        </c:ser>
        <c:gapWidth val="150"/>
        <c:overlap val="0"/>
        <c:axId val="16337319"/>
        <c:axId val="8343972"/>
      </c:barChart>
      <c:catAx>
        <c:axId val="16337319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8343972"/>
        <c:crosses val="autoZero"/>
        <c:auto val="1"/>
        <c:lblAlgn val="ctr"/>
        <c:lblOffset val="100"/>
        <c:noMultiLvlLbl val="0"/>
      </c:catAx>
      <c:valAx>
        <c:axId val="8343972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6337319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KpDpR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"KpDpR"</c:f>
              <c:strCache>
                <c:ptCount val="1"/>
                <c:pt idx="0">
                  <c:v>KpDpR</c:v>
                </c:pt>
              </c:strCache>
            </c:strRef>
          </c:tx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Spring2025!$Q$96:$Q$99</c:f>
              <c:strCache>
                <c:ptCount val="4"/>
                <c:pt idx="0">
                  <c:v>Basses</c:v>
                </c:pt>
                <c:pt idx="1">
                  <c:v>Leads</c:v>
                </c:pt>
                <c:pt idx="2">
                  <c:v>Tenors</c:v>
                </c:pt>
                <c:pt idx="3">
                  <c:v>Baris</c:v>
                </c:pt>
              </c:strCache>
            </c:strRef>
          </c:cat>
          <c:val>
            <c:numRef>
              <c:f>Spring2025!$R$96:$R$99</c:f>
              <c:numCache>
                <c:formatCode>0.00</c:formatCode>
                <c:ptCount val="4"/>
                <c:pt idx="0">
                  <c:v>0.0506329113924051</c:v>
                </c:pt>
                <c:pt idx="1">
                  <c:v>0.872611464968153</c:v>
                </c:pt>
                <c:pt idx="2">
                  <c:v>1.32835820895522</c:v>
                </c:pt>
                <c:pt idx="3">
                  <c:v>2.04285714285714</c:v>
                </c:pt>
              </c:numCache>
            </c:numRef>
          </c:val>
        </c:ser>
        <c:gapWidth val="150"/>
        <c:overlap val="0"/>
        <c:axId val="950838"/>
        <c:axId val="42909240"/>
      </c:barChart>
      <c:catAx>
        <c:axId val="950838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42909240"/>
        <c:crosses val="autoZero"/>
        <c:auto val="1"/>
        <c:lblAlgn val="ctr"/>
        <c:lblOffset val="100"/>
        <c:noMultiLvlLbl val="0"/>
      </c:catAx>
      <c:valAx>
        <c:axId val="42909240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50838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Overall Individual Winner Chart (adjusted scores)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273750970748123"/>
          <c:y val="0.0151397944524257"/>
          <c:w val="0.949779963758737"/>
          <c:h val="0.913913139573434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"Adjusted"</c:f>
              <c:strCache>
                <c:ptCount val="1"/>
                <c:pt idx="0">
                  <c:v>Adjusted</c:v>
                </c:pt>
              </c:strCache>
            </c:strRef>
          </c:tx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Spring2025!$AI$34:$AI$45</c:f>
              <c:strCache>
                <c:ptCount val="12"/>
                <c:pt idx="0">
                  <c:v>Ethan</c:v>
                </c:pt>
                <c:pt idx="1">
                  <c:v>David</c:v>
                </c:pt>
                <c:pt idx="2">
                  <c:v>Grady</c:v>
                </c:pt>
                <c:pt idx="3">
                  <c:v>Maxine</c:v>
                </c:pt>
                <c:pt idx="4">
                  <c:v>Carter</c:v>
                </c:pt>
                <c:pt idx="5">
                  <c:v>Anthony</c:v>
                </c:pt>
                <c:pt idx="6">
                  <c:v>Erick</c:v>
                </c:pt>
                <c:pt idx="7">
                  <c:v>Tyler</c:v>
                </c:pt>
                <c:pt idx="8">
                  <c:v>Joey</c:v>
                </c:pt>
                <c:pt idx="9">
                  <c:v>Evan</c:v>
                </c:pt>
                <c:pt idx="10">
                  <c:v>Cooper</c:v>
                </c:pt>
                <c:pt idx="11">
                  <c:v>Reuben</c:v>
                </c:pt>
              </c:strCache>
            </c:strRef>
          </c:cat>
          <c:val>
            <c:numRef>
              <c:f>Spring2025!$AK$34:$AK$45</c:f>
              <c:numCache>
                <c:formatCode>0.00</c:formatCode>
                <c:ptCount val="12"/>
                <c:pt idx="0">
                  <c:v>2004.91679092688</c:v>
                </c:pt>
                <c:pt idx="1">
                  <c:v>1471.71858465608</c:v>
                </c:pt>
                <c:pt idx="2">
                  <c:v>1474.03202614379</c:v>
                </c:pt>
                <c:pt idx="3">
                  <c:v>873.163398692811</c:v>
                </c:pt>
                <c:pt idx="4">
                  <c:v>1105.89365079365</c:v>
                </c:pt>
                <c:pt idx="5">
                  <c:v>1098.24603174603</c:v>
                </c:pt>
                <c:pt idx="6">
                  <c:v>945.055555555556</c:v>
                </c:pt>
                <c:pt idx="7">
                  <c:v>965.388888888889</c:v>
                </c:pt>
                <c:pt idx="8">
                  <c:v>932.555555555556</c:v>
                </c:pt>
                <c:pt idx="9">
                  <c:v>902.227203065134</c:v>
                </c:pt>
                <c:pt idx="10">
                  <c:v>779.688131313131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48081202"/>
        <c:axId val="17262328"/>
      </c:barChart>
      <c:catAx>
        <c:axId val="4808120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7262328"/>
        <c:crosses val="autoZero"/>
        <c:auto val="1"/>
        <c:lblAlgn val="ctr"/>
        <c:lblOffset val="100"/>
        <c:noMultiLvlLbl val="0"/>
      </c:catAx>
      <c:valAx>
        <c:axId val="17262328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4808120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Overall Part Winner Chart (adjusted scores)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254593175853018"/>
          <c:y val="0.0341175158880589"/>
          <c:w val="0.949015748031496"/>
          <c:h val="0.87902776229234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"Adjusted"</c:f>
              <c:strCache>
                <c:ptCount val="1"/>
                <c:pt idx="0">
                  <c:v>Adjusted</c:v>
                </c:pt>
              </c:strCache>
            </c:strRef>
          </c:tx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Spring2025!$AI$61:$AI$65</c:f>
              <c:strCache>
                <c:ptCount val="5"/>
                <c:pt idx="0">
                  <c:v>Baris</c:v>
                </c:pt>
                <c:pt idx="1">
                  <c:v>Tenors</c:v>
                </c:pt>
                <c:pt idx="2">
                  <c:v>Basses (No Reuben)</c:v>
                </c:pt>
                <c:pt idx="3">
                  <c:v>Leads</c:v>
                </c:pt>
                <c:pt idx="4">
                  <c:v>Basses</c:v>
                </c:pt>
              </c:strCache>
            </c:strRef>
          </c:cat>
          <c:val>
            <c:numRef>
              <c:f>Spring2025!$AK$61:$AK$65</c:f>
              <c:numCache>
                <c:formatCode>0.00</c:formatCode>
                <c:ptCount val="5"/>
                <c:pt idx="0">
                  <c:v>718.520775879178</c:v>
                </c:pt>
                <c:pt idx="1">
                  <c:v>590.259647130053</c:v>
                </c:pt>
                <c:pt idx="2">
                  <c:v>360.338787144268</c:v>
                </c:pt>
                <c:pt idx="3">
                  <c:v>364.96865920831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31561274"/>
        <c:axId val="44875349"/>
      </c:barChart>
      <c:catAx>
        <c:axId val="3156127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44875349"/>
        <c:crosses val="autoZero"/>
        <c:auto val="1"/>
        <c:lblAlgn val="ctr"/>
        <c:lblOffset val="100"/>
        <c:noMultiLvlLbl val="0"/>
      </c:catAx>
      <c:valAx>
        <c:axId val="44875349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3156127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Individual Winner Chart (adjusted scores)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110130780301608"/>
          <c:y val="0.102712316585149"/>
          <c:w val="0.865527814279457"/>
          <c:h val="0.81747443308137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Fall2024!$AI$34:$AI$46</c:f>
              <c:strCache>
                <c:ptCount val="13"/>
                <c:pt idx="0">
                  <c:v>David</c:v>
                </c:pt>
                <c:pt idx="1">
                  <c:v>Sam</c:v>
                </c:pt>
                <c:pt idx="2">
                  <c:v>Ethan</c:v>
                </c:pt>
                <c:pt idx="3">
                  <c:v>Peter</c:v>
                </c:pt>
                <c:pt idx="4">
                  <c:v>Maxine</c:v>
                </c:pt>
                <c:pt idx="5">
                  <c:v>Tyler</c:v>
                </c:pt>
                <c:pt idx="6">
                  <c:v>Jon</c:v>
                </c:pt>
                <c:pt idx="7">
                  <c:v>Evan</c:v>
                </c:pt>
                <c:pt idx="8">
                  <c:v>Erick</c:v>
                </c:pt>
                <c:pt idx="9">
                  <c:v>Carter</c:v>
                </c:pt>
                <c:pt idx="10">
                  <c:v>Cooper</c:v>
                </c:pt>
                <c:pt idx="11">
                  <c:v>Grady</c:v>
                </c:pt>
                <c:pt idx="12">
                  <c:v>Reuben</c:v>
                </c:pt>
              </c:strCache>
            </c:strRef>
          </c:cat>
          <c:val>
            <c:numRef>
              <c:f>Fall2024!$AK$34:$AK$46</c:f>
              <c:numCache>
                <c:formatCode>0.00</c:formatCode>
                <c:ptCount val="13"/>
                <c:pt idx="0">
                  <c:v>2530.42090859332</c:v>
                </c:pt>
                <c:pt idx="1">
                  <c:v>2258.16064100059</c:v>
                </c:pt>
                <c:pt idx="2">
                  <c:v>2105.88163868652</c:v>
                </c:pt>
                <c:pt idx="3">
                  <c:v>1896.73733211233</c:v>
                </c:pt>
                <c:pt idx="4">
                  <c:v>1367.27265745008</c:v>
                </c:pt>
                <c:pt idx="5">
                  <c:v>1693.13256841198</c:v>
                </c:pt>
                <c:pt idx="6">
                  <c:v>1521.04479949875</c:v>
                </c:pt>
                <c:pt idx="7">
                  <c:v>1546.45321637427</c:v>
                </c:pt>
                <c:pt idx="8">
                  <c:v>1351.44372294372</c:v>
                </c:pt>
                <c:pt idx="9">
                  <c:v>1302.83339592929</c:v>
                </c:pt>
                <c:pt idx="10">
                  <c:v>1196.35281385281</c:v>
                </c:pt>
                <c:pt idx="11">
                  <c:v>1158.53398453398</c:v>
                </c:pt>
                <c:pt idx="12">
                  <c:v>0</c:v>
                </c:pt>
              </c:numCache>
            </c:numRef>
          </c:val>
        </c:ser>
        <c:gapWidth val="150"/>
        <c:overlap val="0"/>
        <c:axId val="34502701"/>
        <c:axId val="7586611"/>
      </c:barChart>
      <c:catAx>
        <c:axId val="3450270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7586611"/>
        <c:crosses val="autoZero"/>
        <c:auto val="1"/>
        <c:lblAlgn val="ctr"/>
        <c:lblOffset val="100"/>
        <c:noMultiLvlLbl val="0"/>
      </c:catAx>
      <c:valAx>
        <c:axId val="7586611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3450270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Part Winner Chart (adjusted scores)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864675516224189"/>
          <c:y val="0.165286047113642"/>
          <c:w val="0.889626352015733"/>
          <c:h val="0.732720683406679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Fall2024!$AI$61:$AI$65</c:f>
              <c:strCache>
                <c:ptCount val="5"/>
                <c:pt idx="0">
                  <c:v>Baris</c:v>
                </c:pt>
                <c:pt idx="1">
                  <c:v>Leads</c:v>
                </c:pt>
                <c:pt idx="2">
                  <c:v>Basses (No Reuben)</c:v>
                </c:pt>
                <c:pt idx="3">
                  <c:v>Basses</c:v>
                </c:pt>
                <c:pt idx="4">
                  <c:v>Tenors</c:v>
                </c:pt>
              </c:strCache>
            </c:strRef>
          </c:cat>
          <c:val>
            <c:numRef>
              <c:f>Fall2024!$AK$61:$AK$65</c:f>
              <c:numCache>
                <c:formatCode>0.00</c:formatCode>
                <c:ptCount val="5"/>
                <c:pt idx="0">
                  <c:v>763.514667382097</c:v>
                </c:pt>
                <c:pt idx="1">
                  <c:v>533.58064029952</c:v>
                </c:pt>
                <c:pt idx="2">
                  <c:v>389.31118094055</c:v>
                </c:pt>
                <c:pt idx="3">
                  <c:v>13.9485108725228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9632462"/>
        <c:axId val="77634465"/>
      </c:barChart>
      <c:catAx>
        <c:axId val="963246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77634465"/>
        <c:crosses val="autoZero"/>
        <c:auto val="1"/>
        <c:lblAlgn val="ctr"/>
        <c:lblOffset val="100"/>
        <c:noMultiLvlLbl val="0"/>
      </c:catAx>
      <c:valAx>
        <c:axId val="77634465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63246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Individual Kills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1"/>
        <c:ser>
          <c:idx val="0"/>
          <c:order val="0"/>
          <c:tx>
            <c:strRef>
              <c:f>"Kills"</c:f>
              <c:strCache>
                <c:ptCount val="1"/>
                <c:pt idx="0">
                  <c:v>Kills</c:v>
                </c:pt>
              </c:strCache>
            </c:strRef>
          </c:tx>
          <c:spPr>
            <a:solidFill>
              <a:srgbClr val="4EA72E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Fall2024!$G$26:$G$38</c:f>
              <c:strCache>
                <c:ptCount val="13"/>
                <c:pt idx="0">
                  <c:v>David</c:v>
                </c:pt>
                <c:pt idx="1">
                  <c:v>Ethan</c:v>
                </c:pt>
                <c:pt idx="2">
                  <c:v>Carter</c:v>
                </c:pt>
                <c:pt idx="3">
                  <c:v>Sam</c:v>
                </c:pt>
                <c:pt idx="4">
                  <c:v>Maxine</c:v>
                </c:pt>
                <c:pt idx="5">
                  <c:v>Evan</c:v>
                </c:pt>
                <c:pt idx="6">
                  <c:v>Peter</c:v>
                </c:pt>
                <c:pt idx="7">
                  <c:v>Jon</c:v>
                </c:pt>
                <c:pt idx="8">
                  <c:v>Grady</c:v>
                </c:pt>
                <c:pt idx="9">
                  <c:v>Tyler</c:v>
                </c:pt>
                <c:pt idx="10">
                  <c:v>Erick</c:v>
                </c:pt>
                <c:pt idx="11">
                  <c:v>Cooper</c:v>
                </c:pt>
                <c:pt idx="12">
                  <c:v>Reuben</c:v>
                </c:pt>
              </c:strCache>
            </c:strRef>
          </c:cat>
          <c:val>
            <c:numRef>
              <c:f>Fall2024!$H$26:$H$38</c:f>
              <c:numCache>
                <c:formatCode>General</c:formatCode>
                <c:ptCount val="13"/>
                <c:pt idx="0">
                  <c:v>87</c:v>
                </c:pt>
                <c:pt idx="1">
                  <c:v>60</c:v>
                </c:pt>
                <c:pt idx="2">
                  <c:v>55</c:v>
                </c:pt>
                <c:pt idx="3">
                  <c:v>43</c:v>
                </c:pt>
                <c:pt idx="4">
                  <c:v>43</c:v>
                </c:pt>
                <c:pt idx="5">
                  <c:v>38</c:v>
                </c:pt>
                <c:pt idx="6">
                  <c:v>32</c:v>
                </c:pt>
                <c:pt idx="7">
                  <c:v>19</c:v>
                </c:pt>
                <c:pt idx="8">
                  <c:v>18</c:v>
                </c:pt>
                <c:pt idx="9">
                  <c:v>17</c:v>
                </c:pt>
                <c:pt idx="10">
                  <c:v>10</c:v>
                </c:pt>
                <c:pt idx="11">
                  <c:v>4</c:v>
                </c:pt>
                <c:pt idx="12">
                  <c:v>0</c:v>
                </c:pt>
              </c:numCache>
            </c:numRef>
          </c:val>
        </c:ser>
        <c:gapWidth val="150"/>
        <c:overlap val="0"/>
        <c:axId val="89827802"/>
        <c:axId val="21362909"/>
      </c:barChart>
      <c:catAx>
        <c:axId val="8982780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21362909"/>
        <c:crosses val="autoZero"/>
        <c:auto val="1"/>
        <c:lblAlgn val="ctr"/>
        <c:lblOffset val="100"/>
        <c:noMultiLvlLbl val="0"/>
      </c:catAx>
      <c:valAx>
        <c:axId val="21362909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8982780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Individual Deaths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1"/>
        <c:ser>
          <c:idx val="0"/>
          <c:order val="0"/>
          <c:tx>
            <c:strRef>
              <c:f>"Deaths"</c:f>
              <c:strCache>
                <c:ptCount val="1"/>
                <c:pt idx="0">
                  <c:v>Deaths</c:v>
                </c:pt>
              </c:strCache>
            </c:strRef>
          </c:tx>
          <c:spPr>
            <a:solidFill>
              <a:srgbClr val="FF0000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Fall2024!$G$42:$G$54</c:f>
              <c:strCache>
                <c:ptCount val="13"/>
                <c:pt idx="0">
                  <c:v>Carter</c:v>
                </c:pt>
                <c:pt idx="1">
                  <c:v>Reuben</c:v>
                </c:pt>
                <c:pt idx="2">
                  <c:v>David</c:v>
                </c:pt>
                <c:pt idx="3">
                  <c:v>Evan</c:v>
                </c:pt>
                <c:pt idx="4">
                  <c:v>Ethan</c:v>
                </c:pt>
                <c:pt idx="5">
                  <c:v>Grady</c:v>
                </c:pt>
                <c:pt idx="6">
                  <c:v>Maxine</c:v>
                </c:pt>
                <c:pt idx="7">
                  <c:v>Jon</c:v>
                </c:pt>
                <c:pt idx="8">
                  <c:v>Peter</c:v>
                </c:pt>
                <c:pt idx="9">
                  <c:v>Sam</c:v>
                </c:pt>
                <c:pt idx="10">
                  <c:v>Erick</c:v>
                </c:pt>
                <c:pt idx="11">
                  <c:v>Tyler</c:v>
                </c:pt>
                <c:pt idx="12">
                  <c:v>Cooper</c:v>
                </c:pt>
              </c:strCache>
            </c:strRef>
          </c:cat>
          <c:val>
            <c:numRef>
              <c:f>Fall2024!$H$42:$H$54</c:f>
              <c:numCache>
                <c:formatCode>General</c:formatCode>
                <c:ptCount val="13"/>
                <c:pt idx="0">
                  <c:v>73</c:v>
                </c:pt>
                <c:pt idx="1">
                  <c:v>63</c:v>
                </c:pt>
                <c:pt idx="2">
                  <c:v>51</c:v>
                </c:pt>
                <c:pt idx="3">
                  <c:v>42</c:v>
                </c:pt>
                <c:pt idx="4">
                  <c:v>41</c:v>
                </c:pt>
                <c:pt idx="5">
                  <c:v>39</c:v>
                </c:pt>
                <c:pt idx="6">
                  <c:v>31</c:v>
                </c:pt>
                <c:pt idx="7">
                  <c:v>19</c:v>
                </c:pt>
                <c:pt idx="8">
                  <c:v>18</c:v>
                </c:pt>
                <c:pt idx="9">
                  <c:v>17</c:v>
                </c:pt>
                <c:pt idx="10">
                  <c:v>12</c:v>
                </c:pt>
                <c:pt idx="11">
                  <c:v>12</c:v>
                </c:pt>
                <c:pt idx="12">
                  <c:v>8</c:v>
                </c:pt>
              </c:numCache>
            </c:numRef>
          </c:val>
        </c:ser>
        <c:gapWidth val="150"/>
        <c:overlap val="0"/>
        <c:axId val="52676193"/>
        <c:axId val="38703017"/>
      </c:barChart>
      <c:catAx>
        <c:axId val="5267619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38703017"/>
        <c:crosses val="autoZero"/>
        <c:auto val="1"/>
        <c:lblAlgn val="ctr"/>
        <c:lblOffset val="100"/>
        <c:noMultiLvlLbl val="0"/>
      </c:catAx>
      <c:valAx>
        <c:axId val="38703017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5267619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Individual KDR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1"/>
        <c:ser>
          <c:idx val="0"/>
          <c:order val="0"/>
          <c:tx>
            <c:strRef>
              <c:f>"KDR"</c:f>
              <c:strCache>
                <c:ptCount val="1"/>
                <c:pt idx="0">
                  <c:v>KDR</c:v>
                </c:pt>
              </c:strCache>
            </c:strRef>
          </c:tx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Fall2024!$G$58:$G$70</c:f>
              <c:strCache>
                <c:ptCount val="13"/>
                <c:pt idx="0">
                  <c:v>Sam</c:v>
                </c:pt>
                <c:pt idx="1">
                  <c:v>Peter</c:v>
                </c:pt>
                <c:pt idx="2">
                  <c:v>David</c:v>
                </c:pt>
                <c:pt idx="3">
                  <c:v>Ethan</c:v>
                </c:pt>
                <c:pt idx="4">
                  <c:v>Tyler</c:v>
                </c:pt>
                <c:pt idx="5">
                  <c:v>Maxine</c:v>
                </c:pt>
                <c:pt idx="6">
                  <c:v>Jon</c:v>
                </c:pt>
                <c:pt idx="7">
                  <c:v>Evan</c:v>
                </c:pt>
                <c:pt idx="8">
                  <c:v>Erick</c:v>
                </c:pt>
                <c:pt idx="9">
                  <c:v>Carter</c:v>
                </c:pt>
                <c:pt idx="10">
                  <c:v>Cooper</c:v>
                </c:pt>
                <c:pt idx="11">
                  <c:v>Grady</c:v>
                </c:pt>
                <c:pt idx="12">
                  <c:v>Reuben</c:v>
                </c:pt>
              </c:strCache>
            </c:strRef>
          </c:cat>
          <c:val>
            <c:numRef>
              <c:f>Fall2024!$H$58:$H$70</c:f>
              <c:numCache>
                <c:formatCode>0.00</c:formatCode>
                <c:ptCount val="13"/>
                <c:pt idx="0">
                  <c:v>2.52941176470588</c:v>
                </c:pt>
                <c:pt idx="1">
                  <c:v>1.77777777777778</c:v>
                </c:pt>
                <c:pt idx="2">
                  <c:v>1.70588235294118</c:v>
                </c:pt>
                <c:pt idx="3">
                  <c:v>1.46341463414634</c:v>
                </c:pt>
                <c:pt idx="4">
                  <c:v>1.41666666666667</c:v>
                </c:pt>
                <c:pt idx="5">
                  <c:v>1.38709677419355</c:v>
                </c:pt>
                <c:pt idx="6">
                  <c:v>1</c:v>
                </c:pt>
                <c:pt idx="7">
                  <c:v>0.904761904761905</c:v>
                </c:pt>
                <c:pt idx="8">
                  <c:v>0.833333333333333</c:v>
                </c:pt>
                <c:pt idx="9">
                  <c:v>0.753424657534247</c:v>
                </c:pt>
                <c:pt idx="10">
                  <c:v>0.5</c:v>
                </c:pt>
                <c:pt idx="11">
                  <c:v>0.461538461538462</c:v>
                </c:pt>
                <c:pt idx="12">
                  <c:v>0</c:v>
                </c:pt>
              </c:numCache>
            </c:numRef>
          </c:val>
        </c:ser>
        <c:gapWidth val="150"/>
        <c:overlap val="0"/>
        <c:axId val="46253684"/>
        <c:axId val="26949105"/>
      </c:barChart>
      <c:catAx>
        <c:axId val="4625368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26949105"/>
        <c:crosses val="autoZero"/>
        <c:auto val="1"/>
        <c:lblAlgn val="ctr"/>
        <c:lblOffset val="100"/>
        <c:noMultiLvlLbl val="0"/>
      </c:catAx>
      <c:valAx>
        <c:axId val="26949105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4625368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Individual Kill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1"/>
        <c:ser>
          <c:idx val="0"/>
          <c:order val="0"/>
          <c:tx>
            <c:strRef>
              <c:f>"Kill Points"</c:f>
              <c:strCache>
                <c:ptCount val="1"/>
                <c:pt idx="0">
                  <c:v>Kill Points</c:v>
                </c:pt>
              </c:strCache>
            </c:strRef>
          </c:tx>
          <c:spPr>
            <a:solidFill>
              <a:srgbClr val="4EA72E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Fall2024!$Q$26:$Q$38</c:f>
              <c:strCache>
                <c:ptCount val="13"/>
                <c:pt idx="0">
                  <c:v>David</c:v>
                </c:pt>
                <c:pt idx="1">
                  <c:v>Ethan</c:v>
                </c:pt>
                <c:pt idx="2">
                  <c:v>Carter</c:v>
                </c:pt>
                <c:pt idx="3">
                  <c:v>Sam</c:v>
                </c:pt>
                <c:pt idx="4">
                  <c:v>Maxine</c:v>
                </c:pt>
                <c:pt idx="5">
                  <c:v>Evan</c:v>
                </c:pt>
                <c:pt idx="6">
                  <c:v>Peter</c:v>
                </c:pt>
                <c:pt idx="7">
                  <c:v>Tyler</c:v>
                </c:pt>
                <c:pt idx="8">
                  <c:v>Jon</c:v>
                </c:pt>
                <c:pt idx="9">
                  <c:v>Grady</c:v>
                </c:pt>
                <c:pt idx="10">
                  <c:v>Erick</c:v>
                </c:pt>
                <c:pt idx="11">
                  <c:v>Cooper</c:v>
                </c:pt>
                <c:pt idx="12">
                  <c:v>Reuben</c:v>
                </c:pt>
              </c:strCache>
            </c:strRef>
          </c:cat>
          <c:val>
            <c:numRef>
              <c:f>Fall2024!$R$26:$R$38</c:f>
              <c:numCache>
                <c:formatCode>General</c:formatCode>
                <c:ptCount val="13"/>
                <c:pt idx="0">
                  <c:v>115</c:v>
                </c:pt>
                <c:pt idx="1">
                  <c:v>91</c:v>
                </c:pt>
                <c:pt idx="2">
                  <c:v>70</c:v>
                </c:pt>
                <c:pt idx="3">
                  <c:v>72</c:v>
                </c:pt>
                <c:pt idx="4">
                  <c:v>0</c:v>
                </c:pt>
                <c:pt idx="5">
                  <c:v>51</c:v>
                </c:pt>
                <c:pt idx="6">
                  <c:v>53</c:v>
                </c:pt>
                <c:pt idx="7">
                  <c:v>28</c:v>
                </c:pt>
                <c:pt idx="8">
                  <c:v>27</c:v>
                </c:pt>
                <c:pt idx="9">
                  <c:v>26</c:v>
                </c:pt>
                <c:pt idx="10">
                  <c:v>16</c:v>
                </c:pt>
                <c:pt idx="11">
                  <c:v>4</c:v>
                </c:pt>
                <c:pt idx="12">
                  <c:v>0</c:v>
                </c:pt>
              </c:numCache>
            </c:numRef>
          </c:val>
        </c:ser>
        <c:gapWidth val="150"/>
        <c:overlap val="0"/>
        <c:axId val="42365629"/>
        <c:axId val="1414673"/>
      </c:barChart>
      <c:catAx>
        <c:axId val="4236562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1414673"/>
        <c:crosses val="autoZero"/>
        <c:auto val="1"/>
        <c:lblAlgn val="ctr"/>
        <c:lblOffset val="100"/>
        <c:noMultiLvlLbl val="0"/>
      </c:catAx>
      <c:valAx>
        <c:axId val="1414673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4236562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Individual Death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1"/>
        <c:ser>
          <c:idx val="0"/>
          <c:order val="0"/>
          <c:tx>
            <c:strRef>
              <c:f>"Death Points"</c:f>
              <c:strCache>
                <c:ptCount val="1"/>
                <c:pt idx="0">
                  <c:v>Death Points</c:v>
                </c:pt>
              </c:strCache>
            </c:strRef>
          </c:tx>
          <c:spPr>
            <a:solidFill>
              <a:srgbClr val="FF0000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Fall2024!$Q$42:$Q$54</c:f>
              <c:strCache>
                <c:ptCount val="13"/>
                <c:pt idx="0">
                  <c:v>Reuben</c:v>
                </c:pt>
                <c:pt idx="1">
                  <c:v>Carter</c:v>
                </c:pt>
                <c:pt idx="2">
                  <c:v>Evan</c:v>
                </c:pt>
                <c:pt idx="3">
                  <c:v>Grady</c:v>
                </c:pt>
                <c:pt idx="4">
                  <c:v>Ethan</c:v>
                </c:pt>
                <c:pt idx="5">
                  <c:v>David</c:v>
                </c:pt>
                <c:pt idx="6">
                  <c:v>Maxine</c:v>
                </c:pt>
                <c:pt idx="7">
                  <c:v>Peter</c:v>
                </c:pt>
                <c:pt idx="8">
                  <c:v>Jon</c:v>
                </c:pt>
                <c:pt idx="9">
                  <c:v>Sam</c:v>
                </c:pt>
                <c:pt idx="10">
                  <c:v>Erick</c:v>
                </c:pt>
                <c:pt idx="11">
                  <c:v>Tyler</c:v>
                </c:pt>
                <c:pt idx="12">
                  <c:v>Cooper</c:v>
                </c:pt>
              </c:strCache>
            </c:strRef>
          </c:cat>
          <c:val>
            <c:numRef>
              <c:f>Fall2024!$R$42:$R$54</c:f>
              <c:numCache>
                <c:formatCode>General</c:formatCode>
                <c:ptCount val="13"/>
                <c:pt idx="0">
                  <c:v>120</c:v>
                </c:pt>
                <c:pt idx="1">
                  <c:v>108</c:v>
                </c:pt>
                <c:pt idx="2">
                  <c:v>54</c:v>
                </c:pt>
                <c:pt idx="3">
                  <c:v>54</c:v>
                </c:pt>
                <c:pt idx="4">
                  <c:v>55</c:v>
                </c:pt>
                <c:pt idx="5">
                  <c:v>45</c:v>
                </c:pt>
                <c:pt idx="6">
                  <c:v>0</c:v>
                </c:pt>
                <c:pt idx="7">
                  <c:v>26</c:v>
                </c:pt>
                <c:pt idx="8">
                  <c:v>24</c:v>
                </c:pt>
                <c:pt idx="9">
                  <c:v>21</c:v>
                </c:pt>
                <c:pt idx="10">
                  <c:v>22</c:v>
                </c:pt>
                <c:pt idx="11">
                  <c:v>13</c:v>
                </c:pt>
                <c:pt idx="12">
                  <c:v>11</c:v>
                </c:pt>
              </c:numCache>
            </c:numRef>
          </c:val>
        </c:ser>
        <c:gapWidth val="150"/>
        <c:overlap val="0"/>
        <c:axId val="45294665"/>
        <c:axId val="77399579"/>
      </c:barChart>
      <c:catAx>
        <c:axId val="4529466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77399579"/>
        <c:crosses val="autoZero"/>
        <c:auto val="1"/>
        <c:lblAlgn val="ctr"/>
        <c:lblOffset val="100"/>
        <c:noMultiLvlLbl val="0"/>
      </c:catAx>
      <c:valAx>
        <c:axId val="77399579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4529466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Individual KpDpR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1"/>
        <c:ser>
          <c:idx val="0"/>
          <c:order val="0"/>
          <c:tx>
            <c:strRef>
              <c:f>"KpDpR"</c:f>
              <c:strCache>
                <c:ptCount val="1"/>
                <c:pt idx="0">
                  <c:v>KpDpR</c:v>
                </c:pt>
              </c:strCache>
            </c:strRef>
          </c:tx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Fall2024!$Q$58:$Q$70</c:f>
              <c:strCache>
                <c:ptCount val="13"/>
                <c:pt idx="0">
                  <c:v>Sam</c:v>
                </c:pt>
                <c:pt idx="1">
                  <c:v>David</c:v>
                </c:pt>
                <c:pt idx="2">
                  <c:v>Peter</c:v>
                </c:pt>
                <c:pt idx="3">
                  <c:v>Tyler</c:v>
                </c:pt>
                <c:pt idx="4">
                  <c:v>Ethan</c:v>
                </c:pt>
                <c:pt idx="5">
                  <c:v>Maxine</c:v>
                </c:pt>
                <c:pt idx="6">
                  <c:v>Jon</c:v>
                </c:pt>
                <c:pt idx="7">
                  <c:v>Evan</c:v>
                </c:pt>
                <c:pt idx="8">
                  <c:v>Erick</c:v>
                </c:pt>
                <c:pt idx="9">
                  <c:v>Carter</c:v>
                </c:pt>
                <c:pt idx="10">
                  <c:v>Grady</c:v>
                </c:pt>
                <c:pt idx="11">
                  <c:v>Cooper</c:v>
                </c:pt>
                <c:pt idx="12">
                  <c:v>Reuben</c:v>
                </c:pt>
              </c:strCache>
            </c:strRef>
          </c:cat>
          <c:val>
            <c:numRef>
              <c:f>Fall2024!$R$58:$R$70</c:f>
              <c:numCache>
                <c:formatCode>0.00</c:formatCode>
                <c:ptCount val="13"/>
                <c:pt idx="0">
                  <c:v>3.42857142857143</c:v>
                </c:pt>
                <c:pt idx="1">
                  <c:v>2.55555555555556</c:v>
                </c:pt>
                <c:pt idx="2">
                  <c:v>2.03846153846154</c:v>
                </c:pt>
                <c:pt idx="3">
                  <c:v>2.15384615384615</c:v>
                </c:pt>
                <c:pt idx="4">
                  <c:v>1.65454545454545</c:v>
                </c:pt>
                <c:pt idx="5">
                  <c:v>0</c:v>
                </c:pt>
                <c:pt idx="6">
                  <c:v>1.125</c:v>
                </c:pt>
                <c:pt idx="7">
                  <c:v>0.944444444444444</c:v>
                </c:pt>
                <c:pt idx="8">
                  <c:v>0.727272727272727</c:v>
                </c:pt>
                <c:pt idx="9">
                  <c:v>0.648148148148148</c:v>
                </c:pt>
                <c:pt idx="10">
                  <c:v>0.481481481481481</c:v>
                </c:pt>
                <c:pt idx="11">
                  <c:v>0.363636363636364</c:v>
                </c:pt>
                <c:pt idx="12">
                  <c:v>0</c:v>
                </c:pt>
              </c:numCache>
            </c:numRef>
          </c:val>
        </c:ser>
        <c:gapWidth val="150"/>
        <c:overlap val="0"/>
        <c:axId val="74973149"/>
        <c:axId val="4232057"/>
      </c:barChart>
      <c:catAx>
        <c:axId val="7497314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4232057"/>
        <c:crosses val="autoZero"/>
        <c:auto val="1"/>
        <c:lblAlgn val="ctr"/>
        <c:lblOffset val="100"/>
        <c:noMultiLvlLbl val="0"/>
      </c:catAx>
      <c:valAx>
        <c:axId val="4232057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7497314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Part Kills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"Kills"</c:f>
              <c:strCache>
                <c:ptCount val="1"/>
                <c:pt idx="0">
                  <c:v>Kills</c:v>
                </c:pt>
              </c:strCache>
            </c:strRef>
          </c:tx>
          <c:spPr>
            <a:solidFill>
              <a:srgbClr val="4EA72E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Fall2024!$G$74:$G$77</c:f>
              <c:strCache>
                <c:ptCount val="4"/>
                <c:pt idx="0">
                  <c:v>Basses</c:v>
                </c:pt>
                <c:pt idx="1">
                  <c:v>Tenors</c:v>
                </c:pt>
                <c:pt idx="2">
                  <c:v>Baris</c:v>
                </c:pt>
                <c:pt idx="3">
                  <c:v>Leads</c:v>
                </c:pt>
              </c:strCache>
            </c:strRef>
          </c:cat>
          <c:val>
            <c:numRef>
              <c:f>Fall2024!$H$74:$H$77</c:f>
              <c:numCache>
                <c:formatCode>0.00</c:formatCode>
                <c:ptCount val="4"/>
                <c:pt idx="0">
                  <c:v>15.25</c:v>
                </c:pt>
                <c:pt idx="1">
                  <c:v>36.5</c:v>
                </c:pt>
                <c:pt idx="2">
                  <c:v>40</c:v>
                </c:pt>
                <c:pt idx="3">
                  <c:v>43</c:v>
                </c:pt>
              </c:numCache>
            </c:numRef>
          </c:val>
        </c:ser>
        <c:gapWidth val="150"/>
        <c:overlap val="0"/>
        <c:axId val="48710492"/>
        <c:axId val="30581257"/>
      </c:barChart>
      <c:catAx>
        <c:axId val="48710492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30581257"/>
        <c:crosses val="autoZero"/>
        <c:auto val="1"/>
        <c:lblAlgn val="ctr"/>
        <c:lblOffset val="100"/>
        <c:noMultiLvlLbl val="0"/>
      </c:catAx>
      <c:valAx>
        <c:axId val="30581257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48710492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Part Kill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"Kill Points"</c:f>
              <c:strCache>
                <c:ptCount val="1"/>
                <c:pt idx="0">
                  <c:v>Kill Points</c:v>
                </c:pt>
              </c:strCache>
            </c:strRef>
          </c:tx>
          <c:spPr>
            <a:solidFill>
              <a:srgbClr val="4EA72E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Fall2024!$Q$74:$Q$77</c:f>
              <c:strCache>
                <c:ptCount val="4"/>
                <c:pt idx="0">
                  <c:v>Basses</c:v>
                </c:pt>
                <c:pt idx="1">
                  <c:v>Tenors</c:v>
                </c:pt>
                <c:pt idx="2">
                  <c:v>Baris</c:v>
                </c:pt>
                <c:pt idx="3">
                  <c:v>Leads</c:v>
                </c:pt>
              </c:strCache>
            </c:strRef>
          </c:cat>
          <c:val>
            <c:numRef>
              <c:f>Fall2024!$R$74:$R$77</c:f>
              <c:numCache>
                <c:formatCode>0.00</c:formatCode>
                <c:ptCount val="4"/>
                <c:pt idx="0">
                  <c:v>24</c:v>
                </c:pt>
                <c:pt idx="1">
                  <c:v>48</c:v>
                </c:pt>
                <c:pt idx="2">
                  <c:v>63.6666666666667</c:v>
                </c:pt>
                <c:pt idx="3">
                  <c:v>42.5</c:v>
                </c:pt>
              </c:numCache>
            </c:numRef>
          </c:val>
        </c:ser>
        <c:gapWidth val="150"/>
        <c:overlap val="0"/>
        <c:axId val="52688564"/>
        <c:axId val="3661460"/>
      </c:barChart>
      <c:catAx>
        <c:axId val="52688564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3661460"/>
        <c:crosses val="autoZero"/>
        <c:auto val="1"/>
        <c:lblAlgn val="ctr"/>
        <c:lblOffset val="100"/>
        <c:noMultiLvlLbl val="0"/>
      </c:catAx>
      <c:valAx>
        <c:axId val="3661460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52688564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Part Deaths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"Deaths"</c:f>
              <c:strCache>
                <c:ptCount val="1"/>
                <c:pt idx="0">
                  <c:v>Deaths</c:v>
                </c:pt>
              </c:strCache>
            </c:strRef>
          </c:tx>
          <c:spPr>
            <a:solidFill>
              <a:srgbClr val="FF0000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Fall2024!$G$85:$G$88</c:f>
              <c:strCache>
                <c:ptCount val="4"/>
                <c:pt idx="0">
                  <c:v>Baris</c:v>
                </c:pt>
                <c:pt idx="1">
                  <c:v>Basses</c:v>
                </c:pt>
                <c:pt idx="2">
                  <c:v>Leads</c:v>
                </c:pt>
                <c:pt idx="3">
                  <c:v>Tenors</c:v>
                </c:pt>
              </c:strCache>
            </c:strRef>
          </c:cat>
          <c:val>
            <c:numRef>
              <c:f>Fall2024!$H$85:$H$88</c:f>
              <c:numCache>
                <c:formatCode>0.00</c:formatCode>
                <c:ptCount val="4"/>
                <c:pt idx="0">
                  <c:v>23.3333333333333</c:v>
                </c:pt>
                <c:pt idx="1">
                  <c:v>28</c:v>
                </c:pt>
                <c:pt idx="2">
                  <c:v>33</c:v>
                </c:pt>
                <c:pt idx="3">
                  <c:v>56</c:v>
                </c:pt>
              </c:numCache>
            </c:numRef>
          </c:val>
        </c:ser>
        <c:gapWidth val="150"/>
        <c:overlap val="0"/>
        <c:axId val="35461716"/>
        <c:axId val="92789940"/>
      </c:barChart>
      <c:catAx>
        <c:axId val="35461716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92789940"/>
        <c:crosses val="autoZero"/>
        <c:auto val="1"/>
        <c:lblAlgn val="ctr"/>
        <c:lblOffset val="100"/>
        <c:noMultiLvlLbl val="0"/>
      </c:catAx>
      <c:valAx>
        <c:axId val="92789940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35461716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barChart>
        <c:barDir val="bar"/>
        <c:grouping val="clustered"/>
        <c:varyColors val="1"/>
        <c:ser>
          <c:idx val="0"/>
          <c:order val="0"/>
          <c:tx>
            <c:strRef>
              <c:f>"Death Points"</c:f>
              <c:strCache>
                <c:ptCount val="1"/>
                <c:pt idx="0">
                  <c:v>Death Points</c:v>
                </c:pt>
              </c:strCache>
            </c:strRef>
          </c:tx>
          <c:spPr>
            <a:solidFill>
              <a:srgbClr val="FF0000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Fall2024!$Q$85:$Q$88</c:f>
              <c:strCache>
                <c:ptCount val="4"/>
                <c:pt idx="0">
                  <c:v>Baris</c:v>
                </c:pt>
                <c:pt idx="1">
                  <c:v>Leads</c:v>
                </c:pt>
                <c:pt idx="2">
                  <c:v>Basses</c:v>
                </c:pt>
                <c:pt idx="3">
                  <c:v>Tenors</c:v>
                </c:pt>
              </c:strCache>
            </c:strRef>
          </c:cat>
          <c:val>
            <c:numRef>
              <c:f>Fall2024!$R$85:$R$88</c:f>
              <c:numCache>
                <c:formatCode>0.00</c:formatCode>
                <c:ptCount val="4"/>
                <c:pt idx="0">
                  <c:v>29.6666666666667</c:v>
                </c:pt>
                <c:pt idx="1">
                  <c:v>27.5</c:v>
                </c:pt>
                <c:pt idx="2">
                  <c:v>48</c:v>
                </c:pt>
                <c:pt idx="3">
                  <c:v>81</c:v>
                </c:pt>
              </c:numCache>
            </c:numRef>
          </c:val>
        </c:ser>
        <c:gapWidth val="150"/>
        <c:overlap val="0"/>
        <c:axId val="47541578"/>
        <c:axId val="33897020"/>
      </c:barChart>
      <c:catAx>
        <c:axId val="47541578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33897020"/>
        <c:crosses val="autoZero"/>
        <c:auto val="1"/>
        <c:lblAlgn val="ctr"/>
        <c:lblOffset val="100"/>
        <c:noMultiLvlLbl val="0"/>
      </c:catAx>
      <c:valAx>
        <c:axId val="33897020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47541578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barChart>
        <c:barDir val="bar"/>
        <c:grouping val="clustered"/>
        <c:varyColors val="1"/>
        <c:ser>
          <c:idx val="0"/>
          <c:order val="0"/>
          <c:tx>
            <c:strRef>
              <c:f>"KDR"</c:f>
              <c:strCache>
                <c:ptCount val="1"/>
                <c:pt idx="0">
                  <c:v>KDR</c:v>
                </c:pt>
              </c:strCache>
            </c:strRef>
          </c:tx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Fall2024!$G$96:$G$99</c:f>
              <c:strCache>
                <c:ptCount val="4"/>
                <c:pt idx="0">
                  <c:v>Basses</c:v>
                </c:pt>
                <c:pt idx="1">
                  <c:v>Tenors</c:v>
                </c:pt>
                <c:pt idx="2">
                  <c:v>Leads</c:v>
                </c:pt>
                <c:pt idx="3">
                  <c:v>Baris</c:v>
                </c:pt>
              </c:strCache>
            </c:strRef>
          </c:cat>
          <c:val>
            <c:numRef>
              <c:f>Fall2024!$H$96:$H$99</c:f>
              <c:numCache>
                <c:formatCode>0.00</c:formatCode>
                <c:ptCount val="4"/>
                <c:pt idx="0">
                  <c:v>0.544642857142857</c:v>
                </c:pt>
                <c:pt idx="1">
                  <c:v>0.651785714285714</c:v>
                </c:pt>
                <c:pt idx="2">
                  <c:v>1.3030303030303</c:v>
                </c:pt>
                <c:pt idx="3">
                  <c:v>1.71428571428571</c:v>
                </c:pt>
              </c:numCache>
            </c:numRef>
          </c:val>
        </c:ser>
        <c:gapWidth val="150"/>
        <c:overlap val="0"/>
        <c:axId val="7972796"/>
        <c:axId val="96001285"/>
      </c:barChart>
      <c:catAx>
        <c:axId val="7972796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96001285"/>
        <c:crosses val="autoZero"/>
        <c:auto val="1"/>
        <c:lblAlgn val="ctr"/>
        <c:lblOffset val="100"/>
        <c:noMultiLvlLbl val="0"/>
      </c:catAx>
      <c:valAx>
        <c:axId val="96001285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7972796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barChart>
        <c:barDir val="bar"/>
        <c:grouping val="clustered"/>
        <c:varyColors val="1"/>
        <c:ser>
          <c:idx val="0"/>
          <c:order val="0"/>
          <c:tx>
            <c:strRef>
              <c:f>"KpDpR"</c:f>
              <c:strCache>
                <c:ptCount val="1"/>
                <c:pt idx="0">
                  <c:v>KpDpR</c:v>
                </c:pt>
              </c:strCache>
            </c:strRef>
          </c:tx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Fall2024!$Q$96:$Q$99</c:f>
              <c:strCache>
                <c:ptCount val="4"/>
                <c:pt idx="0">
                  <c:v>Basses</c:v>
                </c:pt>
                <c:pt idx="1">
                  <c:v>Tenors</c:v>
                </c:pt>
                <c:pt idx="2">
                  <c:v>Leads</c:v>
                </c:pt>
                <c:pt idx="3">
                  <c:v>Baris</c:v>
                </c:pt>
              </c:strCache>
            </c:strRef>
          </c:cat>
          <c:val>
            <c:numRef>
              <c:f>Fall2024!$R$96:$R$99</c:f>
              <c:numCache>
                <c:formatCode>0.00</c:formatCode>
                <c:ptCount val="4"/>
                <c:pt idx="0">
                  <c:v>0.5</c:v>
                </c:pt>
                <c:pt idx="1">
                  <c:v>0.592592592592593</c:v>
                </c:pt>
                <c:pt idx="2">
                  <c:v>1.54545454545455</c:v>
                </c:pt>
                <c:pt idx="3">
                  <c:v>2.14606741573034</c:v>
                </c:pt>
              </c:numCache>
            </c:numRef>
          </c:val>
        </c:ser>
        <c:gapWidth val="150"/>
        <c:overlap val="0"/>
        <c:axId val="45800743"/>
        <c:axId val="25228780"/>
      </c:barChart>
      <c:catAx>
        <c:axId val="45800743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25228780"/>
        <c:crosses val="autoZero"/>
        <c:auto val="1"/>
        <c:lblAlgn val="ctr"/>
        <c:lblOffset val="100"/>
        <c:noMultiLvlLbl val="0"/>
      </c:catAx>
      <c:valAx>
        <c:axId val="25228780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45800743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Individual Deaths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746456692913386"/>
          <c:y val="0.15244094488189"/>
          <c:w val="0.898818897637795"/>
          <c:h val="0.728818897637795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E9713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Fall2024PRE!$G$37:$G$46</c:f>
              <c:strCache>
                <c:ptCount val="10"/>
                <c:pt idx="0">
                  <c:v>Carter</c:v>
                </c:pt>
                <c:pt idx="1">
                  <c:v>Jon</c:v>
                </c:pt>
                <c:pt idx="2">
                  <c:v>David</c:v>
                </c:pt>
                <c:pt idx="3">
                  <c:v>Grady</c:v>
                </c:pt>
                <c:pt idx="4">
                  <c:v>Sam</c:v>
                </c:pt>
                <c:pt idx="5">
                  <c:v>Erick</c:v>
                </c:pt>
                <c:pt idx="6">
                  <c:v>Tyler</c:v>
                </c:pt>
                <c:pt idx="7">
                  <c:v>Peter</c:v>
                </c:pt>
                <c:pt idx="8">
                  <c:v>Cooper</c:v>
                </c:pt>
                <c:pt idx="9">
                  <c:v>Maxine</c:v>
                </c:pt>
              </c:strCache>
            </c:strRef>
          </c:cat>
          <c:val>
            <c:numRef>
              <c:f>Fall2024PRE!$H$37:$H$46</c:f>
              <c:numCache>
                <c:formatCode>General</c:formatCode>
                <c:ptCount val="10"/>
                <c:pt idx="0">
                  <c:v>12</c:v>
                </c:pt>
                <c:pt idx="1">
                  <c:v>10</c:v>
                </c:pt>
                <c:pt idx="2">
                  <c:v>7</c:v>
                </c:pt>
                <c:pt idx="3">
                  <c:v>6</c:v>
                </c:pt>
                <c:pt idx="4">
                  <c:v>4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0</c:v>
                </c:pt>
              </c:numCache>
            </c:numRef>
          </c:val>
        </c:ser>
        <c:gapWidth val="150"/>
        <c:overlap val="0"/>
        <c:axId val="92327949"/>
        <c:axId val="42356295"/>
      </c:barChart>
      <c:catAx>
        <c:axId val="9232794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42356295"/>
        <c:crosses val="autoZero"/>
        <c:auto val="1"/>
        <c:lblAlgn val="ctr"/>
        <c:lblOffset val="100"/>
        <c:noMultiLvlLbl val="0"/>
      </c:catAx>
      <c:valAx>
        <c:axId val="42356295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232794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Individual KDR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875590551181102"/>
          <c:y val="0.144724409448819"/>
          <c:w val="0.869212598425197"/>
          <c:h val="0.740629921259843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Fall2024PRE!$G$51:$G$60</c:f>
              <c:strCache>
                <c:ptCount val="10"/>
                <c:pt idx="0">
                  <c:v>Maxine</c:v>
                </c:pt>
                <c:pt idx="1">
                  <c:v>Sam</c:v>
                </c:pt>
                <c:pt idx="2">
                  <c:v>Peter</c:v>
                </c:pt>
                <c:pt idx="3">
                  <c:v>David</c:v>
                </c:pt>
                <c:pt idx="4">
                  <c:v>Erick</c:v>
                </c:pt>
                <c:pt idx="5">
                  <c:v>Carter</c:v>
                </c:pt>
                <c:pt idx="6">
                  <c:v>Jon</c:v>
                </c:pt>
                <c:pt idx="7">
                  <c:v>Grady</c:v>
                </c:pt>
                <c:pt idx="8">
                  <c:v>Cooper</c:v>
                </c:pt>
                <c:pt idx="9">
                  <c:v>Tyler</c:v>
                </c:pt>
              </c:strCache>
            </c:strRef>
          </c:cat>
          <c:val>
            <c:numRef>
              <c:f>Fall2024PRE!$H$51:$H$60</c:f>
              <c:numCache>
                <c:formatCode>0.00</c:formatCode>
                <c:ptCount val="10"/>
                <c:pt idx="0">
                  <c:v>5</c:v>
                </c:pt>
                <c:pt idx="1">
                  <c:v>3</c:v>
                </c:pt>
                <c:pt idx="2">
                  <c:v>2.5</c:v>
                </c:pt>
                <c:pt idx="3">
                  <c:v>1.85714285714286</c:v>
                </c:pt>
                <c:pt idx="4">
                  <c:v>0.666666666666667</c:v>
                </c:pt>
                <c:pt idx="5">
                  <c:v>0.666666666666667</c:v>
                </c:pt>
                <c:pt idx="6">
                  <c:v>0.2</c:v>
                </c:pt>
                <c:pt idx="7">
                  <c:v>0.166666666666667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gapWidth val="150"/>
        <c:overlap val="0"/>
        <c:axId val="62786717"/>
        <c:axId val="12106822"/>
      </c:barChart>
      <c:catAx>
        <c:axId val="6278671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12106822"/>
        <c:crosses val="autoZero"/>
        <c:auto val="1"/>
        <c:lblAlgn val="ctr"/>
        <c:lblOffset val="100"/>
        <c:noMultiLvlLbl val="0"/>
      </c:catAx>
      <c:valAx>
        <c:axId val="12106822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6278671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Individual Kills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744094488188976"/>
          <c:y val="0.161102362204724"/>
          <c:w val="0.88244094488189"/>
          <c:h val="0.738110236220472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4EA72E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Fall2024PRE!$Q$23:$Q$32</c:f>
              <c:strCache>
                <c:ptCount val="10"/>
                <c:pt idx="0">
                  <c:v>Sam</c:v>
                </c:pt>
                <c:pt idx="1">
                  <c:v>David</c:v>
                </c:pt>
                <c:pt idx="2">
                  <c:v>Carter</c:v>
                </c:pt>
                <c:pt idx="3">
                  <c:v>Peter</c:v>
                </c:pt>
                <c:pt idx="4">
                  <c:v>Maxine</c:v>
                </c:pt>
                <c:pt idx="5">
                  <c:v>Erick</c:v>
                </c:pt>
                <c:pt idx="6">
                  <c:v>Jon</c:v>
                </c:pt>
                <c:pt idx="7">
                  <c:v>Grady</c:v>
                </c:pt>
                <c:pt idx="8">
                  <c:v>Tyler</c:v>
                </c:pt>
                <c:pt idx="9">
                  <c:v>Cooper</c:v>
                </c:pt>
              </c:strCache>
            </c:strRef>
          </c:cat>
          <c:val>
            <c:numRef>
              <c:f>Fall2024PRE!$R$23:$R$32</c:f>
              <c:numCache>
                <c:formatCode>General</c:formatCode>
                <c:ptCount val="10"/>
                <c:pt idx="0">
                  <c:v>23</c:v>
                </c:pt>
                <c:pt idx="1">
                  <c:v>16</c:v>
                </c:pt>
                <c:pt idx="2">
                  <c:v>12</c:v>
                </c:pt>
                <c:pt idx="3">
                  <c:v>10</c:v>
                </c:pt>
                <c:pt idx="4">
                  <c:v>0</c:v>
                </c:pt>
                <c:pt idx="5">
                  <c:v>3</c:v>
                </c:pt>
                <c:pt idx="6">
                  <c:v>3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gapWidth val="150"/>
        <c:overlap val="0"/>
        <c:axId val="91476160"/>
        <c:axId val="91718037"/>
      </c:barChart>
      <c:catAx>
        <c:axId val="9147616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91718037"/>
        <c:crosses val="autoZero"/>
        <c:auto val="1"/>
        <c:lblAlgn val="ctr"/>
        <c:lblOffset val="100"/>
        <c:noMultiLvlLbl val="0"/>
      </c:catAx>
      <c:valAx>
        <c:axId val="91718037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147616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Individual Death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644094488188976"/>
          <c:y val="0.166299212598425"/>
          <c:w val="0.899527559055118"/>
          <c:h val="0.732913385826772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E9713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Fall2024PRE!$Q$37:$Q$46</c:f>
              <c:strCache>
                <c:ptCount val="10"/>
                <c:pt idx="0">
                  <c:v>Jon</c:v>
                </c:pt>
                <c:pt idx="1">
                  <c:v>Carter</c:v>
                </c:pt>
                <c:pt idx="2">
                  <c:v>Grady</c:v>
                </c:pt>
                <c:pt idx="3">
                  <c:v>David</c:v>
                </c:pt>
                <c:pt idx="4">
                  <c:v>Sam</c:v>
                </c:pt>
                <c:pt idx="5">
                  <c:v>Erick</c:v>
                </c:pt>
                <c:pt idx="6">
                  <c:v>Tyler</c:v>
                </c:pt>
                <c:pt idx="7">
                  <c:v>Peter</c:v>
                </c:pt>
                <c:pt idx="8">
                  <c:v>Cooper</c:v>
                </c:pt>
                <c:pt idx="9">
                  <c:v>Maxine</c:v>
                </c:pt>
              </c:strCache>
            </c:strRef>
          </c:cat>
          <c:val>
            <c:numRef>
              <c:f>Fall2024PRE!$R$37:$R$46</c:f>
              <c:numCache>
                <c:formatCode>General</c:formatCode>
                <c:ptCount val="10"/>
                <c:pt idx="0">
                  <c:v>12</c:v>
                </c:pt>
                <c:pt idx="1">
                  <c:v>16</c:v>
                </c:pt>
                <c:pt idx="2">
                  <c:v>12</c:v>
                </c:pt>
                <c:pt idx="3">
                  <c:v>10</c:v>
                </c:pt>
                <c:pt idx="4">
                  <c:v>6</c:v>
                </c:pt>
                <c:pt idx="5">
                  <c:v>3</c:v>
                </c:pt>
                <c:pt idx="6">
                  <c:v>4</c:v>
                </c:pt>
                <c:pt idx="7">
                  <c:v>2</c:v>
                </c:pt>
                <c:pt idx="8">
                  <c:v>3</c:v>
                </c:pt>
                <c:pt idx="9">
                  <c:v>0</c:v>
                </c:pt>
              </c:numCache>
            </c:numRef>
          </c:val>
        </c:ser>
        <c:gapWidth val="150"/>
        <c:overlap val="0"/>
        <c:axId val="37728511"/>
        <c:axId val="16091431"/>
      </c:barChart>
      <c:catAx>
        <c:axId val="3772851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16091431"/>
        <c:crosses val="autoZero"/>
        <c:auto val="1"/>
        <c:lblAlgn val="ctr"/>
        <c:lblOffset val="100"/>
        <c:noMultiLvlLbl val="0"/>
      </c:catAx>
      <c:valAx>
        <c:axId val="16091431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3772851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Individual KpDpR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959842519685039"/>
          <c:y val="0.166299212598425"/>
          <c:w val="0.868031496062992"/>
          <c:h val="0.732913385826772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Fall2024PRE!$Q$51:$Q$60</c:f>
              <c:strCache>
                <c:ptCount val="10"/>
                <c:pt idx="0">
                  <c:v>Maxine</c:v>
                </c:pt>
                <c:pt idx="1">
                  <c:v>Sam</c:v>
                </c:pt>
                <c:pt idx="2">
                  <c:v>Peter</c:v>
                </c:pt>
                <c:pt idx="3">
                  <c:v>David</c:v>
                </c:pt>
                <c:pt idx="4">
                  <c:v>Carter</c:v>
                </c:pt>
                <c:pt idx="5">
                  <c:v>Erick</c:v>
                </c:pt>
                <c:pt idx="6">
                  <c:v>Jon</c:v>
                </c:pt>
                <c:pt idx="7">
                  <c:v>Grady</c:v>
                </c:pt>
                <c:pt idx="8">
                  <c:v>Cooper</c:v>
                </c:pt>
                <c:pt idx="9">
                  <c:v>Tyler</c:v>
                </c:pt>
              </c:strCache>
            </c:strRef>
          </c:cat>
          <c:val>
            <c:numRef>
              <c:f>Fall2024PRE!$R$51:$R$60</c:f>
              <c:numCache>
                <c:formatCode>0.00</c:formatCode>
                <c:ptCount val="10"/>
                <c:pt idx="0">
                  <c:v>0</c:v>
                </c:pt>
                <c:pt idx="1">
                  <c:v>3.83333333333333</c:v>
                </c:pt>
                <c:pt idx="2">
                  <c:v>5</c:v>
                </c:pt>
                <c:pt idx="3">
                  <c:v>1.6</c:v>
                </c:pt>
                <c:pt idx="4">
                  <c:v>0.75</c:v>
                </c:pt>
                <c:pt idx="5">
                  <c:v>1</c:v>
                </c:pt>
                <c:pt idx="6">
                  <c:v>0.25</c:v>
                </c:pt>
                <c:pt idx="7">
                  <c:v>0.0833333333333333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gapWidth val="150"/>
        <c:overlap val="0"/>
        <c:axId val="17833459"/>
        <c:axId val="59507261"/>
      </c:barChart>
      <c:catAx>
        <c:axId val="1783345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59507261"/>
        <c:crosses val="autoZero"/>
        <c:auto val="1"/>
        <c:lblAlgn val="ctr"/>
        <c:lblOffset val="100"/>
        <c:noMultiLvlLbl val="0"/>
      </c:catAx>
      <c:valAx>
        <c:axId val="59507261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783345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Part Kills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109685039370079"/>
          <c:y val="0.164386737769534"/>
          <c:w val="0.848267716535433"/>
          <c:h val="0.672153953164851"/>
        </c:manualLayout>
      </c:layout>
      <c:barChart>
        <c:barDir val="bar"/>
        <c:grouping val="clustered"/>
        <c:varyColors val="1"/>
        <c:ser>
          <c:idx val="0"/>
          <c:order val="0"/>
          <c:spPr>
            <a:solidFill>
              <a:srgbClr val="4EA72E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Fall2024PRE!$G$65:$G$68</c:f>
              <c:strCache>
                <c:ptCount val="4"/>
                <c:pt idx="0">
                  <c:v>Basses</c:v>
                </c:pt>
                <c:pt idx="1">
                  <c:v>Tenors</c:v>
                </c:pt>
                <c:pt idx="2">
                  <c:v>Baris</c:v>
                </c:pt>
                <c:pt idx="3">
                  <c:v>Leads</c:v>
                </c:pt>
              </c:strCache>
            </c:strRef>
          </c:cat>
          <c:val>
            <c:numRef>
              <c:f>Fall2024PRE!$H$65:$H$68</c:f>
              <c:numCache>
                <c:formatCode>0.00</c:formatCode>
                <c:ptCount val="4"/>
                <c:pt idx="0">
                  <c:v>3</c:v>
                </c:pt>
                <c:pt idx="1">
                  <c:v>4.5</c:v>
                </c:pt>
                <c:pt idx="2">
                  <c:v>6</c:v>
                </c:pt>
                <c:pt idx="3">
                  <c:v>6</c:v>
                </c:pt>
              </c:numCache>
            </c:numRef>
          </c:val>
        </c:ser>
        <c:gapWidth val="150"/>
        <c:overlap val="0"/>
        <c:axId val="59114025"/>
        <c:axId val="65409427"/>
      </c:barChart>
      <c:catAx>
        <c:axId val="59114025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65409427"/>
        <c:crosses val="autoZero"/>
        <c:auto val="1"/>
        <c:lblAlgn val="ctr"/>
        <c:lblOffset val="100"/>
        <c:noMultiLvlLbl val="0"/>
      </c:catAx>
      <c:valAx>
        <c:axId val="65409427"/>
        <c:scaling>
          <c:orientation val="minMax"/>
        </c:scaling>
        <c:delete val="0"/>
        <c:axPos val="l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59114025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Part Kill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118031496062992"/>
          <c:y val="0.180616740088106"/>
          <c:w val="0.833464566929134"/>
          <c:h val="0.655923950846279"/>
        </c:manualLayout>
      </c:layout>
      <c:barChart>
        <c:barDir val="bar"/>
        <c:grouping val="clustered"/>
        <c:varyColors val="1"/>
        <c:ser>
          <c:idx val="0"/>
          <c:order val="0"/>
          <c:spPr>
            <a:solidFill>
              <a:srgbClr val="4EA72E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Fall2024PRE!$Q$65:$Q$68</c:f>
              <c:strCache>
                <c:ptCount val="4"/>
                <c:pt idx="0">
                  <c:v>Basses</c:v>
                </c:pt>
                <c:pt idx="1">
                  <c:v>Tenors</c:v>
                </c:pt>
                <c:pt idx="2">
                  <c:v>Leads</c:v>
                </c:pt>
                <c:pt idx="3">
                  <c:v>Baris</c:v>
                </c:pt>
              </c:strCache>
            </c:strRef>
          </c:cat>
          <c:val>
            <c:numRef>
              <c:f>Fall2024PRE!$R$65:$R$68</c:f>
              <c:numCache>
                <c:formatCode>0.00</c:formatCode>
                <c:ptCount val="4"/>
                <c:pt idx="0">
                  <c:v>5.33333333333333</c:v>
                </c:pt>
                <c:pt idx="1">
                  <c:v>6.5</c:v>
                </c:pt>
                <c:pt idx="2">
                  <c:v>5.33333333333333</c:v>
                </c:pt>
                <c:pt idx="3">
                  <c:v>11.5</c:v>
                </c:pt>
              </c:numCache>
            </c:numRef>
          </c:val>
        </c:ser>
        <c:gapWidth val="150"/>
        <c:overlap val="0"/>
        <c:axId val="9256378"/>
        <c:axId val="44676425"/>
      </c:barChart>
      <c:catAx>
        <c:axId val="9256378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44676425"/>
        <c:crosses val="autoZero"/>
        <c:auto val="1"/>
        <c:lblAlgn val="ctr"/>
        <c:lblOffset val="100"/>
        <c:noMultiLvlLbl val="0"/>
      </c:catAx>
      <c:valAx>
        <c:axId val="44676425"/>
        <c:scaling>
          <c:orientation val="minMax"/>
        </c:scaling>
        <c:delete val="0"/>
        <c:axPos val="l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256378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Part Deaths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101968503937008"/>
          <c:y val="0.197078599582657"/>
          <c:w val="0.835669291338583"/>
          <c:h val="0.629724089960584"/>
        </c:manualLayout>
      </c:layout>
      <c:barChart>
        <c:barDir val="bar"/>
        <c:grouping val="clustered"/>
        <c:varyColors val="1"/>
        <c:ser>
          <c:idx val="0"/>
          <c:order val="0"/>
          <c:spPr>
            <a:solidFill>
              <a:srgbClr val="E9713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Fall2024PRE!$G$74:$G$77</c:f>
              <c:strCache>
                <c:ptCount val="4"/>
                <c:pt idx="0">
                  <c:v>Leads</c:v>
                </c:pt>
                <c:pt idx="1">
                  <c:v>Baris</c:v>
                </c:pt>
                <c:pt idx="2">
                  <c:v>Basses</c:v>
                </c:pt>
                <c:pt idx="3">
                  <c:v>Tenors</c:v>
                </c:pt>
              </c:strCache>
            </c:strRef>
          </c:cat>
          <c:val>
            <c:numRef>
              <c:f>Fall2024PRE!$H$74:$H$77</c:f>
              <c:numCache>
                <c:formatCode>0.00</c:formatCode>
                <c:ptCount val="4"/>
                <c:pt idx="0">
                  <c:v>3</c:v>
                </c:pt>
                <c:pt idx="1">
                  <c:v>3</c:v>
                </c:pt>
                <c:pt idx="2">
                  <c:v>5</c:v>
                </c:pt>
                <c:pt idx="3">
                  <c:v>9</c:v>
                </c:pt>
              </c:numCache>
            </c:numRef>
          </c:val>
        </c:ser>
        <c:gapWidth val="150"/>
        <c:overlap val="0"/>
        <c:axId val="10414194"/>
        <c:axId val="9501930"/>
      </c:barChart>
      <c:catAx>
        <c:axId val="10414194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9501930"/>
        <c:crosses val="autoZero"/>
        <c:auto val="1"/>
        <c:lblAlgn val="ctr"/>
        <c:lblOffset val="100"/>
        <c:noMultiLvlLbl val="0"/>
      </c:catAx>
      <c:valAx>
        <c:axId val="9501930"/>
        <c:scaling>
          <c:orientation val="minMax"/>
        </c:scaling>
        <c:delete val="0"/>
        <c:axPos val="l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0414194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Part Death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110236220472441"/>
          <c:y val="0.197078599582657"/>
          <c:w val="0.841181102362205"/>
          <c:h val="0.629724089960584"/>
        </c:manualLayout>
      </c:layout>
      <c:barChart>
        <c:barDir val="bar"/>
        <c:grouping val="clustered"/>
        <c:varyColors val="1"/>
        <c:ser>
          <c:idx val="0"/>
          <c:order val="0"/>
          <c:spPr>
            <a:solidFill>
              <a:srgbClr val="E9713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Fall2024PRE!$Q$74:$Q$77</c:f>
              <c:strCache>
                <c:ptCount val="4"/>
                <c:pt idx="0">
                  <c:v>Leads</c:v>
                </c:pt>
                <c:pt idx="1">
                  <c:v>Baris</c:v>
                </c:pt>
                <c:pt idx="2">
                  <c:v>Basses</c:v>
                </c:pt>
                <c:pt idx="3">
                  <c:v>Tenors</c:v>
                </c:pt>
              </c:strCache>
            </c:strRef>
          </c:cat>
          <c:val>
            <c:numRef>
              <c:f>Fall2024PRE!$R$74:$R$77</c:f>
              <c:numCache>
                <c:formatCode>0.00</c:formatCode>
                <c:ptCount val="4"/>
                <c:pt idx="0">
                  <c:v>4.33333333333333</c:v>
                </c:pt>
                <c:pt idx="1">
                  <c:v>5</c:v>
                </c:pt>
                <c:pt idx="2">
                  <c:v>5.66666666666667</c:v>
                </c:pt>
                <c:pt idx="3">
                  <c:v>14</c:v>
                </c:pt>
              </c:numCache>
            </c:numRef>
          </c:val>
        </c:ser>
        <c:gapWidth val="150"/>
        <c:overlap val="0"/>
        <c:axId val="30976530"/>
        <c:axId val="86587300"/>
      </c:barChart>
      <c:catAx>
        <c:axId val="30976530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86587300"/>
        <c:crosses val="autoZero"/>
        <c:auto val="1"/>
        <c:lblAlgn val="ctr"/>
        <c:lblOffset val="100"/>
        <c:noMultiLvlLbl val="0"/>
      </c:catAx>
      <c:valAx>
        <c:axId val="86587300"/>
        <c:scaling>
          <c:orientation val="minMax"/>
        </c:scaling>
        <c:delete val="0"/>
        <c:axPos val="l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30976530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Part KDR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985826771653543"/>
          <c:y val="0.180616740088106"/>
          <c:w val="0.846929133858268"/>
          <c:h val="0.654069093438442"/>
        </c:manualLayout>
      </c:layout>
      <c:barChart>
        <c:barDir val="bar"/>
        <c:grouping val="clustered"/>
        <c:varyColors val="1"/>
        <c:ser>
          <c:idx val="0"/>
          <c:order val="0"/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Fall2024PRE!$G$83:$G$86</c:f>
              <c:strCache>
                <c:ptCount val="4"/>
                <c:pt idx="0">
                  <c:v>Tenors</c:v>
                </c:pt>
                <c:pt idx="1">
                  <c:v>Basses</c:v>
                </c:pt>
                <c:pt idx="2">
                  <c:v>Baris</c:v>
                </c:pt>
                <c:pt idx="3">
                  <c:v>Leads</c:v>
                </c:pt>
              </c:strCache>
            </c:strRef>
          </c:cat>
          <c:val>
            <c:numRef>
              <c:f>Fall2024PRE!$H$83:$H$86</c:f>
              <c:numCache>
                <c:formatCode>0.00</c:formatCode>
                <c:ptCount val="4"/>
                <c:pt idx="0">
                  <c:v>0.5</c:v>
                </c:pt>
                <c:pt idx="1">
                  <c:v>0.6</c:v>
                </c:pt>
                <c:pt idx="2">
                  <c:v>2</c:v>
                </c:pt>
                <c:pt idx="3">
                  <c:v>2</c:v>
                </c:pt>
              </c:numCache>
            </c:numRef>
          </c:val>
        </c:ser>
        <c:gapWidth val="150"/>
        <c:overlap val="0"/>
        <c:axId val="84803164"/>
        <c:axId val="78898893"/>
      </c:barChart>
      <c:catAx>
        <c:axId val="84803164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78898893"/>
        <c:crosses val="autoZero"/>
        <c:auto val="1"/>
        <c:lblAlgn val="ctr"/>
        <c:lblOffset val="100"/>
        <c:noMultiLvlLbl val="0"/>
      </c:catAx>
      <c:valAx>
        <c:axId val="78898893"/>
        <c:scaling>
          <c:orientation val="minMax"/>
        </c:scaling>
        <c:delete val="0"/>
        <c:axPos val="l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84803164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Part KpDpR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985826771653543"/>
          <c:y val="0.188731741247392"/>
          <c:w val="0.85992125984252"/>
          <c:h val="0.621377231625319"/>
        </c:manualLayout>
      </c:layout>
      <c:barChart>
        <c:barDir val="bar"/>
        <c:grouping val="clustered"/>
        <c:varyColors val="1"/>
        <c:ser>
          <c:idx val="0"/>
          <c:order val="0"/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Fall2024PRE!$Q$83:$Q$86</c:f>
              <c:strCache>
                <c:ptCount val="4"/>
                <c:pt idx="0">
                  <c:v>Tenors</c:v>
                </c:pt>
                <c:pt idx="1">
                  <c:v>Basses</c:v>
                </c:pt>
                <c:pt idx="2">
                  <c:v>Leads</c:v>
                </c:pt>
                <c:pt idx="3">
                  <c:v>Baris</c:v>
                </c:pt>
              </c:strCache>
            </c:strRef>
          </c:cat>
          <c:val>
            <c:numRef>
              <c:f>Fall2024PRE!$R$83:$R$86</c:f>
              <c:numCache>
                <c:formatCode>0.00</c:formatCode>
                <c:ptCount val="4"/>
                <c:pt idx="0">
                  <c:v>0.464285714285714</c:v>
                </c:pt>
                <c:pt idx="1">
                  <c:v>0.941176470588235</c:v>
                </c:pt>
                <c:pt idx="2">
                  <c:v>1.23076923076923</c:v>
                </c:pt>
                <c:pt idx="3">
                  <c:v>2.3</c:v>
                </c:pt>
              </c:numCache>
            </c:numRef>
          </c:val>
        </c:ser>
        <c:gapWidth val="150"/>
        <c:overlap val="0"/>
        <c:axId val="45696007"/>
        <c:axId val="83696876"/>
      </c:barChart>
      <c:catAx>
        <c:axId val="45696007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83696876"/>
        <c:crosses val="autoZero"/>
        <c:auto val="1"/>
        <c:lblAlgn val="ctr"/>
        <c:lblOffset val="100"/>
        <c:noMultiLvlLbl val="0"/>
      </c:catAx>
      <c:valAx>
        <c:axId val="83696876"/>
        <c:scaling>
          <c:orientation val="minMax"/>
        </c:scaling>
        <c:delete val="0"/>
        <c:axPos val="l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45696007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Individual Winner Chart (adjusted scores)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110130780301608"/>
          <c:y val="0.145842596709649"/>
          <c:w val="0.865527814279457"/>
          <c:h val="0.77434415295687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Fall2024PRE!$AF$34:$AF$43</c:f>
              <c:strCache>
                <c:ptCount val="10"/>
                <c:pt idx="0">
                  <c:v>Maxine</c:v>
                </c:pt>
                <c:pt idx="1">
                  <c:v>Sam</c:v>
                </c:pt>
                <c:pt idx="2">
                  <c:v>David</c:v>
                </c:pt>
                <c:pt idx="3">
                  <c:v>Peter</c:v>
                </c:pt>
                <c:pt idx="4">
                  <c:v>Carter</c:v>
                </c:pt>
                <c:pt idx="5">
                  <c:v>Erick</c:v>
                </c:pt>
                <c:pt idx="6">
                  <c:v>Cooper</c:v>
                </c:pt>
                <c:pt idx="7">
                  <c:v>Jon</c:v>
                </c:pt>
                <c:pt idx="8">
                  <c:v>Tyler</c:v>
                </c:pt>
                <c:pt idx="9">
                  <c:v>Grady</c:v>
                </c:pt>
              </c:strCache>
            </c:strRef>
          </c:cat>
          <c:val>
            <c:numRef>
              <c:f>Fall2024PRE!$AH$34:$AH$43</c:f>
              <c:numCache>
                <c:formatCode>0.00</c:formatCode>
                <c:ptCount val="10"/>
                <c:pt idx="0">
                  <c:v>255.138888888889</c:v>
                </c:pt>
                <c:pt idx="1">
                  <c:v>604.972222222222</c:v>
                </c:pt>
                <c:pt idx="2">
                  <c:v>406.055860805861</c:v>
                </c:pt>
                <c:pt idx="3">
                  <c:v>450.083333333333</c:v>
                </c:pt>
                <c:pt idx="4">
                  <c:v>210.722222222222</c:v>
                </c:pt>
                <c:pt idx="5">
                  <c:v>169.527777777778</c:v>
                </c:pt>
                <c:pt idx="6">
                  <c:v>19.1388888888889</c:v>
                </c:pt>
                <c:pt idx="7">
                  <c:v>62.6111111111111</c:v>
                </c:pt>
                <c:pt idx="8">
                  <c:v>2.6388888888889</c:v>
                </c:pt>
                <c:pt idx="9">
                  <c:v>0</c:v>
                </c:pt>
              </c:numCache>
            </c:numRef>
          </c:val>
        </c:ser>
        <c:gapWidth val="150"/>
        <c:overlap val="0"/>
        <c:axId val="24436686"/>
        <c:axId val="30739764"/>
      </c:barChart>
      <c:catAx>
        <c:axId val="2443668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30739764"/>
        <c:crosses val="autoZero"/>
        <c:auto val="1"/>
        <c:lblAlgn val="ctr"/>
        <c:lblOffset val="100"/>
        <c:noMultiLvlLbl val="0"/>
      </c:catAx>
      <c:valAx>
        <c:axId val="30739764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2443668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Part Winner Chart (adjusted scores)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864675516224189"/>
          <c:y val="0.165286047113642"/>
          <c:w val="0.889626352015733"/>
          <c:h val="0.732720683406679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Fall2024PRE!$AF$60:$AF$63</c:f>
              <c:strCache>
                <c:ptCount val="4"/>
                <c:pt idx="0">
                  <c:v>Baris</c:v>
                </c:pt>
                <c:pt idx="1">
                  <c:v>Leads</c:v>
                </c:pt>
                <c:pt idx="2">
                  <c:v>Basses</c:v>
                </c:pt>
                <c:pt idx="3">
                  <c:v>Tenors</c:v>
                </c:pt>
              </c:strCache>
            </c:strRef>
          </c:cat>
          <c:val>
            <c:numRef>
              <c:f>Fall2024PRE!$AH$60:$AH$63</c:f>
              <c:numCache>
                <c:formatCode>0.00</c:formatCode>
                <c:ptCount val="4"/>
                <c:pt idx="0">
                  <c:v>219.510846560847</c:v>
                </c:pt>
                <c:pt idx="1">
                  <c:v>126.210419210419</c:v>
                </c:pt>
                <c:pt idx="2">
                  <c:v>66.9663658055815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19719922"/>
        <c:axId val="4159370"/>
      </c:barChart>
      <c:catAx>
        <c:axId val="1971992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4159370"/>
        <c:crosses val="autoZero"/>
        <c:auto val="1"/>
        <c:lblAlgn val="ctr"/>
        <c:lblOffset val="100"/>
        <c:noMultiLvlLbl val="0"/>
      </c:catAx>
      <c:valAx>
        <c:axId val="4159370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971992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Individual Kills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665566556655666"/>
          <c:y val="0.158267716535433"/>
          <c:w val="0.897925506836398"/>
          <c:h val="0.740944881889764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4EA72E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Fall2024PRE!$G$23:$G$32</c:f>
              <c:strCache>
                <c:ptCount val="10"/>
                <c:pt idx="0">
                  <c:v>David</c:v>
                </c:pt>
                <c:pt idx="1">
                  <c:v>Sam</c:v>
                </c:pt>
                <c:pt idx="2">
                  <c:v>Carter</c:v>
                </c:pt>
                <c:pt idx="3">
                  <c:v>Maxine</c:v>
                </c:pt>
                <c:pt idx="4">
                  <c:v>Peter</c:v>
                </c:pt>
                <c:pt idx="5">
                  <c:v>Erick</c:v>
                </c:pt>
                <c:pt idx="6">
                  <c:v>Jon</c:v>
                </c:pt>
                <c:pt idx="7">
                  <c:v>Grady</c:v>
                </c:pt>
                <c:pt idx="8">
                  <c:v>Cooper</c:v>
                </c:pt>
                <c:pt idx="9">
                  <c:v>Tyler</c:v>
                </c:pt>
              </c:strCache>
            </c:strRef>
          </c:cat>
          <c:val>
            <c:numRef>
              <c:f>Fall2024PRE!$H$23:$H$32</c:f>
              <c:numCache>
                <c:formatCode>General</c:formatCode>
                <c:ptCount val="10"/>
                <c:pt idx="0">
                  <c:v>13</c:v>
                </c:pt>
                <c:pt idx="1">
                  <c:v>12</c:v>
                </c:pt>
                <c:pt idx="2">
                  <c:v>8</c:v>
                </c:pt>
                <c:pt idx="3">
                  <c:v>5</c:v>
                </c:pt>
                <c:pt idx="4">
                  <c:v>5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gapWidth val="150"/>
        <c:overlap val="0"/>
        <c:axId val="64305769"/>
        <c:axId val="74154528"/>
      </c:barChart>
      <c:catAx>
        <c:axId val="6430576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74154528"/>
        <c:crosses val="autoZero"/>
        <c:auto val="1"/>
        <c:lblAlgn val="ctr"/>
        <c:lblOffset val="100"/>
        <c:noMultiLvlLbl val="0"/>
      </c:catAx>
      <c:valAx>
        <c:axId val="74154528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6430576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Individual Kills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840965256577991"/>
          <c:y val="0.155772936119757"/>
          <c:w val="0.885303096380288"/>
          <c:h val="0.651993478583074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Spring2024POST!$G$23:$G$34</c:f>
              <c:strCache>
                <c:ptCount val="12"/>
                <c:pt idx="0">
                  <c:v>Carter</c:v>
                </c:pt>
                <c:pt idx="1">
                  <c:v>Sam</c:v>
                </c:pt>
                <c:pt idx="2">
                  <c:v>Peter</c:v>
                </c:pt>
                <c:pt idx="3">
                  <c:v>Erick</c:v>
                </c:pt>
                <c:pt idx="4">
                  <c:v>Anthony</c:v>
                </c:pt>
                <c:pt idx="5">
                  <c:v>David</c:v>
                </c:pt>
                <c:pt idx="6">
                  <c:v>Tyler</c:v>
                </c:pt>
                <c:pt idx="7">
                  <c:v>Jon</c:v>
                </c:pt>
                <c:pt idx="8">
                  <c:v>Cooper</c:v>
                </c:pt>
                <c:pt idx="9">
                  <c:v>Grady</c:v>
                </c:pt>
                <c:pt idx="10">
                  <c:v>Maxine</c:v>
                </c:pt>
                <c:pt idx="11">
                  <c:v>Seth</c:v>
                </c:pt>
              </c:strCache>
            </c:strRef>
          </c:cat>
          <c:val>
            <c:numRef>
              <c:f>Spring2024POST!$H$23:$H$34</c:f>
              <c:numCache>
                <c:formatCode>General</c:formatCode>
                <c:ptCount val="12"/>
                <c:pt idx="0">
                  <c:v>22</c:v>
                </c:pt>
                <c:pt idx="1">
                  <c:v>22</c:v>
                </c:pt>
                <c:pt idx="2">
                  <c:v>17</c:v>
                </c:pt>
                <c:pt idx="3">
                  <c:v>10</c:v>
                </c:pt>
                <c:pt idx="4">
                  <c:v>8</c:v>
                </c:pt>
                <c:pt idx="5">
                  <c:v>7</c:v>
                </c:pt>
                <c:pt idx="6">
                  <c:v>6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63915710"/>
        <c:axId val="34125547"/>
      </c:barChart>
      <c:catAx>
        <c:axId val="6391571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34125547"/>
        <c:crosses val="autoZero"/>
        <c:auto val="1"/>
        <c:lblAlgn val="ctr"/>
        <c:lblOffset val="100"/>
        <c:noMultiLvlLbl val="0"/>
      </c:catAx>
      <c:valAx>
        <c:axId val="34125547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6391571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Deaths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879941965904969"/>
          <c:y val="0.158970588235294"/>
          <c:w val="0.88139281828074"/>
          <c:h val="0.655588235294118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Spring2024POST!$G$37:$G$48</c:f>
              <c:strCache>
                <c:ptCount val="12"/>
                <c:pt idx="0">
                  <c:v>Carter</c:v>
                </c:pt>
                <c:pt idx="1">
                  <c:v>Erick</c:v>
                </c:pt>
                <c:pt idx="2">
                  <c:v>Sam</c:v>
                </c:pt>
                <c:pt idx="3">
                  <c:v>Tyler</c:v>
                </c:pt>
                <c:pt idx="4">
                  <c:v>Peter</c:v>
                </c:pt>
                <c:pt idx="5">
                  <c:v>David</c:v>
                </c:pt>
                <c:pt idx="6">
                  <c:v>Seth</c:v>
                </c:pt>
                <c:pt idx="7">
                  <c:v>Anthony</c:v>
                </c:pt>
                <c:pt idx="8">
                  <c:v>Grady</c:v>
                </c:pt>
                <c:pt idx="9">
                  <c:v>Cooper</c:v>
                </c:pt>
                <c:pt idx="10">
                  <c:v>Maxine</c:v>
                </c:pt>
                <c:pt idx="11">
                  <c:v>Jon</c:v>
                </c:pt>
              </c:strCache>
            </c:strRef>
          </c:cat>
          <c:val>
            <c:numRef>
              <c:f>Spring2024POST!$H$37:$H$48</c:f>
              <c:numCache>
                <c:formatCode>General</c:formatCode>
                <c:ptCount val="12"/>
                <c:pt idx="0">
                  <c:v>21</c:v>
                </c:pt>
                <c:pt idx="1">
                  <c:v>14</c:v>
                </c:pt>
                <c:pt idx="2">
                  <c:v>13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5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</c:ser>
        <c:gapWidth val="150"/>
        <c:overlap val="0"/>
        <c:axId val="73137330"/>
        <c:axId val="64576047"/>
      </c:barChart>
      <c:catAx>
        <c:axId val="7313733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64576047"/>
        <c:crosses val="autoZero"/>
        <c:auto val="1"/>
        <c:lblAlgn val="ctr"/>
        <c:lblOffset val="100"/>
        <c:noMultiLvlLbl val="0"/>
      </c:catAx>
      <c:valAx>
        <c:axId val="64576047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7313733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KDR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103721471144062"/>
          <c:y val="0.158178899751933"/>
          <c:w val="0.865605465910743"/>
          <c:h val="0.657960017510579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Spring2024POST!$G$51:$G$62</c:f>
              <c:strCache>
                <c:ptCount val="12"/>
                <c:pt idx="0">
                  <c:v>Jon</c:v>
                </c:pt>
                <c:pt idx="1">
                  <c:v>Peter</c:v>
                </c:pt>
                <c:pt idx="2">
                  <c:v>Sam</c:v>
                </c:pt>
                <c:pt idx="3">
                  <c:v>Anthony</c:v>
                </c:pt>
                <c:pt idx="4">
                  <c:v>Carter</c:v>
                </c:pt>
                <c:pt idx="5">
                  <c:v>Maxine</c:v>
                </c:pt>
                <c:pt idx="6">
                  <c:v>David</c:v>
                </c:pt>
                <c:pt idx="7">
                  <c:v>Erick</c:v>
                </c:pt>
                <c:pt idx="8">
                  <c:v>Cooper</c:v>
                </c:pt>
                <c:pt idx="9">
                  <c:v>Tyler</c:v>
                </c:pt>
                <c:pt idx="10">
                  <c:v>Grady</c:v>
                </c:pt>
                <c:pt idx="11">
                  <c:v>Seth</c:v>
                </c:pt>
              </c:strCache>
            </c:strRef>
          </c:cat>
          <c:val>
            <c:numRef>
              <c:f>Spring2024POST!$H$51:$H$62</c:f>
              <c:numCache>
                <c:formatCode>0.00</c:formatCode>
                <c:ptCount val="12"/>
                <c:pt idx="0">
                  <c:v>4</c:v>
                </c:pt>
                <c:pt idx="1">
                  <c:v>1.88888888888889</c:v>
                </c:pt>
                <c:pt idx="2">
                  <c:v>1.69230769230769</c:v>
                </c:pt>
                <c:pt idx="3">
                  <c:v>1.14285714285714</c:v>
                </c:pt>
                <c:pt idx="4">
                  <c:v>1.04761904761905</c:v>
                </c:pt>
                <c:pt idx="5">
                  <c:v>1</c:v>
                </c:pt>
                <c:pt idx="6">
                  <c:v>0.875</c:v>
                </c:pt>
                <c:pt idx="7">
                  <c:v>0.714285714285714</c:v>
                </c:pt>
                <c:pt idx="8">
                  <c:v>0.6</c:v>
                </c:pt>
                <c:pt idx="9">
                  <c:v>0.6</c:v>
                </c:pt>
                <c:pt idx="10">
                  <c:v>0.428571428571429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92656966"/>
        <c:axId val="56114852"/>
      </c:barChart>
      <c:catAx>
        <c:axId val="9265696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56114852"/>
        <c:crosses val="autoZero"/>
        <c:auto val="1"/>
        <c:lblAlgn val="ctr"/>
        <c:lblOffset val="100"/>
        <c:noMultiLvlLbl val="0"/>
      </c:catAx>
      <c:valAx>
        <c:axId val="56114852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265696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Part Kills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106057308668843"/>
          <c:y val="0.206138341731562"/>
          <c:w val="0.834965542256075"/>
          <c:h val="0.545350435180944"/>
        </c:manualLayout>
      </c:layout>
      <c:barChart>
        <c:barDir val="bar"/>
        <c:grouping val="clustered"/>
        <c:varyColors val="1"/>
        <c:ser>
          <c:idx val="0"/>
          <c:order val="0"/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Spring2024POST!$G$65:$G$68</c:f>
              <c:strCache>
                <c:ptCount val="4"/>
                <c:pt idx="0">
                  <c:v>Baris</c:v>
                </c:pt>
                <c:pt idx="1">
                  <c:v>Basses</c:v>
                </c:pt>
                <c:pt idx="2">
                  <c:v>Tenors</c:v>
                </c:pt>
                <c:pt idx="3">
                  <c:v>Leads</c:v>
                </c:pt>
              </c:strCache>
            </c:strRef>
          </c:cat>
          <c:val>
            <c:numRef>
              <c:f>Spring2024POST!$H$65:$H$68</c:f>
              <c:numCache>
                <c:formatCode>General</c:formatCode>
                <c:ptCount val="4"/>
                <c:pt idx="0">
                  <c:v>36</c:v>
                </c:pt>
                <c:pt idx="1">
                  <c:v>31</c:v>
                </c:pt>
                <c:pt idx="2">
                  <c:v>25</c:v>
                </c:pt>
                <c:pt idx="3">
                  <c:v>12</c:v>
                </c:pt>
              </c:numCache>
            </c:numRef>
          </c:val>
        </c:ser>
        <c:gapWidth val="150"/>
        <c:overlap val="0"/>
        <c:axId val="37123139"/>
        <c:axId val="41043729"/>
      </c:barChart>
      <c:catAx>
        <c:axId val="37123139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41043729"/>
        <c:crosses val="autoZero"/>
        <c:auto val="1"/>
        <c:lblAlgn val="ctr"/>
        <c:lblOffset val="100"/>
        <c:noMultiLvlLbl val="0"/>
      </c:catAx>
      <c:valAx>
        <c:axId val="41043729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37123139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Deaths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983677910772579"/>
          <c:y val="0.226551563229118"/>
          <c:w val="0.842655059847661"/>
          <c:h val="0.520298646756883"/>
        </c:manualLayout>
      </c:layout>
      <c:barChart>
        <c:barDir val="bar"/>
        <c:grouping val="clustered"/>
        <c:varyColors val="1"/>
        <c:ser>
          <c:idx val="0"/>
          <c:order val="0"/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Spring2024POST!$G$74:$G$77</c:f>
              <c:strCache>
                <c:ptCount val="4"/>
                <c:pt idx="0">
                  <c:v>Tenors</c:v>
                </c:pt>
                <c:pt idx="1">
                  <c:v>Baris</c:v>
                </c:pt>
                <c:pt idx="2">
                  <c:v>Basses</c:v>
                </c:pt>
                <c:pt idx="3">
                  <c:v>Leads</c:v>
                </c:pt>
              </c:strCache>
            </c:strRef>
          </c:cat>
          <c:val>
            <c:numRef>
              <c:f>Spring2024POST!$H$74:$H$77</c:f>
              <c:numCache>
                <c:formatCode>General</c:formatCode>
                <c:ptCount val="4"/>
                <c:pt idx="0">
                  <c:v>35</c:v>
                </c:pt>
                <c:pt idx="1">
                  <c:v>30</c:v>
                </c:pt>
                <c:pt idx="2">
                  <c:v>24</c:v>
                </c:pt>
                <c:pt idx="3">
                  <c:v>15</c:v>
                </c:pt>
              </c:numCache>
            </c:numRef>
          </c:val>
        </c:ser>
        <c:gapWidth val="150"/>
        <c:overlap val="0"/>
        <c:axId val="23321753"/>
        <c:axId val="51931162"/>
      </c:barChart>
      <c:catAx>
        <c:axId val="23321753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51931162"/>
        <c:crosses val="autoZero"/>
        <c:auto val="1"/>
        <c:lblAlgn val="ctr"/>
        <c:lblOffset val="100"/>
        <c:noMultiLvlLbl val="0"/>
      </c:catAx>
      <c:valAx>
        <c:axId val="51931162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23321753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KDR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908233587232499"/>
          <c:y val="0.204571169947952"/>
          <c:w val="0.840551323902793"/>
          <c:h val="0.549671871464132"/>
        </c:manualLayout>
      </c:layout>
      <c:barChart>
        <c:barDir val="bar"/>
        <c:grouping val="clustered"/>
        <c:varyColors val="1"/>
        <c:ser>
          <c:idx val="0"/>
          <c:order val="0"/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Spring2024POST!$G$83:$G$86</c:f>
              <c:strCache>
                <c:ptCount val="4"/>
                <c:pt idx="0">
                  <c:v>Basses</c:v>
                </c:pt>
                <c:pt idx="1">
                  <c:v>Baris</c:v>
                </c:pt>
                <c:pt idx="2">
                  <c:v>Leads</c:v>
                </c:pt>
                <c:pt idx="3">
                  <c:v>Tenors</c:v>
                </c:pt>
              </c:strCache>
            </c:strRef>
          </c:cat>
          <c:val>
            <c:numRef>
              <c:f>Spring2024POST!$H$83:$H$86</c:f>
              <c:numCache>
                <c:formatCode>0.00</c:formatCode>
                <c:ptCount val="4"/>
                <c:pt idx="0">
                  <c:v>1.29166666666667</c:v>
                </c:pt>
                <c:pt idx="1">
                  <c:v>1.2</c:v>
                </c:pt>
                <c:pt idx="2">
                  <c:v>0.8</c:v>
                </c:pt>
                <c:pt idx="3">
                  <c:v>0.714285714285714</c:v>
                </c:pt>
              </c:numCache>
            </c:numRef>
          </c:val>
        </c:ser>
        <c:gapWidth val="150"/>
        <c:overlap val="0"/>
        <c:axId val="95379264"/>
        <c:axId val="51541473"/>
      </c:barChart>
      <c:catAx>
        <c:axId val="95379264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51541473"/>
        <c:crosses val="autoZero"/>
        <c:auto val="1"/>
        <c:lblAlgn val="ctr"/>
        <c:lblOffset val="100"/>
        <c:noMultiLvlLbl val="0"/>
      </c:catAx>
      <c:valAx>
        <c:axId val="51541473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5379264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Individual Kill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87592936802974"/>
          <c:y val="0.159705882352941"/>
          <c:w val="0.881815365551425"/>
          <c:h val="0.655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Spring2024POST!$Q$23:$Q$34</c:f>
              <c:strCache>
                <c:ptCount val="12"/>
                <c:pt idx="0">
                  <c:v>Sam</c:v>
                </c:pt>
                <c:pt idx="1">
                  <c:v>Carter</c:v>
                </c:pt>
                <c:pt idx="2">
                  <c:v>Peter</c:v>
                </c:pt>
                <c:pt idx="3">
                  <c:v>Erick</c:v>
                </c:pt>
                <c:pt idx="4">
                  <c:v>Anthony</c:v>
                </c:pt>
                <c:pt idx="5">
                  <c:v>David</c:v>
                </c:pt>
                <c:pt idx="6">
                  <c:v>Tyler</c:v>
                </c:pt>
                <c:pt idx="7">
                  <c:v>Jon</c:v>
                </c:pt>
                <c:pt idx="8">
                  <c:v>Grady</c:v>
                </c:pt>
                <c:pt idx="9">
                  <c:v>Cooper</c:v>
                </c:pt>
                <c:pt idx="10">
                  <c:v>Maxine</c:v>
                </c:pt>
                <c:pt idx="11">
                  <c:v>Seth</c:v>
                </c:pt>
              </c:strCache>
            </c:strRef>
          </c:cat>
          <c:val>
            <c:numRef>
              <c:f>Spring2024POST!$R$23:$R$34</c:f>
              <c:numCache>
                <c:formatCode>General</c:formatCode>
                <c:ptCount val="12"/>
                <c:pt idx="0">
                  <c:v>38</c:v>
                </c:pt>
                <c:pt idx="1">
                  <c:v>27</c:v>
                </c:pt>
                <c:pt idx="2">
                  <c:v>26</c:v>
                </c:pt>
                <c:pt idx="3">
                  <c:v>14</c:v>
                </c:pt>
                <c:pt idx="4">
                  <c:v>12</c:v>
                </c:pt>
                <c:pt idx="5">
                  <c:v>11</c:v>
                </c:pt>
                <c:pt idx="6">
                  <c:v>9</c:v>
                </c:pt>
                <c:pt idx="7">
                  <c:v>8</c:v>
                </c:pt>
                <c:pt idx="8">
                  <c:v>5</c:v>
                </c:pt>
                <c:pt idx="9">
                  <c:v>4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38726763"/>
        <c:axId val="67798899"/>
      </c:barChart>
      <c:catAx>
        <c:axId val="3872676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67798899"/>
        <c:crosses val="autoZero"/>
        <c:auto val="1"/>
        <c:lblAlgn val="ctr"/>
        <c:lblOffset val="100"/>
        <c:noMultiLvlLbl val="0"/>
      </c:catAx>
      <c:valAx>
        <c:axId val="67798899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3872676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Death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915133714639048"/>
          <c:y val="0.161148549663053"/>
          <c:w val="0.877879115782965"/>
          <c:h val="0.654116612950483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Spring2024POST!$Q$37:$Q$48</c:f>
              <c:strCache>
                <c:ptCount val="12"/>
                <c:pt idx="0">
                  <c:v>Carter</c:v>
                </c:pt>
                <c:pt idx="1">
                  <c:v>Erick</c:v>
                </c:pt>
                <c:pt idx="2">
                  <c:v>Tyler</c:v>
                </c:pt>
                <c:pt idx="3">
                  <c:v>Sam</c:v>
                </c:pt>
                <c:pt idx="4">
                  <c:v>Seth</c:v>
                </c:pt>
                <c:pt idx="5">
                  <c:v>Grady</c:v>
                </c:pt>
                <c:pt idx="6">
                  <c:v>Peter</c:v>
                </c:pt>
                <c:pt idx="7">
                  <c:v>David</c:v>
                </c:pt>
                <c:pt idx="8">
                  <c:v>Anthony</c:v>
                </c:pt>
                <c:pt idx="9">
                  <c:v>Cooper</c:v>
                </c:pt>
                <c:pt idx="10">
                  <c:v>Maxine</c:v>
                </c:pt>
                <c:pt idx="11">
                  <c:v>Jon</c:v>
                </c:pt>
              </c:strCache>
            </c:strRef>
          </c:cat>
          <c:val>
            <c:numRef>
              <c:f>Spring2024POST!$R$37:$R$48</c:f>
              <c:numCache>
                <c:formatCode>General</c:formatCode>
                <c:ptCount val="12"/>
                <c:pt idx="0">
                  <c:v>30</c:v>
                </c:pt>
                <c:pt idx="1">
                  <c:v>23</c:v>
                </c:pt>
                <c:pt idx="2">
                  <c:v>16</c:v>
                </c:pt>
                <c:pt idx="3">
                  <c:v>15</c:v>
                </c:pt>
                <c:pt idx="4">
                  <c:v>14</c:v>
                </c:pt>
                <c:pt idx="5">
                  <c:v>13</c:v>
                </c:pt>
                <c:pt idx="6">
                  <c:v>12</c:v>
                </c:pt>
                <c:pt idx="7">
                  <c:v>11</c:v>
                </c:pt>
                <c:pt idx="8">
                  <c:v>10</c:v>
                </c:pt>
                <c:pt idx="9">
                  <c:v>9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</c:ser>
        <c:gapWidth val="150"/>
        <c:overlap val="0"/>
        <c:axId val="36225452"/>
        <c:axId val="65216038"/>
      </c:barChart>
      <c:catAx>
        <c:axId val="3622545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65216038"/>
        <c:crosses val="autoZero"/>
        <c:auto val="1"/>
        <c:lblAlgn val="ctr"/>
        <c:lblOffset val="100"/>
        <c:noMultiLvlLbl val="0"/>
      </c:catAx>
      <c:valAx>
        <c:axId val="65216038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3622545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KpDpR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108581164807931"/>
          <c:y val="0.157241990255426"/>
          <c:w val="0.860827137546468"/>
          <c:h val="0.656725232540972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Spring2024POST!$Q$51:$Q$62</c:f>
              <c:strCache>
                <c:ptCount val="12"/>
                <c:pt idx="0">
                  <c:v>Jon</c:v>
                </c:pt>
                <c:pt idx="1">
                  <c:v>Sam</c:v>
                </c:pt>
                <c:pt idx="2">
                  <c:v>Peter</c:v>
                </c:pt>
                <c:pt idx="3">
                  <c:v>Maxine</c:v>
                </c:pt>
                <c:pt idx="4">
                  <c:v>Anthony</c:v>
                </c:pt>
                <c:pt idx="5">
                  <c:v>David</c:v>
                </c:pt>
                <c:pt idx="6">
                  <c:v>Carter</c:v>
                </c:pt>
                <c:pt idx="7">
                  <c:v>Erick</c:v>
                </c:pt>
                <c:pt idx="8">
                  <c:v>Tyler</c:v>
                </c:pt>
                <c:pt idx="9">
                  <c:v>Cooper</c:v>
                </c:pt>
                <c:pt idx="10">
                  <c:v>Grady</c:v>
                </c:pt>
                <c:pt idx="11">
                  <c:v>Seth</c:v>
                </c:pt>
              </c:strCache>
            </c:strRef>
          </c:cat>
          <c:val>
            <c:numRef>
              <c:f>Spring2024POST!$R$51:$R$62</c:f>
              <c:numCache>
                <c:formatCode>0.00</c:formatCode>
                <c:ptCount val="12"/>
                <c:pt idx="0">
                  <c:v>4</c:v>
                </c:pt>
                <c:pt idx="1">
                  <c:v>2.53333333333333</c:v>
                </c:pt>
                <c:pt idx="2">
                  <c:v>2.16666666666667</c:v>
                </c:pt>
                <c:pt idx="3">
                  <c:v>1.33333333333333</c:v>
                </c:pt>
                <c:pt idx="4">
                  <c:v>1.2</c:v>
                </c:pt>
                <c:pt idx="5">
                  <c:v>1</c:v>
                </c:pt>
                <c:pt idx="6">
                  <c:v>0.9</c:v>
                </c:pt>
                <c:pt idx="7">
                  <c:v>0.608695652173913</c:v>
                </c:pt>
                <c:pt idx="8">
                  <c:v>0.5625</c:v>
                </c:pt>
                <c:pt idx="9">
                  <c:v>0.444444444444444</c:v>
                </c:pt>
                <c:pt idx="10">
                  <c:v>0.384615384615385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20316394"/>
        <c:axId val="90081704"/>
      </c:barChart>
      <c:catAx>
        <c:axId val="2031639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0081704"/>
        <c:crosses val="autoZero"/>
        <c:auto val="1"/>
        <c:lblAlgn val="ctr"/>
        <c:lblOffset val="100"/>
        <c:noMultiLvlLbl val="0"/>
      </c:catAx>
      <c:valAx>
        <c:axId val="90081704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2031639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Part Kill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100139405204461"/>
          <c:y val="0.205680256527714"/>
          <c:w val="0.838986988847584"/>
          <c:h val="0.546037562986716"/>
        </c:manualLayout>
      </c:layout>
      <c:barChart>
        <c:barDir val="bar"/>
        <c:grouping val="clustered"/>
        <c:varyColors val="1"/>
        <c:ser>
          <c:idx val="0"/>
          <c:order val="0"/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Spring2024POST!$Q$65:$Q$68</c:f>
              <c:strCache>
                <c:ptCount val="4"/>
                <c:pt idx="0">
                  <c:v>Baris</c:v>
                </c:pt>
                <c:pt idx="1">
                  <c:v>Basses</c:v>
                </c:pt>
                <c:pt idx="2">
                  <c:v>Tenors</c:v>
                </c:pt>
                <c:pt idx="3">
                  <c:v>Leads</c:v>
                </c:pt>
              </c:strCache>
            </c:strRef>
          </c:cat>
          <c:val>
            <c:numRef>
              <c:f>Spring2024POST!$R$65:$R$68</c:f>
              <c:numCache>
                <c:formatCode>General</c:formatCode>
                <c:ptCount val="4"/>
                <c:pt idx="0">
                  <c:v>59</c:v>
                </c:pt>
                <c:pt idx="1">
                  <c:v>48</c:v>
                </c:pt>
                <c:pt idx="2">
                  <c:v>32</c:v>
                </c:pt>
                <c:pt idx="3">
                  <c:v>19</c:v>
                </c:pt>
              </c:numCache>
            </c:numRef>
          </c:val>
        </c:ser>
        <c:gapWidth val="150"/>
        <c:overlap val="0"/>
        <c:axId val="39320670"/>
        <c:axId val="96783994"/>
      </c:barChart>
      <c:catAx>
        <c:axId val="39320670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96783994"/>
        <c:crosses val="autoZero"/>
        <c:auto val="1"/>
        <c:lblAlgn val="ctr"/>
        <c:lblOffset val="100"/>
        <c:noMultiLvlLbl val="0"/>
      </c:catAx>
      <c:valAx>
        <c:axId val="96783994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39320670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Death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974000776096236"/>
          <c:y val="0.215748031496063"/>
          <c:w val="0.841676367869616"/>
          <c:h val="0.538132733408324"/>
        </c:manualLayout>
      </c:layout>
      <c:barChart>
        <c:barDir val="bar"/>
        <c:grouping val="clustered"/>
        <c:varyColors val="1"/>
        <c:ser>
          <c:idx val="0"/>
          <c:order val="0"/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Spring2024POST!$Q$74:$Q$77</c:f>
              <c:strCache>
                <c:ptCount val="4"/>
                <c:pt idx="0">
                  <c:v>Tenors</c:v>
                </c:pt>
                <c:pt idx="1">
                  <c:v>Baris</c:v>
                </c:pt>
                <c:pt idx="2">
                  <c:v>Basses</c:v>
                </c:pt>
                <c:pt idx="3">
                  <c:v>Leads</c:v>
                </c:pt>
              </c:strCache>
            </c:strRef>
          </c:cat>
          <c:val>
            <c:numRef>
              <c:f>Spring2024POST!$R$74:$R$77</c:f>
              <c:numCache>
                <c:formatCode>General</c:formatCode>
                <c:ptCount val="4"/>
                <c:pt idx="0">
                  <c:v>57</c:v>
                </c:pt>
                <c:pt idx="1">
                  <c:v>41</c:v>
                </c:pt>
                <c:pt idx="2">
                  <c:v>37</c:v>
                </c:pt>
                <c:pt idx="3">
                  <c:v>23</c:v>
                </c:pt>
              </c:numCache>
            </c:numRef>
          </c:val>
        </c:ser>
        <c:gapWidth val="150"/>
        <c:overlap val="0"/>
        <c:axId val="32587641"/>
        <c:axId val="53456228"/>
      </c:barChart>
      <c:catAx>
        <c:axId val="32587641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53456228"/>
        <c:crosses val="autoZero"/>
        <c:auto val="1"/>
        <c:lblAlgn val="ctr"/>
        <c:lblOffset val="100"/>
        <c:noMultiLvlLbl val="0"/>
      </c:catAx>
      <c:valAx>
        <c:axId val="53456228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32587641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KpDpR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121847109041521"/>
          <c:y val="0.207649043869516"/>
          <c:w val="0.83733022894839"/>
          <c:h val="0.601574803149606"/>
        </c:manualLayout>
      </c:layout>
      <c:barChart>
        <c:barDir val="bar"/>
        <c:grouping val="clustered"/>
        <c:varyColors val="1"/>
        <c:ser>
          <c:idx val="0"/>
          <c:order val="0"/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Spring2024POST!$Q$83:$Q$86</c:f>
              <c:strCache>
                <c:ptCount val="4"/>
                <c:pt idx="0">
                  <c:v>Baris</c:v>
                </c:pt>
                <c:pt idx="1">
                  <c:v>Basses</c:v>
                </c:pt>
                <c:pt idx="2">
                  <c:v>Leads</c:v>
                </c:pt>
                <c:pt idx="3">
                  <c:v>Tenors</c:v>
                </c:pt>
              </c:strCache>
            </c:strRef>
          </c:cat>
          <c:val>
            <c:numRef>
              <c:f>Spring2024POST!$R$83:$R$86</c:f>
              <c:numCache>
                <c:formatCode>0.00</c:formatCode>
                <c:ptCount val="4"/>
                <c:pt idx="0">
                  <c:v>1.4390243902439</c:v>
                </c:pt>
                <c:pt idx="1">
                  <c:v>1.2972972972973</c:v>
                </c:pt>
                <c:pt idx="2">
                  <c:v>0.826086956521739</c:v>
                </c:pt>
                <c:pt idx="3">
                  <c:v>0.56140350877193</c:v>
                </c:pt>
              </c:numCache>
            </c:numRef>
          </c:val>
        </c:ser>
        <c:gapWidth val="150"/>
        <c:overlap val="0"/>
        <c:axId val="13394933"/>
        <c:axId val="71932616"/>
      </c:barChart>
      <c:catAx>
        <c:axId val="13394933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71932616"/>
        <c:crosses val="autoZero"/>
        <c:auto val="1"/>
        <c:lblAlgn val="ctr"/>
        <c:lblOffset val="100"/>
        <c:noMultiLvlLbl val="0"/>
      </c:catAx>
      <c:valAx>
        <c:axId val="71932616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3394933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Winner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92722371967655"/>
          <c:y val="0.148014440433213"/>
          <c:w val="0.894519317160827"/>
          <c:h val="0.735221119133574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Spring2024POST!$AE$33:$AE$44</c:f>
              <c:strCache>
                <c:ptCount val="12"/>
                <c:pt idx="0">
                  <c:v>Sam</c:v>
                </c:pt>
                <c:pt idx="1">
                  <c:v>Peter</c:v>
                </c:pt>
                <c:pt idx="2">
                  <c:v>Carter</c:v>
                </c:pt>
                <c:pt idx="3">
                  <c:v>Jon</c:v>
                </c:pt>
                <c:pt idx="4">
                  <c:v>Anthony</c:v>
                </c:pt>
                <c:pt idx="5">
                  <c:v>David</c:v>
                </c:pt>
                <c:pt idx="6">
                  <c:v>Erick</c:v>
                </c:pt>
                <c:pt idx="7">
                  <c:v>Maxine</c:v>
                </c:pt>
                <c:pt idx="8">
                  <c:v>Tyler</c:v>
                </c:pt>
                <c:pt idx="9">
                  <c:v>Cooper</c:v>
                </c:pt>
                <c:pt idx="10">
                  <c:v>Grady</c:v>
                </c:pt>
                <c:pt idx="11">
                  <c:v>Seth</c:v>
                </c:pt>
              </c:strCache>
            </c:strRef>
          </c:cat>
          <c:val>
            <c:numRef>
              <c:f>Spring2024POST!$AG$33:$AG$44</c:f>
              <c:numCache>
                <c:formatCode>0.00</c:formatCode>
                <c:ptCount val="12"/>
                <c:pt idx="0">
                  <c:v>778.245920745921</c:v>
                </c:pt>
                <c:pt idx="1">
                  <c:v>652.628639334522</c:v>
                </c:pt>
                <c:pt idx="2">
                  <c:v>498.800865800866</c:v>
                </c:pt>
                <c:pt idx="3">
                  <c:v>471.272727272727</c:v>
                </c:pt>
                <c:pt idx="4">
                  <c:v>374.545454545455</c:v>
                </c:pt>
                <c:pt idx="5">
                  <c:v>327.758116883117</c:v>
                </c:pt>
                <c:pt idx="6">
                  <c:v>266.081027667984</c:v>
                </c:pt>
                <c:pt idx="7">
                  <c:v>265.015151515152</c:v>
                </c:pt>
                <c:pt idx="8">
                  <c:v>248.107954545455</c:v>
                </c:pt>
                <c:pt idx="9">
                  <c:v>189.050505050505</c:v>
                </c:pt>
                <c:pt idx="10">
                  <c:v>158.201964701965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19659554"/>
        <c:axId val="95470816"/>
      </c:barChart>
      <c:catAx>
        <c:axId val="1965955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5470816"/>
        <c:crosses val="autoZero"/>
        <c:auto val="1"/>
        <c:lblAlgn val="ctr"/>
        <c:lblOffset val="100"/>
        <c:noMultiLvlLbl val="0"/>
      </c:catAx>
      <c:valAx>
        <c:axId val="95470816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965955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Winner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264329437952142"/>
          <c:y val="0.0890792291220557"/>
          <c:w val="0.947087738823966"/>
          <c:h val="0.82558886509636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Spring2024POST!$AE$60:$AE$65</c:f>
              <c:strCache>
                <c:ptCount val="6"/>
                <c:pt idx="0">
                  <c:v>Baris</c:v>
                </c:pt>
                <c:pt idx="1">
                  <c:v>Basses</c:v>
                </c:pt>
                <c:pt idx="2">
                  <c:v>Leads</c:v>
                </c:pt>
                <c:pt idx="3">
                  <c:v>Tenors</c:v>
                </c:pt>
                <c:pt idx="4">
                  <c:v>Carter</c:v>
                </c:pt>
                <c:pt idx="5">
                  <c:v>Seth + Grady</c:v>
                </c:pt>
              </c:strCache>
            </c:strRef>
          </c:cat>
          <c:val>
            <c:numRef>
              <c:f>Spring2024POST!$AG$60:$AG$65</c:f>
              <c:numCache>
                <c:formatCode>0.00</c:formatCode>
                <c:ptCount val="6"/>
                <c:pt idx="0">
                  <c:v>877.672634953123</c:v>
                </c:pt>
                <c:pt idx="1">
                  <c:v>758.111088453831</c:v>
                </c:pt>
                <c:pt idx="2">
                  <c:v>378.904754665624</c:v>
                </c:pt>
                <c:pt idx="3">
                  <c:v>361.173382757593</c:v>
                </c:pt>
                <c:pt idx="4">
                  <c:v>355.335914085914</c:v>
                </c:pt>
                <c:pt idx="5">
                  <c:v>0</c:v>
                </c:pt>
              </c:numCache>
            </c:numRef>
          </c:val>
        </c:ser>
        <c:gapWidth val="150"/>
        <c:overlap val="0"/>
        <c:axId val="68492302"/>
        <c:axId val="90059411"/>
      </c:barChart>
      <c:catAx>
        <c:axId val="6849230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0059411"/>
        <c:crosses val="autoZero"/>
        <c:auto val="1"/>
        <c:lblAlgn val="ctr"/>
        <c:lblOffset val="100"/>
        <c:noMultiLvlLbl val="0"/>
      </c:catAx>
      <c:valAx>
        <c:axId val="90059411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6849230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Deaths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858972356707793"/>
          <c:y val="0.1513357619915"/>
          <c:w val="0.879900046853038"/>
          <c:h val="0.657407407407407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E9713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Spring2024!$F$37:$F$48</c:f>
              <c:strCache>
                <c:ptCount val="12"/>
                <c:pt idx="0">
                  <c:v>Sam</c:v>
                </c:pt>
                <c:pt idx="1">
                  <c:v>Carter</c:v>
                </c:pt>
                <c:pt idx="2">
                  <c:v>David</c:v>
                </c:pt>
                <c:pt idx="3">
                  <c:v>Jon</c:v>
                </c:pt>
                <c:pt idx="4">
                  <c:v>Erick</c:v>
                </c:pt>
                <c:pt idx="5">
                  <c:v>Maxine</c:v>
                </c:pt>
                <c:pt idx="6">
                  <c:v>Peter</c:v>
                </c:pt>
                <c:pt idx="7">
                  <c:v>Grady</c:v>
                </c:pt>
                <c:pt idx="8">
                  <c:v>Cooper</c:v>
                </c:pt>
                <c:pt idx="9">
                  <c:v>Anthony</c:v>
                </c:pt>
                <c:pt idx="10">
                  <c:v>Tyler</c:v>
                </c:pt>
                <c:pt idx="11">
                  <c:v>Seth</c:v>
                </c:pt>
              </c:strCache>
            </c:strRef>
          </c:cat>
          <c:val>
            <c:numRef>
              <c:f>Spring2024!$G$37:$G$48</c:f>
              <c:numCache>
                <c:formatCode>General</c:formatCode>
                <c:ptCount val="12"/>
                <c:pt idx="0">
                  <c:v>24</c:v>
                </c:pt>
                <c:pt idx="1">
                  <c:v>24</c:v>
                </c:pt>
                <c:pt idx="2">
                  <c:v>23</c:v>
                </c:pt>
                <c:pt idx="3">
                  <c:v>15</c:v>
                </c:pt>
                <c:pt idx="4">
                  <c:v>14</c:v>
                </c:pt>
                <c:pt idx="5">
                  <c:v>11</c:v>
                </c:pt>
                <c:pt idx="6">
                  <c:v>9</c:v>
                </c:pt>
                <c:pt idx="7">
                  <c:v>9</c:v>
                </c:pt>
                <c:pt idx="8">
                  <c:v>8</c:v>
                </c:pt>
                <c:pt idx="9">
                  <c:v>7</c:v>
                </c:pt>
                <c:pt idx="10">
                  <c:v>7</c:v>
                </c:pt>
                <c:pt idx="11">
                  <c:v>6</c:v>
                </c:pt>
              </c:numCache>
            </c:numRef>
          </c:val>
        </c:ser>
        <c:gapWidth val="150"/>
        <c:overlap val="0"/>
        <c:axId val="86672527"/>
        <c:axId val="70017777"/>
      </c:barChart>
      <c:catAx>
        <c:axId val="8667252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70017777"/>
        <c:crosses val="autoZero"/>
        <c:auto val="1"/>
        <c:lblAlgn val="ctr"/>
        <c:lblOffset val="100"/>
        <c:noMultiLvlLbl val="0"/>
      </c:catAx>
      <c:valAx>
        <c:axId val="70017777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8667252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KDR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115118654722615"/>
          <c:y val="0.142963848222289"/>
          <c:w val="0.848734873487349"/>
          <c:h val="0.644607110845533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Spring2024!$F$51:$F$62</c:f>
              <c:strCache>
                <c:ptCount val="12"/>
                <c:pt idx="0">
                  <c:v>Peter</c:v>
                </c:pt>
                <c:pt idx="1">
                  <c:v>Maxine</c:v>
                </c:pt>
                <c:pt idx="2">
                  <c:v>David</c:v>
                </c:pt>
                <c:pt idx="3">
                  <c:v>Sam</c:v>
                </c:pt>
                <c:pt idx="4">
                  <c:v>Jon</c:v>
                </c:pt>
                <c:pt idx="5">
                  <c:v>Erick</c:v>
                </c:pt>
                <c:pt idx="6">
                  <c:v>Carter</c:v>
                </c:pt>
                <c:pt idx="7">
                  <c:v>Anthony</c:v>
                </c:pt>
                <c:pt idx="8">
                  <c:v>Cooper</c:v>
                </c:pt>
                <c:pt idx="9">
                  <c:v>Seth</c:v>
                </c:pt>
                <c:pt idx="10">
                  <c:v>Tyler</c:v>
                </c:pt>
                <c:pt idx="11">
                  <c:v>Grady</c:v>
                </c:pt>
              </c:strCache>
            </c:strRef>
          </c:cat>
          <c:val>
            <c:numRef>
              <c:f>Spring2024!$G$51:$G$62</c:f>
              <c:numCache>
                <c:formatCode>0.00</c:formatCode>
                <c:ptCount val="12"/>
                <c:pt idx="0">
                  <c:v>2.22222222222222</c:v>
                </c:pt>
                <c:pt idx="1">
                  <c:v>2.18181818181818</c:v>
                </c:pt>
                <c:pt idx="2">
                  <c:v>1.34782608695652</c:v>
                </c:pt>
                <c:pt idx="3">
                  <c:v>1.29166666666667</c:v>
                </c:pt>
                <c:pt idx="4">
                  <c:v>0.866666666666667</c:v>
                </c:pt>
                <c:pt idx="5">
                  <c:v>0.857142857142857</c:v>
                </c:pt>
                <c:pt idx="6">
                  <c:v>0.75</c:v>
                </c:pt>
                <c:pt idx="7">
                  <c:v>0.571428571428571</c:v>
                </c:pt>
                <c:pt idx="8">
                  <c:v>0.25</c:v>
                </c:pt>
                <c:pt idx="9">
                  <c:v>0.166666666666667</c:v>
                </c:pt>
                <c:pt idx="10">
                  <c:v>0.142857142857143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98439400"/>
        <c:axId val="66618062"/>
      </c:barChart>
      <c:catAx>
        <c:axId val="9843940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66618062"/>
        <c:crosses val="autoZero"/>
        <c:auto val="1"/>
        <c:lblAlgn val="ctr"/>
        <c:lblOffset val="100"/>
        <c:noMultiLvlLbl val="0"/>
      </c:catAx>
      <c:valAx>
        <c:axId val="66618062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843940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Kills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10140988618991"/>
          <c:y val="0.159418116376725"/>
          <c:w val="0.863003227450314"/>
          <c:h val="0.651469706058788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4EA72E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Spring2024!$P$23:$P$34</c:f>
              <c:strCache>
                <c:ptCount val="12"/>
                <c:pt idx="0">
                  <c:v>Sam</c:v>
                </c:pt>
                <c:pt idx="1">
                  <c:v>David</c:v>
                </c:pt>
                <c:pt idx="2">
                  <c:v>Maxine</c:v>
                </c:pt>
                <c:pt idx="3">
                  <c:v>Peter</c:v>
                </c:pt>
                <c:pt idx="4">
                  <c:v>Carter</c:v>
                </c:pt>
                <c:pt idx="5">
                  <c:v>Jon</c:v>
                </c:pt>
                <c:pt idx="6">
                  <c:v>Erick</c:v>
                </c:pt>
                <c:pt idx="7">
                  <c:v>Anthony</c:v>
                </c:pt>
                <c:pt idx="8">
                  <c:v>Cooper</c:v>
                </c:pt>
                <c:pt idx="9">
                  <c:v>Tyler</c:v>
                </c:pt>
                <c:pt idx="10">
                  <c:v>Seth</c:v>
                </c:pt>
                <c:pt idx="11">
                  <c:v>Grady</c:v>
                </c:pt>
              </c:strCache>
            </c:strRef>
          </c:cat>
          <c:val>
            <c:numRef>
              <c:f>Spring2024!$Q$23:$Q$34</c:f>
              <c:numCache>
                <c:formatCode>General</c:formatCode>
                <c:ptCount val="12"/>
                <c:pt idx="0">
                  <c:v>47</c:v>
                </c:pt>
                <c:pt idx="1">
                  <c:v>43</c:v>
                </c:pt>
                <c:pt idx="2">
                  <c:v>0</c:v>
                </c:pt>
                <c:pt idx="3">
                  <c:v>28</c:v>
                </c:pt>
                <c:pt idx="4">
                  <c:v>26</c:v>
                </c:pt>
                <c:pt idx="5">
                  <c:v>20</c:v>
                </c:pt>
                <c:pt idx="6">
                  <c:v>17</c:v>
                </c:pt>
                <c:pt idx="7">
                  <c:v>6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82748380"/>
        <c:axId val="56330829"/>
      </c:barChart>
      <c:catAx>
        <c:axId val="8274838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56330829"/>
        <c:crosses val="autoZero"/>
        <c:auto val="1"/>
        <c:lblAlgn val="ctr"/>
        <c:lblOffset val="100"/>
        <c:noMultiLvlLbl val="0"/>
      </c:catAx>
      <c:valAx>
        <c:axId val="56330829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8274838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Death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110508474576271"/>
          <c:y val="0.164884806505044"/>
          <c:w val="0.850423728813559"/>
          <c:h val="0.615118205089595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E9713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Spring2024!$P$37:$P$48</c:f>
              <c:strCache>
                <c:ptCount val="12"/>
                <c:pt idx="0">
                  <c:v>Carter</c:v>
                </c:pt>
                <c:pt idx="1">
                  <c:v>Sam</c:v>
                </c:pt>
                <c:pt idx="2">
                  <c:v>David</c:v>
                </c:pt>
                <c:pt idx="3">
                  <c:v>Jon</c:v>
                </c:pt>
                <c:pt idx="4">
                  <c:v>Erick</c:v>
                </c:pt>
                <c:pt idx="5">
                  <c:v>Grady</c:v>
                </c:pt>
                <c:pt idx="6">
                  <c:v>Maxine</c:v>
                </c:pt>
                <c:pt idx="7">
                  <c:v>Tyler</c:v>
                </c:pt>
                <c:pt idx="8">
                  <c:v>Peter</c:v>
                </c:pt>
                <c:pt idx="9">
                  <c:v>Anthony</c:v>
                </c:pt>
                <c:pt idx="10">
                  <c:v>Seth</c:v>
                </c:pt>
                <c:pt idx="11">
                  <c:v>Cooper</c:v>
                </c:pt>
              </c:strCache>
            </c:strRef>
          </c:cat>
          <c:val>
            <c:numRef>
              <c:f>Spring2024!$Q$37:$Q$48</c:f>
              <c:numCache>
                <c:formatCode>General</c:formatCode>
                <c:ptCount val="12"/>
                <c:pt idx="0">
                  <c:v>36</c:v>
                </c:pt>
                <c:pt idx="1">
                  <c:v>20</c:v>
                </c:pt>
                <c:pt idx="2">
                  <c:v>30</c:v>
                </c:pt>
                <c:pt idx="3">
                  <c:v>19</c:v>
                </c:pt>
                <c:pt idx="4">
                  <c:v>21</c:v>
                </c:pt>
                <c:pt idx="5">
                  <c:v>13</c:v>
                </c:pt>
                <c:pt idx="6">
                  <c:v>0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12</c:v>
                </c:pt>
                <c:pt idx="11">
                  <c:v>10</c:v>
                </c:pt>
              </c:numCache>
            </c:numRef>
          </c:val>
        </c:ser>
        <c:gapWidth val="150"/>
        <c:overlap val="0"/>
        <c:axId val="73194690"/>
        <c:axId val="88690487"/>
      </c:barChart>
      <c:catAx>
        <c:axId val="7319469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88690487"/>
        <c:crosses val="autoZero"/>
        <c:auto val="1"/>
        <c:lblAlgn val="ctr"/>
        <c:lblOffset val="100"/>
        <c:noMultiLvlLbl val="0"/>
      </c:catAx>
      <c:valAx>
        <c:axId val="88690487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7319469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KpDpR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120707070707071"/>
          <c:y val="0.164625037346878"/>
          <c:w val="0.841077441077441"/>
          <c:h val="0.647146698536002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Spring2024!$P$51:$P$62</c:f>
              <c:strCache>
                <c:ptCount val="12"/>
                <c:pt idx="0">
                  <c:v>Maxine</c:v>
                </c:pt>
                <c:pt idx="1">
                  <c:v>Peter</c:v>
                </c:pt>
                <c:pt idx="2">
                  <c:v>Sam</c:v>
                </c:pt>
                <c:pt idx="3">
                  <c:v>David</c:v>
                </c:pt>
                <c:pt idx="4">
                  <c:v>Jon</c:v>
                </c:pt>
                <c:pt idx="5">
                  <c:v>Erick</c:v>
                </c:pt>
                <c:pt idx="6">
                  <c:v>Carter</c:v>
                </c:pt>
                <c:pt idx="7">
                  <c:v>Anthony</c:v>
                </c:pt>
                <c:pt idx="8">
                  <c:v>Cooper</c:v>
                </c:pt>
                <c:pt idx="9">
                  <c:v>Seth</c:v>
                </c:pt>
                <c:pt idx="10">
                  <c:v>Tyler</c:v>
                </c:pt>
                <c:pt idx="11">
                  <c:v>Grady</c:v>
                </c:pt>
              </c:strCache>
            </c:strRef>
          </c:cat>
          <c:val>
            <c:numRef>
              <c:f>Spring2024!$Q$51:$Q$62</c:f>
              <c:numCache>
                <c:formatCode>0.00</c:formatCode>
                <c:ptCount val="12"/>
                <c:pt idx="0">
                  <c:v>0</c:v>
                </c:pt>
                <c:pt idx="1">
                  <c:v>2.54545454545455</c:v>
                </c:pt>
                <c:pt idx="2">
                  <c:v>2.35</c:v>
                </c:pt>
                <c:pt idx="3">
                  <c:v>1.43333333333333</c:v>
                </c:pt>
                <c:pt idx="4">
                  <c:v>1.05263157894737</c:v>
                </c:pt>
                <c:pt idx="5">
                  <c:v>0.80952380952381</c:v>
                </c:pt>
                <c:pt idx="6">
                  <c:v>0.722222222222222</c:v>
                </c:pt>
                <c:pt idx="7">
                  <c:v>0.5</c:v>
                </c:pt>
                <c:pt idx="8">
                  <c:v>0.3</c:v>
                </c:pt>
                <c:pt idx="9">
                  <c:v>0.166666666666667</c:v>
                </c:pt>
                <c:pt idx="10">
                  <c:v>0.2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28448317"/>
        <c:axId val="8488872"/>
      </c:barChart>
      <c:catAx>
        <c:axId val="2844831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8488872"/>
        <c:crosses val="autoZero"/>
        <c:auto val="1"/>
        <c:lblAlgn val="ctr"/>
        <c:lblOffset val="100"/>
        <c:noMultiLvlLbl val="0"/>
      </c:catAx>
      <c:valAx>
        <c:axId val="8488872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2844831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Kills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170988527424171"/>
          <c:y val="0.294263217097863"/>
          <c:w val="0.784378437843784"/>
          <c:h val="0.474015748031496"/>
        </c:manualLayout>
      </c:layout>
      <c:barChart>
        <c:barDir val="bar"/>
        <c:grouping val="clustered"/>
        <c:varyColors val="1"/>
        <c:ser>
          <c:idx val="0"/>
          <c:order val="0"/>
          <c:spPr>
            <a:solidFill>
              <a:srgbClr val="4EA72E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Spring2024!$F$65:$F$68</c:f>
              <c:strCache>
                <c:ptCount val="4"/>
                <c:pt idx="0">
                  <c:v>Tenors</c:v>
                </c:pt>
                <c:pt idx="1">
                  <c:v>Baris</c:v>
                </c:pt>
                <c:pt idx="2">
                  <c:v>Basses</c:v>
                </c:pt>
                <c:pt idx="3">
                  <c:v>Leads</c:v>
                </c:pt>
              </c:strCache>
            </c:strRef>
          </c:cat>
          <c:val>
            <c:numRef>
              <c:f>Spring2024!$G$65:$G$68</c:f>
              <c:numCache>
                <c:formatCode>General</c:formatCode>
                <c:ptCount val="4"/>
                <c:pt idx="0">
                  <c:v>19</c:v>
                </c:pt>
                <c:pt idx="1">
                  <c:v>36</c:v>
                </c:pt>
                <c:pt idx="2">
                  <c:v>45</c:v>
                </c:pt>
                <c:pt idx="3">
                  <c:v>57</c:v>
                </c:pt>
              </c:numCache>
            </c:numRef>
          </c:val>
        </c:ser>
        <c:gapWidth val="150"/>
        <c:overlap val="0"/>
        <c:axId val="96505998"/>
        <c:axId val="14876644"/>
      </c:barChart>
      <c:catAx>
        <c:axId val="96505998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4876644"/>
        <c:crosses val="autoZero"/>
        <c:auto val="1"/>
        <c:lblAlgn val="ctr"/>
        <c:lblOffset val="100"/>
        <c:noMultiLvlLbl val="0"/>
      </c:catAx>
      <c:valAx>
        <c:axId val="14876644"/>
        <c:scaling>
          <c:orientation val="minMax"/>
        </c:scaling>
        <c:delete val="0"/>
        <c:axPos val="l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6505998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Kill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183582215472876"/>
          <c:y val="0.174233952135987"/>
          <c:w val="0.76090441238505"/>
          <c:h val="0.650637441288302"/>
        </c:manualLayout>
      </c:layout>
      <c:barChart>
        <c:barDir val="bar"/>
        <c:grouping val="clustered"/>
        <c:varyColors val="1"/>
        <c:ser>
          <c:idx val="0"/>
          <c:order val="0"/>
          <c:spPr>
            <a:solidFill>
              <a:srgbClr val="4EA72E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Spring2024!$P$65:$P$68</c:f>
              <c:strCache>
                <c:ptCount val="4"/>
                <c:pt idx="0">
                  <c:v>Tenors</c:v>
                </c:pt>
                <c:pt idx="1">
                  <c:v>Baris</c:v>
                </c:pt>
                <c:pt idx="2">
                  <c:v>Basses</c:v>
                </c:pt>
                <c:pt idx="3">
                  <c:v>Leads</c:v>
                </c:pt>
              </c:strCache>
            </c:strRef>
          </c:cat>
          <c:val>
            <c:numRef>
              <c:f>Spring2024!$Q$65:$Q$68</c:f>
              <c:numCache>
                <c:formatCode>General</c:formatCode>
                <c:ptCount val="4"/>
                <c:pt idx="0">
                  <c:v>28</c:v>
                </c:pt>
                <c:pt idx="1">
                  <c:v>55</c:v>
                </c:pt>
                <c:pt idx="2">
                  <c:v>65</c:v>
                </c:pt>
                <c:pt idx="3">
                  <c:v>46</c:v>
                </c:pt>
              </c:numCache>
            </c:numRef>
          </c:val>
        </c:ser>
        <c:gapWidth val="150"/>
        <c:overlap val="0"/>
        <c:axId val="89843662"/>
        <c:axId val="41366679"/>
      </c:barChart>
      <c:catAx>
        <c:axId val="89843662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41366679"/>
        <c:crosses val="autoZero"/>
        <c:auto val="1"/>
        <c:lblAlgn val="ctr"/>
        <c:lblOffset val="100"/>
        <c:noMultiLvlLbl val="0"/>
      </c:catAx>
      <c:valAx>
        <c:axId val="41366679"/>
        <c:scaling>
          <c:orientation val="minMax"/>
        </c:scaling>
        <c:delete val="0"/>
        <c:axPos val="l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89843662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Deaths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171338582677165"/>
          <c:y val="0.222947131608549"/>
          <c:w val="0.783937007874016"/>
          <c:h val="0.616872890888639"/>
        </c:manualLayout>
      </c:layout>
      <c:barChart>
        <c:barDir val="bar"/>
        <c:grouping val="clustered"/>
        <c:varyColors val="1"/>
        <c:ser>
          <c:idx val="0"/>
          <c:order val="0"/>
          <c:spPr>
            <a:solidFill>
              <a:srgbClr val="E9713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Spring2024!$F$74:$F$77</c:f>
              <c:strCache>
                <c:ptCount val="4"/>
                <c:pt idx="0">
                  <c:v>Basses</c:v>
                </c:pt>
                <c:pt idx="1">
                  <c:v>Baris</c:v>
                </c:pt>
                <c:pt idx="2">
                  <c:v>Tenors</c:v>
                </c:pt>
                <c:pt idx="3">
                  <c:v>Leads</c:v>
                </c:pt>
              </c:strCache>
            </c:strRef>
          </c:cat>
          <c:val>
            <c:numRef>
              <c:f>Spring2024!$G$74:$G$77</c:f>
              <c:numCache>
                <c:formatCode>General</c:formatCode>
                <c:ptCount val="4"/>
                <c:pt idx="0">
                  <c:v>38</c:v>
                </c:pt>
                <c:pt idx="1">
                  <c:v>38</c:v>
                </c:pt>
                <c:pt idx="2">
                  <c:v>39</c:v>
                </c:pt>
                <c:pt idx="3">
                  <c:v>42</c:v>
                </c:pt>
              </c:numCache>
            </c:numRef>
          </c:val>
        </c:ser>
        <c:gapWidth val="150"/>
        <c:overlap val="0"/>
        <c:axId val="61559928"/>
        <c:axId val="28121527"/>
      </c:barChart>
      <c:catAx>
        <c:axId val="61559928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28121527"/>
        <c:crosses val="autoZero"/>
        <c:auto val="1"/>
        <c:lblAlgn val="ctr"/>
        <c:lblOffset val="100"/>
        <c:noMultiLvlLbl val="0"/>
      </c:catAx>
      <c:valAx>
        <c:axId val="28121527"/>
        <c:scaling>
          <c:orientation val="minMax"/>
        </c:scaling>
        <c:delete val="0"/>
        <c:axPos val="l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61559928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Death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182764992440786"/>
          <c:y val="0.191226096737908"/>
          <c:w val="0.769527969091215"/>
          <c:h val="0.585151856017998"/>
        </c:manualLayout>
      </c:layout>
      <c:barChart>
        <c:barDir val="bar"/>
        <c:grouping val="clustered"/>
        <c:varyColors val="1"/>
        <c:ser>
          <c:idx val="0"/>
          <c:order val="0"/>
          <c:spPr>
            <a:solidFill>
              <a:srgbClr val="E9713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Spring2024!$P$74:$P$77</c:f>
              <c:strCache>
                <c:ptCount val="4"/>
                <c:pt idx="0">
                  <c:v>Basses</c:v>
                </c:pt>
                <c:pt idx="1">
                  <c:v>Leads</c:v>
                </c:pt>
                <c:pt idx="2">
                  <c:v>Baris</c:v>
                </c:pt>
                <c:pt idx="3">
                  <c:v>Tenors</c:v>
                </c:pt>
              </c:strCache>
            </c:strRef>
          </c:cat>
          <c:val>
            <c:numRef>
              <c:f>Spring2024!$Q$74:$Q$77</c:f>
              <c:numCache>
                <c:formatCode>General</c:formatCode>
                <c:ptCount val="4"/>
                <c:pt idx="0">
                  <c:v>51</c:v>
                </c:pt>
                <c:pt idx="1">
                  <c:v>40</c:v>
                </c:pt>
                <c:pt idx="2">
                  <c:v>42</c:v>
                </c:pt>
                <c:pt idx="3">
                  <c:v>61</c:v>
                </c:pt>
              </c:numCache>
            </c:numRef>
          </c:val>
        </c:ser>
        <c:gapWidth val="150"/>
        <c:overlap val="0"/>
        <c:axId val="85210008"/>
        <c:axId val="12776227"/>
      </c:barChart>
      <c:catAx>
        <c:axId val="85210008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2776227"/>
        <c:crosses val="autoZero"/>
        <c:auto val="1"/>
        <c:lblAlgn val="ctr"/>
        <c:lblOffset val="100"/>
        <c:noMultiLvlLbl val="0"/>
      </c:catAx>
      <c:valAx>
        <c:axId val="12776227"/>
        <c:scaling>
          <c:orientation val="minMax"/>
        </c:scaling>
        <c:delete val="0"/>
        <c:axPos val="l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85210008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KDR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171338582677165"/>
          <c:y val="0.206974128233971"/>
          <c:w val="0.773228346456693"/>
          <c:h val="0.634420697412823"/>
        </c:manualLayout>
      </c:layout>
      <c:barChart>
        <c:barDir val="bar"/>
        <c:grouping val="clustered"/>
        <c:varyColors val="1"/>
        <c:ser>
          <c:idx val="0"/>
          <c:order val="0"/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Spring2024!$F$83:$F$86</c:f>
              <c:strCache>
                <c:ptCount val="4"/>
                <c:pt idx="0">
                  <c:v>Tenors</c:v>
                </c:pt>
                <c:pt idx="1">
                  <c:v>Baris</c:v>
                </c:pt>
                <c:pt idx="2">
                  <c:v>Basses</c:v>
                </c:pt>
                <c:pt idx="3">
                  <c:v>Leads</c:v>
                </c:pt>
              </c:strCache>
            </c:strRef>
          </c:cat>
          <c:val>
            <c:numRef>
              <c:f>Spring2024!$G$83:$G$86</c:f>
              <c:numCache>
                <c:formatCode>0.00</c:formatCode>
                <c:ptCount val="4"/>
                <c:pt idx="0">
                  <c:v>0.487179487179487</c:v>
                </c:pt>
                <c:pt idx="1">
                  <c:v>0.947368421052632</c:v>
                </c:pt>
                <c:pt idx="2">
                  <c:v>1.18421052631579</c:v>
                </c:pt>
                <c:pt idx="3">
                  <c:v>1.35714285714286</c:v>
                </c:pt>
              </c:numCache>
            </c:numRef>
          </c:val>
        </c:ser>
        <c:gapWidth val="150"/>
        <c:overlap val="0"/>
        <c:axId val="21888644"/>
        <c:axId val="48745763"/>
      </c:barChart>
      <c:catAx>
        <c:axId val="21888644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48745763"/>
        <c:crosses val="autoZero"/>
        <c:auto val="1"/>
        <c:lblAlgn val="ctr"/>
        <c:lblOffset val="100"/>
        <c:noMultiLvlLbl val="0"/>
      </c:catAx>
      <c:valAx>
        <c:axId val="48745763"/>
        <c:scaling>
          <c:orientation val="minMax"/>
        </c:scaling>
        <c:delete val="0"/>
        <c:axPos val="l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21888644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KpDpR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18398579521434"/>
          <c:y val="0.208191898619597"/>
          <c:w val="0.756489388686903"/>
          <c:h val="0.606472052500566"/>
        </c:manualLayout>
      </c:layout>
      <c:barChart>
        <c:barDir val="bar"/>
        <c:grouping val="clustered"/>
        <c:varyColors val="1"/>
        <c:ser>
          <c:idx val="0"/>
          <c:order val="0"/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Spring2024!$P$83:$P$86</c:f>
              <c:strCache>
                <c:ptCount val="4"/>
                <c:pt idx="0">
                  <c:v>Tenors</c:v>
                </c:pt>
                <c:pt idx="1">
                  <c:v>Baris</c:v>
                </c:pt>
                <c:pt idx="2">
                  <c:v>Basses</c:v>
                </c:pt>
                <c:pt idx="3">
                  <c:v>Leads</c:v>
                </c:pt>
              </c:strCache>
            </c:strRef>
          </c:cat>
          <c:val>
            <c:numRef>
              <c:f>Spring2024!$Q$83:$Q$86</c:f>
              <c:numCache>
                <c:formatCode>0.00</c:formatCode>
                <c:ptCount val="4"/>
                <c:pt idx="0">
                  <c:v>0.459016393442623</c:v>
                </c:pt>
                <c:pt idx="1">
                  <c:v>1.30952380952381</c:v>
                </c:pt>
                <c:pt idx="2">
                  <c:v>1.27450980392157</c:v>
                </c:pt>
                <c:pt idx="3">
                  <c:v>1.15</c:v>
                </c:pt>
              </c:numCache>
            </c:numRef>
          </c:val>
        </c:ser>
        <c:gapWidth val="150"/>
        <c:overlap val="0"/>
        <c:axId val="87454732"/>
        <c:axId val="35042410"/>
      </c:barChart>
      <c:catAx>
        <c:axId val="87454732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35042410"/>
        <c:crosses val="autoZero"/>
        <c:auto val="1"/>
        <c:lblAlgn val="ctr"/>
        <c:lblOffset val="100"/>
        <c:noMultiLvlLbl val="0"/>
      </c:catAx>
      <c:valAx>
        <c:axId val="35042410"/>
        <c:scaling>
          <c:orientation val="minMax"/>
        </c:scaling>
        <c:delete val="0"/>
        <c:axPos val="l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87454732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Winner Chart (adjusted scores)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1"/>
        <c:ser>
          <c:idx val="0"/>
          <c:order val="0"/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Spring2024!$AD$33:$AD$44</c:f>
              <c:strCache>
                <c:ptCount val="12"/>
                <c:pt idx="0">
                  <c:v>Maxine</c:v>
                </c:pt>
                <c:pt idx="1">
                  <c:v>Peter</c:v>
                </c:pt>
                <c:pt idx="2">
                  <c:v>Sam</c:v>
                </c:pt>
                <c:pt idx="3">
                  <c:v>David</c:v>
                </c:pt>
                <c:pt idx="4">
                  <c:v>Jon</c:v>
                </c:pt>
                <c:pt idx="5">
                  <c:v>Erick</c:v>
                </c:pt>
                <c:pt idx="6">
                  <c:v>Anthony</c:v>
                </c:pt>
                <c:pt idx="7">
                  <c:v>Carter</c:v>
                </c:pt>
                <c:pt idx="8">
                  <c:v>Cooper</c:v>
                </c:pt>
                <c:pt idx="9">
                  <c:v>Seth</c:v>
                </c:pt>
                <c:pt idx="10">
                  <c:v>Tyler</c:v>
                </c:pt>
                <c:pt idx="11">
                  <c:v>Grady</c:v>
                </c:pt>
              </c:strCache>
            </c:strRef>
          </c:cat>
          <c:val>
            <c:numRef>
              <c:f>Spring2024!$AF$33:$AF$44</c:f>
              <c:numCache>
                <c:formatCode>0.00</c:formatCode>
                <c:ptCount val="12"/>
                <c:pt idx="0">
                  <c:v>341.544332210999</c:v>
                </c:pt>
                <c:pt idx="1">
                  <c:v>547.300785634119</c:v>
                </c:pt>
                <c:pt idx="2">
                  <c:v>616.629191557149</c:v>
                </c:pt>
                <c:pt idx="3">
                  <c:v>492.595712776825</c:v>
                </c:pt>
                <c:pt idx="4">
                  <c:v>275.629919528165</c:v>
                </c:pt>
                <c:pt idx="5">
                  <c:v>223.090388007055</c:v>
                </c:pt>
                <c:pt idx="6">
                  <c:v>158.057319223986</c:v>
                </c:pt>
                <c:pt idx="7">
                  <c:v>179.37037037037</c:v>
                </c:pt>
                <c:pt idx="8">
                  <c:v>122.804938271605</c:v>
                </c:pt>
                <c:pt idx="9">
                  <c:v>98.8271604938271</c:v>
                </c:pt>
                <c:pt idx="10">
                  <c:v>117.976366843034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11342304"/>
        <c:axId val="95642311"/>
      </c:barChart>
      <c:catAx>
        <c:axId val="1134230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5642311"/>
        <c:crosses val="autoZero"/>
        <c:auto val="1"/>
        <c:lblAlgn val="ctr"/>
        <c:lblOffset val="100"/>
        <c:noMultiLvlLbl val="0"/>
      </c:catAx>
      <c:valAx>
        <c:axId val="95642311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134230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Winner Chart (adjusted scores)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1"/>
        <c:ser>
          <c:idx val="0"/>
          <c:order val="0"/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Spring2024!$AD$59:$AD$62</c:f>
              <c:strCache>
                <c:ptCount val="4"/>
                <c:pt idx="0">
                  <c:v>Leads</c:v>
                </c:pt>
                <c:pt idx="1">
                  <c:v>Basses</c:v>
                </c:pt>
                <c:pt idx="2">
                  <c:v>Baris</c:v>
                </c:pt>
                <c:pt idx="3">
                  <c:v>Tenors</c:v>
                </c:pt>
              </c:strCache>
            </c:strRef>
          </c:cat>
          <c:val>
            <c:numRef>
              <c:f>Spring2024!$AF$59:$AF$62</c:f>
              <c:numCache>
                <c:formatCode>0.00</c:formatCode>
                <c:ptCount val="4"/>
                <c:pt idx="0">
                  <c:v>584.055320029091</c:v>
                </c:pt>
                <c:pt idx="1">
                  <c:v>602.787266452884</c:v>
                </c:pt>
                <c:pt idx="2">
                  <c:v>515.007232216968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277452"/>
        <c:axId val="66144397"/>
      </c:barChart>
      <c:catAx>
        <c:axId val="27745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66144397"/>
        <c:crosses val="autoZero"/>
        <c:auto val="1"/>
        <c:lblAlgn val="ctr"/>
        <c:lblOffset val="100"/>
        <c:noMultiLvlLbl val="0"/>
      </c:catAx>
      <c:valAx>
        <c:axId val="66144397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27745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Kills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846124180485924"/>
          <c:y val="0.173800850030358"/>
          <c:w val="0.885229463941381"/>
          <c:h val="0.585913782635094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4EA72E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Spring2024!$F$23:$F$34</c:f>
              <c:strCache>
                <c:ptCount val="12"/>
                <c:pt idx="0">
                  <c:v>David</c:v>
                </c:pt>
                <c:pt idx="1">
                  <c:v>Sam</c:v>
                </c:pt>
                <c:pt idx="2">
                  <c:v>Maxine</c:v>
                </c:pt>
                <c:pt idx="3">
                  <c:v>Peter</c:v>
                </c:pt>
                <c:pt idx="4">
                  <c:v>Carter</c:v>
                </c:pt>
                <c:pt idx="5">
                  <c:v>Jon</c:v>
                </c:pt>
                <c:pt idx="6">
                  <c:v>Erick</c:v>
                </c:pt>
                <c:pt idx="7">
                  <c:v>Anthony</c:v>
                </c:pt>
                <c:pt idx="8">
                  <c:v>Cooper</c:v>
                </c:pt>
                <c:pt idx="9">
                  <c:v>Tyler</c:v>
                </c:pt>
                <c:pt idx="10">
                  <c:v>Seth</c:v>
                </c:pt>
                <c:pt idx="11">
                  <c:v>Grady</c:v>
                </c:pt>
              </c:strCache>
            </c:strRef>
          </c:cat>
          <c:val>
            <c:numRef>
              <c:f>Spring2024!$G$23:$G$34</c:f>
              <c:numCache>
                <c:formatCode>General</c:formatCode>
                <c:ptCount val="12"/>
                <c:pt idx="0">
                  <c:v>31</c:v>
                </c:pt>
                <c:pt idx="1">
                  <c:v>31</c:v>
                </c:pt>
                <c:pt idx="2">
                  <c:v>24</c:v>
                </c:pt>
                <c:pt idx="3">
                  <c:v>20</c:v>
                </c:pt>
                <c:pt idx="4">
                  <c:v>18</c:v>
                </c:pt>
                <c:pt idx="5">
                  <c:v>13</c:v>
                </c:pt>
                <c:pt idx="6">
                  <c:v>12</c:v>
                </c:pt>
                <c:pt idx="7">
                  <c:v>4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85553414"/>
        <c:axId val="61622050"/>
      </c:barChart>
      <c:catAx>
        <c:axId val="8555341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61622050"/>
        <c:crosses val="autoZero"/>
        <c:auto val="1"/>
        <c:lblAlgn val="ctr"/>
        <c:lblOffset val="100"/>
        <c:noMultiLvlLbl val="0"/>
      </c:catAx>
      <c:valAx>
        <c:axId val="61622050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8555341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Best Overall Placing (lower is better)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1"/>
        <c:ser>
          <c:idx val="0"/>
          <c:order val="0"/>
          <c:tx>
            <c:strRef>
              <c:f>"Best Place:"</c:f>
              <c:strCache>
                <c:ptCount val="1"/>
                <c:pt idx="0">
                  <c:v>Best Place:</c:v>
                </c:pt>
              </c:strCache>
            </c:strRef>
          </c:tx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0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OVERALL!$P$2:$P$22</c:f>
              <c:strCache>
                <c:ptCount val="21"/>
                <c:pt idx="0">
                  <c:v>David</c:v>
                </c:pt>
                <c:pt idx="1">
                  <c:v>Ethan</c:v>
                </c:pt>
                <c:pt idx="2">
                  <c:v>Maxine</c:v>
                </c:pt>
                <c:pt idx="3">
                  <c:v>Sam</c:v>
                </c:pt>
                <c:pt idx="4">
                  <c:v>Peter</c:v>
                </c:pt>
                <c:pt idx="5">
                  <c:v>Anthony</c:v>
                </c:pt>
                <c:pt idx="6">
                  <c:v>Carter</c:v>
                </c:pt>
                <c:pt idx="7">
                  <c:v>Grady</c:v>
                </c:pt>
                <c:pt idx="8">
                  <c:v>Joey</c:v>
                </c:pt>
                <c:pt idx="9">
                  <c:v>Jon</c:v>
                </c:pt>
                <c:pt idx="10">
                  <c:v>Mikey</c:v>
                </c:pt>
                <c:pt idx="11">
                  <c:v>Erick</c:v>
                </c:pt>
                <c:pt idx="12">
                  <c:v>Evan</c:v>
                </c:pt>
                <c:pt idx="13">
                  <c:v>Tyler</c:v>
                </c:pt>
                <c:pt idx="14">
                  <c:v>Will</c:v>
                </c:pt>
                <c:pt idx="15">
                  <c:v>Cooper</c:v>
                </c:pt>
                <c:pt idx="16">
                  <c:v>Lucy</c:v>
                </c:pt>
                <c:pt idx="17">
                  <c:v>Vignesh</c:v>
                </c:pt>
                <c:pt idx="18">
                  <c:v>Reuben</c:v>
                </c:pt>
                <c:pt idx="19">
                  <c:v>Seth</c:v>
                </c:pt>
                <c:pt idx="20">
                  <c:v>Rob</c:v>
                </c:pt>
              </c:strCache>
            </c:strRef>
          </c:cat>
          <c:val>
            <c:numRef>
              <c:f>OVERALL!$Q$2:$Q$22</c:f>
              <c:numCache>
                <c:formatCode>General</c:formatCode>
                <c:ptCount val="2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2</c:v>
                </c:pt>
                <c:pt idx="15">
                  <c:v>7</c:v>
                </c:pt>
                <c:pt idx="16">
                  <c:v>5</c:v>
                </c:pt>
                <c:pt idx="17">
                  <c:v>9</c:v>
                </c:pt>
                <c:pt idx="18">
                  <c:v>10</c:v>
                </c:pt>
                <c:pt idx="19">
                  <c:v>10</c:v>
                </c:pt>
                <c:pt idx="20">
                  <c:v>15</c:v>
                </c:pt>
              </c:numCache>
            </c:numRef>
          </c:val>
        </c:ser>
        <c:gapWidth val="150"/>
        <c:overlap val="0"/>
        <c:axId val="11711634"/>
        <c:axId val="21844810"/>
      </c:barChart>
      <c:catAx>
        <c:axId val="1171163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21844810"/>
        <c:crosses val="autoZero"/>
        <c:auto val="1"/>
        <c:lblAlgn val="ctr"/>
        <c:lblOffset val="100"/>
        <c:noMultiLvlLbl val="0"/>
      </c:catAx>
      <c:valAx>
        <c:axId val="21844810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1171163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Average Overall Placing (lower is better)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1"/>
        <c:ser>
          <c:idx val="0"/>
          <c:order val="0"/>
          <c:tx>
            <c:strRef>
              <c:f>"Average:"</c:f>
              <c:strCache>
                <c:ptCount val="1"/>
                <c:pt idx="0">
                  <c:v>Average:</c:v>
                </c:pt>
              </c:strCache>
            </c:strRef>
          </c:tx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0"/>
            <c:spPr>
              <a:solidFill>
                <a:srgbClr val="000000"/>
              </a:solidFill>
              <a:ln w="0">
                <a:noFill/>
              </a:ln>
            </c:spPr>
          </c:dPt>
          <c:dLbls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OVERALL!$AA$2:$AA$22</c:f>
              <c:strCache>
                <c:ptCount val="21"/>
                <c:pt idx="0">
                  <c:v>Ethan</c:v>
                </c:pt>
                <c:pt idx="1">
                  <c:v>Sam</c:v>
                </c:pt>
                <c:pt idx="2">
                  <c:v>Peter</c:v>
                </c:pt>
                <c:pt idx="3">
                  <c:v>David</c:v>
                </c:pt>
                <c:pt idx="4">
                  <c:v>Maxine</c:v>
                </c:pt>
                <c:pt idx="5">
                  <c:v>Anthony</c:v>
                </c:pt>
                <c:pt idx="6">
                  <c:v>Mikey</c:v>
                </c:pt>
                <c:pt idx="7">
                  <c:v>Carter</c:v>
                </c:pt>
                <c:pt idx="8">
                  <c:v>Jon</c:v>
                </c:pt>
                <c:pt idx="9">
                  <c:v>Will</c:v>
                </c:pt>
                <c:pt idx="10">
                  <c:v>Lucy</c:v>
                </c:pt>
                <c:pt idx="11">
                  <c:v>Joey</c:v>
                </c:pt>
                <c:pt idx="12">
                  <c:v>Erick</c:v>
                </c:pt>
                <c:pt idx="13">
                  <c:v>Vignesh</c:v>
                </c:pt>
                <c:pt idx="14">
                  <c:v>Tyler</c:v>
                </c:pt>
                <c:pt idx="15">
                  <c:v>Evan</c:v>
                </c:pt>
                <c:pt idx="16">
                  <c:v>Grady</c:v>
                </c:pt>
                <c:pt idx="17">
                  <c:v>Cooper</c:v>
                </c:pt>
                <c:pt idx="18">
                  <c:v>Seth</c:v>
                </c:pt>
                <c:pt idx="19">
                  <c:v>Reuben</c:v>
                </c:pt>
                <c:pt idx="20">
                  <c:v>Rob</c:v>
                </c:pt>
              </c:strCache>
            </c:strRef>
          </c:cat>
          <c:val>
            <c:numRef>
              <c:f>OVERALL!$AB$2:$AB$22</c:f>
              <c:numCache>
                <c:formatCode>0.00</c:formatCode>
                <c:ptCount val="21"/>
                <c:pt idx="0">
                  <c:v>1.5</c:v>
                </c:pt>
                <c:pt idx="1">
                  <c:v>2</c:v>
                </c:pt>
                <c:pt idx="2">
                  <c:v>4</c:v>
                </c:pt>
                <c:pt idx="3">
                  <c:v>3.2</c:v>
                </c:pt>
                <c:pt idx="4">
                  <c:v>3.42857142857143</c:v>
                </c:pt>
                <c:pt idx="5">
                  <c:v>5.8</c:v>
                </c:pt>
                <c:pt idx="6">
                  <c:v>4</c:v>
                </c:pt>
                <c:pt idx="7">
                  <c:v>6.42857142857143</c:v>
                </c:pt>
                <c:pt idx="8">
                  <c:v>6</c:v>
                </c:pt>
                <c:pt idx="9">
                  <c:v>2</c:v>
                </c:pt>
                <c:pt idx="10">
                  <c:v>5</c:v>
                </c:pt>
                <c:pt idx="11">
                  <c:v>8</c:v>
                </c:pt>
                <c:pt idx="12">
                  <c:v>8</c:v>
                </c:pt>
                <c:pt idx="13">
                  <c:v>9</c:v>
                </c:pt>
                <c:pt idx="14">
                  <c:v>8.6</c:v>
                </c:pt>
                <c:pt idx="15">
                  <c:v>8.5</c:v>
                </c:pt>
                <c:pt idx="16">
                  <c:v>10.4285714285714</c:v>
                </c:pt>
                <c:pt idx="17">
                  <c:v>9.71428571428571</c:v>
                </c:pt>
                <c:pt idx="18">
                  <c:v>11</c:v>
                </c:pt>
                <c:pt idx="19">
                  <c:v>12.75</c:v>
                </c:pt>
                <c:pt idx="20">
                  <c:v>15</c:v>
                </c:pt>
              </c:numCache>
            </c:numRef>
          </c:val>
        </c:ser>
        <c:gapWidth val="150"/>
        <c:overlap val="0"/>
        <c:axId val="46242240"/>
        <c:axId val="72940845"/>
      </c:barChart>
      <c:catAx>
        <c:axId val="462422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72940845"/>
        <c:crosses val="autoZero"/>
        <c:auto val="1"/>
        <c:lblAlgn val="ctr"/>
        <c:lblOffset val="100"/>
        <c:noMultiLvlLbl val="0"/>
      </c:catAx>
      <c:valAx>
        <c:axId val="72940845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4624224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9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0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9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0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9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0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9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0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9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0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9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0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9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0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9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0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9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0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9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0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Relationship Id="rId14" Type="http://schemas.openxmlformats.org/officeDocument/2006/relationships/chart" Target="../charts/chart1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<Relationship Id="rId3" Type="http://schemas.openxmlformats.org/officeDocument/2006/relationships/chart" Target="../charts/chart17.xml"/><Relationship Id="rId4" Type="http://schemas.openxmlformats.org/officeDocument/2006/relationships/chart" Target="../charts/chart18.xml"/><Relationship Id="rId5" Type="http://schemas.openxmlformats.org/officeDocument/2006/relationships/chart" Target="../charts/chart19.xml"/><Relationship Id="rId6" Type="http://schemas.openxmlformats.org/officeDocument/2006/relationships/chart" Target="../charts/chart20.xml"/><Relationship Id="rId7" Type="http://schemas.openxmlformats.org/officeDocument/2006/relationships/chart" Target="../charts/chart21.xml"/><Relationship Id="rId8" Type="http://schemas.openxmlformats.org/officeDocument/2006/relationships/chart" Target="../charts/chart22.xml"/><Relationship Id="rId9" Type="http://schemas.openxmlformats.org/officeDocument/2006/relationships/chart" Target="../charts/chart23.xml"/><Relationship Id="rId10" Type="http://schemas.openxmlformats.org/officeDocument/2006/relationships/chart" Target="../charts/chart24.xml"/><Relationship Id="rId11" Type="http://schemas.openxmlformats.org/officeDocument/2006/relationships/chart" Target="../charts/chart25.xml"/><Relationship Id="rId12" Type="http://schemas.openxmlformats.org/officeDocument/2006/relationships/chart" Target="../charts/chart26.xml"/><Relationship Id="rId13" Type="http://schemas.openxmlformats.org/officeDocument/2006/relationships/chart" Target="../charts/chart27.xml"/><Relationship Id="rId14" Type="http://schemas.openxmlformats.org/officeDocument/2006/relationships/chart" Target="../charts/chart28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29.xml"/><Relationship Id="rId2" Type="http://schemas.openxmlformats.org/officeDocument/2006/relationships/chart" Target="../charts/chart30.xml"/><Relationship Id="rId3" Type="http://schemas.openxmlformats.org/officeDocument/2006/relationships/chart" Target="../charts/chart31.xml"/><Relationship Id="rId4" Type="http://schemas.openxmlformats.org/officeDocument/2006/relationships/chart" Target="../charts/chart32.xml"/><Relationship Id="rId5" Type="http://schemas.openxmlformats.org/officeDocument/2006/relationships/chart" Target="../charts/chart33.xml"/><Relationship Id="rId6" Type="http://schemas.openxmlformats.org/officeDocument/2006/relationships/chart" Target="../charts/chart34.xml"/><Relationship Id="rId7" Type="http://schemas.openxmlformats.org/officeDocument/2006/relationships/chart" Target="../charts/chart35.xml"/><Relationship Id="rId8" Type="http://schemas.openxmlformats.org/officeDocument/2006/relationships/chart" Target="../charts/chart36.xml"/><Relationship Id="rId9" Type="http://schemas.openxmlformats.org/officeDocument/2006/relationships/chart" Target="../charts/chart37.xml"/><Relationship Id="rId10" Type="http://schemas.openxmlformats.org/officeDocument/2006/relationships/chart" Target="../charts/chart38.xml"/><Relationship Id="rId11" Type="http://schemas.openxmlformats.org/officeDocument/2006/relationships/chart" Target="../charts/chart39.xml"/><Relationship Id="rId12" Type="http://schemas.openxmlformats.org/officeDocument/2006/relationships/chart" Target="../charts/chart40.xml"/><Relationship Id="rId13" Type="http://schemas.openxmlformats.org/officeDocument/2006/relationships/chart" Target="../charts/chart41.xml"/><Relationship Id="rId14" Type="http://schemas.openxmlformats.org/officeDocument/2006/relationships/chart" Target="../charts/chart42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3.xml"/><Relationship Id="rId2" Type="http://schemas.openxmlformats.org/officeDocument/2006/relationships/chart" Target="../charts/chart44.xml"/><Relationship Id="rId3" Type="http://schemas.openxmlformats.org/officeDocument/2006/relationships/chart" Target="../charts/chart45.xml"/><Relationship Id="rId4" Type="http://schemas.openxmlformats.org/officeDocument/2006/relationships/chart" Target="../charts/chart46.xml"/><Relationship Id="rId5" Type="http://schemas.openxmlformats.org/officeDocument/2006/relationships/chart" Target="../charts/chart47.xml"/><Relationship Id="rId6" Type="http://schemas.openxmlformats.org/officeDocument/2006/relationships/chart" Target="../charts/chart48.xml"/><Relationship Id="rId7" Type="http://schemas.openxmlformats.org/officeDocument/2006/relationships/chart" Target="../charts/chart49.xml"/><Relationship Id="rId8" Type="http://schemas.openxmlformats.org/officeDocument/2006/relationships/chart" Target="../charts/chart50.xml"/><Relationship Id="rId9" Type="http://schemas.openxmlformats.org/officeDocument/2006/relationships/chart" Target="../charts/chart51.xml"/><Relationship Id="rId10" Type="http://schemas.openxmlformats.org/officeDocument/2006/relationships/chart" Target="../charts/chart52.xml"/><Relationship Id="rId11" Type="http://schemas.openxmlformats.org/officeDocument/2006/relationships/chart" Target="../charts/chart53.xml"/><Relationship Id="rId12" Type="http://schemas.openxmlformats.org/officeDocument/2006/relationships/chart" Target="../charts/chart54.xml"/><Relationship Id="rId13" Type="http://schemas.openxmlformats.org/officeDocument/2006/relationships/chart" Target="../charts/chart55.xml"/><Relationship Id="rId14" Type="http://schemas.openxmlformats.org/officeDocument/2006/relationships/chart" Target="../charts/chart56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7.xml"/><Relationship Id="rId2" Type="http://schemas.openxmlformats.org/officeDocument/2006/relationships/chart" Target="../charts/chart58.xml"/><Relationship Id="rId3" Type="http://schemas.openxmlformats.org/officeDocument/2006/relationships/chart" Target="../charts/chart59.xml"/><Relationship Id="rId4" Type="http://schemas.openxmlformats.org/officeDocument/2006/relationships/chart" Target="../charts/chart60.xml"/><Relationship Id="rId5" Type="http://schemas.openxmlformats.org/officeDocument/2006/relationships/chart" Target="../charts/chart61.xml"/><Relationship Id="rId6" Type="http://schemas.openxmlformats.org/officeDocument/2006/relationships/chart" Target="../charts/chart62.xml"/><Relationship Id="rId7" Type="http://schemas.openxmlformats.org/officeDocument/2006/relationships/chart" Target="../charts/chart63.xml"/><Relationship Id="rId8" Type="http://schemas.openxmlformats.org/officeDocument/2006/relationships/chart" Target="../charts/chart64.xml"/><Relationship Id="rId9" Type="http://schemas.openxmlformats.org/officeDocument/2006/relationships/chart" Target="../charts/chart65.xml"/><Relationship Id="rId10" Type="http://schemas.openxmlformats.org/officeDocument/2006/relationships/chart" Target="../charts/chart66.xml"/><Relationship Id="rId11" Type="http://schemas.openxmlformats.org/officeDocument/2006/relationships/chart" Target="../charts/chart67.xml"/><Relationship Id="rId12" Type="http://schemas.openxmlformats.org/officeDocument/2006/relationships/chart" Target="../charts/chart68.xml"/><Relationship Id="rId13" Type="http://schemas.openxmlformats.org/officeDocument/2006/relationships/chart" Target="../charts/chart69.xml"/><Relationship Id="rId14" Type="http://schemas.openxmlformats.org/officeDocument/2006/relationships/chart" Target="../charts/chart70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71.xml"/><Relationship Id="rId2" Type="http://schemas.openxmlformats.org/officeDocument/2006/relationships/chart" Target="../charts/chart72.xml"/><Relationship Id="rId3" Type="http://schemas.openxmlformats.org/officeDocument/2006/relationships/chart" Target="../charts/chart73.xml"/><Relationship Id="rId4" Type="http://schemas.openxmlformats.org/officeDocument/2006/relationships/chart" Target="../charts/chart74.xml"/><Relationship Id="rId5" Type="http://schemas.openxmlformats.org/officeDocument/2006/relationships/chart" Target="../charts/chart75.xml"/><Relationship Id="rId6" Type="http://schemas.openxmlformats.org/officeDocument/2006/relationships/chart" Target="../charts/chart76.xml"/><Relationship Id="rId7" Type="http://schemas.openxmlformats.org/officeDocument/2006/relationships/chart" Target="../charts/chart77.xml"/><Relationship Id="rId8" Type="http://schemas.openxmlformats.org/officeDocument/2006/relationships/chart" Target="../charts/chart78.xml"/><Relationship Id="rId9" Type="http://schemas.openxmlformats.org/officeDocument/2006/relationships/chart" Target="../charts/chart79.xml"/><Relationship Id="rId10" Type="http://schemas.openxmlformats.org/officeDocument/2006/relationships/chart" Target="../charts/chart80.xml"/><Relationship Id="rId11" Type="http://schemas.openxmlformats.org/officeDocument/2006/relationships/chart" Target="../charts/chart81.xml"/><Relationship Id="rId12" Type="http://schemas.openxmlformats.org/officeDocument/2006/relationships/chart" Target="../charts/chart82.xml"/><Relationship Id="rId13" Type="http://schemas.openxmlformats.org/officeDocument/2006/relationships/chart" Target="../charts/chart83.xml"/><Relationship Id="rId14" Type="http://schemas.openxmlformats.org/officeDocument/2006/relationships/chart" Target="../charts/chart84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85.xml"/><Relationship Id="rId2" Type="http://schemas.openxmlformats.org/officeDocument/2006/relationships/chart" Target="../charts/chart86.xml"/><Relationship Id="rId3" Type="http://schemas.openxmlformats.org/officeDocument/2006/relationships/chart" Target="../charts/chart87.xml"/><Relationship Id="rId4" Type="http://schemas.openxmlformats.org/officeDocument/2006/relationships/chart" Target="../charts/chart88.xml"/><Relationship Id="rId5" Type="http://schemas.openxmlformats.org/officeDocument/2006/relationships/chart" Target="../charts/chart89.xml"/><Relationship Id="rId6" Type="http://schemas.openxmlformats.org/officeDocument/2006/relationships/chart" Target="../charts/chart90.xml"/><Relationship Id="rId7" Type="http://schemas.openxmlformats.org/officeDocument/2006/relationships/chart" Target="../charts/chart91.xml"/><Relationship Id="rId8" Type="http://schemas.openxmlformats.org/officeDocument/2006/relationships/chart" Target="../charts/chart92.xml"/><Relationship Id="rId9" Type="http://schemas.openxmlformats.org/officeDocument/2006/relationships/chart" Target="../charts/chart93.xml"/><Relationship Id="rId10" Type="http://schemas.openxmlformats.org/officeDocument/2006/relationships/chart" Target="../charts/chart94.xml"/><Relationship Id="rId11" Type="http://schemas.openxmlformats.org/officeDocument/2006/relationships/chart" Target="../charts/chart95.xml"/><Relationship Id="rId12" Type="http://schemas.openxmlformats.org/officeDocument/2006/relationships/chart" Target="../charts/chart96.xml"/><Relationship Id="rId13" Type="http://schemas.openxmlformats.org/officeDocument/2006/relationships/chart" Target="../charts/chart97.xml"/><Relationship Id="rId14" Type="http://schemas.openxmlformats.org/officeDocument/2006/relationships/chart" Target="../charts/chart98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99.xml"/><Relationship Id="rId2" Type="http://schemas.openxmlformats.org/officeDocument/2006/relationships/chart" Target="../charts/chart100.xml"/><Relationship Id="rId3" Type="http://schemas.openxmlformats.org/officeDocument/2006/relationships/chart" Target="../charts/chart101.xml"/><Relationship Id="rId4" Type="http://schemas.openxmlformats.org/officeDocument/2006/relationships/chart" Target="../charts/chart102.xml"/><Relationship Id="rId5" Type="http://schemas.openxmlformats.org/officeDocument/2006/relationships/chart" Target="../charts/chart103.xml"/><Relationship Id="rId6" Type="http://schemas.openxmlformats.org/officeDocument/2006/relationships/chart" Target="../charts/chart104.xml"/><Relationship Id="rId7" Type="http://schemas.openxmlformats.org/officeDocument/2006/relationships/chart" Target="../charts/chart105.xml"/><Relationship Id="rId8" Type="http://schemas.openxmlformats.org/officeDocument/2006/relationships/chart" Target="../charts/chart106.xml"/><Relationship Id="rId9" Type="http://schemas.openxmlformats.org/officeDocument/2006/relationships/chart" Target="../charts/chart107.xml"/><Relationship Id="rId10" Type="http://schemas.openxmlformats.org/officeDocument/2006/relationships/chart" Target="../charts/chart108.xml"/><Relationship Id="rId11" Type="http://schemas.openxmlformats.org/officeDocument/2006/relationships/chart" Target="../charts/chart109.xml"/><Relationship Id="rId12" Type="http://schemas.openxmlformats.org/officeDocument/2006/relationships/chart" Target="../charts/chart110.xml"/><Relationship Id="rId13" Type="http://schemas.openxmlformats.org/officeDocument/2006/relationships/chart" Target="../charts/chart111.xml"/><Relationship Id="rId14" Type="http://schemas.openxmlformats.org/officeDocument/2006/relationships/chart" Target="../charts/chart112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113.xml"/><Relationship Id="rId2" Type="http://schemas.openxmlformats.org/officeDocument/2006/relationships/chart" Target="../charts/chart11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97920</xdr:colOff>
      <xdr:row>27</xdr:row>
      <xdr:rowOff>51840</xdr:rowOff>
    </xdr:from>
    <xdr:to>
      <xdr:col>16</xdr:col>
      <xdr:colOff>867600</xdr:colOff>
      <xdr:row>43</xdr:row>
      <xdr:rowOff>118440</xdr:rowOff>
    </xdr:to>
    <xdr:graphicFrame>
      <xdr:nvGraphicFramePr>
        <xdr:cNvPr id="1" name="Chart 1"/>
        <xdr:cNvGraphicFramePr/>
      </xdr:nvGraphicFramePr>
      <xdr:xfrm>
        <a:off x="7411680" y="5322960"/>
        <a:ext cx="4798800" cy="2962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162000</xdr:colOff>
      <xdr:row>27</xdr:row>
      <xdr:rowOff>28440</xdr:rowOff>
    </xdr:from>
    <xdr:to>
      <xdr:col>30</xdr:col>
      <xdr:colOff>493560</xdr:colOff>
      <xdr:row>43</xdr:row>
      <xdr:rowOff>66240</xdr:rowOff>
    </xdr:to>
    <xdr:graphicFrame>
      <xdr:nvGraphicFramePr>
        <xdr:cNvPr id="2" name="Chart 2"/>
        <xdr:cNvGraphicFramePr/>
      </xdr:nvGraphicFramePr>
      <xdr:xfrm>
        <a:off x="15140880" y="5299560"/>
        <a:ext cx="5400360" cy="2933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10</xdr:col>
      <xdr:colOff>247680</xdr:colOff>
      <xdr:row>45</xdr:row>
      <xdr:rowOff>57240</xdr:rowOff>
    </xdr:from>
    <xdr:to>
      <xdr:col>16</xdr:col>
      <xdr:colOff>867600</xdr:colOff>
      <xdr:row>61</xdr:row>
      <xdr:rowOff>56880</xdr:rowOff>
    </xdr:to>
    <xdr:graphicFrame>
      <xdr:nvGraphicFramePr>
        <xdr:cNvPr id="3" name="Chart 3"/>
        <xdr:cNvGraphicFramePr/>
      </xdr:nvGraphicFramePr>
      <xdr:xfrm>
        <a:off x="7561440" y="8586000"/>
        <a:ext cx="4649040" cy="2895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20</xdr:col>
      <xdr:colOff>104760</xdr:colOff>
      <xdr:row>45</xdr:row>
      <xdr:rowOff>19080</xdr:rowOff>
    </xdr:from>
    <xdr:to>
      <xdr:col>30</xdr:col>
      <xdr:colOff>474480</xdr:colOff>
      <xdr:row>61</xdr:row>
      <xdr:rowOff>95040</xdr:rowOff>
    </xdr:to>
    <xdr:graphicFrame>
      <xdr:nvGraphicFramePr>
        <xdr:cNvPr id="4" name="Chart 4"/>
        <xdr:cNvGraphicFramePr/>
      </xdr:nvGraphicFramePr>
      <xdr:xfrm>
        <a:off x="15083640" y="8547840"/>
        <a:ext cx="5438520" cy="2971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10</xdr:col>
      <xdr:colOff>237960</xdr:colOff>
      <xdr:row>63</xdr:row>
      <xdr:rowOff>57240</xdr:rowOff>
    </xdr:from>
    <xdr:to>
      <xdr:col>16</xdr:col>
      <xdr:colOff>867240</xdr:colOff>
      <xdr:row>79</xdr:row>
      <xdr:rowOff>75960</xdr:rowOff>
    </xdr:to>
    <xdr:graphicFrame>
      <xdr:nvGraphicFramePr>
        <xdr:cNvPr id="5" name="Chart 5"/>
        <xdr:cNvGraphicFramePr/>
      </xdr:nvGraphicFramePr>
      <xdr:xfrm>
        <a:off x="7551720" y="11843640"/>
        <a:ext cx="4658400" cy="2914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20</xdr:col>
      <xdr:colOff>114480</xdr:colOff>
      <xdr:row>63</xdr:row>
      <xdr:rowOff>57240</xdr:rowOff>
    </xdr:from>
    <xdr:to>
      <xdr:col>30</xdr:col>
      <xdr:colOff>484200</xdr:colOff>
      <xdr:row>79</xdr:row>
      <xdr:rowOff>114120</xdr:rowOff>
    </xdr:to>
    <xdr:graphicFrame>
      <xdr:nvGraphicFramePr>
        <xdr:cNvPr id="6" name="Chart 6"/>
        <xdr:cNvGraphicFramePr/>
      </xdr:nvGraphicFramePr>
      <xdr:xfrm>
        <a:off x="15093360" y="11843640"/>
        <a:ext cx="5438520" cy="2952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10</xdr:col>
      <xdr:colOff>209520</xdr:colOff>
      <xdr:row>80</xdr:row>
      <xdr:rowOff>114480</xdr:rowOff>
    </xdr:from>
    <xdr:to>
      <xdr:col>16</xdr:col>
      <xdr:colOff>777960</xdr:colOff>
      <xdr:row>91</xdr:row>
      <xdr:rowOff>19080</xdr:rowOff>
    </xdr:to>
    <xdr:graphicFrame>
      <xdr:nvGraphicFramePr>
        <xdr:cNvPr id="7" name="Chart 7"/>
        <xdr:cNvGraphicFramePr/>
      </xdr:nvGraphicFramePr>
      <xdr:xfrm>
        <a:off x="7523280" y="14977440"/>
        <a:ext cx="4597560" cy="1895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20</xdr:col>
      <xdr:colOff>85680</xdr:colOff>
      <xdr:row>80</xdr:row>
      <xdr:rowOff>104760</xdr:rowOff>
    </xdr:from>
    <xdr:to>
      <xdr:col>30</xdr:col>
      <xdr:colOff>483840</xdr:colOff>
      <xdr:row>91</xdr:row>
      <xdr:rowOff>133200</xdr:rowOff>
    </xdr:to>
    <xdr:graphicFrame>
      <xdr:nvGraphicFramePr>
        <xdr:cNvPr id="8" name="Chart 8"/>
        <xdr:cNvGraphicFramePr/>
      </xdr:nvGraphicFramePr>
      <xdr:xfrm>
        <a:off x="15064560" y="14967720"/>
        <a:ext cx="5466960" cy="2018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10</xdr:col>
      <xdr:colOff>237960</xdr:colOff>
      <xdr:row>91</xdr:row>
      <xdr:rowOff>114480</xdr:rowOff>
    </xdr:from>
    <xdr:to>
      <xdr:col>17</xdr:col>
      <xdr:colOff>6120</xdr:colOff>
      <xdr:row>102</xdr:row>
      <xdr:rowOff>152280</xdr:rowOff>
    </xdr:to>
    <xdr:graphicFrame>
      <xdr:nvGraphicFramePr>
        <xdr:cNvPr id="9" name="Chart 9"/>
        <xdr:cNvGraphicFramePr/>
      </xdr:nvGraphicFramePr>
      <xdr:xfrm>
        <a:off x="7551720" y="16967880"/>
        <a:ext cx="4692240" cy="2028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20</xdr:col>
      <xdr:colOff>95400</xdr:colOff>
      <xdr:row>92</xdr:row>
      <xdr:rowOff>9360</xdr:rowOff>
    </xdr:from>
    <xdr:to>
      <xdr:col>30</xdr:col>
      <xdr:colOff>493560</xdr:colOff>
      <xdr:row>102</xdr:row>
      <xdr:rowOff>151920</xdr:rowOff>
    </xdr:to>
    <xdr:graphicFrame>
      <xdr:nvGraphicFramePr>
        <xdr:cNvPr id="10" name="Chart 10"/>
        <xdr:cNvGraphicFramePr/>
      </xdr:nvGraphicFramePr>
      <xdr:xfrm>
        <a:off x="15074280" y="17043840"/>
        <a:ext cx="5466960" cy="1952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10</xdr:col>
      <xdr:colOff>257040</xdr:colOff>
      <xdr:row>103</xdr:row>
      <xdr:rowOff>95400</xdr:rowOff>
    </xdr:from>
    <xdr:to>
      <xdr:col>17</xdr:col>
      <xdr:colOff>39600</xdr:colOff>
      <xdr:row>114</xdr:row>
      <xdr:rowOff>95040</xdr:rowOff>
    </xdr:to>
    <xdr:graphicFrame>
      <xdr:nvGraphicFramePr>
        <xdr:cNvPr id="11" name="Chart 11"/>
        <xdr:cNvGraphicFramePr/>
      </xdr:nvGraphicFramePr>
      <xdr:xfrm>
        <a:off x="7570800" y="19120680"/>
        <a:ext cx="4706640" cy="1990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20</xdr:col>
      <xdr:colOff>152280</xdr:colOff>
      <xdr:row>103</xdr:row>
      <xdr:rowOff>66600</xdr:rowOff>
    </xdr:from>
    <xdr:to>
      <xdr:col>30</xdr:col>
      <xdr:colOff>493200</xdr:colOff>
      <xdr:row>114</xdr:row>
      <xdr:rowOff>66240</xdr:rowOff>
    </xdr:to>
    <xdr:graphicFrame>
      <xdr:nvGraphicFramePr>
        <xdr:cNvPr id="12" name="Chart 12"/>
        <xdr:cNvGraphicFramePr/>
      </xdr:nvGraphicFramePr>
      <xdr:xfrm>
        <a:off x="15131160" y="19091880"/>
        <a:ext cx="5409720" cy="1990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44</xdr:col>
      <xdr:colOff>123840</xdr:colOff>
      <xdr:row>34</xdr:row>
      <xdr:rowOff>38160</xdr:rowOff>
    </xdr:from>
    <xdr:to>
      <xdr:col>52</xdr:col>
      <xdr:colOff>304560</xdr:colOff>
      <xdr:row>53</xdr:row>
      <xdr:rowOff>171360</xdr:rowOff>
    </xdr:to>
    <xdr:graphicFrame>
      <xdr:nvGraphicFramePr>
        <xdr:cNvPr id="13" name="Chart 13"/>
        <xdr:cNvGraphicFramePr/>
      </xdr:nvGraphicFramePr>
      <xdr:xfrm>
        <a:off x="30431880" y="6576120"/>
        <a:ext cx="6333840" cy="3571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44</xdr:col>
      <xdr:colOff>85680</xdr:colOff>
      <xdr:row>63</xdr:row>
      <xdr:rowOff>133200</xdr:rowOff>
    </xdr:from>
    <xdr:to>
      <xdr:col>51</xdr:col>
      <xdr:colOff>197280</xdr:colOff>
      <xdr:row>81</xdr:row>
      <xdr:rowOff>104400</xdr:rowOff>
    </xdr:to>
    <xdr:graphicFrame>
      <xdr:nvGraphicFramePr>
        <xdr:cNvPr id="14" name="Chart 14"/>
        <xdr:cNvGraphicFramePr/>
      </xdr:nvGraphicFramePr>
      <xdr:xfrm>
        <a:off x="30393720" y="11919600"/>
        <a:ext cx="5609880" cy="3228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97920</xdr:colOff>
      <xdr:row>27</xdr:row>
      <xdr:rowOff>51840</xdr:rowOff>
    </xdr:from>
    <xdr:to>
      <xdr:col>15</xdr:col>
      <xdr:colOff>288720</xdr:colOff>
      <xdr:row>43</xdr:row>
      <xdr:rowOff>118440</xdr:rowOff>
    </xdr:to>
    <xdr:graphicFrame>
      <xdr:nvGraphicFramePr>
        <xdr:cNvPr id="15" name="Chart 1"/>
        <xdr:cNvGraphicFramePr/>
      </xdr:nvGraphicFramePr>
      <xdr:xfrm>
        <a:off x="4946760" y="4938120"/>
        <a:ext cx="5114520" cy="2962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18</xdr:col>
      <xdr:colOff>162000</xdr:colOff>
      <xdr:row>27</xdr:row>
      <xdr:rowOff>28440</xdr:rowOff>
    </xdr:from>
    <xdr:to>
      <xdr:col>29</xdr:col>
      <xdr:colOff>304920</xdr:colOff>
      <xdr:row>43</xdr:row>
      <xdr:rowOff>66240</xdr:rowOff>
    </xdr:to>
    <xdr:graphicFrame>
      <xdr:nvGraphicFramePr>
        <xdr:cNvPr id="16" name="Chart 2"/>
        <xdr:cNvGraphicFramePr/>
      </xdr:nvGraphicFramePr>
      <xdr:xfrm>
        <a:off x="12618000" y="4914720"/>
        <a:ext cx="5400360" cy="2933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247680</xdr:colOff>
      <xdr:row>45</xdr:row>
      <xdr:rowOff>57240</xdr:rowOff>
    </xdr:from>
    <xdr:to>
      <xdr:col>15</xdr:col>
      <xdr:colOff>295560</xdr:colOff>
      <xdr:row>61</xdr:row>
      <xdr:rowOff>56880</xdr:rowOff>
    </xdr:to>
    <xdr:graphicFrame>
      <xdr:nvGraphicFramePr>
        <xdr:cNvPr id="17" name="Chart 3"/>
        <xdr:cNvGraphicFramePr/>
      </xdr:nvGraphicFramePr>
      <xdr:xfrm>
        <a:off x="5096520" y="8201160"/>
        <a:ext cx="4971600" cy="2895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18</xdr:col>
      <xdr:colOff>104760</xdr:colOff>
      <xdr:row>45</xdr:row>
      <xdr:rowOff>19080</xdr:rowOff>
    </xdr:from>
    <xdr:to>
      <xdr:col>29</xdr:col>
      <xdr:colOff>285840</xdr:colOff>
      <xdr:row>61</xdr:row>
      <xdr:rowOff>95040</xdr:rowOff>
    </xdr:to>
    <xdr:graphicFrame>
      <xdr:nvGraphicFramePr>
        <xdr:cNvPr id="18" name="Chart 4"/>
        <xdr:cNvGraphicFramePr/>
      </xdr:nvGraphicFramePr>
      <xdr:xfrm>
        <a:off x="12560760" y="8163000"/>
        <a:ext cx="5438520" cy="2971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237960</xdr:colOff>
      <xdr:row>63</xdr:row>
      <xdr:rowOff>57240</xdr:rowOff>
    </xdr:from>
    <xdr:to>
      <xdr:col>15</xdr:col>
      <xdr:colOff>314640</xdr:colOff>
      <xdr:row>79</xdr:row>
      <xdr:rowOff>75960</xdr:rowOff>
    </xdr:to>
    <xdr:graphicFrame>
      <xdr:nvGraphicFramePr>
        <xdr:cNvPr id="19" name="Chart 5"/>
        <xdr:cNvGraphicFramePr/>
      </xdr:nvGraphicFramePr>
      <xdr:xfrm>
        <a:off x="5086800" y="11458800"/>
        <a:ext cx="5000400" cy="2914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18</xdr:col>
      <xdr:colOff>114480</xdr:colOff>
      <xdr:row>63</xdr:row>
      <xdr:rowOff>57240</xdr:rowOff>
    </xdr:from>
    <xdr:to>
      <xdr:col>29</xdr:col>
      <xdr:colOff>295560</xdr:colOff>
      <xdr:row>79</xdr:row>
      <xdr:rowOff>114120</xdr:rowOff>
    </xdr:to>
    <xdr:graphicFrame>
      <xdr:nvGraphicFramePr>
        <xdr:cNvPr id="20" name="Chart 6"/>
        <xdr:cNvGraphicFramePr/>
      </xdr:nvGraphicFramePr>
      <xdr:xfrm>
        <a:off x="12570480" y="11458800"/>
        <a:ext cx="5438520" cy="2952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8</xdr:col>
      <xdr:colOff>209520</xdr:colOff>
      <xdr:row>80</xdr:row>
      <xdr:rowOff>114480</xdr:rowOff>
    </xdr:from>
    <xdr:to>
      <xdr:col>15</xdr:col>
      <xdr:colOff>257400</xdr:colOff>
      <xdr:row>91</xdr:row>
      <xdr:rowOff>19080</xdr:rowOff>
    </xdr:to>
    <xdr:graphicFrame>
      <xdr:nvGraphicFramePr>
        <xdr:cNvPr id="21" name="Chart 7"/>
        <xdr:cNvGraphicFramePr/>
      </xdr:nvGraphicFramePr>
      <xdr:xfrm>
        <a:off x="5058360" y="14592600"/>
        <a:ext cx="4971600" cy="1895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18</xdr:col>
      <xdr:colOff>85680</xdr:colOff>
      <xdr:row>80</xdr:row>
      <xdr:rowOff>104760</xdr:rowOff>
    </xdr:from>
    <xdr:to>
      <xdr:col>29</xdr:col>
      <xdr:colOff>295200</xdr:colOff>
      <xdr:row>91</xdr:row>
      <xdr:rowOff>133200</xdr:rowOff>
    </xdr:to>
    <xdr:graphicFrame>
      <xdr:nvGraphicFramePr>
        <xdr:cNvPr id="22" name="Chart 8"/>
        <xdr:cNvGraphicFramePr/>
      </xdr:nvGraphicFramePr>
      <xdr:xfrm>
        <a:off x="12541680" y="14582880"/>
        <a:ext cx="5466960" cy="2018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8</xdr:col>
      <xdr:colOff>237960</xdr:colOff>
      <xdr:row>91</xdr:row>
      <xdr:rowOff>114480</xdr:rowOff>
    </xdr:from>
    <xdr:to>
      <xdr:col>15</xdr:col>
      <xdr:colOff>285840</xdr:colOff>
      <xdr:row>102</xdr:row>
      <xdr:rowOff>152280</xdr:rowOff>
    </xdr:to>
    <xdr:graphicFrame>
      <xdr:nvGraphicFramePr>
        <xdr:cNvPr id="23" name="Chart 9"/>
        <xdr:cNvGraphicFramePr/>
      </xdr:nvGraphicFramePr>
      <xdr:xfrm>
        <a:off x="5086800" y="16583040"/>
        <a:ext cx="4971600" cy="2028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18</xdr:col>
      <xdr:colOff>95400</xdr:colOff>
      <xdr:row>92</xdr:row>
      <xdr:rowOff>9360</xdr:rowOff>
    </xdr:from>
    <xdr:to>
      <xdr:col>29</xdr:col>
      <xdr:colOff>304920</xdr:colOff>
      <xdr:row>102</xdr:row>
      <xdr:rowOff>151920</xdr:rowOff>
    </xdr:to>
    <xdr:graphicFrame>
      <xdr:nvGraphicFramePr>
        <xdr:cNvPr id="24" name="Chart 10"/>
        <xdr:cNvGraphicFramePr/>
      </xdr:nvGraphicFramePr>
      <xdr:xfrm>
        <a:off x="12551400" y="16659000"/>
        <a:ext cx="5466960" cy="1952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8</xdr:col>
      <xdr:colOff>257040</xdr:colOff>
      <xdr:row>103</xdr:row>
      <xdr:rowOff>95400</xdr:rowOff>
    </xdr:from>
    <xdr:to>
      <xdr:col>15</xdr:col>
      <xdr:colOff>304920</xdr:colOff>
      <xdr:row>114</xdr:row>
      <xdr:rowOff>95040</xdr:rowOff>
    </xdr:to>
    <xdr:graphicFrame>
      <xdr:nvGraphicFramePr>
        <xdr:cNvPr id="25" name="Chart 11"/>
        <xdr:cNvGraphicFramePr/>
      </xdr:nvGraphicFramePr>
      <xdr:xfrm>
        <a:off x="5105880" y="18735840"/>
        <a:ext cx="4971600" cy="1990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18</xdr:col>
      <xdr:colOff>152280</xdr:colOff>
      <xdr:row>103</xdr:row>
      <xdr:rowOff>66600</xdr:rowOff>
    </xdr:from>
    <xdr:to>
      <xdr:col>29</xdr:col>
      <xdr:colOff>304560</xdr:colOff>
      <xdr:row>114</xdr:row>
      <xdr:rowOff>66240</xdr:rowOff>
    </xdr:to>
    <xdr:graphicFrame>
      <xdr:nvGraphicFramePr>
        <xdr:cNvPr id="26" name="Chart 12"/>
        <xdr:cNvGraphicFramePr/>
      </xdr:nvGraphicFramePr>
      <xdr:xfrm>
        <a:off x="12608280" y="18707040"/>
        <a:ext cx="5409720" cy="1990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42</xdr:col>
      <xdr:colOff>123840</xdr:colOff>
      <xdr:row>34</xdr:row>
      <xdr:rowOff>38160</xdr:rowOff>
    </xdr:from>
    <xdr:to>
      <xdr:col>50</xdr:col>
      <xdr:colOff>304560</xdr:colOff>
      <xdr:row>53</xdr:row>
      <xdr:rowOff>171000</xdr:rowOff>
    </xdr:to>
    <xdr:graphicFrame>
      <xdr:nvGraphicFramePr>
        <xdr:cNvPr id="27" name="Chart 13"/>
        <xdr:cNvGraphicFramePr/>
      </xdr:nvGraphicFramePr>
      <xdr:xfrm>
        <a:off x="25639560" y="6191280"/>
        <a:ext cx="6333840" cy="3571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42</xdr:col>
      <xdr:colOff>85680</xdr:colOff>
      <xdr:row>63</xdr:row>
      <xdr:rowOff>133200</xdr:rowOff>
    </xdr:from>
    <xdr:to>
      <xdr:col>49</xdr:col>
      <xdr:colOff>197280</xdr:colOff>
      <xdr:row>81</xdr:row>
      <xdr:rowOff>104400</xdr:rowOff>
    </xdr:to>
    <xdr:graphicFrame>
      <xdr:nvGraphicFramePr>
        <xdr:cNvPr id="28" name="Chart 14"/>
        <xdr:cNvGraphicFramePr/>
      </xdr:nvGraphicFramePr>
      <xdr:xfrm>
        <a:off x="25601400" y="11534760"/>
        <a:ext cx="5609880" cy="3228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152280</xdr:colOff>
      <xdr:row>24</xdr:row>
      <xdr:rowOff>38160</xdr:rowOff>
    </xdr:from>
    <xdr:to>
      <xdr:col>15</xdr:col>
      <xdr:colOff>198000</xdr:colOff>
      <xdr:row>38</xdr:row>
      <xdr:rowOff>114120</xdr:rowOff>
    </xdr:to>
    <xdr:graphicFrame>
      <xdr:nvGraphicFramePr>
        <xdr:cNvPr id="29" name="Chart 1"/>
        <xdr:cNvGraphicFramePr/>
      </xdr:nvGraphicFramePr>
      <xdr:xfrm>
        <a:off x="5001120" y="4381560"/>
        <a:ext cx="4933440" cy="260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18</xdr:col>
      <xdr:colOff>162000</xdr:colOff>
      <xdr:row>24</xdr:row>
      <xdr:rowOff>28440</xdr:rowOff>
    </xdr:from>
    <xdr:to>
      <xdr:col>28</xdr:col>
      <xdr:colOff>459360</xdr:colOff>
      <xdr:row>38</xdr:row>
      <xdr:rowOff>104400</xdr:rowOff>
    </xdr:to>
    <xdr:graphicFrame>
      <xdr:nvGraphicFramePr>
        <xdr:cNvPr id="30" name="Chart 2"/>
        <xdr:cNvGraphicFramePr/>
      </xdr:nvGraphicFramePr>
      <xdr:xfrm>
        <a:off x="12538080" y="4371840"/>
        <a:ext cx="5133600" cy="260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247680</xdr:colOff>
      <xdr:row>40</xdr:row>
      <xdr:rowOff>57240</xdr:rowOff>
    </xdr:from>
    <xdr:to>
      <xdr:col>15</xdr:col>
      <xdr:colOff>293400</xdr:colOff>
      <xdr:row>54</xdr:row>
      <xdr:rowOff>114120</xdr:rowOff>
    </xdr:to>
    <xdr:graphicFrame>
      <xdr:nvGraphicFramePr>
        <xdr:cNvPr id="31" name="Chart 3"/>
        <xdr:cNvGraphicFramePr/>
      </xdr:nvGraphicFramePr>
      <xdr:xfrm>
        <a:off x="5096520" y="7296120"/>
        <a:ext cx="4933440" cy="2590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18</xdr:col>
      <xdr:colOff>104760</xdr:colOff>
      <xdr:row>40</xdr:row>
      <xdr:rowOff>19080</xdr:rowOff>
    </xdr:from>
    <xdr:to>
      <xdr:col>28</xdr:col>
      <xdr:colOff>402120</xdr:colOff>
      <xdr:row>54</xdr:row>
      <xdr:rowOff>75960</xdr:rowOff>
    </xdr:to>
    <xdr:graphicFrame>
      <xdr:nvGraphicFramePr>
        <xdr:cNvPr id="32" name="Chart 4"/>
        <xdr:cNvGraphicFramePr/>
      </xdr:nvGraphicFramePr>
      <xdr:xfrm>
        <a:off x="12480840" y="7257960"/>
        <a:ext cx="5133600" cy="2590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237960</xdr:colOff>
      <xdr:row>56</xdr:row>
      <xdr:rowOff>57240</xdr:rowOff>
    </xdr:from>
    <xdr:to>
      <xdr:col>15</xdr:col>
      <xdr:colOff>283680</xdr:colOff>
      <xdr:row>70</xdr:row>
      <xdr:rowOff>133200</xdr:rowOff>
    </xdr:to>
    <xdr:graphicFrame>
      <xdr:nvGraphicFramePr>
        <xdr:cNvPr id="33" name="Chart 5"/>
        <xdr:cNvGraphicFramePr/>
      </xdr:nvGraphicFramePr>
      <xdr:xfrm>
        <a:off x="5086800" y="10191960"/>
        <a:ext cx="4933440" cy="260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18</xdr:col>
      <xdr:colOff>114480</xdr:colOff>
      <xdr:row>56</xdr:row>
      <xdr:rowOff>57240</xdr:rowOff>
    </xdr:from>
    <xdr:to>
      <xdr:col>28</xdr:col>
      <xdr:colOff>411840</xdr:colOff>
      <xdr:row>70</xdr:row>
      <xdr:rowOff>133200</xdr:rowOff>
    </xdr:to>
    <xdr:graphicFrame>
      <xdr:nvGraphicFramePr>
        <xdr:cNvPr id="34" name="Chart 6"/>
        <xdr:cNvGraphicFramePr/>
      </xdr:nvGraphicFramePr>
      <xdr:xfrm>
        <a:off x="12490560" y="10191960"/>
        <a:ext cx="5133600" cy="260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8</xdr:col>
      <xdr:colOff>209520</xdr:colOff>
      <xdr:row>71</xdr:row>
      <xdr:rowOff>114480</xdr:rowOff>
    </xdr:from>
    <xdr:to>
      <xdr:col>15</xdr:col>
      <xdr:colOff>255240</xdr:colOff>
      <xdr:row>82</xdr:row>
      <xdr:rowOff>18720</xdr:rowOff>
    </xdr:to>
    <xdr:graphicFrame>
      <xdr:nvGraphicFramePr>
        <xdr:cNvPr id="35" name="Chart 7"/>
        <xdr:cNvGraphicFramePr/>
      </xdr:nvGraphicFramePr>
      <xdr:xfrm>
        <a:off x="5058360" y="12963600"/>
        <a:ext cx="4933440" cy="1895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18</xdr:col>
      <xdr:colOff>85680</xdr:colOff>
      <xdr:row>71</xdr:row>
      <xdr:rowOff>104760</xdr:rowOff>
    </xdr:from>
    <xdr:to>
      <xdr:col>28</xdr:col>
      <xdr:colOff>383040</xdr:colOff>
      <xdr:row>82</xdr:row>
      <xdr:rowOff>132840</xdr:rowOff>
    </xdr:to>
    <xdr:graphicFrame>
      <xdr:nvGraphicFramePr>
        <xdr:cNvPr id="36" name="Chart 8"/>
        <xdr:cNvGraphicFramePr/>
      </xdr:nvGraphicFramePr>
      <xdr:xfrm>
        <a:off x="12461760" y="12953880"/>
        <a:ext cx="5133600" cy="2018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8</xdr:col>
      <xdr:colOff>237960</xdr:colOff>
      <xdr:row>82</xdr:row>
      <xdr:rowOff>114480</xdr:rowOff>
    </xdr:from>
    <xdr:to>
      <xdr:col>15</xdr:col>
      <xdr:colOff>283680</xdr:colOff>
      <xdr:row>93</xdr:row>
      <xdr:rowOff>152280</xdr:rowOff>
    </xdr:to>
    <xdr:graphicFrame>
      <xdr:nvGraphicFramePr>
        <xdr:cNvPr id="37" name="Chart 9"/>
        <xdr:cNvGraphicFramePr/>
      </xdr:nvGraphicFramePr>
      <xdr:xfrm>
        <a:off x="5086800" y="14954400"/>
        <a:ext cx="4933440" cy="2028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18</xdr:col>
      <xdr:colOff>95400</xdr:colOff>
      <xdr:row>83</xdr:row>
      <xdr:rowOff>9360</xdr:rowOff>
    </xdr:from>
    <xdr:to>
      <xdr:col>28</xdr:col>
      <xdr:colOff>392760</xdr:colOff>
      <xdr:row>93</xdr:row>
      <xdr:rowOff>151920</xdr:rowOff>
    </xdr:to>
    <xdr:graphicFrame>
      <xdr:nvGraphicFramePr>
        <xdr:cNvPr id="38" name="Chart 10"/>
        <xdr:cNvGraphicFramePr/>
      </xdr:nvGraphicFramePr>
      <xdr:xfrm>
        <a:off x="12471480" y="15030360"/>
        <a:ext cx="5133600" cy="1952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8</xdr:col>
      <xdr:colOff>257040</xdr:colOff>
      <xdr:row>94</xdr:row>
      <xdr:rowOff>95400</xdr:rowOff>
    </xdr:from>
    <xdr:to>
      <xdr:col>15</xdr:col>
      <xdr:colOff>302760</xdr:colOff>
      <xdr:row>105</xdr:row>
      <xdr:rowOff>95400</xdr:rowOff>
    </xdr:to>
    <xdr:graphicFrame>
      <xdr:nvGraphicFramePr>
        <xdr:cNvPr id="39" name="Chart 11"/>
        <xdr:cNvGraphicFramePr/>
      </xdr:nvGraphicFramePr>
      <xdr:xfrm>
        <a:off x="5105880" y="17107200"/>
        <a:ext cx="4933440" cy="1990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18</xdr:col>
      <xdr:colOff>152280</xdr:colOff>
      <xdr:row>94</xdr:row>
      <xdr:rowOff>66600</xdr:rowOff>
    </xdr:from>
    <xdr:to>
      <xdr:col>28</xdr:col>
      <xdr:colOff>449640</xdr:colOff>
      <xdr:row>105</xdr:row>
      <xdr:rowOff>66600</xdr:rowOff>
    </xdr:to>
    <xdr:graphicFrame>
      <xdr:nvGraphicFramePr>
        <xdr:cNvPr id="40" name="Chart 12"/>
        <xdr:cNvGraphicFramePr/>
      </xdr:nvGraphicFramePr>
      <xdr:xfrm>
        <a:off x="12528360" y="17078400"/>
        <a:ext cx="5133600" cy="1990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37</xdr:col>
      <xdr:colOff>123840</xdr:colOff>
      <xdr:row>29</xdr:row>
      <xdr:rowOff>38160</xdr:rowOff>
    </xdr:from>
    <xdr:to>
      <xdr:col>44</xdr:col>
      <xdr:colOff>309600</xdr:colOff>
      <xdr:row>47</xdr:row>
      <xdr:rowOff>38160</xdr:rowOff>
    </xdr:to>
    <xdr:graphicFrame>
      <xdr:nvGraphicFramePr>
        <xdr:cNvPr id="41" name="Chart 13"/>
        <xdr:cNvGraphicFramePr/>
      </xdr:nvGraphicFramePr>
      <xdr:xfrm>
        <a:off x="23546520" y="5286600"/>
        <a:ext cx="5619240" cy="3257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37</xdr:col>
      <xdr:colOff>85680</xdr:colOff>
      <xdr:row>58</xdr:row>
      <xdr:rowOff>133200</xdr:rowOff>
    </xdr:from>
    <xdr:to>
      <xdr:col>44</xdr:col>
      <xdr:colOff>195480</xdr:colOff>
      <xdr:row>76</xdr:row>
      <xdr:rowOff>104040</xdr:rowOff>
    </xdr:to>
    <xdr:graphicFrame>
      <xdr:nvGraphicFramePr>
        <xdr:cNvPr id="42" name="Chart 14"/>
        <xdr:cNvGraphicFramePr/>
      </xdr:nvGraphicFramePr>
      <xdr:xfrm>
        <a:off x="23508360" y="10629720"/>
        <a:ext cx="5543280" cy="3228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152280</xdr:colOff>
      <xdr:row>24</xdr:row>
      <xdr:rowOff>38160</xdr:rowOff>
    </xdr:from>
    <xdr:to>
      <xdr:col>15</xdr:col>
      <xdr:colOff>234360</xdr:colOff>
      <xdr:row>38</xdr:row>
      <xdr:rowOff>114120</xdr:rowOff>
    </xdr:to>
    <xdr:graphicFrame>
      <xdr:nvGraphicFramePr>
        <xdr:cNvPr id="43" name="Chart 1"/>
        <xdr:cNvGraphicFramePr/>
      </xdr:nvGraphicFramePr>
      <xdr:xfrm>
        <a:off x="4907160" y="4381560"/>
        <a:ext cx="4714560" cy="260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18</xdr:col>
      <xdr:colOff>162000</xdr:colOff>
      <xdr:row>24</xdr:row>
      <xdr:rowOff>28440</xdr:rowOff>
    </xdr:from>
    <xdr:to>
      <xdr:col>28</xdr:col>
      <xdr:colOff>222840</xdr:colOff>
      <xdr:row>38</xdr:row>
      <xdr:rowOff>104400</xdr:rowOff>
    </xdr:to>
    <xdr:graphicFrame>
      <xdr:nvGraphicFramePr>
        <xdr:cNvPr id="44" name="Chart 2"/>
        <xdr:cNvGraphicFramePr/>
      </xdr:nvGraphicFramePr>
      <xdr:xfrm>
        <a:off x="12152880" y="4371840"/>
        <a:ext cx="4838400" cy="260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247680</xdr:colOff>
      <xdr:row>40</xdr:row>
      <xdr:rowOff>57240</xdr:rowOff>
    </xdr:from>
    <xdr:to>
      <xdr:col>15</xdr:col>
      <xdr:colOff>329760</xdr:colOff>
      <xdr:row>54</xdr:row>
      <xdr:rowOff>114120</xdr:rowOff>
    </xdr:to>
    <xdr:graphicFrame>
      <xdr:nvGraphicFramePr>
        <xdr:cNvPr id="45" name="Chart 3"/>
        <xdr:cNvGraphicFramePr/>
      </xdr:nvGraphicFramePr>
      <xdr:xfrm>
        <a:off x="5002560" y="7296120"/>
        <a:ext cx="4714560" cy="2590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18</xdr:col>
      <xdr:colOff>104760</xdr:colOff>
      <xdr:row>40</xdr:row>
      <xdr:rowOff>19080</xdr:rowOff>
    </xdr:from>
    <xdr:to>
      <xdr:col>28</xdr:col>
      <xdr:colOff>165600</xdr:colOff>
      <xdr:row>54</xdr:row>
      <xdr:rowOff>75960</xdr:rowOff>
    </xdr:to>
    <xdr:graphicFrame>
      <xdr:nvGraphicFramePr>
        <xdr:cNvPr id="46" name="Chart 4"/>
        <xdr:cNvGraphicFramePr/>
      </xdr:nvGraphicFramePr>
      <xdr:xfrm>
        <a:off x="12095640" y="7257960"/>
        <a:ext cx="4838400" cy="2590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237960</xdr:colOff>
      <xdr:row>56</xdr:row>
      <xdr:rowOff>57240</xdr:rowOff>
    </xdr:from>
    <xdr:to>
      <xdr:col>15</xdr:col>
      <xdr:colOff>320040</xdr:colOff>
      <xdr:row>70</xdr:row>
      <xdr:rowOff>133200</xdr:rowOff>
    </xdr:to>
    <xdr:graphicFrame>
      <xdr:nvGraphicFramePr>
        <xdr:cNvPr id="47" name="Chart 5"/>
        <xdr:cNvGraphicFramePr/>
      </xdr:nvGraphicFramePr>
      <xdr:xfrm>
        <a:off x="4992840" y="10191960"/>
        <a:ext cx="4714560" cy="260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18</xdr:col>
      <xdr:colOff>114480</xdr:colOff>
      <xdr:row>56</xdr:row>
      <xdr:rowOff>57240</xdr:rowOff>
    </xdr:from>
    <xdr:to>
      <xdr:col>28</xdr:col>
      <xdr:colOff>175320</xdr:colOff>
      <xdr:row>70</xdr:row>
      <xdr:rowOff>133200</xdr:rowOff>
    </xdr:to>
    <xdr:graphicFrame>
      <xdr:nvGraphicFramePr>
        <xdr:cNvPr id="48" name="Chart 6"/>
        <xdr:cNvGraphicFramePr/>
      </xdr:nvGraphicFramePr>
      <xdr:xfrm>
        <a:off x="12105360" y="10191960"/>
        <a:ext cx="4838400" cy="260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8</xdr:col>
      <xdr:colOff>209520</xdr:colOff>
      <xdr:row>71</xdr:row>
      <xdr:rowOff>114480</xdr:rowOff>
    </xdr:from>
    <xdr:to>
      <xdr:col>15</xdr:col>
      <xdr:colOff>291600</xdr:colOff>
      <xdr:row>82</xdr:row>
      <xdr:rowOff>18720</xdr:rowOff>
    </xdr:to>
    <xdr:graphicFrame>
      <xdr:nvGraphicFramePr>
        <xdr:cNvPr id="49" name="Chart 7"/>
        <xdr:cNvGraphicFramePr/>
      </xdr:nvGraphicFramePr>
      <xdr:xfrm>
        <a:off x="4964400" y="12963600"/>
        <a:ext cx="4714560" cy="1895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18</xdr:col>
      <xdr:colOff>85680</xdr:colOff>
      <xdr:row>71</xdr:row>
      <xdr:rowOff>104760</xdr:rowOff>
    </xdr:from>
    <xdr:to>
      <xdr:col>28</xdr:col>
      <xdr:colOff>146520</xdr:colOff>
      <xdr:row>82</xdr:row>
      <xdr:rowOff>132840</xdr:rowOff>
    </xdr:to>
    <xdr:graphicFrame>
      <xdr:nvGraphicFramePr>
        <xdr:cNvPr id="50" name="Chart 8"/>
        <xdr:cNvGraphicFramePr/>
      </xdr:nvGraphicFramePr>
      <xdr:xfrm>
        <a:off x="12076560" y="12953880"/>
        <a:ext cx="4838400" cy="2018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8</xdr:col>
      <xdr:colOff>237960</xdr:colOff>
      <xdr:row>82</xdr:row>
      <xdr:rowOff>114480</xdr:rowOff>
    </xdr:from>
    <xdr:to>
      <xdr:col>15</xdr:col>
      <xdr:colOff>320040</xdr:colOff>
      <xdr:row>93</xdr:row>
      <xdr:rowOff>152280</xdr:rowOff>
    </xdr:to>
    <xdr:graphicFrame>
      <xdr:nvGraphicFramePr>
        <xdr:cNvPr id="51" name="Chart 9"/>
        <xdr:cNvGraphicFramePr/>
      </xdr:nvGraphicFramePr>
      <xdr:xfrm>
        <a:off x="4992840" y="14954400"/>
        <a:ext cx="4714560" cy="2028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18</xdr:col>
      <xdr:colOff>95400</xdr:colOff>
      <xdr:row>83</xdr:row>
      <xdr:rowOff>9360</xdr:rowOff>
    </xdr:from>
    <xdr:to>
      <xdr:col>28</xdr:col>
      <xdr:colOff>156240</xdr:colOff>
      <xdr:row>93</xdr:row>
      <xdr:rowOff>151920</xdr:rowOff>
    </xdr:to>
    <xdr:graphicFrame>
      <xdr:nvGraphicFramePr>
        <xdr:cNvPr id="52" name="Chart 10"/>
        <xdr:cNvGraphicFramePr/>
      </xdr:nvGraphicFramePr>
      <xdr:xfrm>
        <a:off x="12086280" y="15030360"/>
        <a:ext cx="4838400" cy="1952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8</xdr:col>
      <xdr:colOff>257040</xdr:colOff>
      <xdr:row>94</xdr:row>
      <xdr:rowOff>95400</xdr:rowOff>
    </xdr:from>
    <xdr:to>
      <xdr:col>15</xdr:col>
      <xdr:colOff>339120</xdr:colOff>
      <xdr:row>105</xdr:row>
      <xdr:rowOff>95400</xdr:rowOff>
    </xdr:to>
    <xdr:graphicFrame>
      <xdr:nvGraphicFramePr>
        <xdr:cNvPr id="53" name="Chart 11"/>
        <xdr:cNvGraphicFramePr/>
      </xdr:nvGraphicFramePr>
      <xdr:xfrm>
        <a:off x="5011920" y="17107200"/>
        <a:ext cx="4714560" cy="1990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18</xdr:col>
      <xdr:colOff>152280</xdr:colOff>
      <xdr:row>94</xdr:row>
      <xdr:rowOff>66600</xdr:rowOff>
    </xdr:from>
    <xdr:to>
      <xdr:col>28</xdr:col>
      <xdr:colOff>213120</xdr:colOff>
      <xdr:row>105</xdr:row>
      <xdr:rowOff>66600</xdr:rowOff>
    </xdr:to>
    <xdr:graphicFrame>
      <xdr:nvGraphicFramePr>
        <xdr:cNvPr id="54" name="Chart 12"/>
        <xdr:cNvGraphicFramePr/>
      </xdr:nvGraphicFramePr>
      <xdr:xfrm>
        <a:off x="12143160" y="17078400"/>
        <a:ext cx="4838400" cy="1990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37</xdr:col>
      <xdr:colOff>123840</xdr:colOff>
      <xdr:row>29</xdr:row>
      <xdr:rowOff>38160</xdr:rowOff>
    </xdr:from>
    <xdr:to>
      <xdr:col>44</xdr:col>
      <xdr:colOff>334080</xdr:colOff>
      <xdr:row>47</xdr:row>
      <xdr:rowOff>38160</xdr:rowOff>
    </xdr:to>
    <xdr:graphicFrame>
      <xdr:nvGraphicFramePr>
        <xdr:cNvPr id="55" name="Chart 13"/>
        <xdr:cNvGraphicFramePr/>
      </xdr:nvGraphicFramePr>
      <xdr:xfrm>
        <a:off x="24986160" y="5286600"/>
        <a:ext cx="5562360" cy="3257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37</xdr:col>
      <xdr:colOff>85680</xdr:colOff>
      <xdr:row>58</xdr:row>
      <xdr:rowOff>133200</xdr:rowOff>
    </xdr:from>
    <xdr:to>
      <xdr:col>44</xdr:col>
      <xdr:colOff>219600</xdr:colOff>
      <xdr:row>76</xdr:row>
      <xdr:rowOff>104040</xdr:rowOff>
    </xdr:to>
    <xdr:graphicFrame>
      <xdr:nvGraphicFramePr>
        <xdr:cNvPr id="56" name="Chart 14"/>
        <xdr:cNvGraphicFramePr/>
      </xdr:nvGraphicFramePr>
      <xdr:xfrm>
        <a:off x="24948000" y="10629720"/>
        <a:ext cx="5486040" cy="3228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37</xdr:col>
      <xdr:colOff>76320</xdr:colOff>
      <xdr:row>30</xdr:row>
      <xdr:rowOff>95400</xdr:rowOff>
    </xdr:from>
    <xdr:to>
      <xdr:col>44</xdr:col>
      <xdr:colOff>506160</xdr:colOff>
      <xdr:row>48</xdr:row>
      <xdr:rowOff>75960</xdr:rowOff>
    </xdr:to>
    <xdr:graphicFrame>
      <xdr:nvGraphicFramePr>
        <xdr:cNvPr id="57" name="Chart 1"/>
        <xdr:cNvGraphicFramePr/>
      </xdr:nvGraphicFramePr>
      <xdr:xfrm>
        <a:off x="21578760" y="5524560"/>
        <a:ext cx="5752800" cy="323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37</xdr:col>
      <xdr:colOff>142920</xdr:colOff>
      <xdr:row>59</xdr:row>
      <xdr:rowOff>47520</xdr:rowOff>
    </xdr:from>
    <xdr:to>
      <xdr:col>44</xdr:col>
      <xdr:colOff>677520</xdr:colOff>
      <xdr:row>74</xdr:row>
      <xdr:rowOff>114120</xdr:rowOff>
    </xdr:to>
    <xdr:graphicFrame>
      <xdr:nvGraphicFramePr>
        <xdr:cNvPr id="58" name="Chart 2"/>
        <xdr:cNvGraphicFramePr/>
      </xdr:nvGraphicFramePr>
      <xdr:xfrm>
        <a:off x="21645360" y="10725120"/>
        <a:ext cx="5857560" cy="2781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85680</xdr:colOff>
      <xdr:row>24</xdr:row>
      <xdr:rowOff>19080</xdr:rowOff>
    </xdr:from>
    <xdr:to>
      <xdr:col>15</xdr:col>
      <xdr:colOff>415440</xdr:colOff>
      <xdr:row>39</xdr:row>
      <xdr:rowOff>37800</xdr:rowOff>
    </xdr:to>
    <xdr:graphicFrame>
      <xdr:nvGraphicFramePr>
        <xdr:cNvPr id="59" name="Chart 3"/>
        <xdr:cNvGraphicFramePr/>
      </xdr:nvGraphicFramePr>
      <xdr:xfrm>
        <a:off x="3874680" y="4362480"/>
        <a:ext cx="4990680" cy="2733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76320</xdr:colOff>
      <xdr:row>40</xdr:row>
      <xdr:rowOff>28440</xdr:rowOff>
    </xdr:from>
    <xdr:to>
      <xdr:col>15</xdr:col>
      <xdr:colOff>406080</xdr:colOff>
      <xdr:row>55</xdr:row>
      <xdr:rowOff>47160</xdr:rowOff>
    </xdr:to>
    <xdr:graphicFrame>
      <xdr:nvGraphicFramePr>
        <xdr:cNvPr id="60" name="Chart 4"/>
        <xdr:cNvGraphicFramePr/>
      </xdr:nvGraphicFramePr>
      <xdr:xfrm>
        <a:off x="3865320" y="7267320"/>
        <a:ext cx="4990680" cy="2733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95400</xdr:colOff>
      <xdr:row>55</xdr:row>
      <xdr:rowOff>171360</xdr:rowOff>
    </xdr:from>
    <xdr:to>
      <xdr:col>15</xdr:col>
      <xdr:colOff>425160</xdr:colOff>
      <xdr:row>71</xdr:row>
      <xdr:rowOff>18720</xdr:rowOff>
    </xdr:to>
    <xdr:graphicFrame>
      <xdr:nvGraphicFramePr>
        <xdr:cNvPr id="61" name="Chart 5"/>
        <xdr:cNvGraphicFramePr/>
      </xdr:nvGraphicFramePr>
      <xdr:xfrm>
        <a:off x="3884400" y="10125000"/>
        <a:ext cx="4990680" cy="2742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18</xdr:col>
      <xdr:colOff>114480</xdr:colOff>
      <xdr:row>24</xdr:row>
      <xdr:rowOff>9360</xdr:rowOff>
    </xdr:from>
    <xdr:to>
      <xdr:col>29</xdr:col>
      <xdr:colOff>401760</xdr:colOff>
      <xdr:row>39</xdr:row>
      <xdr:rowOff>28080</xdr:rowOff>
    </xdr:to>
    <xdr:graphicFrame>
      <xdr:nvGraphicFramePr>
        <xdr:cNvPr id="62" name="Chart 6"/>
        <xdr:cNvGraphicFramePr/>
      </xdr:nvGraphicFramePr>
      <xdr:xfrm>
        <a:off x="11088000" y="4352760"/>
        <a:ext cx="4962240" cy="2733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18</xdr:col>
      <xdr:colOff>123840</xdr:colOff>
      <xdr:row>40</xdr:row>
      <xdr:rowOff>19080</xdr:rowOff>
    </xdr:from>
    <xdr:to>
      <xdr:col>29</xdr:col>
      <xdr:colOff>411120</xdr:colOff>
      <xdr:row>55</xdr:row>
      <xdr:rowOff>37800</xdr:rowOff>
    </xdr:to>
    <xdr:graphicFrame>
      <xdr:nvGraphicFramePr>
        <xdr:cNvPr id="63" name="Chart 7"/>
        <xdr:cNvGraphicFramePr/>
      </xdr:nvGraphicFramePr>
      <xdr:xfrm>
        <a:off x="11097360" y="7257960"/>
        <a:ext cx="4962240" cy="2733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18</xdr:col>
      <xdr:colOff>95400</xdr:colOff>
      <xdr:row>56</xdr:row>
      <xdr:rowOff>38160</xdr:rowOff>
    </xdr:from>
    <xdr:to>
      <xdr:col>29</xdr:col>
      <xdr:colOff>382680</xdr:colOff>
      <xdr:row>71</xdr:row>
      <xdr:rowOff>57240</xdr:rowOff>
    </xdr:to>
    <xdr:graphicFrame>
      <xdr:nvGraphicFramePr>
        <xdr:cNvPr id="64" name="Chart 8"/>
        <xdr:cNvGraphicFramePr/>
      </xdr:nvGraphicFramePr>
      <xdr:xfrm>
        <a:off x="11068920" y="10172880"/>
        <a:ext cx="4962240" cy="2733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8</xdr:col>
      <xdr:colOff>114480</xdr:colOff>
      <xdr:row>72</xdr:row>
      <xdr:rowOff>38160</xdr:rowOff>
    </xdr:from>
    <xdr:to>
      <xdr:col>15</xdr:col>
      <xdr:colOff>453960</xdr:colOff>
      <xdr:row>82</xdr:row>
      <xdr:rowOff>47520</xdr:rowOff>
    </xdr:to>
    <xdr:graphicFrame>
      <xdr:nvGraphicFramePr>
        <xdr:cNvPr id="65" name="Chart 9"/>
        <xdr:cNvGraphicFramePr/>
      </xdr:nvGraphicFramePr>
      <xdr:xfrm>
        <a:off x="3903480" y="13068360"/>
        <a:ext cx="5000400" cy="1819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18</xdr:col>
      <xdr:colOff>114480</xdr:colOff>
      <xdr:row>72</xdr:row>
      <xdr:rowOff>57240</xdr:rowOff>
    </xdr:from>
    <xdr:to>
      <xdr:col>29</xdr:col>
      <xdr:colOff>354240</xdr:colOff>
      <xdr:row>82</xdr:row>
      <xdr:rowOff>85320</xdr:rowOff>
    </xdr:to>
    <xdr:graphicFrame>
      <xdr:nvGraphicFramePr>
        <xdr:cNvPr id="66" name="Chart 10"/>
        <xdr:cNvGraphicFramePr/>
      </xdr:nvGraphicFramePr>
      <xdr:xfrm>
        <a:off x="11088000" y="13087440"/>
        <a:ext cx="4914720" cy="1837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8</xdr:col>
      <xdr:colOff>133200</xdr:colOff>
      <xdr:row>83</xdr:row>
      <xdr:rowOff>19080</xdr:rowOff>
    </xdr:from>
    <xdr:to>
      <xdr:col>15</xdr:col>
      <xdr:colOff>482040</xdr:colOff>
      <xdr:row>93</xdr:row>
      <xdr:rowOff>47160</xdr:rowOff>
    </xdr:to>
    <xdr:graphicFrame>
      <xdr:nvGraphicFramePr>
        <xdr:cNvPr id="67" name="Chart 11"/>
        <xdr:cNvGraphicFramePr/>
      </xdr:nvGraphicFramePr>
      <xdr:xfrm>
        <a:off x="3922200" y="15040080"/>
        <a:ext cx="5009760" cy="1837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18</xdr:col>
      <xdr:colOff>104760</xdr:colOff>
      <xdr:row>83</xdr:row>
      <xdr:rowOff>47520</xdr:rowOff>
    </xdr:from>
    <xdr:to>
      <xdr:col>29</xdr:col>
      <xdr:colOff>401400</xdr:colOff>
      <xdr:row>93</xdr:row>
      <xdr:rowOff>75600</xdr:rowOff>
    </xdr:to>
    <xdr:graphicFrame>
      <xdr:nvGraphicFramePr>
        <xdr:cNvPr id="68" name="Chart 12"/>
        <xdr:cNvGraphicFramePr/>
      </xdr:nvGraphicFramePr>
      <xdr:xfrm>
        <a:off x="11078280" y="15068520"/>
        <a:ext cx="4971600" cy="1837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8</xdr:col>
      <xdr:colOff>123840</xdr:colOff>
      <xdr:row>94</xdr:row>
      <xdr:rowOff>9360</xdr:rowOff>
    </xdr:from>
    <xdr:to>
      <xdr:col>15</xdr:col>
      <xdr:colOff>472680</xdr:colOff>
      <xdr:row>104</xdr:row>
      <xdr:rowOff>37440</xdr:rowOff>
    </xdr:to>
    <xdr:graphicFrame>
      <xdr:nvGraphicFramePr>
        <xdr:cNvPr id="69" name="Chart 13"/>
        <xdr:cNvGraphicFramePr/>
      </xdr:nvGraphicFramePr>
      <xdr:xfrm>
        <a:off x="3912840" y="17021160"/>
        <a:ext cx="5009760" cy="1837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18</xdr:col>
      <xdr:colOff>104760</xdr:colOff>
      <xdr:row>94</xdr:row>
      <xdr:rowOff>9360</xdr:rowOff>
    </xdr:from>
    <xdr:to>
      <xdr:col>29</xdr:col>
      <xdr:colOff>401400</xdr:colOff>
      <xdr:row>104</xdr:row>
      <xdr:rowOff>37440</xdr:rowOff>
    </xdr:to>
    <xdr:graphicFrame>
      <xdr:nvGraphicFramePr>
        <xdr:cNvPr id="70" name="Chart 14"/>
        <xdr:cNvGraphicFramePr/>
      </xdr:nvGraphicFramePr>
      <xdr:xfrm>
        <a:off x="11078280" y="17021160"/>
        <a:ext cx="4971600" cy="1837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152280</xdr:colOff>
      <xdr:row>35</xdr:row>
      <xdr:rowOff>0</xdr:rowOff>
    </xdr:from>
    <xdr:to>
      <xdr:col>15</xdr:col>
      <xdr:colOff>185760</xdr:colOff>
      <xdr:row>47</xdr:row>
      <xdr:rowOff>114120</xdr:rowOff>
    </xdr:to>
    <xdr:graphicFrame>
      <xdr:nvGraphicFramePr>
        <xdr:cNvPr id="71" name="Chart 1"/>
        <xdr:cNvGraphicFramePr/>
      </xdr:nvGraphicFramePr>
      <xdr:xfrm>
        <a:off x="3425760" y="6334200"/>
        <a:ext cx="4571640" cy="228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181080</xdr:colOff>
      <xdr:row>48</xdr:row>
      <xdr:rowOff>123840</xdr:rowOff>
    </xdr:from>
    <xdr:to>
      <xdr:col>15</xdr:col>
      <xdr:colOff>214560</xdr:colOff>
      <xdr:row>61</xdr:row>
      <xdr:rowOff>56880</xdr:rowOff>
    </xdr:to>
    <xdr:graphicFrame>
      <xdr:nvGraphicFramePr>
        <xdr:cNvPr id="72" name="Chart 2"/>
        <xdr:cNvGraphicFramePr/>
      </xdr:nvGraphicFramePr>
      <xdr:xfrm>
        <a:off x="3454560" y="8810640"/>
        <a:ext cx="4571640" cy="228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18</xdr:col>
      <xdr:colOff>57240</xdr:colOff>
      <xdr:row>21</xdr:row>
      <xdr:rowOff>38160</xdr:rowOff>
    </xdr:from>
    <xdr:to>
      <xdr:col>27</xdr:col>
      <xdr:colOff>701280</xdr:colOff>
      <xdr:row>33</xdr:row>
      <xdr:rowOff>152280</xdr:rowOff>
    </xdr:to>
    <xdr:graphicFrame>
      <xdr:nvGraphicFramePr>
        <xdr:cNvPr id="73" name="Chart 3"/>
        <xdr:cNvGraphicFramePr/>
      </xdr:nvGraphicFramePr>
      <xdr:xfrm>
        <a:off x="10370880" y="3838680"/>
        <a:ext cx="4571640" cy="228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18</xdr:col>
      <xdr:colOff>38160</xdr:colOff>
      <xdr:row>35</xdr:row>
      <xdr:rowOff>19080</xdr:rowOff>
    </xdr:from>
    <xdr:to>
      <xdr:col>27</xdr:col>
      <xdr:colOff>682200</xdr:colOff>
      <xdr:row>47</xdr:row>
      <xdr:rowOff>133200</xdr:rowOff>
    </xdr:to>
    <xdr:graphicFrame>
      <xdr:nvGraphicFramePr>
        <xdr:cNvPr id="74" name="Chart 4"/>
        <xdr:cNvGraphicFramePr/>
      </xdr:nvGraphicFramePr>
      <xdr:xfrm>
        <a:off x="10351800" y="6353280"/>
        <a:ext cx="4571640" cy="228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18</xdr:col>
      <xdr:colOff>47520</xdr:colOff>
      <xdr:row>49</xdr:row>
      <xdr:rowOff>19080</xdr:rowOff>
    </xdr:from>
    <xdr:to>
      <xdr:col>27</xdr:col>
      <xdr:colOff>691560</xdr:colOff>
      <xdr:row>61</xdr:row>
      <xdr:rowOff>133200</xdr:rowOff>
    </xdr:to>
    <xdr:graphicFrame>
      <xdr:nvGraphicFramePr>
        <xdr:cNvPr id="75" name="Chart 5"/>
        <xdr:cNvGraphicFramePr/>
      </xdr:nvGraphicFramePr>
      <xdr:xfrm>
        <a:off x="10361160" y="8886960"/>
        <a:ext cx="4571640" cy="228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8</xdr:col>
      <xdr:colOff>171360</xdr:colOff>
      <xdr:row>62</xdr:row>
      <xdr:rowOff>123840</xdr:rowOff>
    </xdr:from>
    <xdr:to>
      <xdr:col>15</xdr:col>
      <xdr:colOff>204840</xdr:colOff>
      <xdr:row>71</xdr:row>
      <xdr:rowOff>47520</xdr:rowOff>
    </xdr:to>
    <xdr:graphicFrame>
      <xdr:nvGraphicFramePr>
        <xdr:cNvPr id="76" name="Chart 6"/>
        <xdr:cNvGraphicFramePr/>
      </xdr:nvGraphicFramePr>
      <xdr:xfrm>
        <a:off x="3444840" y="11344320"/>
        <a:ext cx="4571640" cy="1552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18</xdr:col>
      <xdr:colOff>57240</xdr:colOff>
      <xdr:row>63</xdr:row>
      <xdr:rowOff>0</xdr:rowOff>
    </xdr:from>
    <xdr:to>
      <xdr:col>27</xdr:col>
      <xdr:colOff>701280</xdr:colOff>
      <xdr:row>71</xdr:row>
      <xdr:rowOff>104760</xdr:rowOff>
    </xdr:to>
    <xdr:graphicFrame>
      <xdr:nvGraphicFramePr>
        <xdr:cNvPr id="77" name="Chart 7"/>
        <xdr:cNvGraphicFramePr/>
      </xdr:nvGraphicFramePr>
      <xdr:xfrm>
        <a:off x="10370880" y="11401560"/>
        <a:ext cx="4571640" cy="1552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8</xdr:col>
      <xdr:colOff>162000</xdr:colOff>
      <xdr:row>72</xdr:row>
      <xdr:rowOff>9360</xdr:rowOff>
    </xdr:from>
    <xdr:to>
      <xdr:col>15</xdr:col>
      <xdr:colOff>195480</xdr:colOff>
      <xdr:row>80</xdr:row>
      <xdr:rowOff>113760</xdr:rowOff>
    </xdr:to>
    <xdr:graphicFrame>
      <xdr:nvGraphicFramePr>
        <xdr:cNvPr id="78" name="Chart 8"/>
        <xdr:cNvGraphicFramePr/>
      </xdr:nvGraphicFramePr>
      <xdr:xfrm>
        <a:off x="3435480" y="13039560"/>
        <a:ext cx="4571640" cy="1552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18</xdr:col>
      <xdr:colOff>47520</xdr:colOff>
      <xdr:row>72</xdr:row>
      <xdr:rowOff>38160</xdr:rowOff>
    </xdr:from>
    <xdr:to>
      <xdr:col>27</xdr:col>
      <xdr:colOff>691560</xdr:colOff>
      <xdr:row>80</xdr:row>
      <xdr:rowOff>142560</xdr:rowOff>
    </xdr:to>
    <xdr:graphicFrame>
      <xdr:nvGraphicFramePr>
        <xdr:cNvPr id="79" name="Chart 9"/>
        <xdr:cNvGraphicFramePr/>
      </xdr:nvGraphicFramePr>
      <xdr:xfrm>
        <a:off x="10361160" y="13068360"/>
        <a:ext cx="4571640" cy="1552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8</xdr:col>
      <xdr:colOff>162000</xdr:colOff>
      <xdr:row>81</xdr:row>
      <xdr:rowOff>19080</xdr:rowOff>
    </xdr:from>
    <xdr:to>
      <xdr:col>15</xdr:col>
      <xdr:colOff>195480</xdr:colOff>
      <xdr:row>89</xdr:row>
      <xdr:rowOff>123480</xdr:rowOff>
    </xdr:to>
    <xdr:graphicFrame>
      <xdr:nvGraphicFramePr>
        <xdr:cNvPr id="80" name="Chart 10"/>
        <xdr:cNvGraphicFramePr/>
      </xdr:nvGraphicFramePr>
      <xdr:xfrm>
        <a:off x="3435480" y="14677920"/>
        <a:ext cx="4571640" cy="1552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18</xdr:col>
      <xdr:colOff>57240</xdr:colOff>
      <xdr:row>81</xdr:row>
      <xdr:rowOff>95400</xdr:rowOff>
    </xdr:from>
    <xdr:to>
      <xdr:col>27</xdr:col>
      <xdr:colOff>701280</xdr:colOff>
      <xdr:row>90</xdr:row>
      <xdr:rowOff>18720</xdr:rowOff>
    </xdr:to>
    <xdr:graphicFrame>
      <xdr:nvGraphicFramePr>
        <xdr:cNvPr id="81" name="Chart 11"/>
        <xdr:cNvGraphicFramePr/>
      </xdr:nvGraphicFramePr>
      <xdr:xfrm>
        <a:off x="10370880" y="14754240"/>
        <a:ext cx="4571640" cy="1552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34</xdr:col>
      <xdr:colOff>152280</xdr:colOff>
      <xdr:row>31</xdr:row>
      <xdr:rowOff>123840</xdr:rowOff>
    </xdr:from>
    <xdr:to>
      <xdr:col>41</xdr:col>
      <xdr:colOff>654120</xdr:colOff>
      <xdr:row>49</xdr:row>
      <xdr:rowOff>104400</xdr:rowOff>
    </xdr:to>
    <xdr:graphicFrame>
      <xdr:nvGraphicFramePr>
        <xdr:cNvPr id="82" name="Chart 12"/>
        <xdr:cNvGraphicFramePr/>
      </xdr:nvGraphicFramePr>
      <xdr:xfrm>
        <a:off x="18880920" y="5734080"/>
        <a:ext cx="5752800" cy="323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34</xdr:col>
      <xdr:colOff>142920</xdr:colOff>
      <xdr:row>57</xdr:row>
      <xdr:rowOff>133200</xdr:rowOff>
    </xdr:from>
    <xdr:to>
      <xdr:col>41</xdr:col>
      <xdr:colOff>749520</xdr:colOff>
      <xdr:row>73</xdr:row>
      <xdr:rowOff>18360</xdr:rowOff>
    </xdr:to>
    <xdr:graphicFrame>
      <xdr:nvGraphicFramePr>
        <xdr:cNvPr id="83" name="Chart 13"/>
        <xdr:cNvGraphicFramePr/>
      </xdr:nvGraphicFramePr>
      <xdr:xfrm>
        <a:off x="18871560" y="10448640"/>
        <a:ext cx="5857560" cy="2781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8</xdr:col>
      <xdr:colOff>162000</xdr:colOff>
      <xdr:row>21</xdr:row>
      <xdr:rowOff>38160</xdr:rowOff>
    </xdr:from>
    <xdr:to>
      <xdr:col>15</xdr:col>
      <xdr:colOff>204840</xdr:colOff>
      <xdr:row>33</xdr:row>
      <xdr:rowOff>152280</xdr:rowOff>
    </xdr:to>
    <xdr:graphicFrame>
      <xdr:nvGraphicFramePr>
        <xdr:cNvPr id="84" name="Chart 14"/>
        <xdr:cNvGraphicFramePr/>
      </xdr:nvGraphicFramePr>
      <xdr:xfrm>
        <a:off x="3435480" y="3838680"/>
        <a:ext cx="4581000" cy="228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104760</xdr:colOff>
      <xdr:row>21</xdr:row>
      <xdr:rowOff>19080</xdr:rowOff>
    </xdr:from>
    <xdr:to>
      <xdr:col>15</xdr:col>
      <xdr:colOff>220320</xdr:colOff>
      <xdr:row>34</xdr:row>
      <xdr:rowOff>95040</xdr:rowOff>
    </xdr:to>
    <xdr:graphicFrame>
      <xdr:nvGraphicFramePr>
        <xdr:cNvPr id="85" name="Chart 1"/>
        <xdr:cNvGraphicFramePr/>
      </xdr:nvGraphicFramePr>
      <xdr:xfrm>
        <a:off x="3705120" y="3819600"/>
        <a:ext cx="4952520" cy="242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114480</xdr:colOff>
      <xdr:row>35</xdr:row>
      <xdr:rowOff>0</xdr:rowOff>
    </xdr:from>
    <xdr:to>
      <xdr:col>15</xdr:col>
      <xdr:colOff>239760</xdr:colOff>
      <xdr:row>48</xdr:row>
      <xdr:rowOff>95040</xdr:rowOff>
    </xdr:to>
    <xdr:graphicFrame>
      <xdr:nvGraphicFramePr>
        <xdr:cNvPr id="86" name="Chart 2"/>
        <xdr:cNvGraphicFramePr/>
      </xdr:nvGraphicFramePr>
      <xdr:xfrm>
        <a:off x="3714840" y="6334200"/>
        <a:ext cx="4962240" cy="244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104760</xdr:colOff>
      <xdr:row>49</xdr:row>
      <xdr:rowOff>0</xdr:rowOff>
    </xdr:from>
    <xdr:to>
      <xdr:col>15</xdr:col>
      <xdr:colOff>220320</xdr:colOff>
      <xdr:row>62</xdr:row>
      <xdr:rowOff>114120</xdr:rowOff>
    </xdr:to>
    <xdr:graphicFrame>
      <xdr:nvGraphicFramePr>
        <xdr:cNvPr id="87" name="Chart 3"/>
        <xdr:cNvGraphicFramePr/>
      </xdr:nvGraphicFramePr>
      <xdr:xfrm>
        <a:off x="3705120" y="8867880"/>
        <a:ext cx="4952520" cy="2466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104760</xdr:colOff>
      <xdr:row>63</xdr:row>
      <xdr:rowOff>28440</xdr:rowOff>
    </xdr:from>
    <xdr:to>
      <xdr:col>15</xdr:col>
      <xdr:colOff>230040</xdr:colOff>
      <xdr:row>71</xdr:row>
      <xdr:rowOff>152280</xdr:rowOff>
    </xdr:to>
    <xdr:graphicFrame>
      <xdr:nvGraphicFramePr>
        <xdr:cNvPr id="88" name="Chart 4"/>
        <xdr:cNvGraphicFramePr/>
      </xdr:nvGraphicFramePr>
      <xdr:xfrm>
        <a:off x="3705120" y="11430000"/>
        <a:ext cx="4962240" cy="1571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104760</xdr:colOff>
      <xdr:row>72</xdr:row>
      <xdr:rowOff>19080</xdr:rowOff>
    </xdr:from>
    <xdr:to>
      <xdr:col>15</xdr:col>
      <xdr:colOff>230040</xdr:colOff>
      <xdr:row>80</xdr:row>
      <xdr:rowOff>113760</xdr:rowOff>
    </xdr:to>
    <xdr:graphicFrame>
      <xdr:nvGraphicFramePr>
        <xdr:cNvPr id="89" name="Chart 5"/>
        <xdr:cNvGraphicFramePr/>
      </xdr:nvGraphicFramePr>
      <xdr:xfrm>
        <a:off x="3705120" y="13049280"/>
        <a:ext cx="4962240" cy="1542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8</xdr:col>
      <xdr:colOff>104760</xdr:colOff>
      <xdr:row>81</xdr:row>
      <xdr:rowOff>9360</xdr:rowOff>
    </xdr:from>
    <xdr:to>
      <xdr:col>15</xdr:col>
      <xdr:colOff>230040</xdr:colOff>
      <xdr:row>89</xdr:row>
      <xdr:rowOff>151920</xdr:rowOff>
    </xdr:to>
    <xdr:graphicFrame>
      <xdr:nvGraphicFramePr>
        <xdr:cNvPr id="90" name="Chart 6"/>
        <xdr:cNvGraphicFramePr/>
      </xdr:nvGraphicFramePr>
      <xdr:xfrm>
        <a:off x="3705120" y="14668200"/>
        <a:ext cx="4962240" cy="1590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18</xdr:col>
      <xdr:colOff>95400</xdr:colOff>
      <xdr:row>21</xdr:row>
      <xdr:rowOff>19080</xdr:rowOff>
    </xdr:from>
    <xdr:to>
      <xdr:col>27</xdr:col>
      <xdr:colOff>510480</xdr:colOff>
      <xdr:row>34</xdr:row>
      <xdr:rowOff>114120</xdr:rowOff>
    </xdr:to>
    <xdr:graphicFrame>
      <xdr:nvGraphicFramePr>
        <xdr:cNvPr id="91" name="Chart 7"/>
        <xdr:cNvGraphicFramePr/>
      </xdr:nvGraphicFramePr>
      <xdr:xfrm>
        <a:off x="10940040" y="3819600"/>
        <a:ext cx="4647960" cy="244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18</xdr:col>
      <xdr:colOff>85680</xdr:colOff>
      <xdr:row>35</xdr:row>
      <xdr:rowOff>19080</xdr:rowOff>
    </xdr:from>
    <xdr:to>
      <xdr:col>27</xdr:col>
      <xdr:colOff>510120</xdr:colOff>
      <xdr:row>48</xdr:row>
      <xdr:rowOff>123480</xdr:rowOff>
    </xdr:to>
    <xdr:graphicFrame>
      <xdr:nvGraphicFramePr>
        <xdr:cNvPr id="92" name="Chart 8"/>
        <xdr:cNvGraphicFramePr/>
      </xdr:nvGraphicFramePr>
      <xdr:xfrm>
        <a:off x="10930320" y="6353280"/>
        <a:ext cx="4657320" cy="2457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18</xdr:col>
      <xdr:colOff>95400</xdr:colOff>
      <xdr:row>49</xdr:row>
      <xdr:rowOff>9360</xdr:rowOff>
    </xdr:from>
    <xdr:to>
      <xdr:col>27</xdr:col>
      <xdr:colOff>510480</xdr:colOff>
      <xdr:row>62</xdr:row>
      <xdr:rowOff>94680</xdr:rowOff>
    </xdr:to>
    <xdr:graphicFrame>
      <xdr:nvGraphicFramePr>
        <xdr:cNvPr id="93" name="Chart 9"/>
        <xdr:cNvGraphicFramePr/>
      </xdr:nvGraphicFramePr>
      <xdr:xfrm>
        <a:off x="10940040" y="8877240"/>
        <a:ext cx="4647960" cy="2437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18</xdr:col>
      <xdr:colOff>95400</xdr:colOff>
      <xdr:row>63</xdr:row>
      <xdr:rowOff>19080</xdr:rowOff>
    </xdr:from>
    <xdr:to>
      <xdr:col>27</xdr:col>
      <xdr:colOff>510480</xdr:colOff>
      <xdr:row>71</xdr:row>
      <xdr:rowOff>142920</xdr:rowOff>
    </xdr:to>
    <xdr:graphicFrame>
      <xdr:nvGraphicFramePr>
        <xdr:cNvPr id="94" name="Chart 10"/>
        <xdr:cNvGraphicFramePr/>
      </xdr:nvGraphicFramePr>
      <xdr:xfrm>
        <a:off x="10940040" y="11420640"/>
        <a:ext cx="4647960" cy="1571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18</xdr:col>
      <xdr:colOff>104760</xdr:colOff>
      <xdr:row>72</xdr:row>
      <xdr:rowOff>9360</xdr:rowOff>
    </xdr:from>
    <xdr:to>
      <xdr:col>27</xdr:col>
      <xdr:colOff>510120</xdr:colOff>
      <xdr:row>80</xdr:row>
      <xdr:rowOff>161280</xdr:rowOff>
    </xdr:to>
    <xdr:graphicFrame>
      <xdr:nvGraphicFramePr>
        <xdr:cNvPr id="95" name="Chart 11"/>
        <xdr:cNvGraphicFramePr/>
      </xdr:nvGraphicFramePr>
      <xdr:xfrm>
        <a:off x="10949400" y="13039560"/>
        <a:ext cx="4638240" cy="1599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18</xdr:col>
      <xdr:colOff>104760</xdr:colOff>
      <xdr:row>81</xdr:row>
      <xdr:rowOff>9360</xdr:rowOff>
    </xdr:from>
    <xdr:to>
      <xdr:col>27</xdr:col>
      <xdr:colOff>510120</xdr:colOff>
      <xdr:row>89</xdr:row>
      <xdr:rowOff>161280</xdr:rowOff>
    </xdr:to>
    <xdr:graphicFrame>
      <xdr:nvGraphicFramePr>
        <xdr:cNvPr id="96" name="Chart 12"/>
        <xdr:cNvGraphicFramePr/>
      </xdr:nvGraphicFramePr>
      <xdr:xfrm>
        <a:off x="10949400" y="14668200"/>
        <a:ext cx="4638240" cy="1599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33</xdr:col>
      <xdr:colOff>76320</xdr:colOff>
      <xdr:row>30</xdr:row>
      <xdr:rowOff>66600</xdr:rowOff>
    </xdr:from>
    <xdr:to>
      <xdr:col>40</xdr:col>
      <xdr:colOff>653040</xdr:colOff>
      <xdr:row>47</xdr:row>
      <xdr:rowOff>180720</xdr:rowOff>
    </xdr:to>
    <xdr:graphicFrame>
      <xdr:nvGraphicFramePr>
        <xdr:cNvPr id="97" name="Chart 13"/>
        <xdr:cNvGraphicFramePr/>
      </xdr:nvGraphicFramePr>
      <xdr:xfrm>
        <a:off x="18462600" y="5495760"/>
        <a:ext cx="6009840" cy="3190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33</xdr:col>
      <xdr:colOff>38160</xdr:colOff>
      <xdr:row>58</xdr:row>
      <xdr:rowOff>19080</xdr:rowOff>
    </xdr:from>
    <xdr:to>
      <xdr:col>43</xdr:col>
      <xdr:colOff>178920</xdr:colOff>
      <xdr:row>76</xdr:row>
      <xdr:rowOff>123480</xdr:rowOff>
    </xdr:to>
    <xdr:graphicFrame>
      <xdr:nvGraphicFramePr>
        <xdr:cNvPr id="98" name="Chart 14"/>
        <xdr:cNvGraphicFramePr/>
      </xdr:nvGraphicFramePr>
      <xdr:xfrm>
        <a:off x="18424440" y="10515600"/>
        <a:ext cx="7762680" cy="3362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152280</xdr:colOff>
      <xdr:row>34</xdr:row>
      <xdr:rowOff>162000</xdr:rowOff>
    </xdr:from>
    <xdr:to>
      <xdr:col>14</xdr:col>
      <xdr:colOff>114480</xdr:colOff>
      <xdr:row>47</xdr:row>
      <xdr:rowOff>180720</xdr:rowOff>
    </xdr:to>
    <xdr:graphicFrame>
      <xdr:nvGraphicFramePr>
        <xdr:cNvPr id="99" name="Chart 1"/>
        <xdr:cNvGraphicFramePr/>
      </xdr:nvGraphicFramePr>
      <xdr:xfrm>
        <a:off x="3636000" y="6315120"/>
        <a:ext cx="4609800" cy="2371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181080</xdr:colOff>
      <xdr:row>48</xdr:row>
      <xdr:rowOff>123840</xdr:rowOff>
    </xdr:from>
    <xdr:to>
      <xdr:col>14</xdr:col>
      <xdr:colOff>114480</xdr:colOff>
      <xdr:row>61</xdr:row>
      <xdr:rowOff>180720</xdr:rowOff>
    </xdr:to>
    <xdr:graphicFrame>
      <xdr:nvGraphicFramePr>
        <xdr:cNvPr id="100" name="Chart 2"/>
        <xdr:cNvGraphicFramePr/>
      </xdr:nvGraphicFramePr>
      <xdr:xfrm>
        <a:off x="3664800" y="8810640"/>
        <a:ext cx="4581000" cy="2409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17</xdr:col>
      <xdr:colOff>57240</xdr:colOff>
      <xdr:row>21</xdr:row>
      <xdr:rowOff>38160</xdr:rowOff>
    </xdr:from>
    <xdr:to>
      <xdr:col>27</xdr:col>
      <xdr:colOff>33480</xdr:colOff>
      <xdr:row>34</xdr:row>
      <xdr:rowOff>85680</xdr:rowOff>
    </xdr:to>
    <xdr:graphicFrame>
      <xdr:nvGraphicFramePr>
        <xdr:cNvPr id="101" name="Chart 3"/>
        <xdr:cNvGraphicFramePr/>
      </xdr:nvGraphicFramePr>
      <xdr:xfrm>
        <a:off x="10755720" y="3838680"/>
        <a:ext cx="4238280" cy="2400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17</xdr:col>
      <xdr:colOff>57240</xdr:colOff>
      <xdr:row>35</xdr:row>
      <xdr:rowOff>19080</xdr:rowOff>
    </xdr:from>
    <xdr:to>
      <xdr:col>27</xdr:col>
      <xdr:colOff>42840</xdr:colOff>
      <xdr:row>48</xdr:row>
      <xdr:rowOff>56880</xdr:rowOff>
    </xdr:to>
    <xdr:graphicFrame>
      <xdr:nvGraphicFramePr>
        <xdr:cNvPr id="102" name="Chart 4"/>
        <xdr:cNvGraphicFramePr/>
      </xdr:nvGraphicFramePr>
      <xdr:xfrm>
        <a:off x="10755720" y="6353280"/>
        <a:ext cx="4247640" cy="2390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17</xdr:col>
      <xdr:colOff>47520</xdr:colOff>
      <xdr:row>49</xdr:row>
      <xdr:rowOff>19080</xdr:rowOff>
    </xdr:from>
    <xdr:to>
      <xdr:col>27</xdr:col>
      <xdr:colOff>61920</xdr:colOff>
      <xdr:row>62</xdr:row>
      <xdr:rowOff>75960</xdr:rowOff>
    </xdr:to>
    <xdr:graphicFrame>
      <xdr:nvGraphicFramePr>
        <xdr:cNvPr id="103" name="Chart 5"/>
        <xdr:cNvGraphicFramePr/>
      </xdr:nvGraphicFramePr>
      <xdr:xfrm>
        <a:off x="10746000" y="8886960"/>
        <a:ext cx="4276440" cy="2409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7</xdr:col>
      <xdr:colOff>162000</xdr:colOff>
      <xdr:row>62</xdr:row>
      <xdr:rowOff>114480</xdr:rowOff>
    </xdr:from>
    <xdr:to>
      <xdr:col>14</xdr:col>
      <xdr:colOff>95400</xdr:colOff>
      <xdr:row>71</xdr:row>
      <xdr:rowOff>85680</xdr:rowOff>
    </xdr:to>
    <xdr:graphicFrame>
      <xdr:nvGraphicFramePr>
        <xdr:cNvPr id="104" name="Chart 6"/>
        <xdr:cNvGraphicFramePr/>
      </xdr:nvGraphicFramePr>
      <xdr:xfrm>
        <a:off x="3645720" y="11334960"/>
        <a:ext cx="4581000" cy="1599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17</xdr:col>
      <xdr:colOff>57240</xdr:colOff>
      <xdr:row>63</xdr:row>
      <xdr:rowOff>0</xdr:rowOff>
    </xdr:from>
    <xdr:to>
      <xdr:col>27</xdr:col>
      <xdr:colOff>61920</xdr:colOff>
      <xdr:row>71</xdr:row>
      <xdr:rowOff>161640</xdr:rowOff>
    </xdr:to>
    <xdr:graphicFrame>
      <xdr:nvGraphicFramePr>
        <xdr:cNvPr id="105" name="Chart 7"/>
        <xdr:cNvGraphicFramePr/>
      </xdr:nvGraphicFramePr>
      <xdr:xfrm>
        <a:off x="10755720" y="11401560"/>
        <a:ext cx="4266720" cy="1609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7</xdr:col>
      <xdr:colOff>152280</xdr:colOff>
      <xdr:row>72</xdr:row>
      <xdr:rowOff>0</xdr:rowOff>
    </xdr:from>
    <xdr:to>
      <xdr:col>14</xdr:col>
      <xdr:colOff>76320</xdr:colOff>
      <xdr:row>80</xdr:row>
      <xdr:rowOff>151920</xdr:rowOff>
    </xdr:to>
    <xdr:graphicFrame>
      <xdr:nvGraphicFramePr>
        <xdr:cNvPr id="106" name="Chart 8"/>
        <xdr:cNvGraphicFramePr/>
      </xdr:nvGraphicFramePr>
      <xdr:xfrm>
        <a:off x="3636000" y="13030200"/>
        <a:ext cx="4571640" cy="1599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17</xdr:col>
      <xdr:colOff>47520</xdr:colOff>
      <xdr:row>72</xdr:row>
      <xdr:rowOff>38160</xdr:rowOff>
    </xdr:from>
    <xdr:to>
      <xdr:col>27</xdr:col>
      <xdr:colOff>71280</xdr:colOff>
      <xdr:row>81</xdr:row>
      <xdr:rowOff>9360</xdr:rowOff>
    </xdr:to>
    <xdr:graphicFrame>
      <xdr:nvGraphicFramePr>
        <xdr:cNvPr id="107" name="Chart 9"/>
        <xdr:cNvGraphicFramePr/>
      </xdr:nvGraphicFramePr>
      <xdr:xfrm>
        <a:off x="10746000" y="13068360"/>
        <a:ext cx="4285800" cy="1599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7</xdr:col>
      <xdr:colOff>152280</xdr:colOff>
      <xdr:row>81</xdr:row>
      <xdr:rowOff>19080</xdr:rowOff>
    </xdr:from>
    <xdr:to>
      <xdr:col>14</xdr:col>
      <xdr:colOff>76320</xdr:colOff>
      <xdr:row>89</xdr:row>
      <xdr:rowOff>171000</xdr:rowOff>
    </xdr:to>
    <xdr:graphicFrame>
      <xdr:nvGraphicFramePr>
        <xdr:cNvPr id="108" name="Chart 10"/>
        <xdr:cNvGraphicFramePr/>
      </xdr:nvGraphicFramePr>
      <xdr:xfrm>
        <a:off x="3636000" y="14677920"/>
        <a:ext cx="4571640" cy="1599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17</xdr:col>
      <xdr:colOff>66600</xdr:colOff>
      <xdr:row>81</xdr:row>
      <xdr:rowOff>95400</xdr:rowOff>
    </xdr:from>
    <xdr:to>
      <xdr:col>27</xdr:col>
      <xdr:colOff>61920</xdr:colOff>
      <xdr:row>90</xdr:row>
      <xdr:rowOff>56880</xdr:rowOff>
    </xdr:to>
    <xdr:graphicFrame>
      <xdr:nvGraphicFramePr>
        <xdr:cNvPr id="109" name="Chart 11"/>
        <xdr:cNvGraphicFramePr/>
      </xdr:nvGraphicFramePr>
      <xdr:xfrm>
        <a:off x="10765080" y="14754240"/>
        <a:ext cx="4257360" cy="1590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32</xdr:col>
      <xdr:colOff>152280</xdr:colOff>
      <xdr:row>30</xdr:row>
      <xdr:rowOff>123840</xdr:rowOff>
    </xdr:from>
    <xdr:to>
      <xdr:col>39</xdr:col>
      <xdr:colOff>416160</xdr:colOff>
      <xdr:row>48</xdr:row>
      <xdr:rowOff>104400</xdr:rowOff>
    </xdr:to>
    <xdr:graphicFrame>
      <xdr:nvGraphicFramePr>
        <xdr:cNvPr id="110" name="Chart 12"/>
        <xdr:cNvGraphicFramePr/>
      </xdr:nvGraphicFramePr>
      <xdr:xfrm>
        <a:off x="18421920" y="5553000"/>
        <a:ext cx="5638320" cy="323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32</xdr:col>
      <xdr:colOff>142920</xdr:colOff>
      <xdr:row>56</xdr:row>
      <xdr:rowOff>133200</xdr:rowOff>
    </xdr:from>
    <xdr:to>
      <xdr:col>39</xdr:col>
      <xdr:colOff>511560</xdr:colOff>
      <xdr:row>72</xdr:row>
      <xdr:rowOff>18720</xdr:rowOff>
    </xdr:to>
    <xdr:graphicFrame>
      <xdr:nvGraphicFramePr>
        <xdr:cNvPr id="111" name="Chart 13"/>
        <xdr:cNvGraphicFramePr/>
      </xdr:nvGraphicFramePr>
      <xdr:xfrm>
        <a:off x="18412560" y="10267920"/>
        <a:ext cx="5743080" cy="2781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7</xdr:col>
      <xdr:colOff>152280</xdr:colOff>
      <xdr:row>21</xdr:row>
      <xdr:rowOff>19080</xdr:rowOff>
    </xdr:from>
    <xdr:to>
      <xdr:col>14</xdr:col>
      <xdr:colOff>171720</xdr:colOff>
      <xdr:row>34</xdr:row>
      <xdr:rowOff>37800</xdr:rowOff>
    </xdr:to>
    <xdr:graphicFrame>
      <xdr:nvGraphicFramePr>
        <xdr:cNvPr id="112" name="Chart 14"/>
        <xdr:cNvGraphicFramePr/>
      </xdr:nvGraphicFramePr>
      <xdr:xfrm>
        <a:off x="3636000" y="3819600"/>
        <a:ext cx="4667040" cy="2371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17</xdr:col>
      <xdr:colOff>190440</xdr:colOff>
      <xdr:row>0</xdr:row>
      <xdr:rowOff>38160</xdr:rowOff>
    </xdr:from>
    <xdr:to>
      <xdr:col>25</xdr:col>
      <xdr:colOff>1372320</xdr:colOff>
      <xdr:row>21</xdr:row>
      <xdr:rowOff>95040</xdr:rowOff>
    </xdr:to>
    <xdr:graphicFrame>
      <xdr:nvGraphicFramePr>
        <xdr:cNvPr id="113" name="Chart 1"/>
        <xdr:cNvGraphicFramePr/>
      </xdr:nvGraphicFramePr>
      <xdr:xfrm>
        <a:off x="11613960" y="38160"/>
        <a:ext cx="6648120" cy="3857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28</xdr:col>
      <xdr:colOff>181080</xdr:colOff>
      <xdr:row>0</xdr:row>
      <xdr:rowOff>47520</xdr:rowOff>
    </xdr:from>
    <xdr:to>
      <xdr:col>38</xdr:col>
      <xdr:colOff>339120</xdr:colOff>
      <xdr:row>21</xdr:row>
      <xdr:rowOff>104400</xdr:rowOff>
    </xdr:to>
    <xdr:graphicFrame>
      <xdr:nvGraphicFramePr>
        <xdr:cNvPr id="114" name="Chart 2"/>
        <xdr:cNvGraphicFramePr/>
      </xdr:nvGraphicFramePr>
      <xdr:xfrm>
        <a:off x="20422800" y="47520"/>
        <a:ext cx="6990840" cy="3857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_rels/pivotCacheDefinition2.xml.rels><?xml version="1.0" encoding="UTF-8"?>
<Relationships xmlns="http://schemas.openxmlformats.org/package/2006/relationships"><Relationship Id="rId1" Type="http://schemas.openxmlformats.org/officeDocument/2006/relationships/pivotCacheRecords" Target="pivotCacheRecords2.xml"/>
</Relationships>
</file>

<file path=xl/pivotCache/_rels/pivotCacheDefinition3.xml.rels><?xml version="1.0" encoding="UTF-8"?>
<Relationships xmlns="http://schemas.openxmlformats.org/package/2006/relationships"><Relationship Id="rId1" Type="http://schemas.openxmlformats.org/officeDocument/2006/relationships/pivotCacheRecords" Target="pivotCacheRecords3.xml"/>
</Relationships>
</file>

<file path=xl/pivotCache/_rels/pivotCacheDefinition4.xml.rels><?xml version="1.0" encoding="UTF-8"?>
<Relationships xmlns="http://schemas.openxmlformats.org/package/2006/relationships"><Relationship Id="rId1" Type="http://schemas.openxmlformats.org/officeDocument/2006/relationships/pivotCacheRecords" Target="pivotCacheRecords4.xml"/>
</Relationships>
</file>

<file path=xl/pivotCache/_rels/pivotCacheDefinition5.xml.rels><?xml version="1.0" encoding="UTF-8"?>
<Relationships xmlns="http://schemas.openxmlformats.org/package/2006/relationships"><Relationship Id="rId1" Type="http://schemas.openxmlformats.org/officeDocument/2006/relationships/pivotCacheRecords" Target="pivotCacheRecords5.xml"/>
</Relationships>
</file>

<file path=xl/pivotCache/_rels/pivotCacheDefinition6.xml.rels><?xml version="1.0" encoding="UTF-8"?>
<Relationships xmlns="http://schemas.openxmlformats.org/package/2006/relationships"><Relationship Id="rId1" Type="http://schemas.openxmlformats.org/officeDocument/2006/relationships/pivotCacheRecords" Target="pivotCacheRecords6.xml"/>
</Relationships>
</file>

<file path=xl/pivotCache/_rels/pivotCacheDefinition7.xml.rels><?xml version="1.0" encoding="UTF-8"?>
<Relationships xmlns="http://schemas.openxmlformats.org/package/2006/relationships"><Relationship Id="rId1" Type="http://schemas.openxmlformats.org/officeDocument/2006/relationships/pivotCacheRecords" Target="pivotCacheRecords7.xml"/>
</Relationships>
</file>

<file path=xl/pivotCache/_rels/pivotCacheDefinition8.xml.rels><?xml version="1.0" encoding="UTF-8"?>
<Relationships xmlns="http://schemas.openxmlformats.org/package/2006/relationships"><Relationship Id="rId1" Type="http://schemas.openxmlformats.org/officeDocument/2006/relationships/pivotCacheRecords" Target="pivotCacheRecords8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48" createdVersion="3">
  <cacheSource type="worksheet">
    <worksheetSource ref="A1:C159" sheet="Fall2024PRE"/>
  </cacheSource>
  <cacheFields count="3">
    <cacheField name="Sniper" numFmtId="0">
      <sharedItems containsBlank="1" count="9">
        <s v="Carter"/>
        <s v="David"/>
        <s v="Erick"/>
        <s v="Grady"/>
        <s v="Jon"/>
        <s v="Maxine"/>
        <s v="Peter"/>
        <s v="Sam"/>
        <m/>
      </sharedItems>
    </cacheField>
    <cacheField name="Points" numFmtId="0">
      <sharedItems containsString="0" containsBlank="1" containsNumber="1" containsInteger="1" minValue="1" maxValue="2" count="3">
        <n v="1"/>
        <n v="2"/>
        <m/>
      </sharedItems>
    </cacheField>
    <cacheField name="Snipee" numFmtId="0">
      <sharedItems containsBlank="1" count="10">
        <s v="Carter"/>
        <s v="Cooper"/>
        <s v="David"/>
        <s v="Erick"/>
        <s v="Grady"/>
        <s v="Jon"/>
        <s v="Peter"/>
        <s v="Sam"/>
        <s v="Tyler"/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cordCount="308" createdVersion="3">
  <cacheSource type="worksheet">
    <worksheetSource ref="A:C" sheet="SPRING2026"/>
  </cacheSource>
  <cacheFields count="3">
    <cacheField name="Sniper" numFmtId="0">
      <sharedItems containsBlank="1" count="14">
        <s v="Anthony"/>
        <s v="Carter"/>
        <s v="Cooper"/>
        <s v="Ethan"/>
        <s v="Evan"/>
        <s v="Grady"/>
        <s v="Lucy"/>
        <s v="Maxine"/>
        <s v="Mikey"/>
        <s v="Peter"/>
        <s v="Rob"/>
        <s v="Vignesh"/>
        <s v="Will"/>
        <m/>
      </sharedItems>
    </cacheField>
    <cacheField name="Points" numFmtId="0">
      <sharedItems containsString="0" containsBlank="1" containsNumber="1" containsInteger="1" minValue="1" maxValue="5" count="4">
        <n v="1"/>
        <n v="2"/>
        <n v="5"/>
        <m/>
      </sharedItems>
    </cacheField>
    <cacheField name="Snipee" numFmtId="0">
      <sharedItems containsBlank="1" count="17">
        <s v="Alumni"/>
        <s v="Anthony"/>
        <s v="Carter"/>
        <s v="Cooper"/>
        <s v="Erick"/>
        <s v="Ethan"/>
        <s v="Evan"/>
        <s v="Grady"/>
        <s v="Lucy"/>
        <s v="Maxine"/>
        <s v="Mikey"/>
        <s v="Peter"/>
        <s v="Reuben"/>
        <s v="Rob"/>
        <s v="Vignesh"/>
        <s v="Will"/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cordCount="531" createdVersion="3">
  <cacheSource type="worksheet">
    <worksheetSource ref="A:C" sheet="FALL2025"/>
  </cacheSource>
  <cacheFields count="3">
    <cacheField name="Sniper" numFmtId="0">
      <sharedItems containsBlank="1" count="16">
        <s v="Anthony"/>
        <s v="Carter"/>
        <s v="Cooper"/>
        <s v="Erick"/>
        <s v="Ethan"/>
        <s v="Evan"/>
        <s v="Grady"/>
        <s v="Joey"/>
        <s v="Lucy"/>
        <s v="Maxine"/>
        <s v="Mikey"/>
        <s v="Peter"/>
        <s v="Rob"/>
        <s v="Vignesh"/>
        <s v="Will"/>
        <m/>
      </sharedItems>
    </cacheField>
    <cacheField name="Points" numFmtId="0">
      <sharedItems containsString="0" containsBlank="1" containsNumber="1" containsInteger="1" minValue="1" maxValue="5" count="4">
        <n v="1"/>
        <n v="2"/>
        <n v="5"/>
        <m/>
      </sharedItems>
    </cacheField>
    <cacheField name="Snipee" numFmtId="0">
      <sharedItems containsBlank="1" count="18">
        <s v="Alumni"/>
        <s v="Anthony"/>
        <s v="Carter"/>
        <s v="Cooper"/>
        <s v="Erick"/>
        <s v="Ethan"/>
        <s v="Evan"/>
        <s v="Grady"/>
        <s v="Joey"/>
        <s v="Lucy"/>
        <s v="Maxine"/>
        <s v="Mikey"/>
        <s v="Peter"/>
        <s v="Reuben"/>
        <s v="Rob"/>
        <s v="Vignesh"/>
        <s v="Will"/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r:id="rId1" recordCount="74" createdVersion="3">
  <cacheSource type="worksheet">
    <worksheetSource ref="A1:C299" sheet="Fall2025PRE"/>
  </cacheSource>
  <cacheFields count="3">
    <cacheField name="Sniper" numFmtId="0">
      <sharedItems containsBlank="1" count="11">
        <s v="Anthony"/>
        <s v="Carter"/>
        <s v="Cooper"/>
        <s v="Erick"/>
        <s v="Ethan"/>
        <s v="Evan"/>
        <s v="Grady"/>
        <s v="Joey"/>
        <s v="Maxine"/>
        <s v="Peter"/>
        <m/>
      </sharedItems>
    </cacheField>
    <cacheField name="Points" numFmtId="0">
      <sharedItems containsString="0" containsBlank="1" containsNumber="1" containsInteger="1" minValue="1" maxValue="5" count="4">
        <n v="1"/>
        <n v="2"/>
        <n v="5"/>
        <m/>
      </sharedItems>
    </cacheField>
    <cacheField name="Snipee" numFmtId="0">
      <sharedItems containsBlank="1" count="13">
        <s v="Alumni"/>
        <s v="Anthony"/>
        <s v="Carter"/>
        <s v="Cooper"/>
        <s v="Erick"/>
        <s v="Ethan"/>
        <s v="Evan"/>
        <s v="Grady"/>
        <s v="Joey"/>
        <s v="Maxine"/>
        <s v="Peter"/>
        <s v="Reuben"/>
        <m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r:id="rId1" recordCount="296" createdVersion="3">
  <cacheSource type="worksheet">
    <worksheetSource ref="A1:C423" sheet="Spring2025"/>
  </cacheSource>
  <cacheFields count="3">
    <cacheField name="Sniper" numFmtId="0">
      <sharedItems containsBlank="1" count="12">
        <s v="Anthony"/>
        <s v="Carter"/>
        <s v="Cooper"/>
        <s v="David"/>
        <s v="Erick"/>
        <s v="Ethan"/>
        <s v="Evan"/>
        <s v="Grady"/>
        <s v="Joey"/>
        <s v="Maxine"/>
        <s v="Tyler"/>
        <m/>
      </sharedItems>
    </cacheField>
    <cacheField name="Points" numFmtId="0">
      <sharedItems containsString="0" containsBlank="1" containsNumber="1" containsInteger="1" minValue="1" maxValue="5" count="4">
        <n v="1"/>
        <n v="2"/>
        <n v="5"/>
        <m/>
      </sharedItems>
    </cacheField>
    <cacheField name="Snipee" numFmtId="0">
      <sharedItems containsBlank="1" count="13">
        <s v="Anthony"/>
        <s v="Carter"/>
        <s v="Cooper"/>
        <s v="David"/>
        <s v="Erick"/>
        <s v="Ethan"/>
        <s v="Evan"/>
        <s v="Grady"/>
        <s v="Joey"/>
        <s v="Maxine"/>
        <s v="Reuben"/>
        <s v="Tyler"/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r:id="rId1" recordCount="426" createdVersion="3">
  <cacheSource type="worksheet">
    <worksheetSource ref="A1:C627" sheet="Fall2024"/>
  </cacheSource>
  <cacheFields count="3">
    <cacheField name="Sniper" numFmtId="0">
      <sharedItems containsBlank="1" count="13">
        <s v="Carter"/>
        <s v="Cooper"/>
        <s v="David"/>
        <s v="Erick"/>
        <s v="Ethan"/>
        <s v="Evan"/>
        <s v="Grady"/>
        <s v="Jon"/>
        <s v="Maxine"/>
        <s v="Peter"/>
        <s v="Sam"/>
        <s v="Tyler"/>
        <m/>
      </sharedItems>
    </cacheField>
    <cacheField name="Points" numFmtId="0">
      <sharedItems containsString="0" containsBlank="1" containsNumber="1" containsInteger="1" minValue="1" maxValue="2" count="3">
        <n v="1"/>
        <n v="2"/>
        <m/>
      </sharedItems>
    </cacheField>
    <cacheField name="Snipee" numFmtId="0">
      <sharedItems containsBlank="1" count="14">
        <s v="Carter"/>
        <s v="Cooper"/>
        <s v="David"/>
        <s v="Erick"/>
        <s v="Ethan"/>
        <s v="Evan"/>
        <s v="Grady"/>
        <s v="Jon"/>
        <s v="Maxine"/>
        <s v="Peter"/>
        <s v="Reuben"/>
        <s v="Sam"/>
        <s v="Tyler"/>
        <m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r:id="rId1" recordCount="104" createdVersion="3">
  <cacheSource type="worksheet">
    <worksheetSource ref="A1:C105" sheet="Spring2024POST"/>
  </cacheSource>
  <cacheFields count="3">
    <cacheField name="Sniper" numFmtId="0">
      <sharedItems count="11">
        <s v="Anthony"/>
        <s v="Carter"/>
        <s v="Cooper"/>
        <s v="David"/>
        <s v="Erick"/>
        <s v="Grady"/>
        <s v="Jon"/>
        <s v="Maxine"/>
        <s v="Peter"/>
        <s v="Sam"/>
        <s v="Tyler"/>
      </sharedItems>
    </cacheField>
    <cacheField name="Points" numFmtId="0">
      <sharedItems containsSemiMixedTypes="0" containsString="0" containsNumber="1" containsInteger="1" minValue="1" maxValue="2" count="2">
        <n v="1"/>
        <n v="2"/>
      </sharedItems>
    </cacheField>
    <cacheField name="Snipee" numFmtId="0">
      <sharedItems count="12">
        <s v="Anthony"/>
        <s v="Carter"/>
        <s v="Cooper"/>
        <s v="David"/>
        <s v="Erick"/>
        <s v="Grady"/>
        <s v="Jon"/>
        <s v="Maxine"/>
        <s v="Peter"/>
        <s v="Sam"/>
        <s v="Seth"/>
        <s v="Tyler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r:id="rId1" recordCount="157" createdVersion="3">
  <cacheSource type="worksheet">
    <worksheetSource ref="A1:C159" sheet="Spring2024"/>
  </cacheSource>
  <cacheFields count="3">
    <cacheField name="Sniper" numFmtId="0">
      <sharedItems containsBlank="1" count="12">
        <s v="Anthony"/>
        <s v="Carter"/>
        <s v="Cooper"/>
        <s v="David"/>
        <s v="Erick"/>
        <s v="Jon"/>
        <s v="Maxine"/>
        <s v="Peter"/>
        <s v="Sam"/>
        <s v="Seth"/>
        <s v="Tyler"/>
        <m/>
      </sharedItems>
    </cacheField>
    <cacheField name="Points" numFmtId="0">
      <sharedItems containsString="0" containsBlank="1" containsNumber="1" containsInteger="1" minValue="0" maxValue="2" count="4">
        <n v="0"/>
        <n v="1"/>
        <n v="2"/>
        <m/>
      </sharedItems>
    </cacheField>
    <cacheField name="Snipee" numFmtId="0">
      <sharedItems containsBlank="1" count="13">
        <s v="Anthony"/>
        <s v="Carter"/>
        <s v="Cooper"/>
        <s v="David"/>
        <s v="Erick"/>
        <s v="Grady"/>
        <s v="Jon"/>
        <s v="Maxine"/>
        <s v="Peter"/>
        <s v="Sam"/>
        <s v="Seth"/>
        <s v="Tyler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8">
  <r>
    <x v="7"/>
    <x v="1"/>
    <x v="3"/>
  </r>
  <r>
    <x v="7"/>
    <x v="1"/>
    <x v="4"/>
  </r>
  <r>
    <x v="1"/>
    <x v="0"/>
    <x v="0"/>
  </r>
  <r>
    <x v="7"/>
    <x v="1"/>
    <x v="0"/>
  </r>
  <r>
    <x v="3"/>
    <x v="0"/>
    <x v="7"/>
  </r>
  <r>
    <x v="0"/>
    <x v="1"/>
    <x v="2"/>
  </r>
  <r>
    <x v="1"/>
    <x v="0"/>
    <x v="0"/>
  </r>
  <r>
    <x v="1"/>
    <x v="0"/>
    <x v="1"/>
  </r>
  <r>
    <x v="1"/>
    <x v="1"/>
    <x v="4"/>
  </r>
  <r>
    <x v="1"/>
    <x v="1"/>
    <x v="5"/>
  </r>
  <r>
    <x v="5"/>
    <x v="0"/>
    <x v="5"/>
  </r>
  <r>
    <x v="7"/>
    <x v="0"/>
    <x v="3"/>
  </r>
  <r>
    <x v="2"/>
    <x v="0"/>
    <x v="7"/>
  </r>
  <r>
    <x v="7"/>
    <x v="1"/>
    <x v="6"/>
  </r>
  <r>
    <x v="7"/>
    <x v="1"/>
    <x v="8"/>
  </r>
  <r>
    <x v="6"/>
    <x v="1"/>
    <x v="8"/>
  </r>
  <r>
    <x v="0"/>
    <x v="0"/>
    <x v="2"/>
  </r>
  <r>
    <x v="1"/>
    <x v="0"/>
    <x v="0"/>
  </r>
  <r>
    <x v="7"/>
    <x v="1"/>
    <x v="4"/>
  </r>
  <r>
    <x v="5"/>
    <x v="1"/>
    <x v="5"/>
  </r>
  <r>
    <x v="5"/>
    <x v="1"/>
    <x v="6"/>
  </r>
  <r>
    <x v="5"/>
    <x v="1"/>
    <x v="3"/>
  </r>
  <r>
    <x v="0"/>
    <x v="1"/>
    <x v="2"/>
  </r>
  <r>
    <x v="7"/>
    <x v="1"/>
    <x v="5"/>
  </r>
  <r>
    <x v="7"/>
    <x v="1"/>
    <x v="5"/>
  </r>
  <r>
    <x v="6"/>
    <x v="1"/>
    <x v="0"/>
  </r>
  <r>
    <x v="2"/>
    <x v="1"/>
    <x v="1"/>
  </r>
  <r>
    <x v="6"/>
    <x v="1"/>
    <x v="7"/>
  </r>
  <r>
    <x v="7"/>
    <x v="1"/>
    <x v="4"/>
  </r>
  <r>
    <x v="0"/>
    <x v="0"/>
    <x v="2"/>
  </r>
  <r>
    <x v="1"/>
    <x v="0"/>
    <x v="0"/>
  </r>
  <r>
    <x v="1"/>
    <x v="0"/>
    <x v="5"/>
  </r>
  <r>
    <x v="5"/>
    <x v="1"/>
    <x v="5"/>
  </r>
  <r>
    <x v="1"/>
    <x v="0"/>
    <x v="0"/>
  </r>
  <r>
    <x v="6"/>
    <x v="1"/>
    <x v="4"/>
  </r>
  <r>
    <x v="7"/>
    <x v="1"/>
    <x v="4"/>
  </r>
  <r>
    <x v="0"/>
    <x v="1"/>
    <x v="7"/>
  </r>
  <r>
    <x v="4"/>
    <x v="1"/>
    <x v="2"/>
  </r>
  <r>
    <x v="1"/>
    <x v="0"/>
    <x v="5"/>
  </r>
  <r>
    <x v="1"/>
    <x v="1"/>
    <x v="0"/>
  </r>
  <r>
    <x v="6"/>
    <x v="1"/>
    <x v="0"/>
  </r>
  <r>
    <x v="1"/>
    <x v="0"/>
    <x v="0"/>
  </r>
  <r>
    <x v="0"/>
    <x v="0"/>
    <x v="2"/>
  </r>
  <r>
    <x v="0"/>
    <x v="1"/>
    <x v="5"/>
  </r>
  <r>
    <x v="4"/>
    <x v="0"/>
    <x v="0"/>
  </r>
  <r>
    <x v="1"/>
    <x v="0"/>
    <x v="0"/>
  </r>
  <r>
    <x v="0"/>
    <x v="0"/>
    <x v="2"/>
  </r>
  <r>
    <x v="7"/>
    <x v="1"/>
    <x v="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308">
  <r>
    <x v="9"/>
    <x v="2"/>
    <x v="0"/>
  </r>
  <r>
    <x v="9"/>
    <x v="0"/>
    <x v="11"/>
  </r>
  <r>
    <x v="9"/>
    <x v="0"/>
    <x v="9"/>
  </r>
  <r>
    <x v="1"/>
    <x v="1"/>
    <x v="13"/>
  </r>
  <r>
    <x v="3"/>
    <x v="0"/>
    <x v="12"/>
  </r>
  <r>
    <x v="12"/>
    <x v="1"/>
    <x v="13"/>
  </r>
  <r>
    <x v="12"/>
    <x v="1"/>
    <x v="8"/>
  </r>
  <r>
    <x v="7"/>
    <x v="2"/>
    <x v="0"/>
  </r>
  <r>
    <x v="12"/>
    <x v="1"/>
    <x v="5"/>
  </r>
  <r>
    <x v="0"/>
    <x v="0"/>
    <x v="6"/>
  </r>
  <r>
    <x v="4"/>
    <x v="0"/>
    <x v="1"/>
  </r>
  <r>
    <x v="8"/>
    <x v="1"/>
    <x v="6"/>
  </r>
  <r>
    <x v="12"/>
    <x v="0"/>
    <x v="12"/>
  </r>
  <r>
    <x v="6"/>
    <x v="0"/>
    <x v="5"/>
  </r>
  <r>
    <x v="3"/>
    <x v="0"/>
    <x v="8"/>
  </r>
  <r>
    <x v="3"/>
    <x v="1"/>
    <x v="3"/>
  </r>
  <r>
    <x v="0"/>
    <x v="1"/>
    <x v="3"/>
  </r>
  <r>
    <x v="7"/>
    <x v="1"/>
    <x v="12"/>
  </r>
  <r>
    <x v="8"/>
    <x v="1"/>
    <x v="1"/>
  </r>
  <r>
    <x v="0"/>
    <x v="1"/>
    <x v="10"/>
  </r>
  <r>
    <x v="8"/>
    <x v="1"/>
    <x v="13"/>
  </r>
  <r>
    <x v="6"/>
    <x v="1"/>
    <x v="1"/>
  </r>
  <r>
    <x v="10"/>
    <x v="0"/>
    <x v="12"/>
  </r>
  <r>
    <x v="12"/>
    <x v="1"/>
    <x v="12"/>
  </r>
  <r>
    <x v="0"/>
    <x v="1"/>
    <x v="3"/>
  </r>
  <r>
    <x v="8"/>
    <x v="0"/>
    <x v="13"/>
  </r>
  <r>
    <x v="10"/>
    <x v="0"/>
    <x v="10"/>
  </r>
  <r>
    <x v="0"/>
    <x v="1"/>
    <x v="3"/>
  </r>
  <r>
    <x v="12"/>
    <x v="1"/>
    <x v="7"/>
  </r>
  <r>
    <x v="12"/>
    <x v="0"/>
    <x v="8"/>
  </r>
  <r>
    <x v="6"/>
    <x v="0"/>
    <x v="15"/>
  </r>
  <r>
    <x v="6"/>
    <x v="0"/>
    <x v="13"/>
  </r>
  <r>
    <x v="10"/>
    <x v="0"/>
    <x v="8"/>
  </r>
  <r>
    <x v="12"/>
    <x v="1"/>
    <x v="13"/>
  </r>
  <r>
    <x v="12"/>
    <x v="1"/>
    <x v="10"/>
  </r>
  <r>
    <x v="9"/>
    <x v="1"/>
    <x v="3"/>
  </r>
  <r>
    <x v="0"/>
    <x v="0"/>
    <x v="11"/>
  </r>
  <r>
    <x v="9"/>
    <x v="0"/>
    <x v="1"/>
  </r>
  <r>
    <x v="10"/>
    <x v="1"/>
    <x v="12"/>
  </r>
  <r>
    <x v="8"/>
    <x v="1"/>
    <x v="13"/>
  </r>
  <r>
    <x v="10"/>
    <x v="0"/>
    <x v="10"/>
  </r>
  <r>
    <x v="8"/>
    <x v="0"/>
    <x v="5"/>
  </r>
  <r>
    <x v="10"/>
    <x v="0"/>
    <x v="5"/>
  </r>
  <r>
    <x v="3"/>
    <x v="1"/>
    <x v="10"/>
  </r>
  <r>
    <x v="3"/>
    <x v="1"/>
    <x v="13"/>
  </r>
  <r>
    <x v="10"/>
    <x v="0"/>
    <x v="1"/>
  </r>
  <r>
    <x v="3"/>
    <x v="0"/>
    <x v="1"/>
  </r>
  <r>
    <x v="8"/>
    <x v="0"/>
    <x v="1"/>
  </r>
  <r>
    <x v="4"/>
    <x v="0"/>
    <x v="1"/>
  </r>
  <r>
    <x v="0"/>
    <x v="0"/>
    <x v="6"/>
  </r>
  <r>
    <x v="3"/>
    <x v="1"/>
    <x v="15"/>
  </r>
  <r>
    <x v="11"/>
    <x v="1"/>
    <x v="8"/>
  </r>
  <r>
    <x v="9"/>
    <x v="1"/>
    <x v="8"/>
  </r>
  <r>
    <x v="6"/>
    <x v="1"/>
    <x v="1"/>
  </r>
  <r>
    <x v="11"/>
    <x v="1"/>
    <x v="12"/>
  </r>
  <r>
    <x v="8"/>
    <x v="0"/>
    <x v="13"/>
  </r>
  <r>
    <x v="10"/>
    <x v="0"/>
    <x v="10"/>
  </r>
  <r>
    <x v="9"/>
    <x v="1"/>
    <x v="7"/>
  </r>
  <r>
    <x v="0"/>
    <x v="1"/>
    <x v="6"/>
  </r>
  <r>
    <x v="6"/>
    <x v="0"/>
    <x v="15"/>
  </r>
  <r>
    <x v="12"/>
    <x v="0"/>
    <x v="8"/>
  </r>
  <r>
    <x v="4"/>
    <x v="1"/>
    <x v="1"/>
  </r>
  <r>
    <x v="4"/>
    <x v="1"/>
    <x v="12"/>
  </r>
  <r>
    <x v="12"/>
    <x v="1"/>
    <x v="13"/>
  </r>
  <r>
    <x v="9"/>
    <x v="1"/>
    <x v="5"/>
  </r>
  <r>
    <x v="9"/>
    <x v="1"/>
    <x v="13"/>
  </r>
  <r>
    <x v="9"/>
    <x v="0"/>
    <x v="1"/>
  </r>
  <r>
    <x v="0"/>
    <x v="1"/>
    <x v="11"/>
  </r>
  <r>
    <x v="4"/>
    <x v="0"/>
    <x v="8"/>
  </r>
  <r>
    <x v="0"/>
    <x v="0"/>
    <x v="6"/>
  </r>
  <r>
    <x v="4"/>
    <x v="1"/>
    <x v="1"/>
  </r>
  <r>
    <x v="0"/>
    <x v="0"/>
    <x v="8"/>
  </r>
  <r>
    <x v="6"/>
    <x v="0"/>
    <x v="1"/>
  </r>
  <r>
    <x v="6"/>
    <x v="1"/>
    <x v="6"/>
  </r>
  <r>
    <x v="10"/>
    <x v="1"/>
    <x v="10"/>
  </r>
  <r>
    <x v="2"/>
    <x v="1"/>
    <x v="10"/>
  </r>
  <r>
    <x v="8"/>
    <x v="0"/>
    <x v="3"/>
  </r>
  <r>
    <x v="11"/>
    <x v="0"/>
    <x v="2"/>
  </r>
  <r>
    <x v="1"/>
    <x v="0"/>
    <x v="14"/>
  </r>
  <r>
    <x v="7"/>
    <x v="0"/>
    <x v="12"/>
  </r>
  <r>
    <x v="9"/>
    <x v="0"/>
    <x v="10"/>
  </r>
  <r>
    <x v="8"/>
    <x v="0"/>
    <x v="11"/>
  </r>
  <r>
    <x v="11"/>
    <x v="0"/>
    <x v="2"/>
  </r>
  <r>
    <x v="1"/>
    <x v="0"/>
    <x v="14"/>
  </r>
  <r>
    <x v="4"/>
    <x v="0"/>
    <x v="2"/>
  </r>
  <r>
    <x v="1"/>
    <x v="0"/>
    <x v="6"/>
  </r>
  <r>
    <x v="0"/>
    <x v="1"/>
    <x v="10"/>
  </r>
  <r>
    <x v="9"/>
    <x v="1"/>
    <x v="14"/>
  </r>
  <r>
    <x v="0"/>
    <x v="1"/>
    <x v="6"/>
  </r>
  <r>
    <x v="4"/>
    <x v="0"/>
    <x v="1"/>
  </r>
  <r>
    <x v="10"/>
    <x v="0"/>
    <x v="12"/>
  </r>
  <r>
    <x v="12"/>
    <x v="0"/>
    <x v="10"/>
  </r>
  <r>
    <x v="8"/>
    <x v="0"/>
    <x v="15"/>
  </r>
  <r>
    <x v="1"/>
    <x v="1"/>
    <x v="10"/>
  </r>
  <r>
    <x v="9"/>
    <x v="0"/>
    <x v="1"/>
  </r>
  <r>
    <x v="0"/>
    <x v="0"/>
    <x v="11"/>
  </r>
  <r>
    <x v="8"/>
    <x v="0"/>
    <x v="12"/>
  </r>
  <r>
    <x v="11"/>
    <x v="1"/>
    <x v="13"/>
  </r>
  <r>
    <x v="1"/>
    <x v="1"/>
    <x v="8"/>
  </r>
  <r>
    <x v="1"/>
    <x v="1"/>
    <x v="13"/>
  </r>
  <r>
    <x v="8"/>
    <x v="1"/>
    <x v="8"/>
  </r>
  <r>
    <x v="6"/>
    <x v="0"/>
    <x v="10"/>
  </r>
  <r>
    <x v="6"/>
    <x v="0"/>
    <x v="13"/>
  </r>
  <r>
    <x v="9"/>
    <x v="1"/>
    <x v="12"/>
  </r>
  <r>
    <x v="4"/>
    <x v="0"/>
    <x v="12"/>
  </r>
  <r>
    <x v="10"/>
    <x v="1"/>
    <x v="12"/>
  </r>
  <r>
    <x v="12"/>
    <x v="1"/>
    <x v="12"/>
  </r>
  <r>
    <x v="11"/>
    <x v="1"/>
    <x v="2"/>
  </r>
  <r>
    <x v="9"/>
    <x v="0"/>
    <x v="14"/>
  </r>
  <r>
    <x v="11"/>
    <x v="0"/>
    <x v="11"/>
  </r>
  <r>
    <x v="8"/>
    <x v="0"/>
    <x v="5"/>
  </r>
  <r>
    <x v="3"/>
    <x v="0"/>
    <x v="10"/>
  </r>
  <r>
    <x v="0"/>
    <x v="1"/>
    <x v="14"/>
  </r>
  <r>
    <x v="11"/>
    <x v="0"/>
    <x v="6"/>
  </r>
  <r>
    <x v="4"/>
    <x v="1"/>
    <x v="14"/>
  </r>
  <r>
    <x v="11"/>
    <x v="1"/>
    <x v="8"/>
  </r>
  <r>
    <x v="9"/>
    <x v="0"/>
    <x v="14"/>
  </r>
  <r>
    <x v="11"/>
    <x v="0"/>
    <x v="11"/>
  </r>
  <r>
    <x v="4"/>
    <x v="0"/>
    <x v="13"/>
  </r>
  <r>
    <x v="10"/>
    <x v="0"/>
    <x v="6"/>
  </r>
  <r>
    <x v="0"/>
    <x v="1"/>
    <x v="8"/>
  </r>
  <r>
    <x v="6"/>
    <x v="0"/>
    <x v="1"/>
  </r>
  <r>
    <x v="0"/>
    <x v="1"/>
    <x v="5"/>
  </r>
  <r>
    <x v="6"/>
    <x v="1"/>
    <x v="5"/>
  </r>
  <r>
    <x v="3"/>
    <x v="0"/>
    <x v="8"/>
  </r>
  <r>
    <x v="10"/>
    <x v="1"/>
    <x v="2"/>
  </r>
  <r>
    <x v="8"/>
    <x v="0"/>
    <x v="13"/>
  </r>
  <r>
    <x v="9"/>
    <x v="0"/>
    <x v="3"/>
  </r>
  <r>
    <x v="9"/>
    <x v="1"/>
    <x v="1"/>
  </r>
  <r>
    <x v="4"/>
    <x v="0"/>
    <x v="1"/>
  </r>
  <r>
    <x v="0"/>
    <x v="1"/>
    <x v="6"/>
  </r>
  <r>
    <x v="4"/>
    <x v="0"/>
    <x v="12"/>
  </r>
  <r>
    <x v="9"/>
    <x v="0"/>
    <x v="1"/>
  </r>
  <r>
    <x v="9"/>
    <x v="1"/>
    <x v="8"/>
  </r>
  <r>
    <x v="6"/>
    <x v="1"/>
    <x v="10"/>
  </r>
  <r>
    <x v="10"/>
    <x v="1"/>
    <x v="10"/>
  </r>
  <r>
    <x v="8"/>
    <x v="0"/>
    <x v="13"/>
  </r>
  <r>
    <x v="12"/>
    <x v="1"/>
    <x v="13"/>
  </r>
  <r>
    <x v="10"/>
    <x v="1"/>
    <x v="15"/>
  </r>
  <r>
    <x v="4"/>
    <x v="1"/>
    <x v="10"/>
  </r>
  <r>
    <x v="8"/>
    <x v="0"/>
    <x v="8"/>
  </r>
  <r>
    <x v="6"/>
    <x v="1"/>
    <x v="10"/>
  </r>
  <r>
    <x v="5"/>
    <x v="1"/>
    <x v="13"/>
  </r>
  <r>
    <x v="8"/>
    <x v="1"/>
    <x v="13"/>
  </r>
  <r>
    <x v="10"/>
    <x v="0"/>
    <x v="10"/>
  </r>
  <r>
    <x v="8"/>
    <x v="1"/>
    <x v="13"/>
  </r>
  <r>
    <x v="10"/>
    <x v="0"/>
    <x v="10"/>
  </r>
  <r>
    <x v="8"/>
    <x v="0"/>
    <x v="13"/>
  </r>
  <r>
    <x v="10"/>
    <x v="0"/>
    <x v="10"/>
  </r>
  <r>
    <x v="10"/>
    <x v="0"/>
    <x v="8"/>
  </r>
  <r>
    <x v="6"/>
    <x v="0"/>
    <x v="13"/>
  </r>
  <r>
    <x v="4"/>
    <x v="1"/>
    <x v="10"/>
  </r>
  <r>
    <x v="8"/>
    <x v="1"/>
    <x v="9"/>
  </r>
  <r>
    <x v="4"/>
    <x v="1"/>
    <x v="11"/>
  </r>
  <r>
    <x v="9"/>
    <x v="1"/>
    <x v="6"/>
  </r>
  <r>
    <x v="10"/>
    <x v="1"/>
    <x v="12"/>
  </r>
  <r>
    <x v="9"/>
    <x v="1"/>
    <x v="8"/>
  </r>
  <r>
    <x v="9"/>
    <x v="1"/>
    <x v="1"/>
  </r>
  <r>
    <x v="6"/>
    <x v="0"/>
    <x v="11"/>
  </r>
  <r>
    <x v="10"/>
    <x v="0"/>
    <x v="15"/>
  </r>
  <r>
    <x v="12"/>
    <x v="0"/>
    <x v="13"/>
  </r>
  <r>
    <x v="3"/>
    <x v="1"/>
    <x v="1"/>
  </r>
  <r>
    <x v="3"/>
    <x v="1"/>
    <x v="13"/>
  </r>
  <r>
    <x v="3"/>
    <x v="1"/>
    <x v="10"/>
  </r>
  <r>
    <x v="4"/>
    <x v="0"/>
    <x v="8"/>
  </r>
  <r>
    <x v="6"/>
    <x v="0"/>
    <x v="6"/>
  </r>
  <r>
    <x v="4"/>
    <x v="0"/>
    <x v="1"/>
  </r>
  <r>
    <x v="6"/>
    <x v="1"/>
    <x v="5"/>
  </r>
  <r>
    <x v="6"/>
    <x v="1"/>
    <x v="6"/>
  </r>
  <r>
    <x v="1"/>
    <x v="1"/>
    <x v="14"/>
  </r>
  <r>
    <x v="11"/>
    <x v="1"/>
    <x v="12"/>
  </r>
  <r>
    <x v="11"/>
    <x v="0"/>
    <x v="13"/>
  </r>
  <r>
    <x v="10"/>
    <x v="0"/>
    <x v="14"/>
  </r>
  <r>
    <x v="12"/>
    <x v="0"/>
    <x v="8"/>
  </r>
  <r>
    <x v="6"/>
    <x v="0"/>
    <x v="15"/>
  </r>
  <r>
    <x v="12"/>
    <x v="0"/>
    <x v="5"/>
  </r>
  <r>
    <x v="3"/>
    <x v="0"/>
    <x v="15"/>
  </r>
  <r>
    <x v="9"/>
    <x v="1"/>
    <x v="1"/>
  </r>
  <r>
    <x v="7"/>
    <x v="2"/>
    <x v="0"/>
  </r>
  <r>
    <x v="3"/>
    <x v="1"/>
    <x v="1"/>
  </r>
  <r>
    <x v="11"/>
    <x v="0"/>
    <x v="9"/>
  </r>
  <r>
    <x v="7"/>
    <x v="0"/>
    <x v="14"/>
  </r>
  <r>
    <x v="5"/>
    <x v="1"/>
    <x v="10"/>
  </r>
  <r>
    <x v="8"/>
    <x v="1"/>
    <x v="2"/>
  </r>
  <r>
    <x v="3"/>
    <x v="1"/>
    <x v="8"/>
  </r>
  <r>
    <x v="12"/>
    <x v="1"/>
    <x v="10"/>
  </r>
  <r>
    <x v="12"/>
    <x v="0"/>
    <x v="8"/>
  </r>
  <r>
    <x v="6"/>
    <x v="0"/>
    <x v="15"/>
  </r>
  <r>
    <x v="12"/>
    <x v="1"/>
    <x v="8"/>
  </r>
  <r>
    <x v="1"/>
    <x v="1"/>
    <x v="10"/>
  </r>
  <r>
    <x v="10"/>
    <x v="0"/>
    <x v="8"/>
  </r>
  <r>
    <x v="6"/>
    <x v="1"/>
    <x v="13"/>
  </r>
  <r>
    <x v="12"/>
    <x v="0"/>
    <x v="8"/>
  </r>
  <r>
    <x v="6"/>
    <x v="0"/>
    <x v="15"/>
  </r>
  <r>
    <x v="4"/>
    <x v="1"/>
    <x v="10"/>
  </r>
  <r>
    <x v="1"/>
    <x v="0"/>
    <x v="14"/>
  </r>
  <r>
    <x v="11"/>
    <x v="0"/>
    <x v="2"/>
  </r>
  <r>
    <x v="1"/>
    <x v="1"/>
    <x v="6"/>
  </r>
  <r>
    <x v="1"/>
    <x v="0"/>
    <x v="8"/>
  </r>
  <r>
    <x v="6"/>
    <x v="1"/>
    <x v="2"/>
  </r>
  <r>
    <x v="10"/>
    <x v="1"/>
    <x v="1"/>
  </r>
  <r>
    <x v="11"/>
    <x v="1"/>
    <x v="12"/>
  </r>
  <r>
    <x v="12"/>
    <x v="1"/>
    <x v="3"/>
  </r>
  <r>
    <x v="4"/>
    <x v="0"/>
    <x v="1"/>
  </r>
  <r>
    <x v="0"/>
    <x v="0"/>
    <x v="6"/>
  </r>
  <r>
    <x v="12"/>
    <x v="1"/>
    <x v="12"/>
  </r>
  <r>
    <x v="8"/>
    <x v="0"/>
    <x v="8"/>
  </r>
  <r>
    <x v="4"/>
    <x v="1"/>
    <x v="15"/>
  </r>
  <r>
    <x v="12"/>
    <x v="1"/>
    <x v="10"/>
  </r>
  <r>
    <x v="8"/>
    <x v="0"/>
    <x v="8"/>
  </r>
  <r>
    <x v="6"/>
    <x v="0"/>
    <x v="10"/>
  </r>
  <r>
    <x v="3"/>
    <x v="1"/>
    <x v="8"/>
  </r>
  <r>
    <x v="10"/>
    <x v="1"/>
    <x v="12"/>
  </r>
  <r>
    <x v="8"/>
    <x v="0"/>
    <x v="15"/>
  </r>
  <r>
    <x v="12"/>
    <x v="0"/>
    <x v="10"/>
  </r>
  <r>
    <x v="8"/>
    <x v="1"/>
    <x v="5"/>
  </r>
  <r>
    <x v="8"/>
    <x v="0"/>
    <x v="13"/>
  </r>
  <r>
    <x v="11"/>
    <x v="0"/>
    <x v="1"/>
  </r>
  <r>
    <x v="10"/>
    <x v="0"/>
    <x v="10"/>
  </r>
  <r>
    <x v="8"/>
    <x v="0"/>
    <x v="13"/>
  </r>
  <r>
    <x v="1"/>
    <x v="0"/>
    <x v="14"/>
  </r>
  <r>
    <x v="11"/>
    <x v="0"/>
    <x v="2"/>
  </r>
  <r>
    <x v="9"/>
    <x v="0"/>
    <x v="1"/>
  </r>
  <r>
    <x v="11"/>
    <x v="1"/>
    <x v="2"/>
  </r>
  <r>
    <x v="1"/>
    <x v="0"/>
    <x v="14"/>
  </r>
  <r>
    <x v="12"/>
    <x v="1"/>
    <x v="13"/>
  </r>
  <r>
    <x v="1"/>
    <x v="1"/>
    <x v="15"/>
  </r>
  <r>
    <x v="1"/>
    <x v="1"/>
    <x v="13"/>
  </r>
  <r>
    <x v="6"/>
    <x v="1"/>
    <x v="10"/>
  </r>
  <r>
    <x v="1"/>
    <x v="1"/>
    <x v="13"/>
  </r>
  <r>
    <x v="10"/>
    <x v="1"/>
    <x v="10"/>
  </r>
  <r>
    <x v="11"/>
    <x v="1"/>
    <x v="4"/>
  </r>
  <r>
    <x v="6"/>
    <x v="0"/>
    <x v="1"/>
  </r>
  <r>
    <x v="4"/>
    <x v="1"/>
    <x v="1"/>
  </r>
  <r>
    <x v="1"/>
    <x v="1"/>
    <x v="13"/>
  </r>
  <r>
    <x v="1"/>
    <x v="0"/>
    <x v="9"/>
  </r>
  <r>
    <x v="10"/>
    <x v="0"/>
    <x v="7"/>
  </r>
  <r>
    <x v="10"/>
    <x v="0"/>
    <x v="10"/>
  </r>
  <r>
    <x v="8"/>
    <x v="0"/>
    <x v="13"/>
  </r>
  <r>
    <x v="4"/>
    <x v="1"/>
    <x v="12"/>
  </r>
  <r>
    <x v="7"/>
    <x v="0"/>
    <x v="7"/>
  </r>
  <r>
    <x v="5"/>
    <x v="0"/>
    <x v="9"/>
  </r>
  <r>
    <x v="8"/>
    <x v="1"/>
    <x v="8"/>
  </r>
  <r>
    <x v="6"/>
    <x v="0"/>
    <x v="10"/>
  </r>
  <r>
    <x v="8"/>
    <x v="0"/>
    <x v="11"/>
  </r>
  <r>
    <x v="9"/>
    <x v="0"/>
    <x v="10"/>
  </r>
  <r>
    <x v="9"/>
    <x v="0"/>
    <x v="6"/>
  </r>
  <r>
    <x v="4"/>
    <x v="0"/>
    <x v="11"/>
  </r>
  <r>
    <x v="9"/>
    <x v="1"/>
    <x v="14"/>
  </r>
  <r>
    <x v="8"/>
    <x v="0"/>
    <x v="1"/>
  </r>
  <r>
    <x v="0"/>
    <x v="1"/>
    <x v="6"/>
  </r>
  <r>
    <x v="12"/>
    <x v="1"/>
    <x v="13"/>
  </r>
  <r>
    <x v="10"/>
    <x v="0"/>
    <x v="15"/>
  </r>
  <r>
    <x v="12"/>
    <x v="0"/>
    <x v="5"/>
  </r>
  <r>
    <x v="12"/>
    <x v="0"/>
    <x v="1"/>
  </r>
  <r>
    <x v="7"/>
    <x v="0"/>
    <x v="2"/>
  </r>
  <r>
    <x v="7"/>
    <x v="2"/>
    <x v="0"/>
  </r>
  <r>
    <x v="1"/>
    <x v="2"/>
    <x v="0"/>
  </r>
  <r>
    <x v="1"/>
    <x v="0"/>
    <x v="9"/>
  </r>
  <r>
    <x v="1"/>
    <x v="0"/>
    <x v="1"/>
  </r>
  <r>
    <x v="0"/>
    <x v="0"/>
    <x v="2"/>
  </r>
  <r>
    <x v="0"/>
    <x v="0"/>
    <x v="9"/>
  </r>
  <r>
    <x v="0"/>
    <x v="2"/>
    <x v="0"/>
  </r>
  <r>
    <x v="1"/>
    <x v="1"/>
    <x v="15"/>
  </r>
  <r>
    <x v="7"/>
    <x v="1"/>
    <x v="15"/>
  </r>
  <r>
    <x v="7"/>
    <x v="1"/>
    <x v="5"/>
  </r>
  <r>
    <x v="6"/>
    <x v="0"/>
    <x v="1"/>
  </r>
  <r>
    <x v="9"/>
    <x v="1"/>
    <x v="1"/>
  </r>
  <r>
    <x v="9"/>
    <x v="1"/>
    <x v="3"/>
  </r>
  <r>
    <x v="3"/>
    <x v="1"/>
    <x v="12"/>
  </r>
  <r>
    <x v="8"/>
    <x v="0"/>
    <x v="15"/>
  </r>
  <r>
    <x v="12"/>
    <x v="0"/>
    <x v="10"/>
  </r>
  <r>
    <x v="6"/>
    <x v="1"/>
    <x v="15"/>
  </r>
  <r>
    <x v="3"/>
    <x v="1"/>
    <x v="12"/>
  </r>
  <r>
    <x v="3"/>
    <x v="1"/>
    <x v="6"/>
  </r>
  <r>
    <x v="3"/>
    <x v="1"/>
    <x v="10"/>
  </r>
  <r>
    <x v="11"/>
    <x v="1"/>
    <x v="2"/>
  </r>
  <r>
    <x v="3"/>
    <x v="1"/>
    <x v="13"/>
  </r>
  <r>
    <x v="6"/>
    <x v="0"/>
    <x v="12"/>
  </r>
  <r>
    <x v="3"/>
    <x v="1"/>
    <x v="12"/>
  </r>
  <r>
    <x v="8"/>
    <x v="0"/>
    <x v="8"/>
  </r>
  <r>
    <x v="6"/>
    <x v="0"/>
    <x v="10"/>
  </r>
  <r>
    <x v="8"/>
    <x v="0"/>
    <x v="15"/>
  </r>
  <r>
    <x v="12"/>
    <x v="0"/>
    <x v="10"/>
  </r>
  <r>
    <x v="10"/>
    <x v="0"/>
    <x v="8"/>
  </r>
  <r>
    <x v="6"/>
    <x v="0"/>
    <x v="13"/>
  </r>
  <r>
    <x v="6"/>
    <x v="1"/>
    <x v="15"/>
  </r>
  <r>
    <x v="12"/>
    <x v="1"/>
    <x v="6"/>
  </r>
  <r>
    <x v="1"/>
    <x v="1"/>
    <x v="13"/>
  </r>
  <r>
    <x v="10"/>
    <x v="1"/>
    <x v="6"/>
  </r>
  <r>
    <x v="4"/>
    <x v="0"/>
    <x v="1"/>
  </r>
  <r>
    <x v="6"/>
    <x v="1"/>
    <x v="6"/>
  </r>
  <r>
    <x v="3"/>
    <x v="1"/>
    <x v="10"/>
  </r>
  <r>
    <x v="3"/>
    <x v="1"/>
    <x v="15"/>
  </r>
  <r>
    <x v="8"/>
    <x v="0"/>
    <x v="15"/>
  </r>
  <r>
    <x v="12"/>
    <x v="0"/>
    <x v="10"/>
  </r>
  <r>
    <x v="3"/>
    <x v="1"/>
    <x v="8"/>
  </r>
  <r>
    <x v="8"/>
    <x v="1"/>
    <x v="12"/>
  </r>
  <r>
    <x v="8"/>
    <x v="0"/>
    <x v="13"/>
  </r>
  <r>
    <x v="10"/>
    <x v="1"/>
    <x v="10"/>
  </r>
  <r>
    <x v="4"/>
    <x v="0"/>
    <x v="12"/>
  </r>
  <r>
    <x v="1"/>
    <x v="1"/>
    <x v="14"/>
  </r>
  <r>
    <x v="7"/>
    <x v="2"/>
    <x v="0"/>
  </r>
  <r>
    <x v="12"/>
    <x v="0"/>
    <x v="12"/>
  </r>
  <r>
    <x v="6"/>
    <x v="0"/>
    <x v="15"/>
  </r>
  <r>
    <x v="12"/>
    <x v="0"/>
    <x v="8"/>
  </r>
  <r>
    <x v="6"/>
    <x v="1"/>
    <x v="15"/>
  </r>
  <r>
    <x v="12"/>
    <x v="0"/>
    <x v="8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531">
  <r>
    <x v="14"/>
    <x v="1"/>
    <x v="5"/>
  </r>
  <r>
    <x v="4"/>
    <x v="0"/>
    <x v="16"/>
  </r>
  <r>
    <x v="4"/>
    <x v="1"/>
    <x v="13"/>
  </r>
  <r>
    <x v="10"/>
    <x v="0"/>
    <x v="14"/>
  </r>
  <r>
    <x v="12"/>
    <x v="0"/>
    <x v="11"/>
  </r>
  <r>
    <x v="10"/>
    <x v="1"/>
    <x v="16"/>
  </r>
  <r>
    <x v="4"/>
    <x v="0"/>
    <x v="4"/>
  </r>
  <r>
    <x v="3"/>
    <x v="0"/>
    <x v="5"/>
  </r>
  <r>
    <x v="10"/>
    <x v="1"/>
    <x v="14"/>
  </r>
  <r>
    <x v="1"/>
    <x v="1"/>
    <x v="13"/>
  </r>
  <r>
    <x v="4"/>
    <x v="0"/>
    <x v="11"/>
  </r>
  <r>
    <x v="10"/>
    <x v="0"/>
    <x v="5"/>
  </r>
  <r>
    <x v="14"/>
    <x v="0"/>
    <x v="9"/>
  </r>
  <r>
    <x v="8"/>
    <x v="0"/>
    <x v="16"/>
  </r>
  <r>
    <x v="0"/>
    <x v="0"/>
    <x v="14"/>
  </r>
  <r>
    <x v="12"/>
    <x v="0"/>
    <x v="1"/>
  </r>
  <r>
    <x v="0"/>
    <x v="1"/>
    <x v="11"/>
  </r>
  <r>
    <x v="1"/>
    <x v="0"/>
    <x v="5"/>
  </r>
  <r>
    <x v="4"/>
    <x v="0"/>
    <x v="2"/>
  </r>
  <r>
    <x v="4"/>
    <x v="0"/>
    <x v="1"/>
  </r>
  <r>
    <x v="0"/>
    <x v="0"/>
    <x v="5"/>
  </r>
  <r>
    <x v="0"/>
    <x v="0"/>
    <x v="2"/>
  </r>
  <r>
    <x v="1"/>
    <x v="0"/>
    <x v="10"/>
  </r>
  <r>
    <x v="9"/>
    <x v="0"/>
    <x v="2"/>
  </r>
  <r>
    <x v="9"/>
    <x v="0"/>
    <x v="5"/>
  </r>
  <r>
    <x v="4"/>
    <x v="0"/>
    <x v="10"/>
  </r>
  <r>
    <x v="0"/>
    <x v="0"/>
    <x v="10"/>
  </r>
  <r>
    <x v="9"/>
    <x v="0"/>
    <x v="1"/>
  </r>
  <r>
    <x v="1"/>
    <x v="0"/>
    <x v="1"/>
  </r>
  <r>
    <x v="7"/>
    <x v="0"/>
    <x v="7"/>
  </r>
  <r>
    <x v="6"/>
    <x v="0"/>
    <x v="8"/>
  </r>
  <r>
    <x v="13"/>
    <x v="0"/>
    <x v="9"/>
  </r>
  <r>
    <x v="8"/>
    <x v="0"/>
    <x v="15"/>
  </r>
  <r>
    <x v="10"/>
    <x v="1"/>
    <x v="6"/>
  </r>
  <r>
    <x v="5"/>
    <x v="0"/>
    <x v="11"/>
  </r>
  <r>
    <x v="11"/>
    <x v="1"/>
    <x v="11"/>
  </r>
  <r>
    <x v="14"/>
    <x v="1"/>
    <x v="6"/>
  </r>
  <r>
    <x v="4"/>
    <x v="1"/>
    <x v="11"/>
  </r>
  <r>
    <x v="10"/>
    <x v="0"/>
    <x v="5"/>
  </r>
  <r>
    <x v="4"/>
    <x v="1"/>
    <x v="13"/>
  </r>
  <r>
    <x v="10"/>
    <x v="1"/>
    <x v="13"/>
  </r>
  <r>
    <x v="4"/>
    <x v="1"/>
    <x v="11"/>
  </r>
  <r>
    <x v="4"/>
    <x v="1"/>
    <x v="13"/>
  </r>
  <r>
    <x v="1"/>
    <x v="0"/>
    <x v="4"/>
  </r>
  <r>
    <x v="3"/>
    <x v="0"/>
    <x v="2"/>
  </r>
  <r>
    <x v="0"/>
    <x v="0"/>
    <x v="2"/>
  </r>
  <r>
    <x v="1"/>
    <x v="0"/>
    <x v="1"/>
  </r>
  <r>
    <x v="4"/>
    <x v="0"/>
    <x v="7"/>
  </r>
  <r>
    <x v="6"/>
    <x v="0"/>
    <x v="5"/>
  </r>
  <r>
    <x v="8"/>
    <x v="1"/>
    <x v="11"/>
  </r>
  <r>
    <x v="7"/>
    <x v="0"/>
    <x v="7"/>
  </r>
  <r>
    <x v="10"/>
    <x v="0"/>
    <x v="16"/>
  </r>
  <r>
    <x v="14"/>
    <x v="0"/>
    <x v="11"/>
  </r>
  <r>
    <x v="4"/>
    <x v="0"/>
    <x v="15"/>
  </r>
  <r>
    <x v="13"/>
    <x v="0"/>
    <x v="5"/>
  </r>
  <r>
    <x v="10"/>
    <x v="1"/>
    <x v="6"/>
  </r>
  <r>
    <x v="1"/>
    <x v="1"/>
    <x v="15"/>
  </r>
  <r>
    <x v="4"/>
    <x v="0"/>
    <x v="16"/>
  </r>
  <r>
    <x v="14"/>
    <x v="0"/>
    <x v="5"/>
  </r>
  <r>
    <x v="14"/>
    <x v="1"/>
    <x v="14"/>
  </r>
  <r>
    <x v="10"/>
    <x v="1"/>
    <x v="14"/>
  </r>
  <r>
    <x v="4"/>
    <x v="1"/>
    <x v="13"/>
  </r>
  <r>
    <x v="10"/>
    <x v="0"/>
    <x v="16"/>
  </r>
  <r>
    <x v="14"/>
    <x v="0"/>
    <x v="11"/>
  </r>
  <r>
    <x v="14"/>
    <x v="1"/>
    <x v="9"/>
  </r>
  <r>
    <x v="8"/>
    <x v="0"/>
    <x v="16"/>
  </r>
  <r>
    <x v="14"/>
    <x v="1"/>
    <x v="5"/>
  </r>
  <r>
    <x v="4"/>
    <x v="0"/>
    <x v="16"/>
  </r>
  <r>
    <x v="8"/>
    <x v="1"/>
    <x v="5"/>
  </r>
  <r>
    <x v="6"/>
    <x v="1"/>
    <x v="11"/>
  </r>
  <r>
    <x v="14"/>
    <x v="0"/>
    <x v="11"/>
  </r>
  <r>
    <x v="10"/>
    <x v="0"/>
    <x v="16"/>
  </r>
  <r>
    <x v="0"/>
    <x v="1"/>
    <x v="11"/>
  </r>
  <r>
    <x v="0"/>
    <x v="1"/>
    <x v="16"/>
  </r>
  <r>
    <x v="14"/>
    <x v="0"/>
    <x v="1"/>
  </r>
  <r>
    <x v="10"/>
    <x v="0"/>
    <x v="1"/>
  </r>
  <r>
    <x v="10"/>
    <x v="0"/>
    <x v="9"/>
  </r>
  <r>
    <x v="8"/>
    <x v="0"/>
    <x v="11"/>
  </r>
  <r>
    <x v="4"/>
    <x v="0"/>
    <x v="7"/>
  </r>
  <r>
    <x v="14"/>
    <x v="1"/>
    <x v="7"/>
  </r>
  <r>
    <x v="6"/>
    <x v="0"/>
    <x v="5"/>
  </r>
  <r>
    <x v="5"/>
    <x v="0"/>
    <x v="7"/>
  </r>
  <r>
    <x v="6"/>
    <x v="0"/>
    <x v="6"/>
  </r>
  <r>
    <x v="10"/>
    <x v="0"/>
    <x v="14"/>
  </r>
  <r>
    <x v="12"/>
    <x v="0"/>
    <x v="11"/>
  </r>
  <r>
    <x v="12"/>
    <x v="1"/>
    <x v="11"/>
  </r>
  <r>
    <x v="10"/>
    <x v="1"/>
    <x v="16"/>
  </r>
  <r>
    <x v="7"/>
    <x v="0"/>
    <x v="2"/>
  </r>
  <r>
    <x v="1"/>
    <x v="0"/>
    <x v="8"/>
  </r>
  <r>
    <x v="12"/>
    <x v="0"/>
    <x v="15"/>
  </r>
  <r>
    <x v="13"/>
    <x v="0"/>
    <x v="14"/>
  </r>
  <r>
    <x v="11"/>
    <x v="1"/>
    <x v="5"/>
  </r>
  <r>
    <x v="1"/>
    <x v="0"/>
    <x v="14"/>
  </r>
  <r>
    <x v="12"/>
    <x v="0"/>
    <x v="2"/>
  </r>
  <r>
    <x v="13"/>
    <x v="1"/>
    <x v="6"/>
  </r>
  <r>
    <x v="5"/>
    <x v="1"/>
    <x v="9"/>
  </r>
  <r>
    <x v="5"/>
    <x v="0"/>
    <x v="12"/>
  </r>
  <r>
    <x v="11"/>
    <x v="0"/>
    <x v="6"/>
  </r>
  <r>
    <x v="4"/>
    <x v="1"/>
    <x v="6"/>
  </r>
  <r>
    <x v="5"/>
    <x v="0"/>
    <x v="5"/>
  </r>
  <r>
    <x v="0"/>
    <x v="1"/>
    <x v="7"/>
  </r>
  <r>
    <x v="6"/>
    <x v="0"/>
    <x v="1"/>
  </r>
  <r>
    <x v="10"/>
    <x v="0"/>
    <x v="15"/>
  </r>
  <r>
    <x v="13"/>
    <x v="0"/>
    <x v="11"/>
  </r>
  <r>
    <x v="10"/>
    <x v="0"/>
    <x v="16"/>
  </r>
  <r>
    <x v="14"/>
    <x v="0"/>
    <x v="11"/>
  </r>
  <r>
    <x v="10"/>
    <x v="0"/>
    <x v="7"/>
  </r>
  <r>
    <x v="6"/>
    <x v="0"/>
    <x v="11"/>
  </r>
  <r>
    <x v="0"/>
    <x v="1"/>
    <x v="11"/>
  </r>
  <r>
    <x v="10"/>
    <x v="1"/>
    <x v="15"/>
  </r>
  <r>
    <x v="13"/>
    <x v="0"/>
    <x v="11"/>
  </r>
  <r>
    <x v="6"/>
    <x v="0"/>
    <x v="6"/>
  </r>
  <r>
    <x v="5"/>
    <x v="0"/>
    <x v="7"/>
  </r>
  <r>
    <x v="4"/>
    <x v="0"/>
    <x v="14"/>
  </r>
  <r>
    <x v="12"/>
    <x v="0"/>
    <x v="5"/>
  </r>
  <r>
    <x v="8"/>
    <x v="1"/>
    <x v="11"/>
  </r>
  <r>
    <x v="10"/>
    <x v="0"/>
    <x v="9"/>
  </r>
  <r>
    <x v="14"/>
    <x v="1"/>
    <x v="9"/>
  </r>
  <r>
    <x v="11"/>
    <x v="0"/>
    <x v="6"/>
  </r>
  <r>
    <x v="5"/>
    <x v="0"/>
    <x v="12"/>
  </r>
  <r>
    <x v="5"/>
    <x v="0"/>
    <x v="15"/>
  </r>
  <r>
    <x v="13"/>
    <x v="0"/>
    <x v="6"/>
  </r>
  <r>
    <x v="11"/>
    <x v="0"/>
    <x v="5"/>
  </r>
  <r>
    <x v="4"/>
    <x v="0"/>
    <x v="12"/>
  </r>
  <r>
    <x v="5"/>
    <x v="1"/>
    <x v="11"/>
  </r>
  <r>
    <x v="10"/>
    <x v="0"/>
    <x v="6"/>
  </r>
  <r>
    <x v="5"/>
    <x v="0"/>
    <x v="16"/>
  </r>
  <r>
    <x v="14"/>
    <x v="0"/>
    <x v="6"/>
  </r>
  <r>
    <x v="1"/>
    <x v="1"/>
    <x v="16"/>
  </r>
  <r>
    <x v="14"/>
    <x v="0"/>
    <x v="15"/>
  </r>
  <r>
    <x v="13"/>
    <x v="0"/>
    <x v="16"/>
  </r>
  <r>
    <x v="10"/>
    <x v="1"/>
    <x v="14"/>
  </r>
  <r>
    <x v="14"/>
    <x v="1"/>
    <x v="14"/>
  </r>
  <r>
    <x v="3"/>
    <x v="1"/>
    <x v="6"/>
  </r>
  <r>
    <x v="10"/>
    <x v="1"/>
    <x v="14"/>
  </r>
  <r>
    <x v="4"/>
    <x v="1"/>
    <x v="13"/>
  </r>
  <r>
    <x v="14"/>
    <x v="0"/>
    <x v="11"/>
  </r>
  <r>
    <x v="10"/>
    <x v="0"/>
    <x v="16"/>
  </r>
  <r>
    <x v="14"/>
    <x v="0"/>
    <x v="14"/>
  </r>
  <r>
    <x v="12"/>
    <x v="0"/>
    <x v="16"/>
  </r>
  <r>
    <x v="11"/>
    <x v="1"/>
    <x v="15"/>
  </r>
  <r>
    <x v="11"/>
    <x v="1"/>
    <x v="6"/>
  </r>
  <r>
    <x v="14"/>
    <x v="1"/>
    <x v="9"/>
  </r>
  <r>
    <x v="8"/>
    <x v="0"/>
    <x v="16"/>
  </r>
  <r>
    <x v="5"/>
    <x v="1"/>
    <x v="16"/>
  </r>
  <r>
    <x v="10"/>
    <x v="1"/>
    <x v="14"/>
  </r>
  <r>
    <x v="14"/>
    <x v="0"/>
    <x v="6"/>
  </r>
  <r>
    <x v="1"/>
    <x v="1"/>
    <x v="16"/>
  </r>
  <r>
    <x v="1"/>
    <x v="1"/>
    <x v="11"/>
  </r>
  <r>
    <x v="10"/>
    <x v="0"/>
    <x v="9"/>
  </r>
  <r>
    <x v="8"/>
    <x v="0"/>
    <x v="11"/>
  </r>
  <r>
    <x v="4"/>
    <x v="1"/>
    <x v="9"/>
  </r>
  <r>
    <x v="14"/>
    <x v="1"/>
    <x v="14"/>
  </r>
  <r>
    <x v="8"/>
    <x v="0"/>
    <x v="5"/>
  </r>
  <r>
    <x v="10"/>
    <x v="0"/>
    <x v="15"/>
  </r>
  <r>
    <x v="13"/>
    <x v="0"/>
    <x v="11"/>
  </r>
  <r>
    <x v="13"/>
    <x v="0"/>
    <x v="7"/>
  </r>
  <r>
    <x v="6"/>
    <x v="0"/>
    <x v="15"/>
  </r>
  <r>
    <x v="14"/>
    <x v="1"/>
    <x v="15"/>
  </r>
  <r>
    <x v="6"/>
    <x v="1"/>
    <x v="2"/>
  </r>
  <r>
    <x v="4"/>
    <x v="1"/>
    <x v="4"/>
  </r>
  <r>
    <x v="5"/>
    <x v="0"/>
    <x v="5"/>
  </r>
  <r>
    <x v="4"/>
    <x v="0"/>
    <x v="6"/>
  </r>
  <r>
    <x v="4"/>
    <x v="1"/>
    <x v="2"/>
  </r>
  <r>
    <x v="14"/>
    <x v="0"/>
    <x v="14"/>
  </r>
  <r>
    <x v="12"/>
    <x v="0"/>
    <x v="16"/>
  </r>
  <r>
    <x v="8"/>
    <x v="1"/>
    <x v="16"/>
  </r>
  <r>
    <x v="8"/>
    <x v="0"/>
    <x v="14"/>
  </r>
  <r>
    <x v="14"/>
    <x v="0"/>
    <x v="9"/>
  </r>
  <r>
    <x v="10"/>
    <x v="1"/>
    <x v="13"/>
  </r>
  <r>
    <x v="8"/>
    <x v="1"/>
    <x v="1"/>
  </r>
  <r>
    <x v="7"/>
    <x v="0"/>
    <x v="7"/>
  </r>
  <r>
    <x v="6"/>
    <x v="0"/>
    <x v="8"/>
  </r>
  <r>
    <x v="9"/>
    <x v="0"/>
    <x v="5"/>
  </r>
  <r>
    <x v="4"/>
    <x v="0"/>
    <x v="10"/>
  </r>
  <r>
    <x v="0"/>
    <x v="1"/>
    <x v="16"/>
  </r>
  <r>
    <x v="11"/>
    <x v="0"/>
    <x v="9"/>
  </r>
  <r>
    <x v="8"/>
    <x v="0"/>
    <x v="12"/>
  </r>
  <r>
    <x v="4"/>
    <x v="1"/>
    <x v="6"/>
  </r>
  <r>
    <x v="8"/>
    <x v="1"/>
    <x v="16"/>
  </r>
  <r>
    <x v="12"/>
    <x v="1"/>
    <x v="7"/>
  </r>
  <r>
    <x v="4"/>
    <x v="1"/>
    <x v="11"/>
  </r>
  <r>
    <x v="8"/>
    <x v="0"/>
    <x v="6"/>
  </r>
  <r>
    <x v="5"/>
    <x v="0"/>
    <x v="9"/>
  </r>
  <r>
    <x v="14"/>
    <x v="1"/>
    <x v="9"/>
  </r>
  <r>
    <x v="8"/>
    <x v="0"/>
    <x v="16"/>
  </r>
  <r>
    <x v="5"/>
    <x v="0"/>
    <x v="15"/>
  </r>
  <r>
    <x v="13"/>
    <x v="1"/>
    <x v="6"/>
  </r>
  <r>
    <x v="14"/>
    <x v="0"/>
    <x v="9"/>
  </r>
  <r>
    <x v="8"/>
    <x v="0"/>
    <x v="16"/>
  </r>
  <r>
    <x v="4"/>
    <x v="1"/>
    <x v="14"/>
  </r>
  <r>
    <x v="10"/>
    <x v="1"/>
    <x v="16"/>
  </r>
  <r>
    <x v="14"/>
    <x v="1"/>
    <x v="14"/>
  </r>
  <r>
    <x v="11"/>
    <x v="1"/>
    <x v="11"/>
  </r>
  <r>
    <x v="5"/>
    <x v="1"/>
    <x v="11"/>
  </r>
  <r>
    <x v="10"/>
    <x v="0"/>
    <x v="6"/>
  </r>
  <r>
    <x v="0"/>
    <x v="0"/>
    <x v="3"/>
  </r>
  <r>
    <x v="13"/>
    <x v="1"/>
    <x v="14"/>
  </r>
  <r>
    <x v="9"/>
    <x v="0"/>
    <x v="3"/>
  </r>
  <r>
    <x v="2"/>
    <x v="0"/>
    <x v="10"/>
  </r>
  <r>
    <x v="14"/>
    <x v="1"/>
    <x v="14"/>
  </r>
  <r>
    <x v="5"/>
    <x v="1"/>
    <x v="7"/>
  </r>
  <r>
    <x v="4"/>
    <x v="1"/>
    <x v="2"/>
  </r>
  <r>
    <x v="14"/>
    <x v="1"/>
    <x v="7"/>
  </r>
  <r>
    <x v="10"/>
    <x v="0"/>
    <x v="14"/>
  </r>
  <r>
    <x v="12"/>
    <x v="0"/>
    <x v="11"/>
  </r>
  <r>
    <x v="13"/>
    <x v="1"/>
    <x v="7"/>
  </r>
  <r>
    <x v="13"/>
    <x v="0"/>
    <x v="9"/>
  </r>
  <r>
    <x v="8"/>
    <x v="0"/>
    <x v="15"/>
  </r>
  <r>
    <x v="10"/>
    <x v="1"/>
    <x v="7"/>
  </r>
  <r>
    <x v="2"/>
    <x v="0"/>
    <x v="7"/>
  </r>
  <r>
    <x v="6"/>
    <x v="0"/>
    <x v="3"/>
  </r>
  <r>
    <x v="0"/>
    <x v="0"/>
    <x v="9"/>
  </r>
  <r>
    <x v="8"/>
    <x v="0"/>
    <x v="1"/>
  </r>
  <r>
    <x v="5"/>
    <x v="1"/>
    <x v="12"/>
  </r>
  <r>
    <x v="11"/>
    <x v="0"/>
    <x v="6"/>
  </r>
  <r>
    <x v="0"/>
    <x v="1"/>
    <x v="9"/>
  </r>
  <r>
    <x v="4"/>
    <x v="1"/>
    <x v="9"/>
  </r>
  <r>
    <x v="8"/>
    <x v="0"/>
    <x v="1"/>
  </r>
  <r>
    <x v="8"/>
    <x v="0"/>
    <x v="5"/>
  </r>
  <r>
    <x v="5"/>
    <x v="0"/>
    <x v="1"/>
  </r>
  <r>
    <x v="5"/>
    <x v="0"/>
    <x v="5"/>
  </r>
  <r>
    <x v="10"/>
    <x v="1"/>
    <x v="14"/>
  </r>
  <r>
    <x v="10"/>
    <x v="0"/>
    <x v="16"/>
  </r>
  <r>
    <x v="14"/>
    <x v="0"/>
    <x v="11"/>
  </r>
  <r>
    <x v="12"/>
    <x v="0"/>
    <x v="11"/>
  </r>
  <r>
    <x v="8"/>
    <x v="0"/>
    <x v="13"/>
  </r>
  <r>
    <x v="10"/>
    <x v="1"/>
    <x v="14"/>
  </r>
  <r>
    <x v="10"/>
    <x v="0"/>
    <x v="14"/>
  </r>
  <r>
    <x v="10"/>
    <x v="0"/>
    <x v="14"/>
  </r>
  <r>
    <x v="12"/>
    <x v="0"/>
    <x v="11"/>
  </r>
  <r>
    <x v="4"/>
    <x v="1"/>
    <x v="2"/>
  </r>
  <r>
    <x v="4"/>
    <x v="1"/>
    <x v="4"/>
  </r>
  <r>
    <x v="12"/>
    <x v="1"/>
    <x v="6"/>
  </r>
  <r>
    <x v="14"/>
    <x v="1"/>
    <x v="7"/>
  </r>
  <r>
    <x v="4"/>
    <x v="1"/>
    <x v="7"/>
  </r>
  <r>
    <x v="10"/>
    <x v="0"/>
    <x v="14"/>
  </r>
  <r>
    <x v="12"/>
    <x v="0"/>
    <x v="11"/>
  </r>
  <r>
    <x v="9"/>
    <x v="0"/>
    <x v="14"/>
  </r>
  <r>
    <x v="12"/>
    <x v="0"/>
    <x v="10"/>
  </r>
  <r>
    <x v="0"/>
    <x v="0"/>
    <x v="7"/>
  </r>
  <r>
    <x v="6"/>
    <x v="0"/>
    <x v="1"/>
  </r>
  <r>
    <x v="6"/>
    <x v="1"/>
    <x v="14"/>
  </r>
  <r>
    <x v="5"/>
    <x v="0"/>
    <x v="1"/>
  </r>
  <r>
    <x v="8"/>
    <x v="1"/>
    <x v="11"/>
  </r>
  <r>
    <x v="4"/>
    <x v="1"/>
    <x v="6"/>
  </r>
  <r>
    <x v="5"/>
    <x v="0"/>
    <x v="5"/>
  </r>
  <r>
    <x v="4"/>
    <x v="0"/>
    <x v="6"/>
  </r>
  <r>
    <x v="8"/>
    <x v="1"/>
    <x v="6"/>
  </r>
  <r>
    <x v="10"/>
    <x v="1"/>
    <x v="14"/>
  </r>
  <r>
    <x v="10"/>
    <x v="0"/>
    <x v="5"/>
  </r>
  <r>
    <x v="4"/>
    <x v="0"/>
    <x v="11"/>
  </r>
  <r>
    <x v="0"/>
    <x v="0"/>
    <x v="9"/>
  </r>
  <r>
    <x v="8"/>
    <x v="0"/>
    <x v="1"/>
  </r>
  <r>
    <x v="4"/>
    <x v="0"/>
    <x v="11"/>
  </r>
  <r>
    <x v="10"/>
    <x v="0"/>
    <x v="5"/>
  </r>
  <r>
    <x v="7"/>
    <x v="1"/>
    <x v="10"/>
  </r>
  <r>
    <x v="9"/>
    <x v="0"/>
    <x v="8"/>
  </r>
  <r>
    <x v="14"/>
    <x v="1"/>
    <x v="11"/>
  </r>
  <r>
    <x v="10"/>
    <x v="0"/>
    <x v="16"/>
  </r>
  <r>
    <x v="5"/>
    <x v="1"/>
    <x v="14"/>
  </r>
  <r>
    <x v="9"/>
    <x v="0"/>
    <x v="14"/>
  </r>
  <r>
    <x v="12"/>
    <x v="0"/>
    <x v="10"/>
  </r>
  <r>
    <x v="6"/>
    <x v="1"/>
    <x v="16"/>
  </r>
  <r>
    <x v="3"/>
    <x v="1"/>
    <x v="7"/>
  </r>
  <r>
    <x v="14"/>
    <x v="1"/>
    <x v="15"/>
  </r>
  <r>
    <x v="4"/>
    <x v="1"/>
    <x v="15"/>
  </r>
  <r>
    <x v="0"/>
    <x v="1"/>
    <x v="15"/>
  </r>
  <r>
    <x v="12"/>
    <x v="1"/>
    <x v="15"/>
  </r>
  <r>
    <x v="10"/>
    <x v="1"/>
    <x v="14"/>
  </r>
  <r>
    <x v="4"/>
    <x v="0"/>
    <x v="13"/>
  </r>
  <r>
    <x v="14"/>
    <x v="0"/>
    <x v="4"/>
  </r>
  <r>
    <x v="3"/>
    <x v="0"/>
    <x v="16"/>
  </r>
  <r>
    <x v="6"/>
    <x v="1"/>
    <x v="16"/>
  </r>
  <r>
    <x v="13"/>
    <x v="1"/>
    <x v="7"/>
  </r>
  <r>
    <x v="6"/>
    <x v="0"/>
    <x v="15"/>
  </r>
  <r>
    <x v="4"/>
    <x v="1"/>
    <x v="11"/>
  </r>
  <r>
    <x v="10"/>
    <x v="0"/>
    <x v="5"/>
  </r>
  <r>
    <x v="9"/>
    <x v="1"/>
    <x v="4"/>
  </r>
  <r>
    <x v="13"/>
    <x v="1"/>
    <x v="14"/>
  </r>
  <r>
    <x v="8"/>
    <x v="0"/>
    <x v="2"/>
  </r>
  <r>
    <x v="1"/>
    <x v="0"/>
    <x v="9"/>
  </r>
  <r>
    <x v="8"/>
    <x v="1"/>
    <x v="16"/>
  </r>
  <r>
    <x v="4"/>
    <x v="1"/>
    <x v="2"/>
  </r>
  <r>
    <x v="1"/>
    <x v="0"/>
    <x v="5"/>
  </r>
  <r>
    <x v="4"/>
    <x v="0"/>
    <x v="4"/>
  </r>
  <r>
    <x v="1"/>
    <x v="1"/>
    <x v="4"/>
  </r>
  <r>
    <x v="9"/>
    <x v="1"/>
    <x v="2"/>
  </r>
  <r>
    <x v="10"/>
    <x v="0"/>
    <x v="9"/>
  </r>
  <r>
    <x v="8"/>
    <x v="0"/>
    <x v="11"/>
  </r>
  <r>
    <x v="14"/>
    <x v="1"/>
    <x v="14"/>
  </r>
  <r>
    <x v="10"/>
    <x v="0"/>
    <x v="9"/>
  </r>
  <r>
    <x v="8"/>
    <x v="0"/>
    <x v="11"/>
  </r>
  <r>
    <x v="8"/>
    <x v="0"/>
    <x v="14"/>
  </r>
  <r>
    <x v="12"/>
    <x v="0"/>
    <x v="9"/>
  </r>
  <r>
    <x v="8"/>
    <x v="1"/>
    <x v="16"/>
  </r>
  <r>
    <x v="14"/>
    <x v="0"/>
    <x v="9"/>
  </r>
  <r>
    <x v="10"/>
    <x v="0"/>
    <x v="12"/>
  </r>
  <r>
    <x v="11"/>
    <x v="0"/>
    <x v="11"/>
  </r>
  <r>
    <x v="8"/>
    <x v="0"/>
    <x v="11"/>
  </r>
  <r>
    <x v="10"/>
    <x v="0"/>
    <x v="9"/>
  </r>
  <r>
    <x v="9"/>
    <x v="2"/>
    <x v="0"/>
  </r>
  <r>
    <x v="9"/>
    <x v="2"/>
    <x v="0"/>
  </r>
  <r>
    <x v="9"/>
    <x v="2"/>
    <x v="0"/>
  </r>
  <r>
    <x v="9"/>
    <x v="1"/>
    <x v="3"/>
  </r>
  <r>
    <x v="2"/>
    <x v="1"/>
    <x v="10"/>
  </r>
  <r>
    <x v="2"/>
    <x v="2"/>
    <x v="0"/>
  </r>
  <r>
    <x v="10"/>
    <x v="1"/>
    <x v="14"/>
  </r>
  <r>
    <x v="14"/>
    <x v="0"/>
    <x v="6"/>
  </r>
  <r>
    <x v="5"/>
    <x v="0"/>
    <x v="16"/>
  </r>
  <r>
    <x v="4"/>
    <x v="1"/>
    <x v="14"/>
  </r>
  <r>
    <x v="14"/>
    <x v="0"/>
    <x v="7"/>
  </r>
  <r>
    <x v="10"/>
    <x v="1"/>
    <x v="13"/>
  </r>
  <r>
    <x v="10"/>
    <x v="0"/>
    <x v="9"/>
  </r>
  <r>
    <x v="8"/>
    <x v="0"/>
    <x v="11"/>
  </r>
  <r>
    <x v="0"/>
    <x v="0"/>
    <x v="16"/>
  </r>
  <r>
    <x v="14"/>
    <x v="0"/>
    <x v="1"/>
  </r>
  <r>
    <x v="4"/>
    <x v="0"/>
    <x v="16"/>
  </r>
  <r>
    <x v="14"/>
    <x v="0"/>
    <x v="5"/>
  </r>
  <r>
    <x v="0"/>
    <x v="0"/>
    <x v="11"/>
  </r>
  <r>
    <x v="10"/>
    <x v="1"/>
    <x v="1"/>
  </r>
  <r>
    <x v="1"/>
    <x v="1"/>
    <x v="11"/>
  </r>
  <r>
    <x v="10"/>
    <x v="0"/>
    <x v="2"/>
  </r>
  <r>
    <x v="10"/>
    <x v="0"/>
    <x v="9"/>
  </r>
  <r>
    <x v="8"/>
    <x v="0"/>
    <x v="11"/>
  </r>
  <r>
    <x v="8"/>
    <x v="1"/>
    <x v="2"/>
  </r>
  <r>
    <x v="1"/>
    <x v="0"/>
    <x v="9"/>
  </r>
  <r>
    <x v="10"/>
    <x v="1"/>
    <x v="16"/>
  </r>
  <r>
    <x v="13"/>
    <x v="1"/>
    <x v="16"/>
  </r>
  <r>
    <x v="0"/>
    <x v="0"/>
    <x v="9"/>
  </r>
  <r>
    <x v="8"/>
    <x v="0"/>
    <x v="1"/>
  </r>
  <r>
    <x v="5"/>
    <x v="0"/>
    <x v="15"/>
  </r>
  <r>
    <x v="4"/>
    <x v="1"/>
    <x v="16"/>
  </r>
  <r>
    <x v="4"/>
    <x v="1"/>
    <x v="1"/>
  </r>
  <r>
    <x v="0"/>
    <x v="0"/>
    <x v="5"/>
  </r>
  <r>
    <x v="14"/>
    <x v="0"/>
    <x v="3"/>
  </r>
  <r>
    <x v="4"/>
    <x v="0"/>
    <x v="13"/>
  </r>
  <r>
    <x v="0"/>
    <x v="0"/>
    <x v="15"/>
  </r>
  <r>
    <x v="9"/>
    <x v="0"/>
    <x v="7"/>
  </r>
  <r>
    <x v="9"/>
    <x v="0"/>
    <x v="3"/>
  </r>
  <r>
    <x v="9"/>
    <x v="2"/>
    <x v="0"/>
  </r>
  <r>
    <x v="14"/>
    <x v="1"/>
    <x v="11"/>
  </r>
  <r>
    <x v="14"/>
    <x v="1"/>
    <x v="11"/>
  </r>
  <r>
    <x v="10"/>
    <x v="0"/>
    <x v="16"/>
  </r>
  <r>
    <x v="14"/>
    <x v="1"/>
    <x v="14"/>
  </r>
  <r>
    <x v="12"/>
    <x v="1"/>
    <x v="16"/>
  </r>
  <r>
    <x v="14"/>
    <x v="1"/>
    <x v="13"/>
  </r>
  <r>
    <x v="4"/>
    <x v="1"/>
    <x v="9"/>
  </r>
  <r>
    <x v="8"/>
    <x v="0"/>
    <x v="5"/>
  </r>
  <r>
    <x v="1"/>
    <x v="0"/>
    <x v="3"/>
  </r>
  <r>
    <x v="4"/>
    <x v="0"/>
    <x v="14"/>
  </r>
  <r>
    <x v="2"/>
    <x v="0"/>
    <x v="2"/>
  </r>
  <r>
    <x v="14"/>
    <x v="0"/>
    <x v="5"/>
  </r>
  <r>
    <x v="12"/>
    <x v="0"/>
    <x v="5"/>
  </r>
  <r>
    <x v="8"/>
    <x v="1"/>
    <x v="14"/>
  </r>
  <r>
    <x v="8"/>
    <x v="1"/>
    <x v="16"/>
  </r>
  <r>
    <x v="6"/>
    <x v="1"/>
    <x v="11"/>
  </r>
  <r>
    <x v="14"/>
    <x v="1"/>
    <x v="7"/>
  </r>
  <r>
    <x v="6"/>
    <x v="0"/>
    <x v="3"/>
  </r>
  <r>
    <x v="10"/>
    <x v="1"/>
    <x v="5"/>
  </r>
  <r>
    <x v="4"/>
    <x v="0"/>
    <x v="11"/>
  </r>
  <r>
    <x v="10"/>
    <x v="0"/>
    <x v="9"/>
  </r>
  <r>
    <x v="8"/>
    <x v="0"/>
    <x v="11"/>
  </r>
  <r>
    <x v="1"/>
    <x v="0"/>
    <x v="16"/>
  </r>
  <r>
    <x v="14"/>
    <x v="0"/>
    <x v="2"/>
  </r>
  <r>
    <x v="12"/>
    <x v="1"/>
    <x v="11"/>
  </r>
  <r>
    <x v="0"/>
    <x v="0"/>
    <x v="3"/>
  </r>
  <r>
    <x v="2"/>
    <x v="1"/>
    <x v="1"/>
  </r>
  <r>
    <x v="3"/>
    <x v="0"/>
    <x v="15"/>
  </r>
  <r>
    <x v="8"/>
    <x v="1"/>
    <x v="16"/>
  </r>
  <r>
    <x v="14"/>
    <x v="0"/>
    <x v="9"/>
  </r>
  <r>
    <x v="14"/>
    <x v="0"/>
    <x v="11"/>
  </r>
  <r>
    <x v="10"/>
    <x v="0"/>
    <x v="16"/>
  </r>
  <r>
    <x v="10"/>
    <x v="0"/>
    <x v="9"/>
  </r>
  <r>
    <x v="8"/>
    <x v="0"/>
    <x v="11"/>
  </r>
  <r>
    <x v="14"/>
    <x v="1"/>
    <x v="3"/>
  </r>
  <r>
    <x v="8"/>
    <x v="1"/>
    <x v="11"/>
  </r>
  <r>
    <x v="10"/>
    <x v="1"/>
    <x v="1"/>
  </r>
  <r>
    <x v="10"/>
    <x v="1"/>
    <x v="13"/>
  </r>
  <r>
    <x v="14"/>
    <x v="1"/>
    <x v="7"/>
  </r>
  <r>
    <x v="6"/>
    <x v="1"/>
    <x v="8"/>
  </r>
  <r>
    <x v="7"/>
    <x v="0"/>
    <x v="7"/>
  </r>
  <r>
    <x v="5"/>
    <x v="1"/>
    <x v="14"/>
  </r>
  <r>
    <x v="4"/>
    <x v="0"/>
    <x v="6"/>
  </r>
  <r>
    <x v="4"/>
    <x v="0"/>
    <x v="1"/>
  </r>
  <r>
    <x v="14"/>
    <x v="1"/>
    <x v="15"/>
  </r>
  <r>
    <x v="13"/>
    <x v="0"/>
    <x v="16"/>
  </r>
  <r>
    <x v="4"/>
    <x v="0"/>
    <x v="9"/>
  </r>
  <r>
    <x v="8"/>
    <x v="0"/>
    <x v="1"/>
  </r>
  <r>
    <x v="8"/>
    <x v="0"/>
    <x v="5"/>
  </r>
  <r>
    <x v="8"/>
    <x v="1"/>
    <x v="6"/>
  </r>
  <r>
    <x v="5"/>
    <x v="1"/>
    <x v="16"/>
  </r>
  <r>
    <x v="14"/>
    <x v="0"/>
    <x v="6"/>
  </r>
  <r>
    <x v="5"/>
    <x v="0"/>
    <x v="16"/>
  </r>
  <r>
    <x v="14"/>
    <x v="0"/>
    <x v="6"/>
  </r>
  <r>
    <x v="0"/>
    <x v="0"/>
    <x v="15"/>
  </r>
  <r>
    <x v="1"/>
    <x v="1"/>
    <x v="15"/>
  </r>
  <r>
    <x v="10"/>
    <x v="1"/>
    <x v="16"/>
  </r>
  <r>
    <x v="14"/>
    <x v="0"/>
    <x v="11"/>
  </r>
  <r>
    <x v="10"/>
    <x v="1"/>
    <x v="14"/>
  </r>
  <r>
    <x v="13"/>
    <x v="0"/>
    <x v="13"/>
  </r>
  <r>
    <x v="9"/>
    <x v="0"/>
    <x v="7"/>
  </r>
  <r>
    <x v="9"/>
    <x v="0"/>
    <x v="3"/>
  </r>
  <r>
    <x v="9"/>
    <x v="2"/>
    <x v="0"/>
  </r>
  <r>
    <x v="13"/>
    <x v="1"/>
    <x v="16"/>
  </r>
  <r>
    <x v="3"/>
    <x v="1"/>
    <x v="6"/>
  </r>
  <r>
    <x v="10"/>
    <x v="1"/>
    <x v="14"/>
  </r>
  <r>
    <x v="11"/>
    <x v="1"/>
    <x v="1"/>
  </r>
  <r>
    <x v="14"/>
    <x v="0"/>
    <x v="6"/>
  </r>
  <r>
    <x v="5"/>
    <x v="0"/>
    <x v="16"/>
  </r>
  <r>
    <x v="4"/>
    <x v="1"/>
    <x v="9"/>
  </r>
  <r>
    <x v="8"/>
    <x v="1"/>
    <x v="5"/>
  </r>
  <r>
    <x v="14"/>
    <x v="1"/>
    <x v="14"/>
  </r>
  <r>
    <x v="14"/>
    <x v="1"/>
    <x v="11"/>
  </r>
  <r>
    <x v="4"/>
    <x v="0"/>
    <x v="1"/>
  </r>
  <r>
    <x v="5"/>
    <x v="1"/>
    <x v="7"/>
  </r>
  <r>
    <x v="8"/>
    <x v="1"/>
    <x v="11"/>
  </r>
  <r>
    <x v="1"/>
    <x v="0"/>
    <x v="5"/>
  </r>
  <r>
    <x v="4"/>
    <x v="1"/>
    <x v="2"/>
  </r>
  <r>
    <x v="14"/>
    <x v="1"/>
    <x v="6"/>
  </r>
  <r>
    <x v="10"/>
    <x v="0"/>
    <x v="14"/>
  </r>
  <r>
    <x v="12"/>
    <x v="0"/>
    <x v="11"/>
  </r>
  <r>
    <x v="6"/>
    <x v="1"/>
    <x v="16"/>
  </r>
  <r>
    <x v="14"/>
    <x v="0"/>
    <x v="7"/>
  </r>
  <r>
    <x v="13"/>
    <x v="0"/>
    <x v="14"/>
  </r>
  <r>
    <x v="10"/>
    <x v="0"/>
    <x v="9"/>
  </r>
  <r>
    <x v="8"/>
    <x v="0"/>
    <x v="11"/>
  </r>
  <r>
    <x v="14"/>
    <x v="0"/>
    <x v="6"/>
  </r>
  <r>
    <x v="11"/>
    <x v="1"/>
    <x v="11"/>
  </r>
  <r>
    <x v="10"/>
    <x v="1"/>
    <x v="14"/>
  </r>
  <r>
    <x v="14"/>
    <x v="1"/>
    <x v="14"/>
  </r>
  <r>
    <x v="10"/>
    <x v="0"/>
    <x v="6"/>
  </r>
  <r>
    <x v="5"/>
    <x v="0"/>
    <x v="11"/>
  </r>
  <r>
    <x v="0"/>
    <x v="1"/>
    <x v="14"/>
  </r>
  <r>
    <x v="14"/>
    <x v="0"/>
    <x v="1"/>
  </r>
  <r>
    <x v="5"/>
    <x v="0"/>
    <x v="16"/>
  </r>
  <r>
    <x v="14"/>
    <x v="0"/>
    <x v="6"/>
  </r>
  <r>
    <x v="5"/>
    <x v="1"/>
    <x v="5"/>
  </r>
  <r>
    <x v="6"/>
    <x v="1"/>
    <x v="16"/>
  </r>
  <r>
    <x v="14"/>
    <x v="0"/>
    <x v="7"/>
  </r>
  <r>
    <x v="4"/>
    <x v="1"/>
    <x v="9"/>
  </r>
  <r>
    <x v="14"/>
    <x v="0"/>
    <x v="9"/>
  </r>
  <r>
    <x v="8"/>
    <x v="0"/>
    <x v="16"/>
  </r>
  <r>
    <x v="0"/>
    <x v="1"/>
    <x v="9"/>
  </r>
  <r>
    <x v="10"/>
    <x v="1"/>
    <x v="9"/>
  </r>
  <r>
    <x v="10"/>
    <x v="1"/>
    <x v="9"/>
  </r>
  <r>
    <x v="10"/>
    <x v="0"/>
    <x v="13"/>
  </r>
  <r>
    <x v="11"/>
    <x v="1"/>
    <x v="5"/>
  </r>
  <r>
    <x v="5"/>
    <x v="0"/>
    <x v="16"/>
  </r>
  <r>
    <x v="14"/>
    <x v="0"/>
    <x v="6"/>
  </r>
  <r>
    <x v="14"/>
    <x v="1"/>
    <x v="14"/>
  </r>
  <r>
    <x v="10"/>
    <x v="0"/>
    <x v="16"/>
  </r>
  <r>
    <x v="14"/>
    <x v="0"/>
    <x v="11"/>
  </r>
  <r>
    <x v="1"/>
    <x v="1"/>
    <x v="9"/>
  </r>
  <r>
    <x v="8"/>
    <x v="0"/>
    <x v="16"/>
  </r>
  <r>
    <x v="10"/>
    <x v="1"/>
    <x v="16"/>
  </r>
  <r>
    <x v="14"/>
    <x v="0"/>
    <x v="11"/>
  </r>
  <r>
    <x v="12"/>
    <x v="0"/>
    <x v="15"/>
  </r>
  <r>
    <x v="8"/>
    <x v="0"/>
    <x v="6"/>
  </r>
  <r>
    <x v="14"/>
    <x v="1"/>
    <x v="6"/>
  </r>
  <r>
    <x v="4"/>
    <x v="1"/>
    <x v="8"/>
  </r>
  <r>
    <x v="5"/>
    <x v="1"/>
    <x v="7"/>
  </r>
  <r>
    <x v="14"/>
    <x v="1"/>
    <x v="7"/>
  </r>
  <r>
    <x v="8"/>
    <x v="1"/>
    <x v="16"/>
  </r>
  <r>
    <x v="14"/>
    <x v="0"/>
    <x v="9"/>
  </r>
  <r>
    <x v="14"/>
    <x v="1"/>
    <x v="9"/>
  </r>
  <r>
    <x v="8"/>
    <x v="0"/>
    <x v="16"/>
  </r>
  <r>
    <x v="6"/>
    <x v="1"/>
    <x v="15"/>
  </r>
  <r>
    <x v="1"/>
    <x v="0"/>
    <x v="3"/>
  </r>
  <r>
    <x v="1"/>
    <x v="0"/>
    <x v="10"/>
  </r>
  <r>
    <x v="1"/>
    <x v="2"/>
    <x v="0"/>
  </r>
  <r>
    <x v="9"/>
    <x v="0"/>
    <x v="2"/>
  </r>
  <r>
    <x v="10"/>
    <x v="1"/>
    <x v="16"/>
  </r>
  <r>
    <x v="14"/>
    <x v="0"/>
    <x v="11"/>
  </r>
  <r>
    <x v="4"/>
    <x v="1"/>
    <x v="16"/>
  </r>
  <r>
    <x v="14"/>
    <x v="0"/>
    <x v="5"/>
  </r>
  <r>
    <x v="5"/>
    <x v="0"/>
    <x v="9"/>
  </r>
  <r>
    <x v="8"/>
    <x v="0"/>
    <x v="6"/>
  </r>
  <r>
    <x v="8"/>
    <x v="1"/>
    <x v="16"/>
  </r>
  <r>
    <x v="0"/>
    <x v="1"/>
    <x v="6"/>
  </r>
  <r>
    <x v="12"/>
    <x v="1"/>
    <x v="1"/>
  </r>
  <r>
    <x v="5"/>
    <x v="0"/>
    <x v="1"/>
  </r>
  <r>
    <x v="0"/>
    <x v="1"/>
    <x v="11"/>
  </r>
  <r>
    <x v="8"/>
    <x v="1"/>
    <x v="6"/>
  </r>
  <r>
    <x v="10"/>
    <x v="0"/>
    <x v="14"/>
  </r>
  <r>
    <x v="12"/>
    <x v="0"/>
    <x v="11"/>
  </r>
  <r>
    <x v="6"/>
    <x v="0"/>
    <x v="3"/>
  </r>
  <r>
    <x v="2"/>
    <x v="0"/>
    <x v="7"/>
  </r>
  <r>
    <x v="0"/>
    <x v="0"/>
    <x v="16"/>
  </r>
  <r>
    <x v="14"/>
    <x v="0"/>
    <x v="1"/>
  </r>
  <r>
    <x v="14"/>
    <x v="0"/>
    <x v="1"/>
  </r>
  <r>
    <x v="5"/>
    <x v="0"/>
    <x v="15"/>
  </r>
  <r>
    <x v="11"/>
    <x v="0"/>
    <x v="11"/>
  </r>
  <r>
    <x v="10"/>
    <x v="0"/>
    <x v="12"/>
  </r>
  <r>
    <x v="13"/>
    <x v="1"/>
    <x v="6"/>
  </r>
  <r>
    <x v="5"/>
    <x v="0"/>
    <x v="15"/>
  </r>
  <r>
    <x v="8"/>
    <x v="1"/>
    <x v="11"/>
  </r>
  <r>
    <x v="7"/>
    <x v="0"/>
    <x v="15"/>
  </r>
  <r>
    <x v="13"/>
    <x v="0"/>
    <x v="8"/>
  </r>
  <r>
    <x v="13"/>
    <x v="0"/>
    <x v="1"/>
  </r>
  <r>
    <x v="14"/>
    <x v="1"/>
    <x v="7"/>
  </r>
  <r>
    <x v="4"/>
    <x v="1"/>
    <x v="7"/>
  </r>
  <r>
    <x v="14"/>
    <x v="1"/>
    <x v="6"/>
  </r>
  <r>
    <x v="14"/>
    <x v="0"/>
    <x v="11"/>
  </r>
  <r>
    <x v="10"/>
    <x v="0"/>
    <x v="16"/>
  </r>
  <r>
    <x v="8"/>
    <x v="0"/>
    <x v="16"/>
  </r>
  <r>
    <x v="14"/>
    <x v="0"/>
    <x v="9"/>
  </r>
  <r>
    <x v="10"/>
    <x v="1"/>
    <x v="16"/>
  </r>
  <r>
    <x v="8"/>
    <x v="1"/>
    <x v="11"/>
  </r>
  <r>
    <x v="13"/>
    <x v="1"/>
    <x v="9"/>
  </r>
  <r>
    <x v="9"/>
    <x v="2"/>
    <x v="0"/>
  </r>
  <r>
    <x v="13"/>
    <x v="1"/>
    <x v="14"/>
  </r>
  <r>
    <x v="7"/>
    <x v="2"/>
    <x v="0"/>
  </r>
  <r>
    <x v="4"/>
    <x v="0"/>
    <x v="7"/>
  </r>
  <r>
    <x v="4"/>
    <x v="0"/>
    <x v="8"/>
  </r>
  <r>
    <x v="4"/>
    <x v="0"/>
    <x v="10"/>
  </r>
  <r>
    <x v="4"/>
    <x v="0"/>
    <x v="11"/>
  </r>
  <r>
    <x v="6"/>
    <x v="0"/>
    <x v="5"/>
  </r>
  <r>
    <x v="9"/>
    <x v="0"/>
    <x v="5"/>
  </r>
  <r>
    <x v="10"/>
    <x v="0"/>
    <x v="5"/>
  </r>
  <r>
    <x v="9"/>
    <x v="1"/>
    <x v="7"/>
  </r>
  <r>
    <x v="6"/>
    <x v="0"/>
    <x v="10"/>
  </r>
  <r>
    <x v="8"/>
    <x v="0"/>
    <x v="11"/>
  </r>
  <r>
    <x v="10"/>
    <x v="0"/>
    <x v="9"/>
  </r>
  <r>
    <x v="5"/>
    <x v="0"/>
    <x v="2"/>
  </r>
  <r>
    <x v="1"/>
    <x v="0"/>
    <x v="6"/>
  </r>
  <r>
    <x v="9"/>
    <x v="2"/>
    <x v="0"/>
  </r>
  <r>
    <x v="4"/>
    <x v="0"/>
    <x v="1"/>
  </r>
  <r>
    <x v="0"/>
    <x v="0"/>
    <x v="5"/>
  </r>
  <r>
    <x v="10"/>
    <x v="1"/>
    <x v="16"/>
  </r>
  <r>
    <x v="14"/>
    <x v="0"/>
    <x v="11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74">
  <r>
    <x v="0"/>
    <x v="0"/>
    <x v="3"/>
  </r>
  <r>
    <x v="2"/>
    <x v="0"/>
    <x v="1"/>
  </r>
  <r>
    <x v="4"/>
    <x v="0"/>
    <x v="4"/>
  </r>
  <r>
    <x v="7"/>
    <x v="0"/>
    <x v="11"/>
  </r>
  <r>
    <x v="1"/>
    <x v="1"/>
    <x v="9"/>
  </r>
  <r>
    <x v="8"/>
    <x v="0"/>
    <x v="2"/>
  </r>
  <r>
    <x v="5"/>
    <x v="1"/>
    <x v="4"/>
  </r>
  <r>
    <x v="4"/>
    <x v="1"/>
    <x v="10"/>
  </r>
  <r>
    <x v="8"/>
    <x v="0"/>
    <x v="1"/>
  </r>
  <r>
    <x v="0"/>
    <x v="0"/>
    <x v="9"/>
  </r>
  <r>
    <x v="8"/>
    <x v="1"/>
    <x v="7"/>
  </r>
  <r>
    <x v="7"/>
    <x v="1"/>
    <x v="9"/>
  </r>
  <r>
    <x v="0"/>
    <x v="0"/>
    <x v="7"/>
  </r>
  <r>
    <x v="6"/>
    <x v="0"/>
    <x v="6"/>
  </r>
  <r>
    <x v="5"/>
    <x v="1"/>
    <x v="7"/>
  </r>
  <r>
    <x v="4"/>
    <x v="1"/>
    <x v="7"/>
  </r>
  <r>
    <x v="1"/>
    <x v="0"/>
    <x v="8"/>
  </r>
  <r>
    <x v="7"/>
    <x v="0"/>
    <x v="2"/>
  </r>
  <r>
    <x v="8"/>
    <x v="0"/>
    <x v="6"/>
  </r>
  <r>
    <x v="5"/>
    <x v="0"/>
    <x v="4"/>
  </r>
  <r>
    <x v="5"/>
    <x v="0"/>
    <x v="9"/>
  </r>
  <r>
    <x v="3"/>
    <x v="0"/>
    <x v="6"/>
  </r>
  <r>
    <x v="7"/>
    <x v="0"/>
    <x v="5"/>
  </r>
  <r>
    <x v="4"/>
    <x v="0"/>
    <x v="8"/>
  </r>
  <r>
    <x v="4"/>
    <x v="1"/>
    <x v="8"/>
  </r>
  <r>
    <x v="8"/>
    <x v="0"/>
    <x v="11"/>
  </r>
  <r>
    <x v="8"/>
    <x v="0"/>
    <x v="2"/>
  </r>
  <r>
    <x v="1"/>
    <x v="0"/>
    <x v="9"/>
  </r>
  <r>
    <x v="4"/>
    <x v="1"/>
    <x v="6"/>
  </r>
  <r>
    <x v="0"/>
    <x v="1"/>
    <x v="7"/>
  </r>
  <r>
    <x v="4"/>
    <x v="0"/>
    <x v="4"/>
  </r>
  <r>
    <x v="4"/>
    <x v="0"/>
    <x v="6"/>
  </r>
  <r>
    <x v="5"/>
    <x v="0"/>
    <x v="5"/>
  </r>
  <r>
    <x v="9"/>
    <x v="1"/>
    <x v="6"/>
  </r>
  <r>
    <x v="0"/>
    <x v="1"/>
    <x v="6"/>
  </r>
  <r>
    <x v="4"/>
    <x v="1"/>
    <x v="11"/>
  </r>
  <r>
    <x v="0"/>
    <x v="0"/>
    <x v="5"/>
  </r>
  <r>
    <x v="4"/>
    <x v="0"/>
    <x v="1"/>
  </r>
  <r>
    <x v="8"/>
    <x v="1"/>
    <x v="7"/>
  </r>
  <r>
    <x v="0"/>
    <x v="1"/>
    <x v="7"/>
  </r>
  <r>
    <x v="4"/>
    <x v="0"/>
    <x v="11"/>
  </r>
  <r>
    <x v="4"/>
    <x v="1"/>
    <x v="10"/>
  </r>
  <r>
    <x v="2"/>
    <x v="1"/>
    <x v="2"/>
  </r>
  <r>
    <x v="0"/>
    <x v="0"/>
    <x v="3"/>
  </r>
  <r>
    <x v="4"/>
    <x v="1"/>
    <x v="6"/>
  </r>
  <r>
    <x v="5"/>
    <x v="0"/>
    <x v="7"/>
  </r>
  <r>
    <x v="6"/>
    <x v="0"/>
    <x v="6"/>
  </r>
  <r>
    <x v="0"/>
    <x v="0"/>
    <x v="5"/>
  </r>
  <r>
    <x v="4"/>
    <x v="0"/>
    <x v="1"/>
  </r>
  <r>
    <x v="0"/>
    <x v="2"/>
    <x v="0"/>
  </r>
  <r>
    <x v="5"/>
    <x v="0"/>
    <x v="10"/>
  </r>
  <r>
    <x v="9"/>
    <x v="0"/>
    <x v="6"/>
  </r>
  <r>
    <x v="9"/>
    <x v="1"/>
    <x v="5"/>
  </r>
  <r>
    <x v="9"/>
    <x v="0"/>
    <x v="3"/>
  </r>
  <r>
    <x v="0"/>
    <x v="0"/>
    <x v="7"/>
  </r>
  <r>
    <x v="6"/>
    <x v="0"/>
    <x v="1"/>
  </r>
  <r>
    <x v="4"/>
    <x v="1"/>
    <x v="4"/>
  </r>
  <r>
    <x v="5"/>
    <x v="1"/>
    <x v="7"/>
  </r>
  <r>
    <x v="8"/>
    <x v="0"/>
    <x v="5"/>
  </r>
  <r>
    <x v="4"/>
    <x v="0"/>
    <x v="9"/>
  </r>
  <r>
    <x v="9"/>
    <x v="1"/>
    <x v="6"/>
  </r>
  <r>
    <x v="4"/>
    <x v="1"/>
    <x v="6"/>
  </r>
  <r>
    <x v="5"/>
    <x v="0"/>
    <x v="5"/>
  </r>
  <r>
    <x v="4"/>
    <x v="1"/>
    <x v="11"/>
  </r>
  <r>
    <x v="8"/>
    <x v="0"/>
    <x v="7"/>
  </r>
  <r>
    <x v="8"/>
    <x v="0"/>
    <x v="3"/>
  </r>
  <r>
    <x v="2"/>
    <x v="0"/>
    <x v="9"/>
  </r>
  <r>
    <x v="9"/>
    <x v="0"/>
    <x v="6"/>
  </r>
  <r>
    <x v="5"/>
    <x v="0"/>
    <x v="10"/>
  </r>
  <r>
    <x v="9"/>
    <x v="1"/>
    <x v="5"/>
  </r>
  <r>
    <x v="7"/>
    <x v="2"/>
    <x v="0"/>
  </r>
  <r>
    <x v="8"/>
    <x v="2"/>
    <x v="0"/>
  </r>
  <r>
    <x v="8"/>
    <x v="1"/>
    <x v="7"/>
  </r>
  <r>
    <x v="8"/>
    <x v="1"/>
    <x v="3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count="296">
  <r>
    <x v="3"/>
    <x v="0"/>
    <x v="8"/>
  </r>
  <r>
    <x v="5"/>
    <x v="0"/>
    <x v="6"/>
  </r>
  <r>
    <x v="6"/>
    <x v="0"/>
    <x v="5"/>
  </r>
  <r>
    <x v="1"/>
    <x v="1"/>
    <x v="6"/>
  </r>
  <r>
    <x v="3"/>
    <x v="1"/>
    <x v="9"/>
  </r>
  <r>
    <x v="9"/>
    <x v="0"/>
    <x v="3"/>
  </r>
  <r>
    <x v="3"/>
    <x v="0"/>
    <x v="10"/>
  </r>
  <r>
    <x v="3"/>
    <x v="0"/>
    <x v="1"/>
  </r>
  <r>
    <x v="1"/>
    <x v="0"/>
    <x v="3"/>
  </r>
  <r>
    <x v="6"/>
    <x v="0"/>
    <x v="9"/>
  </r>
  <r>
    <x v="9"/>
    <x v="0"/>
    <x v="6"/>
  </r>
  <r>
    <x v="6"/>
    <x v="0"/>
    <x v="5"/>
  </r>
  <r>
    <x v="5"/>
    <x v="0"/>
    <x v="6"/>
  </r>
  <r>
    <x v="5"/>
    <x v="1"/>
    <x v="10"/>
  </r>
  <r>
    <x v="0"/>
    <x v="0"/>
    <x v="7"/>
  </r>
  <r>
    <x v="7"/>
    <x v="0"/>
    <x v="0"/>
  </r>
  <r>
    <x v="7"/>
    <x v="1"/>
    <x v="6"/>
  </r>
  <r>
    <x v="6"/>
    <x v="0"/>
    <x v="7"/>
  </r>
  <r>
    <x v="3"/>
    <x v="1"/>
    <x v="7"/>
  </r>
  <r>
    <x v="6"/>
    <x v="0"/>
    <x v="3"/>
  </r>
  <r>
    <x v="3"/>
    <x v="0"/>
    <x v="6"/>
  </r>
  <r>
    <x v="7"/>
    <x v="0"/>
    <x v="3"/>
  </r>
  <r>
    <x v="5"/>
    <x v="1"/>
    <x v="10"/>
  </r>
  <r>
    <x v="0"/>
    <x v="0"/>
    <x v="6"/>
  </r>
  <r>
    <x v="6"/>
    <x v="0"/>
    <x v="0"/>
  </r>
  <r>
    <x v="1"/>
    <x v="1"/>
    <x v="6"/>
  </r>
  <r>
    <x v="3"/>
    <x v="0"/>
    <x v="6"/>
  </r>
  <r>
    <x v="6"/>
    <x v="0"/>
    <x v="3"/>
  </r>
  <r>
    <x v="9"/>
    <x v="1"/>
    <x v="6"/>
  </r>
  <r>
    <x v="6"/>
    <x v="0"/>
    <x v="9"/>
  </r>
  <r>
    <x v="5"/>
    <x v="1"/>
    <x v="7"/>
  </r>
  <r>
    <x v="7"/>
    <x v="0"/>
    <x v="5"/>
  </r>
  <r>
    <x v="5"/>
    <x v="0"/>
    <x v="3"/>
  </r>
  <r>
    <x v="3"/>
    <x v="1"/>
    <x v="5"/>
  </r>
  <r>
    <x v="3"/>
    <x v="0"/>
    <x v="2"/>
  </r>
  <r>
    <x v="2"/>
    <x v="0"/>
    <x v="3"/>
  </r>
  <r>
    <x v="5"/>
    <x v="1"/>
    <x v="10"/>
  </r>
  <r>
    <x v="6"/>
    <x v="1"/>
    <x v="5"/>
  </r>
  <r>
    <x v="5"/>
    <x v="1"/>
    <x v="6"/>
  </r>
  <r>
    <x v="1"/>
    <x v="0"/>
    <x v="3"/>
  </r>
  <r>
    <x v="3"/>
    <x v="1"/>
    <x v="1"/>
  </r>
  <r>
    <x v="3"/>
    <x v="0"/>
    <x v="10"/>
  </r>
  <r>
    <x v="5"/>
    <x v="1"/>
    <x v="1"/>
  </r>
  <r>
    <x v="5"/>
    <x v="0"/>
    <x v="6"/>
  </r>
  <r>
    <x v="6"/>
    <x v="0"/>
    <x v="5"/>
  </r>
  <r>
    <x v="5"/>
    <x v="1"/>
    <x v="6"/>
  </r>
  <r>
    <x v="5"/>
    <x v="1"/>
    <x v="10"/>
  </r>
  <r>
    <x v="4"/>
    <x v="1"/>
    <x v="3"/>
  </r>
  <r>
    <x v="4"/>
    <x v="1"/>
    <x v="9"/>
  </r>
  <r>
    <x v="3"/>
    <x v="1"/>
    <x v="1"/>
  </r>
  <r>
    <x v="9"/>
    <x v="0"/>
    <x v="1"/>
  </r>
  <r>
    <x v="1"/>
    <x v="0"/>
    <x v="9"/>
  </r>
  <r>
    <x v="1"/>
    <x v="0"/>
    <x v="3"/>
  </r>
  <r>
    <x v="3"/>
    <x v="0"/>
    <x v="5"/>
  </r>
  <r>
    <x v="5"/>
    <x v="0"/>
    <x v="3"/>
  </r>
  <r>
    <x v="1"/>
    <x v="1"/>
    <x v="3"/>
  </r>
  <r>
    <x v="3"/>
    <x v="0"/>
    <x v="1"/>
  </r>
  <r>
    <x v="6"/>
    <x v="1"/>
    <x v="10"/>
  </r>
  <r>
    <x v="1"/>
    <x v="0"/>
    <x v="3"/>
  </r>
  <r>
    <x v="3"/>
    <x v="0"/>
    <x v="1"/>
  </r>
  <r>
    <x v="5"/>
    <x v="1"/>
    <x v="6"/>
  </r>
  <r>
    <x v="6"/>
    <x v="1"/>
    <x v="10"/>
  </r>
  <r>
    <x v="1"/>
    <x v="1"/>
    <x v="5"/>
  </r>
  <r>
    <x v="5"/>
    <x v="0"/>
    <x v="1"/>
  </r>
  <r>
    <x v="9"/>
    <x v="1"/>
    <x v="1"/>
  </r>
  <r>
    <x v="9"/>
    <x v="1"/>
    <x v="5"/>
  </r>
  <r>
    <x v="1"/>
    <x v="0"/>
    <x v="9"/>
  </r>
  <r>
    <x v="5"/>
    <x v="0"/>
    <x v="9"/>
  </r>
  <r>
    <x v="6"/>
    <x v="0"/>
    <x v="5"/>
  </r>
  <r>
    <x v="5"/>
    <x v="0"/>
    <x v="6"/>
  </r>
  <r>
    <x v="7"/>
    <x v="1"/>
    <x v="0"/>
  </r>
  <r>
    <x v="0"/>
    <x v="0"/>
    <x v="7"/>
  </r>
  <r>
    <x v="7"/>
    <x v="1"/>
    <x v="10"/>
  </r>
  <r>
    <x v="3"/>
    <x v="0"/>
    <x v="1"/>
  </r>
  <r>
    <x v="1"/>
    <x v="0"/>
    <x v="3"/>
  </r>
  <r>
    <x v="6"/>
    <x v="1"/>
    <x v="10"/>
  </r>
  <r>
    <x v="5"/>
    <x v="0"/>
    <x v="3"/>
  </r>
  <r>
    <x v="3"/>
    <x v="0"/>
    <x v="5"/>
  </r>
  <r>
    <x v="5"/>
    <x v="1"/>
    <x v="7"/>
  </r>
  <r>
    <x v="5"/>
    <x v="1"/>
    <x v="6"/>
  </r>
  <r>
    <x v="7"/>
    <x v="0"/>
    <x v="2"/>
  </r>
  <r>
    <x v="7"/>
    <x v="1"/>
    <x v="10"/>
  </r>
  <r>
    <x v="6"/>
    <x v="1"/>
    <x v="10"/>
  </r>
  <r>
    <x v="3"/>
    <x v="1"/>
    <x v="10"/>
  </r>
  <r>
    <x v="7"/>
    <x v="1"/>
    <x v="10"/>
  </r>
  <r>
    <x v="5"/>
    <x v="1"/>
    <x v="6"/>
  </r>
  <r>
    <x v="5"/>
    <x v="0"/>
    <x v="6"/>
  </r>
  <r>
    <x v="7"/>
    <x v="0"/>
    <x v="2"/>
  </r>
  <r>
    <x v="7"/>
    <x v="1"/>
    <x v="10"/>
  </r>
  <r>
    <x v="6"/>
    <x v="0"/>
    <x v="5"/>
  </r>
  <r>
    <x v="6"/>
    <x v="1"/>
    <x v="10"/>
  </r>
  <r>
    <x v="3"/>
    <x v="1"/>
    <x v="1"/>
  </r>
  <r>
    <x v="1"/>
    <x v="0"/>
    <x v="3"/>
  </r>
  <r>
    <x v="1"/>
    <x v="1"/>
    <x v="3"/>
  </r>
  <r>
    <x v="6"/>
    <x v="0"/>
    <x v="5"/>
  </r>
  <r>
    <x v="5"/>
    <x v="0"/>
    <x v="6"/>
  </r>
  <r>
    <x v="3"/>
    <x v="0"/>
    <x v="5"/>
  </r>
  <r>
    <x v="5"/>
    <x v="0"/>
    <x v="3"/>
  </r>
  <r>
    <x v="3"/>
    <x v="1"/>
    <x v="10"/>
  </r>
  <r>
    <x v="9"/>
    <x v="1"/>
    <x v="10"/>
  </r>
  <r>
    <x v="5"/>
    <x v="1"/>
    <x v="6"/>
  </r>
  <r>
    <x v="5"/>
    <x v="0"/>
    <x v="3"/>
  </r>
  <r>
    <x v="3"/>
    <x v="0"/>
    <x v="5"/>
  </r>
  <r>
    <x v="7"/>
    <x v="0"/>
    <x v="11"/>
  </r>
  <r>
    <x v="3"/>
    <x v="1"/>
    <x v="10"/>
  </r>
  <r>
    <x v="8"/>
    <x v="1"/>
    <x v="5"/>
  </r>
  <r>
    <x v="2"/>
    <x v="1"/>
    <x v="10"/>
  </r>
  <r>
    <x v="5"/>
    <x v="1"/>
    <x v="1"/>
  </r>
  <r>
    <x v="5"/>
    <x v="1"/>
    <x v="10"/>
  </r>
  <r>
    <x v="5"/>
    <x v="1"/>
    <x v="6"/>
  </r>
  <r>
    <x v="6"/>
    <x v="0"/>
    <x v="5"/>
  </r>
  <r>
    <x v="5"/>
    <x v="1"/>
    <x v="1"/>
  </r>
  <r>
    <x v="1"/>
    <x v="1"/>
    <x v="0"/>
  </r>
  <r>
    <x v="5"/>
    <x v="1"/>
    <x v="10"/>
  </r>
  <r>
    <x v="5"/>
    <x v="1"/>
    <x v="10"/>
  </r>
  <r>
    <x v="5"/>
    <x v="1"/>
    <x v="10"/>
  </r>
  <r>
    <x v="3"/>
    <x v="0"/>
    <x v="5"/>
  </r>
  <r>
    <x v="9"/>
    <x v="0"/>
    <x v="5"/>
  </r>
  <r>
    <x v="5"/>
    <x v="0"/>
    <x v="9"/>
  </r>
  <r>
    <x v="5"/>
    <x v="0"/>
    <x v="3"/>
  </r>
  <r>
    <x v="1"/>
    <x v="0"/>
    <x v="6"/>
  </r>
  <r>
    <x v="7"/>
    <x v="1"/>
    <x v="1"/>
  </r>
  <r>
    <x v="3"/>
    <x v="0"/>
    <x v="10"/>
  </r>
  <r>
    <x v="0"/>
    <x v="1"/>
    <x v="10"/>
  </r>
  <r>
    <x v="3"/>
    <x v="1"/>
    <x v="10"/>
  </r>
  <r>
    <x v="5"/>
    <x v="1"/>
    <x v="10"/>
  </r>
  <r>
    <x v="5"/>
    <x v="0"/>
    <x v="6"/>
  </r>
  <r>
    <x v="6"/>
    <x v="1"/>
    <x v="10"/>
  </r>
  <r>
    <x v="6"/>
    <x v="0"/>
    <x v="5"/>
  </r>
  <r>
    <x v="7"/>
    <x v="1"/>
    <x v="10"/>
  </r>
  <r>
    <x v="5"/>
    <x v="1"/>
    <x v="6"/>
  </r>
  <r>
    <x v="6"/>
    <x v="0"/>
    <x v="10"/>
  </r>
  <r>
    <x v="3"/>
    <x v="1"/>
    <x v="10"/>
  </r>
  <r>
    <x v="5"/>
    <x v="0"/>
    <x v="6"/>
  </r>
  <r>
    <x v="6"/>
    <x v="0"/>
    <x v="5"/>
  </r>
  <r>
    <x v="6"/>
    <x v="1"/>
    <x v="7"/>
  </r>
  <r>
    <x v="5"/>
    <x v="1"/>
    <x v="7"/>
  </r>
  <r>
    <x v="7"/>
    <x v="0"/>
    <x v="5"/>
  </r>
  <r>
    <x v="7"/>
    <x v="0"/>
    <x v="6"/>
  </r>
  <r>
    <x v="9"/>
    <x v="0"/>
    <x v="10"/>
  </r>
  <r>
    <x v="1"/>
    <x v="0"/>
    <x v="10"/>
  </r>
  <r>
    <x v="0"/>
    <x v="1"/>
    <x v="10"/>
  </r>
  <r>
    <x v="5"/>
    <x v="1"/>
    <x v="6"/>
  </r>
  <r>
    <x v="2"/>
    <x v="1"/>
    <x v="6"/>
  </r>
  <r>
    <x v="1"/>
    <x v="1"/>
    <x v="10"/>
  </r>
  <r>
    <x v="5"/>
    <x v="1"/>
    <x v="7"/>
  </r>
  <r>
    <x v="7"/>
    <x v="0"/>
    <x v="10"/>
  </r>
  <r>
    <x v="5"/>
    <x v="0"/>
    <x v="10"/>
  </r>
  <r>
    <x v="10"/>
    <x v="1"/>
    <x v="6"/>
  </r>
  <r>
    <x v="0"/>
    <x v="1"/>
    <x v="6"/>
  </r>
  <r>
    <x v="6"/>
    <x v="0"/>
    <x v="5"/>
  </r>
  <r>
    <x v="5"/>
    <x v="1"/>
    <x v="6"/>
  </r>
  <r>
    <x v="5"/>
    <x v="0"/>
    <x v="6"/>
  </r>
  <r>
    <x v="5"/>
    <x v="1"/>
    <x v="6"/>
  </r>
  <r>
    <x v="6"/>
    <x v="0"/>
    <x v="5"/>
  </r>
  <r>
    <x v="7"/>
    <x v="0"/>
    <x v="2"/>
  </r>
  <r>
    <x v="7"/>
    <x v="1"/>
    <x v="2"/>
  </r>
  <r>
    <x v="5"/>
    <x v="0"/>
    <x v="10"/>
  </r>
  <r>
    <x v="6"/>
    <x v="1"/>
    <x v="10"/>
  </r>
  <r>
    <x v="5"/>
    <x v="0"/>
    <x v="6"/>
  </r>
  <r>
    <x v="6"/>
    <x v="0"/>
    <x v="5"/>
  </r>
  <r>
    <x v="7"/>
    <x v="0"/>
    <x v="10"/>
  </r>
  <r>
    <x v="5"/>
    <x v="1"/>
    <x v="6"/>
  </r>
  <r>
    <x v="6"/>
    <x v="0"/>
    <x v="5"/>
  </r>
  <r>
    <x v="3"/>
    <x v="1"/>
    <x v="5"/>
  </r>
  <r>
    <x v="5"/>
    <x v="0"/>
    <x v="3"/>
  </r>
  <r>
    <x v="3"/>
    <x v="0"/>
    <x v="9"/>
  </r>
  <r>
    <x v="9"/>
    <x v="0"/>
    <x v="3"/>
  </r>
  <r>
    <x v="5"/>
    <x v="0"/>
    <x v="3"/>
  </r>
  <r>
    <x v="5"/>
    <x v="1"/>
    <x v="6"/>
  </r>
  <r>
    <x v="6"/>
    <x v="0"/>
    <x v="5"/>
  </r>
  <r>
    <x v="7"/>
    <x v="1"/>
    <x v="5"/>
  </r>
  <r>
    <x v="7"/>
    <x v="1"/>
    <x v="6"/>
  </r>
  <r>
    <x v="6"/>
    <x v="1"/>
    <x v="7"/>
  </r>
  <r>
    <x v="5"/>
    <x v="0"/>
    <x v="7"/>
  </r>
  <r>
    <x v="6"/>
    <x v="1"/>
    <x v="10"/>
  </r>
  <r>
    <x v="2"/>
    <x v="0"/>
    <x v="7"/>
  </r>
  <r>
    <x v="7"/>
    <x v="0"/>
    <x v="2"/>
  </r>
  <r>
    <x v="6"/>
    <x v="0"/>
    <x v="5"/>
  </r>
  <r>
    <x v="5"/>
    <x v="0"/>
    <x v="6"/>
  </r>
  <r>
    <x v="2"/>
    <x v="0"/>
    <x v="7"/>
  </r>
  <r>
    <x v="7"/>
    <x v="0"/>
    <x v="2"/>
  </r>
  <r>
    <x v="3"/>
    <x v="1"/>
    <x v="9"/>
  </r>
  <r>
    <x v="5"/>
    <x v="0"/>
    <x v="6"/>
  </r>
  <r>
    <x v="6"/>
    <x v="0"/>
    <x v="5"/>
  </r>
  <r>
    <x v="3"/>
    <x v="0"/>
    <x v="1"/>
  </r>
  <r>
    <x v="1"/>
    <x v="0"/>
    <x v="3"/>
  </r>
  <r>
    <x v="5"/>
    <x v="1"/>
    <x v="10"/>
  </r>
  <r>
    <x v="5"/>
    <x v="1"/>
    <x v="6"/>
  </r>
  <r>
    <x v="3"/>
    <x v="1"/>
    <x v="6"/>
  </r>
  <r>
    <x v="5"/>
    <x v="1"/>
    <x v="3"/>
  </r>
  <r>
    <x v="3"/>
    <x v="1"/>
    <x v="7"/>
  </r>
  <r>
    <x v="7"/>
    <x v="0"/>
    <x v="3"/>
  </r>
  <r>
    <x v="6"/>
    <x v="0"/>
    <x v="3"/>
  </r>
  <r>
    <x v="3"/>
    <x v="0"/>
    <x v="6"/>
  </r>
  <r>
    <x v="5"/>
    <x v="1"/>
    <x v="3"/>
  </r>
  <r>
    <x v="5"/>
    <x v="1"/>
    <x v="1"/>
  </r>
  <r>
    <x v="1"/>
    <x v="0"/>
    <x v="5"/>
  </r>
  <r>
    <x v="5"/>
    <x v="1"/>
    <x v="1"/>
  </r>
  <r>
    <x v="1"/>
    <x v="0"/>
    <x v="5"/>
  </r>
  <r>
    <x v="7"/>
    <x v="1"/>
    <x v="2"/>
  </r>
  <r>
    <x v="6"/>
    <x v="1"/>
    <x v="5"/>
  </r>
  <r>
    <x v="5"/>
    <x v="0"/>
    <x v="6"/>
  </r>
  <r>
    <x v="6"/>
    <x v="0"/>
    <x v="0"/>
  </r>
  <r>
    <x v="0"/>
    <x v="0"/>
    <x v="6"/>
  </r>
  <r>
    <x v="3"/>
    <x v="0"/>
    <x v="7"/>
  </r>
  <r>
    <x v="6"/>
    <x v="0"/>
    <x v="5"/>
  </r>
  <r>
    <x v="5"/>
    <x v="0"/>
    <x v="6"/>
  </r>
  <r>
    <x v="3"/>
    <x v="1"/>
    <x v="6"/>
  </r>
  <r>
    <x v="5"/>
    <x v="1"/>
    <x v="3"/>
  </r>
  <r>
    <x v="5"/>
    <x v="1"/>
    <x v="6"/>
  </r>
  <r>
    <x v="3"/>
    <x v="1"/>
    <x v="5"/>
  </r>
  <r>
    <x v="6"/>
    <x v="1"/>
    <x v="5"/>
  </r>
  <r>
    <x v="5"/>
    <x v="1"/>
    <x v="6"/>
  </r>
  <r>
    <x v="1"/>
    <x v="0"/>
    <x v="3"/>
  </r>
  <r>
    <x v="3"/>
    <x v="0"/>
    <x v="1"/>
  </r>
  <r>
    <x v="3"/>
    <x v="0"/>
    <x v="1"/>
  </r>
  <r>
    <x v="1"/>
    <x v="1"/>
    <x v="3"/>
  </r>
  <r>
    <x v="6"/>
    <x v="0"/>
    <x v="7"/>
  </r>
  <r>
    <x v="9"/>
    <x v="1"/>
    <x v="7"/>
  </r>
  <r>
    <x v="9"/>
    <x v="1"/>
    <x v="6"/>
  </r>
  <r>
    <x v="3"/>
    <x v="0"/>
    <x v="6"/>
  </r>
  <r>
    <x v="3"/>
    <x v="0"/>
    <x v="7"/>
  </r>
  <r>
    <x v="6"/>
    <x v="0"/>
    <x v="3"/>
  </r>
  <r>
    <x v="7"/>
    <x v="0"/>
    <x v="3"/>
  </r>
  <r>
    <x v="7"/>
    <x v="0"/>
    <x v="6"/>
  </r>
  <r>
    <x v="3"/>
    <x v="0"/>
    <x v="9"/>
  </r>
  <r>
    <x v="9"/>
    <x v="0"/>
    <x v="3"/>
  </r>
  <r>
    <x v="9"/>
    <x v="0"/>
    <x v="7"/>
  </r>
  <r>
    <x v="9"/>
    <x v="0"/>
    <x v="6"/>
  </r>
  <r>
    <x v="6"/>
    <x v="0"/>
    <x v="9"/>
  </r>
  <r>
    <x v="7"/>
    <x v="0"/>
    <x v="9"/>
  </r>
  <r>
    <x v="7"/>
    <x v="0"/>
    <x v="3"/>
  </r>
  <r>
    <x v="7"/>
    <x v="0"/>
    <x v="6"/>
  </r>
  <r>
    <x v="3"/>
    <x v="0"/>
    <x v="7"/>
  </r>
  <r>
    <x v="3"/>
    <x v="0"/>
    <x v="6"/>
  </r>
  <r>
    <x v="6"/>
    <x v="0"/>
    <x v="3"/>
  </r>
  <r>
    <x v="6"/>
    <x v="0"/>
    <x v="7"/>
  </r>
  <r>
    <x v="3"/>
    <x v="1"/>
    <x v="1"/>
  </r>
  <r>
    <x v="1"/>
    <x v="0"/>
    <x v="3"/>
  </r>
  <r>
    <x v="3"/>
    <x v="2"/>
    <x v="12"/>
  </r>
  <r>
    <x v="0"/>
    <x v="1"/>
    <x v="6"/>
  </r>
  <r>
    <x v="5"/>
    <x v="1"/>
    <x v="7"/>
  </r>
  <r>
    <x v="7"/>
    <x v="0"/>
    <x v="5"/>
  </r>
  <r>
    <x v="5"/>
    <x v="1"/>
    <x v="10"/>
  </r>
  <r>
    <x v="7"/>
    <x v="1"/>
    <x v="2"/>
  </r>
  <r>
    <x v="7"/>
    <x v="0"/>
    <x v="0"/>
  </r>
  <r>
    <x v="0"/>
    <x v="1"/>
    <x v="5"/>
  </r>
  <r>
    <x v="5"/>
    <x v="0"/>
    <x v="0"/>
  </r>
  <r>
    <x v="3"/>
    <x v="1"/>
    <x v="5"/>
  </r>
  <r>
    <x v="5"/>
    <x v="1"/>
    <x v="3"/>
  </r>
  <r>
    <x v="6"/>
    <x v="1"/>
    <x v="3"/>
  </r>
  <r>
    <x v="0"/>
    <x v="1"/>
    <x v="6"/>
  </r>
  <r>
    <x v="0"/>
    <x v="1"/>
    <x v="3"/>
  </r>
  <r>
    <x v="3"/>
    <x v="0"/>
    <x v="6"/>
  </r>
  <r>
    <x v="5"/>
    <x v="0"/>
    <x v="6"/>
  </r>
  <r>
    <x v="6"/>
    <x v="0"/>
    <x v="5"/>
  </r>
  <r>
    <x v="6"/>
    <x v="0"/>
    <x v="0"/>
  </r>
  <r>
    <x v="3"/>
    <x v="0"/>
    <x v="0"/>
  </r>
  <r>
    <x v="7"/>
    <x v="0"/>
    <x v="2"/>
  </r>
  <r>
    <x v="7"/>
    <x v="0"/>
    <x v="2"/>
  </r>
  <r>
    <x v="3"/>
    <x v="1"/>
    <x v="10"/>
  </r>
  <r>
    <x v="5"/>
    <x v="2"/>
    <x v="12"/>
  </r>
  <r>
    <x v="5"/>
    <x v="1"/>
    <x v="1"/>
  </r>
  <r>
    <x v="1"/>
    <x v="0"/>
    <x v="5"/>
  </r>
  <r>
    <x v="0"/>
    <x v="1"/>
    <x v="7"/>
  </r>
  <r>
    <x v="5"/>
    <x v="0"/>
    <x v="0"/>
  </r>
  <r>
    <x v="5"/>
    <x v="0"/>
    <x v="6"/>
  </r>
  <r>
    <x v="3"/>
    <x v="0"/>
    <x v="9"/>
  </r>
  <r>
    <x v="9"/>
    <x v="0"/>
    <x v="3"/>
  </r>
  <r>
    <x v="7"/>
    <x v="0"/>
    <x v="0"/>
  </r>
  <r>
    <x v="7"/>
    <x v="0"/>
    <x v="2"/>
  </r>
  <r>
    <x v="1"/>
    <x v="0"/>
    <x v="3"/>
  </r>
  <r>
    <x v="3"/>
    <x v="0"/>
    <x v="1"/>
  </r>
  <r>
    <x v="7"/>
    <x v="0"/>
    <x v="11"/>
  </r>
  <r>
    <x v="10"/>
    <x v="1"/>
    <x v="7"/>
  </r>
  <r>
    <x v="7"/>
    <x v="0"/>
    <x v="2"/>
  </r>
  <r>
    <x v="2"/>
    <x v="0"/>
    <x v="7"/>
  </r>
  <r>
    <x v="7"/>
    <x v="1"/>
    <x v="2"/>
  </r>
  <r>
    <x v="6"/>
    <x v="1"/>
    <x v="5"/>
  </r>
  <r>
    <x v="5"/>
    <x v="0"/>
    <x v="6"/>
  </r>
  <r>
    <x v="3"/>
    <x v="0"/>
    <x v="4"/>
  </r>
  <r>
    <x v="0"/>
    <x v="0"/>
    <x v="6"/>
  </r>
  <r>
    <x v="6"/>
    <x v="0"/>
    <x v="0"/>
  </r>
  <r>
    <x v="5"/>
    <x v="1"/>
    <x v="6"/>
  </r>
  <r>
    <x v="1"/>
    <x v="1"/>
    <x v="2"/>
  </r>
  <r>
    <x v="9"/>
    <x v="0"/>
    <x v="0"/>
  </r>
  <r>
    <x v="0"/>
    <x v="0"/>
    <x v="9"/>
  </r>
  <r>
    <x v="9"/>
    <x v="0"/>
    <x v="1"/>
  </r>
  <r>
    <x v="1"/>
    <x v="0"/>
    <x v="9"/>
  </r>
  <r>
    <x v="3"/>
    <x v="1"/>
    <x v="1"/>
  </r>
  <r>
    <x v="9"/>
    <x v="0"/>
    <x v="1"/>
  </r>
  <r>
    <x v="1"/>
    <x v="0"/>
    <x v="9"/>
  </r>
  <r>
    <x v="7"/>
    <x v="1"/>
    <x v="2"/>
  </r>
  <r>
    <x v="6"/>
    <x v="0"/>
    <x v="0"/>
  </r>
  <r>
    <x v="0"/>
    <x v="0"/>
    <x v="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count="426">
  <r>
    <x v="1"/>
    <x v="0"/>
    <x v="7"/>
  </r>
  <r>
    <x v="8"/>
    <x v="0"/>
    <x v="12"/>
  </r>
  <r>
    <x v="10"/>
    <x v="1"/>
    <x v="9"/>
  </r>
  <r>
    <x v="2"/>
    <x v="0"/>
    <x v="0"/>
  </r>
  <r>
    <x v="0"/>
    <x v="0"/>
    <x v="2"/>
  </r>
  <r>
    <x v="10"/>
    <x v="1"/>
    <x v="4"/>
  </r>
  <r>
    <x v="4"/>
    <x v="1"/>
    <x v="7"/>
  </r>
  <r>
    <x v="7"/>
    <x v="1"/>
    <x v="10"/>
  </r>
  <r>
    <x v="10"/>
    <x v="0"/>
    <x v="7"/>
  </r>
  <r>
    <x v="0"/>
    <x v="1"/>
    <x v="10"/>
  </r>
  <r>
    <x v="9"/>
    <x v="1"/>
    <x v="0"/>
  </r>
  <r>
    <x v="11"/>
    <x v="1"/>
    <x v="8"/>
  </r>
  <r>
    <x v="4"/>
    <x v="0"/>
    <x v="1"/>
  </r>
  <r>
    <x v="0"/>
    <x v="1"/>
    <x v="10"/>
  </r>
  <r>
    <x v="9"/>
    <x v="1"/>
    <x v="10"/>
  </r>
  <r>
    <x v="3"/>
    <x v="0"/>
    <x v="7"/>
  </r>
  <r>
    <x v="7"/>
    <x v="0"/>
    <x v="3"/>
  </r>
  <r>
    <x v="8"/>
    <x v="0"/>
    <x v="6"/>
  </r>
  <r>
    <x v="6"/>
    <x v="0"/>
    <x v="8"/>
  </r>
  <r>
    <x v="3"/>
    <x v="1"/>
    <x v="6"/>
  </r>
  <r>
    <x v="2"/>
    <x v="0"/>
    <x v="0"/>
  </r>
  <r>
    <x v="0"/>
    <x v="0"/>
    <x v="2"/>
  </r>
  <r>
    <x v="6"/>
    <x v="1"/>
    <x v="11"/>
  </r>
  <r>
    <x v="8"/>
    <x v="0"/>
    <x v="7"/>
  </r>
  <r>
    <x v="7"/>
    <x v="0"/>
    <x v="8"/>
  </r>
  <r>
    <x v="2"/>
    <x v="1"/>
    <x v="10"/>
  </r>
  <r>
    <x v="8"/>
    <x v="1"/>
    <x v="0"/>
  </r>
  <r>
    <x v="10"/>
    <x v="1"/>
    <x v="4"/>
  </r>
  <r>
    <x v="8"/>
    <x v="1"/>
    <x v="11"/>
  </r>
  <r>
    <x v="8"/>
    <x v="1"/>
    <x v="6"/>
  </r>
  <r>
    <x v="6"/>
    <x v="0"/>
    <x v="8"/>
  </r>
  <r>
    <x v="11"/>
    <x v="1"/>
    <x v="11"/>
  </r>
  <r>
    <x v="10"/>
    <x v="0"/>
    <x v="12"/>
  </r>
  <r>
    <x v="0"/>
    <x v="0"/>
    <x v="2"/>
  </r>
  <r>
    <x v="2"/>
    <x v="0"/>
    <x v="0"/>
  </r>
  <r>
    <x v="7"/>
    <x v="1"/>
    <x v="8"/>
  </r>
  <r>
    <x v="8"/>
    <x v="0"/>
    <x v="7"/>
  </r>
  <r>
    <x v="2"/>
    <x v="0"/>
    <x v="8"/>
  </r>
  <r>
    <x v="8"/>
    <x v="0"/>
    <x v="2"/>
  </r>
  <r>
    <x v="4"/>
    <x v="1"/>
    <x v="5"/>
  </r>
  <r>
    <x v="4"/>
    <x v="0"/>
    <x v="0"/>
  </r>
  <r>
    <x v="0"/>
    <x v="0"/>
    <x v="4"/>
  </r>
  <r>
    <x v="11"/>
    <x v="1"/>
    <x v="10"/>
  </r>
  <r>
    <x v="4"/>
    <x v="0"/>
    <x v="7"/>
  </r>
  <r>
    <x v="6"/>
    <x v="1"/>
    <x v="7"/>
  </r>
  <r>
    <x v="0"/>
    <x v="1"/>
    <x v="7"/>
  </r>
  <r>
    <x v="0"/>
    <x v="1"/>
    <x v="10"/>
  </r>
  <r>
    <x v="10"/>
    <x v="1"/>
    <x v="9"/>
  </r>
  <r>
    <x v="7"/>
    <x v="1"/>
    <x v="10"/>
  </r>
  <r>
    <x v="5"/>
    <x v="1"/>
    <x v="10"/>
  </r>
  <r>
    <x v="2"/>
    <x v="1"/>
    <x v="0"/>
  </r>
  <r>
    <x v="6"/>
    <x v="1"/>
    <x v="10"/>
  </r>
  <r>
    <x v="2"/>
    <x v="1"/>
    <x v="10"/>
  </r>
  <r>
    <x v="2"/>
    <x v="1"/>
    <x v="10"/>
  </r>
  <r>
    <x v="10"/>
    <x v="1"/>
    <x v="9"/>
  </r>
  <r>
    <x v="11"/>
    <x v="1"/>
    <x v="9"/>
  </r>
  <r>
    <x v="9"/>
    <x v="0"/>
    <x v="12"/>
  </r>
  <r>
    <x v="11"/>
    <x v="1"/>
    <x v="10"/>
  </r>
  <r>
    <x v="11"/>
    <x v="1"/>
    <x v="5"/>
  </r>
  <r>
    <x v="2"/>
    <x v="0"/>
    <x v="9"/>
  </r>
  <r>
    <x v="9"/>
    <x v="0"/>
    <x v="2"/>
  </r>
  <r>
    <x v="10"/>
    <x v="1"/>
    <x v="10"/>
  </r>
  <r>
    <x v="9"/>
    <x v="1"/>
    <x v="10"/>
  </r>
  <r>
    <x v="10"/>
    <x v="0"/>
    <x v="6"/>
  </r>
  <r>
    <x v="6"/>
    <x v="0"/>
    <x v="11"/>
  </r>
  <r>
    <x v="2"/>
    <x v="1"/>
    <x v="10"/>
  </r>
  <r>
    <x v="2"/>
    <x v="0"/>
    <x v="0"/>
  </r>
  <r>
    <x v="0"/>
    <x v="0"/>
    <x v="2"/>
  </r>
  <r>
    <x v="10"/>
    <x v="1"/>
    <x v="0"/>
  </r>
  <r>
    <x v="10"/>
    <x v="1"/>
    <x v="0"/>
  </r>
  <r>
    <x v="8"/>
    <x v="0"/>
    <x v="4"/>
  </r>
  <r>
    <x v="4"/>
    <x v="0"/>
    <x v="8"/>
  </r>
  <r>
    <x v="2"/>
    <x v="1"/>
    <x v="10"/>
  </r>
  <r>
    <x v="2"/>
    <x v="1"/>
    <x v="0"/>
  </r>
  <r>
    <x v="10"/>
    <x v="1"/>
    <x v="10"/>
  </r>
  <r>
    <x v="0"/>
    <x v="1"/>
    <x v="11"/>
  </r>
  <r>
    <x v="10"/>
    <x v="0"/>
    <x v="0"/>
  </r>
  <r>
    <x v="10"/>
    <x v="1"/>
    <x v="9"/>
  </r>
  <r>
    <x v="9"/>
    <x v="1"/>
    <x v="0"/>
  </r>
  <r>
    <x v="2"/>
    <x v="1"/>
    <x v="9"/>
  </r>
  <r>
    <x v="0"/>
    <x v="0"/>
    <x v="9"/>
  </r>
  <r>
    <x v="10"/>
    <x v="1"/>
    <x v="6"/>
  </r>
  <r>
    <x v="10"/>
    <x v="1"/>
    <x v="0"/>
  </r>
  <r>
    <x v="0"/>
    <x v="0"/>
    <x v="11"/>
  </r>
  <r>
    <x v="2"/>
    <x v="0"/>
    <x v="0"/>
  </r>
  <r>
    <x v="0"/>
    <x v="0"/>
    <x v="2"/>
  </r>
  <r>
    <x v="2"/>
    <x v="1"/>
    <x v="0"/>
  </r>
  <r>
    <x v="9"/>
    <x v="0"/>
    <x v="2"/>
  </r>
  <r>
    <x v="11"/>
    <x v="1"/>
    <x v="4"/>
  </r>
  <r>
    <x v="6"/>
    <x v="1"/>
    <x v="0"/>
  </r>
  <r>
    <x v="4"/>
    <x v="0"/>
    <x v="12"/>
  </r>
  <r>
    <x v="6"/>
    <x v="1"/>
    <x v="2"/>
  </r>
  <r>
    <x v="9"/>
    <x v="1"/>
    <x v="0"/>
  </r>
  <r>
    <x v="9"/>
    <x v="1"/>
    <x v="2"/>
  </r>
  <r>
    <x v="8"/>
    <x v="1"/>
    <x v="5"/>
  </r>
  <r>
    <x v="8"/>
    <x v="1"/>
    <x v="6"/>
  </r>
  <r>
    <x v="4"/>
    <x v="1"/>
    <x v="2"/>
  </r>
  <r>
    <x v="10"/>
    <x v="1"/>
    <x v="5"/>
  </r>
  <r>
    <x v="8"/>
    <x v="0"/>
    <x v="0"/>
  </r>
  <r>
    <x v="0"/>
    <x v="0"/>
    <x v="8"/>
  </r>
  <r>
    <x v="2"/>
    <x v="1"/>
    <x v="5"/>
  </r>
  <r>
    <x v="4"/>
    <x v="0"/>
    <x v="5"/>
  </r>
  <r>
    <x v="5"/>
    <x v="0"/>
    <x v="4"/>
  </r>
  <r>
    <x v="10"/>
    <x v="0"/>
    <x v="0"/>
  </r>
  <r>
    <x v="0"/>
    <x v="0"/>
    <x v="11"/>
  </r>
  <r>
    <x v="2"/>
    <x v="1"/>
    <x v="0"/>
  </r>
  <r>
    <x v="8"/>
    <x v="1"/>
    <x v="0"/>
  </r>
  <r>
    <x v="2"/>
    <x v="0"/>
    <x v="9"/>
  </r>
  <r>
    <x v="9"/>
    <x v="0"/>
    <x v="2"/>
  </r>
  <r>
    <x v="0"/>
    <x v="0"/>
    <x v="9"/>
  </r>
  <r>
    <x v="5"/>
    <x v="1"/>
    <x v="10"/>
  </r>
  <r>
    <x v="9"/>
    <x v="1"/>
    <x v="6"/>
  </r>
  <r>
    <x v="3"/>
    <x v="1"/>
    <x v="2"/>
  </r>
  <r>
    <x v="10"/>
    <x v="1"/>
    <x v="3"/>
  </r>
  <r>
    <x v="2"/>
    <x v="1"/>
    <x v="3"/>
  </r>
  <r>
    <x v="2"/>
    <x v="1"/>
    <x v="8"/>
  </r>
  <r>
    <x v="8"/>
    <x v="0"/>
    <x v="2"/>
  </r>
  <r>
    <x v="3"/>
    <x v="0"/>
    <x v="7"/>
  </r>
  <r>
    <x v="7"/>
    <x v="0"/>
    <x v="3"/>
  </r>
  <r>
    <x v="9"/>
    <x v="1"/>
    <x v="10"/>
  </r>
  <r>
    <x v="2"/>
    <x v="1"/>
    <x v="10"/>
  </r>
  <r>
    <x v="2"/>
    <x v="1"/>
    <x v="0"/>
  </r>
  <r>
    <x v="6"/>
    <x v="1"/>
    <x v="4"/>
  </r>
  <r>
    <x v="10"/>
    <x v="0"/>
    <x v="7"/>
  </r>
  <r>
    <x v="5"/>
    <x v="0"/>
    <x v="6"/>
  </r>
  <r>
    <x v="6"/>
    <x v="0"/>
    <x v="5"/>
  </r>
  <r>
    <x v="2"/>
    <x v="0"/>
    <x v="0"/>
  </r>
  <r>
    <x v="0"/>
    <x v="0"/>
    <x v="2"/>
  </r>
  <r>
    <x v="5"/>
    <x v="0"/>
    <x v="4"/>
  </r>
  <r>
    <x v="0"/>
    <x v="0"/>
    <x v="2"/>
  </r>
  <r>
    <x v="2"/>
    <x v="0"/>
    <x v="0"/>
  </r>
  <r>
    <x v="0"/>
    <x v="0"/>
    <x v="9"/>
  </r>
  <r>
    <x v="9"/>
    <x v="0"/>
    <x v="0"/>
  </r>
  <r>
    <x v="8"/>
    <x v="0"/>
    <x v="4"/>
  </r>
  <r>
    <x v="4"/>
    <x v="0"/>
    <x v="8"/>
  </r>
  <r>
    <x v="8"/>
    <x v="1"/>
    <x v="5"/>
  </r>
  <r>
    <x v="2"/>
    <x v="0"/>
    <x v="8"/>
  </r>
  <r>
    <x v="8"/>
    <x v="0"/>
    <x v="2"/>
  </r>
  <r>
    <x v="7"/>
    <x v="1"/>
    <x v="0"/>
  </r>
  <r>
    <x v="0"/>
    <x v="0"/>
    <x v="11"/>
  </r>
  <r>
    <x v="11"/>
    <x v="1"/>
    <x v="10"/>
  </r>
  <r>
    <x v="4"/>
    <x v="1"/>
    <x v="0"/>
  </r>
  <r>
    <x v="0"/>
    <x v="0"/>
    <x v="4"/>
  </r>
  <r>
    <x v="4"/>
    <x v="0"/>
    <x v="0"/>
  </r>
  <r>
    <x v="9"/>
    <x v="0"/>
    <x v="4"/>
  </r>
  <r>
    <x v="4"/>
    <x v="0"/>
    <x v="9"/>
  </r>
  <r>
    <x v="2"/>
    <x v="1"/>
    <x v="4"/>
  </r>
  <r>
    <x v="2"/>
    <x v="1"/>
    <x v="10"/>
  </r>
  <r>
    <x v="2"/>
    <x v="1"/>
    <x v="0"/>
  </r>
  <r>
    <x v="5"/>
    <x v="1"/>
    <x v="3"/>
  </r>
  <r>
    <x v="2"/>
    <x v="1"/>
    <x v="3"/>
  </r>
  <r>
    <x v="9"/>
    <x v="1"/>
    <x v="6"/>
  </r>
  <r>
    <x v="9"/>
    <x v="0"/>
    <x v="6"/>
  </r>
  <r>
    <x v="2"/>
    <x v="0"/>
    <x v="0"/>
  </r>
  <r>
    <x v="0"/>
    <x v="0"/>
    <x v="2"/>
  </r>
  <r>
    <x v="6"/>
    <x v="0"/>
    <x v="4"/>
  </r>
  <r>
    <x v="9"/>
    <x v="1"/>
    <x v="6"/>
  </r>
  <r>
    <x v="4"/>
    <x v="1"/>
    <x v="0"/>
  </r>
  <r>
    <x v="9"/>
    <x v="0"/>
    <x v="0"/>
  </r>
  <r>
    <x v="0"/>
    <x v="1"/>
    <x v="9"/>
  </r>
  <r>
    <x v="2"/>
    <x v="0"/>
    <x v="8"/>
  </r>
  <r>
    <x v="8"/>
    <x v="0"/>
    <x v="2"/>
  </r>
  <r>
    <x v="2"/>
    <x v="1"/>
    <x v="8"/>
  </r>
  <r>
    <x v="8"/>
    <x v="0"/>
    <x v="2"/>
  </r>
  <r>
    <x v="2"/>
    <x v="0"/>
    <x v="0"/>
  </r>
  <r>
    <x v="0"/>
    <x v="0"/>
    <x v="4"/>
  </r>
  <r>
    <x v="4"/>
    <x v="0"/>
    <x v="0"/>
  </r>
  <r>
    <x v="0"/>
    <x v="1"/>
    <x v="5"/>
  </r>
  <r>
    <x v="0"/>
    <x v="0"/>
    <x v="6"/>
  </r>
  <r>
    <x v="6"/>
    <x v="0"/>
    <x v="0"/>
  </r>
  <r>
    <x v="4"/>
    <x v="1"/>
    <x v="6"/>
  </r>
  <r>
    <x v="0"/>
    <x v="1"/>
    <x v="3"/>
  </r>
  <r>
    <x v="3"/>
    <x v="1"/>
    <x v="0"/>
  </r>
  <r>
    <x v="6"/>
    <x v="1"/>
    <x v="2"/>
  </r>
  <r>
    <x v="2"/>
    <x v="0"/>
    <x v="6"/>
  </r>
  <r>
    <x v="2"/>
    <x v="1"/>
    <x v="0"/>
  </r>
  <r>
    <x v="10"/>
    <x v="1"/>
    <x v="6"/>
  </r>
  <r>
    <x v="5"/>
    <x v="1"/>
    <x v="0"/>
  </r>
  <r>
    <x v="0"/>
    <x v="0"/>
    <x v="5"/>
  </r>
  <r>
    <x v="2"/>
    <x v="1"/>
    <x v="6"/>
  </r>
  <r>
    <x v="6"/>
    <x v="0"/>
    <x v="2"/>
  </r>
  <r>
    <x v="2"/>
    <x v="1"/>
    <x v="0"/>
  </r>
  <r>
    <x v="8"/>
    <x v="1"/>
    <x v="5"/>
  </r>
  <r>
    <x v="2"/>
    <x v="1"/>
    <x v="5"/>
  </r>
  <r>
    <x v="2"/>
    <x v="0"/>
    <x v="8"/>
  </r>
  <r>
    <x v="8"/>
    <x v="0"/>
    <x v="2"/>
  </r>
  <r>
    <x v="2"/>
    <x v="1"/>
    <x v="8"/>
  </r>
  <r>
    <x v="2"/>
    <x v="1"/>
    <x v="4"/>
  </r>
  <r>
    <x v="4"/>
    <x v="0"/>
    <x v="2"/>
  </r>
  <r>
    <x v="4"/>
    <x v="0"/>
    <x v="5"/>
  </r>
  <r>
    <x v="5"/>
    <x v="0"/>
    <x v="4"/>
  </r>
  <r>
    <x v="0"/>
    <x v="0"/>
    <x v="12"/>
  </r>
  <r>
    <x v="11"/>
    <x v="1"/>
    <x v="0"/>
  </r>
  <r>
    <x v="11"/>
    <x v="0"/>
    <x v="10"/>
  </r>
  <r>
    <x v="4"/>
    <x v="1"/>
    <x v="10"/>
  </r>
  <r>
    <x v="4"/>
    <x v="1"/>
    <x v="10"/>
  </r>
  <r>
    <x v="2"/>
    <x v="1"/>
    <x v="8"/>
  </r>
  <r>
    <x v="8"/>
    <x v="0"/>
    <x v="2"/>
  </r>
  <r>
    <x v="8"/>
    <x v="1"/>
    <x v="6"/>
  </r>
  <r>
    <x v="2"/>
    <x v="1"/>
    <x v="6"/>
  </r>
  <r>
    <x v="10"/>
    <x v="1"/>
    <x v="6"/>
  </r>
  <r>
    <x v="9"/>
    <x v="1"/>
    <x v="5"/>
  </r>
  <r>
    <x v="11"/>
    <x v="1"/>
    <x v="3"/>
  </r>
  <r>
    <x v="4"/>
    <x v="1"/>
    <x v="10"/>
  </r>
  <r>
    <x v="5"/>
    <x v="1"/>
    <x v="6"/>
  </r>
  <r>
    <x v="5"/>
    <x v="0"/>
    <x v="8"/>
  </r>
  <r>
    <x v="8"/>
    <x v="0"/>
    <x v="5"/>
  </r>
  <r>
    <x v="2"/>
    <x v="1"/>
    <x v="4"/>
  </r>
  <r>
    <x v="8"/>
    <x v="1"/>
    <x v="4"/>
  </r>
  <r>
    <x v="10"/>
    <x v="0"/>
    <x v="10"/>
  </r>
  <r>
    <x v="4"/>
    <x v="1"/>
    <x v="10"/>
  </r>
  <r>
    <x v="3"/>
    <x v="1"/>
    <x v="10"/>
  </r>
  <r>
    <x v="3"/>
    <x v="1"/>
    <x v="12"/>
  </r>
  <r>
    <x v="4"/>
    <x v="1"/>
    <x v="10"/>
  </r>
  <r>
    <x v="0"/>
    <x v="1"/>
    <x v="10"/>
  </r>
  <r>
    <x v="2"/>
    <x v="1"/>
    <x v="0"/>
  </r>
  <r>
    <x v="0"/>
    <x v="0"/>
    <x v="2"/>
  </r>
  <r>
    <x v="5"/>
    <x v="1"/>
    <x v="6"/>
  </r>
  <r>
    <x v="9"/>
    <x v="1"/>
    <x v="10"/>
  </r>
  <r>
    <x v="2"/>
    <x v="0"/>
    <x v="0"/>
  </r>
  <r>
    <x v="0"/>
    <x v="0"/>
    <x v="2"/>
  </r>
  <r>
    <x v="4"/>
    <x v="1"/>
    <x v="6"/>
  </r>
  <r>
    <x v="6"/>
    <x v="1"/>
    <x v="10"/>
  </r>
  <r>
    <x v="10"/>
    <x v="1"/>
    <x v="6"/>
  </r>
  <r>
    <x v="4"/>
    <x v="0"/>
    <x v="10"/>
  </r>
  <r>
    <x v="4"/>
    <x v="0"/>
    <x v="5"/>
  </r>
  <r>
    <x v="5"/>
    <x v="0"/>
    <x v="4"/>
  </r>
  <r>
    <x v="9"/>
    <x v="1"/>
    <x v="10"/>
  </r>
  <r>
    <x v="2"/>
    <x v="1"/>
    <x v="8"/>
  </r>
  <r>
    <x v="8"/>
    <x v="0"/>
    <x v="2"/>
  </r>
  <r>
    <x v="9"/>
    <x v="1"/>
    <x v="10"/>
  </r>
  <r>
    <x v="2"/>
    <x v="1"/>
    <x v="4"/>
  </r>
  <r>
    <x v="2"/>
    <x v="0"/>
    <x v="0"/>
  </r>
  <r>
    <x v="0"/>
    <x v="0"/>
    <x v="2"/>
  </r>
  <r>
    <x v="10"/>
    <x v="0"/>
    <x v="1"/>
  </r>
  <r>
    <x v="1"/>
    <x v="0"/>
    <x v="11"/>
  </r>
  <r>
    <x v="5"/>
    <x v="1"/>
    <x v="4"/>
  </r>
  <r>
    <x v="2"/>
    <x v="0"/>
    <x v="9"/>
  </r>
  <r>
    <x v="9"/>
    <x v="0"/>
    <x v="2"/>
  </r>
  <r>
    <x v="0"/>
    <x v="1"/>
    <x v="10"/>
  </r>
  <r>
    <x v="2"/>
    <x v="1"/>
    <x v="10"/>
  </r>
  <r>
    <x v="5"/>
    <x v="0"/>
    <x v="4"/>
  </r>
  <r>
    <x v="4"/>
    <x v="0"/>
    <x v="5"/>
  </r>
  <r>
    <x v="2"/>
    <x v="1"/>
    <x v="5"/>
  </r>
  <r>
    <x v="2"/>
    <x v="0"/>
    <x v="0"/>
  </r>
  <r>
    <x v="0"/>
    <x v="0"/>
    <x v="2"/>
  </r>
  <r>
    <x v="2"/>
    <x v="0"/>
    <x v="6"/>
  </r>
  <r>
    <x v="11"/>
    <x v="1"/>
    <x v="1"/>
  </r>
  <r>
    <x v="0"/>
    <x v="0"/>
    <x v="12"/>
  </r>
  <r>
    <x v="11"/>
    <x v="0"/>
    <x v="0"/>
  </r>
  <r>
    <x v="2"/>
    <x v="1"/>
    <x v="12"/>
  </r>
  <r>
    <x v="10"/>
    <x v="0"/>
    <x v="9"/>
  </r>
  <r>
    <x v="9"/>
    <x v="0"/>
    <x v="11"/>
  </r>
  <r>
    <x v="6"/>
    <x v="1"/>
    <x v="10"/>
  </r>
  <r>
    <x v="5"/>
    <x v="1"/>
    <x v="6"/>
  </r>
  <r>
    <x v="9"/>
    <x v="1"/>
    <x v="10"/>
  </r>
  <r>
    <x v="7"/>
    <x v="1"/>
    <x v="0"/>
  </r>
  <r>
    <x v="2"/>
    <x v="1"/>
    <x v="4"/>
  </r>
  <r>
    <x v="5"/>
    <x v="0"/>
    <x v="11"/>
  </r>
  <r>
    <x v="10"/>
    <x v="0"/>
    <x v="5"/>
  </r>
  <r>
    <x v="5"/>
    <x v="0"/>
    <x v="2"/>
  </r>
  <r>
    <x v="2"/>
    <x v="0"/>
    <x v="5"/>
  </r>
  <r>
    <x v="5"/>
    <x v="1"/>
    <x v="10"/>
  </r>
  <r>
    <x v="5"/>
    <x v="0"/>
    <x v="4"/>
  </r>
  <r>
    <x v="4"/>
    <x v="0"/>
    <x v="5"/>
  </r>
  <r>
    <x v="4"/>
    <x v="1"/>
    <x v="10"/>
  </r>
  <r>
    <x v="0"/>
    <x v="1"/>
    <x v="5"/>
  </r>
  <r>
    <x v="4"/>
    <x v="1"/>
    <x v="10"/>
  </r>
  <r>
    <x v="5"/>
    <x v="1"/>
    <x v="10"/>
  </r>
  <r>
    <x v="8"/>
    <x v="0"/>
    <x v="5"/>
  </r>
  <r>
    <x v="5"/>
    <x v="0"/>
    <x v="8"/>
  </r>
  <r>
    <x v="8"/>
    <x v="0"/>
    <x v="6"/>
  </r>
  <r>
    <x v="10"/>
    <x v="1"/>
    <x v="6"/>
  </r>
  <r>
    <x v="0"/>
    <x v="1"/>
    <x v="11"/>
  </r>
  <r>
    <x v="10"/>
    <x v="0"/>
    <x v="9"/>
  </r>
  <r>
    <x v="9"/>
    <x v="0"/>
    <x v="11"/>
  </r>
  <r>
    <x v="9"/>
    <x v="1"/>
    <x v="6"/>
  </r>
  <r>
    <x v="0"/>
    <x v="0"/>
    <x v="10"/>
  </r>
  <r>
    <x v="5"/>
    <x v="0"/>
    <x v="8"/>
  </r>
  <r>
    <x v="8"/>
    <x v="1"/>
    <x v="5"/>
  </r>
  <r>
    <x v="8"/>
    <x v="1"/>
    <x v="6"/>
  </r>
  <r>
    <x v="2"/>
    <x v="1"/>
    <x v="8"/>
  </r>
  <r>
    <x v="10"/>
    <x v="1"/>
    <x v="0"/>
  </r>
  <r>
    <x v="4"/>
    <x v="1"/>
    <x v="10"/>
  </r>
  <r>
    <x v="9"/>
    <x v="1"/>
    <x v="0"/>
  </r>
  <r>
    <x v="7"/>
    <x v="0"/>
    <x v="9"/>
  </r>
  <r>
    <x v="9"/>
    <x v="1"/>
    <x v="7"/>
  </r>
  <r>
    <x v="8"/>
    <x v="0"/>
    <x v="0"/>
  </r>
  <r>
    <x v="0"/>
    <x v="0"/>
    <x v="8"/>
  </r>
  <r>
    <x v="5"/>
    <x v="1"/>
    <x v="10"/>
  </r>
  <r>
    <x v="7"/>
    <x v="1"/>
    <x v="0"/>
  </r>
  <r>
    <x v="7"/>
    <x v="1"/>
    <x v="3"/>
  </r>
  <r>
    <x v="10"/>
    <x v="1"/>
    <x v="0"/>
  </r>
  <r>
    <x v="4"/>
    <x v="0"/>
    <x v="0"/>
  </r>
  <r>
    <x v="0"/>
    <x v="0"/>
    <x v="4"/>
  </r>
  <r>
    <x v="7"/>
    <x v="1"/>
    <x v="4"/>
  </r>
  <r>
    <x v="4"/>
    <x v="0"/>
    <x v="7"/>
  </r>
  <r>
    <x v="4"/>
    <x v="1"/>
    <x v="10"/>
  </r>
  <r>
    <x v="5"/>
    <x v="1"/>
    <x v="1"/>
  </r>
  <r>
    <x v="4"/>
    <x v="1"/>
    <x v="5"/>
  </r>
  <r>
    <x v="5"/>
    <x v="1"/>
    <x v="4"/>
  </r>
  <r>
    <x v="2"/>
    <x v="1"/>
    <x v="4"/>
  </r>
  <r>
    <x v="4"/>
    <x v="0"/>
    <x v="2"/>
  </r>
  <r>
    <x v="5"/>
    <x v="1"/>
    <x v="10"/>
  </r>
  <r>
    <x v="2"/>
    <x v="1"/>
    <x v="6"/>
  </r>
  <r>
    <x v="10"/>
    <x v="1"/>
    <x v="0"/>
  </r>
  <r>
    <x v="5"/>
    <x v="1"/>
    <x v="10"/>
  </r>
  <r>
    <x v="8"/>
    <x v="0"/>
    <x v="10"/>
  </r>
  <r>
    <x v="5"/>
    <x v="0"/>
    <x v="6"/>
  </r>
  <r>
    <x v="2"/>
    <x v="0"/>
    <x v="4"/>
  </r>
  <r>
    <x v="4"/>
    <x v="0"/>
    <x v="2"/>
  </r>
  <r>
    <x v="11"/>
    <x v="0"/>
    <x v="11"/>
  </r>
  <r>
    <x v="10"/>
    <x v="0"/>
    <x v="12"/>
  </r>
  <r>
    <x v="11"/>
    <x v="1"/>
    <x v="4"/>
  </r>
  <r>
    <x v="9"/>
    <x v="1"/>
    <x v="0"/>
  </r>
  <r>
    <x v="4"/>
    <x v="1"/>
    <x v="0"/>
  </r>
  <r>
    <x v="7"/>
    <x v="1"/>
    <x v="0"/>
  </r>
  <r>
    <x v="10"/>
    <x v="1"/>
    <x v="3"/>
  </r>
  <r>
    <x v="10"/>
    <x v="1"/>
    <x v="7"/>
  </r>
  <r>
    <x v="5"/>
    <x v="1"/>
    <x v="10"/>
  </r>
  <r>
    <x v="4"/>
    <x v="0"/>
    <x v="0"/>
  </r>
  <r>
    <x v="0"/>
    <x v="0"/>
    <x v="4"/>
  </r>
  <r>
    <x v="4"/>
    <x v="1"/>
    <x v="10"/>
  </r>
  <r>
    <x v="2"/>
    <x v="0"/>
    <x v="5"/>
  </r>
  <r>
    <x v="5"/>
    <x v="0"/>
    <x v="2"/>
  </r>
  <r>
    <x v="6"/>
    <x v="0"/>
    <x v="12"/>
  </r>
  <r>
    <x v="11"/>
    <x v="0"/>
    <x v="6"/>
  </r>
  <r>
    <x v="10"/>
    <x v="1"/>
    <x v="6"/>
  </r>
  <r>
    <x v="2"/>
    <x v="1"/>
    <x v="0"/>
  </r>
  <r>
    <x v="5"/>
    <x v="0"/>
    <x v="4"/>
  </r>
  <r>
    <x v="4"/>
    <x v="0"/>
    <x v="5"/>
  </r>
  <r>
    <x v="2"/>
    <x v="0"/>
    <x v="8"/>
  </r>
  <r>
    <x v="8"/>
    <x v="0"/>
    <x v="2"/>
  </r>
  <r>
    <x v="10"/>
    <x v="1"/>
    <x v="3"/>
  </r>
  <r>
    <x v="8"/>
    <x v="0"/>
    <x v="5"/>
  </r>
  <r>
    <x v="5"/>
    <x v="0"/>
    <x v="8"/>
  </r>
  <r>
    <x v="2"/>
    <x v="0"/>
    <x v="0"/>
  </r>
  <r>
    <x v="9"/>
    <x v="1"/>
    <x v="6"/>
  </r>
  <r>
    <x v="0"/>
    <x v="1"/>
    <x v="2"/>
  </r>
  <r>
    <x v="0"/>
    <x v="1"/>
    <x v="3"/>
  </r>
  <r>
    <x v="2"/>
    <x v="1"/>
    <x v="0"/>
  </r>
  <r>
    <x v="3"/>
    <x v="0"/>
    <x v="2"/>
  </r>
  <r>
    <x v="3"/>
    <x v="0"/>
    <x v="0"/>
  </r>
  <r>
    <x v="6"/>
    <x v="1"/>
    <x v="10"/>
  </r>
  <r>
    <x v="8"/>
    <x v="1"/>
    <x v="6"/>
  </r>
  <r>
    <x v="2"/>
    <x v="0"/>
    <x v="6"/>
  </r>
  <r>
    <x v="2"/>
    <x v="0"/>
    <x v="8"/>
  </r>
  <r>
    <x v="8"/>
    <x v="0"/>
    <x v="2"/>
  </r>
  <r>
    <x v="2"/>
    <x v="1"/>
    <x v="8"/>
  </r>
  <r>
    <x v="8"/>
    <x v="0"/>
    <x v="2"/>
  </r>
  <r>
    <x v="4"/>
    <x v="1"/>
    <x v="5"/>
  </r>
  <r>
    <x v="4"/>
    <x v="1"/>
    <x v="11"/>
  </r>
  <r>
    <x v="10"/>
    <x v="0"/>
    <x v="4"/>
  </r>
  <r>
    <x v="2"/>
    <x v="1"/>
    <x v="7"/>
  </r>
  <r>
    <x v="1"/>
    <x v="0"/>
    <x v="7"/>
  </r>
  <r>
    <x v="4"/>
    <x v="1"/>
    <x v="5"/>
  </r>
  <r>
    <x v="5"/>
    <x v="0"/>
    <x v="4"/>
  </r>
  <r>
    <x v="5"/>
    <x v="1"/>
    <x v="0"/>
  </r>
  <r>
    <x v="0"/>
    <x v="0"/>
    <x v="5"/>
  </r>
  <r>
    <x v="4"/>
    <x v="1"/>
    <x v="5"/>
  </r>
  <r>
    <x v="0"/>
    <x v="1"/>
    <x v="5"/>
  </r>
  <r>
    <x v="9"/>
    <x v="1"/>
    <x v="6"/>
  </r>
  <r>
    <x v="4"/>
    <x v="1"/>
    <x v="5"/>
  </r>
  <r>
    <x v="7"/>
    <x v="0"/>
    <x v="1"/>
  </r>
  <r>
    <x v="1"/>
    <x v="0"/>
    <x v="7"/>
  </r>
  <r>
    <x v="10"/>
    <x v="1"/>
    <x v="1"/>
  </r>
  <r>
    <x v="5"/>
    <x v="0"/>
    <x v="8"/>
  </r>
  <r>
    <x v="8"/>
    <x v="1"/>
    <x v="5"/>
  </r>
  <r>
    <x v="7"/>
    <x v="0"/>
    <x v="1"/>
  </r>
  <r>
    <x v="7"/>
    <x v="1"/>
    <x v="6"/>
  </r>
  <r>
    <x v="4"/>
    <x v="1"/>
    <x v="10"/>
  </r>
  <r>
    <x v="4"/>
    <x v="1"/>
    <x v="10"/>
  </r>
  <r>
    <x v="2"/>
    <x v="0"/>
    <x v="8"/>
  </r>
  <r>
    <x v="8"/>
    <x v="0"/>
    <x v="2"/>
  </r>
  <r>
    <x v="4"/>
    <x v="1"/>
    <x v="10"/>
  </r>
  <r>
    <x v="0"/>
    <x v="1"/>
    <x v="12"/>
  </r>
  <r>
    <x v="0"/>
    <x v="1"/>
    <x v="7"/>
  </r>
  <r>
    <x v="7"/>
    <x v="1"/>
    <x v="0"/>
  </r>
  <r>
    <x v="0"/>
    <x v="1"/>
    <x v="2"/>
  </r>
  <r>
    <x v="2"/>
    <x v="0"/>
    <x v="0"/>
  </r>
  <r>
    <x v="7"/>
    <x v="0"/>
    <x v="1"/>
  </r>
  <r>
    <x v="2"/>
    <x v="1"/>
    <x v="0"/>
  </r>
  <r>
    <x v="0"/>
    <x v="0"/>
    <x v="2"/>
  </r>
  <r>
    <x v="4"/>
    <x v="1"/>
    <x v="10"/>
  </r>
  <r>
    <x v="0"/>
    <x v="0"/>
    <x v="11"/>
  </r>
  <r>
    <x v="10"/>
    <x v="0"/>
    <x v="0"/>
  </r>
  <r>
    <x v="2"/>
    <x v="1"/>
    <x v="0"/>
  </r>
  <r>
    <x v="0"/>
    <x v="0"/>
    <x v="2"/>
  </r>
  <r>
    <x v="2"/>
    <x v="0"/>
    <x v="8"/>
  </r>
  <r>
    <x v="8"/>
    <x v="0"/>
    <x v="2"/>
  </r>
  <r>
    <x v="8"/>
    <x v="0"/>
    <x v="0"/>
  </r>
  <r>
    <x v="0"/>
    <x v="0"/>
    <x v="8"/>
  </r>
  <r>
    <x v="10"/>
    <x v="1"/>
    <x v="5"/>
  </r>
  <r>
    <x v="3"/>
    <x v="1"/>
    <x v="10"/>
  </r>
  <r>
    <x v="4"/>
    <x v="1"/>
    <x v="5"/>
  </r>
  <r>
    <x v="2"/>
    <x v="1"/>
    <x v="5"/>
  </r>
  <r>
    <x v="7"/>
    <x v="0"/>
    <x v="5"/>
  </r>
  <r>
    <x v="5"/>
    <x v="0"/>
    <x v="7"/>
  </r>
  <r>
    <x v="4"/>
    <x v="1"/>
    <x v="9"/>
  </r>
  <r>
    <x v="4"/>
    <x v="1"/>
    <x v="5"/>
  </r>
  <r>
    <x v="2"/>
    <x v="0"/>
    <x v="4"/>
  </r>
  <r>
    <x v="4"/>
    <x v="0"/>
    <x v="2"/>
  </r>
  <r>
    <x v="2"/>
    <x v="1"/>
    <x v="10"/>
  </r>
  <r>
    <x v="2"/>
    <x v="1"/>
    <x v="0"/>
  </r>
  <r>
    <x v="2"/>
    <x v="1"/>
    <x v="0"/>
  </r>
  <r>
    <x v="0"/>
    <x v="0"/>
    <x v="2"/>
  </r>
  <r>
    <x v="2"/>
    <x v="0"/>
    <x v="4"/>
  </r>
  <r>
    <x v="4"/>
    <x v="1"/>
    <x v="2"/>
  </r>
  <r>
    <x v="5"/>
    <x v="1"/>
    <x v="4"/>
  </r>
  <r>
    <x v="4"/>
    <x v="0"/>
    <x v="5"/>
  </r>
  <r>
    <x v="2"/>
    <x v="0"/>
    <x v="6"/>
  </r>
  <r>
    <x v="10"/>
    <x v="1"/>
    <x v="10"/>
  </r>
  <r>
    <x v="2"/>
    <x v="1"/>
    <x v="5"/>
  </r>
  <r>
    <x v="5"/>
    <x v="0"/>
    <x v="2"/>
  </r>
  <r>
    <x v="2"/>
    <x v="0"/>
    <x v="4"/>
  </r>
  <r>
    <x v="4"/>
    <x v="0"/>
    <x v="2"/>
  </r>
  <r>
    <x v="2"/>
    <x v="1"/>
    <x v="8"/>
  </r>
  <r>
    <x v="8"/>
    <x v="0"/>
    <x v="12"/>
  </r>
  <r>
    <x v="8"/>
    <x v="0"/>
    <x v="2"/>
  </r>
  <r>
    <x v="4"/>
    <x v="1"/>
    <x v="0"/>
  </r>
  <r>
    <x v="0"/>
    <x v="0"/>
    <x v="4"/>
  </r>
  <r>
    <x v="4"/>
    <x v="0"/>
    <x v="0"/>
  </r>
  <r>
    <x v="10"/>
    <x v="1"/>
    <x v="4"/>
  </r>
  <r>
    <x v="4"/>
    <x v="0"/>
    <x v="11"/>
  </r>
  <r>
    <x v="2"/>
    <x v="1"/>
    <x v="10"/>
  </r>
  <r>
    <x v="11"/>
    <x v="1"/>
    <x v="4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count="104">
  <r>
    <x v="0"/>
    <x v="1"/>
    <x v="5"/>
  </r>
  <r>
    <x v="8"/>
    <x v="0"/>
    <x v="11"/>
  </r>
  <r>
    <x v="7"/>
    <x v="1"/>
    <x v="5"/>
  </r>
  <r>
    <x v="8"/>
    <x v="1"/>
    <x v="4"/>
  </r>
  <r>
    <x v="5"/>
    <x v="0"/>
    <x v="7"/>
  </r>
  <r>
    <x v="1"/>
    <x v="0"/>
    <x v="8"/>
  </r>
  <r>
    <x v="8"/>
    <x v="1"/>
    <x v="1"/>
  </r>
  <r>
    <x v="9"/>
    <x v="0"/>
    <x v="4"/>
  </r>
  <r>
    <x v="1"/>
    <x v="0"/>
    <x v="9"/>
  </r>
  <r>
    <x v="9"/>
    <x v="0"/>
    <x v="1"/>
  </r>
  <r>
    <x v="9"/>
    <x v="0"/>
    <x v="1"/>
  </r>
  <r>
    <x v="1"/>
    <x v="0"/>
    <x v="9"/>
  </r>
  <r>
    <x v="9"/>
    <x v="1"/>
    <x v="11"/>
  </r>
  <r>
    <x v="10"/>
    <x v="1"/>
    <x v="2"/>
  </r>
  <r>
    <x v="3"/>
    <x v="1"/>
    <x v="8"/>
  </r>
  <r>
    <x v="1"/>
    <x v="1"/>
    <x v="8"/>
  </r>
  <r>
    <x v="9"/>
    <x v="1"/>
    <x v="10"/>
  </r>
  <r>
    <x v="9"/>
    <x v="1"/>
    <x v="2"/>
  </r>
  <r>
    <x v="3"/>
    <x v="1"/>
    <x v="4"/>
  </r>
  <r>
    <x v="3"/>
    <x v="1"/>
    <x v="8"/>
  </r>
  <r>
    <x v="8"/>
    <x v="0"/>
    <x v="3"/>
  </r>
  <r>
    <x v="3"/>
    <x v="0"/>
    <x v="1"/>
  </r>
  <r>
    <x v="8"/>
    <x v="0"/>
    <x v="1"/>
  </r>
  <r>
    <x v="1"/>
    <x v="0"/>
    <x v="8"/>
  </r>
  <r>
    <x v="1"/>
    <x v="0"/>
    <x v="3"/>
  </r>
  <r>
    <x v="1"/>
    <x v="1"/>
    <x v="3"/>
  </r>
  <r>
    <x v="8"/>
    <x v="1"/>
    <x v="10"/>
  </r>
  <r>
    <x v="9"/>
    <x v="1"/>
    <x v="10"/>
  </r>
  <r>
    <x v="10"/>
    <x v="1"/>
    <x v="10"/>
  </r>
  <r>
    <x v="4"/>
    <x v="1"/>
    <x v="9"/>
  </r>
  <r>
    <x v="9"/>
    <x v="1"/>
    <x v="1"/>
  </r>
  <r>
    <x v="1"/>
    <x v="0"/>
    <x v="9"/>
  </r>
  <r>
    <x v="0"/>
    <x v="0"/>
    <x v="9"/>
  </r>
  <r>
    <x v="9"/>
    <x v="0"/>
    <x v="0"/>
  </r>
  <r>
    <x v="8"/>
    <x v="1"/>
    <x v="0"/>
  </r>
  <r>
    <x v="9"/>
    <x v="1"/>
    <x v="1"/>
  </r>
  <r>
    <x v="8"/>
    <x v="1"/>
    <x v="3"/>
  </r>
  <r>
    <x v="0"/>
    <x v="0"/>
    <x v="11"/>
  </r>
  <r>
    <x v="10"/>
    <x v="0"/>
    <x v="0"/>
  </r>
  <r>
    <x v="8"/>
    <x v="0"/>
    <x v="9"/>
  </r>
  <r>
    <x v="8"/>
    <x v="0"/>
    <x v="9"/>
  </r>
  <r>
    <x v="9"/>
    <x v="0"/>
    <x v="8"/>
  </r>
  <r>
    <x v="8"/>
    <x v="1"/>
    <x v="0"/>
  </r>
  <r>
    <x v="4"/>
    <x v="1"/>
    <x v="1"/>
  </r>
  <r>
    <x v="9"/>
    <x v="1"/>
    <x v="4"/>
  </r>
  <r>
    <x v="4"/>
    <x v="0"/>
    <x v="9"/>
  </r>
  <r>
    <x v="1"/>
    <x v="0"/>
    <x v="4"/>
  </r>
  <r>
    <x v="4"/>
    <x v="0"/>
    <x v="1"/>
  </r>
  <r>
    <x v="8"/>
    <x v="0"/>
    <x v="1"/>
  </r>
  <r>
    <x v="1"/>
    <x v="0"/>
    <x v="8"/>
  </r>
  <r>
    <x v="8"/>
    <x v="0"/>
    <x v="1"/>
  </r>
  <r>
    <x v="1"/>
    <x v="0"/>
    <x v="8"/>
  </r>
  <r>
    <x v="1"/>
    <x v="0"/>
    <x v="4"/>
  </r>
  <r>
    <x v="4"/>
    <x v="0"/>
    <x v="1"/>
  </r>
  <r>
    <x v="6"/>
    <x v="1"/>
    <x v="5"/>
  </r>
  <r>
    <x v="1"/>
    <x v="0"/>
    <x v="2"/>
  </r>
  <r>
    <x v="2"/>
    <x v="0"/>
    <x v="1"/>
  </r>
  <r>
    <x v="1"/>
    <x v="0"/>
    <x v="0"/>
  </r>
  <r>
    <x v="0"/>
    <x v="0"/>
    <x v="1"/>
  </r>
  <r>
    <x v="9"/>
    <x v="1"/>
    <x v="10"/>
  </r>
  <r>
    <x v="1"/>
    <x v="1"/>
    <x v="4"/>
  </r>
  <r>
    <x v="0"/>
    <x v="1"/>
    <x v="3"/>
  </r>
  <r>
    <x v="9"/>
    <x v="1"/>
    <x v="10"/>
  </r>
  <r>
    <x v="9"/>
    <x v="1"/>
    <x v="1"/>
  </r>
  <r>
    <x v="1"/>
    <x v="0"/>
    <x v="9"/>
  </r>
  <r>
    <x v="9"/>
    <x v="1"/>
    <x v="1"/>
  </r>
  <r>
    <x v="1"/>
    <x v="0"/>
    <x v="9"/>
  </r>
  <r>
    <x v="8"/>
    <x v="1"/>
    <x v="6"/>
  </r>
  <r>
    <x v="6"/>
    <x v="1"/>
    <x v="5"/>
  </r>
  <r>
    <x v="1"/>
    <x v="1"/>
    <x v="4"/>
  </r>
  <r>
    <x v="1"/>
    <x v="0"/>
    <x v="11"/>
  </r>
  <r>
    <x v="10"/>
    <x v="0"/>
    <x v="1"/>
  </r>
  <r>
    <x v="0"/>
    <x v="1"/>
    <x v="11"/>
  </r>
  <r>
    <x v="8"/>
    <x v="1"/>
    <x v="10"/>
  </r>
  <r>
    <x v="8"/>
    <x v="1"/>
    <x v="2"/>
  </r>
  <r>
    <x v="2"/>
    <x v="0"/>
    <x v="3"/>
  </r>
  <r>
    <x v="4"/>
    <x v="1"/>
    <x v="1"/>
  </r>
  <r>
    <x v="1"/>
    <x v="0"/>
    <x v="4"/>
  </r>
  <r>
    <x v="1"/>
    <x v="1"/>
    <x v="4"/>
  </r>
  <r>
    <x v="5"/>
    <x v="1"/>
    <x v="7"/>
  </r>
  <r>
    <x v="1"/>
    <x v="0"/>
    <x v="8"/>
  </r>
  <r>
    <x v="8"/>
    <x v="0"/>
    <x v="1"/>
  </r>
  <r>
    <x v="6"/>
    <x v="1"/>
    <x v="0"/>
  </r>
  <r>
    <x v="9"/>
    <x v="1"/>
    <x v="1"/>
  </r>
  <r>
    <x v="0"/>
    <x v="0"/>
    <x v="9"/>
  </r>
  <r>
    <x v="9"/>
    <x v="0"/>
    <x v="0"/>
  </r>
  <r>
    <x v="9"/>
    <x v="1"/>
    <x v="4"/>
  </r>
  <r>
    <x v="4"/>
    <x v="0"/>
    <x v="9"/>
  </r>
  <r>
    <x v="4"/>
    <x v="1"/>
    <x v="1"/>
  </r>
  <r>
    <x v="9"/>
    <x v="1"/>
    <x v="11"/>
  </r>
  <r>
    <x v="2"/>
    <x v="1"/>
    <x v="9"/>
  </r>
  <r>
    <x v="9"/>
    <x v="1"/>
    <x v="11"/>
  </r>
  <r>
    <x v="4"/>
    <x v="0"/>
    <x v="5"/>
  </r>
  <r>
    <x v="0"/>
    <x v="1"/>
    <x v="2"/>
  </r>
  <r>
    <x v="7"/>
    <x v="1"/>
    <x v="11"/>
  </r>
  <r>
    <x v="3"/>
    <x v="1"/>
    <x v="5"/>
  </r>
  <r>
    <x v="10"/>
    <x v="1"/>
    <x v="5"/>
  </r>
  <r>
    <x v="10"/>
    <x v="0"/>
    <x v="3"/>
  </r>
  <r>
    <x v="3"/>
    <x v="0"/>
    <x v="11"/>
  </r>
  <r>
    <x v="4"/>
    <x v="0"/>
    <x v="3"/>
  </r>
  <r>
    <x v="3"/>
    <x v="0"/>
    <x v="4"/>
  </r>
  <r>
    <x v="9"/>
    <x v="1"/>
    <x v="4"/>
  </r>
  <r>
    <x v="6"/>
    <x v="1"/>
    <x v="4"/>
  </r>
  <r>
    <x v="5"/>
    <x v="1"/>
    <x v="11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count="157">
  <r>
    <x v="3"/>
    <x v="1"/>
    <x v="8"/>
  </r>
  <r>
    <x v="7"/>
    <x v="1"/>
    <x v="3"/>
  </r>
  <r>
    <x v="8"/>
    <x v="2"/>
    <x v="3"/>
  </r>
  <r>
    <x v="6"/>
    <x v="2"/>
    <x v="11"/>
  </r>
  <r>
    <x v="1"/>
    <x v="2"/>
    <x v="4"/>
  </r>
  <r>
    <x v="8"/>
    <x v="1"/>
    <x v="2"/>
  </r>
  <r>
    <x v="1"/>
    <x v="2"/>
    <x v="3"/>
  </r>
  <r>
    <x v="6"/>
    <x v="2"/>
    <x v="9"/>
  </r>
  <r>
    <x v="7"/>
    <x v="1"/>
    <x v="9"/>
  </r>
  <r>
    <x v="8"/>
    <x v="2"/>
    <x v="1"/>
  </r>
  <r>
    <x v="3"/>
    <x v="2"/>
    <x v="1"/>
  </r>
  <r>
    <x v="8"/>
    <x v="2"/>
    <x v="2"/>
  </r>
  <r>
    <x v="5"/>
    <x v="2"/>
    <x v="1"/>
  </r>
  <r>
    <x v="7"/>
    <x v="1"/>
    <x v="5"/>
  </r>
  <r>
    <x v="5"/>
    <x v="2"/>
    <x v="3"/>
  </r>
  <r>
    <x v="1"/>
    <x v="2"/>
    <x v="4"/>
  </r>
  <r>
    <x v="3"/>
    <x v="2"/>
    <x v="11"/>
  </r>
  <r>
    <x v="6"/>
    <x v="2"/>
    <x v="11"/>
  </r>
  <r>
    <x v="3"/>
    <x v="1"/>
    <x v="4"/>
  </r>
  <r>
    <x v="3"/>
    <x v="1"/>
    <x v="7"/>
  </r>
  <r>
    <x v="3"/>
    <x v="1"/>
    <x v="9"/>
  </r>
  <r>
    <x v="8"/>
    <x v="1"/>
    <x v="3"/>
  </r>
  <r>
    <x v="8"/>
    <x v="1"/>
    <x v="7"/>
  </r>
  <r>
    <x v="6"/>
    <x v="1"/>
    <x v="9"/>
  </r>
  <r>
    <x v="6"/>
    <x v="1"/>
    <x v="3"/>
  </r>
  <r>
    <x v="3"/>
    <x v="2"/>
    <x v="9"/>
  </r>
  <r>
    <x v="7"/>
    <x v="1"/>
    <x v="3"/>
  </r>
  <r>
    <x v="6"/>
    <x v="2"/>
    <x v="9"/>
  </r>
  <r>
    <x v="1"/>
    <x v="2"/>
    <x v="4"/>
  </r>
  <r>
    <x v="3"/>
    <x v="2"/>
    <x v="4"/>
  </r>
  <r>
    <x v="7"/>
    <x v="1"/>
    <x v="7"/>
  </r>
  <r>
    <x v="6"/>
    <x v="1"/>
    <x v="8"/>
  </r>
  <r>
    <x v="6"/>
    <x v="1"/>
    <x v="3"/>
  </r>
  <r>
    <x v="6"/>
    <x v="1"/>
    <x v="9"/>
  </r>
  <r>
    <x v="3"/>
    <x v="1"/>
    <x v="7"/>
  </r>
  <r>
    <x v="3"/>
    <x v="2"/>
    <x v="9"/>
  </r>
  <r>
    <x v="7"/>
    <x v="1"/>
    <x v="4"/>
  </r>
  <r>
    <x v="3"/>
    <x v="1"/>
    <x v="0"/>
  </r>
  <r>
    <x v="8"/>
    <x v="2"/>
    <x v="7"/>
  </r>
  <r>
    <x v="6"/>
    <x v="2"/>
    <x v="9"/>
  </r>
  <r>
    <x v="8"/>
    <x v="2"/>
    <x v="3"/>
  </r>
  <r>
    <x v="3"/>
    <x v="2"/>
    <x v="1"/>
  </r>
  <r>
    <x v="8"/>
    <x v="1"/>
    <x v="1"/>
  </r>
  <r>
    <x v="1"/>
    <x v="1"/>
    <x v="9"/>
  </r>
  <r>
    <x v="3"/>
    <x v="1"/>
    <x v="9"/>
  </r>
  <r>
    <x v="8"/>
    <x v="1"/>
    <x v="3"/>
  </r>
  <r>
    <x v="8"/>
    <x v="2"/>
    <x v="11"/>
  </r>
  <r>
    <x v="7"/>
    <x v="2"/>
    <x v="0"/>
  </r>
  <r>
    <x v="5"/>
    <x v="1"/>
    <x v="2"/>
  </r>
  <r>
    <x v="2"/>
    <x v="1"/>
    <x v="6"/>
  </r>
  <r>
    <x v="7"/>
    <x v="2"/>
    <x v="6"/>
  </r>
  <r>
    <x v="8"/>
    <x v="2"/>
    <x v="0"/>
  </r>
  <r>
    <x v="8"/>
    <x v="2"/>
    <x v="5"/>
  </r>
  <r>
    <x v="5"/>
    <x v="2"/>
    <x v="5"/>
  </r>
  <r>
    <x v="8"/>
    <x v="2"/>
    <x v="8"/>
  </r>
  <r>
    <x v="8"/>
    <x v="2"/>
    <x v="3"/>
  </r>
  <r>
    <x v="6"/>
    <x v="2"/>
    <x v="1"/>
  </r>
  <r>
    <x v="3"/>
    <x v="2"/>
    <x v="4"/>
  </r>
  <r>
    <x v="6"/>
    <x v="1"/>
    <x v="6"/>
  </r>
  <r>
    <x v="6"/>
    <x v="1"/>
    <x v="9"/>
  </r>
  <r>
    <x v="6"/>
    <x v="1"/>
    <x v="3"/>
  </r>
  <r>
    <x v="3"/>
    <x v="2"/>
    <x v="7"/>
  </r>
  <r>
    <x v="1"/>
    <x v="2"/>
    <x v="4"/>
  </r>
  <r>
    <x v="4"/>
    <x v="2"/>
    <x v="5"/>
  </r>
  <r>
    <x v="8"/>
    <x v="2"/>
    <x v="5"/>
  </r>
  <r>
    <x v="8"/>
    <x v="2"/>
    <x v="10"/>
  </r>
  <r>
    <x v="3"/>
    <x v="2"/>
    <x v="9"/>
  </r>
  <r>
    <x v="1"/>
    <x v="2"/>
    <x v="9"/>
  </r>
  <r>
    <x v="1"/>
    <x v="2"/>
    <x v="3"/>
  </r>
  <r>
    <x v="8"/>
    <x v="2"/>
    <x v="1"/>
  </r>
  <r>
    <x v="3"/>
    <x v="2"/>
    <x v="9"/>
  </r>
  <r>
    <x v="0"/>
    <x v="1"/>
    <x v="2"/>
  </r>
  <r>
    <x v="8"/>
    <x v="2"/>
    <x v="1"/>
  </r>
  <r>
    <x v="2"/>
    <x v="2"/>
    <x v="0"/>
  </r>
  <r>
    <x v="5"/>
    <x v="2"/>
    <x v="3"/>
  </r>
  <r>
    <x v="3"/>
    <x v="1"/>
    <x v="0"/>
  </r>
  <r>
    <x v="0"/>
    <x v="1"/>
    <x v="3"/>
  </r>
  <r>
    <x v="4"/>
    <x v="1"/>
    <x v="2"/>
  </r>
  <r>
    <x v="8"/>
    <x v="1"/>
    <x v="7"/>
  </r>
  <r>
    <x v="6"/>
    <x v="1"/>
    <x v="9"/>
  </r>
  <r>
    <x v="6"/>
    <x v="2"/>
    <x v="9"/>
  </r>
  <r>
    <x v="6"/>
    <x v="2"/>
    <x v="2"/>
  </r>
  <r>
    <x v="8"/>
    <x v="2"/>
    <x v="6"/>
  </r>
  <r>
    <x v="1"/>
    <x v="2"/>
    <x v="3"/>
  </r>
  <r>
    <x v="4"/>
    <x v="2"/>
    <x v="1"/>
  </r>
  <r>
    <x v="5"/>
    <x v="2"/>
    <x v="10"/>
  </r>
  <r>
    <x v="6"/>
    <x v="2"/>
    <x v="6"/>
  </r>
  <r>
    <x v="5"/>
    <x v="2"/>
    <x v="7"/>
  </r>
  <r>
    <x v="8"/>
    <x v="2"/>
    <x v="11"/>
  </r>
  <r>
    <x v="1"/>
    <x v="1"/>
    <x v="4"/>
  </r>
  <r>
    <x v="6"/>
    <x v="2"/>
    <x v="9"/>
  </r>
  <r>
    <x v="4"/>
    <x v="2"/>
    <x v="1"/>
  </r>
  <r>
    <x v="3"/>
    <x v="2"/>
    <x v="1"/>
  </r>
  <r>
    <x v="6"/>
    <x v="1"/>
    <x v="9"/>
  </r>
  <r>
    <x v="8"/>
    <x v="1"/>
    <x v="7"/>
  </r>
  <r>
    <x v="8"/>
    <x v="2"/>
    <x v="1"/>
  </r>
  <r>
    <x v="6"/>
    <x v="2"/>
    <x v="1"/>
  </r>
  <r>
    <x v="8"/>
    <x v="2"/>
    <x v="10"/>
  </r>
  <r>
    <x v="3"/>
    <x v="2"/>
    <x v="1"/>
  </r>
  <r>
    <x v="3"/>
    <x v="2"/>
    <x v="8"/>
  </r>
  <r>
    <x v="7"/>
    <x v="1"/>
    <x v="3"/>
  </r>
  <r>
    <x v="3"/>
    <x v="2"/>
    <x v="0"/>
  </r>
  <r>
    <x v="7"/>
    <x v="2"/>
    <x v="0"/>
  </r>
  <r>
    <x v="10"/>
    <x v="2"/>
    <x v="2"/>
  </r>
  <r>
    <x v="5"/>
    <x v="2"/>
    <x v="8"/>
  </r>
  <r>
    <x v="5"/>
    <x v="1"/>
    <x v="8"/>
  </r>
  <r>
    <x v="7"/>
    <x v="1"/>
    <x v="6"/>
  </r>
  <r>
    <x v="7"/>
    <x v="2"/>
    <x v="2"/>
  </r>
  <r>
    <x v="8"/>
    <x v="2"/>
    <x v="6"/>
  </r>
  <r>
    <x v="1"/>
    <x v="1"/>
    <x v="4"/>
  </r>
  <r>
    <x v="4"/>
    <x v="1"/>
    <x v="1"/>
  </r>
  <r>
    <x v="6"/>
    <x v="2"/>
    <x v="6"/>
  </r>
  <r>
    <x v="3"/>
    <x v="2"/>
    <x v="6"/>
  </r>
  <r>
    <x v="4"/>
    <x v="1"/>
    <x v="3"/>
  </r>
  <r>
    <x v="4"/>
    <x v="1"/>
    <x v="7"/>
  </r>
  <r>
    <x v="3"/>
    <x v="1"/>
    <x v="4"/>
  </r>
  <r>
    <x v="3"/>
    <x v="1"/>
    <x v="1"/>
  </r>
  <r>
    <x v="6"/>
    <x v="1"/>
    <x v="1"/>
  </r>
  <r>
    <x v="1"/>
    <x v="1"/>
    <x v="7"/>
  </r>
  <r>
    <x v="1"/>
    <x v="1"/>
    <x v="3"/>
  </r>
  <r>
    <x v="6"/>
    <x v="2"/>
    <x v="5"/>
  </r>
  <r>
    <x v="5"/>
    <x v="2"/>
    <x v="4"/>
  </r>
  <r>
    <x v="4"/>
    <x v="1"/>
    <x v="6"/>
  </r>
  <r>
    <x v="3"/>
    <x v="1"/>
    <x v="6"/>
  </r>
  <r>
    <x v="0"/>
    <x v="2"/>
    <x v="10"/>
  </r>
  <r>
    <x v="0"/>
    <x v="2"/>
    <x v="9"/>
  </r>
  <r>
    <x v="8"/>
    <x v="2"/>
    <x v="10"/>
  </r>
  <r>
    <x v="3"/>
    <x v="0"/>
    <x v="5"/>
  </r>
  <r>
    <x v="9"/>
    <x v="2"/>
    <x v="11"/>
  </r>
  <r>
    <x v="8"/>
    <x v="1"/>
    <x v="1"/>
  </r>
  <r>
    <x v="1"/>
    <x v="1"/>
    <x v="9"/>
  </r>
  <r>
    <x v="7"/>
    <x v="2"/>
    <x v="1"/>
  </r>
  <r>
    <x v="1"/>
    <x v="1"/>
    <x v="8"/>
  </r>
  <r>
    <x v="4"/>
    <x v="2"/>
    <x v="3"/>
  </r>
  <r>
    <x v="1"/>
    <x v="2"/>
    <x v="6"/>
  </r>
  <r>
    <x v="3"/>
    <x v="2"/>
    <x v="1"/>
  </r>
  <r>
    <x v="4"/>
    <x v="2"/>
    <x v="1"/>
  </r>
  <r>
    <x v="4"/>
    <x v="2"/>
    <x v="3"/>
  </r>
  <r>
    <x v="7"/>
    <x v="1"/>
    <x v="4"/>
  </r>
  <r>
    <x v="4"/>
    <x v="1"/>
    <x v="9"/>
  </r>
  <r>
    <x v="8"/>
    <x v="1"/>
    <x v="4"/>
  </r>
  <r>
    <x v="7"/>
    <x v="1"/>
    <x v="1"/>
  </r>
  <r>
    <x v="1"/>
    <x v="1"/>
    <x v="8"/>
  </r>
  <r>
    <x v="7"/>
    <x v="1"/>
    <x v="3"/>
  </r>
  <r>
    <x v="3"/>
    <x v="1"/>
    <x v="8"/>
  </r>
  <r>
    <x v="3"/>
    <x v="1"/>
    <x v="1"/>
  </r>
  <r>
    <x v="1"/>
    <x v="1"/>
    <x v="3"/>
  </r>
  <r>
    <x v="7"/>
    <x v="2"/>
    <x v="1"/>
  </r>
  <r>
    <x v="5"/>
    <x v="2"/>
    <x v="5"/>
  </r>
  <r>
    <x v="3"/>
    <x v="2"/>
    <x v="6"/>
  </r>
  <r>
    <x v="5"/>
    <x v="1"/>
    <x v="9"/>
  </r>
  <r>
    <x v="8"/>
    <x v="1"/>
    <x v="6"/>
  </r>
  <r>
    <x v="8"/>
    <x v="2"/>
    <x v="6"/>
  </r>
  <r>
    <x v="5"/>
    <x v="1"/>
    <x v="9"/>
  </r>
  <r>
    <x v="7"/>
    <x v="2"/>
    <x v="10"/>
  </r>
  <r>
    <x v="7"/>
    <x v="2"/>
    <x v="11"/>
  </r>
  <r>
    <x v="7"/>
    <x v="2"/>
    <x v="5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2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2.xml"/>
</Relationships>
</file>

<file path=xl/pivotTables/_rels/pivotTable3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3.xml"/>
</Relationships>
</file>

<file path=xl/pivotTables/_rels/pivotTable4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4.xml"/>
</Relationships>
</file>

<file path=xl/pivotTables/_rels/pivotTable5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5.xml"/>
</Relationships>
</file>

<file path=xl/pivotTables/_rels/pivotTable6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6.xml"/>
</Relationships>
</file>

<file path=xl/pivotTables/_rels/pivotTable7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7.xml"/>
</Relationships>
</file>

<file path=xl/pivotTables/_rels/pivotTable8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8.xml"/>
</Relationships>
</file>

<file path=xl/pivotTables/pivotTable1.xml><?xml version="1.0" encoding="utf-8"?>
<pivotTableDefinition xmlns="http://schemas.openxmlformats.org/spreadsheetml/2006/main" name="Fall2024PRE" cacheId="1" dataOnRows="0" applyNumberFormats="0" applyBorderFormats="0" applyFontFormats="0" applyPatternFormats="0" applyAlignmentFormats="0" applyWidthHeightFormats="0" dataCaption="Values" showDrill="1" useAutoFormatting="0" itemPrintTitles="1" indent="0" outline="0" outlineData="0" compact="0" compactData="0">
  <location ref="R2:AB11" firstHeaderRow="1" firstDataRow="2" firstDataCol="1"/>
  <pivotFields count="3">
    <pivotField axis="axisRow" compact="0" outline="0" showAll="0">
      <items count="10">
        <item x="0"/>
        <item x="1"/>
        <item x="2"/>
        <item x="3"/>
        <item x="4"/>
        <item h="1" x="5"/>
        <item x="6"/>
        <item x="7"/>
        <item h="1" x="8"/>
        <item t="default"/>
      </items>
    </pivotField>
    <pivotField dataField="1" compact="0" outline="0" showAll="0"/>
    <pivotField axis="axisCol" compact="0" outline="0" showAll="0">
      <items count="11">
        <item x="0"/>
        <item x="1"/>
        <item x="2"/>
        <item x="3"/>
        <item x="4"/>
        <item x="5"/>
        <item x="6"/>
        <item x="7"/>
        <item x="8"/>
        <item h="1" x="9"/>
        <item t="default"/>
      </items>
    </pivotField>
  </pivotFields>
  <rowFields count="1">
    <field x="0"/>
  </rowFields>
  <rowItems count="8">
    <i>
      <x v="7"/>
    </i>
    <i>
      <x v="1"/>
    </i>
    <i>
      <x/>
    </i>
    <i>
      <x v="6"/>
    </i>
    <i>
      <x v="2"/>
    </i>
    <i>
      <x v="4"/>
    </i>
    <i>
      <x v="3"/>
    </i>
    <i t="grand">
      <x/>
    </i>
  </rowItems>
  <colFields count="1">
    <field x="2"/>
  </colFields>
  <colItems count="10">
    <i>
      <x/>
    </i>
    <i>
      <x v="4"/>
    </i>
    <i>
      <x v="5"/>
    </i>
    <i>
      <x v="2"/>
    </i>
    <i>
      <x v="7"/>
    </i>
    <i>
      <x v="8"/>
    </i>
    <i>
      <x v="1"/>
    </i>
    <i>
      <x v="3"/>
    </i>
    <i>
      <x v="6"/>
    </i>
    <i t="grand">
      <x/>
    </i>
  </colItems>
  <dataFields count="1">
    <dataField name="Sum of Points" fld="1" subtotal="sum" numFmtId="164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PivotTable1" cacheId="2" dataOnRows="0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T2:AK17" firstHeaderRow="1" firstDataRow="2" firstDataCol="1"/>
  <pivotFields count="3"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h="1" x="13"/>
        <item t="default"/>
      </items>
    </pivotField>
    <pivotField dataField="1" showAll="0"/>
    <pivotField axis="axisCol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h="1" x="16"/>
        <item t="default"/>
      </items>
    </pivotField>
  </pivotFields>
  <rowFields count="1">
    <field x="0"/>
  </rowFields>
  <rowItems count="14">
    <i>
      <x v="12"/>
    </i>
    <i>
      <x v="6"/>
    </i>
    <i>
      <x v="8"/>
    </i>
    <i>
      <x v="9"/>
    </i>
    <i>
      <x v="10"/>
    </i>
    <i>
      <x v="3"/>
    </i>
    <i>
      <x v="1"/>
    </i>
    <i>
      <x/>
    </i>
    <i>
      <x v="4"/>
    </i>
    <i>
      <x v="7"/>
    </i>
    <i>
      <x v="11"/>
    </i>
    <i>
      <x v="5"/>
    </i>
    <i>
      <x v="2"/>
    </i>
    <i t="grand">
      <x/>
    </i>
  </rowItems>
  <colFields count="1">
    <field x="2"/>
  </colFields>
  <colItems count="17">
    <i>
      <x v="10"/>
    </i>
    <i>
      <x v="13"/>
    </i>
    <i>
      <x v="1"/>
    </i>
    <i>
      <x v="8"/>
    </i>
    <i>
      <x v="12"/>
    </i>
    <i>
      <x v="6"/>
    </i>
    <i>
      <x/>
    </i>
    <i>
      <x v="15"/>
    </i>
    <i>
      <x v="14"/>
    </i>
    <i>
      <x v="5"/>
    </i>
    <i>
      <x v="2"/>
    </i>
    <i>
      <x v="3"/>
    </i>
    <i>
      <x v="11"/>
    </i>
    <i>
      <x v="9"/>
    </i>
    <i>
      <x v="7"/>
    </i>
    <i>
      <x v="4"/>
    </i>
    <i t="grand">
      <x/>
    </i>
  </colItems>
  <dataFields count="1">
    <dataField name="Sum of Points" fld="1" subtotal="sum" numFmtId="164"/>
  </dataFields>
  <formats count="16">
    <format dxfId="9">
      <pivotArea dataOnly="0" labelOnly="1" fieldPosition="0">
        <references count="1">
          <reference field="0" count="1"/>
        </references>
      </pivotArea>
    </format>
    <format dxfId="10">
      <pivotArea dataOnly="0" labelOnly="1" outline="0" fieldPosition="0"/>
    </format>
    <format dxfId="11">
      <pivotArea outline="0" fieldPosition="0"/>
    </format>
    <format dxfId="12">
      <pivotArea outline="0" fieldPosition="0"/>
    </format>
    <format dxfId="13">
      <pivotArea dataOnly="0" outline="0" fieldPosition="0"/>
    </format>
    <format dxfId="14">
      <pivotArea outline="0" fieldPosition="0"/>
    </format>
    <format dxfId="15">
      <pivotArea dataOnly="0" labelOnly="1" outline="0" fieldPosition="0"/>
    </format>
    <format dxfId="16">
      <pivotArea dataOnly="0" labelOnly="1" outline="0" fieldPosition="0"/>
    </format>
    <format dxfId="17">
      <pivotArea dataOnly="0" labelOnly="1" outline="0" fieldPosition="0"/>
    </format>
    <format dxfId="18">
      <pivotArea dataOnly="0" labelOnly="1" outline="0" fieldPosition="0"/>
    </format>
    <format dxfId="19">
      <pivotArea dataOnly="0" labelOnly="1" fieldPosition="0">
        <references count="1">
          <reference field="0" count="1"/>
        </references>
      </pivotArea>
    </format>
    <format dxfId="20">
      <pivotArea dataOnly="0" labelOnly="1" outline="0" fieldPosition="0"/>
    </format>
    <format dxfId="21">
      <pivotArea dataOnly="0" labelOnly="1" fieldPosition="0">
        <references count="1">
          <reference field="2" count="1"/>
        </references>
      </pivotArea>
    </format>
    <format dxfId="22">
      <pivotArea dataOnly="0" labelOnly="1" outline="0" fieldPosition="0"/>
    </format>
    <format dxfId="23">
      <pivotArea dataOnly="0" labelOnly="1" fieldPosition="0">
        <references count="1">
          <reference field="0" count="1"/>
        </references>
      </pivotArea>
    </format>
    <format dxfId="24">
      <pivotArea dataOnly="0" labelOnly="1" fieldPosition="0">
        <references count="1">
          <reference field="0" count="1"/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FALL2025" cacheId="3" dataOnRows="0" applyNumberFormats="0" applyBorderFormats="0" applyFontFormats="0" applyPatternFormats="0" applyAlignmentFormats="0" applyWidthHeightFormats="0" dataCaption="Values" showDrill="1" useAutoFormatting="0" itemPrintTitles="1" indent="0" outline="0" outlineData="0" compact="0" compactData="0">
  <location ref="R2:AJ19" firstHeaderRow="1" firstDataRow="2" firstDataCol="1"/>
  <pivotFields count="3">
    <pivotField axis="axisRow" compact="0" outline="0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t="default"/>
      </items>
    </pivotField>
    <pivotField dataField="1" compact="0" outline="0" showAll="0"/>
    <pivotField axis="axisCol" compact="0" outline="0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h="1" x="17"/>
        <item t="default"/>
      </items>
    </pivotField>
  </pivotFields>
  <rowFields count="1">
    <field x="0"/>
  </rowFields>
  <rowItems count="16">
    <i>
      <x v="14"/>
    </i>
    <i>
      <x v="10"/>
    </i>
    <i>
      <x v="4"/>
    </i>
    <i>
      <x v="8"/>
    </i>
    <i>
      <x v="9"/>
    </i>
    <i>
      <x v="5"/>
    </i>
    <i>
      <x/>
    </i>
    <i>
      <x v="1"/>
    </i>
    <i>
      <x v="13"/>
    </i>
    <i>
      <x v="6"/>
    </i>
    <i>
      <x v="12"/>
    </i>
    <i>
      <x v="11"/>
    </i>
    <i>
      <x v="2"/>
    </i>
    <i>
      <x v="7"/>
    </i>
    <i>
      <x v="3"/>
    </i>
    <i t="grand">
      <x/>
    </i>
  </rowItems>
  <colFields count="1">
    <field x="2"/>
  </colFields>
  <colItems count="18">
    <i>
      <x v="11"/>
    </i>
    <i>
      <x v="16"/>
    </i>
    <i>
      <x v="14"/>
    </i>
    <i>
      <x v="9"/>
    </i>
    <i>
      <x v="6"/>
    </i>
    <i>
      <x v="7"/>
    </i>
    <i>
      <x v="5"/>
    </i>
    <i>
      <x/>
    </i>
    <i>
      <x v="15"/>
    </i>
    <i>
      <x v="1"/>
    </i>
    <i>
      <x v="2"/>
    </i>
    <i>
      <x v="13"/>
    </i>
    <i>
      <x v="3"/>
    </i>
    <i>
      <x v="10"/>
    </i>
    <i>
      <x v="4"/>
    </i>
    <i>
      <x v="8"/>
    </i>
    <i>
      <x v="12"/>
    </i>
    <i t="grand">
      <x/>
    </i>
  </colItems>
  <dataFields count="1">
    <dataField name="Sum of Points" fld="1" subtotal="sum" numFmtId="164"/>
  </dataFields>
  <formats count="22">
    <format dxfId="25">
      <pivotArea dataOnly="0" labelOnly="1" outline="0" fieldPosition="0"/>
    </format>
    <format dxfId="26">
      <pivotArea dataOnly="0" labelOnly="1" outline="0" fieldPosition="0">
        <references count="1">
          <reference field="0" count="1"/>
        </references>
      </pivotArea>
    </format>
    <format dxfId="27">
      <pivotArea dataOnly="0" labelOnly="1" outline="0" fieldPosition="0"/>
    </format>
    <format dxfId="28">
      <pivotArea dataOnly="0" labelOnly="1" outline="0" fieldPosition="0"/>
    </format>
    <format dxfId="29">
      <pivotArea dataOnly="0" labelOnly="1" outline="0" fieldPosition="0">
        <references count="1">
          <reference field="0" count="1"/>
        </references>
      </pivotArea>
    </format>
    <format dxfId="30">
      <pivotArea dataOnly="0" labelOnly="1" outline="0" fieldPosition="0"/>
    </format>
    <format dxfId="31">
      <pivotArea outline="0" fieldPosition="0"/>
    </format>
    <format dxfId="32">
      <pivotArea dataOnly="0" labelOnly="1" outline="0" fieldPosition="0">
        <references count="1">
          <reference field="2" count="1"/>
        </references>
      </pivotArea>
    </format>
    <format dxfId="33">
      <pivotArea dataOnly="0" labelOnly="1" outline="0" fieldPosition="0"/>
    </format>
    <format dxfId="34">
      <pivotArea outline="0" fieldPosition="0"/>
    </format>
    <format dxfId="35">
      <pivotArea dataOnly="0" labelOnly="1" outline="0" fieldPosition="0">
        <references count="1">
          <reference field="2" count="1"/>
        </references>
      </pivotArea>
    </format>
    <format dxfId="36">
      <pivotArea dataOnly="0" labelOnly="1" outline="0" fieldPosition="0"/>
    </format>
    <format dxfId="37">
      <pivotArea dataOnly="0" labelOnly="1" outline="0" fieldPosition="0"/>
    </format>
    <format dxfId="38">
      <pivotArea dataOnly="0" labelOnly="1" outline="0" fieldPosition="0">
        <references count="1">
          <reference field="0" count="1"/>
        </references>
      </pivotArea>
    </format>
    <format dxfId="39">
      <pivotArea dataOnly="0" labelOnly="1" outline="0" fieldPosition="0"/>
    </format>
    <format dxfId="40">
      <pivotArea dataOnly="0" labelOnly="1" outline="0" fieldPosition="0"/>
    </format>
    <format dxfId="41">
      <pivotArea dataOnly="0" labelOnly="1" outline="0" fieldPosition="0"/>
    </format>
    <format dxfId="42">
      <pivotArea dataOnly="0" labelOnly="1" outline="0" fieldPosition="0"/>
    </format>
    <format dxfId="43">
      <pivotArea dataOnly="0" labelOnly="1" outline="0" fieldPosition="0"/>
    </format>
    <format dxfId="44">
      <pivotArea dataOnly="0" labelOnly="1" outline="0" fieldPosition="0">
        <references count="1">
          <reference field="2" count="1"/>
        </references>
      </pivotArea>
    </format>
    <format dxfId="45">
      <pivotArea dataOnly="0" labelOnly="1" outline="0" fieldPosition="0"/>
    </format>
    <format dxfId="46">
      <pivotArea dataOnly="0" outline="0" fieldPosition="0"/>
    </format>
  </format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Fall2025PRE" cacheId="4" dataOnRows="0" applyNumberFormats="0" applyBorderFormats="0" applyFontFormats="0" applyPatternFormats="0" applyAlignmentFormats="0" applyWidthHeightFormats="0" dataCaption="Values" showDrill="1" useAutoFormatting="0" itemPrintTitles="1" indent="0" outline="0" outlineData="0" compact="0" compactData="0">
  <location ref="R2:AE14" firstHeaderRow="1" firstDataRow="2" firstDataCol="1"/>
  <pivotFields count="3">
    <pivotField axis="axisRow" compact="0" outline="0" showAll="0">
      <items count="12">
        <item x="0"/>
        <item x="1"/>
        <item x="2"/>
        <item x="3"/>
        <item x="4"/>
        <item x="5"/>
        <item x="6"/>
        <item x="7"/>
        <item x="8"/>
        <item x="9"/>
        <item h="1" x="10"/>
        <item t="default"/>
      </items>
    </pivotField>
    <pivotField dataField="1" compact="0" outline="0" showAll="0"/>
    <pivotField axis="axisCol" compact="0" outline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h="1" x="12"/>
        <item t="default"/>
      </items>
    </pivotField>
  </pivotFields>
  <rowFields count="1">
    <field x="0"/>
  </rowFields>
  <rowItems count="11">
    <i>
      <x v="4"/>
    </i>
    <i>
      <x v="8"/>
    </i>
    <i>
      <x/>
    </i>
    <i>
      <x v="5"/>
    </i>
    <i>
      <x v="9"/>
    </i>
    <i>
      <x v="7"/>
    </i>
    <i>
      <x v="1"/>
    </i>
    <i>
      <x v="2"/>
    </i>
    <i>
      <x v="6"/>
    </i>
    <i>
      <x v="3"/>
    </i>
    <i t="grand">
      <x/>
    </i>
  </rowItems>
  <colFields count="1">
    <field x="2"/>
  </colFields>
  <colItems count="13">
    <i>
      <x v="7"/>
    </i>
    <i>
      <x v="6"/>
    </i>
    <i>
      <x/>
    </i>
    <i>
      <x v="5"/>
    </i>
    <i>
      <x v="9"/>
    </i>
    <i>
      <x v="4"/>
    </i>
    <i>
      <x v="11"/>
    </i>
    <i>
      <x v="3"/>
    </i>
    <i>
      <x v="10"/>
    </i>
    <i>
      <x v="1"/>
    </i>
    <i>
      <x v="2"/>
    </i>
    <i>
      <x v="8"/>
    </i>
    <i t="grand">
      <x/>
    </i>
  </colItems>
  <dataFields count="1">
    <dataField name="Sum of Points" fld="1" subtotal="sum" numFmtId="164"/>
  </dataField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Spring2025" cacheId="5" dataOnRows="0" applyNumberFormats="0" applyBorderFormats="0" applyFontFormats="0" applyPatternFormats="0" applyAlignmentFormats="0" applyWidthHeightFormats="0" dataCaption="Values" showDrill="1" useAutoFormatting="0" itemPrintTitles="1" indent="0" outline="0" outlineData="0" compact="0" compactData="0">
  <location ref="R2:AD14" firstHeaderRow="1" firstDataRow="2" firstDataCol="1"/>
  <pivotFields count="3">
    <pivotField axis="axisRow" compact="0" outline="0" showAll="0">
      <items count="13">
        <item x="0"/>
        <item x="1"/>
        <item x="2"/>
        <item x="3"/>
        <item x="4"/>
        <item x="5"/>
        <item x="6"/>
        <item x="7"/>
        <item x="8"/>
        <item h="1" x="9"/>
        <item x="10"/>
        <item h="1" x="11"/>
        <item t="default"/>
      </items>
    </pivotField>
    <pivotField dataField="1" compact="0" outline="0" showAll="0"/>
    <pivotField axis="axisCol" compact="0" outline="0" showAll="0">
      <items count="14">
        <item x="0"/>
        <item x="1"/>
        <item x="2"/>
        <item x="3"/>
        <item x="4"/>
        <item x="5"/>
        <item x="6"/>
        <item x="7"/>
        <item x="8"/>
        <item h="1" x="9"/>
        <item x="10"/>
        <item x="11"/>
        <item h="1" x="12"/>
        <item t="default"/>
      </items>
    </pivotField>
  </pivotFields>
  <rowFields count="1">
    <field x="0"/>
  </rowFields>
  <rowItems count="11">
    <i>
      <x v="5"/>
    </i>
    <i>
      <x v="3"/>
    </i>
    <i>
      <x v="6"/>
    </i>
    <i>
      <x v="7"/>
    </i>
    <i>
      <x v="1"/>
    </i>
    <i>
      <x/>
    </i>
    <i>
      <x v="2"/>
    </i>
    <i>
      <x v="10"/>
    </i>
    <i>
      <x v="4"/>
    </i>
    <i>
      <x v="8"/>
    </i>
    <i t="grand">
      <x/>
    </i>
  </rowItems>
  <colFields count="1">
    <field x="2"/>
  </colFields>
  <colItems count="12">
    <i>
      <x v="6"/>
    </i>
    <i>
      <x v="10"/>
    </i>
    <i>
      <x v="5"/>
    </i>
    <i>
      <x v="3"/>
    </i>
    <i>
      <x v="7"/>
    </i>
    <i>
      <x v="1"/>
    </i>
    <i>
      <x v="2"/>
    </i>
    <i>
      <x/>
    </i>
    <i>
      <x v="11"/>
    </i>
    <i>
      <x v="4"/>
    </i>
    <i>
      <x v="8"/>
    </i>
    <i t="grand">
      <x/>
    </i>
  </colItems>
  <dataFields count="1">
    <dataField name="Sum of Points" fld="1" subtotal="sum" numFmtId="164"/>
  </dataField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="http://schemas.openxmlformats.org/spreadsheetml/2006/main" name="Fall2024" cacheId="6" dataOnRows="0" applyNumberFormats="0" applyBorderFormats="0" applyFontFormats="0" applyPatternFormats="0" applyAlignmentFormats="0" applyWidthHeightFormats="0" dataCaption="Values" showDrill="1" useAutoFormatting="0" itemPrintTitles="1" indent="0" outline="0" outlineData="0" compact="0" compactData="0">
  <location ref="R2:AE15" firstHeaderRow="1" firstDataRow="2" firstDataCol="1"/>
  <pivotFields count="3">
    <pivotField axis="axisRow" compact="0" outline="0" showAll="0">
      <items count="14">
        <item x="0"/>
        <item x="1"/>
        <item x="2"/>
        <item x="3"/>
        <item x="4"/>
        <item x="5"/>
        <item x="6"/>
        <item x="7"/>
        <item h="1" x="8"/>
        <item x="9"/>
        <item x="10"/>
        <item x="11"/>
        <item h="1" x="12"/>
        <item t="default"/>
      </items>
    </pivotField>
    <pivotField dataField="1" compact="0" outline="0" showAll="0"/>
    <pivotField axis="axisCol" compact="0" outline="0" showAll="0">
      <items count="15">
        <item x="0"/>
        <item x="1"/>
        <item x="2"/>
        <item x="3"/>
        <item x="4"/>
        <item x="5"/>
        <item x="6"/>
        <item x="7"/>
        <item h="1" x="8"/>
        <item x="9"/>
        <item x="10"/>
        <item x="11"/>
        <item x="12"/>
        <item h="1" x="13"/>
        <item t="default"/>
      </items>
    </pivotField>
  </pivotFields>
  <rowFields count="1">
    <field x="0"/>
  </rowFields>
  <rowItems count="12">
    <i>
      <x v="2"/>
    </i>
    <i>
      <x v="4"/>
    </i>
    <i>
      <x v="10"/>
    </i>
    <i>
      <x/>
    </i>
    <i>
      <x v="9"/>
    </i>
    <i>
      <x v="5"/>
    </i>
    <i>
      <x v="11"/>
    </i>
    <i>
      <x v="7"/>
    </i>
    <i>
      <x v="6"/>
    </i>
    <i>
      <x v="3"/>
    </i>
    <i>
      <x v="1"/>
    </i>
    <i t="grand">
      <x/>
    </i>
  </rowItems>
  <colFields count="1">
    <field x="2"/>
  </colFields>
  <colItems count="13">
    <i>
      <x v="10"/>
    </i>
    <i>
      <x/>
    </i>
    <i>
      <x v="4"/>
    </i>
    <i>
      <x v="5"/>
    </i>
    <i>
      <x v="6"/>
    </i>
    <i>
      <x v="2"/>
    </i>
    <i>
      <x v="9"/>
    </i>
    <i>
      <x v="7"/>
    </i>
    <i>
      <x v="3"/>
    </i>
    <i>
      <x v="11"/>
    </i>
    <i>
      <x v="12"/>
    </i>
    <i>
      <x v="1"/>
    </i>
    <i t="grand">
      <x/>
    </i>
  </colItems>
  <dataFields count="1">
    <dataField name="Sum of Points" fld="1" subtotal="sum" numFmtId="164"/>
  </dataFields>
  <pivotTableStyleInfo name="PivotStyleLight16" showRowHeaders="1" showColHeaders="1" showRowStripes="0" showColStripes="0" showLastColumn="1"/>
</pivotTableDefinition>
</file>

<file path=xl/pivotTables/pivotTable7.xml><?xml version="1.0" encoding="utf-8"?>
<pivotTableDefinition xmlns="http://schemas.openxmlformats.org/spreadsheetml/2006/main" name="Spring2024POST" cacheId="7" dataOnRows="0" applyNumberFormats="0" applyBorderFormats="0" applyFontFormats="0" applyPatternFormats="0" applyAlignmentFormats="0" applyWidthHeightFormats="0" dataCaption="Values" showDrill="1" useAutoFormatting="0" itemPrintTitles="1" indent="0" outline="0" outlineData="0" compact="0" compactData="0">
  <location ref="R2:AE15" firstHeaderRow="1" firstDataRow="2" firstDataCol="1"/>
  <pivotFields count="3">
    <pivotField axis="axisRow" compact="0" outline="0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dataField="1" compact="0" outline="0" showAll="0"/>
    <pivotField axis="axisCol" compact="0" outline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 count="1">
    <field x="0"/>
  </rowFields>
  <rowItems count="12">
    <i>
      <x v="9"/>
    </i>
    <i>
      <x v="1"/>
    </i>
    <i>
      <x v="8"/>
    </i>
    <i>
      <x v="4"/>
    </i>
    <i>
      <x/>
    </i>
    <i>
      <x v="3"/>
    </i>
    <i>
      <x v="10"/>
    </i>
    <i>
      <x v="6"/>
    </i>
    <i>
      <x v="5"/>
    </i>
    <i>
      <x v="2"/>
    </i>
    <i>
      <x v="7"/>
    </i>
    <i t="grand">
      <x/>
    </i>
  </rowItems>
  <colFields count="1">
    <field x="2"/>
  </colFields>
  <colItems count="13">
    <i>
      <x v="1"/>
    </i>
    <i>
      <x v="4"/>
    </i>
    <i>
      <x v="11"/>
    </i>
    <i>
      <x v="9"/>
    </i>
    <i>
      <x v="10"/>
    </i>
    <i>
      <x v="5"/>
    </i>
    <i>
      <x v="8"/>
    </i>
    <i>
      <x v="3"/>
    </i>
    <i>
      <x/>
    </i>
    <i>
      <x v="2"/>
    </i>
    <i>
      <x v="7"/>
    </i>
    <i>
      <x v="6"/>
    </i>
    <i t="grand">
      <x/>
    </i>
  </colItems>
  <dataFields count="1">
    <dataField name="Sum of Points" fld="1" subtotal="sum" numFmtId="164"/>
  </dataFields>
  <pivotTableStyleInfo name="PivotStyleLight16" showRowHeaders="1" showColHeaders="1" showRowStripes="0" showColStripes="0" showLastColumn="1"/>
</pivotTableDefinition>
</file>

<file path=xl/pivotTables/pivotTable8.xml><?xml version="1.0" encoding="utf-8"?>
<pivotTableDefinition xmlns="http://schemas.openxmlformats.org/spreadsheetml/2006/main" name="Spring2024" cacheId="8" dataOnRows="0" applyNumberFormats="0" applyBorderFormats="0" applyFontFormats="0" applyPatternFormats="0" applyAlignmentFormats="0" applyWidthHeightFormats="0" dataCaption="Values" showDrill="1" useAutoFormatting="0" itemPrintTitles="1" indent="0" outline="0" outlineData="0" compact="0" compactData="0">
  <location ref="Q2:AC14" firstHeaderRow="1" firstDataRow="2" firstDataCol="1"/>
  <pivotFields count="3">
    <pivotField axis="axisRow" compact="0" outline="0" showAll="0">
      <items count="13">
        <item x="0"/>
        <item x="1"/>
        <item x="2"/>
        <item x="3"/>
        <item x="4"/>
        <item x="5"/>
        <item h="1" x="6"/>
        <item x="7"/>
        <item x="8"/>
        <item x="9"/>
        <item x="10"/>
        <item h="1" x="11"/>
        <item t="default"/>
      </items>
    </pivotField>
    <pivotField dataField="1" compact="0" outline="0" showAll="0"/>
    <pivotField axis="axisCol" compact="0" outline="0" showAll="0">
      <items count="14">
        <item x="0"/>
        <item x="1"/>
        <item x="2"/>
        <item x="3"/>
        <item x="4"/>
        <item x="5"/>
        <item x="6"/>
        <item h="1" x="7"/>
        <item x="8"/>
        <item x="9"/>
        <item x="10"/>
        <item x="11"/>
        <item h="1" x="12"/>
        <item t="default"/>
      </items>
    </pivotField>
  </pivotFields>
  <rowFields count="1">
    <field x="0"/>
  </rowFields>
  <rowItems count="11">
    <i>
      <x v="8"/>
    </i>
    <i>
      <x v="3"/>
    </i>
    <i>
      <x v="7"/>
    </i>
    <i>
      <x v="1"/>
    </i>
    <i>
      <x v="5"/>
    </i>
    <i>
      <x v="4"/>
    </i>
    <i>
      <x/>
    </i>
    <i>
      <x v="2"/>
    </i>
    <i>
      <x v="9"/>
    </i>
    <i>
      <x v="10"/>
    </i>
    <i t="grand">
      <x/>
    </i>
  </rowItems>
  <colFields count="1">
    <field x="2"/>
  </colFields>
  <colItems count="12">
    <i>
      <x v="1"/>
    </i>
    <i>
      <x v="3"/>
    </i>
    <i>
      <x v="4"/>
    </i>
    <i>
      <x v="9"/>
    </i>
    <i>
      <x v="6"/>
    </i>
    <i>
      <x v="5"/>
    </i>
    <i>
      <x/>
    </i>
    <i>
      <x v="10"/>
    </i>
    <i>
      <x v="8"/>
    </i>
    <i>
      <x v="2"/>
    </i>
    <i>
      <x v="11"/>
    </i>
    <i t="grand">
      <x/>
    </i>
  </colItems>
  <dataFields count="1">
    <dataField name="Sum of Points" fld="1" subtotal="sum" numFmtId="164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 pitchFamily="0" charset="1"/>
        <a:ea typeface="Aptos Narrow" pitchFamily="0" charset="1"/>
        <a:cs typeface="Aptos Narrow" pitchFamily="0" charset="1"/>
      </a:majorFont>
      <a:minorFont>
        <a:latin typeface="Aptos Narrow" pitchFamily="0" charset="1"/>
        <a:ea typeface="Aptos Narrow" pitchFamily="0" charset="1"/>
        <a:cs typeface="Aptos Narrow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cdn.discordapp.com/ephemeral-attachments/1450933256630440049/1463953458653827136/RDT_20260115_0729213001306827711469532.jpg?ex=6973b467&amp;is=697262e7&amp;hm=abddde1990f77dd09947cbd6cafc421033b30a956f63f0ac302b85f328ba9efb&amp;" TargetMode="External"/><Relationship Id="rId2" Type="http://schemas.openxmlformats.org/officeDocument/2006/relationships/hyperlink" Target="https://cdn.discordapp.com/ephemeral-attachments/1450933256630440049/1465775644741730526/20260127_132802.jpg?ex=697a5572&amp;is=697903f2&amp;hm=9c27e546ab9c73cc77f8c0375cc0951fe876586726fc87be5b26c45984ed2b11&amp;" TargetMode="External"/><Relationship Id="rId3" Type="http://schemas.openxmlformats.org/officeDocument/2006/relationships/drawing" Target="../drawings/drawing1.xml"/><Relationship Id="rId4" Type="http://schemas.openxmlformats.org/officeDocument/2006/relationships/pivotTable" Target="../pivotTables/pivot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discord.com/channels/191975109500731392/1212839710439776287/1420102383278624777" TargetMode="External"/><Relationship Id="rId2" Type="http://schemas.openxmlformats.org/officeDocument/2006/relationships/hyperlink" Target="https://discord.com/channels/191975109500731392/1212839710439776287/1420158594686521365" TargetMode="External"/><Relationship Id="rId3" Type="http://schemas.openxmlformats.org/officeDocument/2006/relationships/hyperlink" Target="https://discord.com/channels/191975109500731392/1212839710439776287/1420785838920302643" TargetMode="External"/><Relationship Id="rId4" Type="http://schemas.openxmlformats.org/officeDocument/2006/relationships/hyperlink" Target="https://discord.com/channels/191975109500731392/1212839710439776287/1424816644093513919" TargetMode="External"/><Relationship Id="rId5" Type="http://schemas.openxmlformats.org/officeDocument/2006/relationships/hyperlink" Target="https://discord.com/channels/191975109500731392/1212839710439776287/1426205592493752341" TargetMode="External"/><Relationship Id="rId6" Type="http://schemas.openxmlformats.org/officeDocument/2006/relationships/hyperlink" Target="https://discord.com/channels/191975109500731392/1212839710439776287/1428771201802829969" TargetMode="External"/><Relationship Id="rId7" Type="http://schemas.openxmlformats.org/officeDocument/2006/relationships/hyperlink" Target="https://discord.com/channels/191975109500731392/1212839710439776287/1432781582556725298" TargetMode="External"/><Relationship Id="rId8" Type="http://schemas.openxmlformats.org/officeDocument/2006/relationships/hyperlink" Target="https://discord.com/channels/191975109500731392/1212839710439776287/1433113874529390762" TargetMode="External"/><Relationship Id="rId9" Type="http://schemas.openxmlformats.org/officeDocument/2006/relationships/hyperlink" Target="https://discord.com/channels/191975109500731392/1212839710439776287/1433114152942964889" TargetMode="External"/><Relationship Id="rId10" Type="http://schemas.openxmlformats.org/officeDocument/2006/relationships/hyperlink" Target="https://discord.com/channels/191975109500731392/1212839710439776287/1434983665741598783" TargetMode="External"/><Relationship Id="rId11" Type="http://schemas.openxmlformats.org/officeDocument/2006/relationships/hyperlink" Target="https://discord.com/channels/191975109500731392/1212839710439776287/1435017572138619093" TargetMode="External"/><Relationship Id="rId12" Type="http://schemas.openxmlformats.org/officeDocument/2006/relationships/drawing" Target="../drawings/drawing2.xml"/><Relationship Id="rId13" Type="http://schemas.openxmlformats.org/officeDocument/2006/relationships/pivotTable" Target="../pivotTables/pivotTable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discord.com/channels/191975109500731392/1212839710439776287/1410732645112877098" TargetMode="External"/><Relationship Id="rId2" Type="http://schemas.openxmlformats.org/officeDocument/2006/relationships/hyperlink" Target="https://discord.com/channels/191975109500731392/1212839710439776287/1418581366886367354" TargetMode="External"/><Relationship Id="rId3" Type="http://schemas.openxmlformats.org/officeDocument/2006/relationships/drawing" Target="../drawings/drawing3.xml"/><Relationship Id="rId4" Type="http://schemas.openxmlformats.org/officeDocument/2006/relationships/pivotTable" Target="../pivotTables/pivotTable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discord.com/channels/191975109500731392/1212839710439776287/1328421980986146921" TargetMode="External"/><Relationship Id="rId2" Type="http://schemas.openxmlformats.org/officeDocument/2006/relationships/hyperlink" Target="https://discord.com/channels/191975109500731392/1212839710439776287/1328431903224627242" TargetMode="External"/><Relationship Id="rId3" Type="http://schemas.openxmlformats.org/officeDocument/2006/relationships/hyperlink" Target="https://discord.com/channels/191975109500731392/1212839710439776287/1328444788130709625" TargetMode="External"/><Relationship Id="rId4" Type="http://schemas.openxmlformats.org/officeDocument/2006/relationships/hyperlink" Target="https://discord.com/channels/191975109500731392/1212839710439776287/1329116512476205076" TargetMode="External"/><Relationship Id="rId5" Type="http://schemas.openxmlformats.org/officeDocument/2006/relationships/hyperlink" Target="https://discord.com/channels/191975109500731392/1212839710439776287/1329131165818290278" TargetMode="External"/><Relationship Id="rId6" Type="http://schemas.openxmlformats.org/officeDocument/2006/relationships/hyperlink" Target="https://discord.com/channels/191975109500731392/1212839710439776287/1329131398652629064" TargetMode="External"/><Relationship Id="rId7" Type="http://schemas.openxmlformats.org/officeDocument/2006/relationships/hyperlink" Target="https://discord.com/channels/191975109500731392/1212839710439776287/1329161563461910689" TargetMode="External"/><Relationship Id="rId8" Type="http://schemas.openxmlformats.org/officeDocument/2006/relationships/hyperlink" Target="https://discord.com/channels/191975109500731392/1212839710439776287/1329904517151719514" TargetMode="External"/><Relationship Id="rId9" Type="http://schemas.openxmlformats.org/officeDocument/2006/relationships/hyperlink" Target="https://discord.com/channels/191975109500731392/1212839710439776287/1330341537489616977" TargetMode="External"/><Relationship Id="rId10" Type="http://schemas.openxmlformats.org/officeDocument/2006/relationships/hyperlink" Target="https://discord.com/channels/191975109500731392/1212839710439776287/1331407502687862784" TargetMode="External"/><Relationship Id="rId11" Type="http://schemas.openxmlformats.org/officeDocument/2006/relationships/hyperlink" Target="https://discord.com/channels/191975109500731392/1212839710439776287/1331654158717288450" TargetMode="External"/><Relationship Id="rId12" Type="http://schemas.openxmlformats.org/officeDocument/2006/relationships/hyperlink" Target="https://discord.com/channels/191975109500731392/1212839710439776287/1331786975774244975" TargetMode="External"/><Relationship Id="rId13" Type="http://schemas.openxmlformats.org/officeDocument/2006/relationships/hyperlink" Target="https://discord.com/channels/191975109500731392/1212839710439776287/1332096889293770873" TargetMode="External"/><Relationship Id="rId14" Type="http://schemas.openxmlformats.org/officeDocument/2006/relationships/hyperlink" Target="https://discord.com/channels/191975109500731392/1212839710439776287/1332104635577532449" TargetMode="External"/><Relationship Id="rId15" Type="http://schemas.openxmlformats.org/officeDocument/2006/relationships/hyperlink" Target="https://discord.com/channels/191975109500731392/1212839710439776287/1340814596830920714" TargetMode="External"/><Relationship Id="rId16" Type="http://schemas.openxmlformats.org/officeDocument/2006/relationships/hyperlink" Target="https://discord.com/channels/191975109500731392/1212839710439776287/1341446113479098399" TargetMode="External"/><Relationship Id="rId17" Type="http://schemas.openxmlformats.org/officeDocument/2006/relationships/hyperlink" Target="https://discord.com/channels/191975109500731392/1212839710439776287/1351252845374083104" TargetMode="External"/><Relationship Id="rId18" Type="http://schemas.openxmlformats.org/officeDocument/2006/relationships/hyperlink" Target="https://discord.com/channels/191975109500731392/1212839710439776287/1351672302345130024" TargetMode="External"/><Relationship Id="rId19" Type="http://schemas.openxmlformats.org/officeDocument/2006/relationships/hyperlink" Target="https://discord.com/channels/191975109500731392/1212839710439776287/1354853809394024635" TargetMode="External"/><Relationship Id="rId20" Type="http://schemas.openxmlformats.org/officeDocument/2006/relationships/drawing" Target="../drawings/drawing4.xml"/><Relationship Id="rId21" Type="http://schemas.openxmlformats.org/officeDocument/2006/relationships/pivotTable" Target="../pivotTables/pivotTable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discord.com/channels/191975109500731392/1212839710439776287/1298696788643020852" TargetMode="External"/><Relationship Id="rId2" Type="http://schemas.openxmlformats.org/officeDocument/2006/relationships/hyperlink" Target="https://discord.com/channels/191975109500731392/1212839710439776287/1306325863213830194" TargetMode="External"/><Relationship Id="rId3" Type="http://schemas.openxmlformats.org/officeDocument/2006/relationships/drawing" Target="../drawings/drawing5.xml"/><Relationship Id="rId4" Type="http://schemas.openxmlformats.org/officeDocument/2006/relationships/pivotTable" Target="../pivotTables/pivotTable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media.discordapp.net/attachments/1212839710439776287/1277352689910677635/IMG_9684.jpg?ex=66d8b865&amp;is=66d766e5&amp;hm=1f04f119402691c1c7c379953474404873dbc457ad84821a86985cf0d3239f08&amp;=&amp;format=webp&amp;width=657&amp;height=876" TargetMode="External"/><Relationship Id="rId2" Type="http://schemas.openxmlformats.org/officeDocument/2006/relationships/hyperlink" Target="https://media.discordapp.net/attachments/1212839710439776287/1280904760328982630/image.jpg?ex=66d9c704&amp;is=66d87584&amp;hm=cba73453ebae8a9e51455943096591d0274c7f4f90193e0bbbc93150b6d3fe3b&amp;=&amp;format=webp&amp;width=657&amp;height=876" TargetMode="External"/><Relationship Id="rId3" Type="http://schemas.openxmlformats.org/officeDocument/2006/relationships/hyperlink" Target="https://media.discordapp.net/attachments/1212839710439776287/1280904799382011994/IMG_0888.jpg?ex=66d9c70e&amp;is=66d8758e&amp;hm=af14c120eff3cd3fd3d7bcdedc4fb4dac0ebd45a4b5f26e2b96cc091f4bf7a46&amp;=&amp;format=webp&amp;width=657&amp;height=876" TargetMode="External"/><Relationship Id="rId4" Type="http://schemas.openxmlformats.org/officeDocument/2006/relationships/hyperlink" Target="https://media.discordapp.net/attachments/1212839710439776287/1280906666250076182/IMG_9755.jpg?ex=66d9c8cb&amp;is=66d8774b&amp;hm=e94195946302b35c2eaead8e00f8cb09510aea8175389518142a979a265556dd&amp;=&amp;format=webp&amp;width=657&amp;height=876" TargetMode="External"/><Relationship Id="rId5" Type="http://schemas.openxmlformats.org/officeDocument/2006/relationships/hyperlink" Target="https://media.discordapp.net/attachments/1212839710439776287/1280916301723865118/IMG_0024.jpg?ex=66d9d1c4&amp;is=66d88044&amp;hm=b75ac0c4a302721e8e3a8ce2eda33b33fc7232283ce9ff9b0fd16a87dd2159c9&amp;=&amp;format=webp&amp;width=657&amp;height=876" TargetMode="External"/><Relationship Id="rId6" Type="http://schemas.openxmlformats.org/officeDocument/2006/relationships/hyperlink" Target="https://media.discordapp.net/attachments/1212839710439776287/1280949676497174639/IMG_0029.jpg?ex=66d9f0d9&amp;is=66d89f59&amp;hm=9536c6c2071867f78706d4a44cc19e60cbbe0145ca9d73d99bad928264e9fbd8&amp;=&amp;format=webp&amp;width=657&amp;height=876" TargetMode="External"/><Relationship Id="rId7" Type="http://schemas.openxmlformats.org/officeDocument/2006/relationships/hyperlink" Target="https://media.discordapp.net/attachments/1212839710439776287/1280949677205880893/IMG_0031.jpg?ex=66d9f0d9&amp;is=66d89f59&amp;hm=95c63ae3123fbba409cf3f1b3a39e042671a7883f86273b1d968360625784a42&amp;=&amp;format=webp&amp;width=657&amp;height=876" TargetMode="External"/><Relationship Id="rId8" Type="http://schemas.openxmlformats.org/officeDocument/2006/relationships/hyperlink" Target="https://media.discordapp.net/attachments/1212839710439776287/1281017660481601622/6011E0D7-56D7-4C16-996D-1C335FB7A821.jpg?ex=66e01eea&amp;is=66decd6a&amp;hm=498f8d5c3c9633d3e8adefdae6800e3e2d5dff02d55f615022603c1567f25c98&amp;=&amp;format=webp&amp;width=657&amp;height=876" TargetMode="External"/><Relationship Id="rId9" Type="http://schemas.openxmlformats.org/officeDocument/2006/relationships/hyperlink" Target="https://media.discordapp.net/attachments/1212839710439776287/1281021962260451339/IMG_9758.jpg?ex=66e022ec&amp;is=66ded16c&amp;hm=83a7b63cf6146f6c88438bf3ac2642b7b5f29a7e5c3fbb847082bb49173c4728&amp;=&amp;format=webp&amp;width=657&amp;height=876" TargetMode="External"/><Relationship Id="rId10" Type="http://schemas.openxmlformats.org/officeDocument/2006/relationships/hyperlink" Target="https://media.discordapp.net/attachments/1212839710439776287/1281273353717551214/IMG_9761.jpg?ex=66e0644c&amp;is=66df12cc&amp;hm=3810ed2172daec7b4e2c440c4a5aa966b61380497260b406c63c1a10f29f3e67&amp;=&amp;format=webp&amp;width=657&amp;height=876" TargetMode="External"/><Relationship Id="rId11" Type="http://schemas.openxmlformats.org/officeDocument/2006/relationships/hyperlink" Target="https://media.discordapp.net/attachments/1212839710439776287/1281288238845399141/PXL_20240905_162109539.jpg?ex=66e07229&amp;is=66df20a9&amp;hm=8470c5ab0bb304c517e2106c13f83ce51bdb512f8ab42580251b97e9160ab88d&amp;=&amp;format=webp&amp;width=492&amp;height=874" TargetMode="External"/><Relationship Id="rId12" Type="http://schemas.openxmlformats.org/officeDocument/2006/relationships/hyperlink" Target="https://media.discordapp.net/attachments/1212839710439776287/1282083076163240027/IMG_6245.jpg?ex=66e00aa9&amp;is=66deb929&amp;hm=d42a28dacaac4c05bf07b794186f748d300585ac2c95495f0911166ab4d84212&amp;=&amp;format=webp&amp;width=657&amp;height=876" TargetMode="External"/><Relationship Id="rId13" Type="http://schemas.openxmlformats.org/officeDocument/2006/relationships/hyperlink" Target="https://media.discordapp.net/attachments/1212839710439776287/1282720914332582031/PXL_20240909_1513352522.jpg?ex=66e06271&amp;is=66df10f1&amp;hm=b2cdb44f4395a96d4ec22a541140c9ce28dcff9e81adca04046511c7b9ee6b36&amp;=&amp;format=webp&amp;width=492&amp;height=874" TargetMode="External"/><Relationship Id="rId14" Type="http://schemas.openxmlformats.org/officeDocument/2006/relationships/hyperlink" Target="https://media.discordapp.net/attachments/1212839710439776287/1282745595345240207/IMG_9781.jpg?ex=66e0796e&amp;is=66df27ee&amp;hm=da964e0128b0e77eb97a447f18ab5f856ca93640a489e27eb8e73a35362471b4&amp;=&amp;format=webp&amp;width=657&amp;height=876" TargetMode="External"/><Relationship Id="rId15" Type="http://schemas.openxmlformats.org/officeDocument/2006/relationships/hyperlink" Target="https://media.discordapp.net/attachments/1212839710439776287/1282747756225630288/image.jpg?ex=66e07b71&amp;is=66df29f1&amp;hm=a0f96c6e96335b4f9dd4ef4c06a359f8d87ecf605692ec41487652c6c43b02f3&amp;=&amp;format=webp&amp;width=657&amp;height=876" TargetMode="External"/><Relationship Id="rId16" Type="http://schemas.openxmlformats.org/officeDocument/2006/relationships/hyperlink" Target="https://media.discordapp.net/attachments/1212839710439776287/1282747813091872940/IMG_0906.jpg?ex=66e07b7e&amp;is=66df29fe&amp;hm=737ee5eb3d8d7b01f28adbf80d3b8a9df356ff9434cc8946f46a379b12b2d942&amp;=&amp;format=webp&amp;width=657&amp;height=876" TargetMode="External"/><Relationship Id="rId17" Type="http://schemas.openxmlformats.org/officeDocument/2006/relationships/hyperlink" Target="https://media.discordapp.net/attachments/1212839710439776287/1282754419263406183/IMG_0907.jpg?ex=66e081a5&amp;is=66df3025&amp;hm=a0a27f4c773019c06cc5ab5e52950030f825b859e7772789925650e143b6d742&amp;=&amp;format=webp&amp;width=657&amp;height=876" TargetMode="External"/><Relationship Id="rId18" Type="http://schemas.openxmlformats.org/officeDocument/2006/relationships/hyperlink" Target="https://media.discordapp.net/attachments/1212839710439776287/1282755803501170879/IMG_0113.jpg?ex=66e082f0&amp;is=66df3170&amp;hm=737ce410b7fc698a1fefd89455bc95977f51bc4e762e62fec4bc68b4b213e69a&amp;=&amp;format=webp&amp;width=657&amp;height=876" TargetMode="External"/><Relationship Id="rId19" Type="http://schemas.openxmlformats.org/officeDocument/2006/relationships/hyperlink" Target="https://media.discordapp.net/attachments/1212839710439776287/1282762630439899228/IMG_0908.jpg?ex=66e47dcb&amp;is=66e32c4b&amp;hm=32bb1b8402c99cffc01a9ef7653a61c4c9c606cee5e840213f50c96e9ee701f1&amp;=&amp;format=webp&amp;width=657&amp;height=876" TargetMode="External"/><Relationship Id="rId20" Type="http://schemas.openxmlformats.org/officeDocument/2006/relationships/hyperlink" Target="https://media.discordapp.net/attachments/1212839710439776287/1283455781148164116/PXL_20240911_155058535.jpg?ex=66e46057&amp;is=66e30ed7&amp;hm=c12f6d3a7fa965997c1b541cad7094438b4e8242923061cb93237db352647687&amp;=&amp;format=webp&amp;width=492&amp;height=874" TargetMode="External"/><Relationship Id="rId21" Type="http://schemas.openxmlformats.org/officeDocument/2006/relationships/hyperlink" Target="https://media.discordapp.net/attachments/1212839710439776287/1283501454258212944/IMG_9785.jpg?ex=66e48ae0&amp;is=66e33960&amp;hm=5e8339fe8485b1cf6dfe92e5cbbb183baa739119fedf006cd8231f0982b0c370&amp;=&amp;format=webp&amp;width=657&amp;height=876" TargetMode="External"/><Relationship Id="rId22" Type="http://schemas.openxmlformats.org/officeDocument/2006/relationships/hyperlink" Target="https://media.discordapp.net/attachments/1212839710439776287/1283533540964958279/IMG_5655.jpg?ex=66e40003&amp;is=66e2ae83&amp;hm=95cb63f6908820d9dc759eed0fb808a4fe869461a7b5ca615c5ae9364fd96d1b&amp;=&amp;format=webp&amp;width=657&amp;height=876" TargetMode="External"/><Relationship Id="rId23" Type="http://schemas.openxmlformats.org/officeDocument/2006/relationships/hyperlink" Target="https://media.discordapp.net/attachments/1212839710439776287/1283843454975348737/20240912_133453.jpg?ex=66e477e4&amp;is=66e32664&amp;hm=13384f356856b2409880f16f0181add6cb98a76ab905dd9cb41408f2c2bed0a6&amp;=&amp;format=webp&amp;width=1168&amp;height=876" TargetMode="External"/><Relationship Id="rId24" Type="http://schemas.openxmlformats.org/officeDocument/2006/relationships/hyperlink" Target="https://media.discordapp.net/attachments/1212839710439776287/1283843643538411561/IMG_0920.jpg?ex=66e47811&amp;is=66e32691&amp;hm=882424e9b8565bd98315bed01491f7b281fedfcf70cf99281bd834cf41cd9878&amp;=&amp;format=webp&amp;width=657&amp;height=876" TargetMode="External"/><Relationship Id="rId25" Type="http://schemas.openxmlformats.org/officeDocument/2006/relationships/hyperlink" Target="https://media.discordapp.net/attachments/1212839710439776287/1283849948168847391/IMG_0921.jpg?ex=66e47df0&amp;is=66e32c70&amp;hm=27e1226a7895f63b4242f14df4106adb90ac201eff723823d32441119d155966&amp;=&amp;format=webp&amp;width=657&amp;height=876" TargetMode="External"/><Relationship Id="rId26" Type="http://schemas.openxmlformats.org/officeDocument/2006/relationships/hyperlink" Target="https://media.discordapp.net/attachments/1212839710439776287/1283852063020810250/PXL_20240912_180905725.jpg?ex=66e47fe8&amp;is=66e32e68&amp;hm=9ac3c0083feed6ddf85d299bb5bb457c8988c3790da62d9403d173c148227141&amp;=&amp;format=webp&amp;width=492&amp;height=874" TargetMode="External"/><Relationship Id="rId27" Type="http://schemas.openxmlformats.org/officeDocument/2006/relationships/hyperlink" Target="https://media.discordapp.net/attachments/1212839710439776287/1283872800414892108/IMG_0922.jpg?ex=66e49338&amp;is=66e341b8&amp;hm=90f1579e96845b0ad80d2b76d88a3681b25d295d378e3b5f3f2247c7f0aa55ba&amp;=&amp;format=webp&amp;width=1168&amp;height=876" TargetMode="External"/><Relationship Id="rId28" Type="http://schemas.openxmlformats.org/officeDocument/2006/relationships/hyperlink" Target="https://media.discordapp.net/attachments/1212839710439776287/1283872916475215912/65EB0CCE-33C6-48A6-AE5E-E6DACDD833EF.jpg?ex=66e49354&amp;is=66e341d4&amp;hm=5bae8bdd199e9770d26eac89b84157813bef5ee5af3a0f2d9aed68f15577b522&amp;=&amp;format=webp&amp;width=657&amp;height=876" TargetMode="External"/><Relationship Id="rId29" Type="http://schemas.openxmlformats.org/officeDocument/2006/relationships/hyperlink" Target="https://media.discordapp.net/attachments/1212839710439776287/1284206593042419743/IMG_5671.jpg?ex=66e5ca17&amp;is=66e47897&amp;hm=ee7c1ead33ea9fa6b6fbfb33ee7588c647f14217b54b00179195b531ddf50dd4&amp;=&amp;format=webp&amp;width=657&amp;height=876" TargetMode="External"/><Relationship Id="rId30" Type="http://schemas.openxmlformats.org/officeDocument/2006/relationships/hyperlink" Target="https://media.discordapp.net/attachments/1212839710439776287/1284206473274069073/20240913_133733.jpg?ex=66e5c9fa&amp;is=66e4787a&amp;hm=e34ca0a1a2ca5462fb5519f08ac1ede1271d39c37c6447530dae553098ad3526&amp;=&amp;format=webp&amp;width=657&amp;height=876" TargetMode="External"/><Relationship Id="rId31" Type="http://schemas.openxmlformats.org/officeDocument/2006/relationships/hyperlink" Target="https://media.discordapp.net/attachments/1212839710439776287/1284208928892125194/IMG_0927.jpg?ex=66e5cc44&amp;is=66e47ac4&amp;hm=6f87c1bc770c0ada4da7320aad068279bcc24330dd0e774325a20c4bd87fa4bf&amp;=&amp;format=webp&amp;width=394&amp;height=525" TargetMode="External"/><Relationship Id="rId32" Type="http://schemas.openxmlformats.org/officeDocument/2006/relationships/hyperlink" Target="https://media.discordapp.net/attachments/1212839710439776287/1284209185575276574/F47ECE56-F318-4BFF-B7EE-F580DE7EC85B.jpg?ex=66e5cc81&amp;is=66e47b01&amp;hm=f34f017c4bac363c0048aa122eec58f7c091106b40811f5fbe17e7f0ab3de082&amp;=&amp;format=webp&amp;width=394&amp;height=525" TargetMode="External"/><Relationship Id="rId33" Type="http://schemas.openxmlformats.org/officeDocument/2006/relationships/hyperlink" Target="https://media.discordapp.net/attachments/1212839710439776287/1284245010111271014/IMG_9792.jpg?ex=66e9399e&amp;is=66e7e81e&amp;hm=e50e875a4769266af805aff5336b77f9d79bf01d466de121021e9280de1b64f7&amp;=&amp;format=webp&amp;width=657&amp;height=876" TargetMode="External"/><Relationship Id="rId34" Type="http://schemas.openxmlformats.org/officeDocument/2006/relationships/drawing" Target="../drawings/drawing6.xml"/><Relationship Id="rId35" Type="http://schemas.openxmlformats.org/officeDocument/2006/relationships/pivotTable" Target="../pivotTables/pivotTable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discord.com/channels/191975109500731392/1212839710439776287/1227291398378881164" TargetMode="External"/><Relationship Id="rId2" Type="http://schemas.openxmlformats.org/officeDocument/2006/relationships/hyperlink" Target="https://discord.com/channels/191975109500731392/1212839710439776287/1227292812127506555" TargetMode="External"/><Relationship Id="rId3" Type="http://schemas.openxmlformats.org/officeDocument/2006/relationships/hyperlink" Target="https://discord.com/channels/191975109500731392/1212839710439776287/1227292812127506555" TargetMode="External"/><Relationship Id="rId4" Type="http://schemas.openxmlformats.org/officeDocument/2006/relationships/hyperlink" Target="https://discord.com/channels/191975109500731392/1212839710439776287/1227296332406980761" TargetMode="External"/><Relationship Id="rId5" Type="http://schemas.openxmlformats.org/officeDocument/2006/relationships/hyperlink" Target="https://discord.com/channels/191975109500731392/1212839710439776287/1227297185087881307" TargetMode="External"/><Relationship Id="rId6" Type="http://schemas.openxmlformats.org/officeDocument/2006/relationships/hyperlink" Target="https://discord.com/channels/191975109500731392/1212839710439776287/1227297264800763925" TargetMode="External"/><Relationship Id="rId7" Type="http://schemas.openxmlformats.org/officeDocument/2006/relationships/hyperlink" Target="https://discord.com/channels/191975109500731392/1212839710439776287/1227315392998019102" TargetMode="External"/><Relationship Id="rId8" Type="http://schemas.openxmlformats.org/officeDocument/2006/relationships/hyperlink" Target="https://discord.com/channels/191975109500731392/1212839710439776287/1227316801554219029" TargetMode="External"/><Relationship Id="rId9" Type="http://schemas.openxmlformats.org/officeDocument/2006/relationships/hyperlink" Target="https://discord.com/channels/191975109500731392/1212839710439776287/1227316956189687898" TargetMode="External"/><Relationship Id="rId10" Type="http://schemas.openxmlformats.org/officeDocument/2006/relationships/hyperlink" Target="https://discord.com/channels/191975109500731392/1212839710439776287/1227335825466069012" TargetMode="External"/><Relationship Id="rId11" Type="http://schemas.openxmlformats.org/officeDocument/2006/relationships/hyperlink" Target="https://discord.com/channels/191975109500731392/1212839710439776287/1227335808147521597" TargetMode="External"/><Relationship Id="rId12" Type="http://schemas.openxmlformats.org/officeDocument/2006/relationships/hyperlink" Target="https://discord.com/channels/191975109500731392/1212839710439776287/1227336916362461364" TargetMode="External"/><Relationship Id="rId13" Type="http://schemas.openxmlformats.org/officeDocument/2006/relationships/hyperlink" Target="https://discord.com/channels/191975109500731392/1212839710439776287/1227338381516869762" TargetMode="External"/><Relationship Id="rId14" Type="http://schemas.openxmlformats.org/officeDocument/2006/relationships/hyperlink" Target="https://discord.com/channels/191975109500731392/1212839710439776287/1227360711596839027" TargetMode="External"/><Relationship Id="rId15" Type="http://schemas.openxmlformats.org/officeDocument/2006/relationships/hyperlink" Target="https://discord.com/channels/191975109500731392/1212839710439776287/1227361158491803680" TargetMode="External"/><Relationship Id="rId16" Type="http://schemas.openxmlformats.org/officeDocument/2006/relationships/hyperlink" Target="https://discord.com/channels/191975109500731392/1212839710439776287/1227362805548847126" TargetMode="External"/><Relationship Id="rId17" Type="http://schemas.openxmlformats.org/officeDocument/2006/relationships/hyperlink" Target="https://discord.com/channels/191975109500731392/1212839710439776287/1227615365614276660" TargetMode="External"/><Relationship Id="rId18" Type="http://schemas.openxmlformats.org/officeDocument/2006/relationships/hyperlink" Target="https://discord.com/channels/191975109500731392/1212839710439776287/1227674894162985102" TargetMode="External"/><Relationship Id="rId19" Type="http://schemas.openxmlformats.org/officeDocument/2006/relationships/hyperlink" Target="https://discord.com/channels/191975109500731392/1212839710439776287/1227676904061145118" TargetMode="External"/><Relationship Id="rId20" Type="http://schemas.openxmlformats.org/officeDocument/2006/relationships/hyperlink" Target="https://discord.com/channels/191975109500731392/1212839710439776287/1227677100924866602" TargetMode="External"/><Relationship Id="rId21" Type="http://schemas.openxmlformats.org/officeDocument/2006/relationships/hyperlink" Target="https://discord.com/channels/191975109500731392/1212839710439776287/1227679778409021491" TargetMode="External"/><Relationship Id="rId22" Type="http://schemas.openxmlformats.org/officeDocument/2006/relationships/hyperlink" Target="https://discord.com/channels/191975109500731392/1212839710439776287/1227679431997526116" TargetMode="External"/><Relationship Id="rId23" Type="http://schemas.openxmlformats.org/officeDocument/2006/relationships/hyperlink" Target="https://discord.com/channels/191975109500731392/1212839710439776287/1227679422417604710" TargetMode="External"/><Relationship Id="rId24" Type="http://schemas.openxmlformats.org/officeDocument/2006/relationships/hyperlink" Target="https://discord.com/channels/191975109500731392/1212839710439776287/1227679422417604710" TargetMode="External"/><Relationship Id="rId25" Type="http://schemas.openxmlformats.org/officeDocument/2006/relationships/hyperlink" Target="https://discord.com/channels/191975109500731392/1212839710439776287/1227718158215811112" TargetMode="External"/><Relationship Id="rId26" Type="http://schemas.openxmlformats.org/officeDocument/2006/relationships/hyperlink" Target="https://discord.com/channels/191975109500731392/1212839710439776287/1227995877449404447" TargetMode="External"/><Relationship Id="rId27" Type="http://schemas.openxmlformats.org/officeDocument/2006/relationships/hyperlink" Target="https://discord.com/channels/191975109500731392/1212839710439776287/1227995955228573786" TargetMode="External"/><Relationship Id="rId28" Type="http://schemas.openxmlformats.org/officeDocument/2006/relationships/hyperlink" Target="https://discord.com/channels/191975109500731392/1212839710439776287/1228016558236762193" TargetMode="External"/><Relationship Id="rId29" Type="http://schemas.openxmlformats.org/officeDocument/2006/relationships/hyperlink" Target="https://discord.com/channels/191975109500731392/1212839710439776287/1228038997184348231" TargetMode="External"/><Relationship Id="rId30" Type="http://schemas.openxmlformats.org/officeDocument/2006/relationships/hyperlink" Target="https://discord.com/channels/191975109500731392/1212839710439776287/1228039511351496725" TargetMode="External"/><Relationship Id="rId31" Type="http://schemas.openxmlformats.org/officeDocument/2006/relationships/hyperlink" Target="https://discord.com/channels/191975109500731392/1212839710439776287/1228039555077115928" TargetMode="External"/><Relationship Id="rId32" Type="http://schemas.openxmlformats.org/officeDocument/2006/relationships/hyperlink" Target="https://discord.com/channels/191975109500731392/1212839710439776287/1228040054237298739" TargetMode="External"/><Relationship Id="rId33" Type="http://schemas.openxmlformats.org/officeDocument/2006/relationships/hyperlink" Target="https://discord.com/channels/191975109500731392/1212839710439776287/1228040076462653541" TargetMode="External"/><Relationship Id="rId34" Type="http://schemas.openxmlformats.org/officeDocument/2006/relationships/hyperlink" Target="https://discord.com/channels/191975109500731392/1212839710439776287/1228040964749398157" TargetMode="External"/><Relationship Id="rId35" Type="http://schemas.openxmlformats.org/officeDocument/2006/relationships/hyperlink" Target="https://discord.com/channels/191975109500731392/1212839710439776287/1228059971455942706" TargetMode="External"/><Relationship Id="rId36" Type="http://schemas.openxmlformats.org/officeDocument/2006/relationships/hyperlink" Target="https://discord.com/channels/191975109500731392/1212839710439776287/1228061053292904520" TargetMode="External"/><Relationship Id="rId37" Type="http://schemas.openxmlformats.org/officeDocument/2006/relationships/hyperlink" Target="https://discord.com/channels/191975109500731392/1212839710439776287/1228062794700685453" TargetMode="External"/><Relationship Id="rId38" Type="http://schemas.openxmlformats.org/officeDocument/2006/relationships/hyperlink" Target="https://discord.com/channels/191975109500731392/1212839710439776287/1228062819442753536" TargetMode="External"/><Relationship Id="rId39" Type="http://schemas.openxmlformats.org/officeDocument/2006/relationships/hyperlink" Target="https://discord.com/channels/191975109500731392/1212839710439776287/1228136224481476619" TargetMode="External"/><Relationship Id="rId40" Type="http://schemas.openxmlformats.org/officeDocument/2006/relationships/hyperlink" Target="https://discord.com/channels/191975109500731392/1212839710439776287/1228345219498381332" TargetMode="External"/><Relationship Id="rId41" Type="http://schemas.openxmlformats.org/officeDocument/2006/relationships/hyperlink" Target="https://discord.com/channels/191975109500731392/1212839710439776287/1228344958021537935" TargetMode="External"/><Relationship Id="rId42" Type="http://schemas.openxmlformats.org/officeDocument/2006/relationships/hyperlink" Target="https://discord.com/channels/191975109500731392/1212839710439776287/1228347484514811944" TargetMode="External"/><Relationship Id="rId43" Type="http://schemas.openxmlformats.org/officeDocument/2006/relationships/hyperlink" Target="https://discord.com/channels/191975109500731392/1212839710439776287/1228430505586855986" TargetMode="External"/><Relationship Id="rId44" Type="http://schemas.openxmlformats.org/officeDocument/2006/relationships/hyperlink" Target="https://discord.com/channels/191975109500731392/1212839710439776287/1228468638919561368" TargetMode="External"/><Relationship Id="rId45" Type="http://schemas.openxmlformats.org/officeDocument/2006/relationships/hyperlink" Target="https://discord.com/channels/191975109500731392/1212839710439776287/1228469525444427928" TargetMode="External"/><Relationship Id="rId46" Type="http://schemas.openxmlformats.org/officeDocument/2006/relationships/hyperlink" Target="https://discord.com/channels/191975109500731392/1212839710439776287/1228801813075988570" TargetMode="External"/><Relationship Id="rId47" Type="http://schemas.openxmlformats.org/officeDocument/2006/relationships/hyperlink" Target="https://discord.com/channels/191975109500731392/1212839710439776287/1228802395853688862" TargetMode="External"/><Relationship Id="rId48" Type="http://schemas.openxmlformats.org/officeDocument/2006/relationships/hyperlink" Target="https://discord.com/channels/191975109500731392/1212839710439776287/1229103427703930890" TargetMode="External"/><Relationship Id="rId49" Type="http://schemas.openxmlformats.org/officeDocument/2006/relationships/hyperlink" Target="https://discord.com/channels/191975109500731392/1212839710439776287/1229103484364914739" TargetMode="External"/><Relationship Id="rId50" Type="http://schemas.openxmlformats.org/officeDocument/2006/relationships/hyperlink" Target="https://discord.com/channels/191975109500731392/1212839710439776287/1229192908729487370" TargetMode="External"/><Relationship Id="rId51" Type="http://schemas.openxmlformats.org/officeDocument/2006/relationships/hyperlink" Target="https://discord.com/channels/191975109500731392/1212839710439776287/1229192981668561006" TargetMode="External"/><Relationship Id="rId52" Type="http://schemas.openxmlformats.org/officeDocument/2006/relationships/hyperlink" Target="https://discord.com/channels/191975109500731392/1212839710439776287/1229392542655709196" TargetMode="External"/><Relationship Id="rId53" Type="http://schemas.openxmlformats.org/officeDocument/2006/relationships/hyperlink" Target="https://discord.com/channels/191975109500731392/1212839710439776287/1229392965240229969" TargetMode="External"/><Relationship Id="rId54" Type="http://schemas.openxmlformats.org/officeDocument/2006/relationships/hyperlink" Target="https://discord.com/channels/191975109500731392/1212839710439776287/1229461901029937252" TargetMode="External"/><Relationship Id="rId55" Type="http://schemas.openxmlformats.org/officeDocument/2006/relationships/hyperlink" Target="https://discord.com/channels/191975109500731392/1212839710439776287/1229470001149513834" TargetMode="External"/><Relationship Id="rId56" Type="http://schemas.openxmlformats.org/officeDocument/2006/relationships/hyperlink" Target="https://discord.com/channels/191975109500731392/1212839710439776287/1229470571776053288" TargetMode="External"/><Relationship Id="rId57" Type="http://schemas.openxmlformats.org/officeDocument/2006/relationships/hyperlink" Target="https://discord.com/channels/191975109500731392/1212839710439776287/1229542966687694889" TargetMode="External"/><Relationship Id="rId58" Type="http://schemas.openxmlformats.org/officeDocument/2006/relationships/hyperlink" Target="https://discord.com/channels/191975109500731392/1212839710439776287/1229542948002070650" TargetMode="External"/><Relationship Id="rId59" Type="http://schemas.openxmlformats.org/officeDocument/2006/relationships/hyperlink" Target="https://discord.com/channels/191975109500731392/1212839710439776287/1229807547913867346" TargetMode="External"/><Relationship Id="rId60" Type="http://schemas.openxmlformats.org/officeDocument/2006/relationships/hyperlink" Target="https://discord.com/channels/191975109500731392/1212839710439776287/1229821710853865522" TargetMode="External"/><Relationship Id="rId61" Type="http://schemas.openxmlformats.org/officeDocument/2006/relationships/hyperlink" Target="https://discord.com/channels/191975109500731392/1212839710439776287/1229822211351777280" TargetMode="External"/><Relationship Id="rId62" Type="http://schemas.openxmlformats.org/officeDocument/2006/relationships/hyperlink" Target="https://discord.com/channels/191975109500731392/1212839710439776287/1229827842142113844" TargetMode="External"/><Relationship Id="rId63" Type="http://schemas.openxmlformats.org/officeDocument/2006/relationships/hyperlink" Target="https://discord.com/channels/191975109500731392/1212839710439776287/1229852811357847642" TargetMode="External"/><Relationship Id="rId64" Type="http://schemas.openxmlformats.org/officeDocument/2006/relationships/hyperlink" Target="https://discord.com/channels/191975109500731392/1212839710439776287/1229852814314967051" TargetMode="External"/><Relationship Id="rId65" Type="http://schemas.openxmlformats.org/officeDocument/2006/relationships/hyperlink" Target="https://discord.com/channels/191975109500731392/1212839710439776287/1229873318379786290" TargetMode="External"/><Relationship Id="rId66" Type="http://schemas.openxmlformats.org/officeDocument/2006/relationships/hyperlink" Target="https://discord.com/channels/191975109500731392/1212839710439776287/1229873354853318666" TargetMode="External"/><Relationship Id="rId67" Type="http://schemas.openxmlformats.org/officeDocument/2006/relationships/hyperlink" Target="https://discord.com/channels/191975109500731392/1212839710439776287/1230169762168836138" TargetMode="External"/><Relationship Id="rId68" Type="http://schemas.openxmlformats.org/officeDocument/2006/relationships/hyperlink" Target="https://discord.com/channels/191975109500731392/1212839710439776287/1230185006010339328" TargetMode="External"/><Relationship Id="rId69" Type="http://schemas.openxmlformats.org/officeDocument/2006/relationships/hyperlink" Target="https://discord.com/channels/191975109500731392/1212839710439776287/1230480680220360766" TargetMode="External"/><Relationship Id="rId70" Type="http://schemas.openxmlformats.org/officeDocument/2006/relationships/hyperlink" Target="https://discord.com/channels/191975109500731392/1212839710439776287/1230522577647177865" TargetMode="External"/><Relationship Id="rId71" Type="http://schemas.openxmlformats.org/officeDocument/2006/relationships/hyperlink" Target="https://discord.com/channels/191975109500731392/1212839710439776287/1230522672501362758" TargetMode="External"/><Relationship Id="rId72" Type="http://schemas.openxmlformats.org/officeDocument/2006/relationships/hyperlink" Target="https://discord.com/channels/191975109500731392/1212839710439776287/1230530598372774022" TargetMode="External"/><Relationship Id="rId73" Type="http://schemas.openxmlformats.org/officeDocument/2006/relationships/hyperlink" Target="https://discord.com/channels/191975109500731392/1212839710439776287/1230531713101336597" TargetMode="External"/><Relationship Id="rId74" Type="http://schemas.openxmlformats.org/officeDocument/2006/relationships/hyperlink" Target="https://discord.com/channels/191975109500731392/1212839710439776287/1230577377948602469" TargetMode="External"/><Relationship Id="rId75" Type="http://schemas.openxmlformats.org/officeDocument/2006/relationships/hyperlink" Target="https://discord.com/channels/191975109500731392/1212839710439776287/1230624562161647667" TargetMode="External"/><Relationship Id="rId76" Type="http://schemas.openxmlformats.org/officeDocument/2006/relationships/hyperlink" Target="https://discord.com/channels/191975109500731392/1212839710439776287/1231261763463417937" TargetMode="External"/><Relationship Id="rId77" Type="http://schemas.openxmlformats.org/officeDocument/2006/relationships/hyperlink" Target="https://discord.com/channels/191975109500731392/1212839710439776287/1231322624374734868" TargetMode="External"/><Relationship Id="rId78" Type="http://schemas.openxmlformats.org/officeDocument/2006/relationships/hyperlink" Target="https://discord.com/channels/191975109500731392/1212839710439776287/1231927878027841556" TargetMode="External"/><Relationship Id="rId79" Type="http://schemas.openxmlformats.org/officeDocument/2006/relationships/hyperlink" Target="https://discord.com/channels/191975109500731392/1212839710439776287/1232004665718345811" TargetMode="External"/><Relationship Id="rId80" Type="http://schemas.openxmlformats.org/officeDocument/2006/relationships/hyperlink" Target="https://discord.com/channels/191975109500731392/1212839710439776287/1232072341144469605" TargetMode="External"/><Relationship Id="rId81" Type="http://schemas.openxmlformats.org/officeDocument/2006/relationships/hyperlink" Target="https://discord.com/channels/191975109500731392/1212839710439776287/1232072352674611282" TargetMode="External"/><Relationship Id="rId82" Type="http://schemas.openxmlformats.org/officeDocument/2006/relationships/hyperlink" Target="https://discord.com/channels/191975109500731392/1212839710439776287/1232088861924921344" TargetMode="External"/><Relationship Id="rId83" Type="http://schemas.openxmlformats.org/officeDocument/2006/relationships/hyperlink" Target="https://discord.com/channels/191975109500731392/1212839710439776287/1232426661799133226" TargetMode="External"/><Relationship Id="rId84" Type="http://schemas.openxmlformats.org/officeDocument/2006/relationships/hyperlink" Target="https://discord.com/channels/191975109500731392/1212839710439776287/1232433815545446420" TargetMode="External"/><Relationship Id="rId85" Type="http://schemas.openxmlformats.org/officeDocument/2006/relationships/hyperlink" Target="https://discord.com/channels/191975109500731392/1212839710439776287/1232433840409022596" TargetMode="External"/><Relationship Id="rId86" Type="http://schemas.openxmlformats.org/officeDocument/2006/relationships/hyperlink" Target="https://discord.com/channels/191975109500731392/1212839710439776287/1232662168802033725" TargetMode="External"/><Relationship Id="rId87" Type="http://schemas.openxmlformats.org/officeDocument/2006/relationships/hyperlink" Target="https://discord.com/channels/191975109500731392/1212839710439776287/1232662204344434801" TargetMode="External"/><Relationship Id="rId88" Type="http://schemas.openxmlformats.org/officeDocument/2006/relationships/hyperlink" Target="https://discord.com/channels/191975109500731392/1212839710439776287/1232857376789626940" TargetMode="External"/><Relationship Id="rId89" Type="http://schemas.openxmlformats.org/officeDocument/2006/relationships/hyperlink" Target="https://discord.com/channels/191975109500731392/1212839710439776287/1233108942478114886" TargetMode="External"/><Relationship Id="rId90" Type="http://schemas.openxmlformats.org/officeDocument/2006/relationships/hyperlink" Target="https://discord.com/channels/191975109500731392/1212839710439776287/1233113953610109009" TargetMode="External"/><Relationship Id="rId91" Type="http://schemas.openxmlformats.org/officeDocument/2006/relationships/hyperlink" Target="https://discord.com/channels/191975109500731392/1212839710439776287/1233136534924824637" TargetMode="External"/><Relationship Id="rId92" Type="http://schemas.openxmlformats.org/officeDocument/2006/relationships/hyperlink" Target="https://discord.com/channels/191975109500731392/1212839710439776287/1233174769319546920" TargetMode="External"/><Relationship Id="rId93" Type="http://schemas.openxmlformats.org/officeDocument/2006/relationships/hyperlink" Target="https://discord.com/channels/191975109500731392/1212839710439776287/1233433892590194730" TargetMode="External"/><Relationship Id="rId94" Type="http://schemas.openxmlformats.org/officeDocument/2006/relationships/hyperlink" Target="https://discord.com/channels/191975109500731392/1212839710439776287/1233462276095213598" TargetMode="External"/><Relationship Id="rId95" Type="http://schemas.openxmlformats.org/officeDocument/2006/relationships/hyperlink" Target="https://discord.com/channels/191975109500731392/1212839710439776287/1233507913855795381" TargetMode="External"/><Relationship Id="rId96" Type="http://schemas.openxmlformats.org/officeDocument/2006/relationships/hyperlink" Target="https://discord.com/channels/191975109500731392/1212839710439776287/1233508085201506315" TargetMode="External"/><Relationship Id="rId97" Type="http://schemas.openxmlformats.org/officeDocument/2006/relationships/hyperlink" Target="https://discord.com/channels/191975109500731392/1212839710439776287/1233508182685651124" TargetMode="External"/><Relationship Id="rId98" Type="http://schemas.openxmlformats.org/officeDocument/2006/relationships/hyperlink" Target="https://discord.com/channels/191975109500731392/1212839710439776287/1233508186200473720" TargetMode="External"/><Relationship Id="rId99" Type="http://schemas.openxmlformats.org/officeDocument/2006/relationships/hyperlink" Target="https://discord.com/channels/191975109500731392/1212839710439776287/1233575499121295400" TargetMode="External"/><Relationship Id="rId100" Type="http://schemas.openxmlformats.org/officeDocument/2006/relationships/hyperlink" Target="https://discord.com/channels/191975109500731392/1212839710439776287/1233575341268664391" TargetMode="External"/><Relationship Id="rId101" Type="http://schemas.openxmlformats.org/officeDocument/2006/relationships/hyperlink" Target="https://discord.com/channels/191975109500731392/1212839710439776287/1233870071068229753" TargetMode="External"/><Relationship Id="rId102" Type="http://schemas.openxmlformats.org/officeDocument/2006/relationships/hyperlink" Target="https://discord.com/channels/191975109500731392/1212839710439776287/1233913372622192652" TargetMode="External"/><Relationship Id="rId103" Type="http://schemas.openxmlformats.org/officeDocument/2006/relationships/hyperlink" Target="https://discord.com/channels/191975109500731392/1212839710439776287/1234649979440857179" TargetMode="External"/><Relationship Id="rId104" Type="http://schemas.openxmlformats.org/officeDocument/2006/relationships/drawing" Target="../drawings/drawing7.xml"/><Relationship Id="rId105" Type="http://schemas.openxmlformats.org/officeDocument/2006/relationships/pivotTable" Target="../pivotTables/pivotTable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discord.com/channels/191975109500731392/1212839710439776287/1212845263862108160" TargetMode="External"/><Relationship Id="rId2" Type="http://schemas.openxmlformats.org/officeDocument/2006/relationships/hyperlink" Target="https://discord.com/channels/191975109500731392/1212839710439776287/1212845397924646943" TargetMode="External"/><Relationship Id="rId3" Type="http://schemas.openxmlformats.org/officeDocument/2006/relationships/hyperlink" Target="https://discord.com/channels/191975109500731392/1212839710439776287/1212879934528421971" TargetMode="External"/><Relationship Id="rId4" Type="http://schemas.openxmlformats.org/officeDocument/2006/relationships/hyperlink" Target="https://discord.com/channels/191975109500731392/1212839710439776287/1213187873935728680" TargetMode="External"/><Relationship Id="rId5" Type="http://schemas.openxmlformats.org/officeDocument/2006/relationships/hyperlink" Target="https://discord.com/channels/191975109500731392/1212839710439776287/1213194839336816710" TargetMode="External"/><Relationship Id="rId6" Type="http://schemas.openxmlformats.org/officeDocument/2006/relationships/hyperlink" Target="https://discord.com/channels/191975109500731392/1212839710439776287/1214299533304135760" TargetMode="External"/><Relationship Id="rId7" Type="http://schemas.openxmlformats.org/officeDocument/2006/relationships/hyperlink" Target="https://discord.com/channels/191975109500731392/1212839710439776287/1214328987526897704" TargetMode="External"/><Relationship Id="rId8" Type="http://schemas.openxmlformats.org/officeDocument/2006/relationships/hyperlink" Target="https://discord.com/channels/191975109500731392/1212839710439776287/1214963667682992178" TargetMode="External"/><Relationship Id="rId9" Type="http://schemas.openxmlformats.org/officeDocument/2006/relationships/hyperlink" Target="https://discord.com/channels/191975109500731392/1212839710439776287/1214964509249241108" TargetMode="External"/><Relationship Id="rId10" Type="http://schemas.openxmlformats.org/officeDocument/2006/relationships/hyperlink" Target="https://discord.com/channels/191975109500731392/1212839710439776287/1215015942325665893" TargetMode="External"/><Relationship Id="rId11" Type="http://schemas.openxmlformats.org/officeDocument/2006/relationships/hyperlink" Target="https://discord.com/channels/191975109500731392/1212839710439776287/1215050831033012354" TargetMode="External"/><Relationship Id="rId12" Type="http://schemas.openxmlformats.org/officeDocument/2006/relationships/hyperlink" Target="https://discord.com/channels/191975109500731392/1212839710439776287/1215326037072678973" TargetMode="External"/><Relationship Id="rId13" Type="http://schemas.openxmlformats.org/officeDocument/2006/relationships/hyperlink" Target="https://discord.com/channels/191975109500731392/1212839710439776287/1215363180306636860" TargetMode="External"/><Relationship Id="rId14" Type="http://schemas.openxmlformats.org/officeDocument/2006/relationships/hyperlink" Target="https://discord.com/channels/191975109500731392/1212839710439776287/1215371451373199452" TargetMode="External"/><Relationship Id="rId15" Type="http://schemas.openxmlformats.org/officeDocument/2006/relationships/hyperlink" Target="https://discord.com/channels/191975109500731392/1212839710439776287/1215409481089945600" TargetMode="External"/><Relationship Id="rId16" Type="http://schemas.openxmlformats.org/officeDocument/2006/relationships/hyperlink" Target="https://discord.com/channels/191975109500731392/1212839710439776287/1215409500413104139" TargetMode="External"/><Relationship Id="rId17" Type="http://schemas.openxmlformats.org/officeDocument/2006/relationships/hyperlink" Target="https://discord.com/channels/191975109500731392/1212839710439776287/1215736616535064616" TargetMode="External"/><Relationship Id="rId18" Type="http://schemas.openxmlformats.org/officeDocument/2006/relationships/hyperlink" Target="https://discord.com/channels/191975109500731392/1212839710439776287/1217278694968524851" TargetMode="External"/><Relationship Id="rId19" Type="http://schemas.openxmlformats.org/officeDocument/2006/relationships/hyperlink" Target="https://discord.com/channels/191975109500731392/1212839710439776287/1217278712123494532" TargetMode="External"/><Relationship Id="rId20" Type="http://schemas.openxmlformats.org/officeDocument/2006/relationships/hyperlink" Target="https://discord.com/channels/191975109500731392/1212839710439776287/1217278716401422427" TargetMode="External"/><Relationship Id="rId21" Type="http://schemas.openxmlformats.org/officeDocument/2006/relationships/hyperlink" Target="https://discord.com/channels/191975109500731392/1212839710439776287/1217278716401422427" TargetMode="External"/><Relationship Id="rId22" Type="http://schemas.openxmlformats.org/officeDocument/2006/relationships/drawing" Target="../drawings/drawing8.xml"/><Relationship Id="rId23" Type="http://schemas.openxmlformats.org/officeDocument/2006/relationships/pivotTable" Target="../pivotTables/pivotTable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7" activeCellId="0" sqref="F7"/>
    </sheetView>
  </sheetViews>
  <sheetFormatPr defaultColWidth="8.59765625" defaultRowHeight="14.25" customHeight="false" zeroHeight="false" outlineLevelRow="0" outlineLevelCol="0"/>
  <sheetData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Z100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310" activeCellId="0" sqref="A310"/>
    </sheetView>
  </sheetViews>
  <sheetFormatPr defaultColWidth="12.54296875" defaultRowHeight="15" customHeight="true" zeroHeight="false" outlineLevelRow="0" outlineLevelCol="0"/>
  <cols>
    <col collapsed="false" customWidth="true" hidden="false" outlineLevel="0" max="1" min="1" style="1" width="7.45"/>
    <col collapsed="false" customWidth="true" hidden="false" outlineLevel="0" max="2" min="2" style="0" width="6.54"/>
    <col collapsed="false" customWidth="true" hidden="false" outlineLevel="0" max="3" min="3" style="2" width="13.18"/>
    <col collapsed="false" customWidth="true" hidden="false" outlineLevel="0" max="4" min="4" style="0" width="8.54"/>
    <col collapsed="false" customWidth="true" hidden="false" outlineLevel="0" max="5" min="5" style="0" width="2.27"/>
    <col collapsed="false" customWidth="true" hidden="false" outlineLevel="0" max="6" min="6" style="0" width="8.54"/>
    <col collapsed="false" customWidth="true" hidden="false" outlineLevel="0" max="11" min="10" style="0" width="7.27"/>
    <col collapsed="false" customWidth="true" hidden="false" outlineLevel="0" max="12" min="12" style="0" width="5.45"/>
    <col collapsed="false" customWidth="true" hidden="false" outlineLevel="0" max="13" min="13" style="0" width="9.73"/>
    <col collapsed="false" customWidth="true" hidden="false" outlineLevel="0" max="14" min="14" style="0" width="12.27"/>
    <col collapsed="false" customWidth="true" hidden="false" outlineLevel="0" max="15" min="15" style="0" width="7.18"/>
    <col collapsed="false" customWidth="true" hidden="false" outlineLevel="0" max="16" min="16" style="0" width="8.45"/>
    <col collapsed="false" customWidth="true" hidden="false" outlineLevel="0" max="17" min="17" style="0" width="11.18"/>
    <col collapsed="false" customWidth="true" hidden="false" outlineLevel="0" max="18" min="18" style="0" width="13.27"/>
    <col collapsed="false" customWidth="true" hidden="false" outlineLevel="0" max="19" min="19" style="0" width="7.45"/>
    <col collapsed="false" customWidth="true" hidden="false" outlineLevel="0" max="20" min="20" style="0" width="13.54"/>
    <col collapsed="false" customWidth="true" hidden="false" outlineLevel="0" max="21" min="21" style="0" width="6.27"/>
    <col collapsed="false" customWidth="true" hidden="false" outlineLevel="0" max="22" min="22" style="0" width="4.54"/>
    <col collapsed="false" customWidth="true" hidden="false" outlineLevel="0" max="23" min="23" style="0" width="5.18"/>
    <col collapsed="false" customWidth="true" hidden="false" outlineLevel="0" max="24" min="24" style="0" width="8.45"/>
    <col collapsed="false" customWidth="true" hidden="false" outlineLevel="0" max="25" min="25" style="0" width="8"/>
    <col collapsed="false" customWidth="true" hidden="false" outlineLevel="0" max="26" min="26" style="0" width="5.27"/>
    <col collapsed="false" customWidth="true" hidden="false" outlineLevel="0" max="27" min="27" style="0" width="8.18"/>
    <col collapsed="false" customWidth="true" hidden="false" outlineLevel="0" max="28" min="28" style="0" width="4.54"/>
    <col collapsed="false" customWidth="true" hidden="false" outlineLevel="0" max="29" min="29" style="0" width="6.18"/>
    <col collapsed="false" customWidth="true" hidden="false" outlineLevel="0" max="30" min="30" style="0" width="6.73"/>
    <col collapsed="false" customWidth="true" hidden="false" outlineLevel="0" max="31" min="31" style="0" width="7.27"/>
    <col collapsed="false" customWidth="true" hidden="false" outlineLevel="0" max="32" min="32" style="0" width="7.73"/>
    <col collapsed="false" customWidth="true" hidden="false" outlineLevel="0" max="33" min="33" style="0" width="5.82"/>
    <col collapsed="false" customWidth="true" hidden="false" outlineLevel="0" max="34" min="34" style="0" width="7.45"/>
    <col collapsed="false" customWidth="true" hidden="false" outlineLevel="0" max="35" min="35" style="0" width="6.27"/>
    <col collapsed="false" customWidth="true" hidden="false" outlineLevel="0" max="36" min="36" style="0" width="5.45"/>
    <col collapsed="false" customWidth="true" hidden="false" outlineLevel="0" max="38" min="37" style="0" width="11.27"/>
    <col collapsed="false" customWidth="true" hidden="false" outlineLevel="0" max="39" min="39" style="0" width="6.54"/>
    <col collapsed="false" customWidth="true" hidden="false" outlineLevel="0" max="40" min="40" style="0" width="8.54"/>
    <col collapsed="false" customWidth="true" hidden="false" outlineLevel="0" max="41" min="41" style="0" width="21.18"/>
    <col collapsed="false" customWidth="true" hidden="false" outlineLevel="0" max="44" min="43" style="0" width="8.45"/>
    <col collapsed="false" customWidth="true" hidden="false" outlineLevel="0" max="45" min="45" style="0" width="7.18"/>
    <col collapsed="false" customWidth="true" hidden="false" outlineLevel="0" max="46" min="46" style="0" width="9.27"/>
    <col collapsed="false" customWidth="true" hidden="false" outlineLevel="0" max="47" min="47" style="0" width="13.82"/>
    <col collapsed="false" customWidth="true" hidden="false" outlineLevel="0" max="48" min="48" style="0" width="7.54"/>
    <col collapsed="false" customWidth="true" hidden="false" outlineLevel="0" max="49" min="49" style="0" width="8.18"/>
    <col collapsed="false" customWidth="true" hidden="false" outlineLevel="0" max="50" min="50" style="0" width="10.73"/>
    <col collapsed="false" customWidth="true" hidden="false" outlineLevel="0" max="51" min="51" style="0" width="12"/>
    <col collapsed="false" customWidth="true" hidden="false" outlineLevel="0" max="52" min="52" style="0" width="8.18"/>
    <col collapsed="false" customWidth="true" hidden="false" outlineLevel="0" max="53" min="53" style="0" width="8.54"/>
  </cols>
  <sheetData>
    <row r="1" customFormat="false" ht="14.25" hidden="false" customHeight="true" outlineLevel="0" collapsed="false">
      <c r="A1" s="3" t="s">
        <v>0</v>
      </c>
      <c r="B1" s="4" t="s">
        <v>1</v>
      </c>
      <c r="C1" s="5" t="s">
        <v>2</v>
      </c>
      <c r="D1" s="6" t="s">
        <v>3</v>
      </c>
      <c r="I1" s="7" t="s">
        <v>4</v>
      </c>
      <c r="J1" s="7"/>
      <c r="K1" s="7"/>
      <c r="L1" s="7"/>
      <c r="M1" s="7"/>
      <c r="N1" s="7"/>
      <c r="O1" s="7"/>
      <c r="P1" s="7"/>
      <c r="Q1" s="7"/>
      <c r="R1" s="7"/>
      <c r="S1" s="8"/>
      <c r="T1" s="9" t="s">
        <v>5</v>
      </c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R1" s="7" t="s">
        <v>6</v>
      </c>
      <c r="AS1" s="10" t="s">
        <v>7</v>
      </c>
      <c r="AT1" s="11" t="s">
        <v>8</v>
      </c>
      <c r="AU1" s="12" t="s">
        <v>9</v>
      </c>
      <c r="AV1" s="13" t="s">
        <v>8</v>
      </c>
      <c r="AW1" s="10" t="s">
        <v>10</v>
      </c>
      <c r="AX1" s="7" t="s">
        <v>6</v>
      </c>
    </row>
    <row r="2" customFormat="false" ht="14.25" hidden="false" customHeight="true" outlineLevel="0" collapsed="false">
      <c r="A2" s="14" t="s">
        <v>11</v>
      </c>
      <c r="B2" s="15" t="n">
        <v>5</v>
      </c>
      <c r="C2" s="16" t="s">
        <v>12</v>
      </c>
      <c r="D2" s="17" t="s">
        <v>13</v>
      </c>
      <c r="E2" s="18" t="s">
        <v>14</v>
      </c>
      <c r="F2" s="19" t="s">
        <v>15</v>
      </c>
      <c r="I2" s="20"/>
      <c r="J2" s="21" t="s">
        <v>16</v>
      </c>
      <c r="K2" s="21" t="s">
        <v>17</v>
      </c>
      <c r="L2" s="21" t="s">
        <v>18</v>
      </c>
      <c r="M2" s="21" t="s">
        <v>19</v>
      </c>
      <c r="N2" s="21" t="s">
        <v>20</v>
      </c>
      <c r="O2" s="21" t="s">
        <v>21</v>
      </c>
      <c r="P2" s="21" t="s">
        <v>22</v>
      </c>
      <c r="Q2" s="21" t="s">
        <v>23</v>
      </c>
      <c r="R2" s="22" t="s">
        <v>24</v>
      </c>
      <c r="S2" s="8"/>
      <c r="T2" s="23" t="s">
        <v>25</v>
      </c>
      <c r="U2" s="24" t="s">
        <v>2</v>
      </c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6"/>
      <c r="AM2" s="27" t="s">
        <v>26</v>
      </c>
      <c r="AR2" s="28"/>
      <c r="AS2" s="29"/>
      <c r="AT2" s="30" t="n">
        <f aca="false">COUNT(B$1:B$155)</f>
        <v>154</v>
      </c>
      <c r="AU2" s="31" t="s">
        <v>27</v>
      </c>
      <c r="AV2" s="30" t="n">
        <f aca="false">COUNT(B$1:B$155)</f>
        <v>154</v>
      </c>
      <c r="AW2" s="28"/>
      <c r="AX2" s="28"/>
    </row>
    <row r="3" customFormat="false" ht="14.25" hidden="false" customHeight="true" outlineLevel="0" collapsed="false">
      <c r="A3" s="14" t="s">
        <v>11</v>
      </c>
      <c r="B3" s="15" t="n">
        <v>1</v>
      </c>
      <c r="C3" s="16" t="s">
        <v>11</v>
      </c>
      <c r="D3" s="17" t="s">
        <v>28</v>
      </c>
      <c r="E3" s="6" t="s">
        <v>29</v>
      </c>
      <c r="F3" s="32" t="s">
        <v>15</v>
      </c>
      <c r="I3" s="33" t="s">
        <v>30</v>
      </c>
      <c r="J3" s="34" t="n">
        <f aca="false">COUNTIF($A:$A,I3)</f>
        <v>25</v>
      </c>
      <c r="K3" s="34" t="n">
        <f aca="false">COUNTIF($C:$C,I3)</f>
        <v>13</v>
      </c>
      <c r="L3" s="35" t="n">
        <f aca="false">IF(K3,J3/K3,J3)</f>
        <v>1.92307692307692</v>
      </c>
      <c r="M3" s="34" t="n">
        <f aca="false">IFERROR(GETPIVOTDATA("Points",$T$2,"Sniper",I3),0)</f>
        <v>43</v>
      </c>
      <c r="N3" s="34" t="n">
        <f aca="false">IFERROR(GETPIVOTDATA("Points",$T$2,"Snipee",I3),0)</f>
        <v>19</v>
      </c>
      <c r="O3" s="35" t="n">
        <f aca="false">IF(N3,M3/N3,M3)</f>
        <v>2.26315789473684</v>
      </c>
      <c r="P3" s="35" t="n">
        <f aca="false">IF(J3,M3/J3,0)</f>
        <v>1.72</v>
      </c>
      <c r="Q3" s="35" t="n">
        <f aca="false">IF(K3,N3/K3,0)</f>
        <v>1.46153846153846</v>
      </c>
      <c r="R3" s="36" t="n">
        <f aca="false">IFERROR(VLOOKUP(I3,T:AM,20,FALSE())/15,0)</f>
        <v>0.6</v>
      </c>
      <c r="S3" s="8"/>
      <c r="T3" s="37" t="s">
        <v>0</v>
      </c>
      <c r="U3" s="38" t="s">
        <v>31</v>
      </c>
      <c r="V3" s="38" t="s">
        <v>32</v>
      </c>
      <c r="W3" s="38" t="s">
        <v>33</v>
      </c>
      <c r="X3" s="38" t="s">
        <v>34</v>
      </c>
      <c r="Y3" s="38" t="s">
        <v>35</v>
      </c>
      <c r="Z3" s="38" t="s">
        <v>36</v>
      </c>
      <c r="AA3" s="38" t="s">
        <v>12</v>
      </c>
      <c r="AB3" s="38" t="s">
        <v>37</v>
      </c>
      <c r="AC3" s="38" t="s">
        <v>38</v>
      </c>
      <c r="AD3" s="38" t="s">
        <v>39</v>
      </c>
      <c r="AE3" s="38" t="s">
        <v>30</v>
      </c>
      <c r="AF3" s="38" t="s">
        <v>40</v>
      </c>
      <c r="AG3" s="38" t="s">
        <v>11</v>
      </c>
      <c r="AH3" s="38" t="s">
        <v>41</v>
      </c>
      <c r="AI3" s="38" t="s">
        <v>42</v>
      </c>
      <c r="AJ3" s="38" t="s">
        <v>43</v>
      </c>
      <c r="AK3" s="39" t="s">
        <v>44</v>
      </c>
      <c r="AM3" s="27" t="s">
        <v>16</v>
      </c>
      <c r="AR3" s="28"/>
      <c r="AS3" s="28"/>
      <c r="AT3" s="40" t="n">
        <f aca="false">IFERROR(GETPIVOTDATA("Points",T2),0)</f>
        <v>374</v>
      </c>
      <c r="AU3" s="41" t="s">
        <v>45</v>
      </c>
      <c r="AV3" s="40" t="n">
        <f aca="false">IFERROR(GETPIVOTDATA("Points",T2),0)</f>
        <v>374</v>
      </c>
      <c r="AW3" s="28"/>
      <c r="AX3" s="28"/>
    </row>
    <row r="4" customFormat="false" ht="16.4" hidden="false" customHeight="false" outlineLevel="0" collapsed="false">
      <c r="A4" s="14" t="s">
        <v>11</v>
      </c>
      <c r="B4" s="15" t="n">
        <v>1</v>
      </c>
      <c r="C4" s="16" t="s">
        <v>41</v>
      </c>
      <c r="D4" s="17" t="s">
        <v>46</v>
      </c>
      <c r="E4" s="6" t="s">
        <v>47</v>
      </c>
      <c r="F4" s="32" t="s">
        <v>15</v>
      </c>
      <c r="G4" s="0" t="s">
        <v>48</v>
      </c>
      <c r="I4" s="33" t="s">
        <v>42</v>
      </c>
      <c r="J4" s="34" t="n">
        <f aca="false">COUNTIF($A:$A,I4)</f>
        <v>3</v>
      </c>
      <c r="K4" s="34" t="n">
        <f aca="false">COUNTIF($C:$C,I4)</f>
        <v>4</v>
      </c>
      <c r="L4" s="35" t="n">
        <f aca="false">IF(K4,J4/K4,J4)</f>
        <v>0.75</v>
      </c>
      <c r="M4" s="34" t="n">
        <f aca="false">IFERROR(GETPIVOTDATA("Points",$T$2,"Sniper",I4),0)</f>
        <v>5</v>
      </c>
      <c r="N4" s="34" t="n">
        <f aca="false">IFERROR(GETPIVOTDATA("Points",$T$2,"Snipee",I4),0)</f>
        <v>6</v>
      </c>
      <c r="O4" s="35" t="n">
        <f aca="false">IF(N4,M4/N4,M4)</f>
        <v>0.833333333333333</v>
      </c>
      <c r="P4" s="35" t="n">
        <f aca="false">IF(J4,M4/J4,0)</f>
        <v>1.66666666666667</v>
      </c>
      <c r="Q4" s="35" t="n">
        <f aca="false">IF(K4,N4/K4,0)</f>
        <v>1.5</v>
      </c>
      <c r="R4" s="36" t="n">
        <f aca="false">IFERROR(VLOOKUP(I4,T:AM,20,FALSE())/15,0)</f>
        <v>0.2</v>
      </c>
      <c r="S4" s="8"/>
      <c r="T4" s="42" t="s">
        <v>37</v>
      </c>
      <c r="U4" s="43" t="n">
        <v>11</v>
      </c>
      <c r="V4" s="43" t="n">
        <v>13</v>
      </c>
      <c r="W4" s="43" t="n">
        <v>1</v>
      </c>
      <c r="X4" s="43" t="n">
        <v>11</v>
      </c>
      <c r="Y4" s="43" t="n">
        <v>8</v>
      </c>
      <c r="Z4" s="43" t="n">
        <v>2</v>
      </c>
      <c r="AA4" s="43"/>
      <c r="AB4" s="43"/>
      <c r="AC4" s="43"/>
      <c r="AD4" s="43" t="n">
        <v>4</v>
      </c>
      <c r="AE4" s="43"/>
      <c r="AF4" s="43" t="n">
        <v>2</v>
      </c>
      <c r="AG4" s="43"/>
      <c r="AH4" s="43"/>
      <c r="AI4" s="43" t="n">
        <v>2</v>
      </c>
      <c r="AJ4" s="43"/>
      <c r="AK4" s="44" t="n">
        <v>54</v>
      </c>
      <c r="AM4" s="27" t="n">
        <f aca="false">IF(COUNT(U4:AL4)&lt;&gt;0,COUNT(U4:AL4)-1,"")</f>
        <v>9</v>
      </c>
      <c r="AR4" s="45" t="n">
        <f aca="false">COUNTIF(J3:J17,AT4)</f>
        <v>1</v>
      </c>
      <c r="AS4" s="46" t="str">
        <f aca="false">$I$29</f>
        <v>Mikey</v>
      </c>
      <c r="AT4" s="40" t="n">
        <f aca="false">MAX(J3:J18)</f>
        <v>38</v>
      </c>
      <c r="AU4" s="41" t="s">
        <v>49</v>
      </c>
      <c r="AV4" s="47" t="n">
        <f aca="false">MAX(J22:J25)</f>
        <v>29.25</v>
      </c>
      <c r="AW4" s="48" t="str">
        <f aca="false">$I$86</f>
        <v>Basses</v>
      </c>
      <c r="AX4" s="45" t="n">
        <f aca="false">COUNTIF(J22:J25,AV4)</f>
        <v>1</v>
      </c>
    </row>
    <row r="5" customFormat="false" ht="16.4" hidden="false" customHeight="false" outlineLevel="0" collapsed="false">
      <c r="A5" s="14" t="s">
        <v>30</v>
      </c>
      <c r="B5" s="15" t="n">
        <v>2</v>
      </c>
      <c r="C5" s="16" t="s">
        <v>32</v>
      </c>
      <c r="D5" s="17" t="s">
        <v>50</v>
      </c>
      <c r="E5" s="0" t="s">
        <v>51</v>
      </c>
      <c r="F5" s="32" t="s">
        <v>52</v>
      </c>
      <c r="G5" s="0" t="s">
        <v>53</v>
      </c>
      <c r="I5" s="33" t="s">
        <v>34</v>
      </c>
      <c r="J5" s="34" t="n">
        <f aca="false">COUNTIF($A:$A,I5)</f>
        <v>37</v>
      </c>
      <c r="K5" s="34" t="n">
        <f aca="false">COUNTIF($C:$C,I5)</f>
        <v>35</v>
      </c>
      <c r="L5" s="35" t="n">
        <f aca="false">IF(K5,J5/K5,J5)</f>
        <v>1.05714285714286</v>
      </c>
      <c r="M5" s="34" t="n">
        <f aca="false">IFERROR(GETPIVOTDATA("Points",$T$2,"Sniper",I5),0)</f>
        <v>52</v>
      </c>
      <c r="N5" s="34" t="n">
        <f aca="false">IFERROR(GETPIVOTDATA("Points",$T$2,"Snipee",I5),0)</f>
        <v>49</v>
      </c>
      <c r="O5" s="35" t="n">
        <f aca="false">IF(N5,M5/N5,M5)</f>
        <v>1.06122448979592</v>
      </c>
      <c r="P5" s="35" t="n">
        <f aca="false">IF(J5,M5/J5,0)</f>
        <v>1.40540540540541</v>
      </c>
      <c r="Q5" s="35" t="n">
        <f aca="false">IF(K5,N5/K5,0)</f>
        <v>1.4</v>
      </c>
      <c r="R5" s="36" t="n">
        <f aca="false">IFERROR(VLOOKUP(I5,T:AM,20,FALSE())/15,0)</f>
        <v>0.6</v>
      </c>
      <c r="S5" s="8"/>
      <c r="T5" s="42" t="s">
        <v>34</v>
      </c>
      <c r="U5" s="43" t="n">
        <v>10</v>
      </c>
      <c r="V5" s="43" t="n">
        <v>6</v>
      </c>
      <c r="W5" s="43" t="n">
        <v>8</v>
      </c>
      <c r="X5" s="43"/>
      <c r="Y5" s="43" t="n">
        <v>1</v>
      </c>
      <c r="Z5" s="43" t="n">
        <v>7</v>
      </c>
      <c r="AA5" s="43"/>
      <c r="AB5" s="43" t="n">
        <v>12</v>
      </c>
      <c r="AC5" s="43"/>
      <c r="AD5" s="43" t="n">
        <v>5</v>
      </c>
      <c r="AE5" s="43" t="n">
        <v>2</v>
      </c>
      <c r="AF5" s="43"/>
      <c r="AG5" s="43" t="n">
        <v>1</v>
      </c>
      <c r="AH5" s="43"/>
      <c r="AI5" s="43"/>
      <c r="AJ5" s="43"/>
      <c r="AK5" s="44" t="n">
        <v>52</v>
      </c>
      <c r="AM5" s="27" t="n">
        <f aca="false">IF(COUNT(U5:AL5)&lt;&gt;0,COUNT(U5:AL5)-1,"")</f>
        <v>9</v>
      </c>
      <c r="AR5" s="45" t="n">
        <f aca="false">COUNTIF(K3:K17,AT5)</f>
        <v>1</v>
      </c>
      <c r="AS5" s="46" t="str">
        <f aca="false">$I$47</f>
        <v>Mikey</v>
      </c>
      <c r="AT5" s="40" t="n">
        <f aca="false">MAX(J47:J62)</f>
        <v>43</v>
      </c>
      <c r="AU5" s="41" t="s">
        <v>54</v>
      </c>
      <c r="AV5" s="47" t="n">
        <f aca="false">MAX(K22:K25)</f>
        <v>28</v>
      </c>
      <c r="AW5" s="49" t="str">
        <f aca="false">$I$97</f>
        <v>Tenors</v>
      </c>
      <c r="AX5" s="45" t="n">
        <f aca="false">COUNTIF(K22:K25,AV5)</f>
        <v>1</v>
      </c>
    </row>
    <row r="6" customFormat="false" ht="16.4" hidden="false" customHeight="false" outlineLevel="0" collapsed="false">
      <c r="A6" s="14" t="s">
        <v>39</v>
      </c>
      <c r="B6" s="50" t="n">
        <v>1</v>
      </c>
      <c r="C6" s="16" t="s">
        <v>35</v>
      </c>
      <c r="D6" s="17" t="s">
        <v>55</v>
      </c>
      <c r="E6" s="0" t="s">
        <v>56</v>
      </c>
      <c r="F6" s="32" t="s">
        <v>57</v>
      </c>
      <c r="G6" s="0" t="s">
        <v>58</v>
      </c>
      <c r="I6" s="33" t="s">
        <v>38</v>
      </c>
      <c r="J6" s="34" t="n">
        <f aca="false">COUNTIF($A:$A,I6)</f>
        <v>20</v>
      </c>
      <c r="K6" s="34" t="n">
        <f aca="false">COUNTIF($C:$C,I6)</f>
        <v>15</v>
      </c>
      <c r="L6" s="35" t="n">
        <f aca="false">IF(K6,J6/K6,J6)</f>
        <v>1.33333333333333</v>
      </c>
      <c r="M6" s="34" t="n">
        <f aca="false">IFERROR(GETPIVOTDATA("Points",$T$2,"Sniper",I6),0)</f>
        <v>30</v>
      </c>
      <c r="N6" s="34" t="n">
        <f aca="false">IFERROR(GETPIVOTDATA("Points",$T$2,"Snipee",I6),0)</f>
        <v>21</v>
      </c>
      <c r="O6" s="35" t="n">
        <f aca="false">IF(N6,M6/N6,M6)</f>
        <v>1.42857142857143</v>
      </c>
      <c r="P6" s="35" t="n">
        <f aca="false">IF(J6,M6/J6,0)</f>
        <v>1.5</v>
      </c>
      <c r="Q6" s="35" t="n">
        <f aca="false">IF(K6,N6/K6,0)</f>
        <v>1.4</v>
      </c>
      <c r="R6" s="36" t="n">
        <f aca="false">IFERROR(VLOOKUP(I6,T:AM,20,FALSE())/15,0)</f>
        <v>0.6</v>
      </c>
      <c r="S6" s="8"/>
      <c r="T6" s="42" t="s">
        <v>31</v>
      </c>
      <c r="U6" s="43"/>
      <c r="V6" s="43" t="n">
        <v>17</v>
      </c>
      <c r="W6" s="43" t="n">
        <v>4</v>
      </c>
      <c r="X6" s="43" t="n">
        <v>8</v>
      </c>
      <c r="Y6" s="43" t="n">
        <v>3</v>
      </c>
      <c r="Z6" s="43" t="n">
        <v>2</v>
      </c>
      <c r="AA6" s="43"/>
      <c r="AB6" s="43" t="n">
        <v>5</v>
      </c>
      <c r="AC6" s="43"/>
      <c r="AD6" s="43" t="n">
        <v>4</v>
      </c>
      <c r="AE6" s="43" t="n">
        <v>2</v>
      </c>
      <c r="AF6" s="43" t="n">
        <v>1</v>
      </c>
      <c r="AG6" s="43" t="n">
        <v>2</v>
      </c>
      <c r="AH6" s="43" t="n">
        <v>2</v>
      </c>
      <c r="AI6" s="43"/>
      <c r="AJ6" s="43"/>
      <c r="AK6" s="44" t="n">
        <v>50</v>
      </c>
      <c r="AM6" s="27" t="n">
        <f aca="false">IF(COUNT(U6:AL6)&lt;&gt;0,COUNT(U6:AL6)-1,"")</f>
        <v>11</v>
      </c>
      <c r="AR6" s="45" t="n">
        <f aca="false">COUNTIF(M3:M17,AT6)</f>
        <v>2</v>
      </c>
      <c r="AS6" s="46" t="str">
        <f aca="false">$S$29</f>
        <v>Will</v>
      </c>
      <c r="AT6" s="40" t="n">
        <f aca="false">MAX(T29:T44)</f>
        <v>42</v>
      </c>
      <c r="AU6" s="41" t="s">
        <v>59</v>
      </c>
      <c r="AV6" s="47" t="n">
        <f aca="false">MAX(M22:M25)</f>
        <v>34.5</v>
      </c>
      <c r="AW6" s="49" t="str">
        <f aca="false">$S$86</f>
        <v>Basses</v>
      </c>
      <c r="AX6" s="45" t="n">
        <f aca="false">COUNTIF(M22:M25,AV6)</f>
        <v>1</v>
      </c>
    </row>
    <row r="7" customFormat="false" ht="16.4" hidden="false" customHeight="false" outlineLevel="0" collapsed="false">
      <c r="A7" s="14" t="s">
        <v>37</v>
      </c>
      <c r="B7" s="50" t="n">
        <v>2</v>
      </c>
      <c r="C7" s="16" t="s">
        <v>32</v>
      </c>
      <c r="D7" s="17" t="s">
        <v>60</v>
      </c>
      <c r="E7" s="0" t="s">
        <v>61</v>
      </c>
      <c r="F7" s="32" t="s">
        <v>62</v>
      </c>
      <c r="G7" s="0" t="s">
        <v>53</v>
      </c>
      <c r="I7" s="33" t="s">
        <v>40</v>
      </c>
      <c r="J7" s="34" t="n">
        <f aca="false">COUNTIF($A:$A,I7)</f>
        <v>1</v>
      </c>
      <c r="K7" s="34" t="n">
        <f aca="false">COUNTIF($C:$C,I7)</f>
        <v>9</v>
      </c>
      <c r="L7" s="35" t="n">
        <f aca="false">IF(K7,J7/K7,J7)</f>
        <v>0.111111111111111</v>
      </c>
      <c r="M7" s="34" t="n">
        <f aca="false">IFERROR(GETPIVOTDATA("Points",$T$2,"Sniper",I7),0)</f>
        <v>2</v>
      </c>
      <c r="N7" s="34" t="n">
        <f aca="false">IFERROR(GETPIVOTDATA("Points",$T$2,"Snipee",I7),0)</f>
        <v>16</v>
      </c>
      <c r="O7" s="35" t="n">
        <f aca="false">IF(N7,M7/N7,M7)</f>
        <v>0.125</v>
      </c>
      <c r="P7" s="35" t="n">
        <f aca="false">IF(J7,M7/J7,0)</f>
        <v>2</v>
      </c>
      <c r="Q7" s="35" t="n">
        <f aca="false">IF(K7,N7/K7,0)</f>
        <v>1.77777777777778</v>
      </c>
      <c r="R7" s="36" t="n">
        <f aca="false">IFERROR(VLOOKUP(I7,T:AM,20,FALSE())/15,0)</f>
        <v>0.0666666666666667</v>
      </c>
      <c r="S7" s="8"/>
      <c r="T7" s="42" t="s">
        <v>11</v>
      </c>
      <c r="U7" s="43" t="n">
        <v>2</v>
      </c>
      <c r="V7" s="43" t="n">
        <v>2</v>
      </c>
      <c r="W7" s="43" t="n">
        <v>13</v>
      </c>
      <c r="X7" s="43" t="n">
        <v>6</v>
      </c>
      <c r="Y7" s="43" t="n">
        <v>2</v>
      </c>
      <c r="Z7" s="43" t="n">
        <v>3</v>
      </c>
      <c r="AA7" s="43" t="n">
        <v>5</v>
      </c>
      <c r="AB7" s="43"/>
      <c r="AC7" s="43" t="n">
        <v>6</v>
      </c>
      <c r="AD7" s="43" t="n">
        <v>2</v>
      </c>
      <c r="AE7" s="43"/>
      <c r="AF7" s="43" t="n">
        <v>5</v>
      </c>
      <c r="AG7" s="43" t="n">
        <v>1</v>
      </c>
      <c r="AH7" s="43" t="n">
        <v>1</v>
      </c>
      <c r="AI7" s="43" t="n">
        <v>2</v>
      </c>
      <c r="AJ7" s="43"/>
      <c r="AK7" s="44" t="n">
        <v>50</v>
      </c>
      <c r="AM7" s="27" t="n">
        <f aca="false">IF(COUNT(U7:AL7)&lt;&gt;0,COUNT(U7:AL7)-1,"")</f>
        <v>13</v>
      </c>
      <c r="AR7" s="45" t="n">
        <f aca="false">COUNTIF(N3:N17,AT7)</f>
        <v>1</v>
      </c>
      <c r="AS7" s="46" t="str">
        <f aca="false">$S$47</f>
        <v>Mikey</v>
      </c>
      <c r="AT7" s="40" t="n">
        <f aca="false">MAX(T47:T62)</f>
        <v>55</v>
      </c>
      <c r="AU7" s="41" t="s">
        <v>63</v>
      </c>
      <c r="AV7" s="47" t="n">
        <f aca="false">MAX(N22:N25)</f>
        <v>32.5</v>
      </c>
      <c r="AW7" s="49" t="str">
        <f aca="false">$S$97</f>
        <v>Tenors</v>
      </c>
      <c r="AX7" s="45" t="n">
        <f aca="false">COUNTIF(N22:N25,AV7)</f>
        <v>1</v>
      </c>
    </row>
    <row r="8" customFormat="false" ht="16.4" hidden="false" customHeight="false" outlineLevel="0" collapsed="false">
      <c r="A8" s="14" t="s">
        <v>37</v>
      </c>
      <c r="B8" s="50" t="n">
        <v>2</v>
      </c>
      <c r="C8" s="16" t="s">
        <v>34</v>
      </c>
      <c r="D8" s="17" t="s">
        <v>64</v>
      </c>
      <c r="E8" s="0" t="s">
        <v>65</v>
      </c>
      <c r="F8" s="32" t="s">
        <v>62</v>
      </c>
      <c r="G8" s="0" t="s">
        <v>66</v>
      </c>
      <c r="I8" s="33" t="s">
        <v>36</v>
      </c>
      <c r="J8" s="34" t="n">
        <f aca="false">COUNTIF($A:$A,I8)</f>
        <v>26</v>
      </c>
      <c r="K8" s="34" t="n">
        <f aca="false">COUNTIF($C:$C,I8)</f>
        <v>22</v>
      </c>
      <c r="L8" s="35" t="n">
        <f aca="false">IF(K8,J8/K8,J8)</f>
        <v>1.18181818181818</v>
      </c>
      <c r="M8" s="34" t="n">
        <f aca="false">IFERROR(GETPIVOTDATA("Points",$T$2,"Sniper",I8),0)</f>
        <v>37</v>
      </c>
      <c r="N8" s="34" t="n">
        <f aca="false">IFERROR(GETPIVOTDATA("Points",$T$2,"Snipee",I8),0)</f>
        <v>35</v>
      </c>
      <c r="O8" s="35" t="n">
        <f aca="false">IF(N8,M8/N8,M8)</f>
        <v>1.05714285714286</v>
      </c>
      <c r="P8" s="35" t="n">
        <f aca="false">IF(J8,M8/J8,0)</f>
        <v>1.42307692307692</v>
      </c>
      <c r="Q8" s="35" t="n">
        <f aca="false">IF(K8,N8/K8,0)</f>
        <v>1.59090909090909</v>
      </c>
      <c r="R8" s="36" t="n">
        <f aca="false">IFERROR(VLOOKUP(I8,T:AM,20,FALSE())/15,0)</f>
        <v>0.6</v>
      </c>
      <c r="S8" s="8"/>
      <c r="T8" s="42" t="s">
        <v>32</v>
      </c>
      <c r="U8" s="43" t="n">
        <v>16</v>
      </c>
      <c r="V8" s="43"/>
      <c r="W8" s="43" t="n">
        <v>3</v>
      </c>
      <c r="X8" s="43" t="n">
        <v>4</v>
      </c>
      <c r="Y8" s="43" t="n">
        <v>10</v>
      </c>
      <c r="Z8" s="43" t="n">
        <v>3</v>
      </c>
      <c r="AA8" s="43"/>
      <c r="AB8" s="43" t="n">
        <v>4</v>
      </c>
      <c r="AC8" s="43" t="n">
        <v>1</v>
      </c>
      <c r="AD8" s="43" t="n">
        <v>1</v>
      </c>
      <c r="AE8" s="43" t="n">
        <v>2</v>
      </c>
      <c r="AF8" s="43"/>
      <c r="AG8" s="43"/>
      <c r="AH8" s="43"/>
      <c r="AI8" s="43" t="n">
        <v>1</v>
      </c>
      <c r="AJ8" s="43"/>
      <c r="AK8" s="44" t="n">
        <v>45</v>
      </c>
      <c r="AM8" s="27" t="n">
        <f aca="false">IF(COUNT(U8:AL8)&lt;&gt;0,COUNT(U8:AL8)-1,"")</f>
        <v>10</v>
      </c>
      <c r="AR8" s="45" t="n">
        <f aca="false">COUNTIF(L3:L17,AT8)</f>
        <v>1</v>
      </c>
      <c r="AS8" s="51" t="str">
        <f aca="false">$I$65</f>
        <v>Peter</v>
      </c>
      <c r="AT8" s="47" t="n">
        <f aca="false">MAX(L3:L17)</f>
        <v>2.72727272727273</v>
      </c>
      <c r="AU8" s="41" t="s">
        <v>67</v>
      </c>
      <c r="AV8" s="47" t="n">
        <f aca="false">MAX(L22:L25)</f>
        <v>1.26865671641791</v>
      </c>
      <c r="AW8" s="49" t="str">
        <f aca="false">$I$108</f>
        <v>Basses</v>
      </c>
      <c r="AX8" s="45" t="n">
        <f aca="false">COUNTIF(L22:L25,AV8)</f>
        <v>1</v>
      </c>
    </row>
    <row r="9" customFormat="false" ht="16.4" hidden="false" customHeight="false" outlineLevel="0" collapsed="false">
      <c r="A9" s="14" t="s">
        <v>41</v>
      </c>
      <c r="B9" s="50" t="n">
        <v>5</v>
      </c>
      <c r="C9" s="16" t="s">
        <v>12</v>
      </c>
      <c r="D9" s="17" t="s">
        <v>68</v>
      </c>
      <c r="E9" s="0" t="s">
        <v>69</v>
      </c>
      <c r="F9" s="17" t="s">
        <v>48</v>
      </c>
      <c r="G9" s="0" t="s">
        <v>70</v>
      </c>
      <c r="I9" s="33" t="s">
        <v>41</v>
      </c>
      <c r="J9" s="34" t="n">
        <f aca="false">COUNTIF($A:$A,I9)</f>
        <v>11</v>
      </c>
      <c r="K9" s="34" t="n">
        <f aca="false">COUNTIF($C:$C,I9)</f>
        <v>7</v>
      </c>
      <c r="L9" s="35" t="n">
        <f aca="false">IF(K9,J9/K9,J9)</f>
        <v>1.57142857142857</v>
      </c>
      <c r="M9" s="34" t="n">
        <f aca="false">IFERROR(GETPIVOTDATA("Points",$T$2,"Sniper",I9),0)</f>
        <v>30</v>
      </c>
      <c r="N9" s="34" t="n">
        <f aca="false">IFERROR(GETPIVOTDATA("Points",$T$2,"Snipee",I9),0)</f>
        <v>8</v>
      </c>
      <c r="O9" s="35" t="n">
        <f aca="false">IF(N9,M9/N9,M9)</f>
        <v>3.75</v>
      </c>
      <c r="P9" s="35" t="n">
        <f aca="false">IF(J9,M9/J9,0)</f>
        <v>2.72727272727273</v>
      </c>
      <c r="Q9" s="35" t="n">
        <f aca="false">IF(K9,N9/K9,0)</f>
        <v>1.14285714285714</v>
      </c>
      <c r="R9" s="36" t="n">
        <f aca="false">IFERROR(VLOOKUP(I9,T:AM,20,FALSE())/15,0)</f>
        <v>0.466666666666667</v>
      </c>
      <c r="S9" s="8"/>
      <c r="T9" s="42" t="s">
        <v>39</v>
      </c>
      <c r="U9" s="43" t="n">
        <v>9</v>
      </c>
      <c r="V9" s="43" t="n">
        <v>6</v>
      </c>
      <c r="W9" s="43" t="n">
        <v>5</v>
      </c>
      <c r="X9" s="43" t="n">
        <v>8</v>
      </c>
      <c r="Y9" s="43" t="n">
        <v>7</v>
      </c>
      <c r="Z9" s="43" t="n">
        <v>2</v>
      </c>
      <c r="AA9" s="43"/>
      <c r="AB9" s="43" t="n">
        <v>5</v>
      </c>
      <c r="AC9" s="43"/>
      <c r="AD9" s="43"/>
      <c r="AE9" s="43"/>
      <c r="AF9" s="43" t="n">
        <v>2</v>
      </c>
      <c r="AG9" s="43"/>
      <c r="AH9" s="43"/>
      <c r="AI9" s="43"/>
      <c r="AJ9" s="43"/>
      <c r="AK9" s="44" t="n">
        <v>44</v>
      </c>
      <c r="AM9" s="27" t="n">
        <f aca="false">IF(COUNT(U9:AL9)&lt;&gt;0,COUNT(U9:AL9)-1,"")</f>
        <v>8</v>
      </c>
      <c r="AR9" s="45" t="n">
        <f aca="false">COUNTIF(L3:L17,AT9)</f>
        <v>2</v>
      </c>
      <c r="AS9" s="51" t="str">
        <f aca="false">$I$80</f>
        <v>Reuben</v>
      </c>
      <c r="AT9" s="47" t="n">
        <f aca="false">MIN(L3:L17)</f>
        <v>0</v>
      </c>
      <c r="AU9" s="41" t="s">
        <v>71</v>
      </c>
      <c r="AV9" s="47" t="n">
        <f aca="false">MIN(L22:L25)</f>
        <v>0.75</v>
      </c>
      <c r="AW9" s="49" t="str">
        <f aca="false">$I$105</f>
        <v>Tenors</v>
      </c>
      <c r="AX9" s="45" t="n">
        <f aca="false">COUNTIF(L22:L25,AV9)</f>
        <v>1</v>
      </c>
    </row>
    <row r="10" customFormat="false" ht="16.4" hidden="false" customHeight="false" outlineLevel="0" collapsed="false">
      <c r="A10" s="14" t="s">
        <v>37</v>
      </c>
      <c r="B10" s="50" t="n">
        <v>2</v>
      </c>
      <c r="C10" s="16" t="s">
        <v>39</v>
      </c>
      <c r="D10" s="17" t="s">
        <v>72</v>
      </c>
      <c r="E10" s="0" t="s">
        <v>73</v>
      </c>
      <c r="F10" s="17" t="s">
        <v>62</v>
      </c>
      <c r="G10" s="0" t="s">
        <v>57</v>
      </c>
      <c r="I10" s="33" t="s">
        <v>31</v>
      </c>
      <c r="J10" s="34" t="n">
        <f aca="false">COUNTIF($A:$A,I10)</f>
        <v>38</v>
      </c>
      <c r="K10" s="34" t="n">
        <f aca="false">COUNTIF($C:$C,I10)</f>
        <v>43</v>
      </c>
      <c r="L10" s="35" t="n">
        <f aca="false">IF(K10,J10/K10,J10)</f>
        <v>0.883720930232558</v>
      </c>
      <c r="M10" s="34" t="n">
        <f aca="false">IFERROR(GETPIVOTDATA("Points",$T$2,"Sniper",I10),0)</f>
        <v>50</v>
      </c>
      <c r="N10" s="34" t="n">
        <f aca="false">IFERROR(GETPIVOTDATA("Points",$T$2,"Snipee",I10),0)</f>
        <v>66</v>
      </c>
      <c r="O10" s="35" t="n">
        <f aca="false">IF(N10,M10/N10,M10)</f>
        <v>0.757575757575758</v>
      </c>
      <c r="P10" s="35" t="n">
        <f aca="false">IF(J10,M10/J10,0)</f>
        <v>1.31578947368421</v>
      </c>
      <c r="Q10" s="35" t="n">
        <f aca="false">IF(K10,N10/K10,0)</f>
        <v>1.53488372093023</v>
      </c>
      <c r="R10" s="36" t="n">
        <f aca="false">IFERROR(VLOOKUP(I10,T:AM,20,FALSE())/15,0)</f>
        <v>0.733333333333333</v>
      </c>
      <c r="S10" s="8"/>
      <c r="T10" s="42" t="s">
        <v>30</v>
      </c>
      <c r="U10" s="43" t="n">
        <v>4</v>
      </c>
      <c r="V10" s="43" t="n">
        <v>12</v>
      </c>
      <c r="W10" s="43" t="n">
        <v>1</v>
      </c>
      <c r="X10" s="43" t="n">
        <v>3</v>
      </c>
      <c r="Y10" s="43"/>
      <c r="Z10" s="43" t="n">
        <v>3</v>
      </c>
      <c r="AA10" s="43" t="n">
        <v>5</v>
      </c>
      <c r="AB10" s="43" t="n">
        <v>4</v>
      </c>
      <c r="AC10" s="43" t="n">
        <v>9</v>
      </c>
      <c r="AD10" s="43"/>
      <c r="AE10" s="43"/>
      <c r="AF10" s="43"/>
      <c r="AG10" s="43"/>
      <c r="AH10" s="43" t="n">
        <v>2</v>
      </c>
      <c r="AI10" s="43"/>
      <c r="AJ10" s="43"/>
      <c r="AK10" s="44" t="n">
        <v>43</v>
      </c>
      <c r="AM10" s="27" t="n">
        <f aca="false">IF(COUNT(U10:AL10)&lt;&gt;0,COUNT(U10:AL10)-1,"")</f>
        <v>9</v>
      </c>
      <c r="AR10" s="45" t="n">
        <f aca="false">COUNTIF(O3:O17,AT10)</f>
        <v>1</v>
      </c>
      <c r="AS10" s="51" t="str">
        <f aca="false">$S$65</f>
        <v>Peter</v>
      </c>
      <c r="AT10" s="47" t="n">
        <f aca="false">MAX(O3:O17)</f>
        <v>3.81818181818182</v>
      </c>
      <c r="AU10" s="41" t="s">
        <v>74</v>
      </c>
      <c r="AV10" s="47" t="n">
        <f aca="false">MAX(O22:O25)</f>
        <v>1.25925925925926</v>
      </c>
      <c r="AW10" s="49" t="str">
        <f aca="false">$S$108</f>
        <v>Basses</v>
      </c>
      <c r="AX10" s="45" t="n">
        <f aca="false">COUNTIF(O22:O25,AV10)</f>
        <v>1</v>
      </c>
    </row>
    <row r="11" customFormat="false" ht="16.4" hidden="false" customHeight="false" outlineLevel="0" collapsed="false">
      <c r="A11" s="14" t="s">
        <v>33</v>
      </c>
      <c r="B11" s="50" t="n">
        <v>1</v>
      </c>
      <c r="C11" s="16" t="s">
        <v>36</v>
      </c>
      <c r="D11" s="17" t="s">
        <v>75</v>
      </c>
      <c r="E11" s="6" t="s">
        <v>76</v>
      </c>
      <c r="F11" s="32" t="s">
        <v>77</v>
      </c>
      <c r="G11" s="0" t="s">
        <v>78</v>
      </c>
      <c r="I11" s="33" t="s">
        <v>33</v>
      </c>
      <c r="J11" s="34" t="n">
        <f aca="false">COUNTIF($A:$A,I11)</f>
        <v>23</v>
      </c>
      <c r="K11" s="34" t="n">
        <f aca="false">COUNTIF($C:$C,I11)</f>
        <v>36</v>
      </c>
      <c r="L11" s="35" t="n">
        <f aca="false">IF(K11,J11/K11,J11)</f>
        <v>0.638888888888889</v>
      </c>
      <c r="M11" s="34" t="n">
        <f aca="false">IFERROR(GETPIVOTDATA("Points",$T$2,"Sniper",I11),0)</f>
        <v>40</v>
      </c>
      <c r="N11" s="34" t="n">
        <f aca="false">IFERROR(GETPIVOTDATA("Points",$T$2,"Snipee",I11),0)</f>
        <v>49</v>
      </c>
      <c r="O11" s="35" t="n">
        <f aca="false">IF(N11,M11/N11,M11)</f>
        <v>0.816326530612245</v>
      </c>
      <c r="P11" s="35" t="n">
        <f aca="false">IF(J11,M11/J11,0)</f>
        <v>1.73913043478261</v>
      </c>
      <c r="Q11" s="35" t="n">
        <f aca="false">IF(K11,N11/K11,0)</f>
        <v>1.36111111111111</v>
      </c>
      <c r="R11" s="36" t="n">
        <f aca="false">IFERROR(VLOOKUP(I11,T:AM,20,FALSE())/15,0)</f>
        <v>0.666666666666667</v>
      </c>
      <c r="S11" s="8"/>
      <c r="T11" s="42" t="s">
        <v>33</v>
      </c>
      <c r="U11" s="43" t="n">
        <v>4</v>
      </c>
      <c r="V11" s="43"/>
      <c r="W11" s="43"/>
      <c r="X11" s="43" t="n">
        <v>3</v>
      </c>
      <c r="Y11" s="43"/>
      <c r="Z11" s="43" t="n">
        <v>12</v>
      </c>
      <c r="AA11" s="43" t="n">
        <v>5</v>
      </c>
      <c r="AB11" s="43"/>
      <c r="AC11" s="43" t="n">
        <v>2</v>
      </c>
      <c r="AD11" s="43" t="n">
        <v>2</v>
      </c>
      <c r="AE11" s="43" t="n">
        <v>1</v>
      </c>
      <c r="AF11" s="43" t="n">
        <v>6</v>
      </c>
      <c r="AG11" s="43" t="n">
        <v>4</v>
      </c>
      <c r="AH11" s="43" t="n">
        <v>1</v>
      </c>
      <c r="AI11" s="43"/>
      <c r="AJ11" s="43"/>
      <c r="AK11" s="44" t="n">
        <v>40</v>
      </c>
      <c r="AM11" s="27" t="n">
        <f aca="false">IF(COUNT(U11:AL11)&lt;&gt;0,COUNT(U11:AL11)-1,"")</f>
        <v>10</v>
      </c>
      <c r="AR11" s="45" t="n">
        <f aca="false">COUNTIF(O3:O17,AT11)</f>
        <v>2</v>
      </c>
      <c r="AS11" s="51" t="str">
        <f aca="false">$S$80</f>
        <v>Reuben</v>
      </c>
      <c r="AT11" s="47" t="n">
        <f aca="false">MIN(O3:O17)</f>
        <v>0</v>
      </c>
      <c r="AU11" s="41" t="s">
        <v>79</v>
      </c>
      <c r="AV11" s="47" t="n">
        <f aca="false">MIN(O22:O25)</f>
        <v>0.893617021276596</v>
      </c>
      <c r="AW11" s="49" t="str">
        <f aca="false">$S$105</f>
        <v>Tenors</v>
      </c>
      <c r="AX11" s="45" t="n">
        <f aca="false">COUNTIF(O22:O25,AV11)</f>
        <v>1</v>
      </c>
    </row>
    <row r="12" customFormat="false" ht="15.75" hidden="false" customHeight="true" outlineLevel="0" collapsed="false">
      <c r="A12" s="14" t="s">
        <v>36</v>
      </c>
      <c r="B12" s="50" t="n">
        <v>1</v>
      </c>
      <c r="C12" s="16" t="s">
        <v>33</v>
      </c>
      <c r="D12" s="17" t="s">
        <v>80</v>
      </c>
      <c r="E12" s="0" t="s">
        <v>81</v>
      </c>
      <c r="F12" s="32" t="s">
        <v>78</v>
      </c>
      <c r="G12" s="0" t="s">
        <v>77</v>
      </c>
      <c r="I12" s="33" t="s">
        <v>39</v>
      </c>
      <c r="J12" s="34" t="n">
        <f aca="false">COUNTIF($A:$A,I12)</f>
        <v>25</v>
      </c>
      <c r="K12" s="34" t="n">
        <f aca="false">COUNTIF($C:$C,I12)</f>
        <v>13</v>
      </c>
      <c r="L12" s="35" t="n">
        <f aca="false">IF(K12,J12/K12,J12)</f>
        <v>1.92307692307692</v>
      </c>
      <c r="M12" s="34" t="n">
        <f aca="false">IFERROR(GETPIVOTDATA("Points",$T$2,"Sniper",I12),0)</f>
        <v>44</v>
      </c>
      <c r="N12" s="34" t="n">
        <f aca="false">IFERROR(GETPIVOTDATA("Points",$T$2,"Snipee",I12),0)</f>
        <v>20</v>
      </c>
      <c r="O12" s="35" t="n">
        <f aca="false">IF(N12,M12/N12,M12)</f>
        <v>2.2</v>
      </c>
      <c r="P12" s="35" t="n">
        <f aca="false">IF(J12,M12/J12,0)</f>
        <v>1.76</v>
      </c>
      <c r="Q12" s="35" t="n">
        <f aca="false">IF(K12,N12/K12,0)</f>
        <v>1.53846153846154</v>
      </c>
      <c r="R12" s="36" t="n">
        <f aca="false">IFERROR(VLOOKUP(I12,T:AM,20,FALSE())/15,0)</f>
        <v>0.533333333333333</v>
      </c>
      <c r="S12" s="8"/>
      <c r="T12" s="42" t="s">
        <v>36</v>
      </c>
      <c r="U12" s="43" t="n">
        <v>6</v>
      </c>
      <c r="V12" s="43" t="n">
        <v>1</v>
      </c>
      <c r="W12" s="43" t="n">
        <v>13</v>
      </c>
      <c r="X12" s="43" t="n">
        <v>2</v>
      </c>
      <c r="Y12" s="43" t="n">
        <v>7</v>
      </c>
      <c r="Z12" s="43"/>
      <c r="AA12" s="43"/>
      <c r="AB12" s="43" t="n">
        <v>2</v>
      </c>
      <c r="AC12" s="43" t="n">
        <v>2</v>
      </c>
      <c r="AD12" s="43"/>
      <c r="AE12" s="43" t="n">
        <v>1</v>
      </c>
      <c r="AF12" s="43"/>
      <c r="AG12" s="43" t="n">
        <v>3</v>
      </c>
      <c r="AH12" s="43"/>
      <c r="AI12" s="43"/>
      <c r="AJ12" s="43"/>
      <c r="AK12" s="44" t="n">
        <v>37</v>
      </c>
      <c r="AM12" s="27" t="n">
        <f aca="false">IF(COUNT(U12:AL12)&lt;&gt;0,COUNT(U12:AL12)-1,"")</f>
        <v>9</v>
      </c>
    </row>
    <row r="13" customFormat="false" ht="15.75" hidden="false" customHeight="true" outlineLevel="0" collapsed="false">
      <c r="A13" s="14" t="s">
        <v>31</v>
      </c>
      <c r="B13" s="50" t="n">
        <v>2</v>
      </c>
      <c r="C13" s="16" t="s">
        <v>36</v>
      </c>
      <c r="D13" s="17" t="s">
        <v>82</v>
      </c>
      <c r="E13" s="0" t="s">
        <v>83</v>
      </c>
      <c r="F13" s="32" t="s">
        <v>84</v>
      </c>
      <c r="G13" s="0" t="s">
        <v>78</v>
      </c>
      <c r="I13" s="33" t="s">
        <v>32</v>
      </c>
      <c r="J13" s="34" t="n">
        <f aca="false">COUNTIF($A:$A,I13)</f>
        <v>33</v>
      </c>
      <c r="K13" s="34" t="n">
        <f aca="false">COUNTIF($C:$C,I13)</f>
        <v>39</v>
      </c>
      <c r="L13" s="35" t="n">
        <f aca="false">IF(K13,J13/K13,J13)</f>
        <v>0.846153846153846</v>
      </c>
      <c r="M13" s="34" t="n">
        <f aca="false">IFERROR(GETPIVOTDATA("Points",$T$2,"Sniper",I13),0)</f>
        <v>45</v>
      </c>
      <c r="N13" s="34" t="n">
        <f aca="false">IFERROR(GETPIVOTDATA("Points",$T$2,"Snipee",I13),0)</f>
        <v>62</v>
      </c>
      <c r="O13" s="35" t="n">
        <f aca="false">IF(N13,M13/N13,M13)</f>
        <v>0.725806451612903</v>
      </c>
      <c r="P13" s="35" t="n">
        <f aca="false">IF(J13,M13/J13,0)</f>
        <v>1.36363636363636</v>
      </c>
      <c r="Q13" s="35" t="n">
        <f aca="false">IF(K13,N13/K13,0)</f>
        <v>1.58974358974359</v>
      </c>
      <c r="R13" s="36" t="n">
        <f aca="false">IFERROR(VLOOKUP(I13,T:AM,20,FALSE())/15,0)</f>
        <v>0.666666666666667</v>
      </c>
      <c r="S13" s="8"/>
      <c r="T13" s="42" t="s">
        <v>41</v>
      </c>
      <c r="U13" s="43"/>
      <c r="V13" s="43"/>
      <c r="W13" s="43"/>
      <c r="X13" s="43"/>
      <c r="Y13" s="43" t="n">
        <v>3</v>
      </c>
      <c r="Z13" s="43"/>
      <c r="AA13" s="43" t="n">
        <v>20</v>
      </c>
      <c r="AB13" s="43" t="n">
        <v>2</v>
      </c>
      <c r="AC13" s="43" t="n">
        <v>1</v>
      </c>
      <c r="AD13" s="43" t="n">
        <v>2</v>
      </c>
      <c r="AE13" s="43" t="n">
        <v>1</v>
      </c>
      <c r="AF13" s="43"/>
      <c r="AG13" s="43"/>
      <c r="AH13" s="43"/>
      <c r="AI13" s="43" t="n">
        <v>1</v>
      </c>
      <c r="AJ13" s="43"/>
      <c r="AK13" s="44" t="n">
        <v>30</v>
      </c>
      <c r="AM13" s="27" t="n">
        <f aca="false">IF(COUNT(U13:AL13)&lt;&gt;0,COUNT(U13:AL13)-1,"")</f>
        <v>7</v>
      </c>
      <c r="AP13" s="7" t="s">
        <v>85</v>
      </c>
      <c r="AQ13" s="7"/>
      <c r="AR13" s="7"/>
      <c r="AS13" s="7"/>
      <c r="AT13" s="7"/>
      <c r="AU13" s="7"/>
      <c r="AV13" s="7"/>
      <c r="AW13" s="7"/>
      <c r="AX13" s="7"/>
      <c r="AY13" s="7"/>
    </row>
    <row r="14" customFormat="false" ht="16.4" hidden="false" customHeight="false" outlineLevel="0" collapsed="false">
      <c r="A14" s="14" t="s">
        <v>37</v>
      </c>
      <c r="B14" s="50" t="n">
        <v>1</v>
      </c>
      <c r="C14" s="16" t="s">
        <v>35</v>
      </c>
      <c r="D14" s="17" t="s">
        <v>86</v>
      </c>
      <c r="E14" s="0" t="s">
        <v>87</v>
      </c>
      <c r="F14" s="32" t="s">
        <v>62</v>
      </c>
      <c r="G14" s="0" t="s">
        <v>58</v>
      </c>
      <c r="I14" s="33" t="s">
        <v>37</v>
      </c>
      <c r="J14" s="34" t="n">
        <f aca="false">COUNTIF($A:$A,I14)</f>
        <v>36</v>
      </c>
      <c r="K14" s="34" t="n">
        <f aca="false">COUNTIF($C:$C,I14)</f>
        <v>24</v>
      </c>
      <c r="L14" s="35" t="n">
        <f aca="false">IF(K14,J14/K14,J14)</f>
        <v>1.5</v>
      </c>
      <c r="M14" s="34" t="n">
        <f aca="false">IFERROR(GETPIVOTDATA("Points",$T$2,"Sniper",I14),0)</f>
        <v>54</v>
      </c>
      <c r="N14" s="34" t="n">
        <f aca="false">IFERROR(GETPIVOTDATA("Points",$T$2,"Snipee",I14),0)</f>
        <v>34</v>
      </c>
      <c r="O14" s="35" t="n">
        <f aca="false">IF(N14,M14/N14,M14)</f>
        <v>1.58823529411765</v>
      </c>
      <c r="P14" s="35" t="n">
        <f aca="false">IF(J14,M14/J14,0)</f>
        <v>1.5</v>
      </c>
      <c r="Q14" s="35" t="n">
        <f aca="false">IF(K14,N14/K14,0)</f>
        <v>1.41666666666667</v>
      </c>
      <c r="R14" s="36" t="n">
        <f aca="false">IFERROR(VLOOKUP(I14,T:AM,20,FALSE())/15,0)</f>
        <v>0.6</v>
      </c>
      <c r="S14" s="8"/>
      <c r="T14" s="42" t="s">
        <v>38</v>
      </c>
      <c r="U14" s="43"/>
      <c r="V14" s="43" t="n">
        <v>3</v>
      </c>
      <c r="W14" s="43" t="n">
        <v>1</v>
      </c>
      <c r="X14" s="43" t="n">
        <v>4</v>
      </c>
      <c r="Y14" s="43" t="n">
        <v>6</v>
      </c>
      <c r="Z14" s="43" t="n">
        <v>1</v>
      </c>
      <c r="AA14" s="43"/>
      <c r="AB14" s="43"/>
      <c r="AC14" s="43"/>
      <c r="AD14" s="43"/>
      <c r="AE14" s="43" t="n">
        <v>10</v>
      </c>
      <c r="AF14" s="43"/>
      <c r="AG14" s="43" t="n">
        <v>2</v>
      </c>
      <c r="AH14" s="43" t="n">
        <v>1</v>
      </c>
      <c r="AI14" s="43"/>
      <c r="AJ14" s="43" t="n">
        <v>2</v>
      </c>
      <c r="AK14" s="44" t="n">
        <v>30</v>
      </c>
      <c r="AM14" s="27" t="n">
        <f aca="false">IF(COUNT(U14:AL14)&lt;&gt;0,COUNT(U14:AL14)-1,"")</f>
        <v>9</v>
      </c>
      <c r="AP14" s="52" t="s">
        <v>88</v>
      </c>
      <c r="AQ14" s="31" t="s">
        <v>16</v>
      </c>
      <c r="AR14" s="31" t="s">
        <v>17</v>
      </c>
      <c r="AS14" s="31" t="s">
        <v>18</v>
      </c>
      <c r="AT14" s="31" t="s">
        <v>19</v>
      </c>
      <c r="AU14" s="31" t="s">
        <v>20</v>
      </c>
      <c r="AV14" s="31" t="s">
        <v>21</v>
      </c>
      <c r="AW14" s="31" t="s">
        <v>22</v>
      </c>
      <c r="AX14" s="31" t="s">
        <v>23</v>
      </c>
      <c r="AY14" s="53" t="s">
        <v>24</v>
      </c>
    </row>
    <row r="15" customFormat="false" ht="16.4" hidden="false" customHeight="false" outlineLevel="0" collapsed="false">
      <c r="A15" s="14" t="s">
        <v>34</v>
      </c>
      <c r="B15" s="50" t="n">
        <v>1</v>
      </c>
      <c r="C15" s="16" t="s">
        <v>39</v>
      </c>
      <c r="D15" s="17" t="s">
        <v>89</v>
      </c>
      <c r="E15" s="0" t="s">
        <v>90</v>
      </c>
      <c r="F15" s="32" t="s">
        <v>66</v>
      </c>
      <c r="G15" s="0" t="s">
        <v>57</v>
      </c>
      <c r="I15" s="33" t="s">
        <v>43</v>
      </c>
      <c r="J15" s="34" t="n">
        <f aca="false">COUNTIF($A:$A,I15)</f>
        <v>0</v>
      </c>
      <c r="K15" s="34" t="n">
        <f aca="false">COUNTIF($C:$C,I15)</f>
        <v>1</v>
      </c>
      <c r="L15" s="35" t="n">
        <f aca="false">IF(K15,J15/K15,J15)</f>
        <v>0</v>
      </c>
      <c r="M15" s="34" t="n">
        <f aca="false">IFERROR(GETPIVOTDATA("Points",$T$2,"Sniper",I15),0)</f>
        <v>0</v>
      </c>
      <c r="N15" s="34" t="n">
        <f aca="false">IFERROR(GETPIVOTDATA("Points",$T$2,"Snipee",I15),0)</f>
        <v>2</v>
      </c>
      <c r="O15" s="35" t="n">
        <f aca="false">IF(N15,M15/N15,M15)</f>
        <v>0</v>
      </c>
      <c r="P15" s="35" t="n">
        <f aca="false">IF(J15,M15/J15,0)</f>
        <v>0</v>
      </c>
      <c r="Q15" s="35" t="n">
        <f aca="false">IF(K15,N15/K15,0)</f>
        <v>2</v>
      </c>
      <c r="R15" s="36" t="n">
        <f aca="false">IFERROR(VLOOKUP(I15,T:AM,20,FALSE())/15,0)</f>
        <v>0</v>
      </c>
      <c r="S15" s="8"/>
      <c r="T15" s="42" t="s">
        <v>42</v>
      </c>
      <c r="U15" s="43" t="n">
        <v>2</v>
      </c>
      <c r="V15" s="43" t="n">
        <v>2</v>
      </c>
      <c r="W15" s="43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43" t="n">
        <v>1</v>
      </c>
      <c r="AI15" s="43"/>
      <c r="AJ15" s="43"/>
      <c r="AK15" s="44" t="n">
        <v>5</v>
      </c>
      <c r="AM15" s="27" t="n">
        <f aca="false">IF(COUNT(U15:AL15)&lt;&gt;0,COUNT(U15:AL15)-1,"")</f>
        <v>3</v>
      </c>
      <c r="AP15" s="54" t="s">
        <v>91</v>
      </c>
      <c r="AQ15" s="55" t="n">
        <v>7.5</v>
      </c>
      <c r="AR15" s="56" t="n">
        <v>-6</v>
      </c>
      <c r="AS15" s="56" t="n">
        <v>25</v>
      </c>
      <c r="AT15" s="56" t="n">
        <v>8.5</v>
      </c>
      <c r="AU15" s="56" t="n">
        <v>-6.5</v>
      </c>
      <c r="AV15" s="56" t="n">
        <v>25</v>
      </c>
      <c r="AW15" s="56" t="n">
        <v>20</v>
      </c>
      <c r="AX15" s="56" t="n">
        <v>-20</v>
      </c>
      <c r="AY15" s="57" t="n">
        <v>250</v>
      </c>
      <c r="AZ15" s="41" t="s">
        <v>92</v>
      </c>
    </row>
    <row r="16" customFormat="false" ht="16.4" hidden="false" customHeight="false" outlineLevel="0" collapsed="false">
      <c r="A16" s="14" t="s">
        <v>39</v>
      </c>
      <c r="B16" s="50" t="n">
        <v>1</v>
      </c>
      <c r="C16" s="16" t="s">
        <v>34</v>
      </c>
      <c r="D16" s="17" t="s">
        <v>93</v>
      </c>
      <c r="E16" s="0" t="s">
        <v>94</v>
      </c>
      <c r="F16" s="32" t="s">
        <v>57</v>
      </c>
      <c r="G16" s="0" t="s">
        <v>66</v>
      </c>
      <c r="I16" s="33" t="s">
        <v>95</v>
      </c>
      <c r="J16" s="34" t="n">
        <f aca="false">COUNTIF($A:$A,I16)</f>
        <v>0</v>
      </c>
      <c r="K16" s="34" t="n">
        <f aca="false">COUNTIF($C:$C,I16)</f>
        <v>0</v>
      </c>
      <c r="L16" s="35" t="n">
        <f aca="false">IF(K16,J16/K16,J16)</f>
        <v>0</v>
      </c>
      <c r="M16" s="34" t="n">
        <f aca="false">IFERROR(GETPIVOTDATA("Points",$T$2,"Sniper",I16),0)</f>
        <v>0</v>
      </c>
      <c r="N16" s="34" t="n">
        <f aca="false">IFERROR(GETPIVOTDATA("Points",$T$2,"Snipee",I16),0)</f>
        <v>0</v>
      </c>
      <c r="O16" s="35" t="n">
        <f aca="false">IF(N16,M16/N16,M16)</f>
        <v>0</v>
      </c>
      <c r="P16" s="35" t="n">
        <f aca="false">IF(J16,M16/J16,0)</f>
        <v>0</v>
      </c>
      <c r="Q16" s="35" t="n">
        <f aca="false">IF(K16,N16/K16,0)</f>
        <v>0</v>
      </c>
      <c r="R16" s="36" t="n">
        <f aca="false">IFERROR(VLOOKUP(I16,T:AM,20,FALSE())/15,0)</f>
        <v>0</v>
      </c>
      <c r="S16" s="58"/>
      <c r="T16" s="42" t="s">
        <v>40</v>
      </c>
      <c r="U16" s="43" t="n">
        <v>2</v>
      </c>
      <c r="V16" s="43"/>
      <c r="W16" s="43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43"/>
      <c r="AI16" s="43"/>
      <c r="AJ16" s="43"/>
      <c r="AK16" s="44" t="n">
        <v>2</v>
      </c>
      <c r="AM16" s="27" t="n">
        <f aca="false">IF(COUNT(U16:AL16)&lt;&gt;0,COUNT(U16:AL16)-1,"")</f>
        <v>1</v>
      </c>
      <c r="AP16" s="33" t="s">
        <v>30</v>
      </c>
      <c r="AQ16" s="34" t="n">
        <f aca="false">VLOOKUP(AP16,$I$1:$R$18,2,FALSE()) *$AQ$15</f>
        <v>187.5</v>
      </c>
      <c r="AR16" s="59" t="n">
        <f aca="false">VLOOKUP(AP16,$I$1:$R$18,3,FALSE()) *$AR$15</f>
        <v>-78</v>
      </c>
      <c r="AS16" s="60" t="n">
        <f aca="false">VLOOKUP(AP16,$I$1:$R$18,4,FALSE()) * $AS$15</f>
        <v>48.0769230769231</v>
      </c>
      <c r="AT16" s="34" t="n">
        <f aca="false">VLOOKUP(AP16,$I$1:$R$18,5,FALSE()) *$AT$15</f>
        <v>365.5</v>
      </c>
      <c r="AU16" s="59" t="n">
        <f aca="false">VLOOKUP(AP16,$I$1:$R$18,6,FALSE()) *$AU$15</f>
        <v>-123.5</v>
      </c>
      <c r="AV16" s="60" t="n">
        <f aca="false">VLOOKUP(AP16,$I$1:$R$18,7,FALSE()) * $AV$15</f>
        <v>56.5789473684211</v>
      </c>
      <c r="AW16" s="34" t="n">
        <f aca="false">VLOOKUP(AP16,$I$1:$R$18,8,FALSE()) *$AW$15</f>
        <v>34.4</v>
      </c>
      <c r="AX16" s="61" t="n">
        <f aca="false">VLOOKUP(AP16,$I$1:$R$18,9,FALSE()) *$AX$15</f>
        <v>-29.2307692307692</v>
      </c>
      <c r="AY16" s="60" t="n">
        <f aca="false">VLOOKUP(AP16,$I$1:$R$18,10,FALSE()) * $AY$15</f>
        <v>150</v>
      </c>
      <c r="AZ16" s="62" t="n">
        <f aca="false">SUM(AQ16:AY16)</f>
        <v>611.325101214575</v>
      </c>
    </row>
    <row r="17" customFormat="false" ht="14.25" hidden="false" customHeight="true" outlineLevel="0" collapsed="false">
      <c r="A17" s="14" t="s">
        <v>39</v>
      </c>
      <c r="B17" s="50" t="n">
        <v>2</v>
      </c>
      <c r="C17" s="16" t="s">
        <v>40</v>
      </c>
      <c r="D17" s="17" t="s">
        <v>96</v>
      </c>
      <c r="E17" s="18" t="s">
        <v>97</v>
      </c>
      <c r="F17" s="32" t="s">
        <v>57</v>
      </c>
      <c r="G17" s="0" t="s">
        <v>98</v>
      </c>
      <c r="I17" s="33" t="s">
        <v>11</v>
      </c>
      <c r="J17" s="34" t="n">
        <f aca="false">COUNTIF($A:$A,I17)</f>
        <v>30</v>
      </c>
      <c r="K17" s="34" t="n">
        <f aca="false">COUNTIF($C:$C,I17)</f>
        <v>11</v>
      </c>
      <c r="L17" s="35" t="n">
        <f aca="false">IF(K17,J17/K17,J17)</f>
        <v>2.72727272727273</v>
      </c>
      <c r="M17" s="34" t="n">
        <f aca="false">IFERROR(GETPIVOTDATA("Points",$T$2,"Sniper",I17),0)</f>
        <v>50</v>
      </c>
      <c r="N17" s="34" t="n">
        <f aca="false">IFERROR(GETPIVOTDATA("Points",$T$2,"Snipee",I17),0)</f>
        <v>13</v>
      </c>
      <c r="O17" s="35" t="n">
        <f aca="false">IF(N17,M17/N17,M17)</f>
        <v>3.84615384615385</v>
      </c>
      <c r="P17" s="35" t="n">
        <f aca="false">IF(J17,M17/J17,0)</f>
        <v>1.66666666666667</v>
      </c>
      <c r="Q17" s="35" t="n">
        <f aca="false">IF(K17,N17/K17,0)</f>
        <v>1.18181818181818</v>
      </c>
      <c r="R17" s="36" t="n">
        <f aca="false">IFERROR(VLOOKUP(I17,T:AM,20,FALSE())/15,0)</f>
        <v>0.866666666666667</v>
      </c>
      <c r="T17" s="63" t="s">
        <v>44</v>
      </c>
      <c r="U17" s="64" t="n">
        <v>66</v>
      </c>
      <c r="V17" s="64" t="n">
        <v>62</v>
      </c>
      <c r="W17" s="64" t="n">
        <v>49</v>
      </c>
      <c r="X17" s="64" t="n">
        <v>49</v>
      </c>
      <c r="Y17" s="64" t="n">
        <v>47</v>
      </c>
      <c r="Z17" s="64" t="n">
        <v>35</v>
      </c>
      <c r="AA17" s="64" t="n">
        <v>35</v>
      </c>
      <c r="AB17" s="64" t="n">
        <v>34</v>
      </c>
      <c r="AC17" s="64" t="n">
        <v>21</v>
      </c>
      <c r="AD17" s="64" t="n">
        <v>20</v>
      </c>
      <c r="AE17" s="64" t="n">
        <v>19</v>
      </c>
      <c r="AF17" s="64" t="n">
        <v>16</v>
      </c>
      <c r="AG17" s="64" t="n">
        <v>13</v>
      </c>
      <c r="AH17" s="64" t="n">
        <v>8</v>
      </c>
      <c r="AI17" s="64" t="n">
        <v>6</v>
      </c>
      <c r="AJ17" s="64" t="n">
        <v>2</v>
      </c>
      <c r="AK17" s="65" t="n">
        <v>482</v>
      </c>
      <c r="AM17" s="27" t="n">
        <f aca="false">IF(COUNT(U17:AL17)&lt;&gt;0,COUNT(U17:AL17)-1,"")</f>
        <v>16</v>
      </c>
      <c r="AP17" s="33" t="s">
        <v>42</v>
      </c>
      <c r="AQ17" s="34" t="n">
        <f aca="false">VLOOKUP(AP17,$I$1:$R$18,2,FALSE()) *$AQ$15</f>
        <v>22.5</v>
      </c>
      <c r="AR17" s="59" t="n">
        <f aca="false">VLOOKUP(AP17,$I$1:$R$18,3,FALSE()) *$AR$15</f>
        <v>-24</v>
      </c>
      <c r="AS17" s="60" t="n">
        <f aca="false">VLOOKUP(AP17,$I$1:$R$18,4,FALSE()) * $AS$15</f>
        <v>18.75</v>
      </c>
      <c r="AT17" s="34" t="n">
        <f aca="false">VLOOKUP(AP17,$I$1:$R$18,5,FALSE()) *$AT$15</f>
        <v>42.5</v>
      </c>
      <c r="AU17" s="59" t="n">
        <f aca="false">VLOOKUP(AP17,$I$1:$R$18,6,FALSE()) *$AU$15</f>
        <v>-39</v>
      </c>
      <c r="AV17" s="60" t="n">
        <f aca="false">VLOOKUP(AP17,$I$1:$R$18,7,FALSE()) * $AV$15</f>
        <v>20.8333333333333</v>
      </c>
      <c r="AW17" s="34" t="n">
        <f aca="false">VLOOKUP(AP17,$I$1:$R$18,8,FALSE()) *$AW$15</f>
        <v>33.3333333333333</v>
      </c>
      <c r="AX17" s="61" t="n">
        <f aca="false">VLOOKUP(AP17,$I$1:$R$18,9,FALSE()) *$AX$15</f>
        <v>-30</v>
      </c>
      <c r="AY17" s="60" t="n">
        <f aca="false">VLOOKUP(AP17,$I$1:$R$18,10,FALSE()) * $AY$15</f>
        <v>50</v>
      </c>
      <c r="AZ17" s="62" t="n">
        <f aca="false">SUM(AQ17:AY17)</f>
        <v>94.9166666666667</v>
      </c>
    </row>
    <row r="18" customFormat="false" ht="14.25" hidden="false" customHeight="true" outlineLevel="0" collapsed="false">
      <c r="A18" s="14" t="s">
        <v>33</v>
      </c>
      <c r="B18" s="50" t="n">
        <v>2</v>
      </c>
      <c r="C18" s="16" t="s">
        <v>40</v>
      </c>
      <c r="D18" s="17" t="s">
        <v>99</v>
      </c>
      <c r="E18" s="0" t="s">
        <v>100</v>
      </c>
      <c r="F18" s="32" t="s">
        <v>77</v>
      </c>
      <c r="G18" s="0" t="s">
        <v>98</v>
      </c>
      <c r="I18" s="33" t="s">
        <v>35</v>
      </c>
      <c r="J18" s="34" t="n">
        <f aca="false">COUNTIF($A:$A,I18)</f>
        <v>0</v>
      </c>
      <c r="K18" s="34" t="n">
        <f aca="false">COUNTIF($C:$C,I18)</f>
        <v>29</v>
      </c>
      <c r="L18" s="35" t="n">
        <f aca="false">IF(K18,J18/K18,J18)</f>
        <v>0</v>
      </c>
      <c r="M18" s="34" t="n">
        <f aca="false">IFERROR(GETPIVOTDATA("Points",$T$2,"Sniper",I18),0)</f>
        <v>0</v>
      </c>
      <c r="N18" s="34" t="n">
        <f aca="false">IFERROR(GETPIVOTDATA("Points",$T$2,"Snipee",I18),0)</f>
        <v>47</v>
      </c>
      <c r="O18" s="35" t="n">
        <f aca="false">IF(N18,M18/N18,M18)</f>
        <v>0</v>
      </c>
      <c r="P18" s="35" t="n">
        <f aca="false">IF(J18,M18/J18,0)</f>
        <v>0</v>
      </c>
      <c r="Q18" s="35" t="n">
        <f aca="false">IF(K18,N18/K18,0)</f>
        <v>1.62068965517241</v>
      </c>
      <c r="R18" s="36" t="n">
        <f aca="false">IFERROR(VLOOKUP(I18,T:AM,20,FALSE())/15,0)</f>
        <v>0</v>
      </c>
      <c r="AM18" s="27" t="str">
        <f aca="false">IF(COUNT(U18:AL18)&lt;&gt;0,COUNT(U18:AL18)-1,"")</f>
        <v/>
      </c>
      <c r="AP18" s="33" t="s">
        <v>34</v>
      </c>
      <c r="AQ18" s="34" t="n">
        <f aca="false">VLOOKUP(AP18,$I$1:$R$18,2,FALSE()) *$AQ$15</f>
        <v>277.5</v>
      </c>
      <c r="AR18" s="59" t="n">
        <f aca="false">VLOOKUP(AP18,$I$1:$R$18,3,FALSE()) *$AR$15</f>
        <v>-210</v>
      </c>
      <c r="AS18" s="60" t="n">
        <f aca="false">VLOOKUP(AP18,$I$1:$R$18,4,FALSE()) * $AS$15</f>
        <v>26.4285714285714</v>
      </c>
      <c r="AT18" s="34" t="n">
        <f aca="false">VLOOKUP(AP18,$I$1:$R$18,5,FALSE()) *$AT$15</f>
        <v>442</v>
      </c>
      <c r="AU18" s="59" t="n">
        <f aca="false">VLOOKUP(AP18,$I$1:$R$18,6,FALSE()) *$AU$15</f>
        <v>-318.5</v>
      </c>
      <c r="AV18" s="60" t="n">
        <f aca="false">VLOOKUP(AP18,$I$1:$R$18,7,FALSE()) * $AV$15</f>
        <v>26.530612244898</v>
      </c>
      <c r="AW18" s="34" t="n">
        <f aca="false">VLOOKUP(AP18,$I$1:$R$18,8,FALSE()) *$AW$15</f>
        <v>28.1081081081081</v>
      </c>
      <c r="AX18" s="61" t="n">
        <f aca="false">VLOOKUP(AP18,$I$1:$R$18,9,FALSE()) *$AX$15</f>
        <v>-28</v>
      </c>
      <c r="AY18" s="60" t="n">
        <f aca="false">VLOOKUP(AP18,$I$1:$R$18,10,FALSE()) * $AY$15</f>
        <v>150</v>
      </c>
      <c r="AZ18" s="62" t="n">
        <f aca="false">SUM(AQ18:AY18)</f>
        <v>394.067291781578</v>
      </c>
    </row>
    <row r="19" customFormat="false" ht="14.25" hidden="false" customHeight="true" outlineLevel="0" collapsed="false">
      <c r="A19" s="14" t="s">
        <v>41</v>
      </c>
      <c r="B19" s="50" t="n">
        <v>2</v>
      </c>
      <c r="C19" s="16" t="s">
        <v>35</v>
      </c>
      <c r="D19" s="17" t="s">
        <v>101</v>
      </c>
      <c r="E19" s="0" t="s">
        <v>102</v>
      </c>
      <c r="F19" s="32" t="s">
        <v>48</v>
      </c>
      <c r="G19" s="0" t="s">
        <v>58</v>
      </c>
      <c r="AM19" s="66"/>
      <c r="AP19" s="33" t="s">
        <v>38</v>
      </c>
      <c r="AQ19" s="34" t="n">
        <f aca="false">VLOOKUP(AP19,$I$1:$R$18,2,FALSE()) *$AQ$15</f>
        <v>150</v>
      </c>
      <c r="AR19" s="59" t="n">
        <f aca="false">VLOOKUP(AP19,$I$1:$R$18,3,FALSE()) *$AR$15</f>
        <v>-90</v>
      </c>
      <c r="AS19" s="60" t="n">
        <f aca="false">VLOOKUP(AP19,$I$1:$R$18,4,FALSE()) * $AS$15</f>
        <v>33.3333333333333</v>
      </c>
      <c r="AT19" s="34" t="n">
        <f aca="false">VLOOKUP(AP19,$I$1:$R$18,5,FALSE()) *$AT$15</f>
        <v>255</v>
      </c>
      <c r="AU19" s="59" t="n">
        <f aca="false">VLOOKUP(AP19,$I$1:$R$18,6,FALSE()) *$AU$15</f>
        <v>-136.5</v>
      </c>
      <c r="AV19" s="60" t="n">
        <f aca="false">VLOOKUP(AP19,$I$1:$R$18,7,FALSE()) * $AV$15</f>
        <v>35.7142857142857</v>
      </c>
      <c r="AW19" s="34" t="n">
        <f aca="false">VLOOKUP(AP19,$I$1:$R$18,8,FALSE()) *$AW$15</f>
        <v>30</v>
      </c>
      <c r="AX19" s="61" t="n">
        <f aca="false">VLOOKUP(AP19,$I$1:$R$18,9,FALSE()) *$AX$15</f>
        <v>-28</v>
      </c>
      <c r="AY19" s="60" t="n">
        <f aca="false">VLOOKUP(AP19,$I$1:$R$18,10,FALSE()) * $AY$15</f>
        <v>150</v>
      </c>
      <c r="AZ19" s="62" t="n">
        <f aca="false">SUM(AQ19:AY19)</f>
        <v>399.547619047619</v>
      </c>
    </row>
    <row r="20" customFormat="false" ht="15.75" hidden="false" customHeight="true" outlineLevel="0" collapsed="false">
      <c r="A20" s="14" t="s">
        <v>31</v>
      </c>
      <c r="B20" s="50" t="n">
        <v>2</v>
      </c>
      <c r="C20" s="16" t="s">
        <v>33</v>
      </c>
      <c r="D20" s="17" t="s">
        <v>103</v>
      </c>
      <c r="E20" s="6" t="s">
        <v>104</v>
      </c>
      <c r="F20" s="32" t="s">
        <v>84</v>
      </c>
      <c r="G20" s="0" t="s">
        <v>77</v>
      </c>
      <c r="I20" s="7" t="s">
        <v>105</v>
      </c>
      <c r="J20" s="7"/>
      <c r="K20" s="7"/>
      <c r="L20" s="7"/>
      <c r="M20" s="7"/>
      <c r="N20" s="7"/>
      <c r="O20" s="7"/>
      <c r="P20" s="7"/>
      <c r="Q20" s="7"/>
      <c r="AM20" s="66" t="str">
        <f aca="false">IF(COUNT(U20:AG20)&lt;&gt;0,COUNT(U20:AG20)-1,"")</f>
        <v/>
      </c>
      <c r="AP20" s="33" t="s">
        <v>40</v>
      </c>
      <c r="AQ20" s="34" t="n">
        <f aca="false">VLOOKUP(AP20,$I$1:$R$18,2,FALSE()) *$AQ$15</f>
        <v>7.5</v>
      </c>
      <c r="AR20" s="59" t="n">
        <f aca="false">VLOOKUP(AP20,$I$1:$R$18,3,FALSE()) *$AR$15</f>
        <v>-54</v>
      </c>
      <c r="AS20" s="60" t="n">
        <f aca="false">VLOOKUP(AP20,$I$1:$R$18,4,FALSE()) * $AS$15</f>
        <v>2.77777777777778</v>
      </c>
      <c r="AT20" s="34" t="n">
        <f aca="false">VLOOKUP(AP20,$I$1:$R$18,5,FALSE()) *$AT$15</f>
        <v>17</v>
      </c>
      <c r="AU20" s="59" t="n">
        <f aca="false">VLOOKUP(AP20,$I$1:$R$18,6,FALSE()) *$AU$15</f>
        <v>-104</v>
      </c>
      <c r="AV20" s="60" t="n">
        <f aca="false">VLOOKUP(AP20,$I$1:$R$18,7,FALSE()) * $AV$15</f>
        <v>3.125</v>
      </c>
      <c r="AW20" s="34" t="n">
        <f aca="false">VLOOKUP(AP20,$I$1:$R$18,8,FALSE()) *$AW$15</f>
        <v>40</v>
      </c>
      <c r="AX20" s="61" t="n">
        <f aca="false">VLOOKUP(AP20,$I$1:$R$18,9,FALSE()) *$AX$15</f>
        <v>-35.5555555555556</v>
      </c>
      <c r="AY20" s="60" t="n">
        <f aca="false">VLOOKUP(AP20,$I$1:$R$18,10,FALSE()) * $AY$15</f>
        <v>16.6666666666667</v>
      </c>
      <c r="AZ20" s="62" t="n">
        <f aca="false">SUM(AQ20:AY20)</f>
        <v>-106.486111111111</v>
      </c>
    </row>
    <row r="21" customFormat="false" ht="16.4" hidden="false" customHeight="false" outlineLevel="0" collapsed="false">
      <c r="A21" s="14" t="s">
        <v>33</v>
      </c>
      <c r="B21" s="50" t="n">
        <v>2</v>
      </c>
      <c r="C21" s="16" t="s">
        <v>31</v>
      </c>
      <c r="D21" s="17" t="s">
        <v>106</v>
      </c>
      <c r="E21" s="6" t="s">
        <v>107</v>
      </c>
      <c r="F21" s="32" t="s">
        <v>77</v>
      </c>
      <c r="G21" s="0" t="s">
        <v>84</v>
      </c>
      <c r="I21" s="52" t="s">
        <v>108</v>
      </c>
      <c r="J21" s="31" t="s">
        <v>16</v>
      </c>
      <c r="K21" s="31" t="s">
        <v>17</v>
      </c>
      <c r="L21" s="31" t="s">
        <v>18</v>
      </c>
      <c r="M21" s="31" t="s">
        <v>19</v>
      </c>
      <c r="N21" s="31" t="s">
        <v>20</v>
      </c>
      <c r="O21" s="31" t="s">
        <v>21</v>
      </c>
      <c r="P21" s="21" t="s">
        <v>22</v>
      </c>
      <c r="Q21" s="31" t="s">
        <v>23</v>
      </c>
      <c r="AM21" s="66" t="str">
        <f aca="false">IF(COUNT(U21:AG21)&lt;&gt;0,COUNT(U21:AG21)-1,"")</f>
        <v/>
      </c>
      <c r="AP21" s="33" t="s">
        <v>36</v>
      </c>
      <c r="AQ21" s="34" t="n">
        <f aca="false">VLOOKUP(AP21,$I$1:$R$18,2,FALSE()) *$AQ$15</f>
        <v>195</v>
      </c>
      <c r="AR21" s="59" t="n">
        <f aca="false">VLOOKUP(AP21,$I$1:$R$18,3,FALSE()) *$AR$15</f>
        <v>-132</v>
      </c>
      <c r="AS21" s="60" t="n">
        <f aca="false">VLOOKUP(AP21,$I$1:$R$18,4,FALSE()) * $AS$15</f>
        <v>29.5454545454545</v>
      </c>
      <c r="AT21" s="34" t="n">
        <f aca="false">VLOOKUP(AP21,$I$1:$R$18,5,FALSE()) *$AT$15</f>
        <v>314.5</v>
      </c>
      <c r="AU21" s="59" t="n">
        <f aca="false">VLOOKUP(AP21,$I$1:$R$18,6,FALSE()) *$AU$15</f>
        <v>-227.5</v>
      </c>
      <c r="AV21" s="60" t="n">
        <f aca="false">VLOOKUP(AP21,$I$1:$R$18,7,FALSE()) * $AV$15</f>
        <v>26.4285714285714</v>
      </c>
      <c r="AW21" s="34" t="n">
        <f aca="false">VLOOKUP(AP21,$I$1:$R$18,8,FALSE()) *$AW$15</f>
        <v>28.4615384615385</v>
      </c>
      <c r="AX21" s="61" t="n">
        <f aca="false">VLOOKUP(AP21,$I$1:$R$18,9,FALSE()) *$AX$15</f>
        <v>-31.8181818181818</v>
      </c>
      <c r="AY21" s="60" t="n">
        <f aca="false">VLOOKUP(AP21,$I$1:$R$18,10,FALSE()) * $AY$15</f>
        <v>150</v>
      </c>
      <c r="AZ21" s="62" t="n">
        <f aca="false">SUM(AQ21:AY21)</f>
        <v>352.617382617383</v>
      </c>
    </row>
    <row r="22" customFormat="false" ht="14.25" hidden="false" customHeight="true" outlineLevel="0" collapsed="false">
      <c r="A22" s="14" t="s">
        <v>31</v>
      </c>
      <c r="B22" s="50" t="n">
        <v>2</v>
      </c>
      <c r="C22" s="16" t="s">
        <v>32</v>
      </c>
      <c r="D22" s="17" t="s">
        <v>109</v>
      </c>
      <c r="E22" s="0" t="s">
        <v>110</v>
      </c>
      <c r="F22" s="17" t="s">
        <v>84</v>
      </c>
      <c r="G22" s="0" t="s">
        <v>53</v>
      </c>
      <c r="I22" s="33" t="s">
        <v>111</v>
      </c>
      <c r="J22" s="67" t="n">
        <f aca="false">SUM(J3:J6)/COUNT(J3:J6)</f>
        <v>21.25</v>
      </c>
      <c r="K22" s="67" t="n">
        <f aca="false">SUM(K3:K6)/COUNT(K3:K6)</f>
        <v>16.75</v>
      </c>
      <c r="L22" s="68" t="n">
        <f aca="false">IF(K22,J22/K22,J22)</f>
        <v>1.26865671641791</v>
      </c>
      <c r="M22" s="67" t="n">
        <f aca="false">SUM(M3:M6)/COUNT(M3:M6)</f>
        <v>25.5</v>
      </c>
      <c r="N22" s="67" t="n">
        <f aca="false">SUM(N3:N6)/COUNT(N3:N6)</f>
        <v>20.25</v>
      </c>
      <c r="O22" s="68" t="n">
        <f aca="false">IF(N22,M22/N22,M22)</f>
        <v>1.25925925925926</v>
      </c>
      <c r="P22" s="69" t="n">
        <f aca="false">IF(J22,M22/J22,0)</f>
        <v>1.2</v>
      </c>
      <c r="Q22" s="70" t="n">
        <f aca="false">IF(K22,N22/K22,0)</f>
        <v>1.2089552238806</v>
      </c>
      <c r="S22" s="71"/>
      <c r="T22" s="72"/>
      <c r="AM22" s="66" t="str">
        <f aca="false">IF(COUNT(U22:AG22)&lt;&gt;0,COUNT(U22:AG22)-1,"")</f>
        <v/>
      </c>
      <c r="AP22" s="33" t="s">
        <v>41</v>
      </c>
      <c r="AQ22" s="34" t="n">
        <f aca="false">VLOOKUP(AP22,$I$1:$R$18,2,FALSE()) *$AQ$15</f>
        <v>82.5</v>
      </c>
      <c r="AR22" s="59" t="n">
        <f aca="false">VLOOKUP(AP22,$I$1:$R$18,3,FALSE()) *$AR$15</f>
        <v>-42</v>
      </c>
      <c r="AS22" s="60" t="n">
        <f aca="false">VLOOKUP(AP22,$I$1:$R$18,4,FALSE()) * $AS$15</f>
        <v>39.2857142857143</v>
      </c>
      <c r="AT22" s="34" t="n">
        <f aca="false">VLOOKUP(AP22,$I$1:$R$18,5,FALSE()) *$AT$15</f>
        <v>255</v>
      </c>
      <c r="AU22" s="59" t="n">
        <f aca="false">VLOOKUP(AP22,$I$1:$R$18,6,FALSE()) *$AU$15</f>
        <v>-52</v>
      </c>
      <c r="AV22" s="60" t="n">
        <f aca="false">VLOOKUP(AP22,$I$1:$R$18,7,FALSE()) * $AV$15</f>
        <v>93.75</v>
      </c>
      <c r="AW22" s="34" t="n">
        <f aca="false">VLOOKUP(AP22,$I$1:$R$18,8,FALSE()) *$AW$15</f>
        <v>54.5454545454545</v>
      </c>
      <c r="AX22" s="61" t="n">
        <f aca="false">VLOOKUP(AP22,$I$1:$R$18,9,FALSE()) *$AX$15</f>
        <v>-22.8571428571429</v>
      </c>
      <c r="AY22" s="60" t="n">
        <f aca="false">VLOOKUP(AP22,$I$1:$R$18,10,FALSE()) * $AY$15</f>
        <v>116.666666666667</v>
      </c>
      <c r="AZ22" s="62" t="n">
        <f aca="false">SUM(AQ22:AY22)</f>
        <v>524.890692640693</v>
      </c>
    </row>
    <row r="23" customFormat="false" ht="14.25" hidden="false" customHeight="true" outlineLevel="0" collapsed="false">
      <c r="A23" s="14" t="s">
        <v>34</v>
      </c>
      <c r="B23" s="50" t="n">
        <v>2</v>
      </c>
      <c r="C23" s="16" t="s">
        <v>33</v>
      </c>
      <c r="D23" s="17" t="s">
        <v>112</v>
      </c>
      <c r="E23" s="6" t="s">
        <v>113</v>
      </c>
      <c r="F23" s="32" t="s">
        <v>66</v>
      </c>
      <c r="G23" s="0" t="s">
        <v>77</v>
      </c>
      <c r="I23" s="33" t="s">
        <v>114</v>
      </c>
      <c r="J23" s="67" t="n">
        <f aca="false">SUM(J7:J10)/COUNT(J7:J10)</f>
        <v>19</v>
      </c>
      <c r="K23" s="67" t="n">
        <f aca="false">SUM(K7:K10)/COUNT(K7:K10)</f>
        <v>20.25</v>
      </c>
      <c r="L23" s="68" t="n">
        <f aca="false">IF(K23,J23/K23,J23)</f>
        <v>0.938271604938272</v>
      </c>
      <c r="M23" s="67" t="n">
        <f aca="false">SUM(M7:M10)/COUNT(M7:M10)</f>
        <v>23</v>
      </c>
      <c r="N23" s="67" t="n">
        <f aca="false">SUM(N7:N10)/COUNT(N7:N10)</f>
        <v>24.75</v>
      </c>
      <c r="O23" s="68" t="n">
        <f aca="false">IF(N23,M23/N23,M23)</f>
        <v>0.929292929292929</v>
      </c>
      <c r="P23" s="69" t="n">
        <f aca="false">IF(J23,M23/J23,0)</f>
        <v>1.21052631578947</v>
      </c>
      <c r="Q23" s="70" t="n">
        <f aca="false">IF(K23,N23/K23,0)</f>
        <v>1.22222222222222</v>
      </c>
      <c r="S23" s="71"/>
      <c r="T23" s="72"/>
      <c r="AP23" s="33" t="s">
        <v>31</v>
      </c>
      <c r="AQ23" s="34" t="n">
        <f aca="false">VLOOKUP(AP23,$I$1:$R$18,2,FALSE()) *$AQ$15</f>
        <v>285</v>
      </c>
      <c r="AR23" s="59" t="n">
        <f aca="false">VLOOKUP(AP23,$I$1:$R$18,3,FALSE()) *$AR$15</f>
        <v>-258</v>
      </c>
      <c r="AS23" s="60" t="n">
        <f aca="false">VLOOKUP(AP23,$I$1:$R$18,4,FALSE()) * $AS$15</f>
        <v>22.093023255814</v>
      </c>
      <c r="AT23" s="34" t="n">
        <f aca="false">VLOOKUP(AP23,$I$1:$R$18,5,FALSE()) *$AT$15</f>
        <v>425</v>
      </c>
      <c r="AU23" s="59" t="n">
        <f aca="false">VLOOKUP(AP23,$I$1:$R$18,6,FALSE()) *$AU$15</f>
        <v>-429</v>
      </c>
      <c r="AV23" s="60" t="n">
        <f aca="false">VLOOKUP(AP23,$I$1:$R$18,7,FALSE()) * $AV$15</f>
        <v>18.9393939393939</v>
      </c>
      <c r="AW23" s="34" t="n">
        <f aca="false">VLOOKUP(AP23,$I$1:$R$18,8,FALSE()) *$AW$15</f>
        <v>26.3157894736842</v>
      </c>
      <c r="AX23" s="61" t="n">
        <f aca="false">VLOOKUP(AP23,$I$1:$R$18,9,FALSE()) *$AX$15</f>
        <v>-30.6976744186047</v>
      </c>
      <c r="AY23" s="60" t="n">
        <f aca="false">VLOOKUP(AP23,$I$1:$R$18,10,FALSE()) * $AY$15</f>
        <v>183.333333333333</v>
      </c>
      <c r="AZ23" s="62" t="n">
        <f aca="false">SUM(AQ23:AY23)</f>
        <v>242.983865583621</v>
      </c>
    </row>
    <row r="24" customFormat="false" ht="14.25" hidden="false" customHeight="true" outlineLevel="0" collapsed="false">
      <c r="A24" s="14" t="s">
        <v>32</v>
      </c>
      <c r="B24" s="50" t="n">
        <v>1</v>
      </c>
      <c r="C24" s="16" t="s">
        <v>35</v>
      </c>
      <c r="D24" s="17" t="s">
        <v>115</v>
      </c>
      <c r="E24" s="0" t="s">
        <v>116</v>
      </c>
      <c r="F24" s="17" t="s">
        <v>53</v>
      </c>
      <c r="G24" s="0" t="s">
        <v>58</v>
      </c>
      <c r="I24" s="33" t="s">
        <v>117</v>
      </c>
      <c r="J24" s="67" t="n">
        <f aca="false">SUM(J11:J14)/COUNT(J11:J14)</f>
        <v>29.25</v>
      </c>
      <c r="K24" s="67" t="n">
        <f aca="false">SUM(K11:K14)/COUNT(K11:K14)</f>
        <v>28</v>
      </c>
      <c r="L24" s="68" t="n">
        <f aca="false">IF(K24,J24/K24,J24)</f>
        <v>1.04464285714286</v>
      </c>
      <c r="M24" s="67" t="n">
        <f aca="false">SUM(M11:M14)/COUNT(M11:M14)</f>
        <v>34.5</v>
      </c>
      <c r="N24" s="67" t="n">
        <f aca="false">SUM(N11:N14)/COUNT(N11:N14)</f>
        <v>32.5</v>
      </c>
      <c r="O24" s="68" t="n">
        <f aca="false">IF(N24,M24/N24,M24)</f>
        <v>1.06153846153846</v>
      </c>
      <c r="P24" s="69" t="n">
        <f aca="false">IF(J24,M24/J24,0)</f>
        <v>1.17948717948718</v>
      </c>
      <c r="Q24" s="70" t="n">
        <f aca="false">IF(K24,N24/K24,0)</f>
        <v>1.16071428571429</v>
      </c>
      <c r="S24" s="8"/>
      <c r="AF24" s="72"/>
      <c r="AP24" s="33" t="s">
        <v>33</v>
      </c>
      <c r="AQ24" s="34" t="n">
        <f aca="false">VLOOKUP(AP24,$I$1:$R$18,2,FALSE()) *$AQ$15</f>
        <v>172.5</v>
      </c>
      <c r="AR24" s="59" t="n">
        <f aca="false">VLOOKUP(AP24,$I$1:$R$18,3,FALSE()) *$AR$15</f>
        <v>-216</v>
      </c>
      <c r="AS24" s="60" t="n">
        <f aca="false">VLOOKUP(AP24,$I$1:$R$18,4,FALSE()) * $AS$15</f>
        <v>15.9722222222222</v>
      </c>
      <c r="AT24" s="34" t="n">
        <f aca="false">VLOOKUP(AP24,$I$1:$R$18,5,FALSE()) *$AT$15</f>
        <v>340</v>
      </c>
      <c r="AU24" s="59" t="n">
        <f aca="false">VLOOKUP(AP24,$I$1:$R$18,6,FALSE()) *$AU$15</f>
        <v>-318.5</v>
      </c>
      <c r="AV24" s="60" t="n">
        <f aca="false">VLOOKUP(AP24,$I$1:$R$18,7,FALSE()) * $AV$15</f>
        <v>20.4081632653061</v>
      </c>
      <c r="AW24" s="34" t="n">
        <f aca="false">VLOOKUP(AP24,$I$1:$R$18,8,FALSE()) *$AW$15</f>
        <v>34.7826086956522</v>
      </c>
      <c r="AX24" s="61" t="n">
        <f aca="false">VLOOKUP(AP24,$I$1:$R$18,9,FALSE()) *$AX$15</f>
        <v>-27.2222222222222</v>
      </c>
      <c r="AY24" s="60" t="n">
        <f aca="false">VLOOKUP(AP24,$I$1:$R$18,10,FALSE()) * $AY$15</f>
        <v>166.666666666667</v>
      </c>
      <c r="AZ24" s="62" t="n">
        <f aca="false">SUM(AQ24:AY24)</f>
        <v>188.607438627625</v>
      </c>
    </row>
    <row r="25" customFormat="false" ht="14.25" hidden="false" customHeight="true" outlineLevel="0" collapsed="false">
      <c r="A25" s="14" t="s">
        <v>37</v>
      </c>
      <c r="B25" s="50" t="n">
        <v>2</v>
      </c>
      <c r="C25" s="16" t="s">
        <v>35</v>
      </c>
      <c r="D25" s="17" t="s">
        <v>118</v>
      </c>
      <c r="E25" s="6" t="s">
        <v>119</v>
      </c>
      <c r="F25" s="32" t="s">
        <v>62</v>
      </c>
      <c r="G25" s="0" t="s">
        <v>58</v>
      </c>
      <c r="I25" s="33" t="s">
        <v>120</v>
      </c>
      <c r="J25" s="67" t="n">
        <f aca="false">SUM(J15:J18)/3</f>
        <v>10</v>
      </c>
      <c r="K25" s="67" t="n">
        <f aca="false">SUM(K17:K18)/3</f>
        <v>13.3333333333333</v>
      </c>
      <c r="L25" s="68" t="n">
        <f aca="false">IF(K25,J25/K25,J25)</f>
        <v>0.75</v>
      </c>
      <c r="M25" s="67" t="n">
        <f aca="false">SUM(M17:M18)/3</f>
        <v>14</v>
      </c>
      <c r="N25" s="67" t="n">
        <f aca="false">SUM(N17:N18)/3</f>
        <v>15.6666666666667</v>
      </c>
      <c r="O25" s="68" t="n">
        <f aca="false">IF(N25,M25/N25,M25)</f>
        <v>0.893617021276596</v>
      </c>
      <c r="P25" s="69" t="n">
        <f aca="false">IF(J25,M25/J25,0)</f>
        <v>1.4</v>
      </c>
      <c r="Q25" s="70" t="n">
        <f aca="false">IF(K25,N25/K25,0)</f>
        <v>1.175</v>
      </c>
      <c r="AP25" s="33" t="s">
        <v>39</v>
      </c>
      <c r="AQ25" s="34" t="n">
        <f aca="false">VLOOKUP(AP25,$I$1:$R$18,2,FALSE()) *$AQ$15</f>
        <v>187.5</v>
      </c>
      <c r="AR25" s="59" t="n">
        <f aca="false">VLOOKUP(AP25,$I$1:$R$18,3,FALSE()) *$AR$15</f>
        <v>-78</v>
      </c>
      <c r="AS25" s="60" t="n">
        <f aca="false">VLOOKUP(AP25,$I$1:$R$18,4,FALSE()) * $AS$15</f>
        <v>48.0769230769231</v>
      </c>
      <c r="AT25" s="34" t="n">
        <f aca="false">VLOOKUP(AP25,$I$1:$R$18,5,FALSE()) *$AT$15</f>
        <v>374</v>
      </c>
      <c r="AU25" s="59" t="n">
        <f aca="false">VLOOKUP(AP25,$I$1:$R$18,6,FALSE()) *$AU$15</f>
        <v>-130</v>
      </c>
      <c r="AV25" s="60" t="n">
        <f aca="false">VLOOKUP(AP25,$I$1:$R$18,7,FALSE()) * $AV$15</f>
        <v>55</v>
      </c>
      <c r="AW25" s="34" t="n">
        <f aca="false">VLOOKUP(AP25,$I$1:$R$18,8,FALSE()) *$AW$15</f>
        <v>35.2</v>
      </c>
      <c r="AX25" s="61" t="n">
        <f aca="false">VLOOKUP(AP25,$I$1:$R$18,9,FALSE()) *$AX$15</f>
        <v>-30.7692307692308</v>
      </c>
      <c r="AY25" s="60" t="n">
        <f aca="false">VLOOKUP(AP25,$I$1:$R$18,10,FALSE()) * $AY$15</f>
        <v>133.333333333333</v>
      </c>
      <c r="AZ25" s="62" t="n">
        <f aca="false">SUM(AQ25:AY25)</f>
        <v>594.341025641026</v>
      </c>
    </row>
    <row r="26" customFormat="false" ht="14.25" hidden="false" customHeight="true" outlineLevel="0" collapsed="false">
      <c r="A26" s="14" t="s">
        <v>33</v>
      </c>
      <c r="B26" s="50" t="n">
        <v>2</v>
      </c>
      <c r="C26" s="16" t="s">
        <v>40</v>
      </c>
      <c r="D26" s="17" t="s">
        <v>121</v>
      </c>
      <c r="E26" s="0" t="s">
        <v>122</v>
      </c>
      <c r="F26" s="32" t="s">
        <v>77</v>
      </c>
      <c r="G26" s="0" t="s">
        <v>98</v>
      </c>
      <c r="I26" s="73" t="s">
        <v>123</v>
      </c>
      <c r="J26" s="67" t="n">
        <f aca="false">SUM(J17)/2</f>
        <v>15</v>
      </c>
      <c r="K26" s="67" t="n">
        <f aca="false">SUM(K17)/2</f>
        <v>5.5</v>
      </c>
      <c r="L26" s="68" t="n">
        <f aca="false">IF(K26,J26/K26,J26)</f>
        <v>2.72727272727273</v>
      </c>
      <c r="M26" s="67" t="n">
        <f aca="false">SUM(M17)/2</f>
        <v>21</v>
      </c>
      <c r="N26" s="67" t="n">
        <f aca="false">SUM(N17)/2</f>
        <v>5.5</v>
      </c>
      <c r="O26" s="68" t="n">
        <f aca="false">IF(N26,M26/N26,M26)</f>
        <v>3.81818181818182</v>
      </c>
      <c r="P26" s="69" t="n">
        <f aca="false">IF(J26,M26/J26,0)</f>
        <v>1.4</v>
      </c>
      <c r="Q26" s="70" t="n">
        <f aca="false">IF(K26,N26/K26,0)</f>
        <v>1</v>
      </c>
      <c r="AP26" s="33" t="s">
        <v>32</v>
      </c>
      <c r="AQ26" s="34" t="n">
        <f aca="false">VLOOKUP(AP26,$I$1:$R$18,2,FALSE()) *$AQ$15</f>
        <v>247.5</v>
      </c>
      <c r="AR26" s="59" t="n">
        <f aca="false">VLOOKUP(AP26,$I$1:$R$18,3,FALSE()) *$AR$15</f>
        <v>-234</v>
      </c>
      <c r="AS26" s="60" t="n">
        <f aca="false">VLOOKUP(AP26,$I$1:$R$18,4,FALSE()) * $AS$15</f>
        <v>21.1538461538462</v>
      </c>
      <c r="AT26" s="34" t="n">
        <f aca="false">VLOOKUP(AP26,$I$1:$R$18,5,FALSE()) *$AT$15</f>
        <v>382.5</v>
      </c>
      <c r="AU26" s="59" t="n">
        <f aca="false">VLOOKUP(AP26,$I$1:$R$18,6,FALSE()) *$AU$15</f>
        <v>-403</v>
      </c>
      <c r="AV26" s="60" t="n">
        <f aca="false">VLOOKUP(AP26,$I$1:$R$18,7,FALSE()) * $AV$15</f>
        <v>18.1451612903226</v>
      </c>
      <c r="AW26" s="34" t="n">
        <f aca="false">VLOOKUP(AP26,$I$1:$R$18,8,FALSE()) *$AW$15</f>
        <v>27.2727272727273</v>
      </c>
      <c r="AX26" s="61" t="n">
        <f aca="false">VLOOKUP(AP26,$I$1:$R$18,9,FALSE()) *$AX$15</f>
        <v>-31.7948717948718</v>
      </c>
      <c r="AY26" s="60" t="n">
        <f aca="false">VLOOKUP(AP26,$I$1:$R$18,10,FALSE()) * $AY$15</f>
        <v>166.666666666667</v>
      </c>
      <c r="AZ26" s="62" t="n">
        <f aca="false">SUM(AQ26:AY26)</f>
        <v>194.443529588691</v>
      </c>
    </row>
    <row r="27" customFormat="false" ht="14.25" hidden="false" customHeight="true" outlineLevel="0" collapsed="false">
      <c r="A27" s="14" t="s">
        <v>31</v>
      </c>
      <c r="B27" s="50" t="n">
        <v>1</v>
      </c>
      <c r="C27" s="16" t="s">
        <v>32</v>
      </c>
      <c r="D27" s="17" t="s">
        <v>124</v>
      </c>
      <c r="E27" s="0" t="s">
        <v>125</v>
      </c>
      <c r="F27" s="17" t="s">
        <v>84</v>
      </c>
      <c r="G27" s="0" t="s">
        <v>53</v>
      </c>
      <c r="AP27" s="33" t="s">
        <v>37</v>
      </c>
      <c r="AQ27" s="34" t="n">
        <f aca="false">VLOOKUP(AP27,$I$1:$R$18,2,FALSE()) *$AQ$15</f>
        <v>270</v>
      </c>
      <c r="AR27" s="59" t="n">
        <f aca="false">VLOOKUP(AP27,$I$1:$R$18,3,FALSE()) *$AR$15</f>
        <v>-144</v>
      </c>
      <c r="AS27" s="60" t="n">
        <f aca="false">VLOOKUP(AP27,$I$1:$R$18,4,FALSE()) * $AS$15</f>
        <v>37.5</v>
      </c>
      <c r="AT27" s="34" t="n">
        <f aca="false">VLOOKUP(AP27,$I$1:$R$18,5,FALSE()) *$AT$15</f>
        <v>459</v>
      </c>
      <c r="AU27" s="59" t="n">
        <f aca="false">VLOOKUP(AP27,$I$1:$R$18,6,FALSE()) *$AU$15</f>
        <v>-221</v>
      </c>
      <c r="AV27" s="60" t="n">
        <f aca="false">VLOOKUP(AP27,$I$1:$R$18,7,FALSE()) * $AV$15</f>
        <v>39.7058823529412</v>
      </c>
      <c r="AW27" s="34" t="n">
        <f aca="false">VLOOKUP(AP27,$I$1:$R$18,8,FALSE()) *$AW$15</f>
        <v>30</v>
      </c>
      <c r="AX27" s="61" t="n">
        <f aca="false">VLOOKUP(AP27,$I$1:$R$18,9,FALSE()) *$AX$15</f>
        <v>-28.3333333333333</v>
      </c>
      <c r="AY27" s="60" t="n">
        <f aca="false">VLOOKUP(AP27,$I$1:$R$18,10,FALSE()) * $AY$15</f>
        <v>150</v>
      </c>
      <c r="AZ27" s="62" t="n">
        <f aca="false">SUM(AQ27:AY27)</f>
        <v>592.872549019608</v>
      </c>
    </row>
    <row r="28" customFormat="false" ht="14.25" hidden="false" customHeight="true" outlineLevel="0" collapsed="false">
      <c r="A28" s="14" t="s">
        <v>32</v>
      </c>
      <c r="B28" s="50" t="n">
        <v>1</v>
      </c>
      <c r="C28" s="16" t="s">
        <v>31</v>
      </c>
      <c r="D28" s="17" t="s">
        <v>126</v>
      </c>
      <c r="E28" s="0" t="s">
        <v>127</v>
      </c>
      <c r="F28" s="32" t="s">
        <v>53</v>
      </c>
      <c r="G28" s="0" t="s">
        <v>84</v>
      </c>
      <c r="I28" s="33" t="s">
        <v>88</v>
      </c>
      <c r="J28" s="41" t="s">
        <v>16</v>
      </c>
      <c r="S28" s="33" t="s">
        <v>88</v>
      </c>
      <c r="T28" s="41" t="s">
        <v>19</v>
      </c>
      <c r="AP28" s="33" t="s">
        <v>43</v>
      </c>
      <c r="AQ28" s="34" t="n">
        <f aca="false">VLOOKUP(AP28,$I$1:$R$18,2,FALSE()) *$AQ$15</f>
        <v>0</v>
      </c>
      <c r="AR28" s="59" t="n">
        <f aca="false">VLOOKUP(AP28,$I$1:$R$18,3,FALSE()) *$AR$15</f>
        <v>-6</v>
      </c>
      <c r="AS28" s="60" t="n">
        <f aca="false">VLOOKUP(AP28,$I$1:$R$18,4,FALSE()) * $AS$15</f>
        <v>0</v>
      </c>
      <c r="AT28" s="34" t="n">
        <f aca="false">VLOOKUP(AP28,$I$1:$R$18,5,FALSE()) *$AT$15</f>
        <v>0</v>
      </c>
      <c r="AU28" s="59" t="n">
        <f aca="false">VLOOKUP(AP28,$I$1:$R$18,6,FALSE()) *$AU$15</f>
        <v>-13</v>
      </c>
      <c r="AV28" s="60" t="n">
        <f aca="false">VLOOKUP(AP28,$I$1:$R$18,7,FALSE()) * $AV$15</f>
        <v>0</v>
      </c>
      <c r="AW28" s="34" t="n">
        <f aca="false">VLOOKUP(AP28,$I$1:$R$18,8,FALSE()) *$AW$15</f>
        <v>0</v>
      </c>
      <c r="AX28" s="61" t="n">
        <f aca="false">VLOOKUP(AP28,$I$1:$R$18,9,FALSE()) *$AX$15</f>
        <v>-40</v>
      </c>
      <c r="AY28" s="60" t="n">
        <f aca="false">VLOOKUP(AP28,$I$1:$R$18,10,FALSE()) * $AY$15</f>
        <v>0</v>
      </c>
      <c r="AZ28" s="62" t="n">
        <f aca="false">SUM(AQ28:AY28)</f>
        <v>-59</v>
      </c>
    </row>
    <row r="29" customFormat="false" ht="14.25" hidden="false" customHeight="true" outlineLevel="0" collapsed="false">
      <c r="A29" s="14" t="s">
        <v>33</v>
      </c>
      <c r="B29" s="50" t="n">
        <v>2</v>
      </c>
      <c r="C29" s="16" t="s">
        <v>40</v>
      </c>
      <c r="D29" s="17" t="s">
        <v>128</v>
      </c>
      <c r="E29" s="0" t="s">
        <v>129</v>
      </c>
      <c r="F29" s="17" t="s">
        <v>77</v>
      </c>
      <c r="G29" s="0" t="s">
        <v>98</v>
      </c>
      <c r="I29" s="33" t="s">
        <v>31</v>
      </c>
      <c r="J29" s="34" t="n">
        <f aca="false">VLOOKUP(I29,$I$1:$R$18,2,FALSE())</f>
        <v>38</v>
      </c>
      <c r="S29" s="33" t="s">
        <v>37</v>
      </c>
      <c r="T29" s="34" t="n">
        <f aca="false">VLOOKUP(S29,$I$1:$R$18,5,FALSE())</f>
        <v>54</v>
      </c>
      <c r="AP29" s="33" t="s">
        <v>95</v>
      </c>
      <c r="AQ29" s="34" t="n">
        <f aca="false">VLOOKUP(AP29,$I$1:$R$18,2,FALSE()) *$AQ$15</f>
        <v>0</v>
      </c>
      <c r="AR29" s="59" t="n">
        <f aca="false">VLOOKUP(AP29,$I$1:$R$18,3,FALSE()) *$AR$15</f>
        <v>-0</v>
      </c>
      <c r="AS29" s="60" t="n">
        <f aca="false">VLOOKUP(AP29,$I$1:$R$18,4,FALSE()) * $AS$15</f>
        <v>0</v>
      </c>
      <c r="AT29" s="34" t="n">
        <f aca="false">VLOOKUP(AP29,$I$1:$R$18,5,FALSE()) *$AT$15</f>
        <v>0</v>
      </c>
      <c r="AU29" s="59" t="n">
        <f aca="false">VLOOKUP(AP29,$I$1:$R$18,6,FALSE()) *$AU$15</f>
        <v>-0</v>
      </c>
      <c r="AV29" s="60" t="n">
        <f aca="false">VLOOKUP(AP29,$I$1:$R$18,7,FALSE()) * $AV$15</f>
        <v>0</v>
      </c>
      <c r="AW29" s="34" t="n">
        <f aca="false">VLOOKUP(AP29,$I$1:$R$18,8,FALSE()) *$AW$15</f>
        <v>0</v>
      </c>
      <c r="AX29" s="61" t="n">
        <f aca="false">VLOOKUP(AP29,$I$1:$R$18,9,FALSE()) *$AX$15</f>
        <v>-0</v>
      </c>
      <c r="AY29" s="60" t="n">
        <f aca="false">VLOOKUP(AP29,$I$1:$R$18,10,FALSE()) * $AY$15</f>
        <v>0</v>
      </c>
      <c r="AZ29" s="62" t="n">
        <f aca="false">SUM(AQ29:AY29)</f>
        <v>0</v>
      </c>
    </row>
    <row r="30" customFormat="false" ht="14.25" hidden="false" customHeight="true" outlineLevel="0" collapsed="false">
      <c r="A30" s="14" t="s">
        <v>37</v>
      </c>
      <c r="B30" s="50" t="n">
        <v>2</v>
      </c>
      <c r="C30" s="16" t="s">
        <v>42</v>
      </c>
      <c r="D30" s="17" t="s">
        <v>130</v>
      </c>
      <c r="E30" s="0" t="s">
        <v>131</v>
      </c>
      <c r="F30" s="32" t="s">
        <v>62</v>
      </c>
      <c r="G30" s="0" t="s">
        <v>132</v>
      </c>
      <c r="I30" s="33" t="s">
        <v>32</v>
      </c>
      <c r="J30" s="34" t="n">
        <f aca="false">VLOOKUP(I30,$I$1:$R$18,2,FALSE())</f>
        <v>33</v>
      </c>
      <c r="S30" s="33" t="s">
        <v>11</v>
      </c>
      <c r="T30" s="34" t="n">
        <f aca="false">VLOOKUP(S30,$I$1:$R$18,5,FALSE())</f>
        <v>50</v>
      </c>
      <c r="AP30" s="33" t="s">
        <v>11</v>
      </c>
      <c r="AQ30" s="34" t="n">
        <f aca="false">VLOOKUP(AP30,$I$1:$R$18,2,FALSE()) *$AQ$15</f>
        <v>225</v>
      </c>
      <c r="AR30" s="59" t="n">
        <f aca="false">VLOOKUP(AP30,$I$1:$R$18,3,FALSE()) *$AR$15</f>
        <v>-66</v>
      </c>
      <c r="AS30" s="60" t="n">
        <f aca="false">VLOOKUP(AP30,$I$1:$R$18,4,FALSE()) * $AS$15</f>
        <v>68.1818181818182</v>
      </c>
      <c r="AT30" s="34" t="n">
        <f aca="false">VLOOKUP(AP30,$I$1:$R$18,5,FALSE()) *$AT$15</f>
        <v>425</v>
      </c>
      <c r="AU30" s="59" t="n">
        <f aca="false">VLOOKUP(AP30,$I$1:$R$18,6,FALSE()) *$AU$15</f>
        <v>-84.5</v>
      </c>
      <c r="AV30" s="60" t="n">
        <f aca="false">VLOOKUP(AP30,$I$1:$R$18,7,FALSE()) * $AV$15</f>
        <v>96.1538461538462</v>
      </c>
      <c r="AW30" s="34" t="n">
        <f aca="false">VLOOKUP(AP30,$I$1:$R$18,8,FALSE()) *$AW$15</f>
        <v>33.3333333333333</v>
      </c>
      <c r="AX30" s="61" t="n">
        <f aca="false">VLOOKUP(AP30,$I$1:$R$18,9,FALSE()) *$AX$15</f>
        <v>-23.6363636363636</v>
      </c>
      <c r="AY30" s="60" t="n">
        <f aca="false">VLOOKUP(AP30,$I$1:$R$18,10,FALSE()) * $AY$15</f>
        <v>216.666666666667</v>
      </c>
      <c r="AZ30" s="62" t="n">
        <f aca="false">SUM(AQ30:AY30)</f>
        <v>890.199300699301</v>
      </c>
    </row>
    <row r="31" customFormat="false" ht="14.25" hidden="false" customHeight="true" outlineLevel="0" collapsed="false">
      <c r="A31" s="14" t="s">
        <v>37</v>
      </c>
      <c r="B31" s="50" t="n">
        <v>1</v>
      </c>
      <c r="C31" s="16" t="s">
        <v>34</v>
      </c>
      <c r="D31" s="17" t="s">
        <v>133</v>
      </c>
      <c r="E31" s="0" t="s">
        <v>134</v>
      </c>
      <c r="F31" s="32" t="s">
        <v>62</v>
      </c>
      <c r="G31" s="0" t="s">
        <v>66</v>
      </c>
      <c r="I31" s="33" t="s">
        <v>34</v>
      </c>
      <c r="J31" s="34" t="n">
        <f aca="false">VLOOKUP(I31,$I$1:$R$18,2,FALSE())</f>
        <v>37</v>
      </c>
      <c r="S31" s="33" t="s">
        <v>31</v>
      </c>
      <c r="T31" s="34" t="n">
        <f aca="false">VLOOKUP(S31,$I$1:$R$18,5,FALSE())</f>
        <v>50</v>
      </c>
      <c r="AP31" s="33" t="s">
        <v>35</v>
      </c>
      <c r="AQ31" s="34" t="n">
        <f aca="false">VLOOKUP(AP31,$I$1:$R$18,2,FALSE()) *$AQ$15</f>
        <v>0</v>
      </c>
      <c r="AR31" s="59" t="n">
        <f aca="false">VLOOKUP(AP31,$I$1:$R$18,3,FALSE()) *$AR$15</f>
        <v>-174</v>
      </c>
      <c r="AS31" s="60" t="n">
        <f aca="false">VLOOKUP(AP31,$I$1:$R$18,4,FALSE()) * $AS$15</f>
        <v>0</v>
      </c>
      <c r="AT31" s="34" t="n">
        <f aca="false">VLOOKUP(AP31,$I$1:$R$18,5,FALSE()) *$AT$15</f>
        <v>0</v>
      </c>
      <c r="AU31" s="59" t="n">
        <f aca="false">VLOOKUP(AP31,$I$1:$R$18,6,FALSE()) *$AU$15</f>
        <v>-305.5</v>
      </c>
      <c r="AV31" s="60" t="n">
        <f aca="false">VLOOKUP(AP31,$I$1:$R$18,7,FALSE()) * $AV$15</f>
        <v>0</v>
      </c>
      <c r="AW31" s="34" t="n">
        <f aca="false">VLOOKUP(AP31,$I$1:$R$18,8,FALSE()) *$AW$15</f>
        <v>0</v>
      </c>
      <c r="AX31" s="61" t="n">
        <f aca="false">VLOOKUP(AP31,$I$1:$R$18,9,FALSE()) *$AX$15</f>
        <v>-32.4137931034483</v>
      </c>
      <c r="AY31" s="60" t="n">
        <f aca="false">VLOOKUP(AP31,$I$1:$R$18,10,FALSE()) * $AY$15</f>
        <v>0</v>
      </c>
      <c r="AZ31" s="62" t="n">
        <f aca="false">SUM(AQ31:AY31)</f>
        <v>-511.913793103448</v>
      </c>
    </row>
    <row r="32" customFormat="false" ht="14.25" hidden="false" customHeight="true" outlineLevel="0" collapsed="false">
      <c r="A32" s="14" t="s">
        <v>34</v>
      </c>
      <c r="B32" s="50" t="n">
        <v>1</v>
      </c>
      <c r="C32" s="16" t="s">
        <v>37</v>
      </c>
      <c r="D32" s="17" t="s">
        <v>135</v>
      </c>
      <c r="E32" s="0" t="s">
        <v>136</v>
      </c>
      <c r="F32" s="32" t="s">
        <v>66</v>
      </c>
      <c r="G32" s="0" t="s">
        <v>62</v>
      </c>
      <c r="I32" s="33" t="s">
        <v>37</v>
      </c>
      <c r="J32" s="34" t="n">
        <f aca="false">VLOOKUP(I32,$I$1:$R$18,2,FALSE())</f>
        <v>36</v>
      </c>
      <c r="S32" s="33" t="s">
        <v>34</v>
      </c>
      <c r="T32" s="34" t="n">
        <f aca="false">VLOOKUP(S32,$I$1:$R$18,5,FALSE())</f>
        <v>52</v>
      </c>
    </row>
    <row r="33" customFormat="false" ht="14.25" hidden="false" customHeight="true" outlineLevel="0" collapsed="false">
      <c r="A33" s="14" t="s">
        <v>34</v>
      </c>
      <c r="B33" s="50" t="n">
        <v>1</v>
      </c>
      <c r="C33" s="16" t="s">
        <v>32</v>
      </c>
      <c r="D33" s="17" t="s">
        <v>137</v>
      </c>
      <c r="E33" s="0" t="s">
        <v>138</v>
      </c>
      <c r="F33" s="32" t="s">
        <v>66</v>
      </c>
      <c r="G33" s="0" t="s">
        <v>53</v>
      </c>
      <c r="I33" s="33" t="s">
        <v>11</v>
      </c>
      <c r="J33" s="34" t="n">
        <f aca="false">VLOOKUP(I33,$I$1:$R$18,2,FALSE())</f>
        <v>30</v>
      </c>
      <c r="S33" s="33" t="s">
        <v>32</v>
      </c>
      <c r="T33" s="34" t="n">
        <f aca="false">VLOOKUP(S33,$I$1:$R$18,5,FALSE())</f>
        <v>45</v>
      </c>
      <c r="AJ33" s="72"/>
    </row>
    <row r="34" customFormat="false" ht="14.25" hidden="false" customHeight="true" outlineLevel="0" collapsed="false">
      <c r="A34" s="14" t="s">
        <v>32</v>
      </c>
      <c r="B34" s="50" t="n">
        <v>1</v>
      </c>
      <c r="C34" s="16" t="s">
        <v>34</v>
      </c>
      <c r="D34" s="17" t="s">
        <v>139</v>
      </c>
      <c r="E34" s="0" t="s">
        <v>140</v>
      </c>
      <c r="F34" s="32" t="s">
        <v>53</v>
      </c>
      <c r="G34" s="0" t="s">
        <v>66</v>
      </c>
      <c r="I34" s="33" t="s">
        <v>36</v>
      </c>
      <c r="J34" s="34" t="n">
        <f aca="false">VLOOKUP(I34,$I$1:$R$18,2,FALSE())</f>
        <v>26</v>
      </c>
      <c r="S34" s="33" t="s">
        <v>36</v>
      </c>
      <c r="T34" s="34" t="n">
        <f aca="false">VLOOKUP(S34,$I$1:$R$18,5,FALSE())</f>
        <v>37</v>
      </c>
      <c r="AJ34" s="72"/>
    </row>
    <row r="35" customFormat="false" ht="14.25" hidden="false" customHeight="true" outlineLevel="0" collapsed="false">
      <c r="A35" s="14" t="s">
        <v>37</v>
      </c>
      <c r="B35" s="50" t="n">
        <v>2</v>
      </c>
      <c r="C35" s="16" t="s">
        <v>32</v>
      </c>
      <c r="D35" s="17" t="s">
        <v>141</v>
      </c>
      <c r="E35" s="0" t="s">
        <v>142</v>
      </c>
      <c r="F35" s="17" t="s">
        <v>62</v>
      </c>
      <c r="G35" s="0" t="s">
        <v>53</v>
      </c>
      <c r="I35" s="33" t="s">
        <v>33</v>
      </c>
      <c r="J35" s="34" t="n">
        <f aca="false">VLOOKUP(I35,$I$1:$R$18,2,FALSE())</f>
        <v>23</v>
      </c>
      <c r="S35" s="33" t="s">
        <v>33</v>
      </c>
      <c r="T35" s="34" t="n">
        <f aca="false">VLOOKUP(S35,$I$1:$R$18,5,FALSE())</f>
        <v>40</v>
      </c>
      <c r="AJ35" s="72"/>
      <c r="AP35" s="74" t="s">
        <v>88</v>
      </c>
      <c r="AQ35" s="75" t="s">
        <v>143</v>
      </c>
      <c r="AR35" s="75" t="s">
        <v>144</v>
      </c>
      <c r="AS35" s="72"/>
    </row>
    <row r="36" customFormat="false" ht="14.25" hidden="false" customHeight="true" outlineLevel="0" collapsed="false">
      <c r="A36" s="14" t="s">
        <v>37</v>
      </c>
      <c r="B36" s="50" t="n">
        <v>2</v>
      </c>
      <c r="C36" s="16" t="s">
        <v>31</v>
      </c>
      <c r="D36" s="17" t="s">
        <v>145</v>
      </c>
      <c r="E36" s="0" t="s">
        <v>146</v>
      </c>
      <c r="F36" s="32" t="s">
        <v>62</v>
      </c>
      <c r="G36" s="0" t="s">
        <v>84</v>
      </c>
      <c r="I36" s="33" t="s">
        <v>30</v>
      </c>
      <c r="J36" s="34" t="n">
        <f aca="false">VLOOKUP(I36,$I$1:$R$18,2,FALSE())</f>
        <v>25</v>
      </c>
      <c r="S36" s="33" t="s">
        <v>30</v>
      </c>
      <c r="T36" s="34" t="n">
        <f aca="false">VLOOKUP(S36,$I$1:$R$18,5,FALSE())</f>
        <v>43</v>
      </c>
      <c r="AJ36" s="72"/>
      <c r="AO36" s="76" t="s">
        <v>147</v>
      </c>
      <c r="AP36" s="33" t="s">
        <v>11</v>
      </c>
      <c r="AQ36" s="62" t="n">
        <f aca="false">VLOOKUP(AP36,$AP$13:$AZ$31,11,FALSE())</f>
        <v>890.199300699301</v>
      </c>
      <c r="AR36" s="77" t="n">
        <f aca="false">AQ36-$AQ$51</f>
        <v>1402.11309380275</v>
      </c>
      <c r="AS36" s="6" t="n">
        <v>1</v>
      </c>
    </row>
    <row r="37" customFormat="false" ht="14.25" hidden="false" customHeight="true" outlineLevel="0" collapsed="false">
      <c r="A37" s="14" t="s">
        <v>11</v>
      </c>
      <c r="B37" s="50" t="n">
        <v>2</v>
      </c>
      <c r="C37" s="16" t="s">
        <v>40</v>
      </c>
      <c r="D37" s="17" t="s">
        <v>148</v>
      </c>
      <c r="E37" s="0" t="s">
        <v>149</v>
      </c>
      <c r="F37" s="17" t="s">
        <v>15</v>
      </c>
      <c r="G37" s="0" t="s">
        <v>98</v>
      </c>
      <c r="I37" s="33" t="s">
        <v>38</v>
      </c>
      <c r="J37" s="34" t="n">
        <f aca="false">VLOOKUP(I37,$I$1:$R$18,2,FALSE())</f>
        <v>20</v>
      </c>
      <c r="S37" s="33" t="s">
        <v>38</v>
      </c>
      <c r="T37" s="34" t="n">
        <f aca="false">VLOOKUP(S37,$I$1:$R$18,5,FALSE())</f>
        <v>30</v>
      </c>
      <c r="AJ37" s="72"/>
      <c r="AP37" s="33" t="s">
        <v>37</v>
      </c>
      <c r="AQ37" s="62" t="n">
        <f aca="false">VLOOKUP(AP37,$AP$13:$AZ$31,11,FALSE())</f>
        <v>592.872549019608</v>
      </c>
      <c r="AR37" s="77" t="n">
        <f aca="false">AQ37-$AQ$51</f>
        <v>1104.78634212306</v>
      </c>
      <c r="AS37" s="6" t="n">
        <v>2</v>
      </c>
    </row>
    <row r="38" customFormat="false" ht="14.25" hidden="false" customHeight="true" outlineLevel="0" collapsed="false">
      <c r="A38" s="14" t="s">
        <v>33</v>
      </c>
      <c r="B38" s="50" t="n">
        <v>1</v>
      </c>
      <c r="C38" s="16" t="s">
        <v>11</v>
      </c>
      <c r="D38" s="17" t="s">
        <v>150</v>
      </c>
      <c r="E38" s="0" t="s">
        <v>151</v>
      </c>
      <c r="F38" s="32" t="s">
        <v>77</v>
      </c>
      <c r="G38" s="0" t="s">
        <v>15</v>
      </c>
      <c r="I38" s="33" t="s">
        <v>39</v>
      </c>
      <c r="J38" s="34" t="n">
        <f aca="false">VLOOKUP(I38,$I$1:$R$18,2,FALSE())</f>
        <v>25</v>
      </c>
      <c r="S38" s="33" t="s">
        <v>39</v>
      </c>
      <c r="T38" s="34" t="n">
        <f aca="false">VLOOKUP(S38,$I$1:$R$18,5,FALSE())</f>
        <v>44</v>
      </c>
      <c r="AJ38" s="72"/>
      <c r="AP38" s="33" t="s">
        <v>30</v>
      </c>
      <c r="AQ38" s="62" t="n">
        <f aca="false">VLOOKUP(AP38,$AP$13:$AZ$31,11,FALSE())</f>
        <v>611.325101214575</v>
      </c>
      <c r="AR38" s="77" t="n">
        <f aca="false">AQ38-$AQ$51</f>
        <v>1123.23889431802</v>
      </c>
      <c r="AS38" s="6" t="n">
        <v>3</v>
      </c>
    </row>
    <row r="39" customFormat="false" ht="14.25" hidden="false" customHeight="true" outlineLevel="0" collapsed="false">
      <c r="A39" s="14" t="s">
        <v>11</v>
      </c>
      <c r="B39" s="50" t="n">
        <v>1</v>
      </c>
      <c r="C39" s="16" t="s">
        <v>33</v>
      </c>
      <c r="D39" s="17" t="s">
        <v>152</v>
      </c>
      <c r="E39" s="0" t="s">
        <v>153</v>
      </c>
      <c r="F39" s="32" t="s">
        <v>15</v>
      </c>
      <c r="G39" s="0" t="s">
        <v>77</v>
      </c>
      <c r="I39" s="33" t="s">
        <v>41</v>
      </c>
      <c r="J39" s="34" t="n">
        <f aca="false">VLOOKUP(I39,$I$1:$R$18,2,FALSE())</f>
        <v>11</v>
      </c>
      <c r="S39" s="33" t="s">
        <v>41</v>
      </c>
      <c r="T39" s="34" t="n">
        <f aca="false">VLOOKUP(S39,$I$1:$R$18,5,FALSE())</f>
        <v>30</v>
      </c>
      <c r="AJ39" s="72"/>
      <c r="AP39" s="33" t="s">
        <v>36</v>
      </c>
      <c r="AQ39" s="62" t="n">
        <f aca="false">VLOOKUP(AP39,$AP$13:$AZ$31,11,FALSE())</f>
        <v>352.617382617383</v>
      </c>
      <c r="AR39" s="77" t="n">
        <f aca="false">AQ39-$AQ$51</f>
        <v>864.531175720831</v>
      </c>
      <c r="AS39" s="6" t="n">
        <v>4</v>
      </c>
    </row>
    <row r="40" customFormat="false" ht="14.25" hidden="false" customHeight="true" outlineLevel="0" collapsed="false">
      <c r="A40" s="14" t="s">
        <v>32</v>
      </c>
      <c r="B40" s="50" t="n">
        <v>2</v>
      </c>
      <c r="C40" s="16" t="s">
        <v>35</v>
      </c>
      <c r="D40" s="17" t="s">
        <v>154</v>
      </c>
      <c r="E40" s="0" t="s">
        <v>155</v>
      </c>
      <c r="F40" s="32" t="s">
        <v>53</v>
      </c>
      <c r="G40" s="0" t="s">
        <v>58</v>
      </c>
      <c r="I40" s="33" t="s">
        <v>42</v>
      </c>
      <c r="J40" s="34" t="n">
        <f aca="false">VLOOKUP(I40,$I$1:$R$18,2,FALSE())</f>
        <v>3</v>
      </c>
      <c r="S40" s="33" t="s">
        <v>42</v>
      </c>
      <c r="T40" s="34" t="n">
        <f aca="false">VLOOKUP(S40,$I$1:$R$18,5,FALSE())</f>
        <v>5</v>
      </c>
      <c r="AJ40" s="72"/>
      <c r="AP40" s="33" t="s">
        <v>38</v>
      </c>
      <c r="AQ40" s="62" t="n">
        <f aca="false">VLOOKUP(AP40,$AP$13:$AZ$31,11,FALSE())</f>
        <v>399.547619047619</v>
      </c>
      <c r="AR40" s="77" t="n">
        <f aca="false">AQ40-$AQ$51</f>
        <v>911.461412151067</v>
      </c>
      <c r="AS40" s="6" t="n">
        <v>5</v>
      </c>
    </row>
    <row r="41" customFormat="false" ht="14.25" hidden="false" customHeight="true" outlineLevel="0" collapsed="false">
      <c r="A41" s="14" t="s">
        <v>31</v>
      </c>
      <c r="B41" s="50" t="n">
        <v>2</v>
      </c>
      <c r="C41" s="16" t="s">
        <v>32</v>
      </c>
      <c r="D41" s="17" t="s">
        <v>156</v>
      </c>
      <c r="E41" s="0" t="s">
        <v>157</v>
      </c>
      <c r="F41" s="17" t="s">
        <v>84</v>
      </c>
      <c r="G41" s="0" t="s">
        <v>53</v>
      </c>
      <c r="I41" s="33" t="s">
        <v>40</v>
      </c>
      <c r="J41" s="34" t="n">
        <f aca="false">VLOOKUP(I41,$I$1:$R$18,2,FALSE())</f>
        <v>1</v>
      </c>
      <c r="S41" s="33" t="s">
        <v>40</v>
      </c>
      <c r="T41" s="34" t="n">
        <f aca="false">VLOOKUP(S41,$I$1:$R$18,5,FALSE())</f>
        <v>2</v>
      </c>
      <c r="AJ41" s="72"/>
      <c r="AP41" s="33" t="s">
        <v>39</v>
      </c>
      <c r="AQ41" s="62" t="n">
        <f aca="false">VLOOKUP(AP41,$AP$13:$AZ$31,11,FALSE())</f>
        <v>594.341025641026</v>
      </c>
      <c r="AR41" s="77" t="n">
        <f aca="false">AQ41-$AQ$51</f>
        <v>1106.25481874447</v>
      </c>
      <c r="AS41" s="6" t="n">
        <v>6</v>
      </c>
    </row>
    <row r="42" customFormat="false" ht="14.25" hidden="false" customHeight="true" outlineLevel="0" collapsed="false">
      <c r="A42" s="14" t="s">
        <v>32</v>
      </c>
      <c r="B42" s="50" t="n">
        <v>1</v>
      </c>
      <c r="C42" s="16" t="s">
        <v>31</v>
      </c>
      <c r="D42" s="17" t="s">
        <v>158</v>
      </c>
      <c r="E42" s="0" t="s">
        <v>159</v>
      </c>
      <c r="F42" s="32" t="s">
        <v>53</v>
      </c>
      <c r="G42" s="0" t="s">
        <v>84</v>
      </c>
      <c r="I42" s="33" t="s">
        <v>95</v>
      </c>
      <c r="J42" s="34" t="n">
        <f aca="false">VLOOKUP(I42,$I$1:$R$18,2,FALSE())</f>
        <v>0</v>
      </c>
      <c r="S42" s="33" t="s">
        <v>95</v>
      </c>
      <c r="T42" s="34" t="n">
        <f aca="false">VLOOKUP(S42,$I$1:$R$18,5,FALSE())</f>
        <v>0</v>
      </c>
      <c r="AJ42" s="72"/>
      <c r="AP42" s="33" t="s">
        <v>41</v>
      </c>
      <c r="AQ42" s="62" t="n">
        <f aca="false">VLOOKUP(AP42,$AP$13:$AZ$31,11,FALSE())</f>
        <v>524.890692640693</v>
      </c>
      <c r="AR42" s="77" t="n">
        <f aca="false">AQ42-$AQ$51</f>
        <v>1036.80448574414</v>
      </c>
      <c r="AS42" s="6" t="n">
        <v>7</v>
      </c>
    </row>
    <row r="43" customFormat="false" ht="14.25" hidden="false" customHeight="true" outlineLevel="0" collapsed="false">
      <c r="A43" s="14" t="s">
        <v>31</v>
      </c>
      <c r="B43" s="50" t="n">
        <v>1</v>
      </c>
      <c r="C43" s="16" t="s">
        <v>39</v>
      </c>
      <c r="D43" s="17" t="s">
        <v>160</v>
      </c>
      <c r="E43" s="0" t="s">
        <v>161</v>
      </c>
      <c r="F43" s="32" t="s">
        <v>84</v>
      </c>
      <c r="G43" s="0" t="s">
        <v>57</v>
      </c>
      <c r="I43" s="33" t="s">
        <v>43</v>
      </c>
      <c r="J43" s="34" t="n">
        <f aca="false">VLOOKUP(I43,$I$1:$R$18,2,FALSE())</f>
        <v>0</v>
      </c>
      <c r="S43" s="33" t="s">
        <v>43</v>
      </c>
      <c r="T43" s="34" t="n">
        <f aca="false">VLOOKUP(S43,$I$1:$R$18,5,FALSE())</f>
        <v>0</v>
      </c>
      <c r="AJ43" s="72"/>
      <c r="AP43" s="33" t="s">
        <v>34</v>
      </c>
      <c r="AQ43" s="62" t="n">
        <f aca="false">VLOOKUP(AP43,$AP$13:$AZ$31,11,FALSE())</f>
        <v>394.067291781578</v>
      </c>
      <c r="AR43" s="77" t="n">
        <f aca="false">AQ43-$AQ$51</f>
        <v>905.981084885026</v>
      </c>
      <c r="AS43" s="6" t="n">
        <v>8</v>
      </c>
    </row>
    <row r="44" customFormat="false" ht="14.25" hidden="false" customHeight="true" outlineLevel="0" collapsed="false">
      <c r="A44" s="14" t="s">
        <v>32</v>
      </c>
      <c r="B44" s="50" t="n">
        <v>1</v>
      </c>
      <c r="C44" s="16" t="s">
        <v>39</v>
      </c>
      <c r="D44" s="17" t="s">
        <v>162</v>
      </c>
      <c r="E44" s="0" t="s">
        <v>163</v>
      </c>
      <c r="F44" s="32" t="s">
        <v>53</v>
      </c>
      <c r="G44" s="0" t="s">
        <v>57</v>
      </c>
      <c r="I44" s="33" t="s">
        <v>35</v>
      </c>
      <c r="J44" s="34" t="n">
        <f aca="false">VLOOKUP(I44,$I$1:$R$18,2,FALSE())</f>
        <v>0</v>
      </c>
      <c r="S44" s="33" t="s">
        <v>35</v>
      </c>
      <c r="T44" s="34" t="n">
        <f aca="false">VLOOKUP(S44,$I$1:$R$18,5,FALSE())</f>
        <v>0</v>
      </c>
      <c r="AJ44" s="72"/>
      <c r="AP44" s="33" t="s">
        <v>31</v>
      </c>
      <c r="AQ44" s="62" t="n">
        <f aca="false">VLOOKUP(AP44,$AP$13:$AZ$31,11,FALSE())</f>
        <v>242.983865583621</v>
      </c>
      <c r="AR44" s="77" t="n">
        <f aca="false">AQ44-$AQ$51</f>
        <v>754.897658687069</v>
      </c>
      <c r="AS44" s="6" t="n">
        <v>9</v>
      </c>
    </row>
    <row r="45" customFormat="false" ht="14.25" hidden="false" customHeight="true" outlineLevel="0" collapsed="false">
      <c r="A45" s="14" t="s">
        <v>39</v>
      </c>
      <c r="B45" s="50" t="n">
        <v>2</v>
      </c>
      <c r="C45" s="16" t="s">
        <v>31</v>
      </c>
      <c r="D45" s="17" t="s">
        <v>164</v>
      </c>
      <c r="E45" s="0" t="s">
        <v>165</v>
      </c>
      <c r="F45" s="17" t="s">
        <v>57</v>
      </c>
      <c r="G45" s="0" t="s">
        <v>84</v>
      </c>
      <c r="AJ45" s="72"/>
      <c r="AP45" s="33" t="s">
        <v>32</v>
      </c>
      <c r="AQ45" s="62" t="n">
        <f aca="false">VLOOKUP(AP45,$AP$13:$AZ$31,11,FALSE())</f>
        <v>194.443529588691</v>
      </c>
      <c r="AR45" s="77" t="n">
        <f aca="false">AQ45-$AQ$51</f>
        <v>706.357322692139</v>
      </c>
      <c r="AS45" s="6" t="n">
        <v>10</v>
      </c>
    </row>
    <row r="46" customFormat="false" ht="14.25" hidden="false" customHeight="true" outlineLevel="0" collapsed="false">
      <c r="A46" s="14" t="s">
        <v>39</v>
      </c>
      <c r="B46" s="50" t="n">
        <v>2</v>
      </c>
      <c r="C46" s="16" t="s">
        <v>32</v>
      </c>
      <c r="D46" s="17" t="s">
        <v>166</v>
      </c>
      <c r="E46" s="6" t="s">
        <v>167</v>
      </c>
      <c r="F46" s="32" t="s">
        <v>57</v>
      </c>
      <c r="G46" s="0" t="s">
        <v>53</v>
      </c>
      <c r="I46" s="33" t="s">
        <v>88</v>
      </c>
      <c r="J46" s="41" t="s">
        <v>17</v>
      </c>
      <c r="S46" s="33" t="s">
        <v>88</v>
      </c>
      <c r="T46" s="41" t="s">
        <v>20</v>
      </c>
      <c r="AP46" s="33" t="s">
        <v>33</v>
      </c>
      <c r="AQ46" s="62" t="n">
        <f aca="false">VLOOKUP(AP46,$AP$13:$AZ$31,11,FALSE())</f>
        <v>188.607438627625</v>
      </c>
      <c r="AR46" s="77" t="n">
        <f aca="false">AQ46-$AQ$51</f>
        <v>700.521231731073</v>
      </c>
      <c r="AS46" s="6" t="n">
        <v>11</v>
      </c>
    </row>
    <row r="47" customFormat="false" ht="14.25" hidden="false" customHeight="true" outlineLevel="0" collapsed="false">
      <c r="A47" s="14" t="s">
        <v>32</v>
      </c>
      <c r="B47" s="50" t="n">
        <v>1</v>
      </c>
      <c r="C47" s="16" t="s">
        <v>33</v>
      </c>
      <c r="D47" s="17" t="s">
        <v>168</v>
      </c>
      <c r="E47" s="6" t="s">
        <v>169</v>
      </c>
      <c r="F47" s="32" t="s">
        <v>53</v>
      </c>
      <c r="G47" s="0" t="s">
        <v>77</v>
      </c>
      <c r="I47" s="33" t="s">
        <v>31</v>
      </c>
      <c r="J47" s="34" t="n">
        <f aca="false">VLOOKUP(I47,$I$1:$R$18,3,FALSE())</f>
        <v>43</v>
      </c>
      <c r="S47" s="33" t="s">
        <v>31</v>
      </c>
      <c r="T47" s="34" t="n">
        <f aca="false">VLOOKUP(S47,$I$1:$R$18,6,FALSE())</f>
        <v>66</v>
      </c>
      <c r="AP47" s="33" t="s">
        <v>42</v>
      </c>
      <c r="AQ47" s="62" t="n">
        <f aca="false">VLOOKUP(AP47,$AP$13:$AZ$31,11,FALSE())</f>
        <v>94.9166666666667</v>
      </c>
      <c r="AR47" s="77" t="n">
        <f aca="false">AQ47-$AQ$51</f>
        <v>606.830459770115</v>
      </c>
      <c r="AS47" s="6" t="n">
        <v>12</v>
      </c>
    </row>
    <row r="48" customFormat="false" ht="14.25" hidden="false" customHeight="true" outlineLevel="0" collapsed="false">
      <c r="A48" s="14" t="s">
        <v>39</v>
      </c>
      <c r="B48" s="50" t="n">
        <v>1</v>
      </c>
      <c r="C48" s="16" t="s">
        <v>33</v>
      </c>
      <c r="D48" s="17" t="s">
        <v>170</v>
      </c>
      <c r="E48" s="0" t="s">
        <v>171</v>
      </c>
      <c r="F48" s="32" t="s">
        <v>57</v>
      </c>
      <c r="G48" s="0" t="s">
        <v>77</v>
      </c>
      <c r="I48" s="33" t="s">
        <v>32</v>
      </c>
      <c r="J48" s="34" t="n">
        <f aca="false">VLOOKUP(I48,$I$1:$R$18,3,FALSE())</f>
        <v>39</v>
      </c>
      <c r="S48" s="33" t="s">
        <v>32</v>
      </c>
      <c r="T48" s="34" t="n">
        <f aca="false">VLOOKUP(S48,$I$1:$R$18,6,FALSE())</f>
        <v>62</v>
      </c>
      <c r="AP48" s="33" t="s">
        <v>95</v>
      </c>
      <c r="AQ48" s="62" t="n">
        <f aca="false">VLOOKUP(AP48,$AP$13:$AZ$31,11,FALSE())</f>
        <v>0</v>
      </c>
      <c r="AR48" s="77" t="n">
        <f aca="false">AQ48-$AQ$51</f>
        <v>511.913793103448</v>
      </c>
      <c r="AS48" s="6" t="n">
        <v>13</v>
      </c>
    </row>
    <row r="49" customFormat="false" ht="14.25" hidden="false" customHeight="true" outlineLevel="0" collapsed="false">
      <c r="A49" s="14" t="s">
        <v>31</v>
      </c>
      <c r="B49" s="50" t="n">
        <v>1</v>
      </c>
      <c r="C49" s="16" t="s">
        <v>33</v>
      </c>
      <c r="D49" s="17" t="s">
        <v>172</v>
      </c>
      <c r="E49" s="0" t="s">
        <v>173</v>
      </c>
      <c r="F49" s="32" t="s">
        <v>84</v>
      </c>
      <c r="G49" s="0" t="s">
        <v>77</v>
      </c>
      <c r="I49" s="33" t="s">
        <v>34</v>
      </c>
      <c r="J49" s="34" t="n">
        <f aca="false">VLOOKUP(I49,$I$1:$R$18,3,FALSE())</f>
        <v>35</v>
      </c>
      <c r="S49" s="33" t="s">
        <v>34</v>
      </c>
      <c r="T49" s="34" t="n">
        <f aca="false">VLOOKUP(S49,$I$1:$R$18,6,FALSE())</f>
        <v>49</v>
      </c>
      <c r="AP49" s="33" t="s">
        <v>43</v>
      </c>
      <c r="AQ49" s="62" t="n">
        <f aca="false">VLOOKUP(AP49,$AP$13:$AZ$31,11,FALSE())</f>
        <v>-59</v>
      </c>
      <c r="AR49" s="77" t="n">
        <f aca="false">AQ49-$AQ$51</f>
        <v>452.913793103448</v>
      </c>
      <c r="AS49" s="6" t="n">
        <v>14</v>
      </c>
    </row>
    <row r="50" customFormat="false" ht="14.25" hidden="false" customHeight="true" outlineLevel="0" collapsed="false">
      <c r="A50" s="14" t="s">
        <v>36</v>
      </c>
      <c r="B50" s="50" t="n">
        <v>1</v>
      </c>
      <c r="C50" s="16" t="s">
        <v>33</v>
      </c>
      <c r="D50" s="17" t="s">
        <v>174</v>
      </c>
      <c r="E50" s="0" t="s">
        <v>175</v>
      </c>
      <c r="F50" s="32" t="s">
        <v>78</v>
      </c>
      <c r="G50" s="0" t="s">
        <v>77</v>
      </c>
      <c r="I50" s="33" t="s">
        <v>33</v>
      </c>
      <c r="J50" s="34" t="n">
        <f aca="false">VLOOKUP(I50,$I$1:$R$18,3,FALSE())</f>
        <v>36</v>
      </c>
      <c r="S50" s="33" t="s">
        <v>33</v>
      </c>
      <c r="T50" s="34" t="n">
        <f aca="false">VLOOKUP(S50,$I$1:$R$18,6,FALSE())</f>
        <v>49</v>
      </c>
      <c r="AO50" s="76" t="s">
        <v>176</v>
      </c>
      <c r="AP50" s="33" t="s">
        <v>40</v>
      </c>
      <c r="AQ50" s="62" t="n">
        <f aca="false">VLOOKUP(AP50,$AP$13:$AZ$31,11,FALSE())</f>
        <v>-106.486111111111</v>
      </c>
      <c r="AR50" s="77" t="n">
        <f aca="false">AQ50-$AQ$51</f>
        <v>405.427681992337</v>
      </c>
      <c r="AS50" s="6" t="n">
        <v>15</v>
      </c>
    </row>
    <row r="51" customFormat="false" ht="14.25" hidden="false" customHeight="true" outlineLevel="0" collapsed="false">
      <c r="A51" s="14" t="s">
        <v>33</v>
      </c>
      <c r="B51" s="50" t="n">
        <v>1</v>
      </c>
      <c r="C51" s="16" t="s">
        <v>36</v>
      </c>
      <c r="D51" s="17" t="s">
        <v>177</v>
      </c>
      <c r="E51" s="0" t="s">
        <v>178</v>
      </c>
      <c r="F51" s="32" t="s">
        <v>77</v>
      </c>
      <c r="G51" s="0" t="s">
        <v>78</v>
      </c>
      <c r="I51" s="33" t="s">
        <v>35</v>
      </c>
      <c r="J51" s="34" t="n">
        <f aca="false">VLOOKUP(I51,$I$1:$R$18,3,FALSE())</f>
        <v>29</v>
      </c>
      <c r="S51" s="33" t="s">
        <v>35</v>
      </c>
      <c r="T51" s="34" t="n">
        <f aca="false">VLOOKUP(S51,$I$1:$R$18,6,FALSE())</f>
        <v>47</v>
      </c>
      <c r="AO51" s="76" t="s">
        <v>179</v>
      </c>
      <c r="AP51" s="33" t="s">
        <v>35</v>
      </c>
      <c r="AQ51" s="62" t="n">
        <f aca="false">VLOOKUP(AP51,$AP$13:$AZ$31,11,FALSE())</f>
        <v>-511.913793103448</v>
      </c>
      <c r="AR51" s="77" t="n">
        <f aca="false">AQ51-$AQ$51</f>
        <v>0</v>
      </c>
      <c r="AS51" s="6" t="n">
        <v>16</v>
      </c>
    </row>
    <row r="52" customFormat="false" ht="14.25" hidden="false" customHeight="true" outlineLevel="0" collapsed="false">
      <c r="A52" s="14" t="s">
        <v>39</v>
      </c>
      <c r="B52" s="50" t="n">
        <v>2</v>
      </c>
      <c r="C52" s="16" t="s">
        <v>37</v>
      </c>
      <c r="D52" s="17" t="s">
        <v>180</v>
      </c>
      <c r="E52" s="0" t="s">
        <v>181</v>
      </c>
      <c r="F52" s="32" t="s">
        <v>57</v>
      </c>
      <c r="G52" s="0" t="s">
        <v>62</v>
      </c>
      <c r="I52" s="33" t="s">
        <v>36</v>
      </c>
      <c r="J52" s="34" t="n">
        <f aca="false">VLOOKUP(I52,$I$1:$R$18,3,FALSE())</f>
        <v>22</v>
      </c>
      <c r="S52" s="33" t="s">
        <v>36</v>
      </c>
      <c r="T52" s="34" t="n">
        <f aca="false">VLOOKUP(S52,$I$1:$R$18,6,FALSE())</f>
        <v>35</v>
      </c>
    </row>
    <row r="53" customFormat="false" ht="14.25" hidden="false" customHeight="true" outlineLevel="0" collapsed="false">
      <c r="A53" s="14" t="s">
        <v>38</v>
      </c>
      <c r="B53" s="50" t="n">
        <v>2</v>
      </c>
      <c r="C53" s="16" t="s">
        <v>34</v>
      </c>
      <c r="D53" s="17" t="s">
        <v>182</v>
      </c>
      <c r="E53" s="0" t="s">
        <v>183</v>
      </c>
      <c r="F53" s="32" t="s">
        <v>184</v>
      </c>
      <c r="G53" s="0" t="s">
        <v>66</v>
      </c>
      <c r="I53" s="33" t="s">
        <v>37</v>
      </c>
      <c r="J53" s="34" t="n">
        <f aca="false">VLOOKUP(I53,$I$1:$R$18,3,FALSE())</f>
        <v>24</v>
      </c>
      <c r="S53" s="33" t="s">
        <v>37</v>
      </c>
      <c r="T53" s="34" t="n">
        <f aca="false">VLOOKUP(S53,$I$1:$R$18,6,FALSE())</f>
        <v>34</v>
      </c>
    </row>
    <row r="54" customFormat="false" ht="14.25" hidden="false" customHeight="true" outlineLevel="0" collapsed="false">
      <c r="A54" s="14" t="s">
        <v>11</v>
      </c>
      <c r="B54" s="50" t="n">
        <v>2</v>
      </c>
      <c r="C54" s="16" t="s">
        <v>34</v>
      </c>
      <c r="D54" s="17" t="s">
        <v>185</v>
      </c>
      <c r="E54" s="0" t="s">
        <v>186</v>
      </c>
      <c r="F54" s="32" t="s">
        <v>15</v>
      </c>
      <c r="G54" s="0" t="s">
        <v>66</v>
      </c>
      <c r="I54" s="33" t="s">
        <v>38</v>
      </c>
      <c r="J54" s="34" t="n">
        <f aca="false">VLOOKUP(I54,$I$1:$R$18,3,FALSE())</f>
        <v>15</v>
      </c>
      <c r="S54" s="33" t="s">
        <v>39</v>
      </c>
      <c r="T54" s="34" t="n">
        <f aca="false">VLOOKUP(S54,$I$1:$R$18,6,FALSE())</f>
        <v>20</v>
      </c>
    </row>
    <row r="55" customFormat="false" ht="14.25" hidden="false" customHeight="true" outlineLevel="0" collapsed="false">
      <c r="A55" s="14" t="s">
        <v>34</v>
      </c>
      <c r="B55" s="50" t="n">
        <v>2</v>
      </c>
      <c r="C55" s="16" t="s">
        <v>33</v>
      </c>
      <c r="D55" s="17" t="s">
        <v>187</v>
      </c>
      <c r="E55" s="0" t="s">
        <v>188</v>
      </c>
      <c r="F55" s="32" t="s">
        <v>66</v>
      </c>
      <c r="G55" s="0" t="s">
        <v>77</v>
      </c>
      <c r="I55" s="33" t="s">
        <v>39</v>
      </c>
      <c r="J55" s="34" t="n">
        <f aca="false">VLOOKUP(I55,$I$1:$R$18,3,FALSE())</f>
        <v>13</v>
      </c>
      <c r="S55" s="33" t="s">
        <v>38</v>
      </c>
      <c r="T55" s="34" t="n">
        <f aca="false">VLOOKUP(S55,$I$1:$R$18,6,FALSE())</f>
        <v>21</v>
      </c>
      <c r="AP55" s="72"/>
      <c r="AQ55" s="72"/>
      <c r="AR55" s="72"/>
    </row>
    <row r="56" customFormat="false" ht="14.25" hidden="false" customHeight="true" outlineLevel="0" collapsed="false">
      <c r="A56" s="14" t="s">
        <v>38</v>
      </c>
      <c r="B56" s="50" t="n">
        <v>2</v>
      </c>
      <c r="C56" s="16" t="s">
        <v>35</v>
      </c>
      <c r="D56" s="17" t="s">
        <v>189</v>
      </c>
      <c r="E56" s="0" t="s">
        <v>190</v>
      </c>
      <c r="F56" s="32" t="s">
        <v>184</v>
      </c>
      <c r="G56" s="0" t="s">
        <v>58</v>
      </c>
      <c r="I56" s="33" t="s">
        <v>30</v>
      </c>
      <c r="J56" s="34" t="n">
        <f aca="false">VLOOKUP(I56,$I$1:$R$18,3,FALSE())</f>
        <v>13</v>
      </c>
      <c r="S56" s="33" t="s">
        <v>30</v>
      </c>
      <c r="T56" s="34" t="n">
        <f aca="false">VLOOKUP(S56,$I$1:$R$18,6,FALSE())</f>
        <v>19</v>
      </c>
      <c r="AP56" s="7" t="s">
        <v>191</v>
      </c>
      <c r="AQ56" s="7"/>
      <c r="AR56" s="7"/>
      <c r="AS56" s="7"/>
      <c r="AT56" s="7"/>
      <c r="AU56" s="7"/>
      <c r="AV56" s="7"/>
      <c r="AW56" s="7"/>
      <c r="AX56" s="7"/>
    </row>
    <row r="57" customFormat="false" ht="14.25" hidden="false" customHeight="true" outlineLevel="0" collapsed="false">
      <c r="A57" s="14" t="s">
        <v>31</v>
      </c>
      <c r="B57" s="50" t="n">
        <v>1</v>
      </c>
      <c r="C57" s="16" t="s">
        <v>32</v>
      </c>
      <c r="D57" s="6" t="s">
        <v>192</v>
      </c>
      <c r="E57" s="6" t="s">
        <v>193</v>
      </c>
      <c r="F57" s="6" t="s">
        <v>84</v>
      </c>
      <c r="G57" s="6" t="s">
        <v>53</v>
      </c>
      <c r="I57" s="33" t="s">
        <v>11</v>
      </c>
      <c r="J57" s="34" t="n">
        <f aca="false">VLOOKUP(I57,$I$1:$R$18,3,FALSE())</f>
        <v>11</v>
      </c>
      <c r="S57" s="33" t="s">
        <v>40</v>
      </c>
      <c r="T57" s="34" t="n">
        <f aca="false">VLOOKUP(S57,$I$1:$R$18,6,FALSE())</f>
        <v>16</v>
      </c>
      <c r="AP57" s="78" t="s">
        <v>194</v>
      </c>
      <c r="AQ57" s="79" t="s">
        <v>16</v>
      </c>
      <c r="AR57" s="79" t="s">
        <v>17</v>
      </c>
      <c r="AS57" s="79" t="s">
        <v>18</v>
      </c>
      <c r="AT57" s="79" t="s">
        <v>19</v>
      </c>
      <c r="AU57" s="79" t="s">
        <v>20</v>
      </c>
      <c r="AV57" s="79" t="s">
        <v>21</v>
      </c>
      <c r="AW57" s="79" t="s">
        <v>22</v>
      </c>
      <c r="AX57" s="79" t="s">
        <v>23</v>
      </c>
    </row>
    <row r="58" customFormat="false" ht="14.25" hidden="false" customHeight="true" outlineLevel="0" collapsed="false">
      <c r="A58" s="14" t="s">
        <v>32</v>
      </c>
      <c r="B58" s="50" t="n">
        <v>1</v>
      </c>
      <c r="C58" s="16" t="s">
        <v>31</v>
      </c>
      <c r="D58" s="6" t="s">
        <v>195</v>
      </c>
      <c r="E58" s="6" t="s">
        <v>196</v>
      </c>
      <c r="F58" s="6" t="s">
        <v>53</v>
      </c>
      <c r="G58" s="6" t="s">
        <v>84</v>
      </c>
      <c r="I58" s="33" t="s">
        <v>40</v>
      </c>
      <c r="J58" s="34" t="n">
        <f aca="false">VLOOKUP(I58,$I$1:$R$18,3,FALSE())</f>
        <v>9</v>
      </c>
      <c r="S58" s="33" t="s">
        <v>11</v>
      </c>
      <c r="T58" s="34" t="n">
        <f aca="false">VLOOKUP(S58,$I$1:$R$18,6,FALSE())</f>
        <v>13</v>
      </c>
      <c r="AP58" s="33" t="s">
        <v>91</v>
      </c>
      <c r="AQ58" s="55" t="n">
        <v>7.5</v>
      </c>
      <c r="AR58" s="56" t="n">
        <v>-6</v>
      </c>
      <c r="AS58" s="56" t="n">
        <v>25</v>
      </c>
      <c r="AT58" s="56" t="n">
        <v>8.5</v>
      </c>
      <c r="AU58" s="56" t="n">
        <v>-6.5</v>
      </c>
      <c r="AV58" s="56" t="n">
        <v>25</v>
      </c>
      <c r="AW58" s="56" t="n">
        <v>20</v>
      </c>
      <c r="AX58" s="56" t="n">
        <v>-20</v>
      </c>
      <c r="AY58" s="41" t="s">
        <v>92</v>
      </c>
    </row>
    <row r="59" customFormat="false" ht="14.25" hidden="false" customHeight="true" outlineLevel="0" collapsed="false">
      <c r="A59" s="14" t="s">
        <v>11</v>
      </c>
      <c r="B59" s="50" t="n">
        <v>2</v>
      </c>
      <c r="C59" s="16" t="s">
        <v>42</v>
      </c>
      <c r="D59" s="6" t="s">
        <v>197</v>
      </c>
      <c r="E59" s="6" t="s">
        <v>198</v>
      </c>
      <c r="F59" s="6" t="s">
        <v>15</v>
      </c>
      <c r="G59" s="6" t="s">
        <v>132</v>
      </c>
      <c r="I59" s="33" t="s">
        <v>41</v>
      </c>
      <c r="J59" s="34" t="n">
        <f aca="false">VLOOKUP(I59,$I$1:$R$18,3,FALSE())</f>
        <v>7</v>
      </c>
      <c r="S59" s="33" t="s">
        <v>42</v>
      </c>
      <c r="T59" s="34" t="n">
        <f aca="false">VLOOKUP(S59,$I$1:$R$18,6,FALSE())</f>
        <v>6</v>
      </c>
      <c r="AP59" s="52" t="s">
        <v>111</v>
      </c>
      <c r="AQ59" s="35" t="n">
        <f aca="false">J22*$AQ$58</f>
        <v>159.375</v>
      </c>
      <c r="AR59" s="35" t="n">
        <f aca="false">K22*$AR$58</f>
        <v>-100.5</v>
      </c>
      <c r="AS59" s="35" t="n">
        <f aca="false">L22*$AS$58</f>
        <v>31.7164179104478</v>
      </c>
      <c r="AT59" s="35" t="n">
        <f aca="false">M22*$AT$58</f>
        <v>216.75</v>
      </c>
      <c r="AU59" s="35" t="n">
        <f aca="false">N22*$AU$58</f>
        <v>-131.625</v>
      </c>
      <c r="AV59" s="35" t="n">
        <f aca="false">O22*$AV$58</f>
        <v>31.4814814814815</v>
      </c>
      <c r="AW59" s="35" t="n">
        <f aca="false">P22*$AW$58</f>
        <v>24</v>
      </c>
      <c r="AX59" s="35" t="n">
        <f aca="false">Q22*$AX$58</f>
        <v>-24.1791044776119</v>
      </c>
      <c r="AY59" s="35" t="n">
        <f aca="false">SUM(AQ59:AX59)</f>
        <v>207.018794914317</v>
      </c>
    </row>
    <row r="60" customFormat="false" ht="14.25" hidden="false" customHeight="true" outlineLevel="0" collapsed="false">
      <c r="A60" s="14" t="s">
        <v>33</v>
      </c>
      <c r="B60" s="50" t="n">
        <v>2</v>
      </c>
      <c r="C60" s="16" t="s">
        <v>36</v>
      </c>
      <c r="D60" s="6" t="s">
        <v>199</v>
      </c>
      <c r="E60" s="6" t="s">
        <v>200</v>
      </c>
      <c r="F60" s="6" t="s">
        <v>77</v>
      </c>
      <c r="G60" s="6" t="s">
        <v>78</v>
      </c>
      <c r="I60" s="33" t="s">
        <v>42</v>
      </c>
      <c r="J60" s="34" t="n">
        <f aca="false">VLOOKUP(I60,$I$1:$R$18,3,FALSE())</f>
        <v>4</v>
      </c>
      <c r="S60" s="33" t="s">
        <v>41</v>
      </c>
      <c r="T60" s="34" t="n">
        <f aca="false">VLOOKUP(S60,$I$1:$R$18,6,FALSE())</f>
        <v>8</v>
      </c>
      <c r="AP60" s="33" t="s">
        <v>114</v>
      </c>
      <c r="AQ60" s="35" t="n">
        <f aca="false">J23*$AQ$58</f>
        <v>142.5</v>
      </c>
      <c r="AR60" s="35" t="n">
        <f aca="false">K23*$AR$58</f>
        <v>-121.5</v>
      </c>
      <c r="AS60" s="35" t="n">
        <f aca="false">L23*$AS$58</f>
        <v>23.4567901234568</v>
      </c>
      <c r="AT60" s="35" t="n">
        <f aca="false">M23*$AT$58</f>
        <v>195.5</v>
      </c>
      <c r="AU60" s="35" t="n">
        <f aca="false">N23*$AU$58</f>
        <v>-160.875</v>
      </c>
      <c r="AV60" s="35" t="n">
        <f aca="false">O23*$AV$58</f>
        <v>23.2323232323232</v>
      </c>
      <c r="AW60" s="35" t="n">
        <f aca="false">P23*$AW$58</f>
        <v>24.2105263157895</v>
      </c>
      <c r="AX60" s="35" t="n">
        <f aca="false">Q23*$AX$58</f>
        <v>-24.4444444444444</v>
      </c>
      <c r="AY60" s="35" t="n">
        <f aca="false">SUM(AQ60:AX60)</f>
        <v>102.080195227125</v>
      </c>
    </row>
    <row r="61" customFormat="false" ht="14.25" hidden="false" customHeight="true" outlineLevel="0" collapsed="false">
      <c r="A61" s="14" t="s">
        <v>34</v>
      </c>
      <c r="B61" s="50" t="n">
        <v>1</v>
      </c>
      <c r="C61" s="16" t="s">
        <v>37</v>
      </c>
      <c r="D61" s="6" t="s">
        <v>201</v>
      </c>
      <c r="E61" s="6" t="s">
        <v>202</v>
      </c>
      <c r="F61" s="6" t="s">
        <v>66</v>
      </c>
      <c r="G61" s="6" t="s">
        <v>62</v>
      </c>
      <c r="I61" s="33" t="s">
        <v>43</v>
      </c>
      <c r="J61" s="34" t="n">
        <f aca="false">VLOOKUP(I61,$I$1:$R$18,3,FALSE())</f>
        <v>1</v>
      </c>
      <c r="S61" s="33" t="s">
        <v>43</v>
      </c>
      <c r="T61" s="34" t="n">
        <f aca="false">VLOOKUP(S61,$I$1:$R$18,6,FALSE())</f>
        <v>2</v>
      </c>
      <c r="AP61" s="33" t="s">
        <v>117</v>
      </c>
      <c r="AQ61" s="35" t="n">
        <f aca="false">J24*$AQ$58</f>
        <v>219.375</v>
      </c>
      <c r="AR61" s="35" t="n">
        <f aca="false">K24*$AR$58</f>
        <v>-168</v>
      </c>
      <c r="AS61" s="35" t="n">
        <f aca="false">L24*$AS$58</f>
        <v>26.1160714285714</v>
      </c>
      <c r="AT61" s="35" t="n">
        <f aca="false">M24*$AT$58</f>
        <v>293.25</v>
      </c>
      <c r="AU61" s="35" t="n">
        <f aca="false">N24*$AU$58</f>
        <v>-211.25</v>
      </c>
      <c r="AV61" s="35" t="n">
        <f aca="false">O24*$AV$58</f>
        <v>26.5384615384615</v>
      </c>
      <c r="AW61" s="35" t="n">
        <f aca="false">P24*$AW$58</f>
        <v>23.5897435897436</v>
      </c>
      <c r="AX61" s="35" t="n">
        <f aca="false">Q24*$AX$58</f>
        <v>-23.2142857142857</v>
      </c>
      <c r="AY61" s="35" t="n">
        <f aca="false">SUM(AQ61:AX61)</f>
        <v>186.404990842491</v>
      </c>
    </row>
    <row r="62" customFormat="false" ht="14.25" hidden="false" customHeight="true" outlineLevel="0" collapsed="false">
      <c r="A62" s="14" t="s">
        <v>37</v>
      </c>
      <c r="B62" s="50" t="n">
        <v>1</v>
      </c>
      <c r="C62" s="16" t="s">
        <v>34</v>
      </c>
      <c r="D62" s="6" t="s">
        <v>203</v>
      </c>
      <c r="E62" s="6" t="s">
        <v>204</v>
      </c>
      <c r="F62" s="6" t="s">
        <v>62</v>
      </c>
      <c r="G62" s="6" t="s">
        <v>66</v>
      </c>
      <c r="I62" s="33" t="s">
        <v>95</v>
      </c>
      <c r="J62" s="34" t="n">
        <f aca="false">VLOOKUP(I62,$I$1:$R$18,3,FALSE())</f>
        <v>0</v>
      </c>
      <c r="S62" s="33" t="s">
        <v>95</v>
      </c>
      <c r="T62" s="34" t="n">
        <f aca="false">VLOOKUP(S62,$I$1:$R$18,6,FALSE())</f>
        <v>0</v>
      </c>
      <c r="AP62" s="33" t="s">
        <v>120</v>
      </c>
      <c r="AQ62" s="35" t="n">
        <f aca="false">J25*$AQ$58</f>
        <v>75</v>
      </c>
      <c r="AR62" s="35" t="n">
        <f aca="false">K25*$AR$58</f>
        <v>-80</v>
      </c>
      <c r="AS62" s="35" t="n">
        <f aca="false">L25*$AS$58</f>
        <v>18.75</v>
      </c>
      <c r="AT62" s="35" t="n">
        <f aca="false">M25*$AT$58</f>
        <v>119</v>
      </c>
      <c r="AU62" s="35" t="n">
        <f aca="false">N25*$AU$58</f>
        <v>-101.833333333333</v>
      </c>
      <c r="AV62" s="35" t="n">
        <f aca="false">O25*$AV$58</f>
        <v>22.3404255319149</v>
      </c>
      <c r="AW62" s="35" t="n">
        <f aca="false">P25*$AW$58</f>
        <v>28</v>
      </c>
      <c r="AX62" s="35" t="n">
        <f aca="false">Q25*$AX$58</f>
        <v>-23.5</v>
      </c>
      <c r="AY62" s="35" t="n">
        <f aca="false">SUM(AQ62:AX62)</f>
        <v>57.7570921985816</v>
      </c>
    </row>
    <row r="63" customFormat="false" ht="14.25" hidden="false" customHeight="true" outlineLevel="0" collapsed="false">
      <c r="A63" s="14" t="s">
        <v>36</v>
      </c>
      <c r="B63" s="50" t="n">
        <v>2</v>
      </c>
      <c r="C63" s="16" t="s">
        <v>33</v>
      </c>
      <c r="D63" s="6" t="s">
        <v>205</v>
      </c>
      <c r="E63" s="6" t="s">
        <v>206</v>
      </c>
      <c r="F63" s="6" t="s">
        <v>78</v>
      </c>
      <c r="G63" s="6" t="s">
        <v>77</v>
      </c>
      <c r="AP63" s="73" t="s">
        <v>123</v>
      </c>
      <c r="AQ63" s="35" t="n">
        <f aca="false">J26*$AQ$58</f>
        <v>112.5</v>
      </c>
      <c r="AR63" s="35" t="n">
        <f aca="false">K26*$AR$58</f>
        <v>-33</v>
      </c>
      <c r="AS63" s="35" t="n">
        <f aca="false">L26*$AS$58</f>
        <v>68.1818181818182</v>
      </c>
      <c r="AT63" s="35" t="n">
        <f aca="false">M26*$AT$58</f>
        <v>178.5</v>
      </c>
      <c r="AU63" s="35" t="n">
        <f aca="false">N26*$AU$58</f>
        <v>-35.75</v>
      </c>
      <c r="AV63" s="35" t="n">
        <f aca="false">O26*$AV$58</f>
        <v>95.4545454545455</v>
      </c>
      <c r="AW63" s="35" t="n">
        <f aca="false">P26*$AW$58</f>
        <v>28</v>
      </c>
      <c r="AX63" s="35" t="n">
        <f aca="false">Q26*$AX$58</f>
        <v>-20</v>
      </c>
      <c r="AY63" s="35" t="n">
        <f aca="false">SUM(AQ63:AX63)</f>
        <v>393.886363636364</v>
      </c>
    </row>
    <row r="64" customFormat="false" ht="14.25" hidden="false" customHeight="true" outlineLevel="0" collapsed="false">
      <c r="A64" s="14" t="s">
        <v>36</v>
      </c>
      <c r="B64" s="50" t="n">
        <v>2</v>
      </c>
      <c r="C64" s="16" t="s">
        <v>35</v>
      </c>
      <c r="D64" s="6" t="s">
        <v>207</v>
      </c>
      <c r="E64" s="6" t="s">
        <v>208</v>
      </c>
      <c r="F64" s="6" t="s">
        <v>78</v>
      </c>
      <c r="G64" s="6" t="s">
        <v>58</v>
      </c>
      <c r="I64" s="33" t="s">
        <v>88</v>
      </c>
      <c r="J64" s="41" t="s">
        <v>18</v>
      </c>
      <c r="S64" s="33" t="s">
        <v>88</v>
      </c>
      <c r="T64" s="41" t="s">
        <v>21</v>
      </c>
    </row>
    <row r="65" customFormat="false" ht="14.25" hidden="false" customHeight="true" outlineLevel="0" collapsed="false">
      <c r="A65" s="14" t="s">
        <v>37</v>
      </c>
      <c r="B65" s="50" t="n">
        <v>2</v>
      </c>
      <c r="C65" s="16" t="s">
        <v>32</v>
      </c>
      <c r="D65" s="6" t="s">
        <v>209</v>
      </c>
      <c r="E65" s="6" t="s">
        <v>210</v>
      </c>
      <c r="F65" s="6" t="s">
        <v>62</v>
      </c>
      <c r="G65" s="6" t="s">
        <v>53</v>
      </c>
      <c r="I65" s="33" t="s">
        <v>11</v>
      </c>
      <c r="J65" s="35" t="n">
        <f aca="false">VLOOKUP(I65,$I$1:$R$18,4,FALSE())</f>
        <v>2.72727272727273</v>
      </c>
      <c r="S65" s="33" t="s">
        <v>11</v>
      </c>
      <c r="T65" s="35" t="n">
        <f aca="false">VLOOKUP(S65,$I$1:$R$18,7,FALSE())</f>
        <v>3.84615384615385</v>
      </c>
      <c r="AP65" s="74" t="s">
        <v>10</v>
      </c>
      <c r="AQ65" s="75" t="s">
        <v>143</v>
      </c>
      <c r="AR65" s="75" t="s">
        <v>144</v>
      </c>
    </row>
    <row r="66" customFormat="false" ht="14.25" hidden="false" customHeight="true" outlineLevel="0" collapsed="false">
      <c r="A66" s="14" t="s">
        <v>11</v>
      </c>
      <c r="B66" s="50" t="n">
        <v>2</v>
      </c>
      <c r="C66" s="16" t="s">
        <v>39</v>
      </c>
      <c r="D66" s="6" t="s">
        <v>211</v>
      </c>
      <c r="E66" s="6" t="s">
        <v>212</v>
      </c>
      <c r="F66" s="6" t="s">
        <v>15</v>
      </c>
      <c r="G66" s="6" t="s">
        <v>57</v>
      </c>
      <c r="I66" s="33" t="s">
        <v>37</v>
      </c>
      <c r="J66" s="35" t="n">
        <f aca="false">VLOOKUP(I66,$I$1:$R$18,4,FALSE())</f>
        <v>1.5</v>
      </c>
      <c r="S66" s="33" t="s">
        <v>41</v>
      </c>
      <c r="T66" s="35" t="n">
        <f aca="false">VLOOKUP(S66,$I$1:$R$18,7,FALSE())</f>
        <v>3.75</v>
      </c>
      <c r="AP66" s="80" t="s">
        <v>123</v>
      </c>
      <c r="AQ66" s="77" t="n">
        <f aca="false">$AY$63</f>
        <v>393.886363636364</v>
      </c>
      <c r="AR66" s="77" t="n">
        <f aca="false">AQ66-($AQ$70)</f>
        <v>336.129271437782</v>
      </c>
    </row>
    <row r="67" customFormat="false" ht="14.25" hidden="false" customHeight="true" outlineLevel="0" collapsed="false">
      <c r="A67" s="14" t="s">
        <v>11</v>
      </c>
      <c r="B67" s="50" t="n">
        <v>2</v>
      </c>
      <c r="C67" s="16" t="s">
        <v>32</v>
      </c>
      <c r="D67" s="6" t="s">
        <v>213</v>
      </c>
      <c r="E67" s="6" t="s">
        <v>214</v>
      </c>
      <c r="F67" s="6" t="s">
        <v>15</v>
      </c>
      <c r="G67" s="6" t="s">
        <v>53</v>
      </c>
      <c r="I67" s="33" t="s">
        <v>30</v>
      </c>
      <c r="J67" s="35" t="n">
        <f aca="false">VLOOKUP(I67,$I$1:$R$18,4,FALSE())</f>
        <v>1.92307692307692</v>
      </c>
      <c r="S67" s="33" t="s">
        <v>37</v>
      </c>
      <c r="T67" s="35" t="n">
        <f aca="false">VLOOKUP(S67,$I$1:$R$18,7,FALSE())</f>
        <v>1.58823529411765</v>
      </c>
      <c r="AP67" s="33" t="s">
        <v>111</v>
      </c>
      <c r="AQ67" s="77" t="n">
        <f aca="false">$AY$59</f>
        <v>207.018794914317</v>
      </c>
      <c r="AR67" s="77" t="n">
        <f aca="false">AQ67-($AQ$70)</f>
        <v>149.261702715736</v>
      </c>
    </row>
    <row r="68" customFormat="false" ht="14.25" hidden="false" customHeight="true" outlineLevel="0" collapsed="false">
      <c r="A68" s="14" t="s">
        <v>11</v>
      </c>
      <c r="B68" s="50" t="n">
        <v>1</v>
      </c>
      <c r="C68" s="16" t="s">
        <v>33</v>
      </c>
      <c r="D68" s="6" t="s">
        <v>215</v>
      </c>
      <c r="E68" s="6" t="s">
        <v>216</v>
      </c>
      <c r="F68" s="6" t="s">
        <v>15</v>
      </c>
      <c r="G68" s="6" t="s">
        <v>77</v>
      </c>
      <c r="I68" s="33" t="s">
        <v>38</v>
      </c>
      <c r="J68" s="35" t="n">
        <f aca="false">VLOOKUP(I68,$I$1:$R$18,4,FALSE())</f>
        <v>1.33333333333333</v>
      </c>
      <c r="S68" s="33" t="s">
        <v>30</v>
      </c>
      <c r="T68" s="35" t="n">
        <f aca="false">VLOOKUP(S68,$I$1:$R$18,7,FALSE())</f>
        <v>2.26315789473684</v>
      </c>
      <c r="AP68" s="33" t="s">
        <v>117</v>
      </c>
      <c r="AQ68" s="77" t="n">
        <f aca="false">$AY$61</f>
        <v>186.404990842491</v>
      </c>
      <c r="AR68" s="77" t="n">
        <f aca="false">AQ68-($AQ$70)</f>
        <v>128.647898643909</v>
      </c>
    </row>
    <row r="69" customFormat="false" ht="14.25" hidden="false" customHeight="true" outlineLevel="0" collapsed="false">
      <c r="A69" s="14" t="s">
        <v>33</v>
      </c>
      <c r="B69" s="50" t="n">
        <v>2</v>
      </c>
      <c r="C69" s="16" t="s">
        <v>11</v>
      </c>
      <c r="D69" s="6" t="s">
        <v>217</v>
      </c>
      <c r="E69" s="6" t="s">
        <v>218</v>
      </c>
      <c r="F69" s="6" t="s">
        <v>77</v>
      </c>
      <c r="G69" s="6" t="s">
        <v>15</v>
      </c>
      <c r="I69" s="33" t="s">
        <v>39</v>
      </c>
      <c r="J69" s="35" t="n">
        <f aca="false">VLOOKUP(I69,$I$1:$R$18,4,FALSE())</f>
        <v>1.92307692307692</v>
      </c>
      <c r="S69" s="33" t="s">
        <v>38</v>
      </c>
      <c r="T69" s="35" t="n">
        <f aca="false">VLOOKUP(S69,$I$1:$R$18,7,FALSE())</f>
        <v>1.42857142857143</v>
      </c>
      <c r="AP69" s="33" t="s">
        <v>114</v>
      </c>
      <c r="AQ69" s="81" t="n">
        <f aca="false">$AY$60</f>
        <v>102.080195227125</v>
      </c>
      <c r="AR69" s="77" t="n">
        <f aca="false">AQ69-($AQ$70)</f>
        <v>44.3231030285435</v>
      </c>
    </row>
    <row r="70" customFormat="false" ht="14.25" hidden="false" customHeight="true" outlineLevel="0" collapsed="false">
      <c r="A70" s="14" t="s">
        <v>36</v>
      </c>
      <c r="B70" s="50" t="n">
        <v>1</v>
      </c>
      <c r="C70" s="16" t="s">
        <v>34</v>
      </c>
      <c r="D70" s="6" t="s">
        <v>219</v>
      </c>
      <c r="E70" s="6" t="s">
        <v>220</v>
      </c>
      <c r="F70" s="6" t="s">
        <v>78</v>
      </c>
      <c r="G70" s="6" t="s">
        <v>66</v>
      </c>
      <c r="I70" s="33" t="s">
        <v>36</v>
      </c>
      <c r="J70" s="35" t="n">
        <f aca="false">VLOOKUP(I70,$I$1:$R$18,4,FALSE())</f>
        <v>1.18181818181818</v>
      </c>
      <c r="S70" s="33" t="s">
        <v>39</v>
      </c>
      <c r="T70" s="35" t="n">
        <f aca="false">VLOOKUP(S70,$I$1:$R$18,7,FALSE())</f>
        <v>2.2</v>
      </c>
      <c r="AP70" s="82" t="s">
        <v>120</v>
      </c>
      <c r="AQ70" s="77" t="n">
        <f aca="false">$AY$62</f>
        <v>57.7570921985816</v>
      </c>
      <c r="AR70" s="83" t="n">
        <f aca="false">AQ70-($AQ$70)</f>
        <v>0</v>
      </c>
    </row>
    <row r="71" customFormat="false" ht="14.25" hidden="false" customHeight="true" outlineLevel="0" collapsed="false">
      <c r="A71" s="14" t="s">
        <v>33</v>
      </c>
      <c r="B71" s="50" t="n">
        <v>1</v>
      </c>
      <c r="C71" s="16" t="s">
        <v>36</v>
      </c>
      <c r="D71" s="6" t="s">
        <v>221</v>
      </c>
      <c r="E71" s="6" t="s">
        <v>222</v>
      </c>
      <c r="F71" s="6" t="s">
        <v>77</v>
      </c>
      <c r="G71" s="6" t="s">
        <v>78</v>
      </c>
      <c r="I71" s="33" t="s">
        <v>41</v>
      </c>
      <c r="J71" s="35" t="n">
        <f aca="false">VLOOKUP(I71,$I$1:$R$18,4,FALSE())</f>
        <v>1.57142857142857</v>
      </c>
      <c r="S71" s="33" t="s">
        <v>36</v>
      </c>
      <c r="T71" s="35" t="n">
        <f aca="false">VLOOKUP(S71,$I$1:$R$18,7,FALSE())</f>
        <v>1.05714285714286</v>
      </c>
    </row>
    <row r="72" customFormat="false" ht="14.25" hidden="false" customHeight="true" outlineLevel="0" collapsed="false">
      <c r="A72" s="14" t="s">
        <v>36</v>
      </c>
      <c r="B72" s="50" t="n">
        <v>2</v>
      </c>
      <c r="C72" s="16" t="s">
        <v>33</v>
      </c>
      <c r="D72" s="6" t="s">
        <v>223</v>
      </c>
      <c r="E72" s="6" t="s">
        <v>224</v>
      </c>
      <c r="F72" s="6" t="s">
        <v>78</v>
      </c>
      <c r="G72" s="6" t="s">
        <v>77</v>
      </c>
      <c r="I72" s="33" t="s">
        <v>34</v>
      </c>
      <c r="J72" s="35" t="n">
        <f aca="false">VLOOKUP(I72,$I$1:$R$18,4,FALSE())</f>
        <v>1.05714285714286</v>
      </c>
      <c r="S72" s="33" t="s">
        <v>34</v>
      </c>
      <c r="T72" s="35" t="n">
        <f aca="false">VLOOKUP(S72,$I$1:$R$18,7,FALSE())</f>
        <v>1.06122448979592</v>
      </c>
    </row>
    <row r="73" customFormat="false" ht="14.25" hidden="false" customHeight="true" outlineLevel="0" collapsed="false">
      <c r="A73" s="14" t="s">
        <v>33</v>
      </c>
      <c r="B73" s="50" t="n">
        <v>1</v>
      </c>
      <c r="C73" s="16" t="s">
        <v>34</v>
      </c>
      <c r="D73" s="6" t="s">
        <v>225</v>
      </c>
      <c r="E73" s="6" t="s">
        <v>226</v>
      </c>
      <c r="F73" s="6" t="s">
        <v>77</v>
      </c>
      <c r="G73" s="6" t="s">
        <v>66</v>
      </c>
      <c r="I73" s="33" t="s">
        <v>31</v>
      </c>
      <c r="J73" s="35" t="n">
        <f aca="false">VLOOKUP(I73,$I$1:$R$18,4,FALSE())</f>
        <v>0.883720930232558</v>
      </c>
      <c r="S73" s="33" t="s">
        <v>42</v>
      </c>
      <c r="T73" s="35" t="n">
        <f aca="false">VLOOKUP(S73,$I$1:$R$18,7,FALSE())</f>
        <v>0.833333333333333</v>
      </c>
    </row>
    <row r="74" customFormat="false" ht="14.25" hidden="false" customHeight="true" outlineLevel="0" collapsed="false">
      <c r="A74" s="14" t="s">
        <v>34</v>
      </c>
      <c r="B74" s="50" t="n">
        <v>1</v>
      </c>
      <c r="C74" s="16" t="s">
        <v>33</v>
      </c>
      <c r="D74" s="6" t="s">
        <v>227</v>
      </c>
      <c r="E74" s="6" t="s">
        <v>228</v>
      </c>
      <c r="F74" s="6" t="s">
        <v>66</v>
      </c>
      <c r="G74" s="6" t="s">
        <v>77</v>
      </c>
      <c r="I74" s="33" t="s">
        <v>32</v>
      </c>
      <c r="J74" s="35" t="n">
        <f aca="false">VLOOKUP(I74,$I$1:$R$18,4,FALSE())</f>
        <v>0.846153846153846</v>
      </c>
      <c r="S74" s="33" t="s">
        <v>31</v>
      </c>
      <c r="T74" s="35" t="n">
        <f aca="false">VLOOKUP(S74,$I$1:$R$18,7,FALSE())</f>
        <v>0.757575757575758</v>
      </c>
      <c r="AJ74" s="72"/>
      <c r="AM74" s="72"/>
      <c r="AP74" s="72"/>
      <c r="AQ74" s="72"/>
      <c r="AR74" s="72"/>
    </row>
    <row r="75" customFormat="false" ht="14.25" hidden="false" customHeight="true" outlineLevel="0" collapsed="false">
      <c r="A75" s="14" t="s">
        <v>34</v>
      </c>
      <c r="B75" s="50" t="n">
        <v>2</v>
      </c>
      <c r="C75" s="16" t="s">
        <v>36</v>
      </c>
      <c r="D75" s="6" t="s">
        <v>229</v>
      </c>
      <c r="E75" s="6" t="s">
        <v>230</v>
      </c>
      <c r="F75" s="6" t="s">
        <v>66</v>
      </c>
      <c r="G75" s="6" t="s">
        <v>78</v>
      </c>
      <c r="I75" s="33" t="s">
        <v>42</v>
      </c>
      <c r="J75" s="35" t="n">
        <f aca="false">VLOOKUP(I75,$I$1:$R$18,4,FALSE())</f>
        <v>0.75</v>
      </c>
      <c r="S75" s="33" t="s">
        <v>33</v>
      </c>
      <c r="T75" s="35" t="n">
        <f aca="false">VLOOKUP(S75,$I$1:$R$18,7,FALSE())</f>
        <v>0.816326530612245</v>
      </c>
      <c r="AG75" s="72"/>
      <c r="AH75" s="72"/>
      <c r="AM75" s="72"/>
      <c r="AP75" s="72"/>
      <c r="AQ75" s="72"/>
      <c r="AR75" s="72"/>
    </row>
    <row r="76" customFormat="false" ht="14.25" hidden="false" customHeight="true" outlineLevel="0" collapsed="false">
      <c r="A76" s="14" t="s">
        <v>32</v>
      </c>
      <c r="B76" s="50" t="n">
        <v>2</v>
      </c>
      <c r="C76" s="16" t="s">
        <v>31</v>
      </c>
      <c r="D76" s="6" t="s">
        <v>231</v>
      </c>
      <c r="E76" s="6" t="s">
        <v>232</v>
      </c>
      <c r="F76" s="6" t="s">
        <v>53</v>
      </c>
      <c r="G76" s="6" t="s">
        <v>84</v>
      </c>
      <c r="I76" s="33" t="s">
        <v>33</v>
      </c>
      <c r="J76" s="35" t="n">
        <f aca="false">VLOOKUP(I76,$I$1:$R$18,4,FALSE())</f>
        <v>0.638888888888889</v>
      </c>
      <c r="S76" s="33" t="s">
        <v>32</v>
      </c>
      <c r="T76" s="35" t="n">
        <f aca="false">VLOOKUP(S76,$I$1:$R$18,7,FALSE())</f>
        <v>0.725806451612903</v>
      </c>
      <c r="AP76" s="72"/>
      <c r="AQ76" s="72"/>
      <c r="AR76" s="72"/>
    </row>
    <row r="77" customFormat="false" ht="14.25" hidden="false" customHeight="true" outlineLevel="0" collapsed="false">
      <c r="A77" s="14" t="s">
        <v>40</v>
      </c>
      <c r="B77" s="50" t="n">
        <v>2</v>
      </c>
      <c r="C77" s="16" t="s">
        <v>31</v>
      </c>
      <c r="D77" s="6" t="s">
        <v>233</v>
      </c>
      <c r="E77" s="6" t="s">
        <v>234</v>
      </c>
      <c r="F77" s="6" t="s">
        <v>98</v>
      </c>
      <c r="G77" s="6" t="s">
        <v>84</v>
      </c>
      <c r="I77" s="33" t="s">
        <v>40</v>
      </c>
      <c r="J77" s="35" t="n">
        <f aca="false">VLOOKUP(I77,$I$1:$R$18,4,FALSE())</f>
        <v>0.111111111111111</v>
      </c>
      <c r="S77" s="33" t="s">
        <v>40</v>
      </c>
      <c r="T77" s="35" t="n">
        <f aca="false">VLOOKUP(S77,$I$1:$R$18,7,FALSE())</f>
        <v>0.125</v>
      </c>
      <c r="AP77" s="72"/>
      <c r="AQ77" s="72"/>
      <c r="AR77" s="72"/>
    </row>
    <row r="78" customFormat="false" ht="14.25" hidden="false" customHeight="true" outlineLevel="0" collapsed="false">
      <c r="A78" s="14" t="s">
        <v>31</v>
      </c>
      <c r="B78" s="50" t="n">
        <v>1</v>
      </c>
      <c r="C78" s="16" t="s">
        <v>40</v>
      </c>
      <c r="D78" s="6" t="s">
        <v>235</v>
      </c>
      <c r="E78" s="6" t="s">
        <v>236</v>
      </c>
      <c r="F78" s="6" t="s">
        <v>84</v>
      </c>
      <c r="G78" s="6" t="s">
        <v>98</v>
      </c>
      <c r="I78" s="33" t="s">
        <v>95</v>
      </c>
      <c r="J78" s="35" t="n">
        <f aca="false">VLOOKUP(I78,$I$1:$R$18,4,FALSE())</f>
        <v>0</v>
      </c>
      <c r="S78" s="33" t="s">
        <v>95</v>
      </c>
      <c r="T78" s="35" t="n">
        <f aca="false">VLOOKUP(S78,$I$1:$R$18,7,FALSE())</f>
        <v>0</v>
      </c>
      <c r="AQ78" s="72"/>
      <c r="AR78" s="72"/>
    </row>
    <row r="79" customFormat="false" ht="14.25" hidden="false" customHeight="true" outlineLevel="0" collapsed="false">
      <c r="A79" s="14" t="s">
        <v>38</v>
      </c>
      <c r="B79" s="50" t="n">
        <v>1</v>
      </c>
      <c r="C79" s="16" t="s">
        <v>30</v>
      </c>
      <c r="D79" s="6" t="s">
        <v>237</v>
      </c>
      <c r="E79" s="6" t="s">
        <v>238</v>
      </c>
      <c r="F79" s="6" t="s">
        <v>184</v>
      </c>
      <c r="G79" s="6" t="s">
        <v>52</v>
      </c>
      <c r="I79" s="33" t="s">
        <v>43</v>
      </c>
      <c r="J79" s="35" t="n">
        <f aca="false">VLOOKUP(I79,$I$1:$R$18,4,FALSE())</f>
        <v>0</v>
      </c>
      <c r="S79" s="33" t="s">
        <v>43</v>
      </c>
      <c r="T79" s="35" t="n">
        <f aca="false">VLOOKUP(S79,$I$1:$R$18,7,FALSE())</f>
        <v>0</v>
      </c>
      <c r="AP79" s="72"/>
      <c r="AQ79" s="72"/>
      <c r="AR79" s="72"/>
    </row>
    <row r="80" customFormat="false" ht="14.25" hidden="false" customHeight="true" outlineLevel="0" collapsed="false">
      <c r="A80" s="14" t="s">
        <v>30</v>
      </c>
      <c r="B80" s="50" t="n">
        <v>1</v>
      </c>
      <c r="C80" s="16" t="s">
        <v>38</v>
      </c>
      <c r="D80" s="6" t="s">
        <v>239</v>
      </c>
      <c r="E80" s="6" t="s">
        <v>240</v>
      </c>
      <c r="F80" s="6" t="s">
        <v>52</v>
      </c>
      <c r="G80" s="6" t="s">
        <v>184</v>
      </c>
      <c r="I80" s="33" t="s">
        <v>35</v>
      </c>
      <c r="J80" s="35" t="n">
        <f aca="false">VLOOKUP(I80,$I$1:$R$18,4,FALSE())</f>
        <v>0</v>
      </c>
      <c r="S80" s="33" t="s">
        <v>35</v>
      </c>
      <c r="T80" s="35" t="n">
        <f aca="false">VLOOKUP(S80,$I$1:$R$18,7,FALSE())</f>
        <v>0</v>
      </c>
    </row>
    <row r="81" customFormat="false" ht="14.25" hidden="false" customHeight="true" outlineLevel="0" collapsed="false">
      <c r="A81" s="14" t="s">
        <v>41</v>
      </c>
      <c r="B81" s="50" t="n">
        <v>1</v>
      </c>
      <c r="C81" s="16" t="s">
        <v>35</v>
      </c>
      <c r="D81" s="6" t="s">
        <v>241</v>
      </c>
      <c r="E81" s="6" t="s">
        <v>242</v>
      </c>
      <c r="F81" s="6" t="s">
        <v>48</v>
      </c>
      <c r="G81" s="6" t="s">
        <v>58</v>
      </c>
    </row>
    <row r="82" customFormat="false" ht="14.25" hidden="false" customHeight="true" outlineLevel="0" collapsed="false">
      <c r="A82" s="14" t="s">
        <v>11</v>
      </c>
      <c r="B82" s="50" t="n">
        <v>1</v>
      </c>
      <c r="C82" s="16" t="s">
        <v>31</v>
      </c>
      <c r="D82" s="6" t="s">
        <v>243</v>
      </c>
      <c r="E82" s="6" t="s">
        <v>244</v>
      </c>
      <c r="F82" s="6" t="s">
        <v>15</v>
      </c>
      <c r="G82" s="6" t="s">
        <v>84</v>
      </c>
      <c r="I82" s="33" t="s">
        <v>108</v>
      </c>
      <c r="J82" s="41" t="s">
        <v>16</v>
      </c>
      <c r="S82" s="33" t="s">
        <v>108</v>
      </c>
      <c r="T82" s="41" t="s">
        <v>19</v>
      </c>
    </row>
    <row r="83" customFormat="false" ht="14.25" hidden="false" customHeight="true" outlineLevel="0" collapsed="false">
      <c r="A83" s="14" t="s">
        <v>31</v>
      </c>
      <c r="B83" s="50" t="n">
        <v>1</v>
      </c>
      <c r="C83" s="16" t="s">
        <v>11</v>
      </c>
      <c r="D83" s="6" t="s">
        <v>245</v>
      </c>
      <c r="E83" s="6" t="s">
        <v>246</v>
      </c>
      <c r="F83" s="6" t="s">
        <v>84</v>
      </c>
      <c r="G83" s="6" t="s">
        <v>15</v>
      </c>
      <c r="I83" s="52" t="s">
        <v>117</v>
      </c>
      <c r="J83" s="67" t="n">
        <f aca="false">VLOOKUP(I83,$I$22:$Q$26,2,FALSE())</f>
        <v>29.25</v>
      </c>
      <c r="S83" s="52" t="s">
        <v>117</v>
      </c>
      <c r="T83" s="67" t="n">
        <f aca="false">VLOOKUP(S83,$I$22:$Q$26,5,FALSE())</f>
        <v>34.5</v>
      </c>
    </row>
    <row r="84" customFormat="false" ht="14.25" hidden="false" customHeight="true" outlineLevel="0" collapsed="false">
      <c r="A84" s="14" t="s">
        <v>38</v>
      </c>
      <c r="B84" s="50" t="n">
        <v>1</v>
      </c>
      <c r="C84" s="16" t="s">
        <v>30</v>
      </c>
      <c r="D84" s="6" t="s">
        <v>247</v>
      </c>
      <c r="E84" s="6" t="s">
        <v>248</v>
      </c>
      <c r="F84" s="6" t="s">
        <v>184</v>
      </c>
      <c r="G84" s="6" t="s">
        <v>52</v>
      </c>
      <c r="I84" s="33" t="s">
        <v>111</v>
      </c>
      <c r="J84" s="67" t="n">
        <f aca="false">VLOOKUP(I84,$I$22:$Q$26,2,FALSE())</f>
        <v>21.25</v>
      </c>
      <c r="S84" s="33" t="s">
        <v>111</v>
      </c>
      <c r="T84" s="67" t="n">
        <f aca="false">VLOOKUP(S84,$I$22:$Q$26,5,FALSE())</f>
        <v>25.5</v>
      </c>
    </row>
    <row r="85" customFormat="false" ht="14.25" hidden="false" customHeight="true" outlineLevel="0" collapsed="false">
      <c r="A85" s="14" t="s">
        <v>30</v>
      </c>
      <c r="B85" s="50" t="n">
        <v>1</v>
      </c>
      <c r="C85" s="16" t="s">
        <v>38</v>
      </c>
      <c r="D85" s="6" t="s">
        <v>249</v>
      </c>
      <c r="E85" s="6" t="s">
        <v>250</v>
      </c>
      <c r="F85" s="6" t="s">
        <v>52</v>
      </c>
      <c r="G85" s="6" t="s">
        <v>184</v>
      </c>
      <c r="I85" s="33" t="s">
        <v>114</v>
      </c>
      <c r="J85" s="67" t="n">
        <f aca="false">VLOOKUP(I85,$I$22:$Q$26,2,FALSE())</f>
        <v>19</v>
      </c>
      <c r="S85" s="33" t="s">
        <v>114</v>
      </c>
      <c r="T85" s="67" t="n">
        <f aca="false">VLOOKUP(S85,$I$22:$Q$26,5,FALSE())</f>
        <v>23</v>
      </c>
    </row>
    <row r="86" customFormat="false" ht="14.25" hidden="false" customHeight="true" outlineLevel="0" collapsed="false">
      <c r="A86" s="14" t="s">
        <v>36</v>
      </c>
      <c r="B86" s="50" t="n">
        <v>1</v>
      </c>
      <c r="C86" s="16" t="s">
        <v>30</v>
      </c>
      <c r="D86" s="6" t="s">
        <v>251</v>
      </c>
      <c r="E86" s="6" t="s">
        <v>252</v>
      </c>
      <c r="F86" s="6" t="s">
        <v>78</v>
      </c>
      <c r="G86" s="6" t="s">
        <v>52</v>
      </c>
      <c r="I86" s="33" t="s">
        <v>120</v>
      </c>
      <c r="J86" s="67" t="n">
        <f aca="false">VLOOKUP(I86,$I$22:$Q$26,2,FALSE())</f>
        <v>10</v>
      </c>
      <c r="S86" s="33" t="s">
        <v>120</v>
      </c>
      <c r="T86" s="67" t="n">
        <f aca="false">VLOOKUP(S86,$I$22:$Q$26,5,FALSE())</f>
        <v>14</v>
      </c>
    </row>
    <row r="87" customFormat="false" ht="14.25" hidden="false" customHeight="true" outlineLevel="0" collapsed="false">
      <c r="A87" s="14" t="s">
        <v>30</v>
      </c>
      <c r="B87" s="50" t="n">
        <v>1</v>
      </c>
      <c r="C87" s="16" t="s">
        <v>36</v>
      </c>
      <c r="D87" s="6" t="s">
        <v>253</v>
      </c>
      <c r="E87" s="6" t="s">
        <v>254</v>
      </c>
      <c r="F87" s="6" t="s">
        <v>52</v>
      </c>
      <c r="G87" s="6" t="s">
        <v>78</v>
      </c>
    </row>
    <row r="88" customFormat="false" ht="14.25" hidden="false" customHeight="true" outlineLevel="0" collapsed="false">
      <c r="A88" s="14" t="s">
        <v>33</v>
      </c>
      <c r="B88" s="50" t="n">
        <v>2</v>
      </c>
      <c r="C88" s="16" t="s">
        <v>31</v>
      </c>
      <c r="D88" s="6" t="s">
        <v>255</v>
      </c>
      <c r="E88" s="6" t="s">
        <v>256</v>
      </c>
      <c r="F88" s="6" t="s">
        <v>77</v>
      </c>
      <c r="G88" s="6" t="s">
        <v>84</v>
      </c>
    </row>
    <row r="89" customFormat="false" ht="14.25" hidden="false" customHeight="true" outlineLevel="0" collapsed="false">
      <c r="A89" s="14" t="s">
        <v>11</v>
      </c>
      <c r="B89" s="50" t="n">
        <v>2</v>
      </c>
      <c r="C89" s="16" t="s">
        <v>38</v>
      </c>
      <c r="D89" s="6" t="s">
        <v>257</v>
      </c>
      <c r="E89" s="6" t="s">
        <v>258</v>
      </c>
      <c r="F89" s="6" t="s">
        <v>15</v>
      </c>
      <c r="G89" s="6" t="s">
        <v>184</v>
      </c>
      <c r="AQ89" s="72"/>
      <c r="AR89" s="84"/>
    </row>
    <row r="90" customFormat="false" ht="14.25" hidden="false" customHeight="true" outlineLevel="0" collapsed="false">
      <c r="A90" s="14" t="s">
        <v>33</v>
      </c>
      <c r="B90" s="50" t="n">
        <v>2</v>
      </c>
      <c r="C90" s="16" t="s">
        <v>36</v>
      </c>
      <c r="D90" s="6" t="s">
        <v>259</v>
      </c>
      <c r="E90" s="6" t="s">
        <v>260</v>
      </c>
      <c r="F90" s="6" t="s">
        <v>77</v>
      </c>
      <c r="G90" s="6" t="s">
        <v>78</v>
      </c>
      <c r="AQ90" s="72"/>
      <c r="AR90" s="84"/>
    </row>
    <row r="91" customFormat="false" ht="14.25" hidden="false" customHeight="true" outlineLevel="0" collapsed="false">
      <c r="A91" s="14" t="s">
        <v>36</v>
      </c>
      <c r="B91" s="50" t="n">
        <v>1</v>
      </c>
      <c r="C91" s="16" t="s">
        <v>33</v>
      </c>
      <c r="D91" s="6" t="s">
        <v>261</v>
      </c>
      <c r="E91" s="6" t="s">
        <v>262</v>
      </c>
      <c r="F91" s="6" t="s">
        <v>78</v>
      </c>
      <c r="G91" s="6" t="s">
        <v>77</v>
      </c>
      <c r="AQ91" s="72"/>
      <c r="AR91" s="84"/>
    </row>
    <row r="92" customFormat="false" ht="14.25" hidden="false" customHeight="true" outlineLevel="0" collapsed="false">
      <c r="A92" s="14" t="s">
        <v>32</v>
      </c>
      <c r="B92" s="50" t="n">
        <v>1</v>
      </c>
      <c r="C92" s="16" t="s">
        <v>35</v>
      </c>
      <c r="D92" s="6" t="s">
        <v>263</v>
      </c>
      <c r="E92" s="6" t="s">
        <v>264</v>
      </c>
      <c r="F92" s="6" t="s">
        <v>53</v>
      </c>
      <c r="G92" s="6" t="s">
        <v>58</v>
      </c>
      <c r="AQ92" s="72"/>
      <c r="AR92" s="84"/>
    </row>
    <row r="93" customFormat="false" ht="14.25" hidden="false" customHeight="true" outlineLevel="0" collapsed="false">
      <c r="A93" s="14" t="s">
        <v>37</v>
      </c>
      <c r="B93" s="50" t="n">
        <v>1</v>
      </c>
      <c r="C93" s="16" t="s">
        <v>31</v>
      </c>
      <c r="D93" s="6" t="s">
        <v>265</v>
      </c>
      <c r="E93" s="6" t="s">
        <v>266</v>
      </c>
      <c r="F93" s="6" t="s">
        <v>62</v>
      </c>
      <c r="G93" s="6" t="s">
        <v>84</v>
      </c>
      <c r="I93" s="33" t="s">
        <v>108</v>
      </c>
      <c r="J93" s="41" t="s">
        <v>17</v>
      </c>
      <c r="S93" s="33" t="s">
        <v>108</v>
      </c>
      <c r="T93" s="41" t="s">
        <v>20</v>
      </c>
      <c r="AQ93" s="72"/>
      <c r="AR93" s="84"/>
    </row>
    <row r="94" customFormat="false" ht="14.25" hidden="false" customHeight="true" outlineLevel="0" collapsed="false">
      <c r="A94" s="14" t="s">
        <v>31</v>
      </c>
      <c r="B94" s="50" t="n">
        <v>1</v>
      </c>
      <c r="C94" s="16" t="s">
        <v>37</v>
      </c>
      <c r="D94" s="6" t="s">
        <v>267</v>
      </c>
      <c r="E94" s="6" t="s">
        <v>268</v>
      </c>
      <c r="F94" s="6" t="s">
        <v>84</v>
      </c>
      <c r="G94" s="6" t="s">
        <v>62</v>
      </c>
      <c r="I94" s="33" t="s">
        <v>117</v>
      </c>
      <c r="J94" s="69" t="n">
        <f aca="false">VLOOKUP(I94,$I$22:$Q$26,3,FALSE())</f>
        <v>28</v>
      </c>
      <c r="S94" s="33" t="s">
        <v>117</v>
      </c>
      <c r="T94" s="69" t="n">
        <f aca="false">VLOOKUP(S94,$I$22:$Q$26,6,FALSE())</f>
        <v>32.5</v>
      </c>
      <c r="AM94" s="72"/>
      <c r="AQ94" s="72"/>
      <c r="AR94" s="84"/>
    </row>
    <row r="95" customFormat="false" ht="14.25" hidden="false" customHeight="true" outlineLevel="0" collapsed="false">
      <c r="A95" s="14" t="s">
        <v>30</v>
      </c>
      <c r="B95" s="50" t="n">
        <v>2</v>
      </c>
      <c r="C95" s="16" t="s">
        <v>31</v>
      </c>
      <c r="D95" s="6" t="s">
        <v>269</v>
      </c>
      <c r="E95" s="6" t="s">
        <v>270</v>
      </c>
      <c r="F95" s="6" t="s">
        <v>52</v>
      </c>
      <c r="G95" s="6" t="s">
        <v>84</v>
      </c>
      <c r="I95" s="33" t="s">
        <v>114</v>
      </c>
      <c r="J95" s="69" t="n">
        <f aca="false">VLOOKUP(I95,$I$22:$Q$26,3,FALSE())</f>
        <v>20.25</v>
      </c>
      <c r="S95" s="33" t="s">
        <v>114</v>
      </c>
      <c r="T95" s="69" t="n">
        <f aca="false">VLOOKUP(S95,$I$22:$Q$26,6,FALSE())</f>
        <v>24.75</v>
      </c>
      <c r="AM95" s="72"/>
      <c r="AQ95" s="72"/>
      <c r="AR95" s="84"/>
    </row>
    <row r="96" customFormat="false" ht="14.25" hidden="false" customHeight="true" outlineLevel="0" collapsed="false">
      <c r="A96" s="14" t="s">
        <v>11</v>
      </c>
      <c r="B96" s="50" t="n">
        <v>1</v>
      </c>
      <c r="C96" s="16" t="s">
        <v>33</v>
      </c>
      <c r="D96" s="6" t="s">
        <v>271</v>
      </c>
      <c r="E96" s="6" t="s">
        <v>272</v>
      </c>
      <c r="F96" s="6" t="s">
        <v>15</v>
      </c>
      <c r="G96" s="6" t="s">
        <v>77</v>
      </c>
      <c r="I96" s="33" t="s">
        <v>120</v>
      </c>
      <c r="J96" s="69" t="n">
        <f aca="false">VLOOKUP(I96,$I$22:$Q$26,3,FALSE())</f>
        <v>13.3333333333333</v>
      </c>
      <c r="S96" s="33" t="s">
        <v>120</v>
      </c>
      <c r="T96" s="69" t="n">
        <f aca="false">VLOOKUP(S96,$I$22:$Q$26,6,FALSE())</f>
        <v>15.6666666666667</v>
      </c>
      <c r="AM96" s="72"/>
      <c r="AQ96" s="72"/>
      <c r="AR96" s="84"/>
    </row>
    <row r="97" customFormat="false" ht="14.25" hidden="false" customHeight="true" outlineLevel="0" collapsed="false">
      <c r="A97" s="14" t="s">
        <v>33</v>
      </c>
      <c r="B97" s="50" t="n">
        <v>1</v>
      </c>
      <c r="C97" s="16" t="s">
        <v>11</v>
      </c>
      <c r="D97" s="6" t="s">
        <v>273</v>
      </c>
      <c r="E97" s="6" t="s">
        <v>274</v>
      </c>
      <c r="F97" s="6" t="s">
        <v>77</v>
      </c>
      <c r="G97" s="6" t="s">
        <v>15</v>
      </c>
      <c r="I97" s="33" t="s">
        <v>111</v>
      </c>
      <c r="J97" s="69" t="n">
        <f aca="false">VLOOKUP(I97,$I$22:$Q$26,3,FALSE())</f>
        <v>16.75</v>
      </c>
      <c r="S97" s="33" t="s">
        <v>111</v>
      </c>
      <c r="T97" s="69" t="n">
        <f aca="false">VLOOKUP(S97,$I$22:$Q$26,6,FALSE())</f>
        <v>20.25</v>
      </c>
      <c r="AM97" s="72"/>
      <c r="AQ97" s="72"/>
      <c r="AR97" s="84"/>
    </row>
    <row r="98" customFormat="false" ht="14.25" hidden="false" customHeight="true" outlineLevel="0" collapsed="false">
      <c r="A98" s="14" t="s">
        <v>31</v>
      </c>
      <c r="B98" s="50" t="n">
        <v>1</v>
      </c>
      <c r="C98" s="16" t="s">
        <v>35</v>
      </c>
      <c r="D98" s="6" t="s">
        <v>275</v>
      </c>
      <c r="E98" s="6" t="s">
        <v>276</v>
      </c>
      <c r="F98" s="6" t="s">
        <v>84</v>
      </c>
      <c r="G98" s="6" t="s">
        <v>58</v>
      </c>
      <c r="AM98" s="72"/>
      <c r="AQ98" s="72"/>
      <c r="AR98" s="84"/>
    </row>
    <row r="99" customFormat="false" ht="14.25" hidden="false" customHeight="true" outlineLevel="0" collapsed="false">
      <c r="A99" s="14" t="s">
        <v>38</v>
      </c>
      <c r="B99" s="50" t="n">
        <v>2</v>
      </c>
      <c r="C99" s="16" t="s">
        <v>32</v>
      </c>
      <c r="D99" s="6" t="s">
        <v>277</v>
      </c>
      <c r="E99" s="6" t="s">
        <v>278</v>
      </c>
      <c r="F99" s="6" t="s">
        <v>184</v>
      </c>
      <c r="G99" s="6" t="s">
        <v>53</v>
      </c>
      <c r="AM99" s="72"/>
      <c r="AQ99" s="72"/>
      <c r="AR99" s="84"/>
    </row>
    <row r="100" customFormat="false" ht="14.25" hidden="false" customHeight="true" outlineLevel="0" collapsed="false">
      <c r="A100" s="14" t="s">
        <v>30</v>
      </c>
      <c r="B100" s="50" t="n">
        <v>2</v>
      </c>
      <c r="C100" s="16" t="s">
        <v>34</v>
      </c>
      <c r="D100" s="6" t="s">
        <v>279</v>
      </c>
      <c r="E100" s="6" t="s">
        <v>280</v>
      </c>
      <c r="F100" s="6" t="s">
        <v>52</v>
      </c>
      <c r="G100" s="6" t="s">
        <v>66</v>
      </c>
      <c r="AM100" s="72"/>
      <c r="AQ100" s="72"/>
      <c r="AR100" s="84"/>
    </row>
    <row r="101" customFormat="false" ht="14.25" hidden="false" customHeight="true" outlineLevel="0" collapsed="false">
      <c r="A101" s="14" t="s">
        <v>30</v>
      </c>
      <c r="B101" s="50" t="n">
        <v>2</v>
      </c>
      <c r="C101" s="16" t="s">
        <v>32</v>
      </c>
      <c r="D101" s="6" t="s">
        <v>281</v>
      </c>
      <c r="E101" s="6" t="s">
        <v>282</v>
      </c>
      <c r="F101" s="6" t="s">
        <v>52</v>
      </c>
      <c r="G101" s="6" t="s">
        <v>53</v>
      </c>
      <c r="AM101" s="72"/>
      <c r="AQ101" s="72"/>
      <c r="AR101" s="84"/>
    </row>
    <row r="102" customFormat="false" ht="14.25" hidden="false" customHeight="true" outlineLevel="0" collapsed="false">
      <c r="A102" s="14" t="s">
        <v>31</v>
      </c>
      <c r="B102" s="50" t="n">
        <v>2</v>
      </c>
      <c r="C102" s="16" t="s">
        <v>34</v>
      </c>
      <c r="D102" s="6" t="s">
        <v>283</v>
      </c>
      <c r="E102" s="6" t="s">
        <v>284</v>
      </c>
      <c r="F102" s="6" t="s">
        <v>84</v>
      </c>
      <c r="G102" s="6" t="s">
        <v>66</v>
      </c>
      <c r="AM102" s="72"/>
      <c r="AQ102" s="72"/>
      <c r="AR102" s="84"/>
    </row>
    <row r="103" customFormat="false" ht="14.25" hidden="false" customHeight="true" outlineLevel="0" collapsed="false">
      <c r="A103" s="14" t="s">
        <v>34</v>
      </c>
      <c r="B103" s="50" t="n">
        <v>1</v>
      </c>
      <c r="C103" s="16" t="s">
        <v>31</v>
      </c>
      <c r="D103" s="6" t="s">
        <v>285</v>
      </c>
      <c r="E103" s="6" t="s">
        <v>286</v>
      </c>
      <c r="F103" s="6" t="s">
        <v>66</v>
      </c>
      <c r="G103" s="6" t="s">
        <v>84</v>
      </c>
      <c r="L103" s="72"/>
      <c r="M103" s="72"/>
      <c r="N103" s="72"/>
      <c r="O103" s="84"/>
      <c r="P103" s="84"/>
      <c r="Q103" s="84"/>
      <c r="R103" s="84"/>
      <c r="S103" s="8"/>
      <c r="V103" s="72"/>
      <c r="W103" s="72"/>
      <c r="X103" s="72"/>
      <c r="Y103" s="72"/>
      <c r="Z103" s="72"/>
      <c r="AA103" s="72"/>
      <c r="AB103" s="72"/>
      <c r="AC103" s="72"/>
      <c r="AD103" s="72"/>
      <c r="AE103" s="72"/>
      <c r="AF103" s="72"/>
      <c r="AM103" s="72"/>
      <c r="AQ103" s="72"/>
      <c r="AR103" s="84"/>
    </row>
    <row r="104" customFormat="false" ht="14.25" hidden="false" customHeight="true" outlineLevel="0" collapsed="false">
      <c r="A104" s="14" t="s">
        <v>34</v>
      </c>
      <c r="B104" s="50" t="n">
        <v>1</v>
      </c>
      <c r="C104" s="16" t="s">
        <v>32</v>
      </c>
      <c r="D104" s="6" t="s">
        <v>287</v>
      </c>
      <c r="E104" s="6" t="s">
        <v>288</v>
      </c>
      <c r="F104" s="6" t="s">
        <v>66</v>
      </c>
      <c r="G104" s="6" t="s">
        <v>53</v>
      </c>
      <c r="I104" s="33" t="s">
        <v>108</v>
      </c>
      <c r="J104" s="41" t="s">
        <v>18</v>
      </c>
      <c r="L104" s="72"/>
      <c r="M104" s="72"/>
      <c r="N104" s="72"/>
      <c r="O104" s="84"/>
      <c r="P104" s="84"/>
      <c r="Q104" s="84"/>
      <c r="R104" s="84"/>
      <c r="S104" s="33" t="s">
        <v>108</v>
      </c>
      <c r="T104" s="41" t="s">
        <v>21</v>
      </c>
      <c r="V104" s="72"/>
      <c r="W104" s="72"/>
      <c r="X104" s="72"/>
      <c r="Y104" s="72"/>
      <c r="Z104" s="72"/>
      <c r="AA104" s="72"/>
      <c r="AB104" s="72"/>
      <c r="AC104" s="72"/>
      <c r="AD104" s="72"/>
      <c r="AE104" s="72"/>
      <c r="AF104" s="72"/>
      <c r="AM104" s="72"/>
      <c r="AQ104" s="72"/>
      <c r="AR104" s="84"/>
    </row>
    <row r="105" customFormat="false" ht="14.25" hidden="false" customHeight="true" outlineLevel="0" collapsed="false">
      <c r="A105" s="14" t="s">
        <v>11</v>
      </c>
      <c r="B105" s="50" t="n">
        <v>2</v>
      </c>
      <c r="C105" s="16" t="s">
        <v>35</v>
      </c>
      <c r="D105" s="6" t="s">
        <v>289</v>
      </c>
      <c r="E105" s="6" t="s">
        <v>290</v>
      </c>
      <c r="F105" s="6" t="s">
        <v>15</v>
      </c>
      <c r="G105" s="6" t="s">
        <v>58</v>
      </c>
      <c r="I105" s="52" t="s">
        <v>111</v>
      </c>
      <c r="J105" s="68" t="n">
        <f aca="false">VLOOKUP(I105,$I$22:$Q$26,4,FALSE())</f>
        <v>1.26865671641791</v>
      </c>
      <c r="L105" s="72"/>
      <c r="M105" s="72"/>
      <c r="N105" s="72"/>
      <c r="O105" s="84"/>
      <c r="P105" s="84"/>
      <c r="Q105" s="84"/>
      <c r="R105" s="84"/>
      <c r="S105" s="52" t="s">
        <v>111</v>
      </c>
      <c r="T105" s="68" t="n">
        <f aca="false">VLOOKUP(S105,$I$22:$Q$26,7,FALSE())</f>
        <v>1.25925925925926</v>
      </c>
      <c r="V105" s="72"/>
      <c r="W105" s="72"/>
      <c r="X105" s="72"/>
      <c r="Y105" s="72"/>
      <c r="Z105" s="72"/>
      <c r="AA105" s="72"/>
      <c r="AB105" s="72"/>
      <c r="AC105" s="72"/>
      <c r="AD105" s="72"/>
      <c r="AE105" s="72"/>
      <c r="AF105" s="72"/>
      <c r="AM105" s="72"/>
      <c r="AQ105" s="72"/>
      <c r="AR105" s="84"/>
    </row>
    <row r="106" customFormat="false" ht="14.25" hidden="false" customHeight="true" outlineLevel="0" collapsed="false">
      <c r="A106" s="14" t="s">
        <v>36</v>
      </c>
      <c r="B106" s="50" t="n">
        <v>1</v>
      </c>
      <c r="C106" s="16" t="s">
        <v>35</v>
      </c>
      <c r="D106" s="6" t="s">
        <v>291</v>
      </c>
      <c r="E106" s="6" t="s">
        <v>292</v>
      </c>
      <c r="F106" s="6" t="s">
        <v>78</v>
      </c>
      <c r="G106" s="6" t="s">
        <v>58</v>
      </c>
      <c r="I106" s="33" t="s">
        <v>117</v>
      </c>
      <c r="J106" s="68" t="n">
        <f aca="false">VLOOKUP(I106,$I$22:$Q$26,4,FALSE())</f>
        <v>1.04464285714286</v>
      </c>
      <c r="L106" s="72"/>
      <c r="M106" s="72"/>
      <c r="N106" s="72"/>
      <c r="O106" s="84"/>
      <c r="P106" s="84"/>
      <c r="Q106" s="84"/>
      <c r="R106" s="84"/>
      <c r="S106" s="33" t="s">
        <v>117</v>
      </c>
      <c r="T106" s="68" t="n">
        <f aca="false">VLOOKUP(S106,$I$22:$Q$26,7,FALSE())</f>
        <v>1.06153846153846</v>
      </c>
      <c r="V106" s="72"/>
      <c r="W106" s="72"/>
      <c r="X106" s="72"/>
      <c r="Y106" s="72"/>
      <c r="Z106" s="72"/>
      <c r="AA106" s="72"/>
      <c r="AB106" s="72"/>
      <c r="AC106" s="72"/>
      <c r="AD106" s="72"/>
      <c r="AE106" s="72"/>
      <c r="AF106" s="72"/>
      <c r="AM106" s="72"/>
      <c r="AQ106" s="72"/>
      <c r="AR106" s="84"/>
    </row>
    <row r="107" customFormat="false" ht="14.25" hidden="false" customHeight="true" outlineLevel="0" collapsed="false">
      <c r="A107" s="14" t="s">
        <v>32</v>
      </c>
      <c r="B107" s="50" t="n">
        <v>2</v>
      </c>
      <c r="C107" s="16" t="s">
        <v>35</v>
      </c>
      <c r="D107" s="6" t="s">
        <v>293</v>
      </c>
      <c r="E107" s="6" t="s">
        <v>294</v>
      </c>
      <c r="F107" s="6" t="s">
        <v>53</v>
      </c>
      <c r="G107" s="6" t="s">
        <v>58</v>
      </c>
      <c r="I107" s="33" t="s">
        <v>114</v>
      </c>
      <c r="J107" s="68" t="n">
        <f aca="false">VLOOKUP(I107,$I$22:$Q$26,4,FALSE())</f>
        <v>0.938271604938272</v>
      </c>
      <c r="L107" s="72"/>
      <c r="M107" s="72"/>
      <c r="N107" s="72"/>
      <c r="O107" s="84"/>
      <c r="P107" s="84"/>
      <c r="Q107" s="84"/>
      <c r="R107" s="84"/>
      <c r="S107" s="33" t="s">
        <v>114</v>
      </c>
      <c r="T107" s="68" t="n">
        <f aca="false">VLOOKUP(S107,$I$22:$Q$26,7,FALSE())</f>
        <v>0.929292929292929</v>
      </c>
      <c r="V107" s="72"/>
      <c r="W107" s="72"/>
      <c r="X107" s="72"/>
      <c r="Y107" s="72"/>
      <c r="Z107" s="72"/>
      <c r="AA107" s="72"/>
      <c r="AB107" s="72"/>
      <c r="AC107" s="72"/>
      <c r="AD107" s="72"/>
      <c r="AE107" s="72"/>
      <c r="AF107" s="72"/>
      <c r="AM107" s="72"/>
      <c r="AQ107" s="72"/>
      <c r="AR107" s="84"/>
    </row>
    <row r="108" customFormat="false" ht="14.25" hidden="false" customHeight="true" outlineLevel="0" collapsed="false">
      <c r="A108" s="14" t="s">
        <v>37</v>
      </c>
      <c r="B108" s="50" t="n">
        <v>2</v>
      </c>
      <c r="C108" s="16" t="s">
        <v>35</v>
      </c>
      <c r="D108" s="6" t="s">
        <v>295</v>
      </c>
      <c r="E108" s="6" t="s">
        <v>296</v>
      </c>
      <c r="F108" s="6" t="s">
        <v>62</v>
      </c>
      <c r="G108" s="6" t="s">
        <v>58</v>
      </c>
      <c r="I108" s="33" t="s">
        <v>120</v>
      </c>
      <c r="J108" s="68" t="n">
        <f aca="false">VLOOKUP(I108,$I$22:$Q$26,4,FALSE())</f>
        <v>0.75</v>
      </c>
      <c r="L108" s="72"/>
      <c r="M108" s="72"/>
      <c r="N108" s="72"/>
      <c r="O108" s="84"/>
      <c r="P108" s="84"/>
      <c r="Q108" s="84"/>
      <c r="R108" s="84"/>
      <c r="S108" s="33" t="s">
        <v>120</v>
      </c>
      <c r="T108" s="68" t="n">
        <f aca="false">VLOOKUP(S108,$I$22:$Q$26,7,FALSE())</f>
        <v>0.893617021276596</v>
      </c>
      <c r="V108" s="72"/>
      <c r="W108" s="72"/>
      <c r="X108" s="72"/>
      <c r="Y108" s="72"/>
      <c r="Z108" s="72"/>
      <c r="AA108" s="72"/>
      <c r="AB108" s="72"/>
      <c r="AC108" s="72"/>
      <c r="AD108" s="72"/>
      <c r="AE108" s="72"/>
      <c r="AF108" s="72"/>
      <c r="AM108" s="72"/>
      <c r="AQ108" s="72"/>
      <c r="AR108" s="84"/>
    </row>
    <row r="109" customFormat="false" ht="14.25" hidden="false" customHeight="true" outlineLevel="0" collapsed="false">
      <c r="A109" s="14" t="s">
        <v>38</v>
      </c>
      <c r="B109" s="50" t="n">
        <v>2</v>
      </c>
      <c r="C109" s="16" t="s">
        <v>30</v>
      </c>
      <c r="D109" s="6" t="s">
        <v>297</v>
      </c>
      <c r="E109" s="6" t="s">
        <v>298</v>
      </c>
      <c r="F109" s="6" t="s">
        <v>184</v>
      </c>
      <c r="G109" s="6" t="s">
        <v>52</v>
      </c>
      <c r="L109" s="72"/>
      <c r="M109" s="72"/>
      <c r="N109" s="72"/>
      <c r="O109" s="84"/>
      <c r="P109" s="84"/>
      <c r="Q109" s="84"/>
      <c r="R109" s="84"/>
      <c r="S109" s="8"/>
      <c r="V109" s="72"/>
      <c r="W109" s="72"/>
      <c r="X109" s="72"/>
      <c r="Y109" s="72"/>
      <c r="Z109" s="72"/>
      <c r="AA109" s="72"/>
      <c r="AB109" s="72"/>
      <c r="AC109" s="72"/>
      <c r="AD109" s="72"/>
      <c r="AE109" s="72"/>
      <c r="AF109" s="72"/>
      <c r="AG109" s="72"/>
      <c r="AH109" s="72"/>
      <c r="AM109" s="72"/>
      <c r="AQ109" s="72"/>
      <c r="AR109" s="84"/>
    </row>
    <row r="110" customFormat="false" ht="14.25" hidden="false" customHeight="true" outlineLevel="0" collapsed="false">
      <c r="A110" s="14" t="s">
        <v>11</v>
      </c>
      <c r="B110" s="50" t="n">
        <v>1</v>
      </c>
      <c r="C110" s="16" t="s">
        <v>38</v>
      </c>
      <c r="D110" s="6" t="s">
        <v>299</v>
      </c>
      <c r="E110" s="6" t="s">
        <v>300</v>
      </c>
      <c r="F110" s="6" t="s">
        <v>15</v>
      </c>
      <c r="G110" s="6" t="s">
        <v>184</v>
      </c>
      <c r="L110" s="72"/>
      <c r="M110" s="72"/>
      <c r="N110" s="72"/>
      <c r="O110" s="84"/>
      <c r="P110" s="84"/>
      <c r="Q110" s="84"/>
      <c r="R110" s="84"/>
      <c r="S110" s="8"/>
      <c r="V110" s="72"/>
      <c r="W110" s="72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  <c r="AH110" s="72"/>
      <c r="AM110" s="72"/>
      <c r="AQ110" s="72"/>
      <c r="AR110" s="84"/>
    </row>
    <row r="111" customFormat="false" ht="14.25" hidden="false" customHeight="true" outlineLevel="0" collapsed="false">
      <c r="A111" s="14" t="s">
        <v>38</v>
      </c>
      <c r="B111" s="50" t="n">
        <v>1</v>
      </c>
      <c r="C111" s="16" t="s">
        <v>11</v>
      </c>
      <c r="D111" s="6" t="s">
        <v>301</v>
      </c>
      <c r="E111" s="6" t="s">
        <v>302</v>
      </c>
      <c r="F111" s="6" t="s">
        <v>184</v>
      </c>
      <c r="G111" s="6" t="s">
        <v>15</v>
      </c>
      <c r="L111" s="72"/>
      <c r="M111" s="72"/>
      <c r="N111" s="72"/>
      <c r="O111" s="84"/>
      <c r="P111" s="84"/>
      <c r="Q111" s="84"/>
      <c r="R111" s="84"/>
      <c r="S111" s="8"/>
      <c r="V111" s="72"/>
      <c r="W111" s="72"/>
      <c r="X111" s="72"/>
      <c r="Y111" s="72"/>
      <c r="Z111" s="72"/>
      <c r="AA111" s="72"/>
      <c r="AB111" s="72"/>
      <c r="AC111" s="72"/>
      <c r="AD111" s="72"/>
      <c r="AE111" s="72"/>
      <c r="AF111" s="72"/>
      <c r="AG111" s="72"/>
      <c r="AH111" s="72"/>
      <c r="AM111" s="72"/>
      <c r="AQ111" s="72"/>
      <c r="AR111" s="84"/>
    </row>
    <row r="112" customFormat="false" ht="14.25" hidden="false" customHeight="true" outlineLevel="0" collapsed="false">
      <c r="A112" s="14" t="s">
        <v>31</v>
      </c>
      <c r="B112" s="50" t="n">
        <v>1</v>
      </c>
      <c r="C112" s="16" t="s">
        <v>39</v>
      </c>
      <c r="D112" s="6" t="s">
        <v>303</v>
      </c>
      <c r="E112" s="6" t="s">
        <v>304</v>
      </c>
      <c r="F112" s="6" t="s">
        <v>84</v>
      </c>
      <c r="G112" s="6" t="s">
        <v>57</v>
      </c>
      <c r="L112" s="72"/>
      <c r="M112" s="72"/>
      <c r="N112" s="72"/>
      <c r="O112" s="84"/>
      <c r="P112" s="84"/>
      <c r="Q112" s="84"/>
      <c r="R112" s="84"/>
      <c r="S112" s="8"/>
      <c r="V112" s="72"/>
      <c r="W112" s="72"/>
      <c r="X112" s="72"/>
      <c r="Y112" s="72"/>
      <c r="Z112" s="72"/>
      <c r="AA112" s="72"/>
      <c r="AB112" s="72"/>
      <c r="AC112" s="72"/>
      <c r="AD112" s="72"/>
      <c r="AE112" s="72"/>
      <c r="AF112" s="72"/>
      <c r="AG112" s="72"/>
      <c r="AH112" s="72"/>
      <c r="AM112" s="72"/>
      <c r="AQ112" s="72"/>
      <c r="AR112" s="84"/>
    </row>
    <row r="113" customFormat="false" ht="14.25" hidden="false" customHeight="true" outlineLevel="0" collapsed="false">
      <c r="A113" s="14" t="s">
        <v>39</v>
      </c>
      <c r="B113" s="50" t="n">
        <v>1</v>
      </c>
      <c r="C113" s="16" t="s">
        <v>31</v>
      </c>
      <c r="D113" s="6" t="s">
        <v>305</v>
      </c>
      <c r="E113" s="6" t="s">
        <v>306</v>
      </c>
      <c r="F113" s="6" t="s">
        <v>57</v>
      </c>
      <c r="G113" s="6" t="s">
        <v>84</v>
      </c>
      <c r="L113" s="72"/>
      <c r="M113" s="72"/>
      <c r="N113" s="72"/>
      <c r="O113" s="84"/>
      <c r="P113" s="84"/>
      <c r="Q113" s="84"/>
      <c r="R113" s="84"/>
      <c r="S113" s="8"/>
      <c r="V113" s="72"/>
      <c r="W113" s="72"/>
      <c r="X113" s="72"/>
      <c r="Y113" s="72"/>
      <c r="Z113" s="72"/>
      <c r="AA113" s="72"/>
      <c r="AB113" s="72"/>
      <c r="AC113" s="72"/>
      <c r="AD113" s="72"/>
      <c r="AE113" s="72"/>
      <c r="AF113" s="72"/>
      <c r="AG113" s="72"/>
      <c r="AH113" s="72"/>
      <c r="AM113" s="72"/>
      <c r="AQ113" s="72"/>
      <c r="AR113" s="84"/>
    </row>
    <row r="114" customFormat="false" ht="14.25" hidden="false" customHeight="true" outlineLevel="0" collapsed="false">
      <c r="A114" s="14" t="s">
        <v>33</v>
      </c>
      <c r="B114" s="50" t="n">
        <v>2</v>
      </c>
      <c r="C114" s="16" t="s">
        <v>38</v>
      </c>
      <c r="D114" s="6" t="s">
        <v>307</v>
      </c>
      <c r="E114" s="6" t="s">
        <v>308</v>
      </c>
      <c r="F114" s="6" t="s">
        <v>77</v>
      </c>
      <c r="G114" s="6" t="s">
        <v>184</v>
      </c>
      <c r="L114" s="72"/>
      <c r="M114" s="72"/>
      <c r="N114" s="72"/>
      <c r="O114" s="84"/>
      <c r="P114" s="84"/>
      <c r="Q114" s="84"/>
      <c r="R114" s="84"/>
      <c r="S114" s="8"/>
      <c r="V114" s="72"/>
      <c r="W114" s="72"/>
      <c r="X114" s="72"/>
      <c r="Y114" s="72"/>
      <c r="Z114" s="72"/>
      <c r="AA114" s="72"/>
      <c r="AB114" s="72"/>
      <c r="AC114" s="72"/>
      <c r="AD114" s="72"/>
      <c r="AE114" s="72"/>
      <c r="AF114" s="72"/>
      <c r="AG114" s="72"/>
      <c r="AH114" s="72"/>
      <c r="AM114" s="72"/>
      <c r="AQ114" s="72"/>
      <c r="AR114" s="84"/>
    </row>
    <row r="115" customFormat="false" ht="14.25" hidden="false" customHeight="true" outlineLevel="0" collapsed="false">
      <c r="A115" s="14" t="s">
        <v>38</v>
      </c>
      <c r="B115" s="50" t="n">
        <v>1</v>
      </c>
      <c r="C115" s="16" t="s">
        <v>36</v>
      </c>
      <c r="D115" s="6" t="s">
        <v>309</v>
      </c>
      <c r="E115" s="6" t="s">
        <v>310</v>
      </c>
      <c r="F115" s="6" t="s">
        <v>184</v>
      </c>
      <c r="G115" s="6" t="s">
        <v>78</v>
      </c>
      <c r="L115" s="72"/>
      <c r="M115" s="72"/>
      <c r="N115" s="72"/>
      <c r="O115" s="84"/>
      <c r="P115" s="84"/>
      <c r="Q115" s="84"/>
      <c r="R115" s="84"/>
      <c r="S115" s="8"/>
      <c r="V115" s="72"/>
      <c r="W115" s="72"/>
      <c r="X115" s="72"/>
      <c r="Y115" s="72"/>
      <c r="Z115" s="72"/>
      <c r="AA115" s="72"/>
      <c r="AB115" s="72"/>
      <c r="AC115" s="72"/>
      <c r="AD115" s="72"/>
      <c r="AE115" s="72"/>
      <c r="AF115" s="72"/>
      <c r="AG115" s="72"/>
      <c r="AH115" s="72"/>
      <c r="AM115" s="72"/>
      <c r="AQ115" s="72"/>
      <c r="AR115" s="84"/>
    </row>
    <row r="116" customFormat="false" ht="14.25" hidden="false" customHeight="true" outlineLevel="0" collapsed="false">
      <c r="A116" s="14" t="s">
        <v>36</v>
      </c>
      <c r="B116" s="50" t="n">
        <v>2</v>
      </c>
      <c r="C116" s="16" t="s">
        <v>38</v>
      </c>
      <c r="D116" s="6" t="s">
        <v>311</v>
      </c>
      <c r="E116" s="6" t="s">
        <v>312</v>
      </c>
      <c r="F116" s="6" t="s">
        <v>78</v>
      </c>
      <c r="G116" s="6" t="s">
        <v>184</v>
      </c>
      <c r="AG116" s="72"/>
      <c r="AH116" s="72"/>
      <c r="AM116" s="72"/>
      <c r="AQ116" s="72"/>
      <c r="AR116" s="84"/>
    </row>
    <row r="117" customFormat="false" ht="14.25" hidden="false" customHeight="true" outlineLevel="0" collapsed="false">
      <c r="A117" s="14" t="s">
        <v>38</v>
      </c>
      <c r="B117" s="50" t="n">
        <v>2</v>
      </c>
      <c r="C117" s="16" t="s">
        <v>34</v>
      </c>
      <c r="D117" s="6" t="s">
        <v>313</v>
      </c>
      <c r="E117" s="6" t="s">
        <v>314</v>
      </c>
      <c r="F117" s="6" t="s">
        <v>184</v>
      </c>
      <c r="G117" s="6" t="s">
        <v>66</v>
      </c>
      <c r="AG117" s="72"/>
      <c r="AH117" s="72"/>
      <c r="AM117" s="72"/>
      <c r="AQ117" s="72"/>
      <c r="AR117" s="84"/>
    </row>
    <row r="118" customFormat="false" ht="14.25" hidden="false" customHeight="true" outlineLevel="0" collapsed="false">
      <c r="A118" s="14" t="s">
        <v>11</v>
      </c>
      <c r="B118" s="50" t="n">
        <v>1</v>
      </c>
      <c r="C118" s="16" t="s">
        <v>38</v>
      </c>
      <c r="D118" s="6" t="s">
        <v>315</v>
      </c>
      <c r="E118" s="6" t="s">
        <v>316</v>
      </c>
      <c r="F118" s="6" t="s">
        <v>15</v>
      </c>
      <c r="G118" s="6" t="s">
        <v>184</v>
      </c>
      <c r="AG118" s="72"/>
      <c r="AH118" s="72"/>
      <c r="AM118" s="72"/>
      <c r="AQ118" s="72"/>
      <c r="AR118" s="84"/>
    </row>
    <row r="119" customFormat="false" ht="14.25" hidden="false" customHeight="true" outlineLevel="0" collapsed="false">
      <c r="A119" s="14" t="s">
        <v>38</v>
      </c>
      <c r="B119" s="50" t="n">
        <v>1</v>
      </c>
      <c r="C119" s="16" t="s">
        <v>11</v>
      </c>
      <c r="D119" s="6" t="s">
        <v>317</v>
      </c>
      <c r="E119" s="6" t="s">
        <v>318</v>
      </c>
      <c r="F119" s="6" t="s">
        <v>184</v>
      </c>
      <c r="G119" s="6" t="s">
        <v>15</v>
      </c>
      <c r="AG119" s="72"/>
      <c r="AH119" s="72"/>
      <c r="AM119" s="72"/>
      <c r="AQ119" s="72"/>
      <c r="AR119" s="84"/>
    </row>
    <row r="120" customFormat="false" ht="14.25" hidden="false" customHeight="true" outlineLevel="0" collapsed="false">
      <c r="A120" s="14" t="s">
        <v>36</v>
      </c>
      <c r="B120" s="50" t="n">
        <v>1</v>
      </c>
      <c r="C120" s="16" t="s">
        <v>32</v>
      </c>
      <c r="D120" s="6" t="s">
        <v>319</v>
      </c>
      <c r="E120" s="6" t="s">
        <v>320</v>
      </c>
      <c r="F120" s="6" t="s">
        <v>78</v>
      </c>
      <c r="G120" s="6" t="s">
        <v>53</v>
      </c>
      <c r="AG120" s="72"/>
      <c r="AH120" s="72"/>
      <c r="AM120" s="72"/>
      <c r="AQ120" s="72"/>
      <c r="AR120" s="84"/>
    </row>
    <row r="121" customFormat="false" ht="14.25" hidden="false" customHeight="true" outlineLevel="0" collapsed="false">
      <c r="A121" s="14" t="s">
        <v>32</v>
      </c>
      <c r="B121" s="50" t="n">
        <v>1</v>
      </c>
      <c r="C121" s="16" t="s">
        <v>36</v>
      </c>
      <c r="D121" s="6" t="s">
        <v>321</v>
      </c>
      <c r="E121" s="6" t="s">
        <v>322</v>
      </c>
      <c r="F121" s="6" t="s">
        <v>53</v>
      </c>
      <c r="G121" s="6" t="s">
        <v>78</v>
      </c>
      <c r="AG121" s="72"/>
      <c r="AH121" s="72"/>
      <c r="AM121" s="72"/>
      <c r="AQ121" s="72"/>
      <c r="AR121" s="84"/>
    </row>
    <row r="122" customFormat="false" ht="14.25" hidden="false" customHeight="true" outlineLevel="0" collapsed="false">
      <c r="A122" s="14" t="s">
        <v>33</v>
      </c>
      <c r="B122" s="50" t="n">
        <v>2</v>
      </c>
      <c r="C122" s="16" t="s">
        <v>34</v>
      </c>
      <c r="D122" s="6" t="s">
        <v>323</v>
      </c>
      <c r="E122" s="6" t="s">
        <v>324</v>
      </c>
      <c r="F122" s="6" t="s">
        <v>77</v>
      </c>
      <c r="G122" s="6" t="s">
        <v>66</v>
      </c>
      <c r="AG122" s="72"/>
      <c r="AH122" s="72"/>
      <c r="AM122" s="72"/>
      <c r="AQ122" s="72"/>
      <c r="AR122" s="84"/>
    </row>
    <row r="123" customFormat="false" ht="14.25" hidden="false" customHeight="true" outlineLevel="0" collapsed="false">
      <c r="A123" s="14" t="s">
        <v>34</v>
      </c>
      <c r="B123" s="50" t="n">
        <v>1</v>
      </c>
      <c r="C123" s="16" t="s">
        <v>33</v>
      </c>
      <c r="D123" s="6" t="s">
        <v>325</v>
      </c>
      <c r="E123" s="6" t="s">
        <v>326</v>
      </c>
      <c r="F123" s="6" t="s">
        <v>66</v>
      </c>
      <c r="G123" s="6" t="s">
        <v>77</v>
      </c>
      <c r="AG123" s="72"/>
      <c r="AH123" s="72"/>
      <c r="AM123" s="72"/>
      <c r="AQ123" s="72"/>
      <c r="AR123" s="84"/>
    </row>
    <row r="124" customFormat="false" ht="14.25" hidden="false" customHeight="true" outlineLevel="0" collapsed="false">
      <c r="A124" s="14" t="s">
        <v>33</v>
      </c>
      <c r="B124" s="50" t="n">
        <v>2</v>
      </c>
      <c r="C124" s="16" t="s">
        <v>39</v>
      </c>
      <c r="D124" s="6" t="s">
        <v>327</v>
      </c>
      <c r="E124" s="6" t="s">
        <v>328</v>
      </c>
      <c r="F124" s="6" t="s">
        <v>77</v>
      </c>
      <c r="G124" s="6" t="s">
        <v>57</v>
      </c>
      <c r="AG124" s="72"/>
      <c r="AH124" s="72"/>
      <c r="AM124" s="72"/>
      <c r="AQ124" s="72"/>
      <c r="AR124" s="84"/>
    </row>
    <row r="125" customFormat="false" ht="14.25" hidden="false" customHeight="true" outlineLevel="0" collapsed="false">
      <c r="A125" s="14" t="s">
        <v>34</v>
      </c>
      <c r="B125" s="50" t="n">
        <v>2</v>
      </c>
      <c r="C125" s="16" t="s">
        <v>39</v>
      </c>
      <c r="D125" s="6" t="s">
        <v>329</v>
      </c>
      <c r="E125" s="6" t="s">
        <v>330</v>
      </c>
      <c r="F125" s="6" t="s">
        <v>66</v>
      </c>
      <c r="G125" s="6" t="s">
        <v>57</v>
      </c>
      <c r="L125" s="72"/>
      <c r="M125" s="72"/>
      <c r="N125" s="72"/>
      <c r="O125" s="84"/>
      <c r="P125" s="84"/>
      <c r="Q125" s="84"/>
      <c r="R125" s="84"/>
      <c r="S125" s="8"/>
      <c r="V125" s="72"/>
      <c r="W125" s="72"/>
      <c r="X125" s="72"/>
      <c r="Y125" s="72"/>
      <c r="Z125" s="72"/>
      <c r="AA125" s="72"/>
      <c r="AB125" s="72"/>
      <c r="AC125" s="72"/>
      <c r="AD125" s="72"/>
      <c r="AE125" s="72"/>
      <c r="AF125" s="72"/>
      <c r="AG125" s="72"/>
      <c r="AH125" s="72"/>
      <c r="AM125" s="72"/>
      <c r="AQ125" s="72"/>
      <c r="AR125" s="84"/>
    </row>
    <row r="126" customFormat="false" ht="14.25" hidden="false" customHeight="true" outlineLevel="0" collapsed="false">
      <c r="A126" s="14" t="s">
        <v>39</v>
      </c>
      <c r="B126" s="50" t="n">
        <v>1</v>
      </c>
      <c r="C126" s="16" t="s">
        <v>34</v>
      </c>
      <c r="D126" s="6" t="s">
        <v>331</v>
      </c>
      <c r="E126" s="6" t="s">
        <v>332</v>
      </c>
      <c r="F126" s="6" t="s">
        <v>57</v>
      </c>
      <c r="G126" s="6" t="s">
        <v>66</v>
      </c>
    </row>
    <row r="127" customFormat="false" ht="14.25" hidden="false" customHeight="true" outlineLevel="0" collapsed="false">
      <c r="A127" s="14" t="s">
        <v>32</v>
      </c>
      <c r="B127" s="50" t="n">
        <v>2</v>
      </c>
      <c r="C127" s="16" t="s">
        <v>30</v>
      </c>
      <c r="D127" s="6" t="s">
        <v>333</v>
      </c>
      <c r="E127" s="6" t="s">
        <v>334</v>
      </c>
      <c r="F127" s="6" t="s">
        <v>53</v>
      </c>
      <c r="G127" s="6" t="s">
        <v>52</v>
      </c>
    </row>
    <row r="128" customFormat="false" ht="14.25" hidden="false" customHeight="true" outlineLevel="0" collapsed="false">
      <c r="A128" s="14" t="s">
        <v>31</v>
      </c>
      <c r="B128" s="50" t="n">
        <v>1</v>
      </c>
      <c r="C128" s="16" t="s">
        <v>32</v>
      </c>
      <c r="D128" s="6" t="s">
        <v>335</v>
      </c>
      <c r="E128" s="6" t="s">
        <v>336</v>
      </c>
      <c r="F128" s="6" t="s">
        <v>84</v>
      </c>
      <c r="G128" s="6" t="s">
        <v>53</v>
      </c>
    </row>
    <row r="129" customFormat="false" ht="14.25" hidden="false" customHeight="true" outlineLevel="0" collapsed="false">
      <c r="A129" s="14" t="s">
        <v>11</v>
      </c>
      <c r="B129" s="50" t="n">
        <v>1</v>
      </c>
      <c r="C129" s="16" t="s">
        <v>40</v>
      </c>
      <c r="D129" s="6" t="s">
        <v>337</v>
      </c>
      <c r="E129" s="6" t="s">
        <v>338</v>
      </c>
      <c r="F129" s="6" t="s">
        <v>15</v>
      </c>
      <c r="G129" s="6" t="s">
        <v>98</v>
      </c>
    </row>
    <row r="130" customFormat="false" ht="14.25" hidden="false" customHeight="true" outlineLevel="0" collapsed="false">
      <c r="A130" s="14" t="s">
        <v>11</v>
      </c>
      <c r="B130" s="50" t="n">
        <v>2</v>
      </c>
      <c r="C130" s="16" t="s">
        <v>33</v>
      </c>
      <c r="D130" s="6" t="s">
        <v>339</v>
      </c>
      <c r="E130" s="6" t="s">
        <v>340</v>
      </c>
      <c r="F130" s="6" t="s">
        <v>15</v>
      </c>
      <c r="G130" s="6" t="s">
        <v>77</v>
      </c>
    </row>
    <row r="131" customFormat="false" ht="14.25" hidden="false" customHeight="true" outlineLevel="0" collapsed="false">
      <c r="A131" s="14" t="s">
        <v>36</v>
      </c>
      <c r="B131" s="50" t="n">
        <v>1</v>
      </c>
      <c r="C131" s="16" t="s">
        <v>33</v>
      </c>
      <c r="D131" s="6" t="s">
        <v>341</v>
      </c>
      <c r="E131" s="6" t="s">
        <v>342</v>
      </c>
      <c r="F131" s="6" t="s">
        <v>78</v>
      </c>
      <c r="G131" s="6" t="s">
        <v>77</v>
      </c>
    </row>
    <row r="132" customFormat="false" ht="14.25" hidden="false" customHeight="true" outlineLevel="0" collapsed="false">
      <c r="A132" s="14" t="s">
        <v>33</v>
      </c>
      <c r="B132" s="50" t="n">
        <v>2</v>
      </c>
      <c r="C132" s="16" t="s">
        <v>36</v>
      </c>
      <c r="D132" s="6" t="s">
        <v>343</v>
      </c>
      <c r="E132" s="6" t="s">
        <v>344</v>
      </c>
      <c r="F132" s="6" t="s">
        <v>77</v>
      </c>
      <c r="G132" s="6" t="s">
        <v>78</v>
      </c>
    </row>
    <row r="133" customFormat="false" ht="14.25" hidden="false" customHeight="true" outlineLevel="0" collapsed="false">
      <c r="A133" s="14" t="s">
        <v>36</v>
      </c>
      <c r="B133" s="50" t="n">
        <v>1</v>
      </c>
      <c r="C133" s="16" t="s">
        <v>35</v>
      </c>
      <c r="D133" s="6" t="s">
        <v>345</v>
      </c>
      <c r="E133" s="6" t="s">
        <v>346</v>
      </c>
      <c r="F133" s="6" t="s">
        <v>78</v>
      </c>
      <c r="G133" s="6" t="s">
        <v>58</v>
      </c>
    </row>
    <row r="134" customFormat="false" ht="14.25" hidden="false" customHeight="true" outlineLevel="0" collapsed="false">
      <c r="A134" s="14" t="s">
        <v>11</v>
      </c>
      <c r="B134" s="50" t="n">
        <v>1</v>
      </c>
      <c r="C134" s="16" t="s">
        <v>33</v>
      </c>
      <c r="D134" s="6" t="s">
        <v>347</v>
      </c>
      <c r="E134" s="6" t="s">
        <v>348</v>
      </c>
      <c r="F134" s="6" t="s">
        <v>15</v>
      </c>
      <c r="G134" s="6" t="s">
        <v>77</v>
      </c>
    </row>
    <row r="135" customFormat="false" ht="14.25" hidden="false" customHeight="true" outlineLevel="0" collapsed="false">
      <c r="A135" s="14" t="s">
        <v>11</v>
      </c>
      <c r="B135" s="50" t="n">
        <v>2</v>
      </c>
      <c r="C135" s="16" t="s">
        <v>34</v>
      </c>
      <c r="D135" s="6" t="s">
        <v>349</v>
      </c>
      <c r="E135" s="6" t="s">
        <v>350</v>
      </c>
      <c r="F135" s="6" t="s">
        <v>15</v>
      </c>
      <c r="G135" s="6" t="s">
        <v>66</v>
      </c>
    </row>
    <row r="136" customFormat="false" ht="14.25" hidden="false" customHeight="true" outlineLevel="0" collapsed="false">
      <c r="A136" s="14" t="s">
        <v>34</v>
      </c>
      <c r="B136" s="50" t="n">
        <v>2</v>
      </c>
      <c r="C136" s="16" t="s">
        <v>31</v>
      </c>
      <c r="D136" s="6" t="s">
        <v>351</v>
      </c>
      <c r="E136" s="6" t="s">
        <v>352</v>
      </c>
      <c r="F136" s="6" t="s">
        <v>66</v>
      </c>
      <c r="G136" s="6" t="s">
        <v>84</v>
      </c>
    </row>
    <row r="137" customFormat="false" ht="14.25" hidden="false" customHeight="true" outlineLevel="0" collapsed="false">
      <c r="A137" s="14" t="s">
        <v>32</v>
      </c>
      <c r="B137" s="50" t="n">
        <v>2</v>
      </c>
      <c r="C137" s="16" t="s">
        <v>31</v>
      </c>
      <c r="D137" s="6" t="s">
        <v>353</v>
      </c>
      <c r="E137" s="6" t="s">
        <v>354</v>
      </c>
      <c r="F137" s="6" t="s">
        <v>53</v>
      </c>
      <c r="G137" s="6" t="s">
        <v>84</v>
      </c>
    </row>
    <row r="138" customFormat="false" ht="14.25" hidden="false" customHeight="true" outlineLevel="0" collapsed="false">
      <c r="A138" s="14" t="s">
        <v>31</v>
      </c>
      <c r="B138" s="50" t="n">
        <v>1</v>
      </c>
      <c r="C138" s="16" t="s">
        <v>32</v>
      </c>
      <c r="D138" s="6" t="s">
        <v>355</v>
      </c>
      <c r="E138" s="6" t="s">
        <v>356</v>
      </c>
      <c r="F138" s="6" t="s">
        <v>84</v>
      </c>
      <c r="G138" s="6" t="s">
        <v>53</v>
      </c>
    </row>
    <row r="139" customFormat="false" ht="14.25" hidden="false" customHeight="true" outlineLevel="0" collapsed="false">
      <c r="A139" s="14" t="s">
        <v>37</v>
      </c>
      <c r="B139" s="50" t="n">
        <v>2</v>
      </c>
      <c r="C139" s="16" t="s">
        <v>32</v>
      </c>
      <c r="D139" s="6" t="s">
        <v>357</v>
      </c>
      <c r="E139" s="6" t="s">
        <v>358</v>
      </c>
      <c r="F139" s="6" t="s">
        <v>62</v>
      </c>
      <c r="G139" s="6" t="s">
        <v>53</v>
      </c>
    </row>
    <row r="140" customFormat="false" ht="14.25" hidden="false" customHeight="true" outlineLevel="0" collapsed="false">
      <c r="A140" s="14" t="s">
        <v>32</v>
      </c>
      <c r="B140" s="50" t="n">
        <v>2</v>
      </c>
      <c r="C140" s="16" t="s">
        <v>37</v>
      </c>
      <c r="D140" s="6" t="s">
        <v>359</v>
      </c>
      <c r="E140" s="6" t="s">
        <v>360</v>
      </c>
      <c r="F140" s="6" t="s">
        <v>53</v>
      </c>
      <c r="G140" s="6" t="s">
        <v>62</v>
      </c>
    </row>
    <row r="141" customFormat="false" ht="14.25" hidden="false" customHeight="true" outlineLevel="0" collapsed="false">
      <c r="A141" s="14" t="s">
        <v>36</v>
      </c>
      <c r="B141" s="50" t="n">
        <v>2</v>
      </c>
      <c r="C141" s="16" t="s">
        <v>31</v>
      </c>
      <c r="D141" s="6" t="s">
        <v>361</v>
      </c>
      <c r="E141" s="6" t="s">
        <v>362</v>
      </c>
      <c r="F141" s="6" t="s">
        <v>78</v>
      </c>
      <c r="G141" s="6" t="s">
        <v>84</v>
      </c>
    </row>
    <row r="142" customFormat="false" ht="14.25" hidden="false" customHeight="true" outlineLevel="0" collapsed="false">
      <c r="A142" s="14" t="s">
        <v>31</v>
      </c>
      <c r="B142" s="50" t="n">
        <v>1</v>
      </c>
      <c r="C142" s="16" t="s">
        <v>34</v>
      </c>
      <c r="D142" s="6" t="s">
        <v>363</v>
      </c>
      <c r="E142" s="6" t="s">
        <v>364</v>
      </c>
      <c r="F142" s="6" t="s">
        <v>84</v>
      </c>
      <c r="G142" s="6" t="s">
        <v>66</v>
      </c>
    </row>
    <row r="143" customFormat="false" ht="14.25" hidden="false" customHeight="true" outlineLevel="0" collapsed="false">
      <c r="A143" s="14" t="s">
        <v>34</v>
      </c>
      <c r="B143" s="50" t="n">
        <v>2</v>
      </c>
      <c r="C143" s="16" t="s">
        <v>31</v>
      </c>
      <c r="D143" s="6" t="s">
        <v>365</v>
      </c>
      <c r="E143" s="6" t="s">
        <v>366</v>
      </c>
      <c r="F143" s="6" t="s">
        <v>66</v>
      </c>
      <c r="G143" s="6" t="s">
        <v>84</v>
      </c>
    </row>
    <row r="144" customFormat="false" ht="14.25" hidden="false" customHeight="true" outlineLevel="0" collapsed="false">
      <c r="A144" s="14" t="s">
        <v>42</v>
      </c>
      <c r="B144" s="50" t="n">
        <v>2</v>
      </c>
      <c r="C144" s="16" t="s">
        <v>32</v>
      </c>
      <c r="D144" s="6" t="s">
        <v>367</v>
      </c>
      <c r="E144" s="6" t="s">
        <v>368</v>
      </c>
      <c r="F144" s="6" t="s">
        <v>132</v>
      </c>
      <c r="G144" s="6" t="s">
        <v>53</v>
      </c>
    </row>
    <row r="145" customFormat="false" ht="14.25" hidden="false" customHeight="true" outlineLevel="0" collapsed="false">
      <c r="A145" s="14" t="s">
        <v>31</v>
      </c>
      <c r="B145" s="50" t="n">
        <v>2</v>
      </c>
      <c r="C145" s="16" t="s">
        <v>32</v>
      </c>
      <c r="D145" s="6" t="s">
        <v>369</v>
      </c>
      <c r="E145" s="6" t="s">
        <v>370</v>
      </c>
      <c r="F145" s="6" t="s">
        <v>84</v>
      </c>
      <c r="G145" s="6" t="s">
        <v>53</v>
      </c>
    </row>
    <row r="146" customFormat="false" ht="14.25" hidden="false" customHeight="true" outlineLevel="0" collapsed="false">
      <c r="A146" s="14" t="s">
        <v>32</v>
      </c>
      <c r="B146" s="50" t="n">
        <v>1</v>
      </c>
      <c r="C146" s="16" t="s">
        <v>31</v>
      </c>
      <c r="D146" s="6" t="s">
        <v>371</v>
      </c>
      <c r="E146" s="6" t="s">
        <v>372</v>
      </c>
      <c r="F146" s="6" t="s">
        <v>53</v>
      </c>
      <c r="G146" s="6" t="s">
        <v>84</v>
      </c>
    </row>
    <row r="147" customFormat="false" ht="14.25" hidden="false" customHeight="true" outlineLevel="0" collapsed="false">
      <c r="A147" s="14" t="s">
        <v>31</v>
      </c>
      <c r="B147" s="50" t="n">
        <v>2</v>
      </c>
      <c r="C147" s="16" t="s">
        <v>32</v>
      </c>
      <c r="D147" s="6" t="s">
        <v>373</v>
      </c>
      <c r="E147" s="6" t="s">
        <v>374</v>
      </c>
      <c r="F147" s="6" t="s">
        <v>84</v>
      </c>
      <c r="G147" s="6" t="s">
        <v>53</v>
      </c>
    </row>
    <row r="148" customFormat="false" ht="14.25" hidden="false" customHeight="true" outlineLevel="0" collapsed="false">
      <c r="A148" s="14" t="s">
        <v>32</v>
      </c>
      <c r="B148" s="50" t="n">
        <v>1</v>
      </c>
      <c r="C148" s="16" t="s">
        <v>31</v>
      </c>
      <c r="D148" s="6" t="s">
        <v>375</v>
      </c>
      <c r="E148" s="6" t="s">
        <v>376</v>
      </c>
      <c r="F148" s="6" t="s">
        <v>53</v>
      </c>
      <c r="G148" s="6" t="s">
        <v>84</v>
      </c>
    </row>
    <row r="149" customFormat="false" ht="14.25" hidden="false" customHeight="true" outlineLevel="0" collapsed="false">
      <c r="A149" s="14" t="s">
        <v>31</v>
      </c>
      <c r="B149" s="50" t="n">
        <v>1</v>
      </c>
      <c r="C149" s="16" t="s">
        <v>32</v>
      </c>
      <c r="D149" s="6" t="s">
        <v>377</v>
      </c>
      <c r="E149" s="6" t="s">
        <v>378</v>
      </c>
      <c r="F149" s="6" t="s">
        <v>84</v>
      </c>
      <c r="G149" s="6" t="s">
        <v>53</v>
      </c>
    </row>
    <row r="150" customFormat="false" ht="14.25" hidden="false" customHeight="true" outlineLevel="0" collapsed="false">
      <c r="A150" s="14" t="s">
        <v>32</v>
      </c>
      <c r="B150" s="50" t="n">
        <v>1</v>
      </c>
      <c r="C150" s="16" t="s">
        <v>31</v>
      </c>
      <c r="D150" s="6" t="s">
        <v>379</v>
      </c>
      <c r="E150" s="6" t="s">
        <v>380</v>
      </c>
      <c r="F150" s="6" t="s">
        <v>53</v>
      </c>
      <c r="G150" s="6" t="s">
        <v>84</v>
      </c>
    </row>
    <row r="151" customFormat="false" ht="14.25" hidden="false" customHeight="true" outlineLevel="0" collapsed="false">
      <c r="A151" s="14" t="s">
        <v>32</v>
      </c>
      <c r="B151" s="50" t="n">
        <v>1</v>
      </c>
      <c r="C151" s="16" t="s">
        <v>34</v>
      </c>
      <c r="D151" s="6" t="s">
        <v>381</v>
      </c>
      <c r="E151" s="6" t="s">
        <v>382</v>
      </c>
      <c r="F151" s="6" t="s">
        <v>53</v>
      </c>
      <c r="G151" s="6" t="s">
        <v>66</v>
      </c>
    </row>
    <row r="152" customFormat="false" ht="14.25" hidden="false" customHeight="true" outlineLevel="0" collapsed="false">
      <c r="A152" s="14" t="s">
        <v>34</v>
      </c>
      <c r="B152" s="50" t="n">
        <v>1</v>
      </c>
      <c r="C152" s="16" t="s">
        <v>32</v>
      </c>
      <c r="D152" s="6" t="s">
        <v>383</v>
      </c>
      <c r="E152" s="6" t="s">
        <v>384</v>
      </c>
      <c r="F152" s="6" t="s">
        <v>66</v>
      </c>
      <c r="G152" s="6" t="s">
        <v>53</v>
      </c>
    </row>
    <row r="153" customFormat="false" ht="14.25" hidden="false" customHeight="true" outlineLevel="0" collapsed="false">
      <c r="A153" s="14" t="s">
        <v>36</v>
      </c>
      <c r="B153" s="50" t="n">
        <v>2</v>
      </c>
      <c r="C153" s="16" t="s">
        <v>31</v>
      </c>
      <c r="D153" s="6" t="s">
        <v>385</v>
      </c>
      <c r="E153" s="6" t="s">
        <v>386</v>
      </c>
      <c r="F153" s="6" t="s">
        <v>78</v>
      </c>
      <c r="G153" s="6" t="s">
        <v>84</v>
      </c>
    </row>
    <row r="154" customFormat="false" ht="14.25" hidden="false" customHeight="true" outlineLevel="0" collapsed="false">
      <c r="A154" s="14" t="s">
        <v>31</v>
      </c>
      <c r="B154" s="50" t="n">
        <v>2</v>
      </c>
      <c r="C154" s="16" t="s">
        <v>41</v>
      </c>
      <c r="D154" s="6" t="s">
        <v>387</v>
      </c>
      <c r="E154" s="6" t="s">
        <v>388</v>
      </c>
      <c r="F154" s="6" t="s">
        <v>84</v>
      </c>
      <c r="G154" s="6" t="s">
        <v>48</v>
      </c>
    </row>
    <row r="155" customFormat="false" ht="14.25" hidden="false" customHeight="true" outlineLevel="0" collapsed="false">
      <c r="A155" s="14" t="s">
        <v>36</v>
      </c>
      <c r="B155" s="50" t="n">
        <v>2</v>
      </c>
      <c r="C155" s="16" t="s">
        <v>11</v>
      </c>
      <c r="D155" s="6" t="s">
        <v>389</v>
      </c>
      <c r="E155" s="6" t="s">
        <v>390</v>
      </c>
      <c r="F155" s="6" t="s">
        <v>78</v>
      </c>
      <c r="G155" s="6" t="s">
        <v>15</v>
      </c>
    </row>
    <row r="156" customFormat="false" ht="14.25" hidden="false" customHeight="true" outlineLevel="0" collapsed="false">
      <c r="A156" s="14" t="s">
        <v>11</v>
      </c>
      <c r="B156" s="50" t="n">
        <v>2</v>
      </c>
      <c r="C156" s="16" t="s">
        <v>36</v>
      </c>
      <c r="D156" s="6" t="s">
        <v>391</v>
      </c>
      <c r="E156" s="6" t="s">
        <v>392</v>
      </c>
      <c r="F156" s="6" t="s">
        <v>15</v>
      </c>
      <c r="G156" s="6" t="s">
        <v>78</v>
      </c>
    </row>
    <row r="157" customFormat="false" ht="14.25" hidden="false" customHeight="true" outlineLevel="0" collapsed="false">
      <c r="A157" s="14" t="s">
        <v>32</v>
      </c>
      <c r="B157" s="50" t="n">
        <v>2</v>
      </c>
      <c r="C157" s="16" t="s">
        <v>35</v>
      </c>
      <c r="D157" s="6" t="s">
        <v>393</v>
      </c>
      <c r="E157" s="6" t="s">
        <v>394</v>
      </c>
      <c r="F157" s="6" t="s">
        <v>53</v>
      </c>
      <c r="G157" s="6" t="s">
        <v>58</v>
      </c>
    </row>
    <row r="158" customFormat="false" ht="14.25" hidden="false" customHeight="true" outlineLevel="0" collapsed="false">
      <c r="A158" s="14" t="s">
        <v>11</v>
      </c>
      <c r="B158" s="50" t="n">
        <v>2</v>
      </c>
      <c r="C158" s="16" t="s">
        <v>34</v>
      </c>
      <c r="D158" s="6" t="s">
        <v>395</v>
      </c>
      <c r="E158" s="6" t="s">
        <v>396</v>
      </c>
      <c r="F158" s="6" t="s">
        <v>15</v>
      </c>
      <c r="G158" s="6" t="s">
        <v>66</v>
      </c>
    </row>
    <row r="159" customFormat="false" ht="14.25" hidden="false" customHeight="true" outlineLevel="0" collapsed="false">
      <c r="A159" s="14" t="s">
        <v>11</v>
      </c>
      <c r="B159" s="50" t="n">
        <v>2</v>
      </c>
      <c r="C159" s="16" t="s">
        <v>33</v>
      </c>
      <c r="D159" s="6" t="s">
        <v>397</v>
      </c>
      <c r="E159" s="6" t="s">
        <v>398</v>
      </c>
      <c r="F159" s="6" t="s">
        <v>15</v>
      </c>
      <c r="G159" s="6" t="s">
        <v>77</v>
      </c>
    </row>
    <row r="160" customFormat="false" ht="14.25" hidden="false" customHeight="true" outlineLevel="0" collapsed="false">
      <c r="A160" s="14" t="s">
        <v>34</v>
      </c>
      <c r="B160" s="50" t="n">
        <v>1</v>
      </c>
      <c r="C160" s="16" t="s">
        <v>11</v>
      </c>
      <c r="D160" s="6" t="s">
        <v>399</v>
      </c>
      <c r="E160" s="6" t="s">
        <v>400</v>
      </c>
      <c r="F160" s="6" t="s">
        <v>66</v>
      </c>
      <c r="G160" s="6" t="s">
        <v>15</v>
      </c>
    </row>
    <row r="161" customFormat="false" ht="14.25" hidden="false" customHeight="true" outlineLevel="0" collapsed="false">
      <c r="A161" s="14" t="s">
        <v>32</v>
      </c>
      <c r="B161" s="50" t="n">
        <v>1</v>
      </c>
      <c r="C161" s="16" t="s">
        <v>37</v>
      </c>
      <c r="D161" s="6" t="s">
        <v>401</v>
      </c>
      <c r="E161" s="6" t="s">
        <v>402</v>
      </c>
      <c r="F161" s="6" t="s">
        <v>53</v>
      </c>
      <c r="G161" s="6" t="s">
        <v>62</v>
      </c>
    </row>
    <row r="162" customFormat="false" ht="14.25" hidden="false" customHeight="true" outlineLevel="0" collapsed="false">
      <c r="A162" s="14" t="s">
        <v>37</v>
      </c>
      <c r="B162" s="50" t="n">
        <v>1</v>
      </c>
      <c r="C162" s="16" t="s">
        <v>32</v>
      </c>
      <c r="D162" s="6" t="s">
        <v>403</v>
      </c>
      <c r="E162" s="6" t="s">
        <v>404</v>
      </c>
      <c r="F162" s="6" t="s">
        <v>62</v>
      </c>
      <c r="G162" s="6" t="s">
        <v>53</v>
      </c>
    </row>
    <row r="163" customFormat="false" ht="14.25" hidden="false" customHeight="true" outlineLevel="0" collapsed="false">
      <c r="A163" s="14" t="s">
        <v>39</v>
      </c>
      <c r="B163" s="50" t="n">
        <v>2</v>
      </c>
      <c r="C163" s="16" t="s">
        <v>33</v>
      </c>
      <c r="D163" s="6" t="s">
        <v>405</v>
      </c>
      <c r="E163" s="6" t="s">
        <v>406</v>
      </c>
      <c r="F163" s="6" t="s">
        <v>57</v>
      </c>
      <c r="G163" s="6" t="s">
        <v>77</v>
      </c>
    </row>
    <row r="164" customFormat="false" ht="14.25" hidden="false" customHeight="true" outlineLevel="0" collapsed="false">
      <c r="A164" s="14" t="s">
        <v>39</v>
      </c>
      <c r="B164" s="50" t="n">
        <v>2</v>
      </c>
      <c r="C164" s="16" t="s">
        <v>32</v>
      </c>
      <c r="D164" s="6" t="s">
        <v>407</v>
      </c>
      <c r="E164" s="6" t="s">
        <v>408</v>
      </c>
      <c r="F164" s="6" t="s">
        <v>57</v>
      </c>
      <c r="G164" s="6" t="s">
        <v>53</v>
      </c>
    </row>
    <row r="165" customFormat="false" ht="14.25" hidden="false" customHeight="true" outlineLevel="0" collapsed="false">
      <c r="A165" s="14" t="s">
        <v>39</v>
      </c>
      <c r="B165" s="50" t="n">
        <v>2</v>
      </c>
      <c r="C165" s="16" t="s">
        <v>31</v>
      </c>
      <c r="D165" s="6" t="s">
        <v>409</v>
      </c>
      <c r="E165" s="6" t="s">
        <v>410</v>
      </c>
      <c r="F165" s="6" t="s">
        <v>57</v>
      </c>
      <c r="G165" s="6" t="s">
        <v>84</v>
      </c>
    </row>
    <row r="166" customFormat="false" ht="14.25" hidden="false" customHeight="true" outlineLevel="0" collapsed="false">
      <c r="A166" s="14" t="s">
        <v>36</v>
      </c>
      <c r="B166" s="50" t="n">
        <v>1</v>
      </c>
      <c r="C166" s="16" t="s">
        <v>34</v>
      </c>
      <c r="D166" s="6" t="s">
        <v>411</v>
      </c>
      <c r="E166" s="6" t="s">
        <v>412</v>
      </c>
      <c r="F166" s="6" t="s">
        <v>78</v>
      </c>
      <c r="G166" s="6" t="s">
        <v>66</v>
      </c>
    </row>
    <row r="167" customFormat="false" ht="14.25" hidden="false" customHeight="true" outlineLevel="0" collapsed="false">
      <c r="A167" s="14" t="s">
        <v>34</v>
      </c>
      <c r="B167" s="50" t="n">
        <v>1</v>
      </c>
      <c r="C167" s="16" t="s">
        <v>36</v>
      </c>
      <c r="D167" s="6" t="s">
        <v>413</v>
      </c>
      <c r="E167" s="6" t="s">
        <v>414</v>
      </c>
      <c r="F167" s="6" t="s">
        <v>66</v>
      </c>
      <c r="G167" s="6" t="s">
        <v>78</v>
      </c>
    </row>
    <row r="168" customFormat="false" ht="14.25" hidden="false" customHeight="true" outlineLevel="0" collapsed="false">
      <c r="A168" s="14" t="s">
        <v>36</v>
      </c>
      <c r="B168" s="50" t="n">
        <v>1</v>
      </c>
      <c r="C168" s="16" t="s">
        <v>33</v>
      </c>
      <c r="D168" s="6" t="s">
        <v>415</v>
      </c>
      <c r="E168" s="6" t="s">
        <v>416</v>
      </c>
      <c r="F168" s="6" t="s">
        <v>78</v>
      </c>
      <c r="G168" s="6" t="s">
        <v>77</v>
      </c>
      <c r="I168" s="85"/>
      <c r="J168" s="85"/>
    </row>
    <row r="169" customFormat="false" ht="14.25" hidden="false" customHeight="true" outlineLevel="0" collapsed="false">
      <c r="A169" s="14" t="s">
        <v>34</v>
      </c>
      <c r="B169" s="50" t="n">
        <v>2</v>
      </c>
      <c r="C169" s="16" t="s">
        <v>39</v>
      </c>
      <c r="D169" s="6" t="s">
        <v>417</v>
      </c>
      <c r="E169" s="6" t="s">
        <v>418</v>
      </c>
      <c r="F169" s="6" t="s">
        <v>66</v>
      </c>
      <c r="G169" s="6" t="s">
        <v>57</v>
      </c>
      <c r="I169" s="85"/>
      <c r="J169" s="85"/>
    </row>
    <row r="170" customFormat="false" ht="14.25" hidden="false" customHeight="true" outlineLevel="0" collapsed="false">
      <c r="A170" s="14" t="s">
        <v>34</v>
      </c>
      <c r="B170" s="50" t="n">
        <v>2</v>
      </c>
      <c r="C170" s="16" t="s">
        <v>36</v>
      </c>
      <c r="D170" s="6" t="s">
        <v>419</v>
      </c>
      <c r="E170" s="6" t="s">
        <v>420</v>
      </c>
      <c r="F170" s="6" t="s">
        <v>66</v>
      </c>
      <c r="G170" s="6" t="s">
        <v>78</v>
      </c>
      <c r="I170" s="85"/>
      <c r="J170" s="85"/>
    </row>
    <row r="171" customFormat="false" ht="14.25" hidden="false" customHeight="true" outlineLevel="0" collapsed="false">
      <c r="A171" s="14" t="s">
        <v>30</v>
      </c>
      <c r="B171" s="50" t="n">
        <v>2</v>
      </c>
      <c r="C171" s="16" t="s">
        <v>38</v>
      </c>
      <c r="D171" s="6" t="s">
        <v>421</v>
      </c>
      <c r="E171" s="6" t="s">
        <v>422</v>
      </c>
      <c r="F171" s="6" t="s">
        <v>52</v>
      </c>
      <c r="G171" s="6" t="s">
        <v>184</v>
      </c>
      <c r="I171" s="85"/>
      <c r="J171" s="85"/>
    </row>
    <row r="172" customFormat="false" ht="14.25" hidden="false" customHeight="true" outlineLevel="0" collapsed="false">
      <c r="A172" s="14" t="s">
        <v>38</v>
      </c>
      <c r="B172" s="50" t="n">
        <v>2</v>
      </c>
      <c r="C172" s="16" t="s">
        <v>35</v>
      </c>
      <c r="D172" s="6" t="s">
        <v>423</v>
      </c>
      <c r="E172" s="6" t="s">
        <v>424</v>
      </c>
      <c r="F172" s="6" t="s">
        <v>184</v>
      </c>
      <c r="G172" s="6" t="s">
        <v>58</v>
      </c>
      <c r="I172" s="85"/>
      <c r="J172" s="85"/>
    </row>
    <row r="173" customFormat="false" ht="14.25" hidden="false" customHeight="true" outlineLevel="0" collapsed="false">
      <c r="A173" s="14" t="s">
        <v>38</v>
      </c>
      <c r="B173" s="50" t="n">
        <v>1</v>
      </c>
      <c r="C173" s="16" t="s">
        <v>32</v>
      </c>
      <c r="D173" s="6" t="s">
        <v>425</v>
      </c>
      <c r="E173" s="6" t="s">
        <v>426</v>
      </c>
      <c r="F173" s="6" t="s">
        <v>184</v>
      </c>
      <c r="G173" s="6" t="s">
        <v>53</v>
      </c>
      <c r="I173" s="85"/>
      <c r="J173" s="85"/>
    </row>
    <row r="174" customFormat="false" ht="14.25" hidden="false" customHeight="true" outlineLevel="0" collapsed="false">
      <c r="A174" s="14" t="s">
        <v>32</v>
      </c>
      <c r="B174" s="50" t="n">
        <v>1</v>
      </c>
      <c r="C174" s="16" t="s">
        <v>38</v>
      </c>
      <c r="D174" s="6" t="s">
        <v>427</v>
      </c>
      <c r="E174" s="6" t="s">
        <v>428</v>
      </c>
      <c r="F174" s="6" t="s">
        <v>53</v>
      </c>
      <c r="G174" s="6" t="s">
        <v>184</v>
      </c>
      <c r="I174" s="85"/>
      <c r="J174" s="85"/>
    </row>
    <row r="175" customFormat="false" ht="14.25" hidden="false" customHeight="true" outlineLevel="0" collapsed="false">
      <c r="A175" s="14" t="s">
        <v>37</v>
      </c>
      <c r="B175" s="50" t="n">
        <v>1</v>
      </c>
      <c r="C175" s="16" t="s">
        <v>34</v>
      </c>
      <c r="D175" s="6" t="s">
        <v>429</v>
      </c>
      <c r="E175" s="6" t="s">
        <v>430</v>
      </c>
      <c r="F175" s="6" t="s">
        <v>62</v>
      </c>
      <c r="G175" s="6" t="s">
        <v>66</v>
      </c>
      <c r="I175" s="85"/>
      <c r="J175" s="85"/>
    </row>
    <row r="176" customFormat="false" ht="14.25" hidden="false" customHeight="true" outlineLevel="0" collapsed="false">
      <c r="A176" s="14" t="s">
        <v>34</v>
      </c>
      <c r="B176" s="50" t="n">
        <v>1</v>
      </c>
      <c r="C176" s="16" t="s">
        <v>37</v>
      </c>
      <c r="D176" s="6" t="s">
        <v>431</v>
      </c>
      <c r="E176" s="6" t="s">
        <v>432</v>
      </c>
      <c r="F176" s="6" t="s">
        <v>66</v>
      </c>
      <c r="G176" s="6" t="s">
        <v>62</v>
      </c>
      <c r="I176" s="85"/>
      <c r="J176" s="85"/>
    </row>
    <row r="177" customFormat="false" ht="14.25" hidden="false" customHeight="true" outlineLevel="0" collapsed="false">
      <c r="A177" s="14" t="s">
        <v>37</v>
      </c>
      <c r="B177" s="50" t="n">
        <v>1</v>
      </c>
      <c r="C177" s="16" t="s">
        <v>39</v>
      </c>
      <c r="D177" s="6" t="s">
        <v>433</v>
      </c>
      <c r="E177" s="6" t="s">
        <v>434</v>
      </c>
      <c r="F177" s="6" t="s">
        <v>62</v>
      </c>
      <c r="G177" s="6" t="s">
        <v>57</v>
      </c>
    </row>
    <row r="178" customFormat="false" ht="14.25" hidden="false" customHeight="true" outlineLevel="0" collapsed="false">
      <c r="A178" s="14" t="s">
        <v>39</v>
      </c>
      <c r="B178" s="50" t="n">
        <v>1</v>
      </c>
      <c r="C178" s="16" t="s">
        <v>37</v>
      </c>
      <c r="D178" s="6" t="s">
        <v>435</v>
      </c>
      <c r="E178" s="6" t="s">
        <v>436</v>
      </c>
      <c r="F178" s="6" t="s">
        <v>57</v>
      </c>
      <c r="G178" s="6" t="s">
        <v>62</v>
      </c>
    </row>
    <row r="179" customFormat="false" ht="14.25" hidden="false" customHeight="true" outlineLevel="0" collapsed="false">
      <c r="A179" s="14" t="s">
        <v>11</v>
      </c>
      <c r="B179" s="50" t="n">
        <v>2</v>
      </c>
      <c r="C179" s="16" t="s">
        <v>33</v>
      </c>
      <c r="D179" s="6" t="s">
        <v>437</v>
      </c>
      <c r="E179" s="6" t="s">
        <v>438</v>
      </c>
      <c r="F179" s="6" t="s">
        <v>15</v>
      </c>
      <c r="G179" s="6" t="s">
        <v>77</v>
      </c>
    </row>
    <row r="180" customFormat="false" ht="14.25" hidden="false" customHeight="true" outlineLevel="0" collapsed="false">
      <c r="A180" s="14" t="s">
        <v>41</v>
      </c>
      <c r="B180" s="50" t="n">
        <v>5</v>
      </c>
      <c r="C180" s="16" t="s">
        <v>12</v>
      </c>
      <c r="D180" s="6" t="s">
        <v>439</v>
      </c>
      <c r="E180" s="6" t="s">
        <v>440</v>
      </c>
      <c r="F180" s="6" t="s">
        <v>48</v>
      </c>
      <c r="G180" s="6" t="s">
        <v>70</v>
      </c>
    </row>
    <row r="181" customFormat="false" ht="14.25" hidden="false" customHeight="true" outlineLevel="0" collapsed="false">
      <c r="A181" s="14" t="s">
        <v>39</v>
      </c>
      <c r="B181" s="50" t="n">
        <v>2</v>
      </c>
      <c r="C181" s="16" t="s">
        <v>33</v>
      </c>
      <c r="D181" s="6" t="s">
        <v>441</v>
      </c>
      <c r="E181" s="6" t="s">
        <v>442</v>
      </c>
      <c r="F181" s="6" t="s">
        <v>57</v>
      </c>
      <c r="G181" s="6" t="s">
        <v>77</v>
      </c>
    </row>
    <row r="182" customFormat="false" ht="14.25" hidden="false" customHeight="true" outlineLevel="0" collapsed="false">
      <c r="A182" s="14" t="s">
        <v>38</v>
      </c>
      <c r="B182" s="50" t="n">
        <v>1</v>
      </c>
      <c r="C182" s="16" t="s">
        <v>41</v>
      </c>
      <c r="D182" s="6" t="s">
        <v>443</v>
      </c>
      <c r="E182" s="6" t="s">
        <v>444</v>
      </c>
      <c r="F182" s="6" t="s">
        <v>184</v>
      </c>
      <c r="G182" s="6" t="s">
        <v>48</v>
      </c>
    </row>
    <row r="183" customFormat="false" ht="14.25" hidden="false" customHeight="true" outlineLevel="0" collapsed="false">
      <c r="A183" s="14" t="s">
        <v>41</v>
      </c>
      <c r="B183" s="50" t="n">
        <v>1</v>
      </c>
      <c r="C183" s="16" t="s">
        <v>38</v>
      </c>
      <c r="D183" s="6" t="s">
        <v>445</v>
      </c>
      <c r="E183" s="6" t="s">
        <v>446</v>
      </c>
      <c r="F183" s="6" t="s">
        <v>48</v>
      </c>
      <c r="G183" s="6" t="s">
        <v>184</v>
      </c>
    </row>
    <row r="184" customFormat="false" ht="14.25" hidden="false" customHeight="true" outlineLevel="0" collapsed="false">
      <c r="A184" s="14" t="s">
        <v>42</v>
      </c>
      <c r="B184" s="50" t="n">
        <v>2</v>
      </c>
      <c r="C184" s="16" t="s">
        <v>31</v>
      </c>
      <c r="D184" s="6" t="s">
        <v>447</v>
      </c>
      <c r="E184" s="6" t="s">
        <v>448</v>
      </c>
      <c r="F184" s="6" t="s">
        <v>132</v>
      </c>
      <c r="G184" s="6" t="s">
        <v>84</v>
      </c>
    </row>
    <row r="185" customFormat="false" ht="14.25" hidden="false" customHeight="true" outlineLevel="0" collapsed="false">
      <c r="A185" s="14" t="s">
        <v>31</v>
      </c>
      <c r="B185" s="50" t="n">
        <v>2</v>
      </c>
      <c r="C185" s="16" t="s">
        <v>30</v>
      </c>
      <c r="D185" s="6" t="s">
        <v>449</v>
      </c>
      <c r="E185" s="6" t="s">
        <v>450</v>
      </c>
      <c r="F185" s="6" t="s">
        <v>84</v>
      </c>
      <c r="G185" s="6" t="s">
        <v>52</v>
      </c>
    </row>
    <row r="186" customFormat="false" ht="14.25" hidden="false" customHeight="true" outlineLevel="0" collapsed="false">
      <c r="A186" s="14" t="s">
        <v>39</v>
      </c>
      <c r="B186" s="50" t="n">
        <v>2</v>
      </c>
      <c r="C186" s="16" t="s">
        <v>34</v>
      </c>
      <c r="D186" s="6" t="s">
        <v>451</v>
      </c>
      <c r="E186" s="6" t="s">
        <v>452</v>
      </c>
      <c r="F186" s="6" t="s">
        <v>57</v>
      </c>
      <c r="G186" s="6" t="s">
        <v>66</v>
      </c>
    </row>
    <row r="187" customFormat="false" ht="14.25" hidden="false" customHeight="true" outlineLevel="0" collapsed="false">
      <c r="A187" s="14" t="s">
        <v>37</v>
      </c>
      <c r="B187" s="50" t="n">
        <v>2</v>
      </c>
      <c r="C187" s="16" t="s">
        <v>31</v>
      </c>
      <c r="D187" s="6" t="s">
        <v>453</v>
      </c>
      <c r="E187" s="6" t="s">
        <v>454</v>
      </c>
      <c r="F187" s="6" t="s">
        <v>62</v>
      </c>
      <c r="G187" s="6" t="s">
        <v>84</v>
      </c>
    </row>
    <row r="188" customFormat="false" ht="14.25" hidden="false" customHeight="true" outlineLevel="0" collapsed="false">
      <c r="A188" s="14" t="s">
        <v>37</v>
      </c>
      <c r="B188" s="50" t="n">
        <v>1</v>
      </c>
      <c r="C188" s="16" t="s">
        <v>34</v>
      </c>
      <c r="D188" s="6" t="s">
        <v>455</v>
      </c>
      <c r="E188" s="6" t="s">
        <v>456</v>
      </c>
      <c r="F188" s="6" t="s">
        <v>62</v>
      </c>
      <c r="G188" s="6" t="s">
        <v>66</v>
      </c>
    </row>
    <row r="189" customFormat="false" ht="14.25" hidden="false" customHeight="true" outlineLevel="0" collapsed="false">
      <c r="A189" s="14" t="s">
        <v>34</v>
      </c>
      <c r="B189" s="50" t="n">
        <v>1</v>
      </c>
      <c r="C189" s="16" t="s">
        <v>37</v>
      </c>
      <c r="D189" s="6" t="s">
        <v>457</v>
      </c>
      <c r="E189" s="6" t="s">
        <v>458</v>
      </c>
      <c r="F189" s="6" t="s">
        <v>66</v>
      </c>
      <c r="G189" s="6" t="s">
        <v>62</v>
      </c>
    </row>
    <row r="190" customFormat="false" ht="14.25" hidden="false" customHeight="true" outlineLevel="0" collapsed="false">
      <c r="A190" s="14" t="s">
        <v>37</v>
      </c>
      <c r="B190" s="50" t="n">
        <v>2</v>
      </c>
      <c r="C190" s="16" t="s">
        <v>34</v>
      </c>
      <c r="D190" s="6" t="s">
        <v>459</v>
      </c>
      <c r="E190" s="6" t="s">
        <v>460</v>
      </c>
      <c r="F190" s="6" t="s">
        <v>62</v>
      </c>
      <c r="G190" s="6" t="s">
        <v>66</v>
      </c>
    </row>
    <row r="191" customFormat="false" ht="14.25" hidden="false" customHeight="true" outlineLevel="0" collapsed="false">
      <c r="A191" s="14" t="s">
        <v>30</v>
      </c>
      <c r="B191" s="50" t="n">
        <v>2</v>
      </c>
      <c r="C191" s="16" t="s">
        <v>31</v>
      </c>
      <c r="D191" s="6" t="s">
        <v>461</v>
      </c>
      <c r="E191" s="6" t="s">
        <v>462</v>
      </c>
      <c r="F191" s="6" t="s">
        <v>52</v>
      </c>
      <c r="G191" s="6" t="s">
        <v>84</v>
      </c>
    </row>
    <row r="192" customFormat="false" ht="14.25" hidden="false" customHeight="true" outlineLevel="0" collapsed="false">
      <c r="A192" s="14" t="s">
        <v>32</v>
      </c>
      <c r="B192" s="50" t="n">
        <v>1</v>
      </c>
      <c r="C192" s="16" t="s">
        <v>34</v>
      </c>
      <c r="D192" s="6" t="s">
        <v>463</v>
      </c>
      <c r="E192" s="6" t="s">
        <v>464</v>
      </c>
      <c r="F192" s="6" t="s">
        <v>53</v>
      </c>
      <c r="G192" s="6" t="s">
        <v>66</v>
      </c>
    </row>
    <row r="193" customFormat="false" ht="14.25" hidden="false" customHeight="true" outlineLevel="0" collapsed="false">
      <c r="A193" s="14" t="s">
        <v>34</v>
      </c>
      <c r="B193" s="50" t="n">
        <v>2</v>
      </c>
      <c r="C193" s="16" t="s">
        <v>32</v>
      </c>
      <c r="D193" s="6" t="s">
        <v>465</v>
      </c>
      <c r="E193" s="6" t="s">
        <v>466</v>
      </c>
      <c r="F193" s="6" t="s">
        <v>66</v>
      </c>
      <c r="G193" s="6" t="s">
        <v>53</v>
      </c>
    </row>
    <row r="194" customFormat="false" ht="14.25" hidden="false" customHeight="true" outlineLevel="0" collapsed="false">
      <c r="A194" s="14" t="s">
        <v>37</v>
      </c>
      <c r="B194" s="50" t="n">
        <v>1</v>
      </c>
      <c r="C194" s="16" t="s">
        <v>34</v>
      </c>
      <c r="D194" s="6" t="s">
        <v>467</v>
      </c>
      <c r="E194" s="6" t="s">
        <v>468</v>
      </c>
      <c r="F194" s="6" t="s">
        <v>62</v>
      </c>
      <c r="G194" s="6" t="s">
        <v>66</v>
      </c>
    </row>
    <row r="195" customFormat="false" ht="14.25" hidden="false" customHeight="true" outlineLevel="0" collapsed="false">
      <c r="A195" s="14" t="s">
        <v>34</v>
      </c>
      <c r="B195" s="50" t="n">
        <v>1</v>
      </c>
      <c r="C195" s="16" t="s">
        <v>37</v>
      </c>
      <c r="D195" s="6" t="s">
        <v>469</v>
      </c>
      <c r="E195" s="6" t="s">
        <v>470</v>
      </c>
      <c r="F195" s="6" t="s">
        <v>66</v>
      </c>
      <c r="G195" s="6" t="s">
        <v>62</v>
      </c>
    </row>
    <row r="196" customFormat="false" ht="14.25" hidden="false" customHeight="true" outlineLevel="0" collapsed="false">
      <c r="A196" s="14" t="s">
        <v>36</v>
      </c>
      <c r="B196" s="50" t="n">
        <v>2</v>
      </c>
      <c r="C196" s="16" t="s">
        <v>31</v>
      </c>
      <c r="D196" s="6" t="s">
        <v>471</v>
      </c>
      <c r="E196" s="6" t="s">
        <v>472</v>
      </c>
      <c r="F196" s="6" t="s">
        <v>78</v>
      </c>
      <c r="G196" s="6" t="s">
        <v>84</v>
      </c>
    </row>
    <row r="197" customFormat="false" ht="14.25" hidden="false" customHeight="true" outlineLevel="0" collapsed="false">
      <c r="A197" s="14" t="s">
        <v>30</v>
      </c>
      <c r="B197" s="50" t="n">
        <v>1</v>
      </c>
      <c r="C197" s="16" t="s">
        <v>38</v>
      </c>
      <c r="D197" s="6" t="s">
        <v>473</v>
      </c>
      <c r="E197" s="6" t="s">
        <v>474</v>
      </c>
      <c r="F197" s="6" t="s">
        <v>52</v>
      </c>
      <c r="G197" s="6" t="s">
        <v>184</v>
      </c>
    </row>
    <row r="198" customFormat="false" ht="14.25" hidden="false" customHeight="true" outlineLevel="0" collapsed="false">
      <c r="A198" s="14" t="s">
        <v>38</v>
      </c>
      <c r="B198" s="50" t="n">
        <v>1</v>
      </c>
      <c r="C198" s="16" t="s">
        <v>30</v>
      </c>
      <c r="D198" s="6" t="s">
        <v>475</v>
      </c>
      <c r="E198" s="6" t="s">
        <v>476</v>
      </c>
      <c r="F198" s="6" t="s">
        <v>184</v>
      </c>
      <c r="G198" s="6" t="s">
        <v>52</v>
      </c>
    </row>
    <row r="199" customFormat="false" ht="14.25" hidden="false" customHeight="true" outlineLevel="0" collapsed="false">
      <c r="A199" s="14" t="s">
        <v>30</v>
      </c>
      <c r="B199" s="50" t="n">
        <v>2</v>
      </c>
      <c r="C199" s="16" t="s">
        <v>36</v>
      </c>
      <c r="D199" s="6" t="s">
        <v>477</v>
      </c>
      <c r="E199" s="6" t="s">
        <v>478</v>
      </c>
      <c r="F199" s="6" t="s">
        <v>52</v>
      </c>
      <c r="G199" s="6" t="s">
        <v>78</v>
      </c>
    </row>
    <row r="200" customFormat="false" ht="14.25" hidden="false" customHeight="true" outlineLevel="0" collapsed="false">
      <c r="A200" s="14" t="s">
        <v>30</v>
      </c>
      <c r="B200" s="50" t="n">
        <v>1</v>
      </c>
      <c r="C200" s="16" t="s">
        <v>34</v>
      </c>
      <c r="D200" s="6" t="s">
        <v>479</v>
      </c>
      <c r="E200" s="6" t="s">
        <v>480</v>
      </c>
      <c r="F200" s="6" t="s">
        <v>52</v>
      </c>
      <c r="G200" s="6" t="s">
        <v>66</v>
      </c>
    </row>
    <row r="201" customFormat="false" ht="14.25" hidden="false" customHeight="true" outlineLevel="0" collapsed="false">
      <c r="A201" s="14" t="s">
        <v>34</v>
      </c>
      <c r="B201" s="50" t="n">
        <v>2</v>
      </c>
      <c r="C201" s="16" t="s">
        <v>30</v>
      </c>
      <c r="D201" s="6" t="s">
        <v>481</v>
      </c>
      <c r="E201" s="6" t="s">
        <v>482</v>
      </c>
      <c r="F201" s="6" t="s">
        <v>66</v>
      </c>
      <c r="G201" s="6" t="s">
        <v>52</v>
      </c>
    </row>
    <row r="202" customFormat="false" ht="14.25" hidden="false" customHeight="true" outlineLevel="0" collapsed="false">
      <c r="A202" s="14" t="s">
        <v>32</v>
      </c>
      <c r="B202" s="50" t="n">
        <v>2</v>
      </c>
      <c r="C202" s="16" t="s">
        <v>33</v>
      </c>
      <c r="D202" s="6" t="s">
        <v>483</v>
      </c>
      <c r="E202" s="6" t="s">
        <v>484</v>
      </c>
      <c r="F202" s="6" t="s">
        <v>53</v>
      </c>
      <c r="G202" s="6" t="s">
        <v>77</v>
      </c>
    </row>
    <row r="203" customFormat="false" ht="14.25" hidden="false" customHeight="true" outlineLevel="0" collapsed="false">
      <c r="A203" s="14" t="s">
        <v>38</v>
      </c>
      <c r="B203" s="50" t="n">
        <v>2</v>
      </c>
      <c r="C203" s="16" t="s">
        <v>35</v>
      </c>
      <c r="D203" s="6" t="s">
        <v>485</v>
      </c>
      <c r="E203" s="6" t="s">
        <v>486</v>
      </c>
      <c r="F203" s="6" t="s">
        <v>184</v>
      </c>
      <c r="G203" s="6" t="s">
        <v>58</v>
      </c>
    </row>
    <row r="204" customFormat="false" ht="14.25" hidden="false" customHeight="true" outlineLevel="0" collapsed="false">
      <c r="A204" s="14" t="s">
        <v>37</v>
      </c>
      <c r="B204" s="50" t="n">
        <v>2</v>
      </c>
      <c r="C204" s="16" t="s">
        <v>40</v>
      </c>
      <c r="D204" s="6" t="s">
        <v>487</v>
      </c>
      <c r="E204" s="6" t="s">
        <v>488</v>
      </c>
      <c r="F204" s="6" t="s">
        <v>62</v>
      </c>
      <c r="G204" s="6" t="s">
        <v>98</v>
      </c>
    </row>
    <row r="205" customFormat="false" ht="14.25" hidden="false" customHeight="true" outlineLevel="0" collapsed="false">
      <c r="A205" s="14" t="s">
        <v>36</v>
      </c>
      <c r="B205" s="50" t="n">
        <v>1</v>
      </c>
      <c r="C205" s="16" t="s">
        <v>33</v>
      </c>
      <c r="D205" s="6" t="s">
        <v>489</v>
      </c>
      <c r="E205" s="6" t="s">
        <v>490</v>
      </c>
      <c r="F205" s="6" t="s">
        <v>78</v>
      </c>
      <c r="G205" s="6" t="s">
        <v>77</v>
      </c>
    </row>
    <row r="206" customFormat="false" ht="14.25" hidden="false" customHeight="true" outlineLevel="0" collapsed="false">
      <c r="A206" s="14" t="s">
        <v>33</v>
      </c>
      <c r="B206" s="50" t="n">
        <v>1</v>
      </c>
      <c r="C206" s="16" t="s">
        <v>36</v>
      </c>
      <c r="D206" s="6" t="s">
        <v>491</v>
      </c>
      <c r="E206" s="6" t="s">
        <v>492</v>
      </c>
      <c r="F206" s="6" t="s">
        <v>77</v>
      </c>
      <c r="G206" s="6" t="s">
        <v>78</v>
      </c>
    </row>
    <row r="207" customFormat="false" ht="14.25" hidden="false" customHeight="true" outlineLevel="0" collapsed="false">
      <c r="A207" s="14" t="s">
        <v>37</v>
      </c>
      <c r="B207" s="50" t="n">
        <v>2</v>
      </c>
      <c r="C207" s="16" t="s">
        <v>35</v>
      </c>
      <c r="D207" s="6" t="s">
        <v>493</v>
      </c>
      <c r="E207" s="6" t="s">
        <v>494</v>
      </c>
      <c r="F207" s="6" t="s">
        <v>62</v>
      </c>
      <c r="G207" s="6" t="s">
        <v>58</v>
      </c>
    </row>
    <row r="208" customFormat="false" ht="14.25" hidden="false" customHeight="true" outlineLevel="0" collapsed="false">
      <c r="A208" s="14" t="s">
        <v>31</v>
      </c>
      <c r="B208" s="50" t="n">
        <v>1</v>
      </c>
      <c r="C208" s="16" t="s">
        <v>34</v>
      </c>
      <c r="D208" s="6" t="s">
        <v>495</v>
      </c>
      <c r="E208" s="6" t="s">
        <v>496</v>
      </c>
      <c r="F208" s="6" t="s">
        <v>84</v>
      </c>
      <c r="G208" s="6" t="s">
        <v>66</v>
      </c>
    </row>
    <row r="209" customFormat="false" ht="14.25" hidden="false" customHeight="true" outlineLevel="0" collapsed="false">
      <c r="A209" s="14" t="s">
        <v>36</v>
      </c>
      <c r="B209" s="50" t="n">
        <v>2</v>
      </c>
      <c r="C209" s="16" t="s">
        <v>37</v>
      </c>
      <c r="D209" s="6" t="s">
        <v>497</v>
      </c>
      <c r="E209" s="6" t="s">
        <v>498</v>
      </c>
      <c r="F209" s="6" t="s">
        <v>78</v>
      </c>
      <c r="G209" s="6" t="s">
        <v>62</v>
      </c>
    </row>
    <row r="210" customFormat="false" ht="14.25" hidden="false" customHeight="true" outlineLevel="0" collapsed="false">
      <c r="A210" s="14" t="s">
        <v>37</v>
      </c>
      <c r="B210" s="50" t="n">
        <v>2</v>
      </c>
      <c r="C210" s="16" t="s">
        <v>31</v>
      </c>
      <c r="D210" s="6" t="s">
        <v>499</v>
      </c>
      <c r="E210" s="6" t="s">
        <v>500</v>
      </c>
      <c r="F210" s="6" t="s">
        <v>62</v>
      </c>
      <c r="G210" s="6" t="s">
        <v>84</v>
      </c>
    </row>
    <row r="211" customFormat="false" ht="14.25" hidden="false" customHeight="true" outlineLevel="0" collapsed="false">
      <c r="A211" s="14" t="s">
        <v>31</v>
      </c>
      <c r="B211" s="50" t="n">
        <v>1</v>
      </c>
      <c r="C211" s="16" t="s">
        <v>34</v>
      </c>
      <c r="D211" s="6" t="s">
        <v>501</v>
      </c>
      <c r="E211" s="6" t="s">
        <v>502</v>
      </c>
      <c r="F211" s="6" t="s">
        <v>84</v>
      </c>
      <c r="G211" s="6" t="s">
        <v>66</v>
      </c>
    </row>
    <row r="212" customFormat="false" ht="14.25" hidden="false" customHeight="true" outlineLevel="0" collapsed="false">
      <c r="A212" s="14" t="s">
        <v>34</v>
      </c>
      <c r="B212" s="50" t="n">
        <v>1</v>
      </c>
      <c r="C212" s="16" t="s">
        <v>31</v>
      </c>
      <c r="D212" s="6" t="s">
        <v>503</v>
      </c>
      <c r="E212" s="6" t="s">
        <v>504</v>
      </c>
      <c r="F212" s="6" t="s">
        <v>66</v>
      </c>
      <c r="G212" s="6" t="s">
        <v>84</v>
      </c>
    </row>
    <row r="213" customFormat="false" ht="14.25" hidden="false" customHeight="true" outlineLevel="0" collapsed="false">
      <c r="A213" s="14" t="s">
        <v>39</v>
      </c>
      <c r="B213" s="50" t="n">
        <v>2</v>
      </c>
      <c r="C213" s="16" t="s">
        <v>34</v>
      </c>
      <c r="D213" s="6" t="s">
        <v>505</v>
      </c>
      <c r="E213" s="6" t="s">
        <v>506</v>
      </c>
      <c r="F213" s="6" t="s">
        <v>57</v>
      </c>
      <c r="G213" s="6" t="s">
        <v>66</v>
      </c>
    </row>
    <row r="214" customFormat="false" ht="14.25" hidden="false" customHeight="true" outlineLevel="0" collapsed="false">
      <c r="A214" s="14" t="s">
        <v>32</v>
      </c>
      <c r="B214" s="50" t="n">
        <v>2</v>
      </c>
      <c r="C214" s="16" t="s">
        <v>35</v>
      </c>
      <c r="D214" s="6" t="s">
        <v>507</v>
      </c>
      <c r="E214" s="6" t="s">
        <v>508</v>
      </c>
      <c r="F214" s="6" t="s">
        <v>53</v>
      </c>
      <c r="G214" s="6" t="s">
        <v>58</v>
      </c>
    </row>
    <row r="215" customFormat="false" ht="14.25" hidden="false" customHeight="true" outlineLevel="0" collapsed="false">
      <c r="A215" s="14" t="s">
        <v>31</v>
      </c>
      <c r="B215" s="50" t="n">
        <v>1</v>
      </c>
      <c r="C215" s="16" t="s">
        <v>37</v>
      </c>
      <c r="D215" s="6" t="s">
        <v>509</v>
      </c>
      <c r="E215" s="6" t="s">
        <v>510</v>
      </c>
      <c r="F215" s="6" t="s">
        <v>84</v>
      </c>
      <c r="G215" s="6" t="s">
        <v>62</v>
      </c>
    </row>
    <row r="216" customFormat="false" ht="14.25" hidden="false" customHeight="true" outlineLevel="0" collapsed="false">
      <c r="A216" s="14" t="s">
        <v>37</v>
      </c>
      <c r="B216" s="50" t="n">
        <v>1</v>
      </c>
      <c r="C216" s="16" t="s">
        <v>31</v>
      </c>
      <c r="D216" s="6" t="s">
        <v>511</v>
      </c>
      <c r="E216" s="6" t="s">
        <v>512</v>
      </c>
      <c r="F216" s="6" t="s">
        <v>62</v>
      </c>
      <c r="G216" s="6" t="s">
        <v>84</v>
      </c>
    </row>
    <row r="217" customFormat="false" ht="14.25" hidden="false" customHeight="true" outlineLevel="0" collapsed="false">
      <c r="A217" s="14" t="s">
        <v>31</v>
      </c>
      <c r="B217" s="50" t="n">
        <v>2</v>
      </c>
      <c r="C217" s="16" t="s">
        <v>39</v>
      </c>
      <c r="D217" s="6" t="s">
        <v>513</v>
      </c>
      <c r="E217" s="6" t="s">
        <v>514</v>
      </c>
      <c r="F217" s="6" t="s">
        <v>84</v>
      </c>
      <c r="G217" s="6" t="s">
        <v>57</v>
      </c>
    </row>
    <row r="218" customFormat="false" ht="14.25" hidden="false" customHeight="true" outlineLevel="0" collapsed="false">
      <c r="A218" s="14" t="s">
        <v>31</v>
      </c>
      <c r="B218" s="50" t="n">
        <v>1</v>
      </c>
      <c r="C218" s="16" t="s">
        <v>32</v>
      </c>
      <c r="D218" s="6" t="s">
        <v>515</v>
      </c>
      <c r="E218" s="6" t="s">
        <v>516</v>
      </c>
      <c r="F218" s="6" t="s">
        <v>84</v>
      </c>
      <c r="G218" s="6" t="s">
        <v>53</v>
      </c>
    </row>
    <row r="219" customFormat="false" ht="14.25" hidden="false" customHeight="true" outlineLevel="0" collapsed="false">
      <c r="A219" s="14" t="s">
        <v>38</v>
      </c>
      <c r="B219" s="50" t="n">
        <v>1</v>
      </c>
      <c r="C219" s="16" t="s">
        <v>33</v>
      </c>
      <c r="D219" s="6" t="s">
        <v>517</v>
      </c>
      <c r="E219" s="6" t="s">
        <v>518</v>
      </c>
      <c r="F219" s="6" t="s">
        <v>184</v>
      </c>
      <c r="G219" s="6" t="s">
        <v>77</v>
      </c>
    </row>
    <row r="220" customFormat="false" ht="14.25" hidden="false" customHeight="true" outlineLevel="0" collapsed="false">
      <c r="A220" s="14" t="s">
        <v>32</v>
      </c>
      <c r="B220" s="50" t="n">
        <v>1</v>
      </c>
      <c r="C220" s="16" t="s">
        <v>31</v>
      </c>
      <c r="D220" s="6" t="s">
        <v>519</v>
      </c>
      <c r="E220" s="6" t="s">
        <v>520</v>
      </c>
      <c r="F220" s="6" t="s">
        <v>53</v>
      </c>
      <c r="G220" s="6" t="s">
        <v>84</v>
      </c>
    </row>
    <row r="221" customFormat="false" ht="14.25" hidden="false" customHeight="true" outlineLevel="0" collapsed="false">
      <c r="A221" s="14" t="s">
        <v>31</v>
      </c>
      <c r="B221" s="50" t="n">
        <v>1</v>
      </c>
      <c r="C221" s="16" t="s">
        <v>32</v>
      </c>
      <c r="D221" s="6" t="s">
        <v>521</v>
      </c>
      <c r="E221" s="6" t="s">
        <v>522</v>
      </c>
      <c r="F221" s="6" t="s">
        <v>84</v>
      </c>
      <c r="G221" s="6" t="s">
        <v>53</v>
      </c>
    </row>
    <row r="222" customFormat="false" ht="14.25" hidden="false" customHeight="true" outlineLevel="0" collapsed="false">
      <c r="A222" s="14" t="s">
        <v>30</v>
      </c>
      <c r="B222" s="50" t="n">
        <v>1</v>
      </c>
      <c r="C222" s="16" t="s">
        <v>38</v>
      </c>
      <c r="D222" s="6" t="s">
        <v>523</v>
      </c>
      <c r="E222" s="6" t="s">
        <v>524</v>
      </c>
      <c r="F222" s="6" t="s">
        <v>52</v>
      </c>
      <c r="G222" s="6" t="s">
        <v>184</v>
      </c>
    </row>
    <row r="223" customFormat="false" ht="14.25" hidden="false" customHeight="true" outlineLevel="0" collapsed="false">
      <c r="A223" s="14" t="s">
        <v>38</v>
      </c>
      <c r="B223" s="50" t="n">
        <v>1</v>
      </c>
      <c r="C223" s="16" t="s">
        <v>30</v>
      </c>
      <c r="D223" s="6" t="s">
        <v>525</v>
      </c>
      <c r="E223" s="6" t="s">
        <v>526</v>
      </c>
      <c r="F223" s="6" t="s">
        <v>184</v>
      </c>
      <c r="G223" s="6" t="s">
        <v>52</v>
      </c>
    </row>
    <row r="224" customFormat="false" ht="14.25" hidden="false" customHeight="true" outlineLevel="0" collapsed="false">
      <c r="A224" s="14" t="s">
        <v>11</v>
      </c>
      <c r="B224" s="50" t="n">
        <v>1</v>
      </c>
      <c r="C224" s="16" t="s">
        <v>33</v>
      </c>
      <c r="D224" s="6" t="s">
        <v>527</v>
      </c>
      <c r="E224" s="6" t="s">
        <v>528</v>
      </c>
      <c r="F224" s="6" t="s">
        <v>15</v>
      </c>
      <c r="G224" s="6" t="s">
        <v>77</v>
      </c>
    </row>
    <row r="225" customFormat="false" ht="14.25" hidden="false" customHeight="true" outlineLevel="0" collapsed="false">
      <c r="A225" s="14" t="s">
        <v>38</v>
      </c>
      <c r="B225" s="50" t="n">
        <v>2</v>
      </c>
      <c r="C225" s="16" t="s">
        <v>30</v>
      </c>
      <c r="D225" s="6" t="s">
        <v>529</v>
      </c>
      <c r="E225" s="6" t="s">
        <v>530</v>
      </c>
      <c r="F225" s="6" t="s">
        <v>184</v>
      </c>
      <c r="G225" s="6" t="s">
        <v>52</v>
      </c>
    </row>
    <row r="226" customFormat="false" ht="14.25" hidden="false" customHeight="true" outlineLevel="0" collapsed="false">
      <c r="A226" s="14" t="s">
        <v>30</v>
      </c>
      <c r="B226" s="50" t="n">
        <v>1</v>
      </c>
      <c r="C226" s="16" t="s">
        <v>38</v>
      </c>
      <c r="D226" s="6" t="s">
        <v>531</v>
      </c>
      <c r="E226" s="6" t="s">
        <v>532</v>
      </c>
      <c r="F226" s="6" t="s">
        <v>52</v>
      </c>
      <c r="G226" s="6" t="s">
        <v>184</v>
      </c>
    </row>
    <row r="227" customFormat="false" ht="14.25" hidden="false" customHeight="true" outlineLevel="0" collapsed="false">
      <c r="A227" s="14" t="s">
        <v>37</v>
      </c>
      <c r="B227" s="50" t="n">
        <v>2</v>
      </c>
      <c r="C227" s="16" t="s">
        <v>32</v>
      </c>
      <c r="D227" s="6" t="s">
        <v>533</v>
      </c>
      <c r="E227" s="6" t="s">
        <v>534</v>
      </c>
      <c r="F227" s="6" t="s">
        <v>62</v>
      </c>
      <c r="G227" s="6" t="s">
        <v>53</v>
      </c>
    </row>
    <row r="228" customFormat="false" ht="14.25" hidden="false" customHeight="true" outlineLevel="0" collapsed="false">
      <c r="A228" s="14" t="s">
        <v>30</v>
      </c>
      <c r="B228" s="50" t="n">
        <v>2</v>
      </c>
      <c r="C228" s="16" t="s">
        <v>37</v>
      </c>
      <c r="D228" s="6" t="s">
        <v>535</v>
      </c>
      <c r="E228" s="6" t="s">
        <v>536</v>
      </c>
      <c r="F228" s="6" t="s">
        <v>52</v>
      </c>
      <c r="G228" s="6" t="s">
        <v>62</v>
      </c>
    </row>
    <row r="229" customFormat="false" ht="14.25" hidden="false" customHeight="true" outlineLevel="0" collapsed="false">
      <c r="A229" s="14" t="s">
        <v>30</v>
      </c>
      <c r="B229" s="50" t="n">
        <v>2</v>
      </c>
      <c r="C229" s="16" t="s">
        <v>32</v>
      </c>
      <c r="D229" s="6" t="s">
        <v>537</v>
      </c>
      <c r="E229" s="6" t="s">
        <v>538</v>
      </c>
      <c r="F229" s="6" t="s">
        <v>52</v>
      </c>
      <c r="G229" s="6" t="s">
        <v>53</v>
      </c>
    </row>
    <row r="230" customFormat="false" ht="14.25" hidden="false" customHeight="true" outlineLevel="0" collapsed="false">
      <c r="A230" s="14" t="s">
        <v>34</v>
      </c>
      <c r="B230" s="50" t="n">
        <v>2</v>
      </c>
      <c r="C230" s="16" t="s">
        <v>31</v>
      </c>
      <c r="D230" s="6" t="s">
        <v>539</v>
      </c>
      <c r="E230" s="6" t="s">
        <v>540</v>
      </c>
      <c r="F230" s="6" t="s">
        <v>66</v>
      </c>
      <c r="G230" s="6" t="s">
        <v>84</v>
      </c>
    </row>
    <row r="231" customFormat="false" ht="14.25" hidden="false" customHeight="true" outlineLevel="0" collapsed="false">
      <c r="A231" s="14" t="s">
        <v>30</v>
      </c>
      <c r="B231" s="50" t="n">
        <v>2</v>
      </c>
      <c r="C231" s="16" t="s">
        <v>32</v>
      </c>
      <c r="D231" s="6" t="s">
        <v>541</v>
      </c>
      <c r="E231" s="6" t="s">
        <v>542</v>
      </c>
      <c r="F231" s="6" t="s">
        <v>52</v>
      </c>
      <c r="G231" s="6" t="s">
        <v>53</v>
      </c>
    </row>
    <row r="232" customFormat="false" ht="14.25" hidden="false" customHeight="true" outlineLevel="0" collapsed="false">
      <c r="A232" s="14" t="s">
        <v>32</v>
      </c>
      <c r="B232" s="50" t="n">
        <v>2</v>
      </c>
      <c r="C232" s="16" t="s">
        <v>31</v>
      </c>
      <c r="D232" s="6" t="s">
        <v>543</v>
      </c>
      <c r="E232" s="6" t="s">
        <v>544</v>
      </c>
      <c r="F232" s="6" t="s">
        <v>53</v>
      </c>
      <c r="G232" s="6" t="s">
        <v>84</v>
      </c>
    </row>
    <row r="233" customFormat="false" ht="14.25" hidden="false" customHeight="true" outlineLevel="0" collapsed="false">
      <c r="A233" s="14" t="s">
        <v>38</v>
      </c>
      <c r="B233" s="50" t="n">
        <v>2</v>
      </c>
      <c r="C233" s="16" t="s">
        <v>43</v>
      </c>
      <c r="D233" s="6" t="s">
        <v>545</v>
      </c>
      <c r="E233" s="6" t="s">
        <v>546</v>
      </c>
      <c r="F233" s="6" t="s">
        <v>184</v>
      </c>
      <c r="G233" s="6" t="s">
        <v>547</v>
      </c>
    </row>
    <row r="234" customFormat="false" ht="14.25" hidden="false" customHeight="true" outlineLevel="0" collapsed="false">
      <c r="A234" s="14" t="s">
        <v>34</v>
      </c>
      <c r="B234" s="50" t="n">
        <v>1</v>
      </c>
      <c r="C234" s="16" t="s">
        <v>33</v>
      </c>
      <c r="D234" s="6" t="s">
        <v>548</v>
      </c>
      <c r="E234" s="6" t="s">
        <v>549</v>
      </c>
      <c r="F234" s="6" t="s">
        <v>66</v>
      </c>
      <c r="G234" s="6" t="s">
        <v>77</v>
      </c>
    </row>
    <row r="235" customFormat="false" ht="14.25" hidden="false" customHeight="true" outlineLevel="0" collapsed="false">
      <c r="A235" s="14" t="s">
        <v>36</v>
      </c>
      <c r="B235" s="50" t="n">
        <v>2</v>
      </c>
      <c r="C235" s="16" t="s">
        <v>33</v>
      </c>
      <c r="D235" s="6" t="s">
        <v>550</v>
      </c>
      <c r="E235" s="6" t="s">
        <v>551</v>
      </c>
      <c r="F235" s="6" t="s">
        <v>78</v>
      </c>
      <c r="G235" s="6" t="s">
        <v>77</v>
      </c>
    </row>
    <row r="236" customFormat="false" ht="14.25" hidden="false" customHeight="true" outlineLevel="0" collapsed="false">
      <c r="A236" s="14" t="s">
        <v>30</v>
      </c>
      <c r="B236" s="50" t="n">
        <v>2</v>
      </c>
      <c r="C236" s="16" t="s">
        <v>32</v>
      </c>
      <c r="D236" s="6" t="s">
        <v>552</v>
      </c>
      <c r="E236" s="6" t="s">
        <v>553</v>
      </c>
      <c r="F236" s="6" t="s">
        <v>52</v>
      </c>
      <c r="G236" s="6" t="s">
        <v>53</v>
      </c>
    </row>
    <row r="237" customFormat="false" ht="14.25" hidden="false" customHeight="true" outlineLevel="0" collapsed="false">
      <c r="A237" s="14" t="s">
        <v>30</v>
      </c>
      <c r="B237" s="50" t="n">
        <v>1</v>
      </c>
      <c r="C237" s="16" t="s">
        <v>41</v>
      </c>
      <c r="D237" s="6" t="s">
        <v>554</v>
      </c>
      <c r="E237" s="6" t="s">
        <v>555</v>
      </c>
      <c r="F237" s="6" t="s">
        <v>52</v>
      </c>
      <c r="G237" s="6" t="s">
        <v>48</v>
      </c>
    </row>
    <row r="238" customFormat="false" ht="14.25" hidden="false" customHeight="true" outlineLevel="0" collapsed="false">
      <c r="A238" s="14" t="s">
        <v>32</v>
      </c>
      <c r="B238" s="50" t="n">
        <v>1</v>
      </c>
      <c r="C238" s="16" t="s">
        <v>42</v>
      </c>
      <c r="D238" s="6" t="s">
        <v>556</v>
      </c>
      <c r="E238" s="6" t="s">
        <v>557</v>
      </c>
      <c r="F238" s="6" t="s">
        <v>53</v>
      </c>
      <c r="G238" s="6" t="s">
        <v>132</v>
      </c>
    </row>
    <row r="239" customFormat="false" ht="14.25" hidden="false" customHeight="true" outlineLevel="0" collapsed="false">
      <c r="A239" s="14" t="s">
        <v>32</v>
      </c>
      <c r="B239" s="50" t="n">
        <v>1</v>
      </c>
      <c r="C239" s="16" t="s">
        <v>31</v>
      </c>
      <c r="D239" s="6" t="s">
        <v>558</v>
      </c>
      <c r="E239" s="6" t="s">
        <v>559</v>
      </c>
      <c r="F239" s="6" t="s">
        <v>53</v>
      </c>
      <c r="G239" s="6" t="s">
        <v>84</v>
      </c>
    </row>
    <row r="240" customFormat="false" ht="14.25" hidden="false" customHeight="true" outlineLevel="0" collapsed="false">
      <c r="A240" s="14" t="s">
        <v>31</v>
      </c>
      <c r="B240" s="50" t="n">
        <v>1</v>
      </c>
      <c r="C240" s="16" t="s">
        <v>32</v>
      </c>
      <c r="D240" s="6" t="s">
        <v>560</v>
      </c>
      <c r="E240" s="6" t="s">
        <v>561</v>
      </c>
      <c r="F240" s="6" t="s">
        <v>84</v>
      </c>
      <c r="G240" s="6" t="s">
        <v>53</v>
      </c>
    </row>
    <row r="241" customFormat="false" ht="14.25" hidden="false" customHeight="true" outlineLevel="0" collapsed="false">
      <c r="A241" s="14" t="s">
        <v>36</v>
      </c>
      <c r="B241" s="50" t="n">
        <v>2</v>
      </c>
      <c r="C241" s="16" t="s">
        <v>35</v>
      </c>
      <c r="D241" s="6" t="s">
        <v>562</v>
      </c>
      <c r="E241" s="6" t="s">
        <v>563</v>
      </c>
      <c r="F241" s="6" t="s">
        <v>78</v>
      </c>
      <c r="G241" s="6" t="s">
        <v>58</v>
      </c>
    </row>
    <row r="242" customFormat="false" ht="14.25" hidden="false" customHeight="true" outlineLevel="0" collapsed="false">
      <c r="A242" s="14" t="s">
        <v>41</v>
      </c>
      <c r="B242" s="50" t="n">
        <v>1</v>
      </c>
      <c r="C242" s="16" t="s">
        <v>42</v>
      </c>
      <c r="D242" s="6" t="s">
        <v>564</v>
      </c>
      <c r="E242" s="6" t="s">
        <v>565</v>
      </c>
      <c r="F242" s="6" t="s">
        <v>48</v>
      </c>
      <c r="G242" s="6" t="s">
        <v>132</v>
      </c>
    </row>
    <row r="243" customFormat="false" ht="14.25" hidden="false" customHeight="true" outlineLevel="0" collapsed="false">
      <c r="A243" s="14" t="s">
        <v>42</v>
      </c>
      <c r="B243" s="50" t="n">
        <v>1</v>
      </c>
      <c r="C243" s="16" t="s">
        <v>41</v>
      </c>
      <c r="D243" s="6" t="s">
        <v>566</v>
      </c>
      <c r="E243" s="6" t="s">
        <v>567</v>
      </c>
      <c r="F243" s="6" t="s">
        <v>132</v>
      </c>
      <c r="G243" s="6" t="s">
        <v>48</v>
      </c>
    </row>
    <row r="244" customFormat="false" ht="14.25" hidden="false" customHeight="true" outlineLevel="0" collapsed="false">
      <c r="A244" s="14" t="s">
        <v>31</v>
      </c>
      <c r="B244" s="50" t="n">
        <v>2</v>
      </c>
      <c r="C244" s="16" t="s">
        <v>34</v>
      </c>
      <c r="D244" s="6" t="s">
        <v>568</v>
      </c>
      <c r="E244" s="6" t="s">
        <v>569</v>
      </c>
      <c r="F244" s="6" t="s">
        <v>84</v>
      </c>
      <c r="G244" s="6" t="s">
        <v>66</v>
      </c>
    </row>
    <row r="245" customFormat="false" ht="14.25" hidden="false" customHeight="true" outlineLevel="0" collapsed="false">
      <c r="A245" s="14" t="s">
        <v>34</v>
      </c>
      <c r="B245" s="50" t="n">
        <v>1</v>
      </c>
      <c r="C245" s="16" t="s">
        <v>31</v>
      </c>
      <c r="D245" s="6" t="s">
        <v>570</v>
      </c>
      <c r="E245" s="6" t="s">
        <v>571</v>
      </c>
      <c r="F245" s="6" t="s">
        <v>66</v>
      </c>
      <c r="G245" s="6" t="s">
        <v>84</v>
      </c>
    </row>
    <row r="246" customFormat="false" ht="14.25" hidden="false" customHeight="true" outlineLevel="0" collapsed="false">
      <c r="A246" s="86" t="s">
        <v>31</v>
      </c>
      <c r="B246" s="87" t="n">
        <v>1</v>
      </c>
      <c r="C246" s="88" t="s">
        <v>11</v>
      </c>
      <c r="D246" s="6"/>
    </row>
    <row r="247" customFormat="false" ht="14.25" hidden="false" customHeight="true" outlineLevel="0" collapsed="false">
      <c r="A247" s="86" t="s">
        <v>11</v>
      </c>
      <c r="B247" s="87" t="n">
        <v>1</v>
      </c>
      <c r="C247" s="88" t="s">
        <v>31</v>
      </c>
    </row>
    <row r="248" customFormat="false" ht="14.25" hidden="false" customHeight="true" outlineLevel="0" collapsed="false">
      <c r="A248" s="86" t="s">
        <v>11</v>
      </c>
      <c r="B248" s="87" t="n">
        <v>1</v>
      </c>
      <c r="C248" s="88" t="s">
        <v>36</v>
      </c>
      <c r="D248" s="17"/>
    </row>
    <row r="249" customFormat="false" ht="14.25" hidden="false" customHeight="true" outlineLevel="0" collapsed="false">
      <c r="A249" s="86" t="s">
        <v>36</v>
      </c>
      <c r="B249" s="87" t="n">
        <v>1</v>
      </c>
      <c r="C249" s="88" t="s">
        <v>11</v>
      </c>
      <c r="D249" s="76"/>
    </row>
    <row r="250" customFormat="false" ht="14.25" hidden="false" customHeight="true" outlineLevel="0" collapsed="false">
      <c r="A250" s="86" t="s">
        <v>11</v>
      </c>
      <c r="B250" s="87" t="n">
        <v>2</v>
      </c>
      <c r="C250" s="88" t="s">
        <v>38</v>
      </c>
    </row>
    <row r="251" customFormat="false" ht="14.25" hidden="false" customHeight="true" outlineLevel="0" collapsed="false">
      <c r="A251" s="86" t="s">
        <v>31</v>
      </c>
      <c r="B251" s="87" t="n">
        <v>1</v>
      </c>
      <c r="C251" s="88" t="s">
        <v>33</v>
      </c>
      <c r="D251" s="76"/>
    </row>
    <row r="252" customFormat="false" ht="14.25" hidden="false" customHeight="true" outlineLevel="0" collapsed="false">
      <c r="A252" s="86" t="s">
        <v>33</v>
      </c>
      <c r="B252" s="87" t="n">
        <v>2</v>
      </c>
      <c r="C252" s="88" t="s">
        <v>36</v>
      </c>
    </row>
    <row r="253" customFormat="false" ht="14.25" hidden="false" customHeight="true" outlineLevel="0" collapsed="false">
      <c r="A253" s="86" t="s">
        <v>37</v>
      </c>
      <c r="B253" s="87" t="n">
        <v>2</v>
      </c>
      <c r="C253" s="88" t="s">
        <v>32</v>
      </c>
    </row>
    <row r="254" customFormat="false" ht="14.25" hidden="false" customHeight="true" outlineLevel="0" collapsed="false">
      <c r="A254" s="86" t="s">
        <v>32</v>
      </c>
      <c r="B254" s="87" t="n">
        <v>1</v>
      </c>
      <c r="C254" s="88" t="s">
        <v>37</v>
      </c>
    </row>
    <row r="255" customFormat="false" ht="14.25" hidden="false" customHeight="true" outlineLevel="0" collapsed="false">
      <c r="A255" s="86" t="s">
        <v>37</v>
      </c>
      <c r="B255" s="87" t="n">
        <v>1</v>
      </c>
      <c r="C255" s="88" t="s">
        <v>39</v>
      </c>
    </row>
    <row r="256" customFormat="false" ht="14.25" hidden="false" customHeight="true" outlineLevel="0" collapsed="false">
      <c r="A256" s="86" t="s">
        <v>37</v>
      </c>
      <c r="B256" s="87" t="n">
        <v>1</v>
      </c>
      <c r="C256" s="88" t="s">
        <v>33</v>
      </c>
    </row>
    <row r="257" customFormat="false" ht="14.25" hidden="false" customHeight="true" outlineLevel="0" collapsed="false">
      <c r="A257" s="86" t="s">
        <v>41</v>
      </c>
      <c r="B257" s="87" t="n">
        <v>1</v>
      </c>
      <c r="C257" s="88" t="s">
        <v>30</v>
      </c>
    </row>
    <row r="258" customFormat="false" ht="14.25" hidden="false" customHeight="true" outlineLevel="0" collapsed="false">
      <c r="A258" s="86" t="s">
        <v>41</v>
      </c>
      <c r="B258" s="87" t="n">
        <v>5</v>
      </c>
      <c r="C258" s="88" t="s">
        <v>12</v>
      </c>
    </row>
    <row r="259" customFormat="false" ht="14.25" hidden="false" customHeight="true" outlineLevel="0" collapsed="false">
      <c r="A259" s="86" t="s">
        <v>30</v>
      </c>
      <c r="B259" s="87" t="n">
        <v>5</v>
      </c>
      <c r="C259" s="88" t="s">
        <v>12</v>
      </c>
    </row>
    <row r="260" customFormat="false" ht="14.25" hidden="false" customHeight="true" outlineLevel="0" collapsed="false">
      <c r="A260" s="86" t="s">
        <v>30</v>
      </c>
      <c r="B260" s="87" t="n">
        <v>1</v>
      </c>
      <c r="C260" s="88" t="s">
        <v>41</v>
      </c>
    </row>
    <row r="261" customFormat="false" ht="14.25" hidden="false" customHeight="true" outlineLevel="0" collapsed="false">
      <c r="A261" s="86" t="s">
        <v>30</v>
      </c>
      <c r="B261" s="87" t="n">
        <v>1</v>
      </c>
      <c r="C261" s="88" t="s">
        <v>33</v>
      </c>
    </row>
    <row r="262" customFormat="false" ht="14.25" hidden="false" customHeight="true" outlineLevel="0" collapsed="false">
      <c r="A262" s="86" t="s">
        <v>33</v>
      </c>
      <c r="B262" s="87" t="n">
        <v>1</v>
      </c>
      <c r="C262" s="88" t="s">
        <v>30</v>
      </c>
    </row>
    <row r="263" customFormat="false" ht="14.25" hidden="false" customHeight="true" outlineLevel="0" collapsed="false">
      <c r="A263" s="86" t="s">
        <v>33</v>
      </c>
      <c r="B263" s="87" t="n">
        <v>1</v>
      </c>
      <c r="C263" s="88" t="s">
        <v>41</v>
      </c>
    </row>
    <row r="264" customFormat="false" ht="14.25" hidden="false" customHeight="true" outlineLevel="0" collapsed="false">
      <c r="A264" s="86" t="s">
        <v>33</v>
      </c>
      <c r="B264" s="87" t="n">
        <v>5</v>
      </c>
      <c r="C264" s="88" t="s">
        <v>12</v>
      </c>
    </row>
    <row r="265" customFormat="false" ht="14.25" hidden="false" customHeight="true" outlineLevel="0" collapsed="false">
      <c r="A265" s="86" t="s">
        <v>30</v>
      </c>
      <c r="B265" s="87" t="n">
        <v>2</v>
      </c>
      <c r="C265" s="88" t="s">
        <v>37</v>
      </c>
    </row>
    <row r="266" customFormat="false" ht="14.25" hidden="false" customHeight="true" outlineLevel="0" collapsed="false">
      <c r="A266" s="86" t="s">
        <v>41</v>
      </c>
      <c r="B266" s="87" t="n">
        <v>2</v>
      </c>
      <c r="C266" s="88" t="s">
        <v>37</v>
      </c>
    </row>
    <row r="267" customFormat="false" ht="14.25" hidden="false" customHeight="true" outlineLevel="0" collapsed="false">
      <c r="A267" s="86" t="s">
        <v>41</v>
      </c>
      <c r="B267" s="87" t="n">
        <v>2</v>
      </c>
      <c r="C267" s="88" t="s">
        <v>39</v>
      </c>
    </row>
    <row r="268" customFormat="false" ht="14.25" hidden="false" customHeight="true" outlineLevel="0" collapsed="false">
      <c r="A268" s="86" t="s">
        <v>34</v>
      </c>
      <c r="B268" s="87" t="n">
        <v>1</v>
      </c>
      <c r="C268" s="88" t="s">
        <v>33</v>
      </c>
    </row>
    <row r="269" customFormat="false" ht="14.25" hidden="false" customHeight="true" outlineLevel="0" collapsed="false">
      <c r="A269" s="86" t="s">
        <v>11</v>
      </c>
      <c r="B269" s="87" t="n">
        <v>2</v>
      </c>
      <c r="C269" s="88" t="s">
        <v>33</v>
      </c>
    </row>
    <row r="270" customFormat="false" ht="14.25" hidden="false" customHeight="true" outlineLevel="0" collapsed="false">
      <c r="A270" s="86" t="s">
        <v>11</v>
      </c>
      <c r="B270" s="87" t="n">
        <v>2</v>
      </c>
      <c r="C270" s="88" t="s">
        <v>40</v>
      </c>
    </row>
    <row r="271" customFormat="false" ht="14.25" hidden="false" customHeight="true" outlineLevel="0" collapsed="false">
      <c r="A271" s="86" t="s">
        <v>39</v>
      </c>
      <c r="B271" s="87" t="n">
        <v>2</v>
      </c>
      <c r="C271" s="88" t="s">
        <v>35</v>
      </c>
    </row>
    <row r="272" customFormat="false" ht="14.25" hidden="false" customHeight="true" outlineLevel="0" collapsed="false">
      <c r="A272" s="86" t="s">
        <v>31</v>
      </c>
      <c r="B272" s="87" t="n">
        <v>1</v>
      </c>
      <c r="C272" s="88" t="s">
        <v>37</v>
      </c>
    </row>
    <row r="273" customFormat="false" ht="14.25" hidden="false" customHeight="true" outlineLevel="0" collapsed="false">
      <c r="A273" s="86" t="s">
        <v>37</v>
      </c>
      <c r="B273" s="87" t="n">
        <v>1</v>
      </c>
      <c r="C273" s="88" t="s">
        <v>31</v>
      </c>
    </row>
    <row r="274" customFormat="false" ht="14.25" hidden="false" customHeight="true" outlineLevel="0" collapsed="false">
      <c r="A274" s="86" t="s">
        <v>34</v>
      </c>
      <c r="B274" s="87" t="n">
        <v>2</v>
      </c>
      <c r="C274" s="88" t="s">
        <v>37</v>
      </c>
    </row>
    <row r="275" customFormat="false" ht="14.25" hidden="false" customHeight="true" outlineLevel="0" collapsed="false">
      <c r="A275" s="86" t="s">
        <v>39</v>
      </c>
      <c r="B275" s="87" t="n">
        <v>2</v>
      </c>
      <c r="C275" s="88" t="s">
        <v>35</v>
      </c>
    </row>
    <row r="276" customFormat="false" ht="14.25" hidden="false" customHeight="true" outlineLevel="0" collapsed="false">
      <c r="A276" s="86" t="s">
        <v>39</v>
      </c>
      <c r="B276" s="87" t="n">
        <v>2</v>
      </c>
      <c r="C276" s="88" t="s">
        <v>36</v>
      </c>
    </row>
    <row r="277" customFormat="false" ht="14.25" hidden="false" customHeight="true" outlineLevel="0" collapsed="false">
      <c r="A277" s="86" t="s">
        <v>39</v>
      </c>
      <c r="B277" s="87" t="n">
        <v>2</v>
      </c>
      <c r="C277" s="88" t="s">
        <v>31</v>
      </c>
    </row>
    <row r="278" customFormat="false" ht="14.25" hidden="false" customHeight="true" outlineLevel="0" collapsed="false">
      <c r="A278" s="86" t="s">
        <v>38</v>
      </c>
      <c r="B278" s="87" t="n">
        <v>2</v>
      </c>
      <c r="C278" s="88" t="s">
        <v>30</v>
      </c>
    </row>
    <row r="279" customFormat="false" ht="14.25" hidden="false" customHeight="true" outlineLevel="0" collapsed="false">
      <c r="A279" s="86" t="s">
        <v>39</v>
      </c>
      <c r="B279" s="87" t="n">
        <v>2</v>
      </c>
      <c r="C279" s="88" t="s">
        <v>32</v>
      </c>
    </row>
    <row r="280" customFormat="false" ht="14.25" hidden="false" customHeight="true" outlineLevel="0" collapsed="false">
      <c r="A280" s="86" t="s">
        <v>34</v>
      </c>
      <c r="B280" s="87" t="n">
        <v>1</v>
      </c>
      <c r="C280" s="88" t="s">
        <v>35</v>
      </c>
    </row>
    <row r="281" customFormat="false" ht="14.25" hidden="false" customHeight="true" outlineLevel="0" collapsed="false">
      <c r="A281" s="86" t="s">
        <v>39</v>
      </c>
      <c r="B281" s="87" t="n">
        <v>2</v>
      </c>
      <c r="C281" s="88" t="s">
        <v>35</v>
      </c>
    </row>
    <row r="282" customFormat="false" ht="14.25" hidden="false" customHeight="true" outlineLevel="0" collapsed="false">
      <c r="A282" s="86" t="s">
        <v>31</v>
      </c>
      <c r="B282" s="87" t="n">
        <v>1</v>
      </c>
      <c r="C282" s="88" t="s">
        <v>34</v>
      </c>
    </row>
    <row r="283" customFormat="false" ht="14.25" hidden="false" customHeight="true" outlineLevel="0" collapsed="false">
      <c r="A283" s="86" t="s">
        <v>34</v>
      </c>
      <c r="B283" s="87" t="n">
        <v>1</v>
      </c>
      <c r="C283" s="88" t="s">
        <v>31</v>
      </c>
    </row>
    <row r="284" customFormat="false" ht="14.25" hidden="false" customHeight="true" outlineLevel="0" collapsed="false">
      <c r="A284" s="86" t="s">
        <v>31</v>
      </c>
      <c r="B284" s="87" t="n">
        <v>1</v>
      </c>
      <c r="C284" s="88" t="s">
        <v>37</v>
      </c>
    </row>
    <row r="285" customFormat="false" ht="14.25" hidden="false" customHeight="true" outlineLevel="0" collapsed="false">
      <c r="A285" s="86" t="s">
        <v>37</v>
      </c>
      <c r="B285" s="87" t="n">
        <v>1</v>
      </c>
      <c r="C285" s="88" t="s">
        <v>31</v>
      </c>
    </row>
    <row r="286" customFormat="false" ht="14.25" hidden="false" customHeight="true" outlineLevel="0" collapsed="false">
      <c r="A286" s="86" t="s">
        <v>32</v>
      </c>
      <c r="B286" s="87" t="n">
        <v>1</v>
      </c>
      <c r="C286" s="88" t="s">
        <v>34</v>
      </c>
      <c r="D286" s="18"/>
    </row>
    <row r="287" customFormat="false" ht="14.25" hidden="false" customHeight="true" outlineLevel="0" collapsed="false">
      <c r="A287" s="86" t="s">
        <v>34</v>
      </c>
      <c r="B287" s="87" t="n">
        <v>1</v>
      </c>
      <c r="C287" s="88" t="s">
        <v>32</v>
      </c>
    </row>
    <row r="288" customFormat="false" ht="14.25" hidden="false" customHeight="true" outlineLevel="0" collapsed="false">
      <c r="A288" s="86" t="s">
        <v>34</v>
      </c>
      <c r="B288" s="87" t="n">
        <v>2</v>
      </c>
      <c r="C288" s="88" t="s">
        <v>37</v>
      </c>
    </row>
    <row r="289" customFormat="false" ht="14.25" hidden="false" customHeight="true" outlineLevel="0" collapsed="false">
      <c r="A289" s="86" t="s">
        <v>37</v>
      </c>
      <c r="B289" s="87" t="n">
        <v>2</v>
      </c>
      <c r="C289" s="88" t="s">
        <v>36</v>
      </c>
    </row>
    <row r="290" customFormat="false" ht="14.25" hidden="false" customHeight="true" outlineLevel="0" collapsed="false">
      <c r="A290" s="86" t="s">
        <v>30</v>
      </c>
      <c r="B290" s="87" t="n">
        <v>2</v>
      </c>
      <c r="C290" s="88" t="s">
        <v>32</v>
      </c>
    </row>
    <row r="291" customFormat="false" ht="14.25" hidden="false" customHeight="true" outlineLevel="0" collapsed="false">
      <c r="A291" s="86" t="s">
        <v>32</v>
      </c>
      <c r="B291" s="87" t="n">
        <v>2</v>
      </c>
      <c r="C291" s="88" t="s">
        <v>36</v>
      </c>
    </row>
    <row r="292" customFormat="false" ht="14.25" hidden="false" customHeight="true" outlineLevel="0" collapsed="false">
      <c r="A292" s="86" t="s">
        <v>36</v>
      </c>
      <c r="B292" s="87" t="n">
        <v>1</v>
      </c>
      <c r="C292" s="88" t="s">
        <v>33</v>
      </c>
    </row>
    <row r="293" customFormat="false" ht="14.25" hidden="false" customHeight="true" outlineLevel="0" collapsed="false">
      <c r="A293" s="86" t="s">
        <v>34</v>
      </c>
      <c r="B293" s="87" t="n">
        <v>2</v>
      </c>
      <c r="C293" s="88" t="s">
        <v>36</v>
      </c>
    </row>
    <row r="294" customFormat="false" ht="14.25" hidden="false" customHeight="true" outlineLevel="0" collapsed="false">
      <c r="A294" s="86" t="s">
        <v>39</v>
      </c>
      <c r="B294" s="87" t="n">
        <v>2</v>
      </c>
      <c r="C294" s="88" t="s">
        <v>31</v>
      </c>
    </row>
    <row r="295" customFormat="false" ht="14.25" hidden="false" customHeight="true" outlineLevel="0" collapsed="false">
      <c r="A295" s="86" t="s">
        <v>39</v>
      </c>
      <c r="B295" s="87" t="n">
        <v>2</v>
      </c>
      <c r="C295" s="88" t="s">
        <v>37</v>
      </c>
    </row>
    <row r="296" customFormat="false" ht="14.25" hidden="false" customHeight="true" outlineLevel="0" collapsed="false">
      <c r="A296" s="86" t="s">
        <v>31</v>
      </c>
      <c r="B296" s="87" t="n">
        <v>1</v>
      </c>
      <c r="C296" s="88" t="s">
        <v>37</v>
      </c>
    </row>
    <row r="297" customFormat="false" ht="14.25" hidden="false" customHeight="true" outlineLevel="0" collapsed="false">
      <c r="A297" s="86" t="s">
        <v>37</v>
      </c>
      <c r="B297" s="87" t="n">
        <v>1</v>
      </c>
      <c r="C297" s="88" t="s">
        <v>31</v>
      </c>
    </row>
    <row r="298" customFormat="false" ht="14.25" hidden="false" customHeight="true" outlineLevel="0" collapsed="false">
      <c r="A298" s="86" t="s">
        <v>39</v>
      </c>
      <c r="B298" s="87" t="n">
        <v>2</v>
      </c>
      <c r="C298" s="88" t="s">
        <v>34</v>
      </c>
    </row>
    <row r="299" customFormat="false" ht="14.25" hidden="false" customHeight="true" outlineLevel="0" collapsed="false">
      <c r="A299" s="86" t="s">
        <v>31</v>
      </c>
      <c r="B299" s="87" t="n">
        <v>2</v>
      </c>
      <c r="C299" s="88" t="s">
        <v>35</v>
      </c>
    </row>
    <row r="300" customFormat="false" ht="14.25" hidden="false" customHeight="true" outlineLevel="0" collapsed="false">
      <c r="A300" s="86" t="s">
        <v>31</v>
      </c>
      <c r="B300" s="87" t="n">
        <v>1</v>
      </c>
      <c r="C300" s="88" t="s">
        <v>32</v>
      </c>
    </row>
    <row r="301" customFormat="false" ht="14.25" hidden="false" customHeight="true" outlineLevel="0" collapsed="false">
      <c r="A301" s="86" t="s">
        <v>32</v>
      </c>
      <c r="B301" s="87" t="n">
        <v>2</v>
      </c>
      <c r="C301" s="88" t="s">
        <v>31</v>
      </c>
      <c r="D301" s="18"/>
    </row>
    <row r="302" customFormat="false" ht="14.25" hidden="false" customHeight="true" outlineLevel="0" collapsed="false">
      <c r="A302" s="86" t="s">
        <v>36</v>
      </c>
      <c r="B302" s="87" t="n">
        <v>1</v>
      </c>
      <c r="C302" s="88" t="s">
        <v>35</v>
      </c>
      <c r="D302" s="18"/>
    </row>
    <row r="303" customFormat="false" ht="14.25" hidden="false" customHeight="true" outlineLevel="0" collapsed="false">
      <c r="A303" s="86" t="s">
        <v>30</v>
      </c>
      <c r="B303" s="87" t="n">
        <v>2</v>
      </c>
      <c r="C303" s="88" t="s">
        <v>38</v>
      </c>
    </row>
    <row r="304" customFormat="false" ht="14.25" hidden="false" customHeight="true" outlineLevel="0" collapsed="false">
      <c r="A304" s="86" t="s">
        <v>41</v>
      </c>
      <c r="B304" s="87" t="n">
        <v>5</v>
      </c>
      <c r="C304" s="88" t="s">
        <v>12</v>
      </c>
    </row>
    <row r="305" customFormat="false" ht="14.25" hidden="false" customHeight="true" outlineLevel="0" collapsed="false">
      <c r="A305" s="86" t="s">
        <v>37</v>
      </c>
      <c r="B305" s="87" t="n">
        <v>1</v>
      </c>
      <c r="C305" s="88" t="s">
        <v>35</v>
      </c>
    </row>
    <row r="306" customFormat="false" ht="14.25" hidden="false" customHeight="true" outlineLevel="0" collapsed="false">
      <c r="A306" s="86" t="s">
        <v>34</v>
      </c>
      <c r="B306" s="87" t="n">
        <v>1</v>
      </c>
      <c r="C306" s="88" t="s">
        <v>37</v>
      </c>
    </row>
    <row r="307" customFormat="false" ht="14.25" hidden="false" customHeight="true" outlineLevel="0" collapsed="false">
      <c r="A307" s="86" t="s">
        <v>37</v>
      </c>
      <c r="B307" s="87" t="n">
        <v>1</v>
      </c>
      <c r="C307" s="88" t="s">
        <v>34</v>
      </c>
    </row>
    <row r="308" customFormat="false" ht="14.25" hidden="false" customHeight="true" outlineLevel="0" collapsed="false">
      <c r="A308" s="86" t="s">
        <v>34</v>
      </c>
      <c r="B308" s="87" t="n">
        <v>2</v>
      </c>
      <c r="C308" s="88" t="s">
        <v>37</v>
      </c>
      <c r="D308" s="17"/>
    </row>
    <row r="309" customFormat="false" ht="14.25" hidden="false" customHeight="true" outlineLevel="0" collapsed="false">
      <c r="A309" s="86" t="s">
        <v>37</v>
      </c>
      <c r="B309" s="87" t="n">
        <v>1</v>
      </c>
      <c r="C309" s="88" t="s">
        <v>34</v>
      </c>
    </row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>
      <c r="D354" s="18"/>
    </row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>
      <c r="D359" s="18"/>
    </row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>
      <c r="D398" s="76"/>
    </row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>
      <c r="D483" s="76"/>
    </row>
    <row r="484" customFormat="false" ht="14.25" hidden="false" customHeight="true" outlineLevel="0" collapsed="false">
      <c r="D484" s="76"/>
    </row>
    <row r="485" customFormat="false" ht="14.25" hidden="false" customHeight="true" outlineLevel="0" collapsed="false">
      <c r="D485" s="76"/>
    </row>
    <row r="486" customFormat="false" ht="14.25" hidden="false" customHeight="true" outlineLevel="0" collapsed="false">
      <c r="D486" s="18"/>
    </row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>
      <c r="D504" s="76"/>
    </row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mergeCells count="5">
    <mergeCell ref="I1:R1"/>
    <mergeCell ref="T1:AM1"/>
    <mergeCell ref="AP13:AY13"/>
    <mergeCell ref="I20:Q20"/>
    <mergeCell ref="AP56:AX56"/>
  </mergeCells>
  <conditionalFormatting sqref="AQ66:AQ70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Q16:AY31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22:K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22:L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M22:N26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22:O26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P22:P26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Q22:Q26">
    <cfRule type="colorScale" priority="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Q35"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Q59:AX63">
    <cfRule type="colorScale" priority="11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1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Y59:AY63">
    <cfRule type="colorScale" priority="1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Q66:AQ69">
    <cfRule type="colorScale" priority="1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R66:AR70">
    <cfRule type="colorScale" priority="1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22:K26">
    <cfRule type="colorScale" priority="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N22:N26">
    <cfRule type="colorScale" priority="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R4:AR11 AX4:AX11">
    <cfRule type="cellIs" priority="18" operator="greaterThan" aboveAverage="0" equalAverage="0" bottom="0" percent="0" rank="0" text="" dxfId="0">
      <formula>1</formula>
    </cfRule>
  </conditionalFormatting>
  <conditionalFormatting sqref="J83:J86">
    <cfRule type="colorScale" priority="1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T83:T86">
    <cfRule type="colorScale" priority="2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94:J97">
    <cfRule type="colorScale" priority="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T94:T97">
    <cfRule type="colorScale" priority="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105:J108">
    <cfRule type="colorScale" priority="2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T105:T108">
    <cfRule type="colorScale" priority="2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Q16:AQ31 AT16:AT31 AW16:AW31">
    <cfRule type="colorScale" priority="2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R16:AR31 AU16:AU31 AX16:AX31">
    <cfRule type="colorScale" priority="2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S16:AS31 AV16:AV31 AY16:AY31">
    <cfRule type="colorScale" priority="2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T16:AT31">
    <cfRule type="colorScale" priority="30">
      <colorScale>
        <cfvo type="min" val="0"/>
        <cfvo type="max" val="0"/>
        <color rgb="FFFCFCFF"/>
        <color rgb="FF63BE7B"/>
      </colorScale>
    </cfRule>
    <cfRule type="colorScale" priority="3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U16:AU31">
    <cfRule type="colorScale" priority="32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3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V16:AV31">
    <cfRule type="colorScale" priority="3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W16:AW31">
    <cfRule type="colorScale" priority="3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X16:AX31">
    <cfRule type="colorScale" priority="3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Y16:AY31">
    <cfRule type="colorScale" priority="3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Z16:AZ31">
    <cfRule type="colorScale" priority="3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R36:AR51">
    <cfRule type="colorScale" priority="3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M4:AM18">
    <cfRule type="colorScale" priority="40">
      <colorScale>
        <cfvo type="min" val="0"/>
        <cfvo type="max" val="0"/>
        <color rgb="FFFCFCFF"/>
        <color rgb="FF63BE7B"/>
      </colorScale>
    </cfRule>
  </conditionalFormatting>
  <conditionalFormatting sqref="J65:J80">
    <cfRule type="colorScale" priority="4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T65:T80">
    <cfRule type="colorScale" priority="4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47:J62">
    <cfRule type="colorScale" priority="4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T47:T62">
    <cfRule type="colorScale" priority="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29:J44">
    <cfRule type="colorScale" priority="4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T29:T44">
    <cfRule type="colorScale" priority="4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3:J18">
    <cfRule type="colorScale" priority="4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3:K18">
    <cfRule type="colorScale" priority="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L3:L18">
    <cfRule type="colorScale" priority="4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M3:M18">
    <cfRule type="colorScale" priority="5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3:N18">
    <cfRule type="colorScale" priority="5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O3:O18">
    <cfRule type="colorScale" priority="5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P3:P18">
    <cfRule type="colorScale" priority="5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Q3:Q18">
    <cfRule type="colorScale" priority="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R3:R18">
    <cfRule type="colorScale" priority="5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Q36:AQ51">
    <cfRule type="colorScale" priority="5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Q16:AQ31">
    <cfRule type="colorScale" priority="57">
      <colorScale>
        <cfvo type="min" val="0"/>
        <cfvo type="max" val="0"/>
        <color rgb="FFFCFCFF"/>
        <color rgb="FF63BE7B"/>
      </colorScale>
    </cfRule>
    <cfRule type="colorScale" priority="5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R16:AR31">
    <cfRule type="colorScale" priority="59">
      <colorScale>
        <cfvo type="min" val="0"/>
        <cfvo type="max" val="0"/>
        <color rgb="FFF8696B"/>
        <color rgb="FFFCFCFF"/>
      </colorScale>
    </cfRule>
  </conditionalFormatting>
  <conditionalFormatting sqref="AS16:AS31">
    <cfRule type="colorScale" priority="60">
      <colorScale>
        <cfvo type="min" val="0"/>
        <cfvo type="max" val="0"/>
        <color rgb="FFFCFCFF"/>
        <color rgb="FF63BE7B"/>
      </colorScale>
    </cfRule>
  </conditionalFormatting>
  <hyperlinks>
    <hyperlink ref="E2" r:id="rId1" display="https://cdn.discordapp.com/ephemeral-attachments/1450933256630440049/1463953458653827136/RDT_20260115_0729213001306827711469532.jpg?ex=6973b467&amp;is=697262e7&amp;hm=abddde1990f77dd09947cbd6cafc421033b30a956f63f0ac302b85f328ba9efb&amp;"/>
    <hyperlink ref="E17" r:id="rId2" display="https://cdn.discordapp.com/ephemeral-attachments/1450933256630440049/1465775644741730526/20260127_132802.jpg?ex=697a5572&amp;is=697903f2&amp;hm=9c27e546ab9c73cc77f8c0375cc0951fe876586726fc87be5b26c45984ed2b11&amp;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1000"/>
  <sheetViews>
    <sheetView showFormulas="false" showGridLines="true" showRowColHeaders="true" showZeros="true" rightToLeft="false" tabSelected="false" showOutlineSymbols="true" defaultGridColor="true" view="normal" topLeftCell="A486" colorId="64" zoomScale="77" zoomScaleNormal="77" zoomScalePageLayoutView="100" workbookViewId="0">
      <selection pane="topLeft" activeCell="A533" activeCellId="0" sqref="A533"/>
    </sheetView>
  </sheetViews>
  <sheetFormatPr defaultColWidth="12.54296875" defaultRowHeight="15" customHeight="true" zeroHeight="false" outlineLevelRow="0" outlineLevelCol="0"/>
  <cols>
    <col collapsed="false" customWidth="true" hidden="false" outlineLevel="0" max="1" min="1" style="0" width="7.45"/>
    <col collapsed="false" customWidth="true" hidden="false" outlineLevel="0" max="2" min="2" style="0" width="6.54"/>
    <col collapsed="false" customWidth="true" hidden="false" outlineLevel="0" max="3" min="3" style="0" width="7.45"/>
    <col collapsed="false" customWidth="true" hidden="false" outlineLevel="0" max="4" min="4" style="0" width="8.54"/>
    <col collapsed="false" customWidth="true" hidden="false" outlineLevel="0" max="5" min="5" style="0" width="2.27"/>
    <col collapsed="false" customWidth="true" hidden="false" outlineLevel="0" max="6" min="6" style="0" width="8.54"/>
    <col collapsed="false" customWidth="true" hidden="false" outlineLevel="0" max="9" min="8" style="0" width="7.27"/>
    <col collapsed="false" customWidth="true" hidden="false" outlineLevel="0" max="10" min="10" style="0" width="5.45"/>
    <col collapsed="false" customWidth="true" hidden="false" outlineLevel="0" max="11" min="11" style="0" width="9.73"/>
    <col collapsed="false" customWidth="true" hidden="false" outlineLevel="0" max="12" min="12" style="0" width="12.27"/>
    <col collapsed="false" customWidth="true" hidden="false" outlineLevel="0" max="13" min="13" style="0" width="7.18"/>
    <col collapsed="false" customWidth="true" hidden="false" outlineLevel="0" max="14" min="14" style="0" width="8.45"/>
    <col collapsed="false" customWidth="true" hidden="false" outlineLevel="0" max="15" min="15" style="0" width="11.18"/>
    <col collapsed="false" customWidth="true" hidden="false" outlineLevel="0" max="16" min="16" style="0" width="13.27"/>
    <col collapsed="false" customWidth="true" hidden="false" outlineLevel="0" max="17" min="17" style="0" width="7.45"/>
    <col collapsed="false" customWidth="true" hidden="false" outlineLevel="0" max="18" min="18" style="0" width="12.82"/>
    <col collapsed="false" customWidth="true" hidden="false" outlineLevel="0" max="19" min="19" style="0" width="8.54"/>
    <col collapsed="false" customWidth="true" hidden="false" outlineLevel="0" max="21" min="20" style="0" width="3.82"/>
    <col collapsed="false" customWidth="true" hidden="false" outlineLevel="0" max="22" min="22" style="0" width="6.82"/>
    <col collapsed="false" customWidth="true" hidden="false" outlineLevel="0" max="23" min="23" style="0" width="4.73"/>
    <col collapsed="false" customWidth="true" hidden="false" outlineLevel="0" max="24" min="24" style="0" width="5.54"/>
    <col collapsed="false" customWidth="true" hidden="false" outlineLevel="0" max="25" min="25" style="0" width="5.45"/>
    <col collapsed="false" customWidth="true" hidden="false" outlineLevel="0" max="26" min="26" style="0" width="7.27"/>
    <col collapsed="false" customWidth="true" hidden="false" outlineLevel="0" max="27" min="27" style="0" width="6.45"/>
    <col collapsed="false" customWidth="true" hidden="false" outlineLevel="0" max="28" min="28" style="0" width="7.45"/>
    <col collapsed="false" customWidth="true" hidden="false" outlineLevel="0" max="29" min="29" style="0" width="5.82"/>
    <col collapsed="false" customWidth="true" hidden="false" outlineLevel="0" max="30" min="30" style="0" width="6.82"/>
    <col collapsed="false" customWidth="true" hidden="false" outlineLevel="0" max="31" min="31" style="0" width="6.73"/>
    <col collapsed="false" customWidth="true" hidden="false" outlineLevel="0" max="32" min="32" style="0" width="4.73"/>
    <col collapsed="false" customWidth="true" hidden="false" outlineLevel="0" max="33" min="33" style="0" width="6.54"/>
    <col collapsed="false" customWidth="true" hidden="false" outlineLevel="0" max="34" min="34" style="0" width="4.27"/>
    <col collapsed="false" customWidth="true" hidden="false" outlineLevel="0" max="35" min="35" style="0" width="5.18"/>
    <col collapsed="false" customWidth="true" hidden="false" outlineLevel="0" max="36" min="36" style="0" width="10.18"/>
    <col collapsed="false" customWidth="true" hidden="false" outlineLevel="0" max="37" min="37" style="0" width="6.54"/>
    <col collapsed="false" customWidth="true" hidden="false" outlineLevel="0" max="39" min="38" style="0" width="8.54"/>
    <col collapsed="false" customWidth="true" hidden="false" outlineLevel="0" max="42" min="41" style="0" width="8.45"/>
    <col collapsed="false" customWidth="true" hidden="false" outlineLevel="0" max="43" min="43" style="0" width="7.18"/>
    <col collapsed="false" customWidth="true" hidden="false" outlineLevel="0" max="44" min="44" style="0" width="9.27"/>
    <col collapsed="false" customWidth="true" hidden="false" outlineLevel="0" max="45" min="45" style="0" width="13.82"/>
    <col collapsed="false" customWidth="true" hidden="false" outlineLevel="0" max="46" min="46" style="0" width="7.54"/>
    <col collapsed="false" customWidth="true" hidden="false" outlineLevel="0" max="47" min="47" style="0" width="8.18"/>
    <col collapsed="false" customWidth="true" hidden="false" outlineLevel="0" max="48" min="48" style="0" width="10.73"/>
    <col collapsed="false" customWidth="true" hidden="false" outlineLevel="0" max="49" min="49" style="0" width="12"/>
    <col collapsed="false" customWidth="true" hidden="false" outlineLevel="0" max="50" min="50" style="0" width="8.18"/>
    <col collapsed="false" customWidth="true" hidden="false" outlineLevel="0" max="51" min="51" style="0" width="8.54"/>
  </cols>
  <sheetData>
    <row r="1" customFormat="false" ht="14.25" hidden="false" customHeight="true" outlineLevel="0" collapsed="false">
      <c r="A1" s="89" t="s">
        <v>0</v>
      </c>
      <c r="B1" s="90" t="s">
        <v>1</v>
      </c>
      <c r="C1" s="91" t="s">
        <v>2</v>
      </c>
      <c r="D1" s="6" t="s">
        <v>3</v>
      </c>
      <c r="G1" s="7" t="s">
        <v>4</v>
      </c>
      <c r="H1" s="7"/>
      <c r="I1" s="7"/>
      <c r="J1" s="7"/>
      <c r="K1" s="7"/>
      <c r="L1" s="7"/>
      <c r="M1" s="7"/>
      <c r="N1" s="7"/>
      <c r="O1" s="7"/>
      <c r="P1" s="7"/>
      <c r="Q1" s="8"/>
      <c r="R1" s="92" t="s">
        <v>5</v>
      </c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  <c r="AD1" s="92"/>
      <c r="AE1" s="92"/>
      <c r="AF1" s="92"/>
      <c r="AG1" s="92"/>
      <c r="AH1" s="92"/>
      <c r="AI1" s="92"/>
      <c r="AJ1" s="92"/>
      <c r="AK1" s="93"/>
      <c r="AP1" s="7" t="s">
        <v>6</v>
      </c>
      <c r="AQ1" s="10" t="s">
        <v>7</v>
      </c>
      <c r="AR1" s="11" t="s">
        <v>8</v>
      </c>
      <c r="AS1" s="12" t="s">
        <v>9</v>
      </c>
      <c r="AT1" s="13" t="s">
        <v>8</v>
      </c>
      <c r="AU1" s="10" t="s">
        <v>10</v>
      </c>
      <c r="AV1" s="7" t="s">
        <v>6</v>
      </c>
    </row>
    <row r="2" customFormat="false" ht="14.25" hidden="false" customHeight="true" outlineLevel="0" collapsed="false">
      <c r="A2" s="94" t="s">
        <v>37</v>
      </c>
      <c r="B2" s="95" t="n">
        <v>2</v>
      </c>
      <c r="C2" s="96" t="s">
        <v>39</v>
      </c>
      <c r="D2" s="17" t="s">
        <v>572</v>
      </c>
      <c r="E2" s="6"/>
      <c r="F2" s="19"/>
      <c r="G2" s="20" t="s">
        <v>88</v>
      </c>
      <c r="H2" s="21" t="s">
        <v>16</v>
      </c>
      <c r="I2" s="21" t="s">
        <v>17</v>
      </c>
      <c r="J2" s="21" t="s">
        <v>18</v>
      </c>
      <c r="K2" s="21" t="s">
        <v>19</v>
      </c>
      <c r="L2" s="21" t="s">
        <v>20</v>
      </c>
      <c r="M2" s="21" t="s">
        <v>21</v>
      </c>
      <c r="N2" s="21" t="s">
        <v>22</v>
      </c>
      <c r="O2" s="21" t="s">
        <v>23</v>
      </c>
      <c r="P2" s="22" t="s">
        <v>24</v>
      </c>
      <c r="Q2" s="8"/>
      <c r="R2" s="23" t="s">
        <v>25</v>
      </c>
      <c r="S2" s="24" t="s">
        <v>2</v>
      </c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6"/>
      <c r="AK2" s="27" t="s">
        <v>26</v>
      </c>
      <c r="AP2" s="28"/>
      <c r="AQ2" s="29"/>
      <c r="AR2" s="30" t="n">
        <f aca="false">COUNT(B$1:B$155)</f>
        <v>154</v>
      </c>
      <c r="AS2" s="31" t="s">
        <v>27</v>
      </c>
      <c r="AT2" s="30" t="n">
        <f aca="false">COUNT(B$1:B$155)</f>
        <v>154</v>
      </c>
      <c r="AU2" s="28"/>
      <c r="AV2" s="28"/>
    </row>
    <row r="3" customFormat="false" ht="14.25" hidden="false" customHeight="true" outlineLevel="0" collapsed="false">
      <c r="A3" s="94" t="s">
        <v>39</v>
      </c>
      <c r="B3" s="95" t="n">
        <v>1</v>
      </c>
      <c r="C3" s="96" t="s">
        <v>37</v>
      </c>
      <c r="D3" s="17" t="s">
        <v>573</v>
      </c>
      <c r="E3" s="6"/>
      <c r="F3" s="32"/>
      <c r="G3" s="33" t="s">
        <v>30</v>
      </c>
      <c r="H3" s="34" t="n">
        <f aca="false">COUNTIF($A:$A,G3)</f>
        <v>26</v>
      </c>
      <c r="I3" s="34" t="n">
        <f aca="false">COUNTIF($C:$C,G3)</f>
        <v>21</v>
      </c>
      <c r="J3" s="35" t="n">
        <f aca="false">IF(I3,H3/I3,H3)</f>
        <v>1.23809523809524</v>
      </c>
      <c r="K3" s="34" t="n">
        <f aca="false">IFERROR(GETPIVOTDATA("Points",$R$2,"Sniper",G3),0)</f>
        <v>39</v>
      </c>
      <c r="L3" s="34" t="n">
        <f aca="false">IFERROR(GETPIVOTDATA("Points",$R$2,"Snipee",G3),0)</f>
        <v>29</v>
      </c>
      <c r="M3" s="35" t="n">
        <f aca="false">IF(L3,K3/L3,K3)</f>
        <v>1.3448275862069</v>
      </c>
      <c r="N3" s="35" t="n">
        <f aca="false">IF(H3,K3/H3,0)</f>
        <v>1.5</v>
      </c>
      <c r="O3" s="35" t="n">
        <f aca="false">IF(I3,L3/I3,0)</f>
        <v>1.38095238095238</v>
      </c>
      <c r="P3" s="36" t="n">
        <f aca="false">IFERROR(VLOOKUP(G3,R:AK,20,FALSE())/15,0)</f>
        <v>0.933333333333333</v>
      </c>
      <c r="Q3" s="8"/>
      <c r="R3" s="37" t="s">
        <v>0</v>
      </c>
      <c r="S3" s="97" t="s">
        <v>31</v>
      </c>
      <c r="T3" s="98" t="s">
        <v>37</v>
      </c>
      <c r="U3" s="98" t="s">
        <v>32</v>
      </c>
      <c r="V3" s="98" t="s">
        <v>34</v>
      </c>
      <c r="W3" s="98" t="s">
        <v>36</v>
      </c>
      <c r="X3" s="98" t="s">
        <v>42</v>
      </c>
      <c r="Y3" s="98" t="s">
        <v>39</v>
      </c>
      <c r="Z3" s="98" t="s">
        <v>12</v>
      </c>
      <c r="AA3" s="98" t="s">
        <v>38</v>
      </c>
      <c r="AB3" s="98" t="s">
        <v>33</v>
      </c>
      <c r="AC3" s="98" t="s">
        <v>30</v>
      </c>
      <c r="AD3" s="98" t="s">
        <v>35</v>
      </c>
      <c r="AE3" s="98" t="s">
        <v>40</v>
      </c>
      <c r="AF3" s="98" t="s">
        <v>41</v>
      </c>
      <c r="AG3" s="98" t="s">
        <v>43</v>
      </c>
      <c r="AH3" s="98" t="s">
        <v>95</v>
      </c>
      <c r="AI3" s="98" t="s">
        <v>11</v>
      </c>
      <c r="AJ3" s="39" t="s">
        <v>44</v>
      </c>
      <c r="AK3" s="27" t="s">
        <v>16</v>
      </c>
      <c r="AP3" s="28"/>
      <c r="AQ3" s="28"/>
      <c r="AR3" s="40" t="n">
        <f aca="false">IFERROR(GETPIVOTDATA("Points",R2),0)</f>
        <v>778</v>
      </c>
      <c r="AS3" s="41" t="s">
        <v>45</v>
      </c>
      <c r="AT3" s="40" t="n">
        <f aca="false">IFERROR(GETPIVOTDATA("Points",R2),0)</f>
        <v>778</v>
      </c>
      <c r="AU3" s="28"/>
      <c r="AV3" s="28"/>
    </row>
    <row r="4" customFormat="false" ht="14.25" hidden="false" customHeight="true" outlineLevel="0" collapsed="false">
      <c r="A4" s="94" t="s">
        <v>39</v>
      </c>
      <c r="B4" s="95" t="n">
        <v>2</v>
      </c>
      <c r="C4" s="96" t="s">
        <v>35</v>
      </c>
      <c r="D4" s="17" t="s">
        <v>574</v>
      </c>
      <c r="E4" s="6"/>
      <c r="F4" s="32"/>
      <c r="G4" s="33" t="s">
        <v>42</v>
      </c>
      <c r="H4" s="34" t="n">
        <f aca="false">COUNTIF($A:$A,G4)</f>
        <v>26</v>
      </c>
      <c r="I4" s="34" t="n">
        <f aca="false">COUNTIF($C:$C,G4)</f>
        <v>38</v>
      </c>
      <c r="J4" s="35" t="n">
        <f aca="false">IF(I4,H4/I4,H4)</f>
        <v>0.68421052631579</v>
      </c>
      <c r="K4" s="34" t="n">
        <f aca="false">IFERROR(GETPIVOTDATA("Points",$R$2,"Sniper",G4),0)</f>
        <v>36</v>
      </c>
      <c r="L4" s="34" t="n">
        <f aca="false">IFERROR(GETPIVOTDATA("Points",$R$2,"Snipee",G4),0)</f>
        <v>57</v>
      </c>
      <c r="M4" s="35" t="n">
        <f aca="false">IF(L4,K4/L4,K4)</f>
        <v>0.631578947368421</v>
      </c>
      <c r="N4" s="35" t="n">
        <f aca="false">IF(H4,K4/H4,0)</f>
        <v>1.38461538461538</v>
      </c>
      <c r="O4" s="35" t="n">
        <f aca="false">IF(I4,L4/I4,0)</f>
        <v>1.5</v>
      </c>
      <c r="P4" s="36" t="n">
        <f aca="false">IFERROR(VLOOKUP(G4,R:AK,20,FALSE())/15,0)</f>
        <v>0.733333333333333</v>
      </c>
      <c r="Q4" s="8"/>
      <c r="R4" s="99" t="s">
        <v>37</v>
      </c>
      <c r="S4" s="100" t="n">
        <v>21</v>
      </c>
      <c r="T4" s="101"/>
      <c r="U4" s="101" t="n">
        <v>22</v>
      </c>
      <c r="V4" s="101" t="n">
        <v>18</v>
      </c>
      <c r="W4" s="101" t="n">
        <v>17</v>
      </c>
      <c r="X4" s="101" t="n">
        <v>17</v>
      </c>
      <c r="Y4" s="101" t="n">
        <v>8</v>
      </c>
      <c r="Z4" s="101"/>
      <c r="AA4" s="101" t="n">
        <v>7</v>
      </c>
      <c r="AB4" s="101" t="n">
        <v>5</v>
      </c>
      <c r="AC4" s="101" t="n">
        <v>1</v>
      </c>
      <c r="AD4" s="101" t="n">
        <v>2</v>
      </c>
      <c r="AE4" s="101" t="n">
        <v>3</v>
      </c>
      <c r="AF4" s="101"/>
      <c r="AG4" s="101" t="n">
        <v>1</v>
      </c>
      <c r="AH4" s="101"/>
      <c r="AI4" s="102"/>
      <c r="AJ4" s="103" t="n">
        <v>122</v>
      </c>
      <c r="AK4" s="27" t="n">
        <f aca="false">IF(COUNT(S4:AJ4)&lt;&gt;0,COUNT(S4:AJ4)-1,"")</f>
        <v>12</v>
      </c>
      <c r="AP4" s="45" t="n">
        <f aca="false">COUNTIF(H3:H17,AR4)</f>
        <v>1</v>
      </c>
      <c r="AQ4" s="46" t="str">
        <f aca="false">$G$29</f>
        <v>Will</v>
      </c>
      <c r="AR4" s="40" t="n">
        <f aca="false">MAX(H3:H18)</f>
        <v>85</v>
      </c>
      <c r="AS4" s="41" t="s">
        <v>49</v>
      </c>
      <c r="AT4" s="47" t="n">
        <f aca="false">MAX(H22:H25)</f>
        <v>51.75</v>
      </c>
      <c r="AU4" s="48" t="str">
        <f aca="false">$G$86</f>
        <v>Baris</v>
      </c>
      <c r="AV4" s="45" t="n">
        <f aca="false">COUNTIF(H22:H25,AT4)</f>
        <v>1</v>
      </c>
    </row>
    <row r="5" customFormat="false" ht="14.25" hidden="false" customHeight="true" outlineLevel="0" collapsed="false">
      <c r="A5" s="94" t="s">
        <v>31</v>
      </c>
      <c r="B5" s="95" t="n">
        <v>1</v>
      </c>
      <c r="C5" s="96" t="s">
        <v>32</v>
      </c>
      <c r="D5" s="17" t="s">
        <v>575</v>
      </c>
      <c r="F5" s="32"/>
      <c r="G5" s="33" t="s">
        <v>34</v>
      </c>
      <c r="H5" s="34" t="n">
        <f aca="false">COUNTIF($A:$A,G5)</f>
        <v>62</v>
      </c>
      <c r="I5" s="34" t="n">
        <f aca="false">COUNTIF($C:$C,G5)</f>
        <v>49</v>
      </c>
      <c r="J5" s="35" t="n">
        <f aca="false">IF(I5,H5/I5,H5)</f>
        <v>1.26530612244898</v>
      </c>
      <c r="K5" s="34" t="n">
        <f aca="false">IFERROR(GETPIVOTDATA("Points",$R$2,"Sniper",G5),0)</f>
        <v>85</v>
      </c>
      <c r="L5" s="34" t="n">
        <f aca="false">IFERROR(GETPIVOTDATA("Points",$R$2,"Snipee",G5),0)</f>
        <v>66</v>
      </c>
      <c r="M5" s="35" t="n">
        <f aca="false">IF(L5,K5/L5,K5)</f>
        <v>1.28787878787879</v>
      </c>
      <c r="N5" s="35" t="n">
        <f aca="false">IF(H5,K5/H5,0)</f>
        <v>1.37096774193548</v>
      </c>
      <c r="O5" s="35" t="n">
        <f aca="false">IF(I5,L5/I5,0)</f>
        <v>1.3469387755102</v>
      </c>
      <c r="P5" s="36" t="n">
        <f aca="false">IFERROR(VLOOKUP(G5,R:AK,20,FALSE())/15,0)</f>
        <v>0.666666666666667</v>
      </c>
      <c r="Q5" s="8"/>
      <c r="R5" s="104" t="s">
        <v>31</v>
      </c>
      <c r="S5" s="105"/>
      <c r="T5" s="106" t="n">
        <v>29</v>
      </c>
      <c r="U5" s="106" t="n">
        <v>34</v>
      </c>
      <c r="V5" s="106" t="n">
        <v>16</v>
      </c>
      <c r="W5" s="106" t="n">
        <v>7</v>
      </c>
      <c r="X5" s="106" t="n">
        <v>3</v>
      </c>
      <c r="Y5" s="106" t="n">
        <v>8</v>
      </c>
      <c r="Z5" s="106"/>
      <c r="AA5" s="106" t="n">
        <v>4</v>
      </c>
      <c r="AB5" s="106" t="n">
        <v>5</v>
      </c>
      <c r="AC5" s="106" t="n">
        <v>1</v>
      </c>
      <c r="AD5" s="106" t="n">
        <v>9</v>
      </c>
      <c r="AE5" s="106"/>
      <c r="AF5" s="106"/>
      <c r="AG5" s="106"/>
      <c r="AH5" s="106"/>
      <c r="AI5" s="107" t="n">
        <v>2</v>
      </c>
      <c r="AJ5" s="108" t="n">
        <v>118</v>
      </c>
      <c r="AK5" s="27" t="n">
        <f aca="false">IF(COUNT(S5:AJ5)&lt;&gt;0,COUNT(S5:AJ5)-1,"")</f>
        <v>11</v>
      </c>
      <c r="AP5" s="45" t="n">
        <f aca="false">COUNTIF(I3:I17,AR5)</f>
        <v>1</v>
      </c>
      <c r="AQ5" s="46" t="str">
        <f aca="false">$G$47</f>
        <v>Mikey</v>
      </c>
      <c r="AR5" s="40" t="n">
        <f aca="false">MAX(H47:H62)</f>
        <v>76</v>
      </c>
      <c r="AS5" s="41" t="s">
        <v>54</v>
      </c>
      <c r="AT5" s="47" t="n">
        <f aca="false">MAX(I22:I25)</f>
        <v>49.5</v>
      </c>
      <c r="AU5" s="49" t="str">
        <f aca="false">$G$97</f>
        <v>Baris</v>
      </c>
      <c r="AV5" s="45" t="n">
        <f aca="false">COUNTIF(I22:I25,AT5)</f>
        <v>1</v>
      </c>
    </row>
    <row r="6" customFormat="false" ht="14.25" hidden="false" customHeight="true" outlineLevel="0" collapsed="false">
      <c r="A6" s="94" t="s">
        <v>32</v>
      </c>
      <c r="B6" s="95" t="n">
        <v>1</v>
      </c>
      <c r="C6" s="96" t="s">
        <v>31</v>
      </c>
      <c r="D6" s="17" t="s">
        <v>576</v>
      </c>
      <c r="F6" s="32"/>
      <c r="G6" s="33" t="s">
        <v>38</v>
      </c>
      <c r="H6" s="34" t="n">
        <f aca="false">COUNTIF($A:$A,G6)</f>
        <v>26</v>
      </c>
      <c r="I6" s="34" t="n">
        <f aca="false">COUNTIF($C:$C,G6)</f>
        <v>30</v>
      </c>
      <c r="J6" s="35" t="n">
        <f aca="false">IF(I6,H6/I6,H6)</f>
        <v>0.866666666666667</v>
      </c>
      <c r="K6" s="34" t="n">
        <f aca="false">IFERROR(GETPIVOTDATA("Points",$R$2,"Sniper",G6),0)</f>
        <v>37</v>
      </c>
      <c r="L6" s="34" t="n">
        <f aca="false">IFERROR(GETPIVOTDATA("Points",$R$2,"Snipee",G6),0)</f>
        <v>41</v>
      </c>
      <c r="M6" s="35" t="n">
        <f aca="false">IF(L6,K6/L6,K6)</f>
        <v>0.902439024390244</v>
      </c>
      <c r="N6" s="35" t="n">
        <f aca="false">IF(H6,K6/H6,0)</f>
        <v>1.42307692307692</v>
      </c>
      <c r="O6" s="35" t="n">
        <f aca="false">IF(I6,L6/I6,0)</f>
        <v>1.36666666666667</v>
      </c>
      <c r="P6" s="36" t="n">
        <f aca="false">IFERROR(VLOOKUP(G6,R:AK,20,FALSE())/15,0)</f>
        <v>0.666666666666667</v>
      </c>
      <c r="Q6" s="8"/>
      <c r="R6" s="104" t="s">
        <v>39</v>
      </c>
      <c r="S6" s="105" t="n">
        <v>13</v>
      </c>
      <c r="T6" s="106" t="n">
        <v>8</v>
      </c>
      <c r="U6" s="106" t="n">
        <v>6</v>
      </c>
      <c r="V6" s="106" t="n">
        <v>11</v>
      </c>
      <c r="W6" s="106" t="n">
        <v>9</v>
      </c>
      <c r="X6" s="106" t="n">
        <v>7</v>
      </c>
      <c r="Y6" s="106"/>
      <c r="Z6" s="106"/>
      <c r="AA6" s="106" t="n">
        <v>3</v>
      </c>
      <c r="AB6" s="106" t="n">
        <v>6</v>
      </c>
      <c r="AC6" s="106" t="n">
        <v>11</v>
      </c>
      <c r="AD6" s="106" t="n">
        <v>12</v>
      </c>
      <c r="AE6" s="106"/>
      <c r="AF6" s="106" t="n">
        <v>3</v>
      </c>
      <c r="AG6" s="106" t="n">
        <v>6</v>
      </c>
      <c r="AH6" s="106" t="n">
        <v>3</v>
      </c>
      <c r="AI6" s="107" t="n">
        <v>1</v>
      </c>
      <c r="AJ6" s="108" t="n">
        <v>99</v>
      </c>
      <c r="AK6" s="27" t="n">
        <f aca="false">IF(COUNT(S6:AJ6)&lt;&gt;0,COUNT(S6:AJ6)-1,"")</f>
        <v>14</v>
      </c>
      <c r="AP6" s="45" t="n">
        <f aca="false">COUNTIF(K3:K17,AR6)</f>
        <v>1</v>
      </c>
      <c r="AQ6" s="46" t="str">
        <f aca="false">$Q$29</f>
        <v>Will</v>
      </c>
      <c r="AR6" s="40" t="n">
        <f aca="false">MAX(R29:R44)</f>
        <v>122</v>
      </c>
      <c r="AS6" s="41" t="s">
        <v>59</v>
      </c>
      <c r="AT6" s="47" t="n">
        <f aca="false">MAX(K22:K25)</f>
        <v>74</v>
      </c>
      <c r="AU6" s="49" t="str">
        <f aca="false">$Q$86</f>
        <v>Baris</v>
      </c>
      <c r="AV6" s="45" t="n">
        <f aca="false">COUNTIF(K22:K25,AT6)</f>
        <v>1</v>
      </c>
    </row>
    <row r="7" customFormat="false" ht="14.25" hidden="false" customHeight="true" outlineLevel="0" collapsed="false">
      <c r="A7" s="94" t="s">
        <v>31</v>
      </c>
      <c r="B7" s="95" t="n">
        <v>2</v>
      </c>
      <c r="C7" s="96" t="s">
        <v>37</v>
      </c>
      <c r="D7" s="17" t="s">
        <v>577</v>
      </c>
      <c r="F7" s="32"/>
      <c r="G7" s="33" t="s">
        <v>40</v>
      </c>
      <c r="H7" s="34" t="n">
        <f aca="false">COUNTIF($A:$A,G7)</f>
        <v>7</v>
      </c>
      <c r="I7" s="34" t="n">
        <f aca="false">COUNTIF($C:$C,G7)</f>
        <v>13</v>
      </c>
      <c r="J7" s="35" t="n">
        <f aca="false">IF(I7,H7/I7,H7)</f>
        <v>0.538461538461538</v>
      </c>
      <c r="K7" s="34" t="n">
        <f aca="false">IFERROR(GETPIVOTDATA("Points",$R$2,"Sniper",G7),0)</f>
        <v>13</v>
      </c>
      <c r="L7" s="34" t="n">
        <f aca="false">IFERROR(GETPIVOTDATA("Points",$R$2,"Snipee",G7),0)</f>
        <v>15</v>
      </c>
      <c r="M7" s="35" t="n">
        <f aca="false">IF(L7,K7/L7,K7)</f>
        <v>0.866666666666667</v>
      </c>
      <c r="N7" s="35" t="n">
        <f aca="false">IF(H7,K7/H7,0)</f>
        <v>1.85714285714286</v>
      </c>
      <c r="O7" s="35" t="n">
        <f aca="false">IF(I7,L7/I7,0)</f>
        <v>1.15384615384615</v>
      </c>
      <c r="P7" s="36" t="n">
        <f aca="false">IFERROR(VLOOKUP(G7,R:AK,20,FALSE())/15,0)</f>
        <v>0.333333333333333</v>
      </c>
      <c r="Q7" s="8"/>
      <c r="R7" s="104" t="s">
        <v>34</v>
      </c>
      <c r="S7" s="105" t="n">
        <v>25</v>
      </c>
      <c r="T7" s="106" t="n">
        <v>25</v>
      </c>
      <c r="U7" s="106" t="n">
        <v>4</v>
      </c>
      <c r="V7" s="106"/>
      <c r="W7" s="106" t="n">
        <v>9</v>
      </c>
      <c r="X7" s="106"/>
      <c r="Y7" s="106" t="n">
        <v>8</v>
      </c>
      <c r="Z7" s="106"/>
      <c r="AA7" s="106" t="n">
        <v>2</v>
      </c>
      <c r="AB7" s="106" t="n">
        <v>7</v>
      </c>
      <c r="AC7" s="106" t="n">
        <v>3</v>
      </c>
      <c r="AD7" s="106" t="n">
        <v>1</v>
      </c>
      <c r="AE7" s="106"/>
      <c r="AF7" s="106"/>
      <c r="AG7" s="106"/>
      <c r="AH7" s="106"/>
      <c r="AI7" s="107" t="n">
        <v>1</v>
      </c>
      <c r="AJ7" s="108" t="n">
        <v>85</v>
      </c>
      <c r="AK7" s="27" t="n">
        <f aca="false">IF(COUNT(S7:AJ7)&lt;&gt;0,COUNT(S7:AJ7)-1,"")</f>
        <v>10</v>
      </c>
      <c r="AP7" s="45" t="n">
        <f aca="false">COUNTIF(L3:L17,AR7)</f>
        <v>1</v>
      </c>
      <c r="AQ7" s="46" t="str">
        <f aca="false">$Q$47</f>
        <v>Mikey</v>
      </c>
      <c r="AR7" s="40" t="n">
        <f aca="false">MAX(R47:R62)</f>
        <v>106</v>
      </c>
      <c r="AS7" s="41" t="s">
        <v>63</v>
      </c>
      <c r="AT7" s="47" t="n">
        <f aca="false">MAX(L22:L25)</f>
        <v>69.5</v>
      </c>
      <c r="AU7" s="49" t="str">
        <f aca="false">$Q$97</f>
        <v>Baris</v>
      </c>
      <c r="AV7" s="45" t="n">
        <f aca="false">COUNTIF(L22:L25,AT7)</f>
        <v>1</v>
      </c>
    </row>
    <row r="8" customFormat="false" ht="14.25" hidden="false" customHeight="true" outlineLevel="0" collapsed="false">
      <c r="A8" s="94" t="s">
        <v>39</v>
      </c>
      <c r="B8" s="95" t="n">
        <v>1</v>
      </c>
      <c r="C8" s="96" t="s">
        <v>43</v>
      </c>
      <c r="D8" s="17" t="s">
        <v>578</v>
      </c>
      <c r="F8" s="32"/>
      <c r="G8" s="33" t="s">
        <v>36</v>
      </c>
      <c r="H8" s="34" t="n">
        <f aca="false">COUNTIF($A:$A,G8)</f>
        <v>39</v>
      </c>
      <c r="I8" s="34" t="n">
        <f aca="false">COUNTIF($C:$C,G8)</f>
        <v>45</v>
      </c>
      <c r="J8" s="35" t="n">
        <f aca="false">IF(I8,H8/I8,H8)</f>
        <v>0.866666666666667</v>
      </c>
      <c r="K8" s="34" t="n">
        <f aca="false">IFERROR(GETPIVOTDATA("Points",$R$2,"Sniper",G8),0)</f>
        <v>51</v>
      </c>
      <c r="L8" s="34" t="n">
        <f aca="false">IFERROR(GETPIVOTDATA("Points",$R$2,"Snipee",G8),0)</f>
        <v>65</v>
      </c>
      <c r="M8" s="35" t="n">
        <f aca="false">IF(L8,K8/L8,K8)</f>
        <v>0.784615384615385</v>
      </c>
      <c r="N8" s="35" t="n">
        <f aca="false">IF(H8,K8/H8,0)</f>
        <v>1.30769230769231</v>
      </c>
      <c r="O8" s="35" t="n">
        <f aca="false">IF(I8,L8/I8,0)</f>
        <v>1.44444444444444</v>
      </c>
      <c r="P8" s="36" t="n">
        <f aca="false">IFERROR(VLOOKUP(G8,R:AK,20,FALSE())/15,0)</f>
        <v>0.666666666666667</v>
      </c>
      <c r="Q8" s="8"/>
      <c r="R8" s="104" t="s">
        <v>41</v>
      </c>
      <c r="S8" s="105"/>
      <c r="T8" s="106"/>
      <c r="U8" s="106" t="n">
        <v>2</v>
      </c>
      <c r="V8" s="106"/>
      <c r="W8" s="106"/>
      <c r="X8" s="106" t="n">
        <v>4</v>
      </c>
      <c r="Y8" s="106" t="n">
        <v>3</v>
      </c>
      <c r="Z8" s="106" t="n">
        <v>35</v>
      </c>
      <c r="AA8" s="106"/>
      <c r="AB8" s="106" t="n">
        <v>1</v>
      </c>
      <c r="AC8" s="106" t="n">
        <v>4</v>
      </c>
      <c r="AD8" s="106"/>
      <c r="AE8" s="106" t="n">
        <v>5</v>
      </c>
      <c r="AF8" s="106"/>
      <c r="AG8" s="106" t="n">
        <v>2</v>
      </c>
      <c r="AH8" s="106" t="n">
        <v>1</v>
      </c>
      <c r="AI8" s="107"/>
      <c r="AJ8" s="108" t="n">
        <v>57</v>
      </c>
      <c r="AK8" s="27" t="n">
        <f aca="false">IF(COUNT(S8:AJ8)&lt;&gt;0,COUNT(S8:AJ8)-1,"")</f>
        <v>9</v>
      </c>
      <c r="AP8" s="45" t="n">
        <f aca="false">COUNTIF(J3:J17,AR8)</f>
        <v>1</v>
      </c>
      <c r="AQ8" s="51" t="str">
        <f aca="false">$G$65</f>
        <v>Peter</v>
      </c>
      <c r="AR8" s="47" t="n">
        <f aca="false">MAX(J3:J17)</f>
        <v>2.14285714285714</v>
      </c>
      <c r="AS8" s="41" t="s">
        <v>67</v>
      </c>
      <c r="AT8" s="47" t="n">
        <f aca="false">MAX(J22:J25)</f>
        <v>1.05479452054795</v>
      </c>
      <c r="AU8" s="49" t="str">
        <f aca="false">$G$108</f>
        <v>Leads</v>
      </c>
      <c r="AV8" s="45" t="n">
        <f aca="false">COUNTIF(J22:J25,AT8)</f>
        <v>1</v>
      </c>
    </row>
    <row r="9" customFormat="false" ht="14.25" hidden="false" customHeight="true" outlineLevel="0" collapsed="false">
      <c r="A9" s="94" t="s">
        <v>43</v>
      </c>
      <c r="B9" s="95" t="n">
        <v>1</v>
      </c>
      <c r="C9" s="96" t="s">
        <v>39</v>
      </c>
      <c r="D9" s="17" t="s">
        <v>579</v>
      </c>
      <c r="F9" s="17"/>
      <c r="G9" s="33" t="s">
        <v>41</v>
      </c>
      <c r="H9" s="34" t="n">
        <f aca="false">COUNTIF($A:$A,G9)</f>
        <v>25</v>
      </c>
      <c r="I9" s="34" t="n">
        <f aca="false">COUNTIF($C:$C,G9)</f>
        <v>12</v>
      </c>
      <c r="J9" s="35" t="n">
        <f aca="false">IF(I9,H9/I9,H9)</f>
        <v>2.08333333333333</v>
      </c>
      <c r="K9" s="34" t="n">
        <f aca="false">IFERROR(GETPIVOTDATA("Points",$R$2,"Sniper",G9),0)</f>
        <v>57</v>
      </c>
      <c r="L9" s="34" t="n">
        <f aca="false">IFERROR(GETPIVOTDATA("Points",$R$2,"Snipee",G9),0)</f>
        <v>14</v>
      </c>
      <c r="M9" s="35" t="n">
        <f aca="false">IF(L9,K9/L9,K9)</f>
        <v>4.07142857142857</v>
      </c>
      <c r="N9" s="35" t="n">
        <f aca="false">IF(H9,K9/H9,0)</f>
        <v>2.28</v>
      </c>
      <c r="O9" s="35" t="n">
        <f aca="false">IF(I9,L9/I9,0)</f>
        <v>1.16666666666667</v>
      </c>
      <c r="P9" s="36" t="n">
        <f aca="false">IFERROR(VLOOKUP(G9,R:AK,20,FALSE())/15,0)</f>
        <v>0.6</v>
      </c>
      <c r="Q9" s="8"/>
      <c r="R9" s="104" t="s">
        <v>36</v>
      </c>
      <c r="S9" s="105" t="n">
        <v>6</v>
      </c>
      <c r="T9" s="106" t="n">
        <v>10</v>
      </c>
      <c r="U9" s="106" t="n">
        <v>4</v>
      </c>
      <c r="V9" s="106" t="n">
        <v>4</v>
      </c>
      <c r="W9" s="106"/>
      <c r="X9" s="106" t="n">
        <v>8</v>
      </c>
      <c r="Y9" s="106" t="n">
        <v>6</v>
      </c>
      <c r="Z9" s="106"/>
      <c r="AA9" s="106" t="n">
        <v>5</v>
      </c>
      <c r="AB9" s="106" t="n">
        <v>3</v>
      </c>
      <c r="AC9" s="106" t="n">
        <v>1</v>
      </c>
      <c r="AD9" s="106"/>
      <c r="AE9" s="106"/>
      <c r="AF9" s="106"/>
      <c r="AG9" s="106"/>
      <c r="AH9" s="106"/>
      <c r="AI9" s="107" t="n">
        <v>4</v>
      </c>
      <c r="AJ9" s="108" t="n">
        <v>51</v>
      </c>
      <c r="AK9" s="27" t="n">
        <f aca="false">IF(COUNT(S9:AJ9)&lt;&gt;0,COUNT(S9:AJ9)-1,"")</f>
        <v>10</v>
      </c>
      <c r="AP9" s="45" t="n">
        <f aca="false">COUNTIF(J3:J17,AR9)</f>
        <v>1</v>
      </c>
      <c r="AQ9" s="51" t="str">
        <f aca="false">$G$80</f>
        <v>Reuben</v>
      </c>
      <c r="AR9" s="47" t="n">
        <f aca="false">MIN(J3:J17)</f>
        <v>0.490566037735849</v>
      </c>
      <c r="AS9" s="41" t="s">
        <v>71</v>
      </c>
      <c r="AT9" s="47" t="n">
        <f aca="false">MIN(J22:J25)</f>
        <v>0.652173913043478</v>
      </c>
      <c r="AU9" s="49" t="str">
        <f aca="false">$G$105</f>
        <v>Basses</v>
      </c>
      <c r="AV9" s="45" t="n">
        <f aca="false">COUNTIF(J22:J25,AT9)</f>
        <v>1</v>
      </c>
    </row>
    <row r="10" customFormat="false" ht="14.25" hidden="false" customHeight="true" outlineLevel="0" collapsed="false">
      <c r="A10" s="94" t="s">
        <v>31</v>
      </c>
      <c r="B10" s="95" t="n">
        <v>2</v>
      </c>
      <c r="C10" s="96" t="s">
        <v>32</v>
      </c>
      <c r="D10" s="17" t="s">
        <v>580</v>
      </c>
      <c r="F10" s="17"/>
      <c r="G10" s="33" t="s">
        <v>31</v>
      </c>
      <c r="H10" s="34" t="n">
        <f aca="false">COUNTIF($A:$A,G10)</f>
        <v>83</v>
      </c>
      <c r="I10" s="34" t="n">
        <f aca="false">COUNTIF($C:$C,G10)</f>
        <v>76</v>
      </c>
      <c r="J10" s="35" t="n">
        <f aca="false">IF(I10,H10/I10,H10)</f>
        <v>1.09210526315789</v>
      </c>
      <c r="K10" s="34" t="n">
        <f aca="false">IFERROR(GETPIVOTDATA("Points",$R$2,"Sniper",G10),0)</f>
        <v>118</v>
      </c>
      <c r="L10" s="34" t="n">
        <f aca="false">IFERROR(GETPIVOTDATA("Points",$R$2,"Snipee",G10),0)</f>
        <v>106</v>
      </c>
      <c r="M10" s="35" t="n">
        <f aca="false">IF(L10,K10/L10,K10)</f>
        <v>1.11320754716981</v>
      </c>
      <c r="N10" s="35" t="n">
        <f aca="false">IF(H10,K10/H10,0)</f>
        <v>1.42168674698795</v>
      </c>
      <c r="O10" s="35" t="n">
        <f aca="false">IF(I10,L10/I10,0)</f>
        <v>1.39473684210526</v>
      </c>
      <c r="P10" s="36" t="n">
        <f aca="false">IFERROR(VLOOKUP(G10,R:AK,20,FALSE())/15,0)</f>
        <v>0.733333333333333</v>
      </c>
      <c r="Q10" s="8"/>
      <c r="R10" s="104" t="s">
        <v>33</v>
      </c>
      <c r="S10" s="105" t="n">
        <v>9</v>
      </c>
      <c r="T10" s="106" t="n">
        <v>6</v>
      </c>
      <c r="U10" s="106" t="n">
        <v>3</v>
      </c>
      <c r="V10" s="106" t="n">
        <v>7</v>
      </c>
      <c r="W10" s="106" t="n">
        <v>2</v>
      </c>
      <c r="X10" s="106" t="n">
        <v>3</v>
      </c>
      <c r="Y10" s="106" t="n">
        <v>3</v>
      </c>
      <c r="Z10" s="106"/>
      <c r="AA10" s="106" t="n">
        <v>4</v>
      </c>
      <c r="AB10" s="106"/>
      <c r="AC10" s="106" t="n">
        <v>2</v>
      </c>
      <c r="AD10" s="106"/>
      <c r="AE10" s="106" t="n">
        <v>2</v>
      </c>
      <c r="AF10" s="106" t="n">
        <v>1</v>
      </c>
      <c r="AG10" s="106"/>
      <c r="AH10" s="106"/>
      <c r="AI10" s="107"/>
      <c r="AJ10" s="108" t="n">
        <v>42</v>
      </c>
      <c r="AK10" s="27" t="n">
        <f aca="false">IF(COUNT(S10:AJ10)&lt;&gt;0,COUNT(S10:AJ10)-1,"")</f>
        <v>11</v>
      </c>
      <c r="AP10" s="45" t="n">
        <f aca="false">COUNTIF(M3:M17,AR10)</f>
        <v>1</v>
      </c>
      <c r="AQ10" s="51" t="str">
        <f aca="false">$Q$65</f>
        <v>Maxine</v>
      </c>
      <c r="AR10" s="47" t="n">
        <f aca="false">MAX(M3:M17)</f>
        <v>4.07142857142857</v>
      </c>
      <c r="AS10" s="41" t="s">
        <v>74</v>
      </c>
      <c r="AT10" s="47" t="n">
        <f aca="false">MAX(M22:M25)</f>
        <v>1.195</v>
      </c>
      <c r="AU10" s="49" t="str">
        <f aca="false">$Q$108</f>
        <v>Leads</v>
      </c>
      <c r="AV10" s="45" t="n">
        <f aca="false">COUNTIF(M22:M25,AT10)</f>
        <v>1</v>
      </c>
    </row>
    <row r="11" customFormat="false" ht="14.25" hidden="false" customHeight="true" outlineLevel="0" collapsed="false">
      <c r="A11" s="94" t="s">
        <v>30</v>
      </c>
      <c r="B11" s="95" t="n">
        <v>2</v>
      </c>
      <c r="C11" s="96" t="s">
        <v>35</v>
      </c>
      <c r="D11" s="17" t="s">
        <v>581</v>
      </c>
      <c r="E11" s="6"/>
      <c r="F11" s="32"/>
      <c r="G11" s="33" t="s">
        <v>33</v>
      </c>
      <c r="H11" s="34" t="n">
        <f aca="false">COUNTIF($A:$A,G11)</f>
        <v>30</v>
      </c>
      <c r="I11" s="34" t="n">
        <f aca="false">COUNTIF($C:$C,G11)</f>
        <v>32</v>
      </c>
      <c r="J11" s="35" t="n">
        <f aca="false">IF(I11,H11/I11,H11)</f>
        <v>0.9375</v>
      </c>
      <c r="K11" s="34" t="n">
        <f aca="false">IFERROR(GETPIVOTDATA("Points",$R$2,"Sniper",G11),0)</f>
        <v>42</v>
      </c>
      <c r="L11" s="34" t="n">
        <f aca="false">IFERROR(GETPIVOTDATA("Points",$R$2,"Snipee",G11),0)</f>
        <v>39</v>
      </c>
      <c r="M11" s="35" t="n">
        <f aca="false">IF(L11,K11/L11,K11)</f>
        <v>1.07692307692308</v>
      </c>
      <c r="N11" s="35" t="n">
        <f aca="false">IF(H11,K11/H11,0)</f>
        <v>1.4</v>
      </c>
      <c r="O11" s="35" t="n">
        <f aca="false">IF(I11,L11/I11,0)</f>
        <v>1.21875</v>
      </c>
      <c r="P11" s="36" t="n">
        <f aca="false">IFERROR(VLOOKUP(G11,R:AK,20,FALSE())/15,0)</f>
        <v>0.733333333333333</v>
      </c>
      <c r="Q11" s="8"/>
      <c r="R11" s="104" t="s">
        <v>30</v>
      </c>
      <c r="S11" s="105" t="n">
        <v>4</v>
      </c>
      <c r="T11" s="106" t="n">
        <v>5</v>
      </c>
      <c r="U11" s="106" t="n">
        <v>1</v>
      </c>
      <c r="V11" s="106" t="n">
        <v>4</v>
      </c>
      <c r="W11" s="106" t="n">
        <v>1</v>
      </c>
      <c r="X11" s="106"/>
      <c r="Y11" s="106" t="n">
        <v>3</v>
      </c>
      <c r="Z11" s="106" t="n">
        <v>5</v>
      </c>
      <c r="AA11" s="106" t="n">
        <v>4</v>
      </c>
      <c r="AB11" s="106" t="n">
        <v>2</v>
      </c>
      <c r="AC11" s="106"/>
      <c r="AD11" s="106" t="n">
        <v>2</v>
      </c>
      <c r="AE11" s="106" t="n">
        <v>2</v>
      </c>
      <c r="AF11" s="106" t="n">
        <v>2</v>
      </c>
      <c r="AG11" s="106" t="n">
        <v>3</v>
      </c>
      <c r="AH11" s="106" t="n">
        <v>1</v>
      </c>
      <c r="AI11" s="107"/>
      <c r="AJ11" s="108" t="n">
        <v>39</v>
      </c>
      <c r="AK11" s="27" t="n">
        <f aca="false">IF(COUNT(S11:AJ11)&lt;&gt;0,COUNT(S11:AJ11)-1,"")</f>
        <v>14</v>
      </c>
      <c r="AP11" s="45" t="n">
        <f aca="false">COUNTIF(M3:M17,AR11)</f>
        <v>1</v>
      </c>
      <c r="AQ11" s="51" t="str">
        <f aca="false">$Q$80</f>
        <v>Reuben</v>
      </c>
      <c r="AR11" s="47" t="n">
        <f aca="false">MIN(M3:M17)</f>
        <v>0.383720930232558</v>
      </c>
      <c r="AS11" s="41" t="s">
        <v>79</v>
      </c>
      <c r="AT11" s="47" t="n">
        <f aca="false">MIN(M22:M25)</f>
        <v>0.657142857142857</v>
      </c>
      <c r="AU11" s="49" t="str">
        <f aca="false">$Q$105</f>
        <v>Basses</v>
      </c>
      <c r="AV11" s="45" t="n">
        <f aca="false">COUNTIF(M22:M25,AT11)</f>
        <v>1</v>
      </c>
    </row>
    <row r="12" customFormat="false" ht="14.25" hidden="false" customHeight="true" outlineLevel="0" collapsed="false">
      <c r="A12" s="94" t="s">
        <v>39</v>
      </c>
      <c r="B12" s="95" t="n">
        <v>1</v>
      </c>
      <c r="C12" s="96" t="s">
        <v>31</v>
      </c>
      <c r="D12" s="17" t="s">
        <v>582</v>
      </c>
      <c r="F12" s="32"/>
      <c r="G12" s="33" t="s">
        <v>39</v>
      </c>
      <c r="H12" s="34" t="n">
        <f aca="false">COUNTIF($A:$A,G12)</f>
        <v>66</v>
      </c>
      <c r="I12" s="34" t="n">
        <f aca="false">COUNTIF($C:$C,G12)</f>
        <v>43</v>
      </c>
      <c r="J12" s="35" t="n">
        <f aca="false">IF(I12,H12/I12,H12)</f>
        <v>1.53488372093023</v>
      </c>
      <c r="K12" s="34" t="n">
        <f aca="false">IFERROR(GETPIVOTDATA("Points",$R$2,"Sniper",G12),0)</f>
        <v>99</v>
      </c>
      <c r="L12" s="34" t="n">
        <f aca="false">IFERROR(GETPIVOTDATA("Points",$R$2,"Snipee",G12),0)</f>
        <v>51</v>
      </c>
      <c r="M12" s="35" t="n">
        <f aca="false">IF(L12,K12/L12,K12)</f>
        <v>1.94117647058824</v>
      </c>
      <c r="N12" s="35" t="n">
        <f aca="false">IF(H12,K12/H12,0)</f>
        <v>1.5</v>
      </c>
      <c r="O12" s="35" t="n">
        <f aca="false">IF(I12,L12/I12,0)</f>
        <v>1.18604651162791</v>
      </c>
      <c r="P12" s="36" t="n">
        <f aca="false">IFERROR(VLOOKUP(G12,R:AK,20,FALSE())/15,0)</f>
        <v>0.933333333333333</v>
      </c>
      <c r="Q12" s="8"/>
      <c r="R12" s="104" t="s">
        <v>38</v>
      </c>
      <c r="S12" s="105" t="n">
        <v>3</v>
      </c>
      <c r="T12" s="106" t="n">
        <v>6</v>
      </c>
      <c r="U12" s="106" t="n">
        <v>8</v>
      </c>
      <c r="V12" s="106" t="n">
        <v>4</v>
      </c>
      <c r="W12" s="106" t="n">
        <v>7</v>
      </c>
      <c r="X12" s="106" t="n">
        <v>5</v>
      </c>
      <c r="Y12" s="106" t="n">
        <v>1</v>
      </c>
      <c r="Z12" s="106"/>
      <c r="AA12" s="106"/>
      <c r="AB12" s="106" t="n">
        <v>1</v>
      </c>
      <c r="AC12" s="106"/>
      <c r="AD12" s="106" t="n">
        <v>1</v>
      </c>
      <c r="AE12" s="106"/>
      <c r="AF12" s="106"/>
      <c r="AG12" s="106"/>
      <c r="AH12" s="106" t="n">
        <v>1</v>
      </c>
      <c r="AI12" s="107"/>
      <c r="AJ12" s="108" t="n">
        <v>37</v>
      </c>
      <c r="AK12" s="27" t="n">
        <f aca="false">IF(COUNT(S12:AJ12)&lt;&gt;0,COUNT(S12:AJ12)-1,"")</f>
        <v>10</v>
      </c>
    </row>
    <row r="13" customFormat="false" ht="14.25" hidden="false" customHeight="true" outlineLevel="0" collapsed="false">
      <c r="A13" s="94" t="s">
        <v>31</v>
      </c>
      <c r="B13" s="95" t="n">
        <v>1</v>
      </c>
      <c r="C13" s="96" t="s">
        <v>39</v>
      </c>
      <c r="D13" s="17" t="s">
        <v>583</v>
      </c>
      <c r="F13" s="32"/>
      <c r="G13" s="33" t="s">
        <v>32</v>
      </c>
      <c r="H13" s="34" t="n">
        <f aca="false">COUNTIF($A:$A,G13)</f>
        <v>26</v>
      </c>
      <c r="I13" s="34" t="n">
        <f aca="false">COUNTIF($C:$C,G13)</f>
        <v>53</v>
      </c>
      <c r="J13" s="35" t="n">
        <f aca="false">IF(I13,H13/I13,H13)</f>
        <v>0.490566037735849</v>
      </c>
      <c r="K13" s="34" t="n">
        <f aca="false">IFERROR(GETPIVOTDATA("Points",$R$2,"Sniper",G13),0)</f>
        <v>33</v>
      </c>
      <c r="L13" s="34" t="n">
        <f aca="false">IFERROR(GETPIVOTDATA("Points",$R$2,"Snipee",G13),0)</f>
        <v>86</v>
      </c>
      <c r="M13" s="35" t="n">
        <f aca="false">IF(L13,K13/L13,K13)</f>
        <v>0.383720930232558</v>
      </c>
      <c r="N13" s="35" t="n">
        <f aca="false">IF(H13,K13/H13,0)</f>
        <v>1.26923076923077</v>
      </c>
      <c r="O13" s="35" t="n">
        <f aca="false">IF(I13,L13/I13,0)</f>
        <v>1.62264150943396</v>
      </c>
      <c r="P13" s="36" t="n">
        <f aca="false">IFERROR(VLOOKUP(G13,R:AK,20,FALSE())/15,0)</f>
        <v>0.666666666666667</v>
      </c>
      <c r="Q13" s="8"/>
      <c r="R13" s="104" t="s">
        <v>42</v>
      </c>
      <c r="S13" s="105" t="n">
        <v>5</v>
      </c>
      <c r="T13" s="106" t="n">
        <v>8</v>
      </c>
      <c r="U13" s="106" t="n">
        <v>2</v>
      </c>
      <c r="V13" s="106"/>
      <c r="W13" s="106" t="n">
        <v>2</v>
      </c>
      <c r="X13" s="106"/>
      <c r="Y13" s="106" t="n">
        <v>3</v>
      </c>
      <c r="Z13" s="106"/>
      <c r="AA13" s="106" t="n">
        <v>4</v>
      </c>
      <c r="AB13" s="106" t="n">
        <v>2</v>
      </c>
      <c r="AC13" s="106" t="n">
        <v>2</v>
      </c>
      <c r="AD13" s="106"/>
      <c r="AE13" s="106" t="n">
        <v>3</v>
      </c>
      <c r="AF13" s="106" t="n">
        <v>1</v>
      </c>
      <c r="AG13" s="106"/>
      <c r="AH13" s="106" t="n">
        <v>4</v>
      </c>
      <c r="AI13" s="107"/>
      <c r="AJ13" s="108" t="n">
        <v>36</v>
      </c>
      <c r="AK13" s="27" t="n">
        <f aca="false">IF(COUNT(S13:AJ13)&lt;&gt;0,COUNT(S13:AJ13)-1,"")</f>
        <v>11</v>
      </c>
      <c r="AN13" s="7" t="s">
        <v>85</v>
      </c>
      <c r="AO13" s="7"/>
      <c r="AP13" s="7"/>
      <c r="AQ13" s="7"/>
      <c r="AR13" s="7"/>
      <c r="AS13" s="7"/>
      <c r="AT13" s="7"/>
      <c r="AU13" s="7"/>
      <c r="AV13" s="7"/>
      <c r="AW13" s="7"/>
    </row>
    <row r="14" customFormat="false" ht="14.25" hidden="false" customHeight="true" outlineLevel="0" collapsed="false">
      <c r="A14" s="94" t="s">
        <v>37</v>
      </c>
      <c r="B14" s="95" t="n">
        <v>1</v>
      </c>
      <c r="C14" s="96" t="s">
        <v>34</v>
      </c>
      <c r="D14" s="17" t="s">
        <v>584</v>
      </c>
      <c r="F14" s="32"/>
      <c r="G14" s="33" t="s">
        <v>37</v>
      </c>
      <c r="H14" s="34" t="n">
        <f aca="false">COUNTIF($A:$A,G14)</f>
        <v>85</v>
      </c>
      <c r="I14" s="34" t="n">
        <f aca="false">COUNTIF($C:$C,G14)</f>
        <v>70</v>
      </c>
      <c r="J14" s="35" t="n">
        <f aca="false">IF(I14,H14/I14,H14)</f>
        <v>1.21428571428571</v>
      </c>
      <c r="K14" s="34" t="n">
        <f aca="false">IFERROR(GETPIVOTDATA("Points",$R$2,"Sniper",G14),0)</f>
        <v>122</v>
      </c>
      <c r="L14" s="34" t="n">
        <f aca="false">IFERROR(GETPIVOTDATA("Points",$R$2,"Snipee",G14),0)</f>
        <v>102</v>
      </c>
      <c r="M14" s="35" t="n">
        <f aca="false">IF(L14,K14/L14,K14)</f>
        <v>1.19607843137255</v>
      </c>
      <c r="N14" s="35" t="n">
        <f aca="false">IF(H14,K14/H14,0)</f>
        <v>1.43529411764706</v>
      </c>
      <c r="O14" s="35" t="n">
        <f aca="false">IF(I14,L14/I14,0)</f>
        <v>1.45714285714286</v>
      </c>
      <c r="P14" s="36" t="n">
        <f aca="false">IFERROR(VLOOKUP(G14,R:AK,20,FALSE())/15,0)</f>
        <v>0.8</v>
      </c>
      <c r="Q14" s="8"/>
      <c r="R14" s="104" t="s">
        <v>32</v>
      </c>
      <c r="S14" s="105" t="n">
        <v>12</v>
      </c>
      <c r="T14" s="106" t="n">
        <v>4</v>
      </c>
      <c r="U14" s="106"/>
      <c r="V14" s="106" t="n">
        <v>1</v>
      </c>
      <c r="W14" s="106" t="n">
        <v>2</v>
      </c>
      <c r="X14" s="106" t="n">
        <v>2</v>
      </c>
      <c r="Y14" s="106" t="n">
        <v>2</v>
      </c>
      <c r="Z14" s="106"/>
      <c r="AA14" s="106" t="n">
        <v>4</v>
      </c>
      <c r="AB14" s="106" t="n">
        <v>3</v>
      </c>
      <c r="AC14" s="106" t="n">
        <v>1</v>
      </c>
      <c r="AD14" s="106"/>
      <c r="AE14" s="106"/>
      <c r="AF14" s="106" t="n">
        <v>2</v>
      </c>
      <c r="AG14" s="106"/>
      <c r="AH14" s="106"/>
      <c r="AI14" s="107"/>
      <c r="AJ14" s="108" t="n">
        <v>33</v>
      </c>
      <c r="AK14" s="27" t="n">
        <f aca="false">IF(COUNT(S14:AJ14)&lt;&gt;0,COUNT(S14:AJ14)-1,"")</f>
        <v>10</v>
      </c>
      <c r="AN14" s="52" t="s">
        <v>88</v>
      </c>
      <c r="AO14" s="31" t="s">
        <v>16</v>
      </c>
      <c r="AP14" s="31" t="s">
        <v>17</v>
      </c>
      <c r="AQ14" s="31" t="s">
        <v>18</v>
      </c>
      <c r="AR14" s="31" t="s">
        <v>19</v>
      </c>
      <c r="AS14" s="31" t="s">
        <v>20</v>
      </c>
      <c r="AT14" s="31" t="s">
        <v>21</v>
      </c>
      <c r="AU14" s="31" t="s">
        <v>22</v>
      </c>
      <c r="AV14" s="31" t="s">
        <v>23</v>
      </c>
      <c r="AW14" s="53" t="s">
        <v>24</v>
      </c>
    </row>
    <row r="15" customFormat="false" ht="14.25" hidden="false" customHeight="true" outlineLevel="0" collapsed="false">
      <c r="A15" s="94" t="s">
        <v>34</v>
      </c>
      <c r="B15" s="95" t="n">
        <v>1</v>
      </c>
      <c r="C15" s="96" t="s">
        <v>37</v>
      </c>
      <c r="D15" s="17" t="s">
        <v>585</v>
      </c>
      <c r="F15" s="32"/>
      <c r="G15" s="33" t="s">
        <v>43</v>
      </c>
      <c r="H15" s="34" t="n">
        <f aca="false">COUNTIF($A:$A,G15)</f>
        <v>7</v>
      </c>
      <c r="I15" s="34" t="n">
        <f aca="false">COUNTIF($C:$C,G15)</f>
        <v>8</v>
      </c>
      <c r="J15" s="35" t="n">
        <f aca="false">IF(I15,H15/I15,H15)</f>
        <v>0.875</v>
      </c>
      <c r="K15" s="34" t="n">
        <f aca="false">IFERROR(GETPIVOTDATA("Points",$R$2,"Sniper",G15),0)</f>
        <v>10</v>
      </c>
      <c r="L15" s="34" t="n">
        <f aca="false">IFERROR(GETPIVOTDATA("Points",$R$2,"Snipee",G15),0)</f>
        <v>12</v>
      </c>
      <c r="M15" s="35" t="n">
        <f aca="false">IF(L15,K15/L15,K15)</f>
        <v>0.833333333333333</v>
      </c>
      <c r="N15" s="35" t="n">
        <f aca="false">IF(H15,K15/H15,0)</f>
        <v>1.42857142857143</v>
      </c>
      <c r="O15" s="35" t="n">
        <f aca="false">IF(I15,L15/I15,0)</f>
        <v>1.5</v>
      </c>
      <c r="P15" s="36" t="n">
        <f aca="false">IFERROR(VLOOKUP(G15,R:AK,20,FALSE())/15,0)</f>
        <v>0.4</v>
      </c>
      <c r="Q15" s="8"/>
      <c r="R15" s="104" t="s">
        <v>11</v>
      </c>
      <c r="S15" s="105" t="n">
        <v>8</v>
      </c>
      <c r="T15" s="106"/>
      <c r="U15" s="106"/>
      <c r="V15" s="106" t="n">
        <v>1</v>
      </c>
      <c r="W15" s="106" t="n">
        <v>5</v>
      </c>
      <c r="X15" s="106"/>
      <c r="Y15" s="106" t="n">
        <v>5</v>
      </c>
      <c r="Z15" s="106"/>
      <c r="AA15" s="106" t="n">
        <v>2</v>
      </c>
      <c r="AB15" s="106" t="n">
        <v>2</v>
      </c>
      <c r="AC15" s="106"/>
      <c r="AD15" s="106"/>
      <c r="AE15" s="106"/>
      <c r="AF15" s="106"/>
      <c r="AG15" s="106"/>
      <c r="AH15" s="106"/>
      <c r="AI15" s="107"/>
      <c r="AJ15" s="108" t="n">
        <v>23</v>
      </c>
      <c r="AK15" s="27" t="n">
        <f aca="false">IF(COUNT(S15:AJ15)&lt;&gt;0,COUNT(S15:AJ15)-1,"")</f>
        <v>6</v>
      </c>
      <c r="AN15" s="54" t="s">
        <v>91</v>
      </c>
      <c r="AO15" s="55" t="n">
        <v>7.5</v>
      </c>
      <c r="AP15" s="56" t="n">
        <v>-6</v>
      </c>
      <c r="AQ15" s="56" t="n">
        <v>25</v>
      </c>
      <c r="AR15" s="56" t="n">
        <v>8.5</v>
      </c>
      <c r="AS15" s="56" t="n">
        <v>-6.5</v>
      </c>
      <c r="AT15" s="56" t="n">
        <v>25</v>
      </c>
      <c r="AU15" s="56" t="n">
        <v>20</v>
      </c>
      <c r="AV15" s="56" t="n">
        <v>-20</v>
      </c>
      <c r="AW15" s="57" t="n">
        <v>250</v>
      </c>
      <c r="AX15" s="41" t="s">
        <v>92</v>
      </c>
    </row>
    <row r="16" customFormat="false" ht="14.25" hidden="false" customHeight="true" outlineLevel="0" collapsed="false">
      <c r="A16" s="94" t="s">
        <v>33</v>
      </c>
      <c r="B16" s="95" t="n">
        <v>1</v>
      </c>
      <c r="C16" s="96" t="s">
        <v>32</v>
      </c>
      <c r="D16" s="17" t="s">
        <v>586</v>
      </c>
      <c r="F16" s="32"/>
      <c r="G16" s="33" t="s">
        <v>95</v>
      </c>
      <c r="H16" s="34" t="n">
        <f aca="false">COUNTIF($A:$A,G16)</f>
        <v>8</v>
      </c>
      <c r="I16" s="34" t="n">
        <f aca="false">COUNTIF($C:$C,G16)</f>
        <v>8</v>
      </c>
      <c r="J16" s="35" t="n">
        <f aca="false">IF(I16,H16/I16,H16)</f>
        <v>1</v>
      </c>
      <c r="K16" s="34" t="n">
        <f aca="false">IFERROR(GETPIVOTDATA("Points",$R$2,"Sniper",G16),0)</f>
        <v>13</v>
      </c>
      <c r="L16" s="34" t="n">
        <f aca="false">IFERROR(GETPIVOTDATA("Points",$R$2,"Snipee",G16),0)</f>
        <v>10</v>
      </c>
      <c r="M16" s="35" t="n">
        <f aca="false">IF(L16,K16/L16,K16)</f>
        <v>1.3</v>
      </c>
      <c r="N16" s="35" t="n">
        <f aca="false">IF(H16,K16/H16,0)</f>
        <v>1.625</v>
      </c>
      <c r="O16" s="35" t="n">
        <f aca="false">IF(I16,L16/I16,0)</f>
        <v>1.25</v>
      </c>
      <c r="P16" s="36" t="n">
        <f aca="false">IFERROR(VLOOKUP(G16,R:AK,20,FALSE())/15,0)</f>
        <v>0.333333333333333</v>
      </c>
      <c r="Q16" s="58"/>
      <c r="R16" s="104" t="s">
        <v>40</v>
      </c>
      <c r="S16" s="105"/>
      <c r="T16" s="106"/>
      <c r="U16" s="106"/>
      <c r="V16" s="106"/>
      <c r="W16" s="106"/>
      <c r="X16" s="106" t="n">
        <v>2</v>
      </c>
      <c r="Y16" s="106"/>
      <c r="Z16" s="106" t="n">
        <v>5</v>
      </c>
      <c r="AA16" s="106"/>
      <c r="AB16" s="106" t="n">
        <v>2</v>
      </c>
      <c r="AC16" s="106" t="n">
        <v>1</v>
      </c>
      <c r="AD16" s="106"/>
      <c r="AE16" s="106"/>
      <c r="AF16" s="106" t="n">
        <v>3</v>
      </c>
      <c r="AG16" s="106"/>
      <c r="AH16" s="106"/>
      <c r="AI16" s="107"/>
      <c r="AJ16" s="108" t="n">
        <v>13</v>
      </c>
      <c r="AK16" s="27" t="n">
        <f aca="false">IF(COUNT(S16:AJ16)&lt;&gt;0,COUNT(S16:AJ16)-1,"")</f>
        <v>5</v>
      </c>
      <c r="AN16" s="33" t="s">
        <v>30</v>
      </c>
      <c r="AO16" s="34" t="n">
        <f aca="false">VLOOKUP(AN16,$G$1:$P$18,2,FALSE()) *$AO$15</f>
        <v>195</v>
      </c>
      <c r="AP16" s="59" t="n">
        <f aca="false">VLOOKUP(AN16,$G$1:$P$18,3,FALSE()) *$AP$15</f>
        <v>-126</v>
      </c>
      <c r="AQ16" s="60" t="n">
        <f aca="false">VLOOKUP(AN16,$G$1:$P$18,4,FALSE()) * $AQ$15</f>
        <v>30.952380952381</v>
      </c>
      <c r="AR16" s="34" t="n">
        <f aca="false">VLOOKUP(AN16,$G$1:$P$18,5,FALSE()) *$AR$15</f>
        <v>331.5</v>
      </c>
      <c r="AS16" s="59" t="n">
        <f aca="false">VLOOKUP(AN16,$G$1:$P$18,6,FALSE()) *$AS$15</f>
        <v>-188.5</v>
      </c>
      <c r="AT16" s="60" t="n">
        <f aca="false">VLOOKUP(AN16,$G$1:$P$18,7,FALSE()) * $AT$15</f>
        <v>33.6206896551724</v>
      </c>
      <c r="AU16" s="34" t="n">
        <f aca="false">VLOOKUP(AN16,$G$1:$P$18,8,FALSE()) *$AU$15</f>
        <v>30</v>
      </c>
      <c r="AV16" s="61" t="n">
        <f aca="false">VLOOKUP(AN16,$G$1:$P$18,9,FALSE()) *$AV$15</f>
        <v>-27.6190476190476</v>
      </c>
      <c r="AW16" s="60" t="n">
        <f aca="false">VLOOKUP(AN16,$G$1:$P$18,10,FALSE()) * $AW$15</f>
        <v>233.333333333333</v>
      </c>
      <c r="AX16" s="62" t="n">
        <f aca="false">SUM(AO16:AW16)</f>
        <v>512.287356321839</v>
      </c>
    </row>
    <row r="17" customFormat="false" ht="14.25" hidden="false" customHeight="true" outlineLevel="0" collapsed="false">
      <c r="A17" s="94" t="s">
        <v>32</v>
      </c>
      <c r="B17" s="95" t="n">
        <v>1</v>
      </c>
      <c r="C17" s="96" t="s">
        <v>33</v>
      </c>
      <c r="D17" s="17" t="s">
        <v>587</v>
      </c>
      <c r="F17" s="32"/>
      <c r="G17" s="33" t="s">
        <v>11</v>
      </c>
      <c r="H17" s="34" t="n">
        <f aca="false">COUNTIF($A:$A,G17)</f>
        <v>15</v>
      </c>
      <c r="I17" s="34" t="n">
        <f aca="false">COUNTIF($C:$C,G17)</f>
        <v>7</v>
      </c>
      <c r="J17" s="35" t="n">
        <f aca="false">IF(I17,H17/I17,H17)</f>
        <v>2.14285714285714</v>
      </c>
      <c r="K17" s="34" t="n">
        <f aca="false">IFERROR(GETPIVOTDATA("Points",$R$2,"Sniper",G17),0)</f>
        <v>23</v>
      </c>
      <c r="L17" s="34" t="n">
        <f aca="false">IFERROR(GETPIVOTDATA("Points",$R$2,"Snipee",G17),0)</f>
        <v>8</v>
      </c>
      <c r="M17" s="35" t="n">
        <f aca="false">IF(L17,K17/L17,K17)</f>
        <v>2.875</v>
      </c>
      <c r="N17" s="35" t="n">
        <f aca="false">IF(H17,K17/H17,0)</f>
        <v>1.53333333333333</v>
      </c>
      <c r="O17" s="35" t="n">
        <f aca="false">IF(I17,L17/I17,0)</f>
        <v>1.14285714285714</v>
      </c>
      <c r="P17" s="36" t="n">
        <f aca="false">IFERROR(VLOOKUP(G17,R:AK,20,FALSE())/15,0)</f>
        <v>0.4</v>
      </c>
      <c r="R17" s="104" t="s">
        <v>95</v>
      </c>
      <c r="S17" s="105"/>
      <c r="T17" s="106"/>
      <c r="U17" s="106"/>
      <c r="V17" s="106"/>
      <c r="W17" s="106"/>
      <c r="X17" s="106" t="n">
        <v>4</v>
      </c>
      <c r="Y17" s="106"/>
      <c r="Z17" s="106" t="n">
        <v>5</v>
      </c>
      <c r="AA17" s="106" t="n">
        <v>1</v>
      </c>
      <c r="AB17" s="106"/>
      <c r="AC17" s="106" t="n">
        <v>1</v>
      </c>
      <c r="AD17" s="106"/>
      <c r="AE17" s="106"/>
      <c r="AF17" s="106" t="n">
        <v>2</v>
      </c>
      <c r="AG17" s="106"/>
      <c r="AH17" s="106"/>
      <c r="AI17" s="107"/>
      <c r="AJ17" s="108" t="n">
        <v>13</v>
      </c>
      <c r="AK17" s="27" t="n">
        <f aca="false">IF(COUNT(S17:AJ17)&lt;&gt;0,COUNT(S17:AJ17)-1,"")</f>
        <v>5</v>
      </c>
      <c r="AN17" s="33" t="s">
        <v>42</v>
      </c>
      <c r="AO17" s="34" t="n">
        <f aca="false">VLOOKUP(AN17,$G$1:$P$18,2,FALSE()) *$AO$15</f>
        <v>195</v>
      </c>
      <c r="AP17" s="59" t="n">
        <f aca="false">VLOOKUP(AN17,$G$1:$P$18,3,FALSE()) *$AP$15</f>
        <v>-228</v>
      </c>
      <c r="AQ17" s="60" t="n">
        <f aca="false">VLOOKUP(AN17,$G$1:$P$18,4,FALSE()) * $AQ$15</f>
        <v>17.1052631578947</v>
      </c>
      <c r="AR17" s="34" t="n">
        <f aca="false">VLOOKUP(AN17,$G$1:$P$18,5,FALSE()) *$AR$15</f>
        <v>306</v>
      </c>
      <c r="AS17" s="59" t="n">
        <f aca="false">VLOOKUP(AN17,$G$1:$P$18,6,FALSE()) *$AS$15</f>
        <v>-370.5</v>
      </c>
      <c r="AT17" s="60" t="n">
        <f aca="false">VLOOKUP(AN17,$G$1:$P$18,7,FALSE()) * $AT$15</f>
        <v>15.7894736842105</v>
      </c>
      <c r="AU17" s="34" t="n">
        <f aca="false">VLOOKUP(AN17,$G$1:$P$18,8,FALSE()) *$AU$15</f>
        <v>27.6923076923077</v>
      </c>
      <c r="AV17" s="61" t="n">
        <f aca="false">VLOOKUP(AN17,$G$1:$P$18,9,FALSE()) *$AV$15</f>
        <v>-30</v>
      </c>
      <c r="AW17" s="60" t="n">
        <f aca="false">VLOOKUP(AN17,$G$1:$P$18,10,FALSE()) * $AW$15</f>
        <v>183.333333333333</v>
      </c>
      <c r="AX17" s="62" t="n">
        <f aca="false">SUM(AO17:AW17)</f>
        <v>116.420377867746</v>
      </c>
    </row>
    <row r="18" customFormat="false" ht="14.25" hidden="false" customHeight="true" outlineLevel="0" collapsed="false">
      <c r="A18" s="94" t="s">
        <v>33</v>
      </c>
      <c r="B18" s="95" t="n">
        <v>2</v>
      </c>
      <c r="C18" s="96" t="s">
        <v>31</v>
      </c>
      <c r="D18" s="17" t="s">
        <v>588</v>
      </c>
      <c r="F18" s="32"/>
      <c r="G18" s="33" t="s">
        <v>35</v>
      </c>
      <c r="H18" s="34" t="n">
        <f aca="false">COUNTIF($A:$A,G18)</f>
        <v>0</v>
      </c>
      <c r="I18" s="34" t="n">
        <f aca="false">COUNTIF($C:$C,G18)</f>
        <v>16</v>
      </c>
      <c r="J18" s="35" t="n">
        <f aca="false">IF(I18,H18/I18,H18)</f>
        <v>0</v>
      </c>
      <c r="K18" s="34" t="n">
        <f aca="false">IFERROR(GETPIVOTDATA("Points",$R$2,"Sniper",G18),0)</f>
        <v>0</v>
      </c>
      <c r="L18" s="34" t="n">
        <f aca="false">IFERROR(GETPIVOTDATA("Points",$R$2,"Snipee",G18),0)</f>
        <v>27</v>
      </c>
      <c r="M18" s="35" t="n">
        <f aca="false">IF(L18,K18/L18,K18)</f>
        <v>0</v>
      </c>
      <c r="N18" s="35" t="n">
        <f aca="false">IF(H18,K18/H18,0)</f>
        <v>0</v>
      </c>
      <c r="O18" s="35" t="n">
        <f aca="false">IF(I18,L18/I18,0)</f>
        <v>1.6875</v>
      </c>
      <c r="P18" s="36" t="n">
        <f aca="false">IFERROR(VLOOKUP(G18,R:AK,20,FALSE())/15,0)</f>
        <v>0</v>
      </c>
      <c r="R18" s="104" t="s">
        <v>43</v>
      </c>
      <c r="S18" s="109"/>
      <c r="T18" s="110" t="n">
        <v>1</v>
      </c>
      <c r="U18" s="110"/>
      <c r="V18" s="110"/>
      <c r="W18" s="110" t="n">
        <v>4</v>
      </c>
      <c r="X18" s="110" t="n">
        <v>2</v>
      </c>
      <c r="Y18" s="110" t="n">
        <v>1</v>
      </c>
      <c r="Z18" s="110"/>
      <c r="AA18" s="110" t="n">
        <v>1</v>
      </c>
      <c r="AB18" s="110"/>
      <c r="AC18" s="110" t="n">
        <v>1</v>
      </c>
      <c r="AD18" s="110"/>
      <c r="AE18" s="110"/>
      <c r="AF18" s="110"/>
      <c r="AG18" s="110"/>
      <c r="AH18" s="110"/>
      <c r="AI18" s="111"/>
      <c r="AJ18" s="112" t="n">
        <v>10</v>
      </c>
      <c r="AK18" s="27" t="n">
        <f aca="false">IF(COUNT(S18:AJ18)&lt;&gt;0,COUNT(S18:AJ18)-1,"")</f>
        <v>6</v>
      </c>
      <c r="AN18" s="33" t="s">
        <v>34</v>
      </c>
      <c r="AO18" s="34" t="n">
        <f aca="false">VLOOKUP(AN18,$G$1:$P$18,2,FALSE()) *$AO$15</f>
        <v>465</v>
      </c>
      <c r="AP18" s="59" t="n">
        <f aca="false">VLOOKUP(AN18,$G$1:$P$18,3,FALSE()) *$AP$15</f>
        <v>-294</v>
      </c>
      <c r="AQ18" s="60" t="n">
        <f aca="false">VLOOKUP(AN18,$G$1:$P$18,4,FALSE()) * $AQ$15</f>
        <v>31.6326530612245</v>
      </c>
      <c r="AR18" s="34" t="n">
        <f aca="false">VLOOKUP(AN18,$G$1:$P$18,5,FALSE()) *$AR$15</f>
        <v>722.5</v>
      </c>
      <c r="AS18" s="59" t="n">
        <f aca="false">VLOOKUP(AN18,$G$1:$P$18,6,FALSE()) *$AS$15</f>
        <v>-429</v>
      </c>
      <c r="AT18" s="60" t="n">
        <f aca="false">VLOOKUP(AN18,$G$1:$P$18,7,FALSE()) * $AT$15</f>
        <v>32.1969696969697</v>
      </c>
      <c r="AU18" s="34" t="n">
        <f aca="false">VLOOKUP(AN18,$G$1:$P$18,8,FALSE()) *$AU$15</f>
        <v>27.4193548387097</v>
      </c>
      <c r="AV18" s="61" t="n">
        <f aca="false">VLOOKUP(AN18,$G$1:$P$18,9,FALSE()) *$AV$15</f>
        <v>-26.9387755102041</v>
      </c>
      <c r="AW18" s="60" t="n">
        <f aca="false">VLOOKUP(AN18,$G$1:$P$18,10,FALSE()) * $AW$15</f>
        <v>166.666666666667</v>
      </c>
      <c r="AX18" s="62" t="n">
        <f aca="false">SUM(AO18:AW18)</f>
        <v>695.476868753366</v>
      </c>
    </row>
    <row r="19" customFormat="false" ht="14.25" hidden="false" customHeight="true" outlineLevel="0" collapsed="false">
      <c r="A19" s="94" t="s">
        <v>30</v>
      </c>
      <c r="B19" s="95" t="n">
        <v>1</v>
      </c>
      <c r="C19" s="96" t="s">
        <v>39</v>
      </c>
      <c r="D19" s="17" t="s">
        <v>589</v>
      </c>
      <c r="F19" s="32"/>
      <c r="R19" s="63" t="s">
        <v>44</v>
      </c>
      <c r="S19" s="113" t="n">
        <v>106</v>
      </c>
      <c r="T19" s="114" t="n">
        <v>102</v>
      </c>
      <c r="U19" s="114" t="n">
        <v>86</v>
      </c>
      <c r="V19" s="114" t="n">
        <v>66</v>
      </c>
      <c r="W19" s="114" t="n">
        <v>65</v>
      </c>
      <c r="X19" s="114" t="n">
        <v>57</v>
      </c>
      <c r="Y19" s="114" t="n">
        <v>51</v>
      </c>
      <c r="Z19" s="114" t="n">
        <v>50</v>
      </c>
      <c r="AA19" s="114" t="n">
        <v>41</v>
      </c>
      <c r="AB19" s="114" t="n">
        <v>39</v>
      </c>
      <c r="AC19" s="114" t="n">
        <v>29</v>
      </c>
      <c r="AD19" s="114" t="n">
        <v>27</v>
      </c>
      <c r="AE19" s="114" t="n">
        <v>15</v>
      </c>
      <c r="AF19" s="114" t="n">
        <v>14</v>
      </c>
      <c r="AG19" s="114" t="n">
        <v>12</v>
      </c>
      <c r="AH19" s="114" t="n">
        <v>10</v>
      </c>
      <c r="AI19" s="115" t="n">
        <v>8</v>
      </c>
      <c r="AJ19" s="65" t="n">
        <v>778</v>
      </c>
      <c r="AK19" s="66"/>
      <c r="AN19" s="33" t="s">
        <v>38</v>
      </c>
      <c r="AO19" s="34" t="n">
        <f aca="false">VLOOKUP(AN19,$G$1:$P$18,2,FALSE()) *$AO$15</f>
        <v>195</v>
      </c>
      <c r="AP19" s="59" t="n">
        <f aca="false">VLOOKUP(AN19,$G$1:$P$18,3,FALSE()) *$AP$15</f>
        <v>-180</v>
      </c>
      <c r="AQ19" s="60" t="n">
        <f aca="false">VLOOKUP(AN19,$G$1:$P$18,4,FALSE()) * $AQ$15</f>
        <v>21.6666666666667</v>
      </c>
      <c r="AR19" s="34" t="n">
        <f aca="false">VLOOKUP(AN19,$G$1:$P$18,5,FALSE()) *$AR$15</f>
        <v>314.5</v>
      </c>
      <c r="AS19" s="59" t="n">
        <f aca="false">VLOOKUP(AN19,$G$1:$P$18,6,FALSE()) *$AS$15</f>
        <v>-266.5</v>
      </c>
      <c r="AT19" s="60" t="n">
        <f aca="false">VLOOKUP(AN19,$G$1:$P$18,7,FALSE()) * $AT$15</f>
        <v>22.5609756097561</v>
      </c>
      <c r="AU19" s="34" t="n">
        <f aca="false">VLOOKUP(AN19,$G$1:$P$18,8,FALSE()) *$AU$15</f>
        <v>28.4615384615385</v>
      </c>
      <c r="AV19" s="61" t="n">
        <f aca="false">VLOOKUP(AN19,$G$1:$P$18,9,FALSE()) *$AV$15</f>
        <v>-27.3333333333333</v>
      </c>
      <c r="AW19" s="60" t="n">
        <f aca="false">VLOOKUP(AN19,$G$1:$P$18,10,FALSE()) * $AW$15</f>
        <v>166.666666666667</v>
      </c>
      <c r="AX19" s="62" t="n">
        <f aca="false">SUM(AO19:AW19)</f>
        <v>275.022514071295</v>
      </c>
    </row>
    <row r="20" customFormat="false" ht="14.25" hidden="false" customHeight="true" outlineLevel="0" collapsed="false">
      <c r="A20" s="94" t="s">
        <v>39</v>
      </c>
      <c r="B20" s="95" t="n">
        <v>1</v>
      </c>
      <c r="C20" s="96" t="s">
        <v>30</v>
      </c>
      <c r="D20" s="17" t="s">
        <v>590</v>
      </c>
      <c r="E20" s="6" t="n">
        <v>1</v>
      </c>
      <c r="F20" s="32"/>
      <c r="G20" s="7" t="s">
        <v>105</v>
      </c>
      <c r="H20" s="7"/>
      <c r="I20" s="7"/>
      <c r="J20" s="7"/>
      <c r="K20" s="7"/>
      <c r="L20" s="7"/>
      <c r="M20" s="7"/>
      <c r="N20" s="7"/>
      <c r="O20" s="7"/>
      <c r="AK20" s="66" t="str">
        <f aca="false">IF(COUNT(S20:AE20)&lt;&gt;0,COUNT(S20:AE20)-1,"")</f>
        <v/>
      </c>
      <c r="AN20" s="33" t="s">
        <v>40</v>
      </c>
      <c r="AO20" s="34" t="n">
        <f aca="false">VLOOKUP(AN20,$G$1:$P$18,2,FALSE()) *$AO$15</f>
        <v>52.5</v>
      </c>
      <c r="AP20" s="59" t="n">
        <f aca="false">VLOOKUP(AN20,$G$1:$P$18,3,FALSE()) *$AP$15</f>
        <v>-78</v>
      </c>
      <c r="AQ20" s="60" t="n">
        <f aca="false">VLOOKUP(AN20,$G$1:$P$18,4,FALSE()) * $AQ$15</f>
        <v>13.4615384615385</v>
      </c>
      <c r="AR20" s="34" t="n">
        <f aca="false">VLOOKUP(AN20,$G$1:$P$18,5,FALSE()) *$AR$15</f>
        <v>110.5</v>
      </c>
      <c r="AS20" s="59" t="n">
        <f aca="false">VLOOKUP(AN20,$G$1:$P$18,6,FALSE()) *$AS$15</f>
        <v>-97.5</v>
      </c>
      <c r="AT20" s="60" t="n">
        <f aca="false">VLOOKUP(AN20,$G$1:$P$18,7,FALSE()) * $AT$15</f>
        <v>21.6666666666667</v>
      </c>
      <c r="AU20" s="34" t="n">
        <f aca="false">VLOOKUP(AN20,$G$1:$P$18,8,FALSE()) *$AU$15</f>
        <v>37.1428571428571</v>
      </c>
      <c r="AV20" s="61" t="n">
        <f aca="false">VLOOKUP(AN20,$G$1:$P$18,9,FALSE()) *$AV$15</f>
        <v>-23.0769230769231</v>
      </c>
      <c r="AW20" s="60" t="n">
        <f aca="false">VLOOKUP(AN20,$G$1:$P$18,10,FALSE()) * $AW$15</f>
        <v>83.3333333333333</v>
      </c>
      <c r="AX20" s="62" t="n">
        <f aca="false">SUM(AO20:AW20)</f>
        <v>120.027472527473</v>
      </c>
    </row>
    <row r="21" customFormat="false" ht="14.25" hidden="false" customHeight="true" outlineLevel="0" collapsed="false">
      <c r="A21" s="94" t="s">
        <v>39</v>
      </c>
      <c r="B21" s="95" t="n">
        <v>1</v>
      </c>
      <c r="C21" s="96" t="s">
        <v>33</v>
      </c>
      <c r="D21" s="17" t="s">
        <v>591</v>
      </c>
      <c r="E21" s="6"/>
      <c r="F21" s="32"/>
      <c r="G21" s="52" t="s">
        <v>108</v>
      </c>
      <c r="H21" s="31" t="s">
        <v>16</v>
      </c>
      <c r="I21" s="31" t="s">
        <v>17</v>
      </c>
      <c r="J21" s="31" t="s">
        <v>18</v>
      </c>
      <c r="K21" s="31" t="s">
        <v>19</v>
      </c>
      <c r="L21" s="31" t="s">
        <v>20</v>
      </c>
      <c r="M21" s="31" t="s">
        <v>21</v>
      </c>
      <c r="N21" s="21" t="s">
        <v>22</v>
      </c>
      <c r="O21" s="31" t="s">
        <v>23</v>
      </c>
      <c r="R21" s="72"/>
      <c r="S21" s="66"/>
      <c r="T21" s="66"/>
      <c r="U21" s="66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K21" s="66" t="str">
        <f aca="false">IF(COUNT(S21:AE21)&lt;&gt;0,COUNT(S21:AE21)-1,"")</f>
        <v/>
      </c>
      <c r="AN21" s="33" t="s">
        <v>36</v>
      </c>
      <c r="AO21" s="34" t="n">
        <f aca="false">VLOOKUP(AN21,$G$1:$P$18,2,FALSE()) *$AO$15</f>
        <v>292.5</v>
      </c>
      <c r="AP21" s="59" t="n">
        <f aca="false">VLOOKUP(AN21,$G$1:$P$18,3,FALSE()) *$AP$15</f>
        <v>-270</v>
      </c>
      <c r="AQ21" s="60" t="n">
        <f aca="false">VLOOKUP(AN21,$G$1:$P$18,4,FALSE()) * $AQ$15</f>
        <v>21.6666666666667</v>
      </c>
      <c r="AR21" s="34" t="n">
        <f aca="false">VLOOKUP(AN21,$G$1:$P$18,5,FALSE()) *$AR$15</f>
        <v>433.5</v>
      </c>
      <c r="AS21" s="59" t="n">
        <f aca="false">VLOOKUP(AN21,$G$1:$P$18,6,FALSE()) *$AS$15</f>
        <v>-422.5</v>
      </c>
      <c r="AT21" s="60" t="n">
        <f aca="false">VLOOKUP(AN21,$G$1:$P$18,7,FALSE()) * $AT$15</f>
        <v>19.6153846153846</v>
      </c>
      <c r="AU21" s="34" t="n">
        <f aca="false">VLOOKUP(AN21,$G$1:$P$18,8,FALSE()) *$AU$15</f>
        <v>26.1538461538462</v>
      </c>
      <c r="AV21" s="61" t="n">
        <f aca="false">VLOOKUP(AN21,$G$1:$P$18,9,FALSE()) *$AV$15</f>
        <v>-28.8888888888889</v>
      </c>
      <c r="AW21" s="60" t="n">
        <f aca="false">VLOOKUP(AN21,$G$1:$P$18,10,FALSE()) * $AW$15</f>
        <v>166.666666666667</v>
      </c>
      <c r="AX21" s="62" t="n">
        <f aca="false">SUM(AO21:AW21)</f>
        <v>238.713675213675</v>
      </c>
    </row>
    <row r="22" customFormat="false" ht="14.25" hidden="false" customHeight="true" outlineLevel="0" collapsed="false">
      <c r="A22" s="94" t="s">
        <v>33</v>
      </c>
      <c r="B22" s="95" t="n">
        <v>1</v>
      </c>
      <c r="C22" s="96" t="s">
        <v>39</v>
      </c>
      <c r="D22" s="17" t="s">
        <v>592</v>
      </c>
      <c r="F22" s="17"/>
      <c r="G22" s="33" t="s">
        <v>111</v>
      </c>
      <c r="H22" s="67" t="n">
        <f aca="false">SUM(H3:H6)/COUNT(H3:H6)</f>
        <v>35</v>
      </c>
      <c r="I22" s="67" t="n">
        <f aca="false">SUM(I3:I6)/COUNT(I3:I6)</f>
        <v>34.5</v>
      </c>
      <c r="J22" s="68" t="n">
        <f aca="false">IF(I22,H22/I22,H22)</f>
        <v>1.01449275362319</v>
      </c>
      <c r="K22" s="67" t="n">
        <f aca="false">SUM(K3:K6)/COUNT(K3:K6)</f>
        <v>49.25</v>
      </c>
      <c r="L22" s="67" t="n">
        <f aca="false">SUM(L3:L6)/COUNT(L3:L6)</f>
        <v>48.25</v>
      </c>
      <c r="M22" s="68" t="n">
        <f aca="false">IF(L22,K22/L22,K22)</f>
        <v>1.02072538860104</v>
      </c>
      <c r="N22" s="69" t="n">
        <f aca="false">IF(H22,K22/H22,0)</f>
        <v>1.40714285714286</v>
      </c>
      <c r="O22" s="70" t="n">
        <f aca="false">IF(I22,L22/I22,0)</f>
        <v>1.39855072463768</v>
      </c>
      <c r="Q22" s="71"/>
      <c r="R22" s="72"/>
      <c r="AK22" s="66" t="str">
        <f aca="false">IF(COUNT(S22:AE22)&lt;&gt;0,COUNT(S22:AE22)-1,"")</f>
        <v/>
      </c>
      <c r="AN22" s="33" t="s">
        <v>41</v>
      </c>
      <c r="AO22" s="34" t="n">
        <f aca="false">VLOOKUP(AN22,$G$1:$P$18,2,FALSE()) *$AO$15</f>
        <v>187.5</v>
      </c>
      <c r="AP22" s="59" t="n">
        <f aca="false">VLOOKUP(AN22,$G$1:$P$18,3,FALSE()) *$AP$15</f>
        <v>-72</v>
      </c>
      <c r="AQ22" s="60" t="n">
        <f aca="false">VLOOKUP(AN22,$G$1:$P$18,4,FALSE()) * $AQ$15</f>
        <v>52.0833333333333</v>
      </c>
      <c r="AR22" s="34" t="n">
        <f aca="false">VLOOKUP(AN22,$G$1:$P$18,5,FALSE()) *$AR$15</f>
        <v>484.5</v>
      </c>
      <c r="AS22" s="59" t="n">
        <f aca="false">VLOOKUP(AN22,$G$1:$P$18,6,FALSE()) *$AS$15</f>
        <v>-91</v>
      </c>
      <c r="AT22" s="60" t="n">
        <f aca="false">VLOOKUP(AN22,$G$1:$P$18,7,FALSE()) * $AT$15</f>
        <v>101.785714285714</v>
      </c>
      <c r="AU22" s="34" t="n">
        <f aca="false">VLOOKUP(AN22,$G$1:$P$18,8,FALSE()) *$AU$15</f>
        <v>45.6</v>
      </c>
      <c r="AV22" s="61" t="n">
        <f aca="false">VLOOKUP(AN22,$G$1:$P$18,9,FALSE()) *$AV$15</f>
        <v>-23.3333333333333</v>
      </c>
      <c r="AW22" s="60" t="n">
        <f aca="false">VLOOKUP(AN22,$G$1:$P$18,10,FALSE()) * $AW$15</f>
        <v>150</v>
      </c>
      <c r="AX22" s="62" t="n">
        <f aca="false">SUM(AO22:AW22)</f>
        <v>835.135714285714</v>
      </c>
    </row>
    <row r="23" customFormat="false" ht="14.25" hidden="false" customHeight="true" outlineLevel="0" collapsed="false">
      <c r="A23" s="94" t="s">
        <v>33</v>
      </c>
      <c r="B23" s="95" t="n">
        <v>1</v>
      </c>
      <c r="C23" s="96" t="s">
        <v>30</v>
      </c>
      <c r="D23" s="17" t="s">
        <v>592</v>
      </c>
      <c r="E23" s="6" t="n">
        <v>1</v>
      </c>
      <c r="F23" s="32"/>
      <c r="G23" s="33" t="s">
        <v>114</v>
      </c>
      <c r="H23" s="67" t="n">
        <f aca="false">SUM(H7:H10)/COUNT(H7:H10)</f>
        <v>38.5</v>
      </c>
      <c r="I23" s="67" t="n">
        <f aca="false">SUM(I7:I10)/COUNT(I7:I10)</f>
        <v>36.5</v>
      </c>
      <c r="J23" s="68" t="n">
        <f aca="false">IF(I23,H23/I23,H23)</f>
        <v>1.05479452054795</v>
      </c>
      <c r="K23" s="67" t="n">
        <f aca="false">SUM(K7:K10)/COUNT(K7:K10)</f>
        <v>59.75</v>
      </c>
      <c r="L23" s="67" t="n">
        <f aca="false">SUM(L7:L10)/COUNT(L7:L10)</f>
        <v>50</v>
      </c>
      <c r="M23" s="68" t="n">
        <f aca="false">IF(L23,K23/L23,K23)</f>
        <v>1.195</v>
      </c>
      <c r="N23" s="69" t="n">
        <f aca="false">IF(H23,K23/H23,0)</f>
        <v>1.55194805194805</v>
      </c>
      <c r="O23" s="70" t="n">
        <f aca="false">IF(I23,L23/I23,0)</f>
        <v>1.36986301369863</v>
      </c>
      <c r="Q23" s="71"/>
      <c r="R23" s="72"/>
      <c r="AN23" s="33" t="s">
        <v>31</v>
      </c>
      <c r="AO23" s="34" t="n">
        <f aca="false">VLOOKUP(AN23,$G$1:$P$18,2,FALSE()) *$AO$15</f>
        <v>622.5</v>
      </c>
      <c r="AP23" s="59" t="n">
        <f aca="false">VLOOKUP(AN23,$G$1:$P$18,3,FALSE()) *$AP$15</f>
        <v>-456</v>
      </c>
      <c r="AQ23" s="60" t="n">
        <f aca="false">VLOOKUP(AN23,$G$1:$P$18,4,FALSE()) * $AQ$15</f>
        <v>27.3026315789474</v>
      </c>
      <c r="AR23" s="34" t="n">
        <f aca="false">VLOOKUP(AN23,$G$1:$P$18,5,FALSE()) *$AR$15</f>
        <v>1003</v>
      </c>
      <c r="AS23" s="59" t="n">
        <f aca="false">VLOOKUP(AN23,$G$1:$P$18,6,FALSE()) *$AS$15</f>
        <v>-689</v>
      </c>
      <c r="AT23" s="60" t="n">
        <f aca="false">VLOOKUP(AN23,$G$1:$P$18,7,FALSE()) * $AT$15</f>
        <v>27.8301886792453</v>
      </c>
      <c r="AU23" s="34" t="n">
        <f aca="false">VLOOKUP(AN23,$G$1:$P$18,8,FALSE()) *$AU$15</f>
        <v>28.433734939759</v>
      </c>
      <c r="AV23" s="61" t="n">
        <f aca="false">VLOOKUP(AN23,$G$1:$P$18,9,FALSE()) *$AV$15</f>
        <v>-27.8947368421053</v>
      </c>
      <c r="AW23" s="60" t="n">
        <f aca="false">VLOOKUP(AN23,$G$1:$P$18,10,FALSE()) * $AW$15</f>
        <v>183.333333333333</v>
      </c>
      <c r="AX23" s="62" t="n">
        <f aca="false">SUM(AO23:AW23)</f>
        <v>719.50515168918</v>
      </c>
    </row>
    <row r="24" customFormat="false" ht="14.25" hidden="false" customHeight="true" outlineLevel="0" collapsed="false">
      <c r="A24" s="94" t="s">
        <v>30</v>
      </c>
      <c r="B24" s="95" t="n">
        <v>1</v>
      </c>
      <c r="C24" s="96" t="s">
        <v>41</v>
      </c>
      <c r="D24" s="17" t="s">
        <v>593</v>
      </c>
      <c r="F24" s="17"/>
      <c r="G24" s="33" t="s">
        <v>117</v>
      </c>
      <c r="H24" s="67" t="n">
        <f aca="false">SUM(H11:H14)/COUNT(H11:H14)</f>
        <v>51.75</v>
      </c>
      <c r="I24" s="67" t="n">
        <f aca="false">SUM(I11:I14)/COUNT(I11:I14)</f>
        <v>49.5</v>
      </c>
      <c r="J24" s="68" t="n">
        <f aca="false">IF(I24,H24/I24,H24)</f>
        <v>1.04545454545455</v>
      </c>
      <c r="K24" s="67" t="n">
        <f aca="false">SUM(K11:K14)/COUNT(K11:K14)</f>
        <v>74</v>
      </c>
      <c r="L24" s="67" t="n">
        <f aca="false">SUM(L11:L14)/COUNT(L11:L14)</f>
        <v>69.5</v>
      </c>
      <c r="M24" s="68" t="n">
        <f aca="false">IF(L24,K24/L24,K24)</f>
        <v>1.06474820143885</v>
      </c>
      <c r="N24" s="69" t="n">
        <f aca="false">IF(H24,K24/H24,0)</f>
        <v>1.42995169082126</v>
      </c>
      <c r="O24" s="70" t="n">
        <f aca="false">IF(I24,L24/I24,0)</f>
        <v>1.4040404040404</v>
      </c>
      <c r="Q24" s="8"/>
      <c r="R24" s="116" t="s">
        <v>594</v>
      </c>
      <c r="S24" s="40" t="s">
        <v>595</v>
      </c>
      <c r="T24" s="117" t="s">
        <v>596</v>
      </c>
      <c r="U24" s="118" t="s">
        <v>597</v>
      </c>
      <c r="V24" s="119" t="s">
        <v>598</v>
      </c>
      <c r="AD24" s="72"/>
      <c r="AN24" s="33" t="s">
        <v>33</v>
      </c>
      <c r="AO24" s="34" t="n">
        <f aca="false">VLOOKUP(AN24,$G$1:$P$18,2,FALSE()) *$AO$15</f>
        <v>225</v>
      </c>
      <c r="AP24" s="59" t="n">
        <f aca="false">VLOOKUP(AN24,$G$1:$P$18,3,FALSE()) *$AP$15</f>
        <v>-192</v>
      </c>
      <c r="AQ24" s="60" t="n">
        <f aca="false">VLOOKUP(AN24,$G$1:$P$18,4,FALSE()) * $AQ$15</f>
        <v>23.4375</v>
      </c>
      <c r="AR24" s="34" t="n">
        <f aca="false">VLOOKUP(AN24,$G$1:$P$18,5,FALSE()) *$AR$15</f>
        <v>357</v>
      </c>
      <c r="AS24" s="59" t="n">
        <f aca="false">VLOOKUP(AN24,$G$1:$P$18,6,FALSE()) *$AS$15</f>
        <v>-253.5</v>
      </c>
      <c r="AT24" s="60" t="n">
        <f aca="false">VLOOKUP(AN24,$G$1:$P$18,7,FALSE()) * $AT$15</f>
        <v>26.9230769230769</v>
      </c>
      <c r="AU24" s="34" t="n">
        <f aca="false">VLOOKUP(AN24,$G$1:$P$18,8,FALSE()) *$AU$15</f>
        <v>28</v>
      </c>
      <c r="AV24" s="61" t="n">
        <f aca="false">VLOOKUP(AN24,$G$1:$P$18,9,FALSE()) *$AV$15</f>
        <v>-24.375</v>
      </c>
      <c r="AW24" s="60" t="n">
        <f aca="false">VLOOKUP(AN24,$G$1:$P$18,10,FALSE()) * $AW$15</f>
        <v>183.333333333333</v>
      </c>
      <c r="AX24" s="62" t="n">
        <f aca="false">SUM(AO24:AW24)</f>
        <v>373.81891025641</v>
      </c>
    </row>
    <row r="25" customFormat="false" ht="14.25" hidden="false" customHeight="true" outlineLevel="0" collapsed="false">
      <c r="A25" s="94" t="s">
        <v>41</v>
      </c>
      <c r="B25" s="95" t="n">
        <v>1</v>
      </c>
      <c r="C25" s="96" t="s">
        <v>30</v>
      </c>
      <c r="D25" s="17" t="s">
        <v>599</v>
      </c>
      <c r="E25" s="6" t="n">
        <v>1</v>
      </c>
      <c r="F25" s="32"/>
      <c r="G25" s="33" t="s">
        <v>120</v>
      </c>
      <c r="H25" s="67" t="n">
        <f aca="false">SUM(H17:H18)/COUNT(H17:H18)</f>
        <v>7.5</v>
      </c>
      <c r="I25" s="67" t="n">
        <f aca="false">SUM(I17:I18)/COUNT(I17:I18)</f>
        <v>11.5</v>
      </c>
      <c r="J25" s="68" t="n">
        <f aca="false">IF(I25,H25/I25,H25)</f>
        <v>0.652173913043478</v>
      </c>
      <c r="K25" s="67" t="n">
        <f aca="false">SUM(K17:K18)/COUNT(K17:K18)</f>
        <v>11.5</v>
      </c>
      <c r="L25" s="67" t="n">
        <f aca="false">SUM(L17:L18)/COUNT(L17:L18)</f>
        <v>17.5</v>
      </c>
      <c r="M25" s="68" t="n">
        <f aca="false">IF(L25,K25/L25,K25)</f>
        <v>0.657142857142857</v>
      </c>
      <c r="N25" s="69" t="n">
        <f aca="false">IF(H25,K25/H25,0)</f>
        <v>1.53333333333333</v>
      </c>
      <c r="O25" s="70" t="n">
        <f aca="false">IF(I25,L25/I25,0)</f>
        <v>1.52173913043478</v>
      </c>
      <c r="R25" s="46" t="s">
        <v>600</v>
      </c>
      <c r="S25" s="40" t="n">
        <f aca="false">COUNT(E:E)</f>
        <v>13</v>
      </c>
      <c r="T25" s="117" t="n">
        <f aca="false">COUNTIF(E:E,1)</f>
        <v>9</v>
      </c>
      <c r="U25" s="118" t="n">
        <f aca="false">S25-T25</f>
        <v>4</v>
      </c>
      <c r="V25" s="120" t="n">
        <f aca="false">IFERROR(T25/S25,0)</f>
        <v>0.692307692307692</v>
      </c>
      <c r="AN25" s="33" t="s">
        <v>39</v>
      </c>
      <c r="AO25" s="34" t="n">
        <f aca="false">VLOOKUP(AN25,$G$1:$P$18,2,FALSE()) *$AO$15</f>
        <v>495</v>
      </c>
      <c r="AP25" s="59" t="n">
        <f aca="false">VLOOKUP(AN25,$G$1:$P$18,3,FALSE()) *$AP$15</f>
        <v>-258</v>
      </c>
      <c r="AQ25" s="60" t="n">
        <f aca="false">VLOOKUP(AN25,$G$1:$P$18,4,FALSE()) * $AQ$15</f>
        <v>38.3720930232558</v>
      </c>
      <c r="AR25" s="34" t="n">
        <f aca="false">VLOOKUP(AN25,$G$1:$P$18,5,FALSE()) *$AR$15</f>
        <v>841.5</v>
      </c>
      <c r="AS25" s="59" t="n">
        <f aca="false">VLOOKUP(AN25,$G$1:$P$18,6,FALSE()) *$AS$15</f>
        <v>-331.5</v>
      </c>
      <c r="AT25" s="60" t="n">
        <f aca="false">VLOOKUP(AN25,$G$1:$P$18,7,FALSE()) * $AT$15</f>
        <v>48.5294117647059</v>
      </c>
      <c r="AU25" s="34" t="n">
        <f aca="false">VLOOKUP(AN25,$G$1:$P$18,8,FALSE()) *$AU$15</f>
        <v>30</v>
      </c>
      <c r="AV25" s="61" t="n">
        <f aca="false">VLOOKUP(AN25,$G$1:$P$18,9,FALSE()) *$AV$15</f>
        <v>-23.7209302325581</v>
      </c>
      <c r="AW25" s="60" t="n">
        <f aca="false">VLOOKUP(AN25,$G$1:$P$18,10,FALSE()) * $AW$15</f>
        <v>233.333333333333</v>
      </c>
      <c r="AX25" s="62" t="n">
        <f aca="false">SUM(AO25:AW25)</f>
        <v>1073.51390788874</v>
      </c>
    </row>
    <row r="26" customFormat="false" ht="14.25" hidden="false" customHeight="true" outlineLevel="0" collapsed="false">
      <c r="A26" s="94" t="s">
        <v>41</v>
      </c>
      <c r="B26" s="95" t="n">
        <v>1</v>
      </c>
      <c r="C26" s="96" t="s">
        <v>39</v>
      </c>
      <c r="D26" s="17" t="s">
        <v>599</v>
      </c>
      <c r="F26" s="32"/>
      <c r="G26" s="73" t="s">
        <v>123</v>
      </c>
      <c r="H26" s="67" t="n">
        <f aca="false">SUM(H17)/COUNT(H17)</f>
        <v>15</v>
      </c>
      <c r="I26" s="67" t="n">
        <f aca="false">SUM(I17)/COUNT(I17)</f>
        <v>7</v>
      </c>
      <c r="J26" s="68" t="n">
        <f aca="false">IF(I26,H26/I26,H26)</f>
        <v>2.14285714285714</v>
      </c>
      <c r="K26" s="67" t="n">
        <f aca="false">SUM(K17)/COUNT(K17)</f>
        <v>23</v>
      </c>
      <c r="L26" s="67" t="n">
        <f aca="false">SUM(L17)/COUNT(L17)</f>
        <v>8</v>
      </c>
      <c r="M26" s="68" t="n">
        <f aca="false">IF(L26,K26/L26,K26)</f>
        <v>2.875</v>
      </c>
      <c r="N26" s="69" t="n">
        <f aca="false">IF(H26,K26/H26,0)</f>
        <v>1.53333333333333</v>
      </c>
      <c r="O26" s="70" t="n">
        <f aca="false">IF(I26,L26/I26,0)</f>
        <v>1.14285714285714</v>
      </c>
      <c r="AN26" s="33" t="s">
        <v>32</v>
      </c>
      <c r="AO26" s="34" t="n">
        <f aca="false">VLOOKUP(AN26,$G$1:$P$18,2,FALSE()) *$AO$15</f>
        <v>195</v>
      </c>
      <c r="AP26" s="59" t="n">
        <f aca="false">VLOOKUP(AN26,$G$1:$P$18,3,FALSE()) *$AP$15</f>
        <v>-318</v>
      </c>
      <c r="AQ26" s="60" t="n">
        <f aca="false">VLOOKUP(AN26,$G$1:$P$18,4,FALSE()) * $AQ$15</f>
        <v>12.2641509433962</v>
      </c>
      <c r="AR26" s="34" t="n">
        <f aca="false">VLOOKUP(AN26,$G$1:$P$18,5,FALSE()) *$AR$15</f>
        <v>280.5</v>
      </c>
      <c r="AS26" s="59" t="n">
        <f aca="false">VLOOKUP(AN26,$G$1:$P$18,6,FALSE()) *$AS$15</f>
        <v>-559</v>
      </c>
      <c r="AT26" s="60" t="n">
        <f aca="false">VLOOKUP(AN26,$G$1:$P$18,7,FALSE()) * $AT$15</f>
        <v>9.59302325581395</v>
      </c>
      <c r="AU26" s="34" t="n">
        <f aca="false">VLOOKUP(AN26,$G$1:$P$18,8,FALSE()) *$AU$15</f>
        <v>25.3846153846154</v>
      </c>
      <c r="AV26" s="61" t="n">
        <f aca="false">VLOOKUP(AN26,$G$1:$P$18,9,FALSE()) *$AV$15</f>
        <v>-32.4528301886792</v>
      </c>
      <c r="AW26" s="60" t="n">
        <f aca="false">VLOOKUP(AN26,$G$1:$P$18,10,FALSE()) * $AW$15</f>
        <v>166.666666666667</v>
      </c>
      <c r="AX26" s="62" t="n">
        <f aca="false">SUM(AO26:AW26)</f>
        <v>-220.044373938187</v>
      </c>
    </row>
    <row r="27" customFormat="false" ht="14.25" hidden="false" customHeight="true" outlineLevel="0" collapsed="false">
      <c r="A27" s="94" t="s">
        <v>39</v>
      </c>
      <c r="B27" s="95" t="n">
        <v>1</v>
      </c>
      <c r="C27" s="96" t="s">
        <v>41</v>
      </c>
      <c r="D27" s="17" t="s">
        <v>601</v>
      </c>
      <c r="F27" s="17"/>
      <c r="AN27" s="33" t="s">
        <v>37</v>
      </c>
      <c r="AO27" s="34" t="n">
        <f aca="false">VLOOKUP(AN27,$G$1:$P$18,2,FALSE()) *$AO$15</f>
        <v>637.5</v>
      </c>
      <c r="AP27" s="59" t="n">
        <f aca="false">VLOOKUP(AN27,$G$1:$P$18,3,FALSE()) *$AP$15</f>
        <v>-420</v>
      </c>
      <c r="AQ27" s="60" t="n">
        <f aca="false">VLOOKUP(AN27,$G$1:$P$18,4,FALSE()) * $AQ$15</f>
        <v>30.3571428571429</v>
      </c>
      <c r="AR27" s="34" t="n">
        <f aca="false">VLOOKUP(AN27,$G$1:$P$18,5,FALSE()) *$AR$15</f>
        <v>1037</v>
      </c>
      <c r="AS27" s="59" t="n">
        <f aca="false">VLOOKUP(AN27,$G$1:$P$18,6,FALSE()) *$AS$15</f>
        <v>-663</v>
      </c>
      <c r="AT27" s="60" t="n">
        <f aca="false">VLOOKUP(AN27,$G$1:$P$18,7,FALSE()) * $AT$15</f>
        <v>29.9019607843137</v>
      </c>
      <c r="AU27" s="34" t="n">
        <f aca="false">VLOOKUP(AN27,$G$1:$P$18,8,FALSE()) *$AU$15</f>
        <v>28.7058823529412</v>
      </c>
      <c r="AV27" s="61" t="n">
        <f aca="false">VLOOKUP(AN27,$G$1:$P$18,9,FALSE()) *$AV$15</f>
        <v>-29.1428571428571</v>
      </c>
      <c r="AW27" s="60" t="n">
        <f aca="false">VLOOKUP(AN27,$G$1:$P$18,10,FALSE()) * $AW$15</f>
        <v>200</v>
      </c>
      <c r="AX27" s="62" t="n">
        <f aca="false">SUM(AO27:AW27)</f>
        <v>851.322128851541</v>
      </c>
    </row>
    <row r="28" customFormat="false" ht="14.25" hidden="false" customHeight="true" outlineLevel="0" collapsed="false">
      <c r="A28" s="94" t="s">
        <v>33</v>
      </c>
      <c r="B28" s="95" t="n">
        <v>1</v>
      </c>
      <c r="C28" s="96" t="s">
        <v>41</v>
      </c>
      <c r="D28" s="17" t="s">
        <v>602</v>
      </c>
      <c r="F28" s="32"/>
      <c r="G28" s="33" t="s">
        <v>88</v>
      </c>
      <c r="H28" s="41" t="s">
        <v>16</v>
      </c>
      <c r="Q28" s="33" t="s">
        <v>88</v>
      </c>
      <c r="R28" s="41" t="s">
        <v>19</v>
      </c>
      <c r="AN28" s="33" t="s">
        <v>43</v>
      </c>
      <c r="AO28" s="34" t="n">
        <f aca="false">VLOOKUP(AN28,$G$1:$P$18,2,FALSE()) *$AO$15</f>
        <v>52.5</v>
      </c>
      <c r="AP28" s="59" t="n">
        <f aca="false">VLOOKUP(AN28,$G$1:$P$18,3,FALSE()) *$AP$15</f>
        <v>-48</v>
      </c>
      <c r="AQ28" s="60" t="n">
        <f aca="false">VLOOKUP(AN28,$G$1:$P$18,4,FALSE()) * $AQ$15</f>
        <v>21.875</v>
      </c>
      <c r="AR28" s="34" t="n">
        <f aca="false">VLOOKUP(AN28,$G$1:$P$18,5,FALSE()) *$AR$15</f>
        <v>85</v>
      </c>
      <c r="AS28" s="59" t="n">
        <f aca="false">VLOOKUP(AN28,$G$1:$P$18,6,FALSE()) *$AS$15</f>
        <v>-78</v>
      </c>
      <c r="AT28" s="60" t="n">
        <f aca="false">VLOOKUP(AN28,$G$1:$P$18,7,FALSE()) * $AT$15</f>
        <v>20.8333333333333</v>
      </c>
      <c r="AU28" s="34" t="n">
        <f aca="false">VLOOKUP(AN28,$G$1:$P$18,8,FALSE()) *$AU$15</f>
        <v>28.5714285714286</v>
      </c>
      <c r="AV28" s="61" t="n">
        <f aca="false">VLOOKUP(AN28,$G$1:$P$18,9,FALSE()) *$AV$15</f>
        <v>-30</v>
      </c>
      <c r="AW28" s="60" t="n">
        <f aca="false">VLOOKUP(AN28,$G$1:$P$18,10,FALSE()) * $AW$15</f>
        <v>100</v>
      </c>
      <c r="AX28" s="62" t="n">
        <f aca="false">SUM(AO28:AW28)</f>
        <v>152.779761904762</v>
      </c>
    </row>
    <row r="29" customFormat="false" ht="14.25" hidden="false" customHeight="true" outlineLevel="0" collapsed="false">
      <c r="A29" s="94" t="s">
        <v>41</v>
      </c>
      <c r="B29" s="95" t="n">
        <v>1</v>
      </c>
      <c r="C29" s="96" t="s">
        <v>33</v>
      </c>
      <c r="D29" s="17" t="s">
        <v>603</v>
      </c>
      <c r="F29" s="17"/>
      <c r="G29" s="33" t="s">
        <v>37</v>
      </c>
      <c r="H29" s="34" t="n">
        <f aca="false">VLOOKUP(G29,$G$1:$P$18,2,FALSE())</f>
        <v>85</v>
      </c>
      <c r="Q29" s="33" t="s">
        <v>37</v>
      </c>
      <c r="R29" s="34" t="n">
        <f aca="false">VLOOKUP(Q29,$G$1:$P$18,5,FALSE())</f>
        <v>122</v>
      </c>
      <c r="AN29" s="33" t="s">
        <v>95</v>
      </c>
      <c r="AO29" s="34" t="n">
        <f aca="false">VLOOKUP(AN29,$G$1:$P$18,2,FALSE()) *$AO$15</f>
        <v>60</v>
      </c>
      <c r="AP29" s="59" t="n">
        <f aca="false">VLOOKUP(AN29,$G$1:$P$18,3,FALSE()) *$AP$15</f>
        <v>-48</v>
      </c>
      <c r="AQ29" s="60" t="n">
        <f aca="false">VLOOKUP(AN29,$G$1:$P$18,4,FALSE()) * $AQ$15</f>
        <v>25</v>
      </c>
      <c r="AR29" s="34" t="n">
        <f aca="false">VLOOKUP(AN29,$G$1:$P$18,5,FALSE()) *$AR$15</f>
        <v>110.5</v>
      </c>
      <c r="AS29" s="59" t="n">
        <f aca="false">VLOOKUP(AN29,$G$1:$P$18,6,FALSE()) *$AS$15</f>
        <v>-65</v>
      </c>
      <c r="AT29" s="60" t="n">
        <f aca="false">VLOOKUP(AN29,$G$1:$P$18,7,FALSE()) * $AT$15</f>
        <v>32.5</v>
      </c>
      <c r="AU29" s="34" t="n">
        <f aca="false">VLOOKUP(AN29,$G$1:$P$18,8,FALSE()) *$AU$15</f>
        <v>32.5</v>
      </c>
      <c r="AV29" s="61" t="n">
        <f aca="false">VLOOKUP(AN29,$G$1:$P$18,9,FALSE()) *$AV$15</f>
        <v>-25</v>
      </c>
      <c r="AW29" s="60" t="n">
        <f aca="false">VLOOKUP(AN29,$G$1:$P$18,10,FALSE()) * $AW$15</f>
        <v>83.3333333333333</v>
      </c>
      <c r="AX29" s="62" t="n">
        <f aca="false">SUM(AO29:AW29)</f>
        <v>205.833333333333</v>
      </c>
    </row>
    <row r="30" customFormat="false" ht="14.25" hidden="false" customHeight="true" outlineLevel="0" collapsed="false">
      <c r="A30" s="94" t="s">
        <v>30</v>
      </c>
      <c r="B30" s="95" t="n">
        <v>1</v>
      </c>
      <c r="C30" s="96" t="s">
        <v>33</v>
      </c>
      <c r="D30" s="17" t="s">
        <v>604</v>
      </c>
      <c r="F30" s="32"/>
      <c r="G30" s="33" t="s">
        <v>31</v>
      </c>
      <c r="H30" s="34" t="n">
        <f aca="false">VLOOKUP(G30,$G$1:$P$18,2,FALSE())</f>
        <v>83</v>
      </c>
      <c r="Q30" s="33" t="s">
        <v>31</v>
      </c>
      <c r="R30" s="34" t="n">
        <f aca="false">VLOOKUP(Q30,$G$1:$P$18,5,FALSE())</f>
        <v>118</v>
      </c>
      <c r="AN30" s="33" t="s">
        <v>11</v>
      </c>
      <c r="AO30" s="34" t="n">
        <f aca="false">VLOOKUP(AN30,$G$1:$P$18,2,FALSE()) *$AO$15</f>
        <v>112.5</v>
      </c>
      <c r="AP30" s="59" t="n">
        <f aca="false">VLOOKUP(AN30,$G$1:$P$18,3,FALSE()) *$AP$15</f>
        <v>-42</v>
      </c>
      <c r="AQ30" s="60" t="n">
        <f aca="false">VLOOKUP(AN30,$G$1:$P$18,4,FALSE()) * $AQ$15</f>
        <v>53.5714285714286</v>
      </c>
      <c r="AR30" s="34" t="n">
        <f aca="false">VLOOKUP(AN30,$G$1:$P$18,5,FALSE()) *$AR$15</f>
        <v>195.5</v>
      </c>
      <c r="AS30" s="59" t="n">
        <f aca="false">VLOOKUP(AN30,$G$1:$P$18,6,FALSE()) *$AS$15</f>
        <v>-52</v>
      </c>
      <c r="AT30" s="60" t="n">
        <f aca="false">VLOOKUP(AN30,$G$1:$P$18,7,FALSE()) * $AT$15</f>
        <v>71.875</v>
      </c>
      <c r="AU30" s="34" t="n">
        <f aca="false">VLOOKUP(AN30,$G$1:$P$18,8,FALSE()) *$AU$15</f>
        <v>30.6666666666667</v>
      </c>
      <c r="AV30" s="61" t="n">
        <f aca="false">VLOOKUP(AN30,$G$1:$P$18,9,FALSE()) *$AV$15</f>
        <v>-22.8571428571429</v>
      </c>
      <c r="AW30" s="60" t="n">
        <f aca="false">VLOOKUP(AN30,$G$1:$P$18,10,FALSE()) * $AW$15</f>
        <v>100</v>
      </c>
      <c r="AX30" s="62" t="n">
        <f aca="false">SUM(AO30:AW30)</f>
        <v>447.255952380952</v>
      </c>
    </row>
    <row r="31" customFormat="false" ht="14.25" hidden="false" customHeight="true" outlineLevel="0" collapsed="false">
      <c r="A31" s="94" t="s">
        <v>95</v>
      </c>
      <c r="B31" s="95" t="n">
        <v>1</v>
      </c>
      <c r="C31" s="96" t="s">
        <v>42</v>
      </c>
      <c r="D31" s="17" t="s">
        <v>605</v>
      </c>
      <c r="F31" s="32"/>
      <c r="G31" s="33" t="s">
        <v>39</v>
      </c>
      <c r="H31" s="34" t="n">
        <f aca="false">VLOOKUP(G31,$G$1:$P$18,2,FALSE())</f>
        <v>66</v>
      </c>
      <c r="Q31" s="33" t="s">
        <v>39</v>
      </c>
      <c r="R31" s="34" t="n">
        <f aca="false">VLOOKUP(Q31,$G$1:$P$18,5,FALSE())</f>
        <v>99</v>
      </c>
      <c r="AN31" s="33" t="s">
        <v>35</v>
      </c>
      <c r="AO31" s="34" t="n">
        <f aca="false">VLOOKUP(AN31,$G$1:$P$18,2,FALSE()) *$AO$15</f>
        <v>0</v>
      </c>
      <c r="AP31" s="59" t="n">
        <f aca="false">VLOOKUP(AN31,$G$1:$P$18,3,FALSE()) *$AP$15</f>
        <v>-96</v>
      </c>
      <c r="AQ31" s="60" t="n">
        <f aca="false">VLOOKUP(AN31,$G$1:$P$18,4,FALSE()) * $AQ$15</f>
        <v>0</v>
      </c>
      <c r="AR31" s="34" t="n">
        <f aca="false">VLOOKUP(AN31,$G$1:$P$18,5,FALSE()) *$AR$15</f>
        <v>0</v>
      </c>
      <c r="AS31" s="59" t="n">
        <f aca="false">VLOOKUP(AN31,$G$1:$P$18,6,FALSE()) *$AS$15</f>
        <v>-175.5</v>
      </c>
      <c r="AT31" s="60" t="n">
        <f aca="false">VLOOKUP(AN31,$G$1:$P$18,7,FALSE()) * $AT$15</f>
        <v>0</v>
      </c>
      <c r="AU31" s="34" t="n">
        <f aca="false">VLOOKUP(AN31,$G$1:$P$18,8,FALSE()) *$AU$15</f>
        <v>0</v>
      </c>
      <c r="AV31" s="61" t="n">
        <f aca="false">VLOOKUP(AN31,$G$1:$P$18,9,FALSE()) *$AV$15</f>
        <v>-33.75</v>
      </c>
      <c r="AW31" s="60" t="n">
        <f aca="false">VLOOKUP(AN31,$G$1:$P$18,10,FALSE()) * $AW$15</f>
        <v>0</v>
      </c>
      <c r="AX31" s="62" t="n">
        <f aca="false">SUM(AO31:AW31)</f>
        <v>-305.25</v>
      </c>
    </row>
    <row r="32" customFormat="false" ht="14.25" hidden="false" customHeight="true" outlineLevel="0" collapsed="false">
      <c r="A32" s="94" t="s">
        <v>42</v>
      </c>
      <c r="B32" s="95" t="n">
        <v>1</v>
      </c>
      <c r="C32" s="96" t="s">
        <v>95</v>
      </c>
      <c r="D32" s="17" t="s">
        <v>606</v>
      </c>
      <c r="F32" s="32"/>
      <c r="G32" s="33" t="s">
        <v>34</v>
      </c>
      <c r="H32" s="34" t="n">
        <f aca="false">VLOOKUP(G32,$G$1:$P$18,2,FALSE())</f>
        <v>62</v>
      </c>
      <c r="Q32" s="33" t="s">
        <v>34</v>
      </c>
      <c r="R32" s="34" t="n">
        <f aca="false">VLOOKUP(Q32,$G$1:$P$18,5,FALSE())</f>
        <v>85</v>
      </c>
    </row>
    <row r="33" customFormat="false" ht="14.25" hidden="false" customHeight="true" outlineLevel="0" collapsed="false">
      <c r="A33" s="94" t="s">
        <v>38</v>
      </c>
      <c r="B33" s="95" t="n">
        <v>1</v>
      </c>
      <c r="C33" s="96" t="s">
        <v>34</v>
      </c>
      <c r="D33" s="17" t="s">
        <v>607</v>
      </c>
      <c r="F33" s="32"/>
      <c r="G33" s="33" t="s">
        <v>36</v>
      </c>
      <c r="H33" s="34" t="n">
        <f aca="false">VLOOKUP(G33,$G$1:$P$18,2,FALSE())</f>
        <v>39</v>
      </c>
      <c r="Q33" s="33" t="s">
        <v>41</v>
      </c>
      <c r="R33" s="34" t="n">
        <f aca="false">VLOOKUP(Q33,$G$1:$P$18,5,FALSE())</f>
        <v>57</v>
      </c>
      <c r="AH33" s="72"/>
    </row>
    <row r="34" customFormat="false" ht="14.25" hidden="false" customHeight="true" outlineLevel="0" collapsed="false">
      <c r="A34" s="94" t="s">
        <v>34</v>
      </c>
      <c r="B34" s="95" t="n">
        <v>1</v>
      </c>
      <c r="C34" s="96" t="s">
        <v>38</v>
      </c>
      <c r="D34" s="17" t="s">
        <v>608</v>
      </c>
      <c r="F34" s="32"/>
      <c r="G34" s="33" t="s">
        <v>33</v>
      </c>
      <c r="H34" s="34" t="n">
        <f aca="false">VLOOKUP(G34,$G$1:$P$18,2,FALSE())</f>
        <v>30</v>
      </c>
      <c r="Q34" s="33" t="s">
        <v>36</v>
      </c>
      <c r="R34" s="34" t="n">
        <f aca="false">VLOOKUP(Q34,$G$1:$P$18,5,FALSE())</f>
        <v>51</v>
      </c>
      <c r="AH34" s="72"/>
    </row>
    <row r="35" customFormat="false" ht="14.25" hidden="false" customHeight="true" outlineLevel="0" collapsed="false">
      <c r="A35" s="94" t="s">
        <v>31</v>
      </c>
      <c r="B35" s="95" t="n">
        <v>2</v>
      </c>
      <c r="C35" s="96" t="s">
        <v>36</v>
      </c>
      <c r="D35" s="17" t="s">
        <v>609</v>
      </c>
      <c r="F35" s="17"/>
      <c r="G35" s="33" t="s">
        <v>30</v>
      </c>
      <c r="H35" s="34" t="n">
        <f aca="false">VLOOKUP(G35,$G$1:$P$18,2,FALSE())</f>
        <v>26</v>
      </c>
      <c r="Q35" s="33" t="s">
        <v>33</v>
      </c>
      <c r="R35" s="34" t="n">
        <f aca="false">VLOOKUP(Q35,$G$1:$P$18,5,FALSE())</f>
        <v>42</v>
      </c>
      <c r="AH35" s="72"/>
      <c r="AN35" s="74" t="s">
        <v>88</v>
      </c>
      <c r="AO35" s="75" t="s">
        <v>143</v>
      </c>
      <c r="AP35" s="75" t="s">
        <v>144</v>
      </c>
      <c r="AQ35" s="72"/>
    </row>
    <row r="36" customFormat="false" ht="14.25" hidden="false" customHeight="true" outlineLevel="0" collapsed="false">
      <c r="A36" s="94" t="s">
        <v>36</v>
      </c>
      <c r="B36" s="95" t="n">
        <v>1</v>
      </c>
      <c r="C36" s="96" t="s">
        <v>31</v>
      </c>
      <c r="D36" s="17" t="s">
        <v>610</v>
      </c>
      <c r="F36" s="32"/>
      <c r="G36" s="33" t="s">
        <v>32</v>
      </c>
      <c r="H36" s="34" t="n">
        <f aca="false">VLOOKUP(G36,$G$1:$P$18,2,FALSE())</f>
        <v>26</v>
      </c>
      <c r="Q36" s="33" t="s">
        <v>30</v>
      </c>
      <c r="R36" s="34" t="n">
        <f aca="false">VLOOKUP(Q36,$G$1:$P$18,5,FALSE())</f>
        <v>39</v>
      </c>
      <c r="AH36" s="72"/>
      <c r="AN36" s="33" t="s">
        <v>39</v>
      </c>
      <c r="AO36" s="62" t="n">
        <f aca="false">VLOOKUP(AN36,$AN$13:$AX$31,11,FALSE())</f>
        <v>1073.51390788874</v>
      </c>
      <c r="AP36" s="77" t="n">
        <f aca="false">AO36-$AO$51</f>
        <v>1378.76390788874</v>
      </c>
      <c r="AQ36" s="6" t="n">
        <v>1</v>
      </c>
    </row>
    <row r="37" customFormat="false" ht="14.25" hidden="false" customHeight="true" outlineLevel="0" collapsed="false">
      <c r="A37" s="94" t="s">
        <v>11</v>
      </c>
      <c r="B37" s="95" t="n">
        <v>2</v>
      </c>
      <c r="C37" s="96" t="s">
        <v>31</v>
      </c>
      <c r="D37" s="17" t="s">
        <v>611</v>
      </c>
      <c r="F37" s="17"/>
      <c r="G37" s="33" t="s">
        <v>42</v>
      </c>
      <c r="H37" s="34" t="n">
        <f aca="false">VLOOKUP(G37,$G$1:$P$18,2,FALSE())</f>
        <v>26</v>
      </c>
      <c r="Q37" s="33" t="s">
        <v>38</v>
      </c>
      <c r="R37" s="34" t="n">
        <f aca="false">VLOOKUP(Q37,$G$1:$P$18,5,FALSE())</f>
        <v>37</v>
      </c>
      <c r="AH37" s="72"/>
      <c r="AN37" s="33" t="s">
        <v>37</v>
      </c>
      <c r="AO37" s="62" t="n">
        <f aca="false">VLOOKUP(AN37,$AN$13:$AX$31,11,FALSE())</f>
        <v>851.322128851541</v>
      </c>
      <c r="AP37" s="77" t="n">
        <f aca="false">AO37-$AO$51</f>
        <v>1156.57212885154</v>
      </c>
      <c r="AQ37" s="6" t="n">
        <v>2</v>
      </c>
    </row>
    <row r="38" customFormat="false" ht="14.25" hidden="false" customHeight="true" outlineLevel="0" collapsed="false">
      <c r="A38" s="94" t="s">
        <v>37</v>
      </c>
      <c r="B38" s="95" t="n">
        <v>2</v>
      </c>
      <c r="C38" s="96" t="s">
        <v>36</v>
      </c>
      <c r="D38" s="17" t="s">
        <v>612</v>
      </c>
      <c r="F38" s="32"/>
      <c r="G38" s="33" t="s">
        <v>38</v>
      </c>
      <c r="H38" s="34" t="n">
        <f aca="false">VLOOKUP(G38,$G$1:$P$18,2,FALSE())</f>
        <v>26</v>
      </c>
      <c r="Q38" s="33" t="s">
        <v>42</v>
      </c>
      <c r="R38" s="34" t="n">
        <f aca="false">VLOOKUP(Q38,$G$1:$P$18,5,FALSE())</f>
        <v>36</v>
      </c>
      <c r="AH38" s="72"/>
      <c r="AN38" s="33" t="s">
        <v>41</v>
      </c>
      <c r="AO38" s="62" t="n">
        <f aca="false">VLOOKUP(AN38,$AN$13:$AX$31,11,FALSE())</f>
        <v>835.135714285714</v>
      </c>
      <c r="AP38" s="77" t="n">
        <f aca="false">AO38-$AO$51</f>
        <v>1140.38571428571</v>
      </c>
      <c r="AQ38" s="6" t="n">
        <v>3</v>
      </c>
    </row>
    <row r="39" customFormat="false" ht="14.25" hidden="false" customHeight="true" outlineLevel="0" collapsed="false">
      <c r="A39" s="94" t="s">
        <v>39</v>
      </c>
      <c r="B39" s="95" t="n">
        <v>2</v>
      </c>
      <c r="C39" s="96" t="s">
        <v>31</v>
      </c>
      <c r="D39" s="17" t="s">
        <v>613</v>
      </c>
      <c r="F39" s="32"/>
      <c r="G39" s="33" t="s">
        <v>41</v>
      </c>
      <c r="H39" s="34" t="n">
        <f aca="false">VLOOKUP(G39,$G$1:$P$18,2,FALSE())</f>
        <v>25</v>
      </c>
      <c r="Q39" s="33" t="s">
        <v>32</v>
      </c>
      <c r="R39" s="34" t="n">
        <f aca="false">VLOOKUP(Q39,$G$1:$P$18,5,FALSE())</f>
        <v>33</v>
      </c>
      <c r="AH39" s="72"/>
      <c r="AN39" s="33" t="s">
        <v>31</v>
      </c>
      <c r="AO39" s="62" t="n">
        <f aca="false">VLOOKUP(AN39,$AN$13:$AX$31,11,FALSE())</f>
        <v>719.50515168918</v>
      </c>
      <c r="AP39" s="77" t="n">
        <f aca="false">AO39-$AO$51</f>
        <v>1024.75515168918</v>
      </c>
      <c r="AQ39" s="6" t="n">
        <v>4</v>
      </c>
    </row>
    <row r="40" customFormat="false" ht="14.25" hidden="false" customHeight="true" outlineLevel="0" collapsed="false">
      <c r="A40" s="94" t="s">
        <v>31</v>
      </c>
      <c r="B40" s="95" t="n">
        <v>1</v>
      </c>
      <c r="C40" s="96" t="s">
        <v>39</v>
      </c>
      <c r="D40" s="17" t="s">
        <v>614</v>
      </c>
      <c r="F40" s="32"/>
      <c r="G40" s="33" t="s">
        <v>11</v>
      </c>
      <c r="H40" s="34" t="n">
        <f aca="false">VLOOKUP(G40,$G$1:$P$18,2,FALSE())</f>
        <v>15</v>
      </c>
      <c r="Q40" s="33" t="s">
        <v>11</v>
      </c>
      <c r="R40" s="34" t="n">
        <f aca="false">VLOOKUP(Q40,$G$1:$P$18,5,FALSE())</f>
        <v>23</v>
      </c>
      <c r="AH40" s="72"/>
      <c r="AN40" s="33" t="s">
        <v>34</v>
      </c>
      <c r="AO40" s="62" t="n">
        <f aca="false">VLOOKUP(AN40,$AN$13:$AX$31,11,FALSE())</f>
        <v>695.476868753366</v>
      </c>
      <c r="AP40" s="77" t="n">
        <f aca="false">AO40-$AO$51</f>
        <v>1000.72686875337</v>
      </c>
      <c r="AQ40" s="6" t="n">
        <v>5</v>
      </c>
    </row>
    <row r="41" customFormat="false" ht="14.25" hidden="false" customHeight="true" outlineLevel="0" collapsed="false">
      <c r="A41" s="94" t="s">
        <v>39</v>
      </c>
      <c r="B41" s="95" t="n">
        <v>2</v>
      </c>
      <c r="C41" s="96" t="s">
        <v>35</v>
      </c>
      <c r="D41" s="17" t="s">
        <v>615</v>
      </c>
      <c r="F41" s="17"/>
      <c r="G41" s="33" t="s">
        <v>95</v>
      </c>
      <c r="H41" s="34" t="n">
        <f aca="false">VLOOKUP(G41,$G$1:$P$18,2,FALSE())</f>
        <v>8</v>
      </c>
      <c r="Q41" s="33" t="s">
        <v>40</v>
      </c>
      <c r="R41" s="34" t="n">
        <f aca="false">VLOOKUP(Q41,$G$1:$P$18,5,FALSE())</f>
        <v>13</v>
      </c>
      <c r="AH41" s="72"/>
      <c r="AN41" s="33" t="s">
        <v>30</v>
      </c>
      <c r="AO41" s="62" t="n">
        <f aca="false">VLOOKUP(AN41,$AN$13:$AX$31,11,FALSE())</f>
        <v>512.287356321839</v>
      </c>
      <c r="AP41" s="77" t="n">
        <f aca="false">AO41-$AO$51</f>
        <v>817.537356321839</v>
      </c>
      <c r="AQ41" s="6" t="n">
        <v>6</v>
      </c>
    </row>
    <row r="42" customFormat="false" ht="14.25" hidden="false" customHeight="true" outlineLevel="0" collapsed="false">
      <c r="A42" s="94" t="s">
        <v>31</v>
      </c>
      <c r="B42" s="95" t="n">
        <v>2</v>
      </c>
      <c r="C42" s="96" t="s">
        <v>35</v>
      </c>
      <c r="D42" s="17" t="s">
        <v>616</v>
      </c>
      <c r="F42" s="32"/>
      <c r="G42" s="33" t="s">
        <v>43</v>
      </c>
      <c r="H42" s="34" t="n">
        <f aca="false">VLOOKUP(G42,$G$1:$P$18,2,FALSE())</f>
        <v>7</v>
      </c>
      <c r="Q42" s="33" t="s">
        <v>95</v>
      </c>
      <c r="R42" s="34" t="n">
        <f aca="false">VLOOKUP(Q42,$G$1:$P$18,5,FALSE())</f>
        <v>13</v>
      </c>
      <c r="AH42" s="72"/>
      <c r="AN42" s="33" t="s">
        <v>11</v>
      </c>
      <c r="AO42" s="62" t="n">
        <f aca="false">VLOOKUP(AN42,$AN$13:$AX$31,11,FALSE())</f>
        <v>447.255952380952</v>
      </c>
      <c r="AP42" s="77" t="n">
        <f aca="false">AO42-$AO$51</f>
        <v>752.505952380952</v>
      </c>
      <c r="AQ42" s="6" t="n">
        <v>7</v>
      </c>
    </row>
    <row r="43" customFormat="false" ht="14.25" hidden="false" customHeight="true" outlineLevel="0" collapsed="false">
      <c r="A43" s="94" t="s">
        <v>39</v>
      </c>
      <c r="B43" s="95" t="n">
        <v>2</v>
      </c>
      <c r="C43" s="96" t="s">
        <v>31</v>
      </c>
      <c r="D43" s="17" t="s">
        <v>617</v>
      </c>
      <c r="F43" s="32"/>
      <c r="G43" s="33" t="s">
        <v>40</v>
      </c>
      <c r="H43" s="34" t="n">
        <f aca="false">VLOOKUP(G43,$G$1:$P$18,2,FALSE())</f>
        <v>7</v>
      </c>
      <c r="Q43" s="33" t="s">
        <v>43</v>
      </c>
      <c r="R43" s="34" t="n">
        <f aca="false">VLOOKUP(Q43,$G$1:$P$18,5,FALSE())</f>
        <v>10</v>
      </c>
      <c r="AH43" s="72"/>
      <c r="AN43" s="33" t="s">
        <v>33</v>
      </c>
      <c r="AO43" s="62" t="n">
        <f aca="false">VLOOKUP(AN43,$AN$13:$AX$31,11,FALSE())</f>
        <v>373.81891025641</v>
      </c>
      <c r="AP43" s="77" t="n">
        <f aca="false">AO43-$AO$51</f>
        <v>679.06891025641</v>
      </c>
      <c r="AQ43" s="6" t="n">
        <v>8</v>
      </c>
    </row>
    <row r="44" customFormat="false" ht="14.25" hidden="false" customHeight="true" outlineLevel="0" collapsed="false">
      <c r="A44" s="94" t="s">
        <v>39</v>
      </c>
      <c r="B44" s="95" t="n">
        <v>2</v>
      </c>
      <c r="C44" s="96" t="s">
        <v>35</v>
      </c>
      <c r="D44" s="17" t="s">
        <v>618</v>
      </c>
      <c r="F44" s="32"/>
      <c r="G44" s="33" t="s">
        <v>35</v>
      </c>
      <c r="H44" s="34" t="n">
        <f aca="false">VLOOKUP(G44,$G$1:$P$18,2,FALSE())</f>
        <v>0</v>
      </c>
      <c r="Q44" s="33" t="s">
        <v>35</v>
      </c>
      <c r="R44" s="34" t="n">
        <f aca="false">VLOOKUP(Q44,$G$1:$P$18,5,FALSE())</f>
        <v>0</v>
      </c>
      <c r="AH44" s="72"/>
      <c r="AN44" s="33" t="s">
        <v>38</v>
      </c>
      <c r="AO44" s="62" t="n">
        <f aca="false">VLOOKUP(AN44,$AN$13:$AX$31,11,FALSE())</f>
        <v>275.022514071295</v>
      </c>
      <c r="AP44" s="77" t="n">
        <f aca="false">AO44-$AO$51</f>
        <v>580.272514071295</v>
      </c>
      <c r="AQ44" s="6" t="n">
        <v>9</v>
      </c>
    </row>
    <row r="45" customFormat="false" ht="14.25" hidden="false" customHeight="true" outlineLevel="0" collapsed="false">
      <c r="A45" s="94" t="s">
        <v>30</v>
      </c>
      <c r="B45" s="95" t="n">
        <v>1</v>
      </c>
      <c r="C45" s="96" t="s">
        <v>43</v>
      </c>
      <c r="D45" s="17" t="s">
        <v>619</v>
      </c>
      <c r="F45" s="17"/>
      <c r="AH45" s="72"/>
      <c r="AN45" s="33" t="s">
        <v>36</v>
      </c>
      <c r="AO45" s="62" t="n">
        <f aca="false">VLOOKUP(AN45,$AN$13:$AX$31,11,FALSE())</f>
        <v>238.713675213675</v>
      </c>
      <c r="AP45" s="77" t="n">
        <f aca="false">AO45-$AO$51</f>
        <v>543.963675213675</v>
      </c>
      <c r="AQ45" s="6" t="n">
        <v>10</v>
      </c>
    </row>
    <row r="46" customFormat="false" ht="14.25" hidden="false" customHeight="true" outlineLevel="0" collapsed="false">
      <c r="A46" s="94" t="s">
        <v>43</v>
      </c>
      <c r="B46" s="95" t="n">
        <v>1</v>
      </c>
      <c r="C46" s="96" t="s">
        <v>30</v>
      </c>
      <c r="D46" s="17" t="s">
        <v>620</v>
      </c>
      <c r="E46" s="6" t="n">
        <v>0</v>
      </c>
      <c r="F46" s="32"/>
      <c r="G46" s="33" t="s">
        <v>88</v>
      </c>
      <c r="H46" s="41" t="s">
        <v>17</v>
      </c>
      <c r="Q46" s="33" t="s">
        <v>88</v>
      </c>
      <c r="R46" s="41" t="s">
        <v>20</v>
      </c>
      <c r="AN46" s="33" t="s">
        <v>95</v>
      </c>
      <c r="AO46" s="62" t="n">
        <f aca="false">VLOOKUP(AN46,$AN$13:$AX$31,11,FALSE())</f>
        <v>205.833333333333</v>
      </c>
      <c r="AP46" s="77" t="n">
        <f aca="false">AO46-$AO$51</f>
        <v>511.083333333333</v>
      </c>
      <c r="AQ46" s="6" t="n">
        <v>11</v>
      </c>
    </row>
    <row r="47" customFormat="false" ht="14.25" hidden="false" customHeight="true" outlineLevel="0" collapsed="false">
      <c r="A47" s="94" t="s">
        <v>33</v>
      </c>
      <c r="B47" s="95" t="n">
        <v>1</v>
      </c>
      <c r="C47" s="96" t="s">
        <v>30</v>
      </c>
      <c r="D47" s="17" t="s">
        <v>621</v>
      </c>
      <c r="E47" s="6" t="n">
        <v>1</v>
      </c>
      <c r="F47" s="32"/>
      <c r="G47" s="33" t="s">
        <v>31</v>
      </c>
      <c r="H47" s="34" t="n">
        <f aca="false">VLOOKUP(G47,$G$1:$P$18,3,FALSE())</f>
        <v>76</v>
      </c>
      <c r="Q47" s="33" t="s">
        <v>31</v>
      </c>
      <c r="R47" s="34" t="n">
        <f aca="false">VLOOKUP(Q47,$G$1:$P$18,6,FALSE())</f>
        <v>106</v>
      </c>
      <c r="AN47" s="33" t="s">
        <v>43</v>
      </c>
      <c r="AO47" s="62" t="n">
        <f aca="false">VLOOKUP(AN47,$AN$13:$AX$31,11,FALSE())</f>
        <v>152.779761904762</v>
      </c>
      <c r="AP47" s="77" t="n">
        <f aca="false">AO47-$AO$51</f>
        <v>458.029761904762</v>
      </c>
      <c r="AQ47" s="6" t="n">
        <v>12</v>
      </c>
    </row>
    <row r="48" customFormat="false" ht="14.25" hidden="false" customHeight="true" outlineLevel="0" collapsed="false">
      <c r="A48" s="94" t="s">
        <v>30</v>
      </c>
      <c r="B48" s="95" t="n">
        <v>1</v>
      </c>
      <c r="C48" s="96" t="s">
        <v>33</v>
      </c>
      <c r="D48" s="17" t="s">
        <v>622</v>
      </c>
      <c r="F48" s="32"/>
      <c r="G48" s="33" t="s">
        <v>37</v>
      </c>
      <c r="H48" s="34" t="n">
        <f aca="false">VLOOKUP(G48,$G$1:$P$18,3,FALSE())</f>
        <v>70</v>
      </c>
      <c r="Q48" s="33" t="s">
        <v>37</v>
      </c>
      <c r="R48" s="34" t="n">
        <f aca="false">VLOOKUP(Q48,$G$1:$P$18,6,FALSE())</f>
        <v>102</v>
      </c>
      <c r="AN48" s="33" t="s">
        <v>40</v>
      </c>
      <c r="AO48" s="62" t="n">
        <f aca="false">VLOOKUP(AN48,$AN$13:$AX$31,11,FALSE())</f>
        <v>120.027472527473</v>
      </c>
      <c r="AP48" s="77" t="n">
        <f aca="false">AO48-$AO$51</f>
        <v>425.277472527473</v>
      </c>
      <c r="AQ48" s="6" t="n">
        <v>13</v>
      </c>
    </row>
    <row r="49" customFormat="false" ht="14.25" hidden="false" customHeight="true" outlineLevel="0" collapsed="false">
      <c r="A49" s="94" t="s">
        <v>39</v>
      </c>
      <c r="B49" s="95" t="n">
        <v>1</v>
      </c>
      <c r="C49" s="96" t="s">
        <v>42</v>
      </c>
      <c r="D49" s="17" t="s">
        <v>623</v>
      </c>
      <c r="F49" s="32"/>
      <c r="G49" s="33" t="s">
        <v>32</v>
      </c>
      <c r="H49" s="34" t="n">
        <f aca="false">VLOOKUP(G49,$G$1:$P$18,3,FALSE())</f>
        <v>53</v>
      </c>
      <c r="Q49" s="33" t="s">
        <v>32</v>
      </c>
      <c r="R49" s="34" t="n">
        <f aca="false">VLOOKUP(Q49,$G$1:$P$18,6,FALSE())</f>
        <v>86</v>
      </c>
      <c r="AN49" s="33" t="s">
        <v>42</v>
      </c>
      <c r="AO49" s="62" t="n">
        <f aca="false">VLOOKUP(AN49,$AN$13:$AX$31,11,FALSE())</f>
        <v>116.420377867746</v>
      </c>
      <c r="AP49" s="77" t="n">
        <f aca="false">AO49-$AO$51</f>
        <v>421.670377867746</v>
      </c>
      <c r="AQ49" s="6" t="n">
        <v>14</v>
      </c>
    </row>
    <row r="50" customFormat="false" ht="14.25" hidden="false" customHeight="true" outlineLevel="0" collapsed="false">
      <c r="A50" s="94" t="s">
        <v>42</v>
      </c>
      <c r="B50" s="95" t="n">
        <v>1</v>
      </c>
      <c r="C50" s="96" t="s">
        <v>39</v>
      </c>
      <c r="D50" s="17" t="s">
        <v>624</v>
      </c>
      <c r="F50" s="32"/>
      <c r="G50" s="33" t="s">
        <v>34</v>
      </c>
      <c r="H50" s="34" t="n">
        <f aca="false">VLOOKUP(G50,$G$1:$P$18,3,FALSE())</f>
        <v>49</v>
      </c>
      <c r="Q50" s="33" t="s">
        <v>34</v>
      </c>
      <c r="R50" s="34" t="n">
        <f aca="false">VLOOKUP(Q50,$G$1:$P$18,6,FALSE())</f>
        <v>66</v>
      </c>
      <c r="AN50" s="33" t="s">
        <v>32</v>
      </c>
      <c r="AO50" s="62" t="n">
        <f aca="false">VLOOKUP(AN50,$AN$13:$AX$31,11,FALSE())</f>
        <v>-220.044373938187</v>
      </c>
      <c r="AP50" s="77" t="n">
        <f aca="false">AO50-$AO$51</f>
        <v>85.205626061813</v>
      </c>
      <c r="AQ50" s="6" t="n">
        <v>15</v>
      </c>
    </row>
    <row r="51" customFormat="false" ht="14.25" hidden="false" customHeight="true" outlineLevel="0" collapsed="false">
      <c r="A51" s="94" t="s">
        <v>34</v>
      </c>
      <c r="B51" s="95" t="n">
        <v>2</v>
      </c>
      <c r="C51" s="96" t="s">
        <v>31</v>
      </c>
      <c r="D51" s="17" t="s">
        <v>625</v>
      </c>
      <c r="F51" s="32"/>
      <c r="G51" s="33" t="s">
        <v>36</v>
      </c>
      <c r="H51" s="34" t="n">
        <f aca="false">VLOOKUP(G51,$G$1:$P$18,3,FALSE())</f>
        <v>45</v>
      </c>
      <c r="Q51" s="33" t="s">
        <v>36</v>
      </c>
      <c r="R51" s="34" t="n">
        <f aca="false">VLOOKUP(Q51,$G$1:$P$18,6,FALSE())</f>
        <v>65</v>
      </c>
      <c r="AN51" s="33" t="s">
        <v>35</v>
      </c>
      <c r="AO51" s="62" t="n">
        <f aca="false">VLOOKUP(AN51,$AN$13:$AX$31,11,FALSE())</f>
        <v>-305.25</v>
      </c>
      <c r="AP51" s="77" t="n">
        <f aca="false">AO51-$AO$51</f>
        <v>0</v>
      </c>
      <c r="AQ51" s="6" t="n">
        <v>16</v>
      </c>
    </row>
    <row r="52" customFormat="false" ht="14.25" hidden="false" customHeight="true" outlineLevel="0" collapsed="false">
      <c r="A52" s="94" t="s">
        <v>95</v>
      </c>
      <c r="B52" s="95" t="n">
        <v>1</v>
      </c>
      <c r="C52" s="96" t="s">
        <v>42</v>
      </c>
      <c r="D52" s="17" t="s">
        <v>626</v>
      </c>
      <c r="F52" s="32"/>
      <c r="G52" s="33" t="s">
        <v>39</v>
      </c>
      <c r="H52" s="34" t="n">
        <f aca="false">VLOOKUP(G52,$G$1:$P$18,3,FALSE())</f>
        <v>43</v>
      </c>
      <c r="Q52" s="33" t="s">
        <v>42</v>
      </c>
      <c r="R52" s="34" t="n">
        <f aca="false">VLOOKUP(Q52,$G$1:$P$18,6,FALSE())</f>
        <v>57</v>
      </c>
    </row>
    <row r="53" customFormat="false" ht="14.25" hidden="false" customHeight="true" outlineLevel="0" collapsed="false">
      <c r="A53" s="94" t="s">
        <v>31</v>
      </c>
      <c r="B53" s="95" t="n">
        <v>1</v>
      </c>
      <c r="C53" s="96" t="s">
        <v>37</v>
      </c>
      <c r="D53" s="17" t="s">
        <v>627</v>
      </c>
      <c r="F53" s="32"/>
      <c r="G53" s="33" t="s">
        <v>42</v>
      </c>
      <c r="H53" s="34" t="n">
        <f aca="false">VLOOKUP(G53,$G$1:$P$18,3,FALSE())</f>
        <v>38</v>
      </c>
      <c r="Q53" s="33" t="s">
        <v>39</v>
      </c>
      <c r="R53" s="34" t="n">
        <f aca="false">VLOOKUP(Q53,$G$1:$P$18,6,FALSE())</f>
        <v>51</v>
      </c>
    </row>
    <row r="54" customFormat="false" ht="14.25" hidden="false" customHeight="true" outlineLevel="0" collapsed="false">
      <c r="A54" s="94" t="s">
        <v>37</v>
      </c>
      <c r="B54" s="95" t="n">
        <v>1</v>
      </c>
      <c r="C54" s="96" t="s">
        <v>31</v>
      </c>
      <c r="D54" s="17" t="s">
        <v>628</v>
      </c>
      <c r="F54" s="32"/>
      <c r="G54" s="33" t="s">
        <v>33</v>
      </c>
      <c r="H54" s="34" t="n">
        <f aca="false">VLOOKUP(G54,$G$1:$P$18,3,FALSE())</f>
        <v>32</v>
      </c>
      <c r="Q54" s="33" t="s">
        <v>38</v>
      </c>
      <c r="R54" s="34" t="n">
        <f aca="false">VLOOKUP(Q54,$G$1:$P$18,6,FALSE())</f>
        <v>41</v>
      </c>
    </row>
    <row r="55" customFormat="false" ht="14.25" hidden="false" customHeight="true" outlineLevel="0" collapsed="false">
      <c r="A55" s="94" t="s">
        <v>39</v>
      </c>
      <c r="B55" s="95" t="n">
        <v>1</v>
      </c>
      <c r="C55" s="96" t="s">
        <v>38</v>
      </c>
      <c r="D55" s="17" t="s">
        <v>629</v>
      </c>
      <c r="F55" s="32"/>
      <c r="G55" s="33" t="s">
        <v>38</v>
      </c>
      <c r="H55" s="34" t="n">
        <f aca="false">VLOOKUP(G55,$G$1:$P$18,3,FALSE())</f>
        <v>30</v>
      </c>
      <c r="Q55" s="33" t="s">
        <v>33</v>
      </c>
      <c r="R55" s="34" t="n">
        <f aca="false">VLOOKUP(Q55,$G$1:$P$18,6,FALSE())</f>
        <v>39</v>
      </c>
      <c r="AN55" s="72"/>
      <c r="AO55" s="72"/>
      <c r="AP55" s="72"/>
    </row>
    <row r="56" customFormat="false" ht="14.25" hidden="false" customHeight="true" outlineLevel="0" collapsed="false">
      <c r="A56" s="94" t="s">
        <v>38</v>
      </c>
      <c r="B56" s="95" t="n">
        <v>1</v>
      </c>
      <c r="C56" s="96" t="s">
        <v>39</v>
      </c>
      <c r="D56" s="17" t="s">
        <v>630</v>
      </c>
      <c r="F56" s="32"/>
      <c r="G56" s="33" t="s">
        <v>30</v>
      </c>
      <c r="H56" s="34" t="n">
        <f aca="false">VLOOKUP(G56,$G$1:$P$18,3,FALSE())</f>
        <v>21</v>
      </c>
      <c r="Q56" s="33" t="s">
        <v>30</v>
      </c>
      <c r="R56" s="34" t="n">
        <f aca="false">VLOOKUP(Q56,$G$1:$P$18,6,FALSE())</f>
        <v>29</v>
      </c>
      <c r="AN56" s="7" t="s">
        <v>191</v>
      </c>
      <c r="AO56" s="7"/>
      <c r="AP56" s="7"/>
      <c r="AQ56" s="7"/>
      <c r="AR56" s="7"/>
      <c r="AS56" s="7"/>
      <c r="AT56" s="7"/>
      <c r="AU56" s="7"/>
      <c r="AV56" s="7"/>
    </row>
    <row r="57" customFormat="false" ht="14.25" hidden="false" customHeight="true" outlineLevel="0" collapsed="false">
      <c r="A57" s="94" t="s">
        <v>31</v>
      </c>
      <c r="B57" s="95" t="n">
        <v>2</v>
      </c>
      <c r="C57" s="96" t="s">
        <v>36</v>
      </c>
      <c r="D57" s="17" t="s">
        <v>631</v>
      </c>
      <c r="F57" s="32"/>
      <c r="G57" s="33" t="s">
        <v>35</v>
      </c>
      <c r="H57" s="34" t="n">
        <f aca="false">VLOOKUP(G57,$G$1:$P$18,3,FALSE())</f>
        <v>16</v>
      </c>
      <c r="Q57" s="33" t="s">
        <v>35</v>
      </c>
      <c r="R57" s="34" t="n">
        <f aca="false">VLOOKUP(Q57,$G$1:$P$18,6,FALSE())</f>
        <v>27</v>
      </c>
      <c r="AN57" s="78" t="s">
        <v>194</v>
      </c>
      <c r="AO57" s="79" t="s">
        <v>16</v>
      </c>
      <c r="AP57" s="79" t="s">
        <v>17</v>
      </c>
      <c r="AQ57" s="79" t="s">
        <v>18</v>
      </c>
      <c r="AR57" s="79" t="s">
        <v>19</v>
      </c>
      <c r="AS57" s="79" t="s">
        <v>20</v>
      </c>
      <c r="AT57" s="79" t="s">
        <v>21</v>
      </c>
      <c r="AU57" s="79" t="s">
        <v>22</v>
      </c>
      <c r="AV57" s="79" t="s">
        <v>23</v>
      </c>
    </row>
    <row r="58" customFormat="false" ht="14.25" hidden="false" customHeight="true" outlineLevel="0" collapsed="false">
      <c r="A58" s="94" t="s">
        <v>30</v>
      </c>
      <c r="B58" s="95" t="n">
        <v>2</v>
      </c>
      <c r="C58" s="96" t="s">
        <v>38</v>
      </c>
      <c r="D58" s="17" t="s">
        <v>632</v>
      </c>
      <c r="F58" s="32"/>
      <c r="G58" s="33" t="s">
        <v>40</v>
      </c>
      <c r="H58" s="34" t="n">
        <f aca="false">VLOOKUP(G58,$G$1:$P$18,3,FALSE())</f>
        <v>13</v>
      </c>
      <c r="Q58" s="33" t="s">
        <v>40</v>
      </c>
      <c r="R58" s="34" t="n">
        <f aca="false">VLOOKUP(Q58,$G$1:$P$18,6,FALSE())</f>
        <v>15</v>
      </c>
      <c r="AN58" s="33" t="s">
        <v>91</v>
      </c>
      <c r="AO58" s="55" t="n">
        <v>7.5</v>
      </c>
      <c r="AP58" s="56" t="n">
        <v>-6</v>
      </c>
      <c r="AQ58" s="56" t="n">
        <v>25</v>
      </c>
      <c r="AR58" s="56" t="n">
        <v>8.5</v>
      </c>
      <c r="AS58" s="56" t="n">
        <v>-6.5</v>
      </c>
      <c r="AT58" s="56" t="n">
        <v>25</v>
      </c>
      <c r="AU58" s="56" t="n">
        <v>20</v>
      </c>
      <c r="AV58" s="56" t="n">
        <v>-20</v>
      </c>
      <c r="AW58" s="41" t="s">
        <v>92</v>
      </c>
    </row>
    <row r="59" customFormat="false" ht="14.25" hidden="false" customHeight="true" outlineLevel="0" collapsed="false">
      <c r="A59" s="94" t="s">
        <v>39</v>
      </c>
      <c r="B59" s="95" t="n">
        <v>1</v>
      </c>
      <c r="C59" s="96" t="s">
        <v>37</v>
      </c>
      <c r="D59" s="17" t="s">
        <v>633</v>
      </c>
      <c r="F59" s="32"/>
      <c r="G59" s="33" t="s">
        <v>41</v>
      </c>
      <c r="H59" s="34" t="n">
        <f aca="false">VLOOKUP(G59,$G$1:$P$18,3,FALSE())</f>
        <v>12</v>
      </c>
      <c r="Q59" s="33" t="s">
        <v>41</v>
      </c>
      <c r="R59" s="34" t="n">
        <f aca="false">VLOOKUP(Q59,$G$1:$P$18,6,FALSE())</f>
        <v>14</v>
      </c>
      <c r="AN59" s="52" t="s">
        <v>111</v>
      </c>
      <c r="AO59" s="35" t="n">
        <f aca="false">H22*$AO$58</f>
        <v>262.5</v>
      </c>
      <c r="AP59" s="35" t="n">
        <f aca="false">I22*$AP$58</f>
        <v>-207</v>
      </c>
      <c r="AQ59" s="35" t="n">
        <f aca="false">J22*$AQ$58</f>
        <v>25.3623188405797</v>
      </c>
      <c r="AR59" s="35" t="n">
        <f aca="false">K22*$AR$58</f>
        <v>418.625</v>
      </c>
      <c r="AS59" s="35" t="n">
        <f aca="false">L22*$AS$58</f>
        <v>-313.625</v>
      </c>
      <c r="AT59" s="35" t="n">
        <f aca="false">M22*$AT$58</f>
        <v>25.5181347150259</v>
      </c>
      <c r="AU59" s="35" t="n">
        <f aca="false">N22*$AU$58</f>
        <v>28.1428571428571</v>
      </c>
      <c r="AV59" s="35" t="n">
        <f aca="false">O22*$AV$58</f>
        <v>-27.9710144927536</v>
      </c>
      <c r="AW59" s="35" t="n">
        <f aca="false">SUM(AO59:AV59)</f>
        <v>211.552296205709</v>
      </c>
    </row>
    <row r="60" customFormat="false" ht="14.25" hidden="false" customHeight="true" outlineLevel="0" collapsed="false">
      <c r="A60" s="94" t="s">
        <v>37</v>
      </c>
      <c r="B60" s="95" t="n">
        <v>1</v>
      </c>
      <c r="C60" s="96" t="s">
        <v>39</v>
      </c>
      <c r="D60" s="17" t="s">
        <v>634</v>
      </c>
      <c r="F60" s="32"/>
      <c r="G60" s="33" t="s">
        <v>43</v>
      </c>
      <c r="H60" s="34" t="n">
        <f aca="false">VLOOKUP(G60,$G$1:$P$18,3,FALSE())</f>
        <v>8</v>
      </c>
      <c r="Q60" s="33" t="s">
        <v>43</v>
      </c>
      <c r="R60" s="34" t="n">
        <f aca="false">VLOOKUP(Q60,$G$1:$P$18,6,FALSE())</f>
        <v>12</v>
      </c>
      <c r="AN60" s="33" t="s">
        <v>114</v>
      </c>
      <c r="AO60" s="35" t="n">
        <f aca="false">H23*$AO$58</f>
        <v>288.75</v>
      </c>
      <c r="AP60" s="35" t="n">
        <f aca="false">I23*$AP$58</f>
        <v>-219</v>
      </c>
      <c r="AQ60" s="35" t="n">
        <f aca="false">J23*$AQ$58</f>
        <v>26.3698630136986</v>
      </c>
      <c r="AR60" s="35" t="n">
        <f aca="false">K23*$AR$58</f>
        <v>507.875</v>
      </c>
      <c r="AS60" s="35" t="n">
        <f aca="false">L23*$AS$58</f>
        <v>-325</v>
      </c>
      <c r="AT60" s="35" t="n">
        <f aca="false">M23*$AT$58</f>
        <v>29.875</v>
      </c>
      <c r="AU60" s="35" t="n">
        <f aca="false">N23*$AU$58</f>
        <v>31.038961038961</v>
      </c>
      <c r="AV60" s="35" t="n">
        <f aca="false">O23*$AV$58</f>
        <v>-27.3972602739726</v>
      </c>
      <c r="AW60" s="35" t="n">
        <f aca="false">SUM(AO60:AV60)</f>
        <v>312.511563778687</v>
      </c>
    </row>
    <row r="61" customFormat="false" ht="14.25" hidden="false" customHeight="true" outlineLevel="0" collapsed="false">
      <c r="A61" s="94" t="s">
        <v>37</v>
      </c>
      <c r="B61" s="95" t="n">
        <v>2</v>
      </c>
      <c r="C61" s="96" t="s">
        <v>32</v>
      </c>
      <c r="D61" s="17" t="s">
        <v>635</v>
      </c>
      <c r="F61" s="17"/>
      <c r="G61" s="33" t="s">
        <v>95</v>
      </c>
      <c r="H61" s="34" t="n">
        <f aca="false">VLOOKUP(G61,$G$1:$P$18,3,FALSE())</f>
        <v>8</v>
      </c>
      <c r="Q61" s="33" t="s">
        <v>95</v>
      </c>
      <c r="R61" s="34" t="n">
        <f aca="false">VLOOKUP(Q61,$G$1:$P$18,6,FALSE())</f>
        <v>10</v>
      </c>
      <c r="AN61" s="33" t="s">
        <v>117</v>
      </c>
      <c r="AO61" s="35" t="n">
        <f aca="false">H24*$AO$58</f>
        <v>388.125</v>
      </c>
      <c r="AP61" s="35" t="n">
        <f aca="false">I24*$AP$58</f>
        <v>-297</v>
      </c>
      <c r="AQ61" s="35" t="n">
        <f aca="false">J24*$AQ$58</f>
        <v>26.1363636363636</v>
      </c>
      <c r="AR61" s="35" t="n">
        <f aca="false">K24*$AR$58</f>
        <v>629</v>
      </c>
      <c r="AS61" s="35" t="n">
        <f aca="false">L24*$AS$58</f>
        <v>-451.75</v>
      </c>
      <c r="AT61" s="35" t="n">
        <f aca="false">M24*$AT$58</f>
        <v>26.6187050359712</v>
      </c>
      <c r="AU61" s="35" t="n">
        <f aca="false">N24*$AU$58</f>
        <v>28.5990338164251</v>
      </c>
      <c r="AV61" s="35" t="n">
        <f aca="false">O24*$AV$58</f>
        <v>-28.0808080808081</v>
      </c>
      <c r="AW61" s="35" t="n">
        <f aca="false">SUM(AO61:AV61)</f>
        <v>321.648294407952</v>
      </c>
    </row>
    <row r="62" customFormat="false" ht="14.25" hidden="false" customHeight="true" outlineLevel="0" collapsed="false">
      <c r="A62" s="94" t="s">
        <v>31</v>
      </c>
      <c r="B62" s="95" t="n">
        <v>2</v>
      </c>
      <c r="C62" s="96" t="s">
        <v>32</v>
      </c>
      <c r="D62" s="17" t="s">
        <v>636</v>
      </c>
      <c r="F62" s="32"/>
      <c r="G62" s="33" t="s">
        <v>11</v>
      </c>
      <c r="H62" s="34" t="n">
        <f aca="false">VLOOKUP(G62,$G$1:$P$18,3,FALSE())</f>
        <v>7</v>
      </c>
      <c r="Q62" s="33" t="s">
        <v>11</v>
      </c>
      <c r="R62" s="34" t="n">
        <f aca="false">VLOOKUP(Q62,$G$1:$P$18,6,FALSE())</f>
        <v>8</v>
      </c>
      <c r="AN62" s="33" t="s">
        <v>120</v>
      </c>
      <c r="AO62" s="35" t="n">
        <f aca="false">H25*$AO$58</f>
        <v>56.25</v>
      </c>
      <c r="AP62" s="35" t="n">
        <f aca="false">I25*$AP$58</f>
        <v>-69</v>
      </c>
      <c r="AQ62" s="35" t="n">
        <f aca="false">J25*$AQ$58</f>
        <v>16.304347826087</v>
      </c>
      <c r="AR62" s="35" t="n">
        <f aca="false">K25*$AR$58</f>
        <v>97.75</v>
      </c>
      <c r="AS62" s="35" t="n">
        <f aca="false">L25*$AS$58</f>
        <v>-113.75</v>
      </c>
      <c r="AT62" s="35" t="n">
        <f aca="false">M25*$AT$58</f>
        <v>16.4285714285714</v>
      </c>
      <c r="AU62" s="35" t="n">
        <f aca="false">N25*$AU$58</f>
        <v>30.6666666666667</v>
      </c>
      <c r="AV62" s="35" t="n">
        <f aca="false">O25*$AV$58</f>
        <v>-30.4347826086957</v>
      </c>
      <c r="AW62" s="35" t="n">
        <f aca="false">SUM(AO62:AV62)</f>
        <v>4.21480331262939</v>
      </c>
    </row>
    <row r="63" customFormat="false" ht="14.25" hidden="false" customHeight="true" outlineLevel="0" collapsed="false">
      <c r="A63" s="94" t="s">
        <v>39</v>
      </c>
      <c r="B63" s="95" t="n">
        <v>2</v>
      </c>
      <c r="C63" s="96" t="s">
        <v>35</v>
      </c>
      <c r="D63" s="17" t="s">
        <v>637</v>
      </c>
      <c r="F63" s="32"/>
      <c r="AN63" s="73" t="s">
        <v>123</v>
      </c>
      <c r="AO63" s="35" t="n">
        <f aca="false">H26*$AO$58</f>
        <v>112.5</v>
      </c>
      <c r="AP63" s="35" t="n">
        <f aca="false">I26*$AP$58</f>
        <v>-42</v>
      </c>
      <c r="AQ63" s="35" t="n">
        <f aca="false">J26*$AQ$58</f>
        <v>53.5714285714286</v>
      </c>
      <c r="AR63" s="35" t="n">
        <f aca="false">K26*$AR$58</f>
        <v>195.5</v>
      </c>
      <c r="AS63" s="35" t="n">
        <f aca="false">L26*$AS$58</f>
        <v>-52</v>
      </c>
      <c r="AT63" s="35" t="n">
        <f aca="false">M26*$AT$58</f>
        <v>71.875</v>
      </c>
      <c r="AU63" s="35" t="n">
        <f aca="false">N26*$AU$58</f>
        <v>30.6666666666667</v>
      </c>
      <c r="AV63" s="35" t="n">
        <f aca="false">O26*$AV$58</f>
        <v>-22.8571428571429</v>
      </c>
      <c r="AW63" s="35" t="n">
        <f aca="false">SUM(AO63:AV63)</f>
        <v>347.255952380952</v>
      </c>
    </row>
    <row r="64" customFormat="false" ht="14.25" hidden="false" customHeight="true" outlineLevel="0" collapsed="false">
      <c r="A64" s="94" t="s">
        <v>31</v>
      </c>
      <c r="B64" s="95" t="n">
        <v>1</v>
      </c>
      <c r="C64" s="96" t="s">
        <v>37</v>
      </c>
      <c r="D64" s="17" t="s">
        <v>638</v>
      </c>
      <c r="F64" s="32"/>
      <c r="G64" s="33" t="s">
        <v>88</v>
      </c>
      <c r="H64" s="41" t="s">
        <v>18</v>
      </c>
      <c r="Q64" s="33" t="s">
        <v>88</v>
      </c>
      <c r="R64" s="41" t="s">
        <v>21</v>
      </c>
    </row>
    <row r="65" customFormat="false" ht="14.25" hidden="false" customHeight="true" outlineLevel="0" collapsed="false">
      <c r="A65" s="94" t="s">
        <v>37</v>
      </c>
      <c r="B65" s="95" t="n">
        <v>1</v>
      </c>
      <c r="C65" s="96" t="s">
        <v>31</v>
      </c>
      <c r="D65" s="17" t="s">
        <v>639</v>
      </c>
      <c r="F65" s="32"/>
      <c r="G65" s="33" t="s">
        <v>11</v>
      </c>
      <c r="H65" s="35" t="n">
        <f aca="false">VLOOKUP(G65,$G$1:$P$18,4,FALSE())</f>
        <v>2.14285714285714</v>
      </c>
      <c r="Q65" s="33" t="s">
        <v>41</v>
      </c>
      <c r="R65" s="35" t="n">
        <f aca="false">VLOOKUP(Q65,$G$1:$P$18,7,FALSE())</f>
        <v>4.07142857142857</v>
      </c>
      <c r="AN65" s="74" t="s">
        <v>10</v>
      </c>
      <c r="AO65" s="75" t="s">
        <v>143</v>
      </c>
      <c r="AP65" s="75" t="s">
        <v>144</v>
      </c>
    </row>
    <row r="66" customFormat="false" ht="14.25" hidden="false" customHeight="true" outlineLevel="0" collapsed="false">
      <c r="A66" s="94" t="s">
        <v>37</v>
      </c>
      <c r="B66" s="95" t="n">
        <v>2</v>
      </c>
      <c r="C66" s="96" t="s">
        <v>34</v>
      </c>
      <c r="D66" s="17" t="s">
        <v>640</v>
      </c>
      <c r="F66" s="32"/>
      <c r="G66" s="33" t="s">
        <v>41</v>
      </c>
      <c r="H66" s="35" t="n">
        <f aca="false">VLOOKUP(G66,$G$1:$P$18,4,FALSE())</f>
        <v>2.08333333333333</v>
      </c>
      <c r="Q66" s="33" t="s">
        <v>11</v>
      </c>
      <c r="R66" s="35" t="n">
        <f aca="false">VLOOKUP(Q66,$G$1:$P$18,7,FALSE())</f>
        <v>2.875</v>
      </c>
      <c r="AN66" s="80" t="s">
        <v>123</v>
      </c>
      <c r="AO66" s="77" t="n">
        <f aca="false">$AW$63</f>
        <v>347.255952380952</v>
      </c>
      <c r="AP66" s="77" t="n">
        <f aca="false">AO66-($AO$70)</f>
        <v>343.041149068323</v>
      </c>
    </row>
    <row r="67" customFormat="false" ht="14.25" hidden="false" customHeight="true" outlineLevel="0" collapsed="false">
      <c r="A67" s="94" t="s">
        <v>34</v>
      </c>
      <c r="B67" s="95" t="n">
        <v>1</v>
      </c>
      <c r="C67" s="96" t="s">
        <v>37</v>
      </c>
      <c r="D67" s="17" t="s">
        <v>641</v>
      </c>
      <c r="F67" s="32"/>
      <c r="G67" s="33" t="s">
        <v>39</v>
      </c>
      <c r="H67" s="35" t="n">
        <f aca="false">VLOOKUP(G67,$G$1:$P$18,4,FALSE())</f>
        <v>1.53488372093023</v>
      </c>
      <c r="Q67" s="33" t="s">
        <v>39</v>
      </c>
      <c r="R67" s="35" t="n">
        <f aca="false">VLOOKUP(Q67,$G$1:$P$18,7,FALSE())</f>
        <v>1.94117647058824</v>
      </c>
      <c r="AN67" s="33" t="s">
        <v>117</v>
      </c>
      <c r="AO67" s="77" t="n">
        <f aca="false">$AW$61</f>
        <v>321.648294407952</v>
      </c>
      <c r="AP67" s="77" t="n">
        <f aca="false">AO67-($AO$70)</f>
        <v>317.433491095323</v>
      </c>
    </row>
    <row r="68" customFormat="false" ht="14.25" hidden="false" customHeight="true" outlineLevel="0" collapsed="false">
      <c r="A68" s="94" t="s">
        <v>37</v>
      </c>
      <c r="B68" s="95" t="n">
        <v>2</v>
      </c>
      <c r="C68" s="96" t="s">
        <v>39</v>
      </c>
      <c r="D68" s="17" t="s">
        <v>642</v>
      </c>
      <c r="F68" s="32"/>
      <c r="G68" s="33" t="s">
        <v>34</v>
      </c>
      <c r="H68" s="35" t="n">
        <f aca="false">VLOOKUP(G68,$G$1:$P$18,4,FALSE())</f>
        <v>1.26530612244898</v>
      </c>
      <c r="Q68" s="33" t="s">
        <v>30</v>
      </c>
      <c r="R68" s="35" t="n">
        <f aca="false">VLOOKUP(Q68,$G$1:$P$18,7,FALSE())</f>
        <v>1.3448275862069</v>
      </c>
      <c r="AN68" s="33" t="s">
        <v>114</v>
      </c>
      <c r="AO68" s="77" t="n">
        <f aca="false">$AW$60</f>
        <v>312.511563778687</v>
      </c>
      <c r="AP68" s="77" t="n">
        <f aca="false">AO68-($AO$70)</f>
        <v>308.296760466058</v>
      </c>
    </row>
    <row r="69" customFormat="false" ht="14.25" hidden="false" customHeight="true" outlineLevel="0" collapsed="false">
      <c r="A69" s="94" t="s">
        <v>39</v>
      </c>
      <c r="B69" s="95" t="n">
        <v>1</v>
      </c>
      <c r="C69" s="96" t="s">
        <v>37</v>
      </c>
      <c r="D69" s="17" t="s">
        <v>643</v>
      </c>
      <c r="F69" s="32"/>
      <c r="G69" s="33" t="s">
        <v>30</v>
      </c>
      <c r="H69" s="35" t="n">
        <f aca="false">VLOOKUP(G69,$G$1:$P$18,4,FALSE())</f>
        <v>1.23809523809524</v>
      </c>
      <c r="Q69" s="33" t="s">
        <v>95</v>
      </c>
      <c r="R69" s="35" t="n">
        <f aca="false">VLOOKUP(Q69,$G$1:$P$18,7,FALSE())</f>
        <v>1.3</v>
      </c>
      <c r="AN69" s="33" t="s">
        <v>111</v>
      </c>
      <c r="AO69" s="81" t="n">
        <f aca="false">$AW$59</f>
        <v>211.552296205709</v>
      </c>
      <c r="AP69" s="77" t="n">
        <f aca="false">AO69-($AO$70)</f>
        <v>207.33749289308</v>
      </c>
    </row>
    <row r="70" customFormat="false" ht="14.25" hidden="false" customHeight="true" outlineLevel="0" collapsed="false">
      <c r="A70" s="94" t="s">
        <v>34</v>
      </c>
      <c r="B70" s="95" t="n">
        <v>2</v>
      </c>
      <c r="C70" s="96" t="s">
        <v>39</v>
      </c>
      <c r="D70" s="17" t="s">
        <v>644</v>
      </c>
      <c r="F70" s="32"/>
      <c r="G70" s="33" t="s">
        <v>37</v>
      </c>
      <c r="H70" s="35" t="n">
        <f aca="false">VLOOKUP(G70,$G$1:$P$18,4,FALSE())</f>
        <v>1.21428571428571</v>
      </c>
      <c r="Q70" s="33" t="s">
        <v>34</v>
      </c>
      <c r="R70" s="35" t="n">
        <f aca="false">VLOOKUP(Q70,$G$1:$P$18,7,FALSE())</f>
        <v>1.28787878787879</v>
      </c>
      <c r="AN70" s="82" t="s">
        <v>120</v>
      </c>
      <c r="AO70" s="77" t="n">
        <f aca="false">$AW$62</f>
        <v>4.21480331262939</v>
      </c>
      <c r="AP70" s="83" t="n">
        <f aca="false">AO70-($AO$70)</f>
        <v>0</v>
      </c>
    </row>
    <row r="71" customFormat="false" ht="14.25" hidden="false" customHeight="true" outlineLevel="0" collapsed="false">
      <c r="A71" s="94" t="s">
        <v>42</v>
      </c>
      <c r="B71" s="95" t="n">
        <v>2</v>
      </c>
      <c r="C71" s="96" t="s">
        <v>31</v>
      </c>
      <c r="D71" s="17" t="s">
        <v>645</v>
      </c>
      <c r="F71" s="17"/>
      <c r="G71" s="33" t="s">
        <v>31</v>
      </c>
      <c r="H71" s="35" t="n">
        <f aca="false">VLOOKUP(G71,$G$1:$P$18,4,FALSE())</f>
        <v>1.09210526315789</v>
      </c>
      <c r="Q71" s="33" t="s">
        <v>37</v>
      </c>
      <c r="R71" s="35" t="n">
        <f aca="false">VLOOKUP(Q71,$G$1:$P$18,7,FALSE())</f>
        <v>1.19607843137255</v>
      </c>
    </row>
    <row r="72" customFormat="false" ht="14.25" hidden="false" customHeight="true" outlineLevel="0" collapsed="false">
      <c r="A72" s="94" t="s">
        <v>37</v>
      </c>
      <c r="B72" s="95" t="n">
        <v>1</v>
      </c>
      <c r="C72" s="96" t="s">
        <v>31</v>
      </c>
      <c r="D72" s="17" t="s">
        <v>646</v>
      </c>
      <c r="F72" s="32"/>
      <c r="G72" s="33" t="s">
        <v>95</v>
      </c>
      <c r="H72" s="35" t="n">
        <f aca="false">VLOOKUP(G72,$G$1:$P$18,4,FALSE())</f>
        <v>1</v>
      </c>
      <c r="Q72" s="33" t="s">
        <v>31</v>
      </c>
      <c r="R72" s="35" t="n">
        <f aca="false">VLOOKUP(Q72,$G$1:$P$18,7,FALSE())</f>
        <v>1.11320754716981</v>
      </c>
    </row>
    <row r="73" customFormat="false" ht="14.25" hidden="false" customHeight="true" outlineLevel="0" collapsed="false">
      <c r="A73" s="94" t="s">
        <v>31</v>
      </c>
      <c r="B73" s="95" t="n">
        <v>1</v>
      </c>
      <c r="C73" s="96" t="s">
        <v>37</v>
      </c>
      <c r="D73" s="17" t="s">
        <v>647</v>
      </c>
      <c r="F73" s="32"/>
      <c r="G73" s="33" t="s">
        <v>33</v>
      </c>
      <c r="H73" s="35" t="n">
        <f aca="false">VLOOKUP(G73,$G$1:$P$18,4,FALSE())</f>
        <v>0.9375</v>
      </c>
      <c r="Q73" s="33" t="s">
        <v>33</v>
      </c>
      <c r="R73" s="35" t="n">
        <f aca="false">VLOOKUP(Q73,$G$1:$P$18,7,FALSE())</f>
        <v>1.07692307692308</v>
      </c>
    </row>
    <row r="74" customFormat="false" ht="14.25" hidden="false" customHeight="true" outlineLevel="0" collapsed="false">
      <c r="A74" s="94" t="s">
        <v>33</v>
      </c>
      <c r="B74" s="95" t="n">
        <v>2</v>
      </c>
      <c r="C74" s="96" t="s">
        <v>31</v>
      </c>
      <c r="D74" s="17" t="s">
        <v>648</v>
      </c>
      <c r="F74" s="32"/>
      <c r="G74" s="33" t="s">
        <v>43</v>
      </c>
      <c r="H74" s="35" t="n">
        <f aca="false">VLOOKUP(G74,$G$1:$P$18,4,FALSE())</f>
        <v>0.875</v>
      </c>
      <c r="Q74" s="33" t="s">
        <v>38</v>
      </c>
      <c r="R74" s="35" t="n">
        <f aca="false">VLOOKUP(Q74,$G$1:$P$18,7,FALSE())</f>
        <v>0.902439024390244</v>
      </c>
      <c r="AH74" s="72"/>
      <c r="AK74" s="72"/>
      <c r="AN74" s="72"/>
      <c r="AO74" s="72"/>
      <c r="AP74" s="72"/>
    </row>
    <row r="75" customFormat="false" ht="14.25" hidden="false" customHeight="true" outlineLevel="0" collapsed="false">
      <c r="A75" s="94" t="s">
        <v>33</v>
      </c>
      <c r="B75" s="95" t="n">
        <v>2</v>
      </c>
      <c r="C75" s="96" t="s">
        <v>37</v>
      </c>
      <c r="D75" s="17" t="s">
        <v>648</v>
      </c>
      <c r="F75" s="32"/>
      <c r="G75" s="33" t="s">
        <v>36</v>
      </c>
      <c r="H75" s="35" t="n">
        <f aca="false">VLOOKUP(G75,$G$1:$P$18,4,FALSE())</f>
        <v>0.866666666666667</v>
      </c>
      <c r="Q75" s="33" t="s">
        <v>40</v>
      </c>
      <c r="R75" s="35" t="n">
        <f aca="false">VLOOKUP(Q75,$G$1:$P$18,7,FALSE())</f>
        <v>0.866666666666667</v>
      </c>
      <c r="AE75" s="72"/>
      <c r="AF75" s="72"/>
      <c r="AK75" s="72"/>
      <c r="AN75" s="72"/>
      <c r="AO75" s="72"/>
      <c r="AP75" s="72"/>
    </row>
    <row r="76" customFormat="false" ht="14.25" hidden="false" customHeight="true" outlineLevel="0" collapsed="false">
      <c r="A76" s="94" t="s">
        <v>37</v>
      </c>
      <c r="B76" s="95" t="n">
        <v>1</v>
      </c>
      <c r="C76" s="96" t="s">
        <v>33</v>
      </c>
      <c r="D76" s="17" t="s">
        <v>649</v>
      </c>
      <c r="F76" s="32"/>
      <c r="G76" s="33" t="s">
        <v>38</v>
      </c>
      <c r="H76" s="35" t="n">
        <f aca="false">VLOOKUP(G76,$G$1:$P$18,4,FALSE())</f>
        <v>0.866666666666667</v>
      </c>
      <c r="Q76" s="33" t="s">
        <v>43</v>
      </c>
      <c r="R76" s="35" t="n">
        <f aca="false">VLOOKUP(Q76,$G$1:$P$18,7,FALSE())</f>
        <v>0.833333333333333</v>
      </c>
      <c r="AN76" s="72"/>
      <c r="AO76" s="72"/>
      <c r="AP76" s="72"/>
    </row>
    <row r="77" customFormat="false" ht="14.25" hidden="false" customHeight="true" outlineLevel="0" collapsed="false">
      <c r="A77" s="94" t="s">
        <v>31</v>
      </c>
      <c r="B77" s="95" t="n">
        <v>1</v>
      </c>
      <c r="C77" s="96" t="s">
        <v>33</v>
      </c>
      <c r="D77" s="17" t="s">
        <v>650</v>
      </c>
      <c r="F77" s="32"/>
      <c r="G77" s="33" t="s">
        <v>42</v>
      </c>
      <c r="H77" s="35" t="n">
        <f aca="false">VLOOKUP(G77,$G$1:$P$18,4,FALSE())</f>
        <v>0.68421052631579</v>
      </c>
      <c r="Q77" s="33" t="s">
        <v>36</v>
      </c>
      <c r="R77" s="35" t="n">
        <f aca="false">VLOOKUP(Q77,$G$1:$P$18,7,FALSE())</f>
        <v>0.784615384615385</v>
      </c>
      <c r="AN77" s="72"/>
      <c r="AO77" s="72"/>
      <c r="AP77" s="72"/>
    </row>
    <row r="78" customFormat="false" ht="14.25" hidden="false" customHeight="true" outlineLevel="0" collapsed="false">
      <c r="A78" s="94" t="s">
        <v>31</v>
      </c>
      <c r="B78" s="95" t="n">
        <v>1</v>
      </c>
      <c r="C78" s="96" t="s">
        <v>34</v>
      </c>
      <c r="D78" s="6" t="s">
        <v>651</v>
      </c>
      <c r="F78" s="32"/>
      <c r="G78" s="33" t="s">
        <v>40</v>
      </c>
      <c r="H78" s="35" t="n">
        <f aca="false">VLOOKUP(G78,$G$1:$P$18,4,FALSE())</f>
        <v>0.538461538461538</v>
      </c>
      <c r="Q78" s="33" t="s">
        <v>42</v>
      </c>
      <c r="R78" s="35" t="n">
        <f aca="false">VLOOKUP(Q78,$G$1:$P$18,7,FALSE())</f>
        <v>0.631578947368421</v>
      </c>
      <c r="AO78" s="72"/>
      <c r="AP78" s="72"/>
    </row>
    <row r="79" customFormat="false" ht="14.25" hidden="false" customHeight="true" outlineLevel="0" collapsed="false">
      <c r="A79" s="94" t="s">
        <v>34</v>
      </c>
      <c r="B79" s="95" t="n">
        <v>1</v>
      </c>
      <c r="C79" s="96" t="s">
        <v>31</v>
      </c>
      <c r="D79" s="6" t="s">
        <v>652</v>
      </c>
      <c r="F79" s="32"/>
      <c r="G79" s="33" t="s">
        <v>32</v>
      </c>
      <c r="H79" s="35" t="n">
        <f aca="false">VLOOKUP(G79,$G$1:$P$18,4,FALSE())</f>
        <v>0.490566037735849</v>
      </c>
      <c r="Q79" s="33" t="s">
        <v>32</v>
      </c>
      <c r="R79" s="35" t="n">
        <f aca="false">VLOOKUP(Q79,$G$1:$P$18,7,FALSE())</f>
        <v>0.383720930232558</v>
      </c>
      <c r="AN79" s="72"/>
      <c r="AO79" s="72"/>
      <c r="AP79" s="72"/>
    </row>
    <row r="80" customFormat="false" ht="14.25" hidden="false" customHeight="true" outlineLevel="0" collapsed="false">
      <c r="A80" s="94" t="s">
        <v>39</v>
      </c>
      <c r="B80" s="95" t="n">
        <v>1</v>
      </c>
      <c r="C80" s="96" t="s">
        <v>42</v>
      </c>
      <c r="D80" s="6" t="s">
        <v>653</v>
      </c>
      <c r="F80" s="32"/>
      <c r="G80" s="33" t="s">
        <v>35</v>
      </c>
      <c r="H80" s="35" t="n">
        <f aca="false">VLOOKUP(G80,$G$1:$P$18,4,FALSE())</f>
        <v>0</v>
      </c>
      <c r="Q80" s="33" t="s">
        <v>35</v>
      </c>
      <c r="R80" s="35" t="n">
        <f aca="false">VLOOKUP(Q80,$G$1:$P$18,7,FALSE())</f>
        <v>0</v>
      </c>
    </row>
    <row r="81" customFormat="false" ht="14.25" hidden="false" customHeight="true" outlineLevel="0" collapsed="false">
      <c r="A81" s="94" t="s">
        <v>37</v>
      </c>
      <c r="B81" s="95" t="n">
        <v>2</v>
      </c>
      <c r="C81" s="96" t="s">
        <v>42</v>
      </c>
      <c r="D81" s="6" t="s">
        <v>654</v>
      </c>
      <c r="F81" s="17"/>
    </row>
    <row r="82" customFormat="false" ht="14.25" hidden="false" customHeight="true" outlineLevel="0" collapsed="false">
      <c r="A82" s="94" t="s">
        <v>42</v>
      </c>
      <c r="B82" s="95" t="n">
        <v>1</v>
      </c>
      <c r="C82" s="96" t="s">
        <v>39</v>
      </c>
      <c r="D82" s="17" t="s">
        <v>655</v>
      </c>
      <c r="F82" s="32"/>
      <c r="G82" s="33" t="s">
        <v>108</v>
      </c>
      <c r="H82" s="41" t="s">
        <v>16</v>
      </c>
      <c r="Q82" s="33" t="s">
        <v>108</v>
      </c>
      <c r="R82" s="41" t="s">
        <v>19</v>
      </c>
    </row>
    <row r="83" customFormat="false" ht="14.25" hidden="false" customHeight="true" outlineLevel="0" collapsed="false">
      <c r="A83" s="94" t="s">
        <v>36</v>
      </c>
      <c r="B83" s="95" t="n">
        <v>1</v>
      </c>
      <c r="C83" s="96" t="s">
        <v>42</v>
      </c>
      <c r="D83" s="17" t="s">
        <v>656</v>
      </c>
      <c r="F83" s="32"/>
      <c r="G83" s="52" t="s">
        <v>120</v>
      </c>
      <c r="H83" s="67" t="n">
        <f aca="false">VLOOKUP(G83,$G$22:$O$26,2,FALSE())</f>
        <v>7.5</v>
      </c>
      <c r="Q83" s="52" t="s">
        <v>120</v>
      </c>
      <c r="R83" s="67" t="n">
        <f aca="false">VLOOKUP(Q83,$G$22:$O$26,5,FALSE())</f>
        <v>11.5</v>
      </c>
    </row>
    <row r="84" customFormat="false" ht="14.25" hidden="false" customHeight="true" outlineLevel="0" collapsed="false">
      <c r="A84" s="94" t="s">
        <v>42</v>
      </c>
      <c r="B84" s="95" t="n">
        <v>1</v>
      </c>
      <c r="C84" s="96" t="s">
        <v>36</v>
      </c>
      <c r="D84" s="17" t="s">
        <v>657</v>
      </c>
      <c r="F84" s="32"/>
      <c r="G84" s="33" t="s">
        <v>111</v>
      </c>
      <c r="H84" s="67" t="n">
        <f aca="false">VLOOKUP(G84,$G$22:$O$26,2,FALSE())</f>
        <v>35</v>
      </c>
      <c r="Q84" s="33" t="s">
        <v>111</v>
      </c>
      <c r="R84" s="67" t="n">
        <f aca="false">VLOOKUP(Q84,$G$22:$O$26,5,FALSE())</f>
        <v>49.25</v>
      </c>
    </row>
    <row r="85" customFormat="false" ht="14.25" hidden="false" customHeight="true" outlineLevel="0" collapsed="false">
      <c r="A85" s="94" t="s">
        <v>31</v>
      </c>
      <c r="B85" s="95" t="n">
        <v>1</v>
      </c>
      <c r="C85" s="96" t="s">
        <v>32</v>
      </c>
      <c r="D85" s="17" t="s">
        <v>658</v>
      </c>
      <c r="F85" s="32"/>
      <c r="G85" s="33" t="s">
        <v>114</v>
      </c>
      <c r="H85" s="67" t="n">
        <f aca="false">VLOOKUP(G85,$G$22:$O$26,2,FALSE())</f>
        <v>38.5</v>
      </c>
      <c r="Q85" s="33" t="s">
        <v>114</v>
      </c>
      <c r="R85" s="67" t="n">
        <f aca="false">VLOOKUP(Q85,$G$22:$O$26,5,FALSE())</f>
        <v>59.75</v>
      </c>
    </row>
    <row r="86" customFormat="false" ht="14.25" hidden="false" customHeight="true" outlineLevel="0" collapsed="false">
      <c r="A86" s="94" t="s">
        <v>32</v>
      </c>
      <c r="B86" s="95" t="n">
        <v>1</v>
      </c>
      <c r="C86" s="96" t="s">
        <v>31</v>
      </c>
      <c r="D86" s="17" t="s">
        <v>659</v>
      </c>
      <c r="F86" s="32"/>
      <c r="G86" s="33" t="s">
        <v>117</v>
      </c>
      <c r="H86" s="67" t="n">
        <f aca="false">VLOOKUP(G86,$G$22:$O$26,2,FALSE())</f>
        <v>51.75</v>
      </c>
      <c r="Q86" s="33" t="s">
        <v>117</v>
      </c>
      <c r="R86" s="67" t="n">
        <f aca="false">VLOOKUP(Q86,$G$22:$O$26,5,FALSE())</f>
        <v>74</v>
      </c>
    </row>
    <row r="87" customFormat="false" ht="14.25" hidden="false" customHeight="true" outlineLevel="0" collapsed="false">
      <c r="A87" s="94" t="s">
        <v>32</v>
      </c>
      <c r="B87" s="95" t="n">
        <v>2</v>
      </c>
      <c r="C87" s="96" t="s">
        <v>31</v>
      </c>
      <c r="D87" s="17" t="s">
        <v>660</v>
      </c>
      <c r="F87" s="32"/>
    </row>
    <row r="88" customFormat="false" ht="14.25" hidden="false" customHeight="true" outlineLevel="0" collapsed="false">
      <c r="A88" s="94" t="s">
        <v>31</v>
      </c>
      <c r="B88" s="95" t="n">
        <v>2</v>
      </c>
      <c r="C88" s="96" t="s">
        <v>37</v>
      </c>
      <c r="D88" s="17" t="s">
        <v>661</v>
      </c>
      <c r="F88" s="32"/>
    </row>
    <row r="89" customFormat="false" ht="14.25" hidden="false" customHeight="true" outlineLevel="0" collapsed="false">
      <c r="A89" s="94" t="s">
        <v>95</v>
      </c>
      <c r="B89" s="95" t="n">
        <v>1</v>
      </c>
      <c r="C89" s="96" t="s">
        <v>30</v>
      </c>
      <c r="D89" s="17" t="s">
        <v>662</v>
      </c>
      <c r="E89" s="6" t="n">
        <v>1</v>
      </c>
      <c r="F89" s="32"/>
      <c r="AO89" s="72"/>
      <c r="AP89" s="84"/>
    </row>
    <row r="90" customFormat="false" ht="14.25" hidden="false" customHeight="true" outlineLevel="0" collapsed="false">
      <c r="A90" s="94" t="s">
        <v>30</v>
      </c>
      <c r="B90" s="95" t="n">
        <v>1</v>
      </c>
      <c r="C90" s="96" t="s">
        <v>95</v>
      </c>
      <c r="D90" s="17" t="s">
        <v>663</v>
      </c>
      <c r="F90" s="32"/>
      <c r="AO90" s="72"/>
      <c r="AP90" s="84"/>
    </row>
    <row r="91" customFormat="false" ht="14.25" hidden="false" customHeight="true" outlineLevel="0" collapsed="false">
      <c r="A91" s="94" t="s">
        <v>32</v>
      </c>
      <c r="B91" s="95" t="n">
        <v>1</v>
      </c>
      <c r="C91" s="96" t="s">
        <v>38</v>
      </c>
      <c r="D91" s="17" t="s">
        <v>664</v>
      </c>
      <c r="F91" s="32"/>
      <c r="AO91" s="72"/>
      <c r="AP91" s="84"/>
    </row>
    <row r="92" customFormat="false" ht="14.25" hidden="false" customHeight="true" outlineLevel="0" collapsed="false">
      <c r="A92" s="94" t="s">
        <v>38</v>
      </c>
      <c r="B92" s="95" t="n">
        <v>1</v>
      </c>
      <c r="C92" s="96" t="s">
        <v>32</v>
      </c>
      <c r="D92" s="17" t="s">
        <v>665</v>
      </c>
      <c r="F92" s="32"/>
      <c r="AO92" s="72"/>
      <c r="AP92" s="84"/>
    </row>
    <row r="93" customFormat="false" ht="14.25" hidden="false" customHeight="true" outlineLevel="0" collapsed="false">
      <c r="A93" s="94" t="s">
        <v>11</v>
      </c>
      <c r="B93" s="95" t="n">
        <v>2</v>
      </c>
      <c r="C93" s="96" t="s">
        <v>39</v>
      </c>
      <c r="D93" s="17" t="s">
        <v>666</v>
      </c>
      <c r="F93" s="32"/>
      <c r="G93" s="33" t="s">
        <v>108</v>
      </c>
      <c r="H93" s="41" t="s">
        <v>17</v>
      </c>
      <c r="Q93" s="33" t="s">
        <v>108</v>
      </c>
      <c r="R93" s="41" t="s">
        <v>20</v>
      </c>
      <c r="AO93" s="72"/>
      <c r="AP93" s="84"/>
    </row>
    <row r="94" customFormat="false" ht="14.25" hidden="false" customHeight="true" outlineLevel="0" collapsed="false">
      <c r="A94" s="94" t="s">
        <v>30</v>
      </c>
      <c r="B94" s="95" t="n">
        <v>1</v>
      </c>
      <c r="C94" s="96" t="s">
        <v>32</v>
      </c>
      <c r="D94" s="17" t="s">
        <v>667</v>
      </c>
      <c r="F94" s="32"/>
      <c r="G94" s="33" t="s">
        <v>120</v>
      </c>
      <c r="H94" s="69" t="n">
        <f aca="false">VLOOKUP(G94,$G$22:$O$26,3,FALSE())</f>
        <v>11.5</v>
      </c>
      <c r="Q94" s="33" t="s">
        <v>120</v>
      </c>
      <c r="R94" s="69" t="n">
        <f aca="false">VLOOKUP(Q94,$G$22:$O$26,6,FALSE())</f>
        <v>17.5</v>
      </c>
      <c r="AK94" s="72"/>
      <c r="AO94" s="72"/>
      <c r="AP94" s="84"/>
    </row>
    <row r="95" customFormat="false" ht="14.25" hidden="false" customHeight="true" outlineLevel="0" collapsed="false">
      <c r="A95" s="94" t="s">
        <v>32</v>
      </c>
      <c r="B95" s="95" t="n">
        <v>1</v>
      </c>
      <c r="C95" s="96" t="s">
        <v>30</v>
      </c>
      <c r="D95" s="17" t="s">
        <v>668</v>
      </c>
      <c r="E95" s="6" t="n">
        <v>0</v>
      </c>
      <c r="F95" s="32"/>
      <c r="G95" s="33" t="s">
        <v>111</v>
      </c>
      <c r="H95" s="69" t="n">
        <f aca="false">VLOOKUP(G95,$G$22:$O$26,3,FALSE())</f>
        <v>34.5</v>
      </c>
      <c r="Q95" s="33" t="s">
        <v>111</v>
      </c>
      <c r="R95" s="69" t="n">
        <f aca="false">VLOOKUP(Q95,$G$22:$O$26,6,FALSE())</f>
        <v>48.25</v>
      </c>
      <c r="AK95" s="72"/>
      <c r="AO95" s="72"/>
      <c r="AP95" s="84"/>
    </row>
    <row r="96" customFormat="false" ht="14.25" hidden="false" customHeight="true" outlineLevel="0" collapsed="false">
      <c r="A96" s="94" t="s">
        <v>38</v>
      </c>
      <c r="B96" s="95" t="n">
        <v>2</v>
      </c>
      <c r="C96" s="96" t="s">
        <v>36</v>
      </c>
      <c r="D96" s="17" t="s">
        <v>669</v>
      </c>
      <c r="F96" s="32"/>
      <c r="G96" s="33" t="s">
        <v>114</v>
      </c>
      <c r="H96" s="69" t="n">
        <f aca="false">VLOOKUP(G96,$G$22:$O$26,3,FALSE())</f>
        <v>36.5</v>
      </c>
      <c r="Q96" s="33" t="s">
        <v>114</v>
      </c>
      <c r="R96" s="69" t="n">
        <f aca="false">VLOOKUP(Q96,$G$22:$O$26,6,FALSE())</f>
        <v>50</v>
      </c>
      <c r="AK96" s="72"/>
      <c r="AO96" s="72"/>
      <c r="AP96" s="84"/>
    </row>
    <row r="97" customFormat="false" ht="14.25" hidden="false" customHeight="true" outlineLevel="0" collapsed="false">
      <c r="A97" s="94" t="s">
        <v>36</v>
      </c>
      <c r="B97" s="95" t="n">
        <v>2</v>
      </c>
      <c r="C97" s="96" t="s">
        <v>34</v>
      </c>
      <c r="D97" s="17" t="s">
        <v>670</v>
      </c>
      <c r="F97" s="32"/>
      <c r="G97" s="33" t="s">
        <v>117</v>
      </c>
      <c r="H97" s="69" t="n">
        <f aca="false">VLOOKUP(G97,$G$22:$O$26,3,FALSE())</f>
        <v>49.5</v>
      </c>
      <c r="Q97" s="33" t="s">
        <v>117</v>
      </c>
      <c r="R97" s="69" t="n">
        <f aca="false">VLOOKUP(Q97,$G$22:$O$26,6,FALSE())</f>
        <v>69.5</v>
      </c>
      <c r="AK97" s="72"/>
      <c r="AO97" s="72"/>
      <c r="AP97" s="84"/>
    </row>
    <row r="98" customFormat="false" ht="14.25" hidden="false" customHeight="true" outlineLevel="0" collapsed="false">
      <c r="A98" s="94" t="s">
        <v>36</v>
      </c>
      <c r="B98" s="95" t="n">
        <v>1</v>
      </c>
      <c r="C98" s="96" t="s">
        <v>11</v>
      </c>
      <c r="D98" s="17" t="s">
        <v>671</v>
      </c>
      <c r="F98" s="32"/>
      <c r="AK98" s="72"/>
      <c r="AO98" s="72"/>
      <c r="AP98" s="84"/>
    </row>
    <row r="99" customFormat="false" ht="14.25" hidden="false" customHeight="true" outlineLevel="0" collapsed="false">
      <c r="A99" s="94" t="s">
        <v>11</v>
      </c>
      <c r="B99" s="95" t="n">
        <v>1</v>
      </c>
      <c r="C99" s="96" t="s">
        <v>36</v>
      </c>
      <c r="D99" s="17" t="s">
        <v>672</v>
      </c>
      <c r="F99" s="32"/>
      <c r="AK99" s="72"/>
      <c r="AO99" s="72"/>
      <c r="AP99" s="84"/>
    </row>
    <row r="100" customFormat="false" ht="14.25" hidden="false" customHeight="true" outlineLevel="0" collapsed="false">
      <c r="A100" s="94" t="s">
        <v>39</v>
      </c>
      <c r="B100" s="95" t="n">
        <v>2</v>
      </c>
      <c r="C100" s="96" t="s">
        <v>36</v>
      </c>
      <c r="D100" s="17" t="s">
        <v>673</v>
      </c>
      <c r="F100" s="32"/>
      <c r="AK100" s="72"/>
      <c r="AO100" s="72"/>
      <c r="AP100" s="84"/>
    </row>
    <row r="101" customFormat="false" ht="14.25" hidden="false" customHeight="true" outlineLevel="0" collapsed="false">
      <c r="A101" s="94" t="s">
        <v>36</v>
      </c>
      <c r="B101" s="95" t="n">
        <v>1</v>
      </c>
      <c r="C101" s="96" t="s">
        <v>39</v>
      </c>
      <c r="D101" s="17" t="s">
        <v>674</v>
      </c>
      <c r="F101" s="32"/>
      <c r="AK101" s="72"/>
      <c r="AO101" s="72"/>
      <c r="AP101" s="84"/>
    </row>
    <row r="102" customFormat="false" ht="14.25" hidden="false" customHeight="true" outlineLevel="0" collapsed="false">
      <c r="A102" s="94" t="s">
        <v>33</v>
      </c>
      <c r="B102" s="95" t="n">
        <v>2</v>
      </c>
      <c r="C102" s="96" t="s">
        <v>42</v>
      </c>
      <c r="D102" s="17" t="s">
        <v>675</v>
      </c>
      <c r="F102" s="32"/>
      <c r="AK102" s="72"/>
      <c r="AO102" s="72"/>
      <c r="AP102" s="84"/>
    </row>
    <row r="103" customFormat="false" ht="14.25" hidden="false" customHeight="true" outlineLevel="0" collapsed="false">
      <c r="A103" s="94" t="s">
        <v>42</v>
      </c>
      <c r="B103" s="95" t="n">
        <v>1</v>
      </c>
      <c r="C103" s="96" t="s">
        <v>33</v>
      </c>
      <c r="D103" s="17" t="s">
        <v>676</v>
      </c>
      <c r="F103" s="32"/>
      <c r="J103" s="72"/>
      <c r="K103" s="72"/>
      <c r="L103" s="72"/>
      <c r="M103" s="84"/>
      <c r="N103" s="84"/>
      <c r="O103" s="84"/>
      <c r="P103" s="84"/>
      <c r="Q103" s="8"/>
      <c r="T103" s="72"/>
      <c r="U103" s="72"/>
      <c r="V103" s="72"/>
      <c r="W103" s="72"/>
      <c r="X103" s="72"/>
      <c r="Y103" s="72"/>
      <c r="Z103" s="72"/>
      <c r="AA103" s="72"/>
      <c r="AB103" s="72"/>
      <c r="AC103" s="72"/>
      <c r="AD103" s="72"/>
      <c r="AK103" s="72"/>
      <c r="AO103" s="72"/>
      <c r="AP103" s="84"/>
    </row>
    <row r="104" customFormat="false" ht="14.25" hidden="false" customHeight="true" outlineLevel="0" collapsed="false">
      <c r="A104" s="94" t="s">
        <v>31</v>
      </c>
      <c r="B104" s="95" t="n">
        <v>1</v>
      </c>
      <c r="C104" s="96" t="s">
        <v>38</v>
      </c>
      <c r="D104" s="17" t="s">
        <v>677</v>
      </c>
      <c r="F104" s="32"/>
      <c r="G104" s="33" t="s">
        <v>108</v>
      </c>
      <c r="H104" s="41" t="s">
        <v>18</v>
      </c>
      <c r="J104" s="72"/>
      <c r="K104" s="72"/>
      <c r="L104" s="72"/>
      <c r="M104" s="84"/>
      <c r="N104" s="84"/>
      <c r="O104" s="84"/>
      <c r="P104" s="84"/>
      <c r="Q104" s="33" t="s">
        <v>108</v>
      </c>
      <c r="R104" s="41" t="s">
        <v>21</v>
      </c>
      <c r="T104" s="72"/>
      <c r="U104" s="72"/>
      <c r="V104" s="72"/>
      <c r="W104" s="72"/>
      <c r="X104" s="72"/>
      <c r="Y104" s="72"/>
      <c r="Z104" s="72"/>
      <c r="AA104" s="72"/>
      <c r="AB104" s="72"/>
      <c r="AC104" s="72"/>
      <c r="AD104" s="72"/>
      <c r="AK104" s="72"/>
      <c r="AO104" s="72"/>
      <c r="AP104" s="84"/>
    </row>
    <row r="105" customFormat="false" ht="14.25" hidden="false" customHeight="true" outlineLevel="0" collapsed="false">
      <c r="A105" s="94" t="s">
        <v>38</v>
      </c>
      <c r="B105" s="95" t="n">
        <v>1</v>
      </c>
      <c r="C105" s="96" t="s">
        <v>31</v>
      </c>
      <c r="D105" s="17" t="s">
        <v>678</v>
      </c>
      <c r="F105" s="32"/>
      <c r="G105" s="52" t="s">
        <v>120</v>
      </c>
      <c r="H105" s="68" t="n">
        <f aca="false">VLOOKUP(G105,$G$22:$O$26,4,FALSE())</f>
        <v>0.652173913043478</v>
      </c>
      <c r="J105" s="72"/>
      <c r="K105" s="72"/>
      <c r="L105" s="72"/>
      <c r="M105" s="84"/>
      <c r="N105" s="84"/>
      <c r="O105" s="84"/>
      <c r="P105" s="84"/>
      <c r="Q105" s="52" t="s">
        <v>120</v>
      </c>
      <c r="R105" s="68" t="n">
        <f aca="false">VLOOKUP(Q105,$G$22:$O$26,7,FALSE())</f>
        <v>0.657142857142857</v>
      </c>
      <c r="T105" s="72"/>
      <c r="U105" s="72"/>
      <c r="V105" s="72"/>
      <c r="W105" s="72"/>
      <c r="X105" s="72"/>
      <c r="Y105" s="72"/>
      <c r="Z105" s="72"/>
      <c r="AA105" s="72"/>
      <c r="AB105" s="72"/>
      <c r="AC105" s="72"/>
      <c r="AD105" s="72"/>
      <c r="AK105" s="72"/>
      <c r="AO105" s="72"/>
      <c r="AP105" s="84"/>
    </row>
    <row r="106" customFormat="false" ht="14.25" hidden="false" customHeight="true" outlineLevel="0" collapsed="false">
      <c r="A106" s="94" t="s">
        <v>31</v>
      </c>
      <c r="B106" s="95" t="n">
        <v>1</v>
      </c>
      <c r="C106" s="96" t="s">
        <v>37</v>
      </c>
      <c r="D106" s="17" t="s">
        <v>679</v>
      </c>
      <c r="F106" s="32"/>
      <c r="G106" s="33" t="s">
        <v>111</v>
      </c>
      <c r="H106" s="68" t="n">
        <f aca="false">VLOOKUP(G106,$G$22:$O$26,4,FALSE())</f>
        <v>1.01449275362319</v>
      </c>
      <c r="J106" s="72"/>
      <c r="K106" s="72"/>
      <c r="L106" s="72"/>
      <c r="M106" s="84"/>
      <c r="N106" s="84"/>
      <c r="O106" s="84"/>
      <c r="P106" s="84"/>
      <c r="Q106" s="33" t="s">
        <v>111</v>
      </c>
      <c r="R106" s="68" t="n">
        <f aca="false">VLOOKUP(Q106,$G$22:$O$26,7,FALSE())</f>
        <v>1.02072538860104</v>
      </c>
      <c r="T106" s="72"/>
      <c r="U106" s="72"/>
      <c r="V106" s="72"/>
      <c r="W106" s="72"/>
      <c r="X106" s="72"/>
      <c r="Y106" s="72"/>
      <c r="Z106" s="72"/>
      <c r="AA106" s="72"/>
      <c r="AB106" s="72"/>
      <c r="AC106" s="72"/>
      <c r="AD106" s="72"/>
      <c r="AK106" s="72"/>
      <c r="AO106" s="72"/>
      <c r="AP106" s="84"/>
    </row>
    <row r="107" customFormat="false" ht="14.25" hidden="false" customHeight="true" outlineLevel="0" collapsed="false">
      <c r="A107" s="94" t="s">
        <v>37</v>
      </c>
      <c r="B107" s="95" t="n">
        <v>1</v>
      </c>
      <c r="C107" s="96" t="s">
        <v>31</v>
      </c>
      <c r="D107" s="17" t="s">
        <v>679</v>
      </c>
      <c r="F107" s="32"/>
      <c r="G107" s="33" t="s">
        <v>117</v>
      </c>
      <c r="H107" s="68" t="n">
        <f aca="false">VLOOKUP(G107,$G$22:$O$26,4,FALSE())</f>
        <v>1.04545454545455</v>
      </c>
      <c r="J107" s="72"/>
      <c r="K107" s="72"/>
      <c r="L107" s="72"/>
      <c r="M107" s="84"/>
      <c r="N107" s="84"/>
      <c r="O107" s="84"/>
      <c r="P107" s="84"/>
      <c r="Q107" s="33" t="s">
        <v>117</v>
      </c>
      <c r="R107" s="68" t="n">
        <f aca="false">VLOOKUP(Q107,$G$22:$O$26,7,FALSE())</f>
        <v>1.06474820143885</v>
      </c>
      <c r="T107" s="72"/>
      <c r="U107" s="72"/>
      <c r="V107" s="72"/>
      <c r="W107" s="72"/>
      <c r="X107" s="72"/>
      <c r="Y107" s="72"/>
      <c r="Z107" s="72"/>
      <c r="AA107" s="72"/>
      <c r="AB107" s="72"/>
      <c r="AC107" s="72"/>
      <c r="AD107" s="72"/>
      <c r="AK107" s="72"/>
      <c r="AO107" s="72"/>
      <c r="AP107" s="84"/>
    </row>
    <row r="108" customFormat="false" ht="14.25" hidden="false" customHeight="true" outlineLevel="0" collapsed="false">
      <c r="A108" s="94" t="s">
        <v>31</v>
      </c>
      <c r="B108" s="95" t="n">
        <v>1</v>
      </c>
      <c r="C108" s="96" t="s">
        <v>42</v>
      </c>
      <c r="D108" s="17" t="s">
        <v>680</v>
      </c>
      <c r="F108" s="32"/>
      <c r="G108" s="33" t="s">
        <v>114</v>
      </c>
      <c r="H108" s="68" t="n">
        <f aca="false">VLOOKUP(G108,$G$22:$O$26,4,FALSE())</f>
        <v>1.05479452054795</v>
      </c>
      <c r="J108" s="72"/>
      <c r="K108" s="72"/>
      <c r="L108" s="72"/>
      <c r="M108" s="84"/>
      <c r="N108" s="84"/>
      <c r="O108" s="84"/>
      <c r="P108" s="84"/>
      <c r="Q108" s="33" t="s">
        <v>114</v>
      </c>
      <c r="R108" s="68" t="n">
        <f aca="false">VLOOKUP(Q108,$G$22:$O$26,7,FALSE())</f>
        <v>1.195</v>
      </c>
      <c r="T108" s="72"/>
      <c r="U108" s="72"/>
      <c r="V108" s="72"/>
      <c r="W108" s="72"/>
      <c r="X108" s="72"/>
      <c r="Y108" s="72"/>
      <c r="Z108" s="72"/>
      <c r="AA108" s="72"/>
      <c r="AB108" s="72"/>
      <c r="AC108" s="72"/>
      <c r="AD108" s="72"/>
      <c r="AK108" s="72"/>
      <c r="AO108" s="72"/>
      <c r="AP108" s="84"/>
    </row>
    <row r="109" customFormat="false" ht="14.25" hidden="false" customHeight="true" outlineLevel="0" collapsed="false">
      <c r="A109" s="94" t="s">
        <v>42</v>
      </c>
      <c r="B109" s="95" t="n">
        <v>1</v>
      </c>
      <c r="C109" s="96" t="s">
        <v>31</v>
      </c>
      <c r="D109" s="17" t="s">
        <v>681</v>
      </c>
      <c r="F109" s="32"/>
      <c r="J109" s="72"/>
      <c r="K109" s="72"/>
      <c r="L109" s="72"/>
      <c r="M109" s="84"/>
      <c r="N109" s="84"/>
      <c r="O109" s="84"/>
      <c r="P109" s="84"/>
      <c r="Q109" s="8"/>
      <c r="T109" s="72"/>
      <c r="U109" s="72"/>
      <c r="V109" s="72"/>
      <c r="W109" s="72"/>
      <c r="X109" s="72"/>
      <c r="Y109" s="72"/>
      <c r="Z109" s="72"/>
      <c r="AA109" s="72"/>
      <c r="AB109" s="72"/>
      <c r="AC109" s="72"/>
      <c r="AD109" s="72"/>
      <c r="AE109" s="72"/>
      <c r="AF109" s="72"/>
      <c r="AK109" s="72"/>
      <c r="AO109" s="72"/>
      <c r="AP109" s="84"/>
    </row>
    <row r="110" customFormat="false" ht="14.25" hidden="false" customHeight="true" outlineLevel="0" collapsed="false">
      <c r="A110" s="94" t="s">
        <v>33</v>
      </c>
      <c r="B110" s="95" t="n">
        <v>2</v>
      </c>
      <c r="C110" s="96" t="s">
        <v>31</v>
      </c>
      <c r="D110" s="17" t="s">
        <v>682</v>
      </c>
      <c r="F110" s="32"/>
      <c r="J110" s="72"/>
      <c r="K110" s="72"/>
      <c r="L110" s="72"/>
      <c r="M110" s="84"/>
      <c r="N110" s="84"/>
      <c r="O110" s="84"/>
      <c r="P110" s="84"/>
      <c r="Q110" s="8"/>
      <c r="T110" s="72"/>
      <c r="U110" s="72"/>
      <c r="V110" s="72"/>
      <c r="W110" s="72"/>
      <c r="X110" s="72"/>
      <c r="Y110" s="72"/>
      <c r="Z110" s="72"/>
      <c r="AA110" s="72"/>
      <c r="AB110" s="72"/>
      <c r="AC110" s="72"/>
      <c r="AD110" s="72"/>
      <c r="AE110" s="72"/>
      <c r="AF110" s="72"/>
      <c r="AK110" s="72"/>
      <c r="AO110" s="72"/>
      <c r="AP110" s="84"/>
    </row>
    <row r="111" customFormat="false" ht="14.25" hidden="false" customHeight="true" outlineLevel="0" collapsed="false">
      <c r="A111" s="94" t="s">
        <v>31</v>
      </c>
      <c r="B111" s="95" t="n">
        <v>2</v>
      </c>
      <c r="C111" s="96" t="s">
        <v>38</v>
      </c>
      <c r="D111" s="17" t="s">
        <v>683</v>
      </c>
      <c r="F111" s="32"/>
      <c r="J111" s="72"/>
      <c r="K111" s="72"/>
      <c r="L111" s="72"/>
      <c r="M111" s="84"/>
      <c r="N111" s="84"/>
      <c r="O111" s="84"/>
      <c r="P111" s="84"/>
      <c r="Q111" s="8"/>
      <c r="T111" s="72"/>
      <c r="U111" s="72"/>
      <c r="V111" s="72"/>
      <c r="W111" s="72"/>
      <c r="X111" s="72"/>
      <c r="Y111" s="72"/>
      <c r="Z111" s="72"/>
      <c r="AA111" s="72"/>
      <c r="AB111" s="72"/>
      <c r="AC111" s="72"/>
      <c r="AD111" s="72"/>
      <c r="AE111" s="72"/>
      <c r="AF111" s="72"/>
      <c r="AK111" s="72"/>
      <c r="AO111" s="72"/>
      <c r="AP111" s="84"/>
    </row>
    <row r="112" customFormat="false" ht="14.25" hidden="false" customHeight="true" outlineLevel="0" collapsed="false">
      <c r="A112" s="94" t="s">
        <v>38</v>
      </c>
      <c r="B112" s="95" t="n">
        <v>1</v>
      </c>
      <c r="C112" s="96" t="s">
        <v>31</v>
      </c>
      <c r="D112" s="17" t="s">
        <v>684</v>
      </c>
      <c r="F112" s="32"/>
      <c r="J112" s="72"/>
      <c r="K112" s="72"/>
      <c r="L112" s="72"/>
      <c r="M112" s="84"/>
      <c r="N112" s="84"/>
      <c r="O112" s="84"/>
      <c r="P112" s="84"/>
      <c r="Q112" s="8"/>
      <c r="T112" s="72"/>
      <c r="U112" s="72"/>
      <c r="V112" s="72"/>
      <c r="W112" s="72"/>
      <c r="X112" s="72"/>
      <c r="Y112" s="72"/>
      <c r="Z112" s="72"/>
      <c r="AA112" s="72"/>
      <c r="AB112" s="72"/>
      <c r="AC112" s="72"/>
      <c r="AD112" s="72"/>
      <c r="AE112" s="72"/>
      <c r="AF112" s="72"/>
      <c r="AK112" s="72"/>
      <c r="AO112" s="72"/>
      <c r="AP112" s="84"/>
    </row>
    <row r="113" customFormat="false" ht="14.25" hidden="false" customHeight="true" outlineLevel="0" collapsed="false">
      <c r="A113" s="94" t="s">
        <v>42</v>
      </c>
      <c r="B113" s="95" t="n">
        <v>1</v>
      </c>
      <c r="C113" s="96" t="s">
        <v>36</v>
      </c>
      <c r="D113" s="17" t="s">
        <v>685</v>
      </c>
      <c r="F113" s="32"/>
      <c r="J113" s="72"/>
      <c r="K113" s="72"/>
      <c r="L113" s="72"/>
      <c r="M113" s="84"/>
      <c r="N113" s="84"/>
      <c r="O113" s="84"/>
      <c r="P113" s="84"/>
      <c r="Q113" s="8"/>
      <c r="T113" s="72"/>
      <c r="U113" s="72"/>
      <c r="V113" s="72"/>
      <c r="W113" s="72"/>
      <c r="X113" s="72"/>
      <c r="Y113" s="72"/>
      <c r="Z113" s="72"/>
      <c r="AA113" s="72"/>
      <c r="AB113" s="72"/>
      <c r="AC113" s="72"/>
      <c r="AD113" s="72"/>
      <c r="AE113" s="72"/>
      <c r="AF113" s="72"/>
      <c r="AK113" s="72"/>
      <c r="AO113" s="72"/>
      <c r="AP113" s="84"/>
    </row>
    <row r="114" customFormat="false" ht="14.25" hidden="false" customHeight="true" outlineLevel="0" collapsed="false">
      <c r="A114" s="94" t="s">
        <v>36</v>
      </c>
      <c r="B114" s="95" t="n">
        <v>1</v>
      </c>
      <c r="C114" s="96" t="s">
        <v>42</v>
      </c>
      <c r="D114" s="17" t="s">
        <v>686</v>
      </c>
      <c r="F114" s="32"/>
      <c r="J114" s="72"/>
      <c r="K114" s="72"/>
      <c r="L114" s="72"/>
      <c r="M114" s="84"/>
      <c r="N114" s="84"/>
      <c r="O114" s="84"/>
      <c r="P114" s="84"/>
      <c r="Q114" s="8"/>
      <c r="T114" s="72"/>
      <c r="U114" s="72"/>
      <c r="V114" s="72"/>
      <c r="W114" s="72"/>
      <c r="X114" s="72"/>
      <c r="Y114" s="72"/>
      <c r="Z114" s="72"/>
      <c r="AA114" s="72"/>
      <c r="AB114" s="72"/>
      <c r="AC114" s="72"/>
      <c r="AD114" s="72"/>
      <c r="AE114" s="72"/>
      <c r="AF114" s="72"/>
      <c r="AK114" s="72"/>
      <c r="AO114" s="72"/>
      <c r="AP114" s="84"/>
    </row>
    <row r="115" customFormat="false" ht="14.25" hidden="false" customHeight="true" outlineLevel="0" collapsed="false">
      <c r="A115" s="94" t="s">
        <v>39</v>
      </c>
      <c r="B115" s="95" t="n">
        <v>1</v>
      </c>
      <c r="C115" s="96" t="s">
        <v>32</v>
      </c>
      <c r="D115" s="17" t="s">
        <v>687</v>
      </c>
      <c r="F115" s="32"/>
      <c r="J115" s="72"/>
      <c r="K115" s="72"/>
      <c r="L115" s="72"/>
      <c r="M115" s="84"/>
      <c r="N115" s="84"/>
      <c r="O115" s="84"/>
      <c r="P115" s="84"/>
      <c r="Q115" s="8"/>
      <c r="T115" s="72"/>
      <c r="U115" s="72"/>
      <c r="V115" s="72"/>
      <c r="W115" s="72"/>
      <c r="X115" s="72"/>
      <c r="Y115" s="72"/>
      <c r="Z115" s="72"/>
      <c r="AA115" s="72"/>
      <c r="AB115" s="72"/>
      <c r="AC115" s="72"/>
      <c r="AD115" s="72"/>
      <c r="AE115" s="72"/>
      <c r="AF115" s="72"/>
      <c r="AK115" s="72"/>
      <c r="AO115" s="72"/>
      <c r="AP115" s="84"/>
    </row>
    <row r="116" customFormat="false" ht="14.25" hidden="false" customHeight="true" outlineLevel="0" collapsed="false">
      <c r="A116" s="94" t="s">
        <v>32</v>
      </c>
      <c r="B116" s="95" t="n">
        <v>1</v>
      </c>
      <c r="C116" s="96" t="s">
        <v>39</v>
      </c>
      <c r="D116" s="17" t="s">
        <v>688</v>
      </c>
      <c r="F116" s="32"/>
      <c r="AE116" s="72"/>
      <c r="AF116" s="72"/>
      <c r="AK116" s="72"/>
      <c r="AO116" s="72"/>
      <c r="AP116" s="84"/>
    </row>
    <row r="117" customFormat="false" ht="14.25" hidden="false" customHeight="true" outlineLevel="0" collapsed="false">
      <c r="A117" s="94" t="s">
        <v>34</v>
      </c>
      <c r="B117" s="95" t="n">
        <v>2</v>
      </c>
      <c r="C117" s="96" t="s">
        <v>31</v>
      </c>
      <c r="D117" s="17" t="s">
        <v>689</v>
      </c>
      <c r="F117" s="32"/>
      <c r="AE117" s="72"/>
      <c r="AF117" s="72"/>
      <c r="AK117" s="72"/>
      <c r="AO117" s="72"/>
      <c r="AP117" s="84"/>
    </row>
    <row r="118" customFormat="false" ht="14.25" hidden="false" customHeight="true" outlineLevel="0" collapsed="false">
      <c r="A118" s="94" t="s">
        <v>31</v>
      </c>
      <c r="B118" s="95" t="n">
        <v>1</v>
      </c>
      <c r="C118" s="96" t="s">
        <v>34</v>
      </c>
      <c r="D118" s="17" t="s">
        <v>690</v>
      </c>
      <c r="F118" s="32"/>
      <c r="AE118" s="72"/>
      <c r="AF118" s="72"/>
      <c r="AK118" s="72"/>
      <c r="AO118" s="72"/>
      <c r="AP118" s="84"/>
    </row>
    <row r="119" customFormat="false" ht="14.25" hidden="false" customHeight="true" outlineLevel="0" collapsed="false">
      <c r="A119" s="94" t="s">
        <v>37</v>
      </c>
      <c r="B119" s="95" t="n">
        <v>2</v>
      </c>
      <c r="C119" s="96" t="s">
        <v>34</v>
      </c>
      <c r="D119" s="17" t="s">
        <v>691</v>
      </c>
      <c r="F119" s="32"/>
      <c r="AE119" s="72"/>
      <c r="AF119" s="72"/>
      <c r="AK119" s="72"/>
      <c r="AO119" s="72"/>
      <c r="AP119" s="84"/>
    </row>
    <row r="120" customFormat="false" ht="14.25" hidden="false" customHeight="true" outlineLevel="0" collapsed="false">
      <c r="A120" s="94" t="s">
        <v>11</v>
      </c>
      <c r="B120" s="95" t="n">
        <v>1</v>
      </c>
      <c r="C120" s="96" t="s">
        <v>36</v>
      </c>
      <c r="D120" s="17" t="s">
        <v>692</v>
      </c>
      <c r="F120" s="32"/>
      <c r="AE120" s="72"/>
      <c r="AF120" s="72"/>
      <c r="AK120" s="72"/>
      <c r="AO120" s="72"/>
      <c r="AP120" s="84"/>
    </row>
    <row r="121" customFormat="false" ht="14.25" hidden="false" customHeight="true" outlineLevel="0" collapsed="false">
      <c r="A121" s="94" t="s">
        <v>36</v>
      </c>
      <c r="B121" s="95" t="n">
        <v>1</v>
      </c>
      <c r="C121" s="96" t="s">
        <v>11</v>
      </c>
      <c r="D121" s="17" t="s">
        <v>693</v>
      </c>
      <c r="F121" s="32"/>
      <c r="AE121" s="72"/>
      <c r="AF121" s="72"/>
      <c r="AK121" s="72"/>
      <c r="AO121" s="72"/>
      <c r="AP121" s="84"/>
    </row>
    <row r="122" customFormat="false" ht="14.25" hidden="false" customHeight="true" outlineLevel="0" collapsed="false">
      <c r="A122" s="94" t="s">
        <v>36</v>
      </c>
      <c r="B122" s="95" t="n">
        <v>1</v>
      </c>
      <c r="C122" s="121" t="s">
        <v>38</v>
      </c>
      <c r="D122" s="17" t="s">
        <v>694</v>
      </c>
      <c r="F122" s="32"/>
      <c r="AE122" s="72"/>
      <c r="AF122" s="72"/>
      <c r="AK122" s="72"/>
      <c r="AO122" s="72"/>
      <c r="AP122" s="84"/>
    </row>
    <row r="123" customFormat="false" ht="14.25" hidden="false" customHeight="true" outlineLevel="0" collapsed="false">
      <c r="A123" s="94" t="s">
        <v>38</v>
      </c>
      <c r="B123" s="95" t="n">
        <v>1</v>
      </c>
      <c r="C123" s="121" t="s">
        <v>36</v>
      </c>
      <c r="D123" s="17" t="s">
        <v>695</v>
      </c>
      <c r="F123" s="32"/>
      <c r="AE123" s="72"/>
      <c r="AF123" s="72"/>
      <c r="AK123" s="72"/>
      <c r="AO123" s="72"/>
      <c r="AP123" s="84"/>
    </row>
    <row r="124" customFormat="false" ht="14.25" hidden="false" customHeight="true" outlineLevel="0" collapsed="false">
      <c r="A124" s="94" t="s">
        <v>11</v>
      </c>
      <c r="B124" s="95" t="n">
        <v>1</v>
      </c>
      <c r="C124" s="121" t="s">
        <v>39</v>
      </c>
      <c r="D124" s="17" t="s">
        <v>696</v>
      </c>
      <c r="F124" s="32"/>
      <c r="AE124" s="72"/>
      <c r="AF124" s="72"/>
      <c r="AK124" s="72"/>
      <c r="AO124" s="72"/>
      <c r="AP124" s="84"/>
    </row>
    <row r="125" customFormat="false" ht="14.25" hidden="false" customHeight="true" outlineLevel="0" collapsed="false">
      <c r="A125" s="94" t="s">
        <v>39</v>
      </c>
      <c r="B125" s="95" t="n">
        <v>1</v>
      </c>
      <c r="C125" s="121" t="s">
        <v>11</v>
      </c>
      <c r="D125" s="17" t="s">
        <v>697</v>
      </c>
      <c r="F125" s="32"/>
      <c r="J125" s="72"/>
      <c r="K125" s="72"/>
      <c r="L125" s="72"/>
      <c r="M125" s="84"/>
      <c r="N125" s="84"/>
      <c r="O125" s="84"/>
      <c r="P125" s="84"/>
      <c r="Q125" s="8"/>
      <c r="T125" s="72"/>
      <c r="U125" s="72"/>
      <c r="V125" s="72"/>
      <c r="W125" s="72"/>
      <c r="X125" s="72"/>
      <c r="Y125" s="72"/>
      <c r="Z125" s="72"/>
      <c r="AA125" s="72"/>
      <c r="AB125" s="72"/>
      <c r="AC125" s="72"/>
      <c r="AD125" s="72"/>
      <c r="AE125" s="72"/>
      <c r="AF125" s="72"/>
      <c r="AK125" s="72"/>
      <c r="AO125" s="72"/>
      <c r="AP125" s="84"/>
    </row>
    <row r="126" customFormat="false" ht="14.25" hidden="false" customHeight="true" outlineLevel="0" collapsed="false">
      <c r="A126" s="94" t="s">
        <v>36</v>
      </c>
      <c r="B126" s="95" t="n">
        <v>2</v>
      </c>
      <c r="C126" s="96" t="s">
        <v>31</v>
      </c>
      <c r="D126" s="17" t="s">
        <v>698</v>
      </c>
      <c r="F126" s="32"/>
    </row>
    <row r="127" customFormat="false" ht="14.25" hidden="false" customHeight="true" outlineLevel="0" collapsed="false">
      <c r="A127" s="94" t="s">
        <v>31</v>
      </c>
      <c r="B127" s="95" t="n">
        <v>1</v>
      </c>
      <c r="C127" s="96" t="s">
        <v>36</v>
      </c>
      <c r="D127" s="17" t="s">
        <v>699</v>
      </c>
      <c r="F127" s="32"/>
    </row>
    <row r="128" customFormat="false" ht="14.25" hidden="false" customHeight="true" outlineLevel="0" collapsed="false">
      <c r="A128" s="94" t="s">
        <v>36</v>
      </c>
      <c r="B128" s="95" t="n">
        <v>1</v>
      </c>
      <c r="C128" s="96" t="s">
        <v>37</v>
      </c>
      <c r="D128" s="17" t="s">
        <v>700</v>
      </c>
      <c r="F128" s="32"/>
    </row>
    <row r="129" customFormat="false" ht="14.25" hidden="false" customHeight="true" outlineLevel="0" collapsed="false">
      <c r="A129" s="94" t="s">
        <v>37</v>
      </c>
      <c r="B129" s="95" t="n">
        <v>1</v>
      </c>
      <c r="C129" s="96" t="s">
        <v>36</v>
      </c>
      <c r="D129" s="17" t="s">
        <v>701</v>
      </c>
      <c r="F129" s="32"/>
    </row>
    <row r="130" customFormat="false" ht="14.25" hidden="false" customHeight="true" outlineLevel="0" collapsed="false">
      <c r="A130" s="94" t="s">
        <v>30</v>
      </c>
      <c r="B130" s="95" t="n">
        <v>2</v>
      </c>
      <c r="C130" s="96" t="s">
        <v>37</v>
      </c>
      <c r="D130" s="17" t="s">
        <v>702</v>
      </c>
      <c r="F130" s="32"/>
    </row>
    <row r="131" customFormat="false" ht="14.25" hidden="false" customHeight="true" outlineLevel="0" collapsed="false">
      <c r="A131" s="94" t="s">
        <v>37</v>
      </c>
      <c r="B131" s="95" t="n">
        <v>1</v>
      </c>
      <c r="C131" s="96" t="s">
        <v>38</v>
      </c>
      <c r="D131" s="17" t="s">
        <v>703</v>
      </c>
      <c r="F131" s="32"/>
    </row>
    <row r="132" customFormat="false" ht="14.25" hidden="false" customHeight="true" outlineLevel="0" collapsed="false">
      <c r="A132" s="94" t="s">
        <v>38</v>
      </c>
      <c r="B132" s="95" t="n">
        <v>1</v>
      </c>
      <c r="C132" s="96" t="s">
        <v>37</v>
      </c>
      <c r="D132" s="17" t="s">
        <v>704</v>
      </c>
      <c r="F132" s="32"/>
    </row>
    <row r="133" customFormat="false" ht="14.25" hidden="false" customHeight="true" outlineLevel="0" collapsed="false">
      <c r="A133" s="94" t="s">
        <v>31</v>
      </c>
      <c r="B133" s="95" t="n">
        <v>2</v>
      </c>
      <c r="C133" s="96" t="s">
        <v>32</v>
      </c>
      <c r="D133" s="17" t="s">
        <v>705</v>
      </c>
      <c r="F133" s="32"/>
    </row>
    <row r="134" customFormat="false" ht="14.25" hidden="false" customHeight="true" outlineLevel="0" collapsed="false">
      <c r="A134" s="94" t="s">
        <v>37</v>
      </c>
      <c r="B134" s="95" t="n">
        <v>2</v>
      </c>
      <c r="C134" s="96" t="s">
        <v>32</v>
      </c>
      <c r="D134" s="17" t="s">
        <v>706</v>
      </c>
      <c r="F134" s="32"/>
    </row>
    <row r="135" customFormat="false" ht="14.25" hidden="false" customHeight="true" outlineLevel="0" collapsed="false">
      <c r="A135" s="94" t="s">
        <v>43</v>
      </c>
      <c r="B135" s="95" t="n">
        <v>2</v>
      </c>
      <c r="C135" s="96" t="s">
        <v>36</v>
      </c>
      <c r="D135" s="17" t="s">
        <v>707</v>
      </c>
      <c r="F135" s="32"/>
    </row>
    <row r="136" customFormat="false" ht="14.25" hidden="false" customHeight="true" outlineLevel="0" collapsed="false">
      <c r="A136" s="94" t="s">
        <v>31</v>
      </c>
      <c r="B136" s="95" t="n">
        <v>2</v>
      </c>
      <c r="C136" s="96" t="s">
        <v>32</v>
      </c>
      <c r="D136" s="17" t="s">
        <v>708</v>
      </c>
      <c r="F136" s="32"/>
    </row>
    <row r="137" customFormat="false" ht="14.25" hidden="false" customHeight="true" outlineLevel="0" collapsed="false">
      <c r="A137" s="94" t="s">
        <v>39</v>
      </c>
      <c r="B137" s="95" t="n">
        <v>2</v>
      </c>
      <c r="C137" s="96" t="s">
        <v>35</v>
      </c>
      <c r="D137" s="17" t="s">
        <v>709</v>
      </c>
      <c r="F137" s="32"/>
    </row>
    <row r="138" customFormat="false" ht="14.25" hidden="false" customHeight="true" outlineLevel="0" collapsed="false">
      <c r="A138" s="94" t="s">
        <v>37</v>
      </c>
      <c r="B138" s="95" t="n">
        <v>1</v>
      </c>
      <c r="C138" s="96" t="s">
        <v>31</v>
      </c>
      <c r="D138" s="17" t="s">
        <v>710</v>
      </c>
      <c r="F138" s="32"/>
    </row>
    <row r="139" customFormat="false" ht="14.25" hidden="false" customHeight="true" outlineLevel="0" collapsed="false">
      <c r="A139" s="94" t="s">
        <v>31</v>
      </c>
      <c r="B139" s="95" t="n">
        <v>1</v>
      </c>
      <c r="C139" s="96" t="s">
        <v>37</v>
      </c>
      <c r="D139" s="17" t="s">
        <v>711</v>
      </c>
      <c r="F139" s="32"/>
    </row>
    <row r="140" customFormat="false" ht="14.25" hidden="false" customHeight="true" outlineLevel="0" collapsed="false">
      <c r="A140" s="94" t="s">
        <v>37</v>
      </c>
      <c r="B140" s="95" t="n">
        <v>1</v>
      </c>
      <c r="C140" s="96" t="s">
        <v>32</v>
      </c>
      <c r="D140" s="17" t="s">
        <v>712</v>
      </c>
      <c r="F140" s="32"/>
    </row>
    <row r="141" customFormat="false" ht="14.25" hidden="false" customHeight="true" outlineLevel="0" collapsed="false">
      <c r="A141" s="94" t="s">
        <v>32</v>
      </c>
      <c r="B141" s="95" t="n">
        <v>1</v>
      </c>
      <c r="C141" s="96" t="s">
        <v>37</v>
      </c>
      <c r="D141" s="17" t="s">
        <v>713</v>
      </c>
      <c r="F141" s="32"/>
    </row>
    <row r="142" customFormat="false" ht="14.25" hidden="false" customHeight="true" outlineLevel="0" collapsed="false">
      <c r="A142" s="94" t="s">
        <v>11</v>
      </c>
      <c r="B142" s="95" t="n">
        <v>2</v>
      </c>
      <c r="C142" s="96" t="s">
        <v>38</v>
      </c>
      <c r="D142" s="17" t="s">
        <v>714</v>
      </c>
      <c r="F142" s="32"/>
    </row>
    <row r="143" customFormat="false" ht="14.25" hidden="false" customHeight="true" outlineLevel="0" collapsed="false">
      <c r="A143" s="94" t="s">
        <v>11</v>
      </c>
      <c r="B143" s="95" t="n">
        <v>2</v>
      </c>
      <c r="C143" s="96" t="s">
        <v>36</v>
      </c>
      <c r="D143" s="17" t="s">
        <v>715</v>
      </c>
      <c r="F143" s="32"/>
    </row>
    <row r="144" customFormat="false" ht="14.25" hidden="false" customHeight="true" outlineLevel="0" collapsed="false">
      <c r="A144" s="94" t="s">
        <v>37</v>
      </c>
      <c r="B144" s="95" t="n">
        <v>2</v>
      </c>
      <c r="C144" s="96" t="s">
        <v>34</v>
      </c>
      <c r="D144" s="17" t="s">
        <v>716</v>
      </c>
      <c r="F144" s="32"/>
    </row>
    <row r="145" customFormat="false" ht="14.25" hidden="false" customHeight="true" outlineLevel="0" collapsed="false">
      <c r="A145" s="94" t="s">
        <v>34</v>
      </c>
      <c r="B145" s="95" t="n">
        <v>1</v>
      </c>
      <c r="C145" s="96" t="s">
        <v>37</v>
      </c>
      <c r="D145" s="17" t="s">
        <v>717</v>
      </c>
      <c r="F145" s="32"/>
    </row>
    <row r="146" customFormat="false" ht="14.25" hidden="false" customHeight="true" outlineLevel="0" collapsed="false">
      <c r="A146" s="94" t="s">
        <v>36</v>
      </c>
      <c r="B146" s="95" t="n">
        <v>2</v>
      </c>
      <c r="C146" s="96" t="s">
        <v>37</v>
      </c>
      <c r="D146" s="17" t="s">
        <v>718</v>
      </c>
      <c r="F146" s="32"/>
    </row>
    <row r="147" customFormat="false" ht="14.25" hidden="false" customHeight="true" outlineLevel="0" collapsed="false">
      <c r="A147" s="94" t="s">
        <v>31</v>
      </c>
      <c r="B147" s="95" t="n">
        <v>2</v>
      </c>
      <c r="C147" s="96" t="s">
        <v>32</v>
      </c>
      <c r="D147" s="17" t="s">
        <v>719</v>
      </c>
      <c r="F147" s="32"/>
    </row>
    <row r="148" customFormat="false" ht="14.25" hidden="false" customHeight="true" outlineLevel="0" collapsed="false">
      <c r="A148" s="94" t="s">
        <v>37</v>
      </c>
      <c r="B148" s="95" t="n">
        <v>1</v>
      </c>
      <c r="C148" s="96" t="s">
        <v>36</v>
      </c>
      <c r="D148" s="17" t="s">
        <v>720</v>
      </c>
      <c r="F148" s="32"/>
    </row>
    <row r="149" customFormat="false" ht="14.25" hidden="false" customHeight="true" outlineLevel="0" collapsed="false">
      <c r="A149" s="94" t="s">
        <v>30</v>
      </c>
      <c r="B149" s="95" t="n">
        <v>2</v>
      </c>
      <c r="C149" s="96" t="s">
        <v>37</v>
      </c>
      <c r="D149" s="17" t="s">
        <v>721</v>
      </c>
      <c r="F149" s="32"/>
    </row>
    <row r="150" customFormat="false" ht="14.25" hidden="false" customHeight="true" outlineLevel="0" collapsed="false">
      <c r="A150" s="94" t="s">
        <v>30</v>
      </c>
      <c r="B150" s="95" t="n">
        <v>2</v>
      </c>
      <c r="C150" s="96" t="s">
        <v>31</v>
      </c>
      <c r="D150" s="17" t="s">
        <v>722</v>
      </c>
      <c r="F150" s="32"/>
    </row>
    <row r="151" customFormat="false" ht="14.25" hidden="false" customHeight="true" outlineLevel="0" collapsed="false">
      <c r="A151" s="94" t="s">
        <v>31</v>
      </c>
      <c r="B151" s="95" t="n">
        <v>1</v>
      </c>
      <c r="C151" s="96" t="s">
        <v>34</v>
      </c>
      <c r="D151" s="17" t="s">
        <v>723</v>
      </c>
      <c r="F151" s="32"/>
    </row>
    <row r="152" customFormat="false" ht="14.25" hidden="false" customHeight="true" outlineLevel="0" collapsed="false">
      <c r="A152" s="94" t="s">
        <v>34</v>
      </c>
      <c r="B152" s="95" t="n">
        <v>1</v>
      </c>
      <c r="C152" s="96" t="s">
        <v>31</v>
      </c>
      <c r="D152" s="18" t="s">
        <v>724</v>
      </c>
      <c r="F152" s="32"/>
    </row>
    <row r="153" customFormat="false" ht="14.25" hidden="false" customHeight="true" outlineLevel="0" collapsed="false">
      <c r="A153" s="94" t="s">
        <v>39</v>
      </c>
      <c r="B153" s="95" t="n">
        <v>2</v>
      </c>
      <c r="C153" s="96" t="s">
        <v>34</v>
      </c>
      <c r="D153" s="17" t="s">
        <v>725</v>
      </c>
      <c r="F153" s="32"/>
    </row>
    <row r="154" customFormat="false" ht="14.25" hidden="false" customHeight="true" outlineLevel="0" collapsed="false">
      <c r="A154" s="94" t="s">
        <v>37</v>
      </c>
      <c r="B154" s="95" t="n">
        <v>2</v>
      </c>
      <c r="C154" s="96" t="s">
        <v>32</v>
      </c>
      <c r="D154" s="17" t="s">
        <v>726</v>
      </c>
      <c r="F154" s="32"/>
    </row>
    <row r="155" customFormat="false" ht="14.25" hidden="false" customHeight="true" outlineLevel="0" collapsed="false">
      <c r="A155" s="94" t="s">
        <v>34</v>
      </c>
      <c r="B155" s="95" t="n">
        <v>1</v>
      </c>
      <c r="C155" s="96" t="s">
        <v>39</v>
      </c>
      <c r="D155" s="17" t="s">
        <v>727</v>
      </c>
      <c r="F155" s="32"/>
    </row>
    <row r="156" customFormat="false" ht="14.25" hidden="false" customHeight="true" outlineLevel="0" collapsed="false">
      <c r="A156" s="94" t="s">
        <v>31</v>
      </c>
      <c r="B156" s="95" t="n">
        <v>1</v>
      </c>
      <c r="C156" s="96" t="s">
        <v>38</v>
      </c>
      <c r="D156" s="17" t="s">
        <v>728</v>
      </c>
      <c r="F156" s="32"/>
    </row>
    <row r="157" customFormat="false" ht="14.25" hidden="false" customHeight="true" outlineLevel="0" collapsed="false">
      <c r="A157" s="94" t="s">
        <v>38</v>
      </c>
      <c r="B157" s="95" t="n">
        <v>1</v>
      </c>
      <c r="C157" s="96" t="s">
        <v>31</v>
      </c>
      <c r="D157" s="17" t="s">
        <v>729</v>
      </c>
      <c r="F157" s="32"/>
    </row>
    <row r="158" customFormat="false" ht="14.25" hidden="false" customHeight="true" outlineLevel="0" collapsed="false">
      <c r="A158" s="94" t="s">
        <v>38</v>
      </c>
      <c r="B158" s="95" t="n">
        <v>1</v>
      </c>
      <c r="C158" s="96" t="s">
        <v>42</v>
      </c>
      <c r="D158" s="17" t="s">
        <v>730</v>
      </c>
      <c r="F158" s="32"/>
    </row>
    <row r="159" customFormat="false" ht="14.25" hidden="false" customHeight="true" outlineLevel="0" collapsed="false">
      <c r="A159" s="94" t="s">
        <v>42</v>
      </c>
      <c r="B159" s="95" t="n">
        <v>1</v>
      </c>
      <c r="C159" s="96" t="s">
        <v>38</v>
      </c>
      <c r="D159" s="17" t="s">
        <v>731</v>
      </c>
      <c r="F159" s="32"/>
    </row>
    <row r="160" customFormat="false" ht="14.25" hidden="false" customHeight="true" outlineLevel="0" collapsed="false">
      <c r="A160" s="94" t="s">
        <v>37</v>
      </c>
      <c r="B160" s="95" t="n">
        <v>2</v>
      </c>
      <c r="C160" s="96" t="s">
        <v>38</v>
      </c>
      <c r="D160" s="17" t="s">
        <v>732</v>
      </c>
    </row>
    <row r="161" customFormat="false" ht="14.25" hidden="false" customHeight="true" outlineLevel="0" collapsed="false">
      <c r="A161" s="94" t="s">
        <v>42</v>
      </c>
      <c r="B161" s="95" t="n">
        <v>2</v>
      </c>
      <c r="C161" s="96" t="s">
        <v>30</v>
      </c>
      <c r="D161" s="17" t="s">
        <v>733</v>
      </c>
      <c r="E161" s="0" t="n">
        <v>1</v>
      </c>
    </row>
    <row r="162" customFormat="false" ht="14.25" hidden="false" customHeight="true" outlineLevel="0" collapsed="false">
      <c r="A162" s="94" t="s">
        <v>39</v>
      </c>
      <c r="B162" s="95" t="n">
        <v>2</v>
      </c>
      <c r="C162" s="96" t="s">
        <v>43</v>
      </c>
      <c r="D162" s="17" t="s">
        <v>734</v>
      </c>
    </row>
    <row r="163" customFormat="false" ht="14.25" hidden="false" customHeight="true" outlineLevel="0" collapsed="false">
      <c r="A163" s="94" t="s">
        <v>36</v>
      </c>
      <c r="B163" s="95" t="n">
        <v>1</v>
      </c>
      <c r="C163" s="96" t="s">
        <v>39</v>
      </c>
      <c r="D163" s="17" t="s">
        <v>735</v>
      </c>
    </row>
    <row r="164" customFormat="false" ht="14.25" hidden="false" customHeight="true" outlineLevel="0" collapsed="false">
      <c r="A164" s="94" t="s">
        <v>39</v>
      </c>
      <c r="B164" s="95" t="n">
        <v>1</v>
      </c>
      <c r="C164" s="96" t="s">
        <v>36</v>
      </c>
      <c r="D164" s="17" t="s">
        <v>736</v>
      </c>
    </row>
    <row r="165" customFormat="false" ht="14.25" hidden="false" customHeight="true" outlineLevel="0" collapsed="false">
      <c r="A165" s="94" t="s">
        <v>39</v>
      </c>
      <c r="B165" s="95" t="n">
        <v>2</v>
      </c>
      <c r="C165" s="96" t="s">
        <v>30</v>
      </c>
      <c r="D165" s="17" t="s">
        <v>737</v>
      </c>
      <c r="E165" s="0" t="n">
        <v>1</v>
      </c>
    </row>
    <row r="166" customFormat="false" ht="14.25" hidden="false" customHeight="true" outlineLevel="0" collapsed="false">
      <c r="A166" s="94" t="s">
        <v>37</v>
      </c>
      <c r="B166" s="95" t="n">
        <v>1</v>
      </c>
      <c r="C166" s="96" t="s">
        <v>32</v>
      </c>
      <c r="D166" s="17" t="s">
        <v>738</v>
      </c>
    </row>
    <row r="167" customFormat="false" ht="14.25" hidden="false" customHeight="true" outlineLevel="0" collapsed="false">
      <c r="A167" s="94" t="s">
        <v>32</v>
      </c>
      <c r="B167" s="95" t="n">
        <v>1</v>
      </c>
      <c r="C167" s="96" t="s">
        <v>37</v>
      </c>
      <c r="D167" s="17" t="s">
        <v>739</v>
      </c>
    </row>
    <row r="168" customFormat="false" ht="14.25" hidden="false" customHeight="true" outlineLevel="0" collapsed="false">
      <c r="A168" s="94" t="s">
        <v>34</v>
      </c>
      <c r="B168" s="95" t="n">
        <v>2</v>
      </c>
      <c r="C168" s="96" t="s">
        <v>37</v>
      </c>
      <c r="D168" s="17" t="s">
        <v>740</v>
      </c>
      <c r="F168" s="85"/>
      <c r="G168" s="85"/>
      <c r="H168" s="85"/>
    </row>
    <row r="169" customFormat="false" ht="14.25" hidden="false" customHeight="true" outlineLevel="0" collapsed="false">
      <c r="A169" s="94" t="s">
        <v>34</v>
      </c>
      <c r="B169" s="95" t="n">
        <v>1</v>
      </c>
      <c r="C169" s="96" t="s">
        <v>32</v>
      </c>
      <c r="D169" s="17" t="s">
        <v>740</v>
      </c>
      <c r="F169" s="85"/>
      <c r="G169" s="85"/>
      <c r="H169" s="85"/>
    </row>
    <row r="170" customFormat="false" ht="14.25" hidden="false" customHeight="true" outlineLevel="0" collapsed="false">
      <c r="A170" s="94" t="s">
        <v>37</v>
      </c>
      <c r="B170" s="95" t="n">
        <v>1</v>
      </c>
      <c r="C170" s="96" t="s">
        <v>34</v>
      </c>
      <c r="D170" s="17" t="s">
        <v>741</v>
      </c>
      <c r="F170" s="85"/>
      <c r="G170" s="85"/>
      <c r="H170" s="85"/>
    </row>
    <row r="171" customFormat="false" ht="14.25" hidden="false" customHeight="true" outlineLevel="0" collapsed="false">
      <c r="A171" s="94" t="s">
        <v>31</v>
      </c>
      <c r="B171" s="95" t="n">
        <v>2</v>
      </c>
      <c r="C171" s="96" t="s">
        <v>35</v>
      </c>
      <c r="D171" s="17" t="s">
        <v>742</v>
      </c>
      <c r="F171" s="85"/>
      <c r="G171" s="85"/>
      <c r="H171" s="85"/>
    </row>
    <row r="172" customFormat="false" ht="14.25" hidden="false" customHeight="true" outlineLevel="0" collapsed="false">
      <c r="A172" s="94" t="s">
        <v>34</v>
      </c>
      <c r="B172" s="95" t="n">
        <v>2</v>
      </c>
      <c r="C172" s="96" t="s">
        <v>33</v>
      </c>
      <c r="D172" s="17" t="s">
        <v>743</v>
      </c>
      <c r="F172" s="85"/>
      <c r="G172" s="85"/>
      <c r="H172" s="85"/>
    </row>
    <row r="173" customFormat="false" ht="14.25" hidden="false" customHeight="true" outlineLevel="0" collapsed="false">
      <c r="A173" s="94" t="s">
        <v>95</v>
      </c>
      <c r="B173" s="95" t="n">
        <v>1</v>
      </c>
      <c r="C173" s="96" t="s">
        <v>42</v>
      </c>
      <c r="D173" s="17" t="s">
        <v>744</v>
      </c>
      <c r="F173" s="85"/>
      <c r="G173" s="85"/>
      <c r="H173" s="85"/>
    </row>
    <row r="174" customFormat="false" ht="14.25" hidden="false" customHeight="true" outlineLevel="0" collapsed="false">
      <c r="A174" s="94" t="s">
        <v>42</v>
      </c>
      <c r="B174" s="95" t="n">
        <v>1</v>
      </c>
      <c r="C174" s="96" t="s">
        <v>95</v>
      </c>
      <c r="D174" s="17" t="s">
        <v>745</v>
      </c>
      <c r="F174" s="85"/>
      <c r="G174" s="85"/>
      <c r="H174" s="85"/>
    </row>
    <row r="175" customFormat="false" ht="14.25" hidden="false" customHeight="true" outlineLevel="0" collapsed="false">
      <c r="A175" s="94" t="s">
        <v>41</v>
      </c>
      <c r="B175" s="95" t="n">
        <v>1</v>
      </c>
      <c r="C175" s="96" t="s">
        <v>39</v>
      </c>
      <c r="D175" s="17" t="s">
        <v>746</v>
      </c>
      <c r="F175" s="85"/>
      <c r="G175" s="85"/>
      <c r="H175" s="85"/>
    </row>
    <row r="176" customFormat="false" ht="14.25" hidden="false" customHeight="true" outlineLevel="0" collapsed="false">
      <c r="A176" s="94" t="s">
        <v>39</v>
      </c>
      <c r="B176" s="95" t="n">
        <v>1</v>
      </c>
      <c r="C176" s="96" t="s">
        <v>41</v>
      </c>
      <c r="D176" s="17" t="s">
        <v>747</v>
      </c>
      <c r="F176" s="85"/>
      <c r="G176" s="85"/>
      <c r="H176" s="85"/>
    </row>
    <row r="177" customFormat="false" ht="14.25" hidden="false" customHeight="true" outlineLevel="0" collapsed="false">
      <c r="A177" s="94" t="s">
        <v>33</v>
      </c>
      <c r="B177" s="95" t="n">
        <v>2</v>
      </c>
      <c r="C177" s="96" t="s">
        <v>37</v>
      </c>
      <c r="D177" s="17" t="s">
        <v>748</v>
      </c>
    </row>
    <row r="178" customFormat="false" ht="14.25" hidden="false" customHeight="true" outlineLevel="0" collapsed="false">
      <c r="A178" s="94" t="s">
        <v>11</v>
      </c>
      <c r="B178" s="95" t="n">
        <v>1</v>
      </c>
      <c r="C178" s="96" t="s">
        <v>34</v>
      </c>
      <c r="D178" s="17" t="s">
        <v>749</v>
      </c>
    </row>
    <row r="179" customFormat="false" ht="14.25" hidden="false" customHeight="true" outlineLevel="0" collapsed="false">
      <c r="A179" s="94" t="s">
        <v>34</v>
      </c>
      <c r="B179" s="95" t="n">
        <v>1</v>
      </c>
      <c r="C179" s="96" t="s">
        <v>11</v>
      </c>
      <c r="D179" s="17" t="s">
        <v>750</v>
      </c>
    </row>
    <row r="180" customFormat="false" ht="14.25" hidden="false" customHeight="true" outlineLevel="0" collapsed="false">
      <c r="A180" s="94" t="s">
        <v>39</v>
      </c>
      <c r="B180" s="95" t="n">
        <v>2</v>
      </c>
      <c r="C180" s="96" t="s">
        <v>36</v>
      </c>
      <c r="D180" s="17" t="s">
        <v>751</v>
      </c>
    </row>
    <row r="181" customFormat="false" ht="14.25" hidden="false" customHeight="true" outlineLevel="0" collapsed="false">
      <c r="A181" s="94" t="s">
        <v>34</v>
      </c>
      <c r="B181" s="95" t="n">
        <v>2</v>
      </c>
      <c r="C181" s="96" t="s">
        <v>37</v>
      </c>
      <c r="D181" s="17" t="s">
        <v>752</v>
      </c>
    </row>
    <row r="182" customFormat="false" ht="14.25" hidden="false" customHeight="true" outlineLevel="0" collapsed="false">
      <c r="A182" s="94" t="s">
        <v>32</v>
      </c>
      <c r="B182" s="95" t="n">
        <v>2</v>
      </c>
      <c r="C182" s="96" t="s">
        <v>42</v>
      </c>
      <c r="D182" s="17" t="s">
        <v>753</v>
      </c>
    </row>
    <row r="183" customFormat="false" ht="14.25" hidden="false" customHeight="true" outlineLevel="0" collapsed="false">
      <c r="A183" s="94" t="s">
        <v>39</v>
      </c>
      <c r="B183" s="95" t="n">
        <v>2</v>
      </c>
      <c r="C183" s="96" t="s">
        <v>31</v>
      </c>
      <c r="D183" s="17" t="s">
        <v>754</v>
      </c>
    </row>
    <row r="184" customFormat="false" ht="14.25" hidden="false" customHeight="true" outlineLevel="0" collapsed="false">
      <c r="A184" s="94" t="s">
        <v>34</v>
      </c>
      <c r="B184" s="95" t="n">
        <v>1</v>
      </c>
      <c r="C184" s="96" t="s">
        <v>36</v>
      </c>
      <c r="D184" s="17" t="s">
        <v>755</v>
      </c>
    </row>
    <row r="185" customFormat="false" ht="14.25" hidden="false" customHeight="true" outlineLevel="0" collapsed="false">
      <c r="A185" s="94" t="s">
        <v>36</v>
      </c>
      <c r="B185" s="95" t="n">
        <v>1</v>
      </c>
      <c r="C185" s="96" t="s">
        <v>34</v>
      </c>
      <c r="D185" s="17" t="s">
        <v>756</v>
      </c>
    </row>
    <row r="186" customFormat="false" ht="14.25" hidden="false" customHeight="true" outlineLevel="0" collapsed="false">
      <c r="A186" s="94" t="s">
        <v>37</v>
      </c>
      <c r="B186" s="95" t="n">
        <v>2</v>
      </c>
      <c r="C186" s="96" t="s">
        <v>34</v>
      </c>
      <c r="D186" s="17" t="s">
        <v>757</v>
      </c>
    </row>
    <row r="187" customFormat="false" ht="14.25" hidden="false" customHeight="true" outlineLevel="0" collapsed="false">
      <c r="A187" s="94" t="s">
        <v>34</v>
      </c>
      <c r="B187" s="95" t="n">
        <v>1</v>
      </c>
      <c r="C187" s="96" t="s">
        <v>37</v>
      </c>
      <c r="D187" s="17" t="s">
        <v>758</v>
      </c>
    </row>
    <row r="188" customFormat="false" ht="14.25" hidden="false" customHeight="true" outlineLevel="0" collapsed="false">
      <c r="A188" s="94" t="s">
        <v>36</v>
      </c>
      <c r="B188" s="95" t="n">
        <v>1</v>
      </c>
      <c r="C188" s="96" t="s">
        <v>38</v>
      </c>
      <c r="D188" s="18" t="s">
        <v>759</v>
      </c>
    </row>
    <row r="189" customFormat="false" ht="14.25" hidden="false" customHeight="true" outlineLevel="0" collapsed="false">
      <c r="A189" s="94" t="s">
        <v>38</v>
      </c>
      <c r="B189" s="95" t="n">
        <v>2</v>
      </c>
      <c r="C189" s="96" t="s">
        <v>36</v>
      </c>
      <c r="D189" s="17" t="s">
        <v>760</v>
      </c>
    </row>
    <row r="190" customFormat="false" ht="14.25" hidden="false" customHeight="true" outlineLevel="0" collapsed="false">
      <c r="A190" s="94" t="s">
        <v>37</v>
      </c>
      <c r="B190" s="95" t="n">
        <v>1</v>
      </c>
      <c r="C190" s="96" t="s">
        <v>34</v>
      </c>
      <c r="D190" s="17" t="s">
        <v>761</v>
      </c>
    </row>
    <row r="191" customFormat="false" ht="14.25" hidden="false" customHeight="true" outlineLevel="0" collapsed="false">
      <c r="A191" s="94" t="s">
        <v>34</v>
      </c>
      <c r="B191" s="95" t="n">
        <v>1</v>
      </c>
      <c r="C191" s="96" t="s">
        <v>37</v>
      </c>
      <c r="D191" s="17" t="s">
        <v>762</v>
      </c>
    </row>
    <row r="192" customFormat="false" ht="14.25" hidden="false" customHeight="true" outlineLevel="0" collapsed="false">
      <c r="A192" s="94" t="s">
        <v>39</v>
      </c>
      <c r="B192" s="95" t="n">
        <v>2</v>
      </c>
      <c r="C192" s="96" t="s">
        <v>32</v>
      </c>
      <c r="D192" s="17" t="s">
        <v>763</v>
      </c>
    </row>
    <row r="193" customFormat="false" ht="14.25" hidden="false" customHeight="true" outlineLevel="0" collapsed="false">
      <c r="A193" s="94" t="s">
        <v>31</v>
      </c>
      <c r="B193" s="95" t="n">
        <v>2</v>
      </c>
      <c r="C193" s="96" t="s">
        <v>37</v>
      </c>
      <c r="D193" s="17" t="s">
        <v>764</v>
      </c>
    </row>
    <row r="194" customFormat="false" ht="14.25" hidden="false" customHeight="true" outlineLevel="0" collapsed="false">
      <c r="A194" s="94" t="s">
        <v>37</v>
      </c>
      <c r="B194" s="95" t="n">
        <v>2</v>
      </c>
      <c r="C194" s="96" t="s">
        <v>32</v>
      </c>
      <c r="D194" s="17" t="s">
        <v>765</v>
      </c>
    </row>
    <row r="195" customFormat="false" ht="14.25" hidden="false" customHeight="true" outlineLevel="0" collapsed="false">
      <c r="A195" s="94" t="s">
        <v>11</v>
      </c>
      <c r="B195" s="95" t="n">
        <v>2</v>
      </c>
      <c r="C195" s="96" t="s">
        <v>31</v>
      </c>
      <c r="D195" s="17" t="s">
        <v>766</v>
      </c>
    </row>
    <row r="196" customFormat="false" ht="14.25" hidden="false" customHeight="true" outlineLevel="0" collapsed="false">
      <c r="A196" s="94" t="s">
        <v>36</v>
      </c>
      <c r="B196" s="95" t="n">
        <v>2</v>
      </c>
      <c r="C196" s="96" t="s">
        <v>31</v>
      </c>
      <c r="D196" s="17" t="s">
        <v>767</v>
      </c>
    </row>
    <row r="197" customFormat="false" ht="14.25" hidden="false" customHeight="true" outlineLevel="0" collapsed="false">
      <c r="A197" s="94" t="s">
        <v>31</v>
      </c>
      <c r="B197" s="95" t="n">
        <v>1</v>
      </c>
      <c r="C197" s="96" t="s">
        <v>36</v>
      </c>
      <c r="D197" s="17" t="s">
        <v>768</v>
      </c>
    </row>
    <row r="198" customFormat="false" ht="14.25" hidden="false" customHeight="true" outlineLevel="0" collapsed="false">
      <c r="A198" s="94" t="s">
        <v>33</v>
      </c>
      <c r="B198" s="95" t="n">
        <v>1</v>
      </c>
      <c r="C198" s="96" t="s">
        <v>40</v>
      </c>
      <c r="D198" s="17" t="s">
        <v>769</v>
      </c>
    </row>
    <row r="199" customFormat="false" ht="14.25" hidden="false" customHeight="true" outlineLevel="0" collapsed="false">
      <c r="A199" s="94" t="s">
        <v>38</v>
      </c>
      <c r="B199" s="95" t="n">
        <v>2</v>
      </c>
      <c r="C199" s="96" t="s">
        <v>32</v>
      </c>
      <c r="D199" s="17" t="s">
        <v>770</v>
      </c>
    </row>
    <row r="200" customFormat="false" ht="14.25" hidden="false" customHeight="true" outlineLevel="0" collapsed="false">
      <c r="A200" s="94" t="s">
        <v>41</v>
      </c>
      <c r="B200" s="95" t="n">
        <v>1</v>
      </c>
      <c r="C200" s="96" t="s">
        <v>40</v>
      </c>
      <c r="D200" s="0" t="s">
        <v>771</v>
      </c>
    </row>
    <row r="201" customFormat="false" ht="14.25" hidden="false" customHeight="true" outlineLevel="0" collapsed="false">
      <c r="A201" s="94" t="s">
        <v>40</v>
      </c>
      <c r="B201" s="95" t="n">
        <v>1</v>
      </c>
      <c r="C201" s="96" t="s">
        <v>41</v>
      </c>
      <c r="D201" s="0" t="s">
        <v>772</v>
      </c>
    </row>
    <row r="202" customFormat="false" ht="14.25" hidden="false" customHeight="true" outlineLevel="0" collapsed="false">
      <c r="A202" s="94" t="s">
        <v>37</v>
      </c>
      <c r="B202" s="95" t="n">
        <v>2</v>
      </c>
      <c r="C202" s="96" t="s">
        <v>32</v>
      </c>
      <c r="D202" s="0" t="s">
        <v>773</v>
      </c>
    </row>
    <row r="203" customFormat="false" ht="14.25" hidden="false" customHeight="true" outlineLevel="0" collapsed="false">
      <c r="A203" s="94" t="s">
        <v>36</v>
      </c>
      <c r="B203" s="95" t="n">
        <v>2</v>
      </c>
      <c r="C203" s="96" t="s">
        <v>42</v>
      </c>
      <c r="D203" s="17" t="s">
        <v>774</v>
      </c>
    </row>
    <row r="204" customFormat="false" ht="14.25" hidden="false" customHeight="true" outlineLevel="0" collapsed="false">
      <c r="A204" s="94" t="s">
        <v>39</v>
      </c>
      <c r="B204" s="95" t="n">
        <v>2</v>
      </c>
      <c r="C204" s="96" t="s">
        <v>30</v>
      </c>
      <c r="D204" s="0" t="s">
        <v>775</v>
      </c>
      <c r="E204" s="0" t="n">
        <v>0</v>
      </c>
    </row>
    <row r="205" customFormat="false" ht="14.25" hidden="false" customHeight="true" outlineLevel="0" collapsed="false">
      <c r="A205" s="94" t="s">
        <v>37</v>
      </c>
      <c r="B205" s="95" t="n">
        <v>2</v>
      </c>
      <c r="C205" s="96" t="s">
        <v>42</v>
      </c>
      <c r="D205" s="0" t="s">
        <v>776</v>
      </c>
    </row>
    <row r="206" customFormat="false" ht="14.25" hidden="false" customHeight="true" outlineLevel="0" collapsed="false">
      <c r="A206" s="94" t="s">
        <v>31</v>
      </c>
      <c r="B206" s="95" t="n">
        <v>1</v>
      </c>
      <c r="C206" s="96" t="s">
        <v>32</v>
      </c>
      <c r="D206" s="0" t="s">
        <v>777</v>
      </c>
    </row>
    <row r="207" customFormat="false" ht="14.25" hidden="false" customHeight="true" outlineLevel="0" collapsed="false">
      <c r="A207" s="94" t="s">
        <v>32</v>
      </c>
      <c r="B207" s="95" t="n">
        <v>1</v>
      </c>
      <c r="C207" s="96" t="s">
        <v>31</v>
      </c>
      <c r="D207" s="0" t="s">
        <v>778</v>
      </c>
    </row>
    <row r="208" customFormat="false" ht="14.25" hidden="false" customHeight="true" outlineLevel="0" collapsed="false">
      <c r="A208" s="94" t="s">
        <v>38</v>
      </c>
      <c r="B208" s="95" t="n">
        <v>2</v>
      </c>
      <c r="C208" s="96" t="s">
        <v>42</v>
      </c>
      <c r="D208" s="0" t="s">
        <v>779</v>
      </c>
    </row>
    <row r="209" customFormat="false" ht="14.25" hidden="false" customHeight="true" outlineLevel="0" collapsed="false">
      <c r="A209" s="94" t="s">
        <v>38</v>
      </c>
      <c r="B209" s="95" t="n">
        <v>1</v>
      </c>
      <c r="C209" s="96" t="s">
        <v>34</v>
      </c>
      <c r="D209" s="0" t="s">
        <v>780</v>
      </c>
    </row>
    <row r="210" customFormat="false" ht="14.25" hidden="false" customHeight="true" outlineLevel="0" collapsed="false">
      <c r="A210" s="94" t="s">
        <v>34</v>
      </c>
      <c r="B210" s="95" t="n">
        <v>1</v>
      </c>
      <c r="C210" s="96" t="s">
        <v>38</v>
      </c>
      <c r="D210" s="0" t="s">
        <v>781</v>
      </c>
    </row>
    <row r="211" customFormat="false" ht="14.25" hidden="false" customHeight="true" outlineLevel="0" collapsed="false">
      <c r="A211" s="94" t="s">
        <v>31</v>
      </c>
      <c r="B211" s="95" t="n">
        <v>2</v>
      </c>
      <c r="C211" s="96" t="s">
        <v>42</v>
      </c>
      <c r="D211" s="0" t="s">
        <v>782</v>
      </c>
    </row>
    <row r="212" customFormat="false" ht="14.25" hidden="false" customHeight="true" outlineLevel="0" collapsed="false">
      <c r="A212" s="94" t="s">
        <v>40</v>
      </c>
      <c r="B212" s="95" t="n">
        <v>1</v>
      </c>
      <c r="C212" s="96" t="s">
        <v>42</v>
      </c>
      <c r="D212" s="0" t="s">
        <v>783</v>
      </c>
    </row>
    <row r="213" customFormat="false" ht="14.25" hidden="false" customHeight="true" outlineLevel="0" collapsed="false">
      <c r="A213" s="94" t="s">
        <v>42</v>
      </c>
      <c r="B213" s="95" t="n">
        <v>1</v>
      </c>
      <c r="C213" s="96" t="s">
        <v>40</v>
      </c>
      <c r="D213" s="0" t="s">
        <v>784</v>
      </c>
    </row>
    <row r="214" customFormat="false" ht="14.25" hidden="false" customHeight="true" outlineLevel="0" collapsed="false">
      <c r="A214" s="94" t="s">
        <v>33</v>
      </c>
      <c r="B214" s="95" t="n">
        <v>1</v>
      </c>
      <c r="C214" s="96" t="s">
        <v>34</v>
      </c>
      <c r="D214" s="0" t="s">
        <v>785</v>
      </c>
    </row>
    <row r="215" customFormat="false" ht="14.25" hidden="false" customHeight="true" outlineLevel="0" collapsed="false">
      <c r="A215" s="94" t="s">
        <v>34</v>
      </c>
      <c r="B215" s="95" t="n">
        <v>1</v>
      </c>
      <c r="C215" s="96" t="s">
        <v>33</v>
      </c>
      <c r="D215" s="0" t="s">
        <v>786</v>
      </c>
    </row>
    <row r="216" customFormat="false" ht="14.25" hidden="false" customHeight="true" outlineLevel="0" collapsed="false">
      <c r="A216" s="94" t="s">
        <v>36</v>
      </c>
      <c r="B216" s="95" t="n">
        <v>2</v>
      </c>
      <c r="C216" s="96" t="s">
        <v>11</v>
      </c>
      <c r="D216" s="0" t="s">
        <v>787</v>
      </c>
    </row>
    <row r="217" customFormat="false" ht="14.25" hidden="false" customHeight="true" outlineLevel="0" collapsed="false">
      <c r="A217" s="94" t="s">
        <v>11</v>
      </c>
      <c r="B217" s="95" t="n">
        <v>1</v>
      </c>
      <c r="C217" s="96" t="s">
        <v>36</v>
      </c>
      <c r="D217" s="0" t="s">
        <v>788</v>
      </c>
    </row>
    <row r="218" customFormat="false" ht="14.25" hidden="false" customHeight="true" outlineLevel="0" collapsed="false">
      <c r="A218" s="94" t="s">
        <v>33</v>
      </c>
      <c r="B218" s="95" t="n">
        <v>2</v>
      </c>
      <c r="C218" s="96" t="s">
        <v>34</v>
      </c>
      <c r="D218" s="0" t="s">
        <v>789</v>
      </c>
    </row>
    <row r="219" customFormat="false" ht="14.25" hidden="false" customHeight="true" outlineLevel="0" collapsed="false">
      <c r="A219" s="94" t="s">
        <v>39</v>
      </c>
      <c r="B219" s="95" t="n">
        <v>2</v>
      </c>
      <c r="C219" s="96" t="s">
        <v>34</v>
      </c>
      <c r="D219" s="0" t="s">
        <v>790</v>
      </c>
    </row>
    <row r="220" customFormat="false" ht="14.25" hidden="false" customHeight="true" outlineLevel="0" collapsed="false">
      <c r="A220" s="94" t="s">
        <v>34</v>
      </c>
      <c r="B220" s="95" t="n">
        <v>1</v>
      </c>
      <c r="C220" s="96" t="s">
        <v>33</v>
      </c>
      <c r="D220" s="17" t="s">
        <v>791</v>
      </c>
    </row>
    <row r="221" customFormat="false" ht="14.25" hidden="false" customHeight="true" outlineLevel="0" collapsed="false">
      <c r="A221" s="94" t="s">
        <v>34</v>
      </c>
      <c r="B221" s="95" t="n">
        <v>1</v>
      </c>
      <c r="C221" s="96" t="s">
        <v>39</v>
      </c>
      <c r="D221" s="0" t="s">
        <v>791</v>
      </c>
    </row>
    <row r="222" customFormat="false" ht="14.25" hidden="false" customHeight="true" outlineLevel="0" collapsed="false">
      <c r="A222" s="94" t="s">
        <v>36</v>
      </c>
      <c r="B222" s="95" t="n">
        <v>1</v>
      </c>
      <c r="C222" s="96" t="s">
        <v>33</v>
      </c>
      <c r="D222" s="0" t="s">
        <v>792</v>
      </c>
    </row>
    <row r="223" customFormat="false" ht="14.25" hidden="false" customHeight="true" outlineLevel="0" collapsed="false">
      <c r="A223" s="94" t="s">
        <v>36</v>
      </c>
      <c r="B223" s="95" t="n">
        <v>1</v>
      </c>
      <c r="C223" s="96" t="s">
        <v>39</v>
      </c>
      <c r="D223" s="18" t="s">
        <v>792</v>
      </c>
    </row>
    <row r="224" customFormat="false" ht="14.25" hidden="false" customHeight="true" outlineLevel="0" collapsed="false">
      <c r="A224" s="94" t="s">
        <v>31</v>
      </c>
      <c r="B224" s="95" t="n">
        <v>2</v>
      </c>
      <c r="C224" s="96" t="s">
        <v>32</v>
      </c>
      <c r="D224" s="0" t="s">
        <v>793</v>
      </c>
    </row>
    <row r="225" customFormat="false" ht="14.25" hidden="false" customHeight="true" outlineLevel="0" collapsed="false">
      <c r="A225" s="94" t="s">
        <v>31</v>
      </c>
      <c r="B225" s="95" t="n">
        <v>1</v>
      </c>
      <c r="C225" s="96" t="s">
        <v>37</v>
      </c>
      <c r="D225" s="0" t="s">
        <v>794</v>
      </c>
    </row>
    <row r="226" customFormat="false" ht="14.25" hidden="false" customHeight="true" outlineLevel="0" collapsed="false">
      <c r="A226" s="94" t="s">
        <v>37</v>
      </c>
      <c r="B226" s="95" t="n">
        <v>1</v>
      </c>
      <c r="C226" s="96" t="s">
        <v>31</v>
      </c>
      <c r="D226" s="0" t="s">
        <v>795</v>
      </c>
    </row>
    <row r="227" customFormat="false" ht="14.25" hidden="false" customHeight="true" outlineLevel="0" collapsed="false">
      <c r="A227" s="94" t="s">
        <v>32</v>
      </c>
      <c r="B227" s="95" t="n">
        <v>1</v>
      </c>
      <c r="C227" s="96" t="s">
        <v>31</v>
      </c>
      <c r="D227" s="0" t="s">
        <v>796</v>
      </c>
    </row>
    <row r="228" customFormat="false" ht="14.25" hidden="false" customHeight="true" outlineLevel="0" collapsed="false">
      <c r="A228" s="94" t="s">
        <v>34</v>
      </c>
      <c r="B228" s="95" t="n">
        <v>1</v>
      </c>
      <c r="C228" s="96" t="s">
        <v>35</v>
      </c>
      <c r="D228" s="0" t="s">
        <v>797</v>
      </c>
    </row>
    <row r="229" customFormat="false" ht="14.25" hidden="false" customHeight="true" outlineLevel="0" collapsed="false">
      <c r="A229" s="94" t="s">
        <v>31</v>
      </c>
      <c r="B229" s="95" t="n">
        <v>2</v>
      </c>
      <c r="C229" s="96" t="s">
        <v>32</v>
      </c>
      <c r="D229" s="0" t="s">
        <v>798</v>
      </c>
    </row>
    <row r="230" customFormat="false" ht="14.25" hidden="false" customHeight="true" outlineLevel="0" collapsed="false">
      <c r="A230" s="94" t="s">
        <v>31</v>
      </c>
      <c r="B230" s="95" t="n">
        <v>1</v>
      </c>
      <c r="C230" s="96" t="s">
        <v>32</v>
      </c>
      <c r="D230" s="0" t="s">
        <v>799</v>
      </c>
    </row>
    <row r="231" customFormat="false" ht="14.25" hidden="false" customHeight="true" outlineLevel="0" collapsed="false">
      <c r="A231" s="94" t="s">
        <v>31</v>
      </c>
      <c r="B231" s="95" t="n">
        <v>1</v>
      </c>
      <c r="C231" s="96" t="s">
        <v>32</v>
      </c>
      <c r="D231" s="0" t="s">
        <v>800</v>
      </c>
    </row>
    <row r="232" customFormat="false" ht="14.25" hidden="false" customHeight="true" outlineLevel="0" collapsed="false">
      <c r="A232" s="94" t="s">
        <v>32</v>
      </c>
      <c r="B232" s="95" t="n">
        <v>1</v>
      </c>
      <c r="C232" s="96" t="s">
        <v>31</v>
      </c>
      <c r="D232" s="0" t="s">
        <v>801</v>
      </c>
    </row>
    <row r="233" customFormat="false" ht="14.25" hidden="false" customHeight="true" outlineLevel="0" collapsed="false">
      <c r="A233" s="94" t="s">
        <v>39</v>
      </c>
      <c r="B233" s="95" t="n">
        <v>2</v>
      </c>
      <c r="C233" s="96" t="s">
        <v>30</v>
      </c>
      <c r="D233" s="0" t="s">
        <v>802</v>
      </c>
      <c r="E233" s="0" t="n">
        <v>1</v>
      </c>
    </row>
    <row r="234" customFormat="false" ht="14.25" hidden="false" customHeight="true" outlineLevel="0" collapsed="false">
      <c r="A234" s="94" t="s">
        <v>39</v>
      </c>
      <c r="B234" s="95" t="n">
        <v>2</v>
      </c>
      <c r="C234" s="96" t="s">
        <v>43</v>
      </c>
      <c r="D234" s="0" t="s">
        <v>803</v>
      </c>
    </row>
    <row r="235" customFormat="false" ht="14.25" hidden="false" customHeight="true" outlineLevel="0" collapsed="false">
      <c r="A235" s="94" t="s">
        <v>32</v>
      </c>
      <c r="B235" s="95" t="n">
        <v>2</v>
      </c>
      <c r="C235" s="96" t="s">
        <v>36</v>
      </c>
      <c r="D235" s="0" t="s">
        <v>804</v>
      </c>
    </row>
    <row r="236" customFormat="false" ht="14.25" hidden="false" customHeight="true" outlineLevel="0" collapsed="false">
      <c r="A236" s="94" t="s">
        <v>37</v>
      </c>
      <c r="B236" s="95" t="n">
        <v>2</v>
      </c>
      <c r="C236" s="96" t="s">
        <v>42</v>
      </c>
      <c r="D236" s="0" t="s">
        <v>805</v>
      </c>
    </row>
    <row r="237" customFormat="false" ht="14.25" hidden="false" customHeight="true" outlineLevel="0" collapsed="false">
      <c r="A237" s="94" t="s">
        <v>39</v>
      </c>
      <c r="B237" s="95" t="n">
        <v>2</v>
      </c>
      <c r="C237" s="96" t="s">
        <v>42</v>
      </c>
      <c r="D237" s="0" t="s">
        <v>806</v>
      </c>
    </row>
    <row r="238" customFormat="false" ht="14.25" hidden="false" customHeight="true" outlineLevel="0" collapsed="false">
      <c r="A238" s="94" t="s">
        <v>31</v>
      </c>
      <c r="B238" s="95" t="n">
        <v>1</v>
      </c>
      <c r="C238" s="96" t="s">
        <v>32</v>
      </c>
      <c r="D238" s="0" t="s">
        <v>807</v>
      </c>
    </row>
    <row r="239" customFormat="false" ht="14.25" hidden="false" customHeight="true" outlineLevel="0" collapsed="false">
      <c r="A239" s="94" t="s">
        <v>32</v>
      </c>
      <c r="B239" s="95" t="n">
        <v>1</v>
      </c>
      <c r="C239" s="96" t="s">
        <v>31</v>
      </c>
      <c r="D239" s="0" t="s">
        <v>808</v>
      </c>
    </row>
    <row r="240" customFormat="false" ht="14.25" hidden="false" customHeight="true" outlineLevel="0" collapsed="false">
      <c r="A240" s="94" t="s">
        <v>41</v>
      </c>
      <c r="B240" s="95" t="n">
        <v>1</v>
      </c>
      <c r="C240" s="96" t="s">
        <v>32</v>
      </c>
      <c r="D240" s="0" t="s">
        <v>809</v>
      </c>
    </row>
    <row r="241" customFormat="false" ht="14.25" hidden="false" customHeight="true" outlineLevel="0" collapsed="false">
      <c r="A241" s="94" t="s">
        <v>32</v>
      </c>
      <c r="B241" s="95" t="n">
        <v>1</v>
      </c>
      <c r="C241" s="96" t="s">
        <v>41</v>
      </c>
      <c r="D241" s="0" t="s">
        <v>810</v>
      </c>
    </row>
    <row r="242" customFormat="false" ht="14.25" hidden="false" customHeight="true" outlineLevel="0" collapsed="false">
      <c r="A242" s="94" t="s">
        <v>33</v>
      </c>
      <c r="B242" s="95" t="n">
        <v>1</v>
      </c>
      <c r="C242" s="96" t="s">
        <v>42</v>
      </c>
      <c r="D242" s="0" t="s">
        <v>811</v>
      </c>
    </row>
    <row r="243" customFormat="false" ht="14.25" hidden="false" customHeight="true" outlineLevel="0" collapsed="false">
      <c r="A243" s="94" t="s">
        <v>42</v>
      </c>
      <c r="B243" s="95" t="n">
        <v>1</v>
      </c>
      <c r="C243" s="96" t="s">
        <v>33</v>
      </c>
      <c r="D243" s="0" t="s">
        <v>812</v>
      </c>
    </row>
    <row r="244" customFormat="false" ht="14.25" hidden="false" customHeight="true" outlineLevel="0" collapsed="false">
      <c r="A244" s="94" t="s">
        <v>42</v>
      </c>
      <c r="B244" s="95" t="n">
        <v>2</v>
      </c>
      <c r="C244" s="96" t="s">
        <v>32</v>
      </c>
      <c r="D244" s="0" t="s">
        <v>813</v>
      </c>
    </row>
    <row r="245" customFormat="false" ht="14.25" hidden="false" customHeight="true" outlineLevel="0" collapsed="false">
      <c r="A245" s="94" t="s">
        <v>36</v>
      </c>
      <c r="B245" s="95" t="n">
        <v>1</v>
      </c>
      <c r="C245" s="96" t="s">
        <v>33</v>
      </c>
      <c r="D245" s="0" t="s">
        <v>814</v>
      </c>
    </row>
    <row r="246" customFormat="false" ht="14.25" hidden="false" customHeight="true" outlineLevel="0" collapsed="false">
      <c r="A246" s="94" t="s">
        <v>34</v>
      </c>
      <c r="B246" s="95" t="n">
        <v>2</v>
      </c>
      <c r="C246" s="96" t="s">
        <v>31</v>
      </c>
      <c r="D246" s="6" t="s">
        <v>815</v>
      </c>
    </row>
    <row r="247" customFormat="false" ht="14.25" hidden="false" customHeight="true" outlineLevel="0" collapsed="false">
      <c r="A247" s="94" t="s">
        <v>39</v>
      </c>
      <c r="B247" s="95" t="n">
        <v>2</v>
      </c>
      <c r="C247" s="96" t="s">
        <v>36</v>
      </c>
      <c r="D247" s="0" t="s">
        <v>816</v>
      </c>
    </row>
    <row r="248" customFormat="false" ht="14.25" hidden="false" customHeight="true" outlineLevel="0" collapsed="false">
      <c r="A248" s="94" t="s">
        <v>36</v>
      </c>
      <c r="B248" s="95" t="n">
        <v>1</v>
      </c>
      <c r="C248" s="96" t="s">
        <v>39</v>
      </c>
      <c r="D248" s="17" t="s">
        <v>817</v>
      </c>
    </row>
    <row r="249" customFormat="false" ht="14.25" hidden="false" customHeight="true" outlineLevel="0" collapsed="false">
      <c r="A249" s="94" t="s">
        <v>39</v>
      </c>
      <c r="B249" s="95" t="n">
        <v>1</v>
      </c>
      <c r="C249" s="96" t="s">
        <v>36</v>
      </c>
      <c r="D249" s="76" t="s">
        <v>818</v>
      </c>
    </row>
    <row r="250" customFormat="false" ht="14.25" hidden="false" customHeight="true" outlineLevel="0" collapsed="false">
      <c r="A250" s="122" t="s">
        <v>34</v>
      </c>
      <c r="B250" s="95" t="n">
        <v>2</v>
      </c>
      <c r="C250" s="123" t="s">
        <v>36</v>
      </c>
      <c r="D250" s="0" t="s">
        <v>819</v>
      </c>
    </row>
    <row r="251" customFormat="false" ht="14.25" hidden="false" customHeight="true" outlineLevel="0" collapsed="false">
      <c r="A251" s="122" t="s">
        <v>31</v>
      </c>
      <c r="B251" s="95" t="n">
        <v>2</v>
      </c>
      <c r="C251" s="123" t="s">
        <v>32</v>
      </c>
      <c r="D251" s="76" t="s">
        <v>820</v>
      </c>
    </row>
    <row r="252" customFormat="false" ht="14.25" hidden="false" customHeight="true" outlineLevel="0" collapsed="false">
      <c r="A252" s="122" t="s">
        <v>31</v>
      </c>
      <c r="B252" s="95" t="n">
        <v>1</v>
      </c>
      <c r="C252" s="123" t="s">
        <v>39</v>
      </c>
      <c r="D252" s="0" t="s">
        <v>821</v>
      </c>
    </row>
    <row r="253" customFormat="false" ht="14.25" hidden="false" customHeight="true" outlineLevel="0" collapsed="false">
      <c r="A253" s="122" t="s">
        <v>39</v>
      </c>
      <c r="B253" s="95" t="n">
        <v>1</v>
      </c>
      <c r="C253" s="123" t="s">
        <v>31</v>
      </c>
      <c r="D253" s="0" t="s">
        <v>822</v>
      </c>
    </row>
    <row r="254" customFormat="false" ht="14.25" hidden="false" customHeight="true" outlineLevel="0" collapsed="false">
      <c r="A254" s="122" t="s">
        <v>33</v>
      </c>
      <c r="B254" s="95" t="n">
        <v>1</v>
      </c>
      <c r="C254" s="123" t="s">
        <v>34</v>
      </c>
      <c r="D254" s="0" t="s">
        <v>823</v>
      </c>
    </row>
    <row r="255" customFormat="false" ht="14.25" hidden="false" customHeight="true" outlineLevel="0" collapsed="false">
      <c r="A255" s="122" t="s">
        <v>34</v>
      </c>
      <c r="B255" s="95" t="n">
        <v>1</v>
      </c>
      <c r="C255" s="123" t="s">
        <v>33</v>
      </c>
      <c r="D255" s="0" t="s">
        <v>824</v>
      </c>
    </row>
    <row r="256" customFormat="false" ht="14.25" hidden="false" customHeight="true" outlineLevel="0" collapsed="false">
      <c r="A256" s="122" t="s">
        <v>39</v>
      </c>
      <c r="B256" s="95" t="n">
        <v>1</v>
      </c>
      <c r="C256" s="123" t="s">
        <v>31</v>
      </c>
      <c r="D256" s="0" t="s">
        <v>825</v>
      </c>
    </row>
    <row r="257" customFormat="false" ht="14.25" hidden="false" customHeight="true" outlineLevel="0" collapsed="false">
      <c r="A257" s="122" t="s">
        <v>31</v>
      </c>
      <c r="B257" s="95" t="n">
        <v>1</v>
      </c>
      <c r="C257" s="123" t="s">
        <v>39</v>
      </c>
      <c r="D257" s="0" t="s">
        <v>826</v>
      </c>
    </row>
    <row r="258" customFormat="false" ht="14.25" hidden="false" customHeight="true" outlineLevel="0" collapsed="false">
      <c r="A258" s="122" t="s">
        <v>95</v>
      </c>
      <c r="B258" s="95" t="n">
        <v>2</v>
      </c>
      <c r="C258" s="123" t="s">
        <v>41</v>
      </c>
      <c r="D258" s="0" t="s">
        <v>827</v>
      </c>
    </row>
    <row r="259" customFormat="false" ht="14.25" hidden="false" customHeight="true" outlineLevel="0" collapsed="false">
      <c r="A259" s="122" t="s">
        <v>41</v>
      </c>
      <c r="B259" s="95" t="n">
        <v>1</v>
      </c>
      <c r="C259" s="123" t="s">
        <v>95</v>
      </c>
      <c r="D259" s="0" t="s">
        <v>828</v>
      </c>
    </row>
    <row r="260" customFormat="false" ht="14.25" hidden="false" customHeight="true" outlineLevel="0" collapsed="false">
      <c r="A260" s="122" t="s">
        <v>37</v>
      </c>
      <c r="B260" s="95" t="n">
        <v>2</v>
      </c>
      <c r="C260" s="123" t="s">
        <v>31</v>
      </c>
      <c r="D260" s="0" t="s">
        <v>829</v>
      </c>
    </row>
    <row r="261" customFormat="false" ht="14.25" hidden="false" customHeight="true" outlineLevel="0" collapsed="false">
      <c r="A261" s="122" t="s">
        <v>31</v>
      </c>
      <c r="B261" s="95" t="n">
        <v>1</v>
      </c>
      <c r="C261" s="123" t="s">
        <v>37</v>
      </c>
      <c r="D261" s="0" t="s">
        <v>830</v>
      </c>
    </row>
    <row r="262" customFormat="false" ht="14.25" hidden="false" customHeight="true" outlineLevel="0" collapsed="false">
      <c r="A262" s="122" t="s">
        <v>36</v>
      </c>
      <c r="B262" s="95" t="n">
        <v>2</v>
      </c>
      <c r="C262" s="123" t="s">
        <v>32</v>
      </c>
      <c r="D262" s="0" t="s">
        <v>831</v>
      </c>
    </row>
    <row r="263" customFormat="false" ht="14.25" hidden="false" customHeight="true" outlineLevel="0" collapsed="false">
      <c r="A263" s="122" t="s">
        <v>41</v>
      </c>
      <c r="B263" s="95" t="n">
        <v>1</v>
      </c>
      <c r="C263" s="123" t="s">
        <v>32</v>
      </c>
      <c r="D263" s="0" t="s">
        <v>832</v>
      </c>
    </row>
    <row r="264" customFormat="false" ht="14.25" hidden="false" customHeight="true" outlineLevel="0" collapsed="false">
      <c r="A264" s="122" t="s">
        <v>32</v>
      </c>
      <c r="B264" s="95" t="n">
        <v>1</v>
      </c>
      <c r="C264" s="123" t="s">
        <v>41</v>
      </c>
      <c r="D264" s="0" t="s">
        <v>833</v>
      </c>
    </row>
    <row r="265" customFormat="false" ht="14.25" hidden="false" customHeight="true" outlineLevel="0" collapsed="false">
      <c r="A265" s="122" t="s">
        <v>42</v>
      </c>
      <c r="B265" s="95" t="n">
        <v>2</v>
      </c>
      <c r="C265" s="123" t="s">
        <v>37</v>
      </c>
      <c r="D265" s="0" t="s">
        <v>834</v>
      </c>
    </row>
    <row r="266" customFormat="false" ht="14.25" hidden="false" customHeight="true" outlineLevel="0" collapsed="false">
      <c r="A266" s="122" t="s">
        <v>43</v>
      </c>
      <c r="B266" s="95" t="n">
        <v>2</v>
      </c>
      <c r="C266" s="123" t="s">
        <v>42</v>
      </c>
      <c r="D266" s="0" t="s">
        <v>835</v>
      </c>
    </row>
    <row r="267" customFormat="false" ht="14.25" hidden="false" customHeight="true" outlineLevel="0" collapsed="false">
      <c r="A267" s="122" t="s">
        <v>37</v>
      </c>
      <c r="B267" s="95" t="n">
        <v>2</v>
      </c>
      <c r="C267" s="123" t="s">
        <v>38</v>
      </c>
      <c r="D267" s="0" t="s">
        <v>836</v>
      </c>
    </row>
    <row r="268" customFormat="false" ht="14.25" hidden="false" customHeight="true" outlineLevel="0" collapsed="false">
      <c r="A268" s="122" t="s">
        <v>39</v>
      </c>
      <c r="B268" s="95" t="n">
        <v>2</v>
      </c>
      <c r="C268" s="123" t="s">
        <v>38</v>
      </c>
      <c r="D268" s="0" t="s">
        <v>837</v>
      </c>
    </row>
    <row r="269" customFormat="false" ht="14.25" hidden="false" customHeight="true" outlineLevel="0" collapsed="false">
      <c r="A269" s="122" t="s">
        <v>33</v>
      </c>
      <c r="B269" s="95" t="n">
        <v>2</v>
      </c>
      <c r="C269" s="123" t="s">
        <v>38</v>
      </c>
      <c r="D269" s="0" t="s">
        <v>838</v>
      </c>
    </row>
    <row r="270" customFormat="false" ht="14.25" hidden="false" customHeight="true" outlineLevel="0" collapsed="false">
      <c r="A270" s="122" t="s">
        <v>32</v>
      </c>
      <c r="B270" s="95" t="n">
        <v>2</v>
      </c>
      <c r="C270" s="123" t="s">
        <v>38</v>
      </c>
      <c r="D270" s="0" t="s">
        <v>839</v>
      </c>
    </row>
    <row r="271" customFormat="false" ht="14.25" hidden="false" customHeight="true" outlineLevel="0" collapsed="false">
      <c r="A271" s="122" t="s">
        <v>31</v>
      </c>
      <c r="B271" s="95" t="n">
        <v>2</v>
      </c>
      <c r="C271" s="123" t="s">
        <v>32</v>
      </c>
      <c r="D271" s="0" t="s">
        <v>840</v>
      </c>
    </row>
    <row r="272" customFormat="false" ht="14.25" hidden="false" customHeight="true" outlineLevel="0" collapsed="false">
      <c r="A272" s="122" t="s">
        <v>39</v>
      </c>
      <c r="B272" s="95" t="n">
        <v>1</v>
      </c>
      <c r="C272" s="123" t="s">
        <v>35</v>
      </c>
      <c r="D272" s="0" t="s">
        <v>841</v>
      </c>
    </row>
    <row r="273" customFormat="false" ht="14.25" hidden="false" customHeight="true" outlineLevel="0" collapsed="false">
      <c r="A273" s="122" t="s">
        <v>37</v>
      </c>
      <c r="B273" s="95" t="n">
        <v>1</v>
      </c>
      <c r="C273" s="123" t="s">
        <v>43</v>
      </c>
      <c r="D273" s="0" t="s">
        <v>842</v>
      </c>
    </row>
    <row r="274" customFormat="false" ht="14.25" hidden="false" customHeight="true" outlineLevel="0" collapsed="false">
      <c r="A274" s="122" t="s">
        <v>43</v>
      </c>
      <c r="B274" s="95" t="n">
        <v>1</v>
      </c>
      <c r="C274" s="123" t="s">
        <v>37</v>
      </c>
      <c r="D274" s="0" t="s">
        <v>843</v>
      </c>
    </row>
    <row r="275" customFormat="false" ht="14.25" hidden="false" customHeight="true" outlineLevel="0" collapsed="false">
      <c r="A275" s="122" t="s">
        <v>42</v>
      </c>
      <c r="B275" s="95" t="n">
        <v>2</v>
      </c>
      <c r="C275" s="123" t="s">
        <v>37</v>
      </c>
      <c r="D275" s="0" t="s">
        <v>844</v>
      </c>
    </row>
    <row r="276" customFormat="false" ht="14.25" hidden="false" customHeight="true" outlineLevel="0" collapsed="false">
      <c r="A276" s="122" t="s">
        <v>38</v>
      </c>
      <c r="B276" s="95" t="n">
        <v>2</v>
      </c>
      <c r="C276" s="123" t="s">
        <v>42</v>
      </c>
      <c r="D276" s="0" t="s">
        <v>845</v>
      </c>
    </row>
    <row r="277" customFormat="false" ht="14.25" hidden="false" customHeight="true" outlineLevel="0" collapsed="false">
      <c r="A277" s="122" t="s">
        <v>42</v>
      </c>
      <c r="B277" s="95" t="n">
        <v>1</v>
      </c>
      <c r="C277" s="123" t="s">
        <v>38</v>
      </c>
      <c r="D277" s="0" t="s">
        <v>846</v>
      </c>
    </row>
    <row r="278" customFormat="false" ht="14.25" hidden="false" customHeight="true" outlineLevel="0" collapsed="false">
      <c r="A278" s="122" t="s">
        <v>39</v>
      </c>
      <c r="B278" s="95" t="n">
        <v>2</v>
      </c>
      <c r="C278" s="123" t="s">
        <v>31</v>
      </c>
      <c r="D278" s="0" t="s">
        <v>847</v>
      </c>
    </row>
    <row r="279" customFormat="false" ht="14.25" hidden="false" customHeight="true" outlineLevel="0" collapsed="false">
      <c r="A279" s="122" t="s">
        <v>31</v>
      </c>
      <c r="B279" s="95" t="n">
        <v>1</v>
      </c>
      <c r="C279" s="123" t="s">
        <v>39</v>
      </c>
      <c r="D279" s="0" t="s">
        <v>848</v>
      </c>
    </row>
    <row r="280" customFormat="false" ht="14.25" hidden="false" customHeight="true" outlineLevel="0" collapsed="false">
      <c r="A280" s="122" t="s">
        <v>41</v>
      </c>
      <c r="B280" s="95" t="n">
        <v>2</v>
      </c>
      <c r="C280" s="123" t="s">
        <v>43</v>
      </c>
      <c r="D280" s="0" t="s">
        <v>849</v>
      </c>
    </row>
    <row r="281" customFormat="false" ht="14.25" hidden="false" customHeight="true" outlineLevel="0" collapsed="false">
      <c r="A281" s="122" t="s">
        <v>38</v>
      </c>
      <c r="B281" s="95" t="n">
        <v>2</v>
      </c>
      <c r="C281" s="123" t="s">
        <v>32</v>
      </c>
      <c r="D281" s="0" t="s">
        <v>850</v>
      </c>
    </row>
    <row r="282" customFormat="false" ht="14.25" hidden="false" customHeight="true" outlineLevel="0" collapsed="false">
      <c r="A282" s="122" t="s">
        <v>34</v>
      </c>
      <c r="B282" s="95" t="n">
        <v>1</v>
      </c>
      <c r="C282" s="123" t="s">
        <v>30</v>
      </c>
      <c r="D282" s="0" t="s">
        <v>851</v>
      </c>
      <c r="E282" s="0" t="n">
        <v>0</v>
      </c>
    </row>
    <row r="283" customFormat="false" ht="14.25" hidden="false" customHeight="true" outlineLevel="0" collapsed="false">
      <c r="A283" s="122" t="s">
        <v>30</v>
      </c>
      <c r="B283" s="95" t="n">
        <v>1</v>
      </c>
      <c r="C283" s="123" t="s">
        <v>34</v>
      </c>
      <c r="D283" s="0" t="s">
        <v>852</v>
      </c>
    </row>
    <row r="284" customFormat="false" ht="14.25" hidden="false" customHeight="true" outlineLevel="0" collapsed="false">
      <c r="A284" s="122" t="s">
        <v>34</v>
      </c>
      <c r="B284" s="95" t="n">
        <v>2</v>
      </c>
      <c r="C284" s="123" t="s">
        <v>37</v>
      </c>
      <c r="D284" s="0" t="s">
        <v>853</v>
      </c>
    </row>
    <row r="285" customFormat="false" ht="14.25" hidden="false" customHeight="true" outlineLevel="0" collapsed="false">
      <c r="A285" s="122" t="s">
        <v>39</v>
      </c>
      <c r="B285" s="95" t="n">
        <v>2</v>
      </c>
      <c r="C285" s="123" t="s">
        <v>30</v>
      </c>
      <c r="D285" s="0" t="s">
        <v>854</v>
      </c>
    </row>
    <row r="286" customFormat="false" ht="14.25" hidden="false" customHeight="true" outlineLevel="0" collapsed="false">
      <c r="A286" s="122" t="s">
        <v>30</v>
      </c>
      <c r="B286" s="95" t="n">
        <v>1</v>
      </c>
      <c r="C286" s="123" t="s">
        <v>39</v>
      </c>
      <c r="D286" s="18" t="s">
        <v>855</v>
      </c>
    </row>
    <row r="287" customFormat="false" ht="14.25" hidden="false" customHeight="true" outlineLevel="0" collapsed="false">
      <c r="A287" s="94" t="s">
        <v>39</v>
      </c>
      <c r="B287" s="95" t="n">
        <v>1</v>
      </c>
      <c r="C287" s="96" t="s">
        <v>43</v>
      </c>
      <c r="D287" s="0" t="s">
        <v>856</v>
      </c>
    </row>
    <row r="288" customFormat="false" ht="14.25" hidden="false" customHeight="true" outlineLevel="0" collapsed="false">
      <c r="A288" s="94" t="s">
        <v>30</v>
      </c>
      <c r="B288" s="95" t="n">
        <v>2</v>
      </c>
      <c r="C288" s="96" t="s">
        <v>43</v>
      </c>
      <c r="D288" s="0" t="s">
        <v>857</v>
      </c>
    </row>
    <row r="289" customFormat="false" ht="14.25" hidden="false" customHeight="true" outlineLevel="0" collapsed="false">
      <c r="A289" s="94" t="s">
        <v>41</v>
      </c>
      <c r="B289" s="95" t="n">
        <v>2</v>
      </c>
      <c r="C289" s="96" t="s">
        <v>30</v>
      </c>
      <c r="D289" s="0" t="s">
        <v>858</v>
      </c>
      <c r="E289" s="0" t="n">
        <v>1</v>
      </c>
    </row>
    <row r="290" customFormat="false" ht="14.25" hidden="false" customHeight="true" outlineLevel="0" collapsed="false">
      <c r="A290" s="94" t="s">
        <v>31</v>
      </c>
      <c r="B290" s="95" t="n">
        <v>1</v>
      </c>
      <c r="C290" s="96" t="s">
        <v>34</v>
      </c>
      <c r="D290" s="0" t="s">
        <v>859</v>
      </c>
    </row>
    <row r="291" customFormat="false" ht="14.25" hidden="false" customHeight="true" outlineLevel="0" collapsed="false">
      <c r="A291" s="94" t="s">
        <v>34</v>
      </c>
      <c r="B291" s="95" t="n">
        <v>1</v>
      </c>
      <c r="C291" s="96" t="s">
        <v>31</v>
      </c>
      <c r="D291" s="0" t="s">
        <v>860</v>
      </c>
    </row>
    <row r="292" customFormat="false" ht="14.25" hidden="false" customHeight="true" outlineLevel="0" collapsed="false">
      <c r="A292" s="94" t="s">
        <v>37</v>
      </c>
      <c r="B292" s="95" t="n">
        <v>2</v>
      </c>
      <c r="C292" s="96" t="s">
        <v>32</v>
      </c>
      <c r="D292" s="0" t="s">
        <v>861</v>
      </c>
    </row>
    <row r="293" customFormat="false" ht="14.25" hidden="false" customHeight="true" outlineLevel="0" collapsed="false">
      <c r="A293" s="94" t="s">
        <v>31</v>
      </c>
      <c r="B293" s="95" t="n">
        <v>1</v>
      </c>
      <c r="C293" s="96" t="s">
        <v>34</v>
      </c>
      <c r="D293" s="0" t="s">
        <v>862</v>
      </c>
    </row>
    <row r="294" customFormat="false" ht="14.25" hidden="false" customHeight="true" outlineLevel="0" collapsed="false">
      <c r="A294" s="94" t="s">
        <v>34</v>
      </c>
      <c r="B294" s="95" t="n">
        <v>1</v>
      </c>
      <c r="C294" s="96" t="s">
        <v>31</v>
      </c>
      <c r="D294" s="0" t="s">
        <v>863</v>
      </c>
    </row>
    <row r="295" customFormat="false" ht="14.25" hidden="false" customHeight="true" outlineLevel="0" collapsed="false">
      <c r="A295" s="94" t="s">
        <v>34</v>
      </c>
      <c r="B295" s="95" t="n">
        <v>1</v>
      </c>
      <c r="C295" s="96" t="s">
        <v>32</v>
      </c>
      <c r="D295" s="0" t="s">
        <v>864</v>
      </c>
    </row>
    <row r="296" customFormat="false" ht="14.25" hidden="false" customHeight="true" outlineLevel="0" collapsed="false">
      <c r="A296" s="94" t="s">
        <v>32</v>
      </c>
      <c r="B296" s="95" t="n">
        <v>1</v>
      </c>
      <c r="C296" s="96" t="s">
        <v>34</v>
      </c>
      <c r="D296" s="0" t="s">
        <v>865</v>
      </c>
    </row>
    <row r="297" customFormat="false" ht="14.25" hidden="false" customHeight="true" outlineLevel="0" collapsed="false">
      <c r="A297" s="94" t="s">
        <v>34</v>
      </c>
      <c r="B297" s="95" t="n">
        <v>2</v>
      </c>
      <c r="C297" s="96" t="s">
        <v>37</v>
      </c>
      <c r="D297" s="0" t="s">
        <v>866</v>
      </c>
    </row>
    <row r="298" customFormat="false" ht="14.25" hidden="false" customHeight="true" outlineLevel="0" collapsed="false">
      <c r="A298" s="94" t="s">
        <v>37</v>
      </c>
      <c r="B298" s="95" t="n">
        <v>1</v>
      </c>
      <c r="C298" s="96" t="s">
        <v>34</v>
      </c>
      <c r="D298" s="0" t="s">
        <v>867</v>
      </c>
    </row>
    <row r="299" customFormat="false" ht="14.25" hidden="false" customHeight="true" outlineLevel="0" collapsed="false">
      <c r="A299" s="94" t="s">
        <v>31</v>
      </c>
      <c r="B299" s="95" t="n">
        <v>1</v>
      </c>
      <c r="C299" s="96" t="s">
        <v>11</v>
      </c>
      <c r="D299" s="0" t="s">
        <v>868</v>
      </c>
    </row>
    <row r="300" customFormat="false" ht="14.25" hidden="false" customHeight="true" outlineLevel="0" collapsed="false">
      <c r="A300" s="94" t="s">
        <v>11</v>
      </c>
      <c r="B300" s="95" t="n">
        <v>1</v>
      </c>
      <c r="C300" s="96" t="s">
        <v>31</v>
      </c>
      <c r="D300" s="0" t="s">
        <v>869</v>
      </c>
    </row>
    <row r="301" customFormat="false" ht="14.25" hidden="false" customHeight="true" outlineLevel="0" collapsed="false">
      <c r="A301" s="94" t="s">
        <v>34</v>
      </c>
      <c r="B301" s="95" t="n">
        <v>1</v>
      </c>
      <c r="C301" s="96" t="s">
        <v>31</v>
      </c>
      <c r="D301" s="18" t="s">
        <v>870</v>
      </c>
    </row>
    <row r="302" customFormat="false" ht="14.25" hidden="false" customHeight="true" outlineLevel="0" collapsed="false">
      <c r="A302" s="94" t="s">
        <v>31</v>
      </c>
      <c r="B302" s="95" t="n">
        <v>1</v>
      </c>
      <c r="C302" s="96" t="s">
        <v>34</v>
      </c>
      <c r="D302" s="18" t="s">
        <v>871</v>
      </c>
    </row>
    <row r="303" customFormat="false" ht="14.25" hidden="false" customHeight="true" outlineLevel="0" collapsed="false">
      <c r="A303" s="94" t="s">
        <v>41</v>
      </c>
      <c r="B303" s="95" t="n">
        <v>5</v>
      </c>
      <c r="C303" s="96" t="s">
        <v>12</v>
      </c>
      <c r="D303" s="0" t="s">
        <v>872</v>
      </c>
    </row>
    <row r="304" customFormat="false" ht="14.25" hidden="false" customHeight="true" outlineLevel="0" collapsed="false">
      <c r="A304" s="94" t="s">
        <v>41</v>
      </c>
      <c r="B304" s="95" t="n">
        <v>5</v>
      </c>
      <c r="C304" s="96" t="s">
        <v>12</v>
      </c>
      <c r="D304" s="0" t="s">
        <v>872</v>
      </c>
    </row>
    <row r="305" customFormat="false" ht="14.25" hidden="false" customHeight="true" outlineLevel="0" collapsed="false">
      <c r="A305" s="94" t="s">
        <v>41</v>
      </c>
      <c r="B305" s="95" t="n">
        <v>5</v>
      </c>
      <c r="C305" s="96" t="s">
        <v>12</v>
      </c>
      <c r="D305" s="0" t="s">
        <v>872</v>
      </c>
    </row>
    <row r="306" customFormat="false" ht="14.25" hidden="false" customHeight="true" outlineLevel="0" collapsed="false">
      <c r="A306" s="94" t="s">
        <v>41</v>
      </c>
      <c r="B306" s="95" t="n">
        <v>2</v>
      </c>
      <c r="C306" s="96" t="s">
        <v>40</v>
      </c>
      <c r="D306" s="0" t="s">
        <v>873</v>
      </c>
    </row>
    <row r="307" customFormat="false" ht="14.25" hidden="false" customHeight="true" outlineLevel="0" collapsed="false">
      <c r="A307" s="94" t="s">
        <v>40</v>
      </c>
      <c r="B307" s="95" t="n">
        <v>2</v>
      </c>
      <c r="C307" s="96" t="s">
        <v>41</v>
      </c>
      <c r="D307" s="0" t="s">
        <v>874</v>
      </c>
    </row>
    <row r="308" customFormat="false" ht="14.25" hidden="false" customHeight="true" outlineLevel="0" collapsed="false">
      <c r="A308" s="94" t="s">
        <v>40</v>
      </c>
      <c r="B308" s="95" t="n">
        <v>5</v>
      </c>
      <c r="C308" s="96" t="s">
        <v>12</v>
      </c>
      <c r="D308" s="17" t="s">
        <v>874</v>
      </c>
    </row>
    <row r="309" customFormat="false" ht="14.25" hidden="false" customHeight="true" outlineLevel="0" collapsed="false">
      <c r="A309" s="94" t="s">
        <v>31</v>
      </c>
      <c r="B309" s="95" t="n">
        <v>2</v>
      </c>
      <c r="C309" s="96" t="s">
        <v>32</v>
      </c>
      <c r="D309" s="0" t="s">
        <v>875</v>
      </c>
    </row>
    <row r="310" customFormat="false" ht="14.25" hidden="false" customHeight="true" outlineLevel="0" collapsed="false">
      <c r="A310" s="94" t="s">
        <v>37</v>
      </c>
      <c r="B310" s="95" t="n">
        <v>1</v>
      </c>
      <c r="C310" s="96" t="s">
        <v>36</v>
      </c>
      <c r="D310" s="0" t="s">
        <v>876</v>
      </c>
    </row>
    <row r="311" customFormat="false" ht="14.25" hidden="false" customHeight="true" outlineLevel="0" collapsed="false">
      <c r="A311" s="94" t="s">
        <v>36</v>
      </c>
      <c r="B311" s="95" t="n">
        <v>1</v>
      </c>
      <c r="C311" s="96" t="s">
        <v>37</v>
      </c>
      <c r="D311" s="0" t="s">
        <v>877</v>
      </c>
    </row>
    <row r="312" customFormat="false" ht="14.25" hidden="false" customHeight="true" outlineLevel="0" collapsed="false">
      <c r="A312" s="94" t="s">
        <v>39</v>
      </c>
      <c r="B312" s="95" t="n">
        <v>2</v>
      </c>
      <c r="C312" s="96" t="s">
        <v>32</v>
      </c>
      <c r="D312" s="0" t="s">
        <v>878</v>
      </c>
    </row>
    <row r="313" customFormat="false" ht="14.25" hidden="false" customHeight="true" outlineLevel="0" collapsed="false">
      <c r="A313" s="94" t="s">
        <v>37</v>
      </c>
      <c r="B313" s="95" t="n">
        <v>1</v>
      </c>
      <c r="C313" s="96" t="s">
        <v>42</v>
      </c>
      <c r="D313" s="0" t="s">
        <v>879</v>
      </c>
    </row>
    <row r="314" customFormat="false" ht="14.25" hidden="false" customHeight="true" outlineLevel="0" collapsed="false">
      <c r="A314" s="94" t="s">
        <v>31</v>
      </c>
      <c r="B314" s="95" t="n">
        <v>2</v>
      </c>
      <c r="C314" s="96" t="s">
        <v>35</v>
      </c>
      <c r="D314" s="0" t="s">
        <v>880</v>
      </c>
    </row>
    <row r="315" customFormat="false" ht="14.25" hidden="false" customHeight="true" outlineLevel="0" collapsed="false">
      <c r="A315" s="94" t="s">
        <v>31</v>
      </c>
      <c r="B315" s="95" t="n">
        <v>1</v>
      </c>
      <c r="C315" s="96" t="s">
        <v>34</v>
      </c>
      <c r="D315" s="0" t="s">
        <v>881</v>
      </c>
    </row>
    <row r="316" customFormat="false" ht="14.25" hidden="false" customHeight="true" outlineLevel="0" collapsed="false">
      <c r="A316" s="94" t="s">
        <v>34</v>
      </c>
      <c r="B316" s="95" t="n">
        <v>1</v>
      </c>
      <c r="C316" s="96" t="s">
        <v>31</v>
      </c>
      <c r="D316" s="0" t="s">
        <v>882</v>
      </c>
    </row>
    <row r="317" customFormat="false" ht="14.25" hidden="false" customHeight="true" outlineLevel="0" collapsed="false">
      <c r="A317" s="94" t="s">
        <v>33</v>
      </c>
      <c r="B317" s="95" t="n">
        <v>1</v>
      </c>
      <c r="C317" s="96" t="s">
        <v>37</v>
      </c>
      <c r="D317" s="0" t="s">
        <v>883</v>
      </c>
    </row>
    <row r="318" customFormat="false" ht="14.25" hidden="false" customHeight="true" outlineLevel="0" collapsed="false">
      <c r="A318" s="94" t="s">
        <v>37</v>
      </c>
      <c r="B318" s="95" t="n">
        <v>1</v>
      </c>
      <c r="C318" s="96" t="s">
        <v>33</v>
      </c>
      <c r="D318" s="0" t="s">
        <v>884</v>
      </c>
    </row>
    <row r="319" customFormat="false" ht="14.25" hidden="false" customHeight="true" outlineLevel="0" collapsed="false">
      <c r="A319" s="94" t="s">
        <v>39</v>
      </c>
      <c r="B319" s="95" t="n">
        <v>1</v>
      </c>
      <c r="C319" s="96" t="s">
        <v>37</v>
      </c>
      <c r="D319" s="0" t="s">
        <v>885</v>
      </c>
    </row>
    <row r="320" customFormat="false" ht="14.25" hidden="false" customHeight="true" outlineLevel="0" collapsed="false">
      <c r="A320" s="94" t="s">
        <v>37</v>
      </c>
      <c r="B320" s="95" t="n">
        <v>1</v>
      </c>
      <c r="C320" s="96" t="s">
        <v>39</v>
      </c>
      <c r="D320" s="0" t="s">
        <v>886</v>
      </c>
    </row>
    <row r="321" customFormat="false" ht="14.25" hidden="false" customHeight="true" outlineLevel="0" collapsed="false">
      <c r="A321" s="94" t="s">
        <v>33</v>
      </c>
      <c r="B321" s="95" t="n">
        <v>1</v>
      </c>
      <c r="C321" s="96" t="s">
        <v>31</v>
      </c>
      <c r="D321" s="0" t="s">
        <v>887</v>
      </c>
    </row>
    <row r="322" customFormat="false" ht="14.25" hidden="false" customHeight="true" outlineLevel="0" collapsed="false">
      <c r="A322" s="94" t="s">
        <v>31</v>
      </c>
      <c r="B322" s="95" t="n">
        <v>2</v>
      </c>
      <c r="C322" s="96" t="s">
        <v>33</v>
      </c>
      <c r="D322" s="0" t="s">
        <v>888</v>
      </c>
    </row>
    <row r="323" customFormat="false" ht="14.25" hidden="false" customHeight="true" outlineLevel="0" collapsed="false">
      <c r="A323" s="94" t="s">
        <v>30</v>
      </c>
      <c r="B323" s="95" t="n">
        <v>2</v>
      </c>
      <c r="C323" s="96" t="s">
        <v>31</v>
      </c>
      <c r="D323" s="0" t="s">
        <v>889</v>
      </c>
    </row>
    <row r="324" customFormat="false" ht="14.25" hidden="false" customHeight="true" outlineLevel="0" collapsed="false">
      <c r="A324" s="94" t="s">
        <v>31</v>
      </c>
      <c r="B324" s="95" t="n">
        <v>1</v>
      </c>
      <c r="C324" s="96" t="s">
        <v>30</v>
      </c>
      <c r="D324" s="0" t="s">
        <v>890</v>
      </c>
    </row>
    <row r="325" customFormat="false" ht="14.25" hidden="false" customHeight="true" outlineLevel="0" collapsed="false">
      <c r="A325" s="94" t="s">
        <v>31</v>
      </c>
      <c r="B325" s="95" t="n">
        <v>1</v>
      </c>
      <c r="C325" s="96" t="s">
        <v>34</v>
      </c>
      <c r="D325" s="0" t="s">
        <v>891</v>
      </c>
    </row>
    <row r="326" customFormat="false" ht="14.25" hidden="false" customHeight="true" outlineLevel="0" collapsed="false">
      <c r="A326" s="94" t="s">
        <v>34</v>
      </c>
      <c r="B326" s="95" t="n">
        <v>1</v>
      </c>
      <c r="C326" s="96" t="s">
        <v>31</v>
      </c>
      <c r="D326" s="0" t="s">
        <v>892</v>
      </c>
    </row>
    <row r="327" customFormat="false" ht="14.25" hidden="false" customHeight="true" outlineLevel="0" collapsed="false">
      <c r="A327" s="94" t="s">
        <v>34</v>
      </c>
      <c r="B327" s="95" t="n">
        <v>2</v>
      </c>
      <c r="C327" s="96" t="s">
        <v>30</v>
      </c>
      <c r="D327" s="0" t="s">
        <v>892</v>
      </c>
    </row>
    <row r="328" customFormat="false" ht="14.25" hidden="false" customHeight="true" outlineLevel="0" collapsed="false">
      <c r="A328" s="94" t="s">
        <v>30</v>
      </c>
      <c r="B328" s="95" t="n">
        <v>1</v>
      </c>
      <c r="C328" s="96" t="s">
        <v>34</v>
      </c>
      <c r="D328" s="0" t="s">
        <v>893</v>
      </c>
    </row>
    <row r="329" customFormat="false" ht="14.25" hidden="false" customHeight="true" outlineLevel="0" collapsed="false">
      <c r="A329" s="94" t="s">
        <v>31</v>
      </c>
      <c r="B329" s="95" t="n">
        <v>2</v>
      </c>
      <c r="C329" s="96" t="s">
        <v>37</v>
      </c>
      <c r="D329" s="0" t="s">
        <v>894</v>
      </c>
    </row>
    <row r="330" customFormat="false" ht="14.25" hidden="false" customHeight="true" outlineLevel="0" collapsed="false">
      <c r="A330" s="94" t="s">
        <v>38</v>
      </c>
      <c r="B330" s="95" t="n">
        <v>2</v>
      </c>
      <c r="C330" s="96" t="s">
        <v>37</v>
      </c>
      <c r="D330" s="0" t="s">
        <v>895</v>
      </c>
    </row>
    <row r="331" customFormat="false" ht="14.25" hidden="false" customHeight="true" outlineLevel="0" collapsed="false">
      <c r="A331" s="94" t="s">
        <v>33</v>
      </c>
      <c r="B331" s="95" t="n">
        <v>1</v>
      </c>
      <c r="C331" s="96" t="s">
        <v>34</v>
      </c>
      <c r="D331" s="0" t="s">
        <v>896</v>
      </c>
    </row>
    <row r="332" customFormat="false" ht="14.25" hidden="false" customHeight="true" outlineLevel="0" collapsed="false">
      <c r="A332" s="94" t="s">
        <v>34</v>
      </c>
      <c r="B332" s="95" t="n">
        <v>1</v>
      </c>
      <c r="C332" s="96" t="s">
        <v>33</v>
      </c>
      <c r="D332" s="0" t="s">
        <v>897</v>
      </c>
    </row>
    <row r="333" customFormat="false" ht="14.25" hidden="false" customHeight="true" outlineLevel="0" collapsed="false">
      <c r="A333" s="94" t="s">
        <v>36</v>
      </c>
      <c r="B333" s="95" t="n">
        <v>1</v>
      </c>
      <c r="C333" s="96" t="s">
        <v>38</v>
      </c>
      <c r="D333" s="0" t="s">
        <v>898</v>
      </c>
    </row>
    <row r="334" customFormat="false" ht="14.25" hidden="false" customHeight="true" outlineLevel="0" collapsed="false">
      <c r="A334" s="94" t="s">
        <v>39</v>
      </c>
      <c r="B334" s="95" t="n">
        <v>2</v>
      </c>
      <c r="C334" s="96" t="s">
        <v>37</v>
      </c>
      <c r="D334" s="0" t="s">
        <v>899</v>
      </c>
    </row>
    <row r="335" customFormat="false" ht="14.25" hidden="false" customHeight="true" outlineLevel="0" collapsed="false">
      <c r="A335" s="94" t="s">
        <v>39</v>
      </c>
      <c r="B335" s="95" t="n">
        <v>2</v>
      </c>
      <c r="C335" s="96" t="s">
        <v>33</v>
      </c>
      <c r="D335" s="0" t="s">
        <v>900</v>
      </c>
    </row>
    <row r="336" customFormat="false" ht="14.25" hidden="false" customHeight="true" outlineLevel="0" collapsed="false">
      <c r="A336" s="94" t="s">
        <v>33</v>
      </c>
      <c r="B336" s="95" t="n">
        <v>1</v>
      </c>
      <c r="C336" s="96" t="s">
        <v>39</v>
      </c>
      <c r="D336" s="0" t="s">
        <v>901</v>
      </c>
    </row>
    <row r="337" customFormat="false" ht="14.25" hidden="false" customHeight="true" outlineLevel="0" collapsed="false">
      <c r="A337" s="94" t="s">
        <v>37</v>
      </c>
      <c r="B337" s="95" t="n">
        <v>1</v>
      </c>
      <c r="C337" s="96" t="s">
        <v>40</v>
      </c>
      <c r="D337" s="0" t="s">
        <v>902</v>
      </c>
    </row>
    <row r="338" customFormat="false" ht="14.25" hidden="false" customHeight="true" outlineLevel="0" collapsed="false">
      <c r="A338" s="94" t="s">
        <v>39</v>
      </c>
      <c r="B338" s="95" t="n">
        <v>1</v>
      </c>
      <c r="C338" s="96" t="s">
        <v>35</v>
      </c>
      <c r="D338" s="0" t="s">
        <v>903</v>
      </c>
    </row>
    <row r="339" customFormat="false" ht="14.25" hidden="false" customHeight="true" outlineLevel="0" collapsed="false">
      <c r="A339" s="94" t="s">
        <v>33</v>
      </c>
      <c r="B339" s="95" t="n">
        <v>1</v>
      </c>
      <c r="C339" s="96" t="s">
        <v>38</v>
      </c>
      <c r="D339" s="0" t="s">
        <v>904</v>
      </c>
    </row>
    <row r="340" customFormat="false" ht="14.25" hidden="false" customHeight="true" outlineLevel="0" collapsed="false">
      <c r="A340" s="94" t="s">
        <v>41</v>
      </c>
      <c r="B340" s="95" t="n">
        <v>1</v>
      </c>
      <c r="C340" s="96" t="s">
        <v>42</v>
      </c>
      <c r="D340" s="0" t="s">
        <v>905</v>
      </c>
    </row>
    <row r="341" customFormat="false" ht="14.25" hidden="false" customHeight="true" outlineLevel="0" collapsed="false">
      <c r="A341" s="94" t="s">
        <v>41</v>
      </c>
      <c r="B341" s="95" t="n">
        <v>1</v>
      </c>
      <c r="C341" s="96" t="s">
        <v>40</v>
      </c>
      <c r="D341" s="0" t="s">
        <v>905</v>
      </c>
    </row>
    <row r="342" customFormat="false" ht="14.25" hidden="false" customHeight="true" outlineLevel="0" collapsed="false">
      <c r="A342" s="94" t="s">
        <v>41</v>
      </c>
      <c r="B342" s="95" t="n">
        <v>5</v>
      </c>
      <c r="C342" s="96" t="s">
        <v>12</v>
      </c>
      <c r="D342" s="0" t="s">
        <v>905</v>
      </c>
    </row>
    <row r="343" customFormat="false" ht="14.25" hidden="false" customHeight="true" outlineLevel="0" collapsed="false">
      <c r="A343" s="94" t="s">
        <v>37</v>
      </c>
      <c r="B343" s="95" t="n">
        <v>2</v>
      </c>
      <c r="C343" s="96" t="s">
        <v>31</v>
      </c>
      <c r="D343" s="0" t="s">
        <v>906</v>
      </c>
    </row>
    <row r="344" customFormat="false" ht="14.25" hidden="false" customHeight="true" outlineLevel="0" collapsed="false">
      <c r="A344" s="94" t="s">
        <v>37</v>
      </c>
      <c r="B344" s="95" t="n">
        <v>2</v>
      </c>
      <c r="C344" s="96" t="s">
        <v>31</v>
      </c>
      <c r="D344" s="0" t="s">
        <v>907</v>
      </c>
    </row>
    <row r="345" customFormat="false" ht="14.25" hidden="false" customHeight="true" outlineLevel="0" collapsed="false">
      <c r="A345" s="94" t="s">
        <v>31</v>
      </c>
      <c r="B345" s="95" t="n">
        <v>1</v>
      </c>
      <c r="C345" s="96" t="s">
        <v>37</v>
      </c>
      <c r="D345" s="0" t="s">
        <v>908</v>
      </c>
    </row>
    <row r="346" customFormat="false" ht="14.25" hidden="false" customHeight="true" outlineLevel="0" collapsed="false">
      <c r="A346" s="94" t="s">
        <v>37</v>
      </c>
      <c r="B346" s="95" t="n">
        <v>2</v>
      </c>
      <c r="C346" s="96" t="s">
        <v>32</v>
      </c>
      <c r="D346" s="0" t="s">
        <v>909</v>
      </c>
    </row>
    <row r="347" customFormat="false" ht="14.25" hidden="false" customHeight="true" outlineLevel="0" collapsed="false">
      <c r="A347" s="94" t="s">
        <v>32</v>
      </c>
      <c r="B347" s="95" t="n">
        <v>2</v>
      </c>
      <c r="C347" s="96" t="s">
        <v>37</v>
      </c>
      <c r="D347" s="0" t="s">
        <v>910</v>
      </c>
    </row>
    <row r="348" customFormat="false" ht="14.25" hidden="false" customHeight="true" outlineLevel="0" collapsed="false">
      <c r="A348" s="94" t="s">
        <v>37</v>
      </c>
      <c r="B348" s="95" t="n">
        <v>2</v>
      </c>
      <c r="C348" s="96" t="s">
        <v>35</v>
      </c>
      <c r="D348" s="0" t="s">
        <v>911</v>
      </c>
    </row>
    <row r="349" customFormat="false" ht="14.25" hidden="false" customHeight="true" outlineLevel="0" collapsed="false">
      <c r="A349" s="94" t="s">
        <v>39</v>
      </c>
      <c r="B349" s="95" t="n">
        <v>2</v>
      </c>
      <c r="C349" s="96" t="s">
        <v>34</v>
      </c>
      <c r="D349" s="0" t="s">
        <v>912</v>
      </c>
    </row>
    <row r="350" customFormat="false" ht="14.25" hidden="false" customHeight="true" outlineLevel="0" collapsed="false">
      <c r="A350" s="94" t="s">
        <v>34</v>
      </c>
      <c r="B350" s="95" t="n">
        <v>1</v>
      </c>
      <c r="C350" s="96" t="s">
        <v>39</v>
      </c>
      <c r="D350" s="0" t="s">
        <v>913</v>
      </c>
    </row>
    <row r="351" customFormat="false" ht="14.25" hidden="false" customHeight="true" outlineLevel="0" collapsed="false">
      <c r="A351" s="94" t="s">
        <v>30</v>
      </c>
      <c r="B351" s="95" t="n">
        <v>1</v>
      </c>
      <c r="C351" s="96" t="s">
        <v>40</v>
      </c>
      <c r="D351" s="0" t="s">
        <v>914</v>
      </c>
    </row>
    <row r="352" customFormat="false" ht="14.25" hidden="false" customHeight="true" outlineLevel="0" collapsed="false">
      <c r="A352" s="94" t="s">
        <v>39</v>
      </c>
      <c r="B352" s="95" t="n">
        <v>1</v>
      </c>
      <c r="C352" s="96" t="s">
        <v>32</v>
      </c>
      <c r="D352" s="0" t="s">
        <v>915</v>
      </c>
    </row>
    <row r="353" customFormat="false" ht="14.25" hidden="false" customHeight="true" outlineLevel="0" collapsed="false">
      <c r="A353" s="94" t="s">
        <v>40</v>
      </c>
      <c r="B353" s="95" t="n">
        <v>1</v>
      </c>
      <c r="C353" s="96" t="s">
        <v>30</v>
      </c>
      <c r="D353" s="0" t="s">
        <v>916</v>
      </c>
    </row>
    <row r="354" customFormat="false" ht="14.25" hidden="false" customHeight="true" outlineLevel="0" collapsed="false">
      <c r="A354" s="94" t="s">
        <v>37</v>
      </c>
      <c r="B354" s="95" t="n">
        <v>1</v>
      </c>
      <c r="C354" s="96" t="s">
        <v>39</v>
      </c>
      <c r="D354" s="18" t="s">
        <v>917</v>
      </c>
    </row>
    <row r="355" customFormat="false" ht="14.25" hidden="false" customHeight="true" outlineLevel="0" collapsed="false">
      <c r="A355" s="122" t="s">
        <v>32</v>
      </c>
      <c r="B355" s="95" t="n">
        <v>1</v>
      </c>
      <c r="C355" s="96" t="s">
        <v>39</v>
      </c>
      <c r="D355" s="0" t="s">
        <v>918</v>
      </c>
    </row>
    <row r="356" customFormat="false" ht="14.25" hidden="false" customHeight="true" outlineLevel="0" collapsed="false">
      <c r="A356" s="94" t="s">
        <v>34</v>
      </c>
      <c r="B356" s="95" t="n">
        <v>2</v>
      </c>
      <c r="C356" s="96" t="s">
        <v>32</v>
      </c>
      <c r="D356" s="0" t="s">
        <v>919</v>
      </c>
    </row>
    <row r="357" customFormat="false" ht="14.25" hidden="false" customHeight="true" outlineLevel="0" collapsed="false">
      <c r="A357" s="94" t="s">
        <v>34</v>
      </c>
      <c r="B357" s="95" t="n">
        <v>2</v>
      </c>
      <c r="C357" s="96" t="s">
        <v>37</v>
      </c>
      <c r="D357" s="0" t="s">
        <v>919</v>
      </c>
    </row>
    <row r="358" customFormat="false" ht="14.25" hidden="false" customHeight="true" outlineLevel="0" collapsed="false">
      <c r="A358" s="94" t="s">
        <v>42</v>
      </c>
      <c r="B358" s="95" t="n">
        <v>2</v>
      </c>
      <c r="C358" s="96" t="s">
        <v>31</v>
      </c>
      <c r="D358" s="0" t="s">
        <v>920</v>
      </c>
    </row>
    <row r="359" customFormat="false" ht="14.25" hidden="false" customHeight="true" outlineLevel="0" collapsed="false">
      <c r="A359" s="94" t="s">
        <v>37</v>
      </c>
      <c r="B359" s="95" t="n">
        <v>2</v>
      </c>
      <c r="C359" s="96" t="s">
        <v>42</v>
      </c>
      <c r="D359" s="18" t="s">
        <v>921</v>
      </c>
    </row>
    <row r="360" customFormat="false" ht="14.25" hidden="false" customHeight="true" outlineLevel="0" collapsed="false">
      <c r="A360" s="94" t="s">
        <v>42</v>
      </c>
      <c r="B360" s="95" t="n">
        <v>1</v>
      </c>
      <c r="C360" s="96" t="s">
        <v>40</v>
      </c>
      <c r="D360" s="0" t="s">
        <v>922</v>
      </c>
    </row>
    <row r="361" customFormat="false" ht="14.25" hidden="false" customHeight="true" outlineLevel="0" collapsed="false">
      <c r="A361" s="94" t="s">
        <v>31</v>
      </c>
      <c r="B361" s="95" t="n">
        <v>2</v>
      </c>
      <c r="C361" s="96" t="s">
        <v>39</v>
      </c>
      <c r="D361" s="0" t="s">
        <v>923</v>
      </c>
    </row>
    <row r="362" customFormat="false" ht="14.25" hidden="false" customHeight="true" outlineLevel="0" collapsed="false">
      <c r="A362" s="94" t="s">
        <v>39</v>
      </c>
      <c r="B362" s="95" t="n">
        <v>1</v>
      </c>
      <c r="C362" s="96" t="s">
        <v>31</v>
      </c>
      <c r="D362" s="0" t="s">
        <v>924</v>
      </c>
    </row>
    <row r="363" customFormat="false" ht="14.25" hidden="false" customHeight="true" outlineLevel="0" collapsed="false">
      <c r="A363" s="94" t="s">
        <v>31</v>
      </c>
      <c r="B363" s="95" t="n">
        <v>1</v>
      </c>
      <c r="C363" s="96" t="s">
        <v>34</v>
      </c>
      <c r="D363" s="0" t="s">
        <v>925</v>
      </c>
    </row>
    <row r="364" customFormat="false" ht="14.25" hidden="false" customHeight="true" outlineLevel="0" collapsed="false">
      <c r="A364" s="94" t="s">
        <v>34</v>
      </c>
      <c r="B364" s="95" t="n">
        <v>1</v>
      </c>
      <c r="C364" s="96" t="s">
        <v>31</v>
      </c>
      <c r="D364" s="0" t="s">
        <v>926</v>
      </c>
    </row>
    <row r="365" customFormat="false" ht="14.25" hidden="false" customHeight="true" outlineLevel="0" collapsed="false">
      <c r="A365" s="94" t="s">
        <v>30</v>
      </c>
      <c r="B365" s="95" t="n">
        <v>1</v>
      </c>
      <c r="C365" s="96" t="s">
        <v>37</v>
      </c>
      <c r="D365" s="0" t="s">
        <v>927</v>
      </c>
    </row>
    <row r="366" customFormat="false" ht="14.25" hidden="false" customHeight="true" outlineLevel="0" collapsed="false">
      <c r="A366" s="94" t="s">
        <v>37</v>
      </c>
      <c r="B366" s="95" t="n">
        <v>1</v>
      </c>
      <c r="C366" s="96" t="s">
        <v>30</v>
      </c>
      <c r="D366" s="0" t="s">
        <v>928</v>
      </c>
    </row>
    <row r="367" customFormat="false" ht="14.25" hidden="false" customHeight="true" outlineLevel="0" collapsed="false">
      <c r="A367" s="94" t="s">
        <v>32</v>
      </c>
      <c r="B367" s="95" t="n">
        <v>2</v>
      </c>
      <c r="C367" s="96" t="s">
        <v>31</v>
      </c>
      <c r="D367" s="0" t="s">
        <v>929</v>
      </c>
    </row>
    <row r="368" customFormat="false" ht="14.25" hidden="false" customHeight="true" outlineLevel="0" collapsed="false">
      <c r="A368" s="94" t="s">
        <v>33</v>
      </c>
      <c r="B368" s="95" t="n">
        <v>1</v>
      </c>
      <c r="C368" s="96" t="s">
        <v>40</v>
      </c>
      <c r="D368" s="0" t="s">
        <v>930</v>
      </c>
    </row>
    <row r="369" customFormat="false" ht="14.25" hidden="false" customHeight="true" outlineLevel="0" collapsed="false">
      <c r="A369" s="94" t="s">
        <v>40</v>
      </c>
      <c r="B369" s="95" t="n">
        <v>2</v>
      </c>
      <c r="C369" s="96" t="s">
        <v>33</v>
      </c>
      <c r="D369" s="0" t="s">
        <v>931</v>
      </c>
    </row>
    <row r="370" customFormat="false" ht="14.25" hidden="false" customHeight="true" outlineLevel="0" collapsed="false">
      <c r="A370" s="94" t="s">
        <v>43</v>
      </c>
      <c r="B370" s="95" t="n">
        <v>1</v>
      </c>
      <c r="C370" s="96" t="s">
        <v>38</v>
      </c>
      <c r="D370" s="0" t="s">
        <v>932</v>
      </c>
    </row>
    <row r="371" customFormat="false" ht="14.25" hidden="false" customHeight="true" outlineLevel="0" collapsed="false">
      <c r="A371" s="94" t="s">
        <v>34</v>
      </c>
      <c r="B371" s="95" t="n">
        <v>2</v>
      </c>
      <c r="C371" s="96" t="s">
        <v>37</v>
      </c>
      <c r="D371" s="0" t="s">
        <v>933</v>
      </c>
    </row>
    <row r="372" customFormat="false" ht="14.25" hidden="false" customHeight="true" outlineLevel="0" collapsed="false">
      <c r="A372" s="94" t="s">
        <v>37</v>
      </c>
      <c r="B372" s="95" t="n">
        <v>1</v>
      </c>
      <c r="C372" s="96" t="s">
        <v>34</v>
      </c>
      <c r="D372" s="0" t="s">
        <v>934</v>
      </c>
    </row>
    <row r="373" customFormat="false" ht="14.25" hidden="false" customHeight="true" outlineLevel="0" collapsed="false">
      <c r="A373" s="94" t="s">
        <v>37</v>
      </c>
      <c r="B373" s="95" t="n">
        <v>1</v>
      </c>
      <c r="C373" s="96" t="s">
        <v>31</v>
      </c>
      <c r="D373" s="0" t="s">
        <v>935</v>
      </c>
    </row>
    <row r="374" customFormat="false" ht="14.25" hidden="false" customHeight="true" outlineLevel="0" collapsed="false">
      <c r="A374" s="94" t="s">
        <v>31</v>
      </c>
      <c r="B374" s="95" t="n">
        <v>1</v>
      </c>
      <c r="C374" s="96" t="s">
        <v>37</v>
      </c>
      <c r="D374" s="0" t="s">
        <v>936</v>
      </c>
    </row>
    <row r="375" customFormat="false" ht="14.25" hidden="false" customHeight="true" outlineLevel="0" collapsed="false">
      <c r="A375" s="94" t="s">
        <v>31</v>
      </c>
      <c r="B375" s="95" t="n">
        <v>1</v>
      </c>
      <c r="C375" s="96" t="s">
        <v>34</v>
      </c>
      <c r="D375" s="0" t="s">
        <v>936</v>
      </c>
    </row>
    <row r="376" customFormat="false" ht="14.25" hidden="false" customHeight="true" outlineLevel="0" collapsed="false">
      <c r="A376" s="94" t="s">
        <v>34</v>
      </c>
      <c r="B376" s="95" t="n">
        <v>1</v>
      </c>
      <c r="C376" s="96" t="s">
        <v>31</v>
      </c>
      <c r="D376" s="0" t="s">
        <v>937</v>
      </c>
    </row>
    <row r="377" customFormat="false" ht="14.25" hidden="false" customHeight="true" outlineLevel="0" collapsed="false">
      <c r="A377" s="94" t="s">
        <v>37</v>
      </c>
      <c r="B377" s="95" t="n">
        <v>2</v>
      </c>
      <c r="C377" s="96" t="s">
        <v>40</v>
      </c>
      <c r="D377" s="0" t="s">
        <v>938</v>
      </c>
    </row>
    <row r="378" customFormat="false" ht="14.25" hidden="false" customHeight="true" outlineLevel="0" collapsed="false">
      <c r="A378" s="94" t="s">
        <v>34</v>
      </c>
      <c r="B378" s="95" t="n">
        <v>2</v>
      </c>
      <c r="C378" s="96" t="s">
        <v>31</v>
      </c>
      <c r="D378" s="0" t="s">
        <v>939</v>
      </c>
    </row>
    <row r="379" customFormat="false" ht="14.25" hidden="false" customHeight="true" outlineLevel="0" collapsed="false">
      <c r="A379" s="94" t="s">
        <v>31</v>
      </c>
      <c r="B379" s="95" t="n">
        <v>2</v>
      </c>
      <c r="C379" s="96" t="s">
        <v>33</v>
      </c>
      <c r="D379" s="0" t="s">
        <v>940</v>
      </c>
    </row>
    <row r="380" customFormat="false" ht="14.25" hidden="false" customHeight="true" outlineLevel="0" collapsed="false">
      <c r="A380" s="94" t="s">
        <v>31</v>
      </c>
      <c r="B380" s="95" t="n">
        <v>2</v>
      </c>
      <c r="C380" s="96" t="s">
        <v>35</v>
      </c>
      <c r="D380" s="0" t="s">
        <v>940</v>
      </c>
    </row>
    <row r="381" customFormat="false" ht="14.25" hidden="false" customHeight="true" outlineLevel="0" collapsed="false">
      <c r="A381" s="94" t="s">
        <v>37</v>
      </c>
      <c r="B381" s="95" t="n">
        <v>2</v>
      </c>
      <c r="C381" s="96" t="s">
        <v>42</v>
      </c>
      <c r="D381" s="0" t="s">
        <v>941</v>
      </c>
    </row>
    <row r="382" customFormat="false" ht="14.25" hidden="false" customHeight="true" outlineLevel="0" collapsed="false">
      <c r="A382" s="94" t="s">
        <v>42</v>
      </c>
      <c r="B382" s="95" t="n">
        <v>2</v>
      </c>
      <c r="C382" s="96" t="s">
        <v>95</v>
      </c>
      <c r="D382" s="0" t="s">
        <v>942</v>
      </c>
    </row>
    <row r="383" customFormat="false" ht="14.25" hidden="false" customHeight="true" outlineLevel="0" collapsed="false">
      <c r="A383" s="94" t="s">
        <v>95</v>
      </c>
      <c r="B383" s="95" t="n">
        <v>1</v>
      </c>
      <c r="C383" s="96" t="s">
        <v>42</v>
      </c>
      <c r="D383" s="0" t="s">
        <v>943</v>
      </c>
    </row>
    <row r="384" customFormat="false" ht="14.25" hidden="false" customHeight="true" outlineLevel="0" collapsed="false">
      <c r="A384" s="94" t="s">
        <v>36</v>
      </c>
      <c r="B384" s="95" t="n">
        <v>2</v>
      </c>
      <c r="C384" s="96" t="s">
        <v>32</v>
      </c>
      <c r="D384" s="0" t="s">
        <v>944</v>
      </c>
    </row>
    <row r="385" customFormat="false" ht="14.25" hidden="false" customHeight="true" outlineLevel="0" collapsed="false">
      <c r="A385" s="94" t="s">
        <v>39</v>
      </c>
      <c r="B385" s="95" t="n">
        <v>1</v>
      </c>
      <c r="C385" s="96" t="s">
        <v>36</v>
      </c>
      <c r="D385" s="0" t="s">
        <v>945</v>
      </c>
    </row>
    <row r="386" customFormat="false" ht="14.25" hidden="false" customHeight="true" outlineLevel="0" collapsed="false">
      <c r="A386" s="94" t="s">
        <v>39</v>
      </c>
      <c r="B386" s="95" t="n">
        <v>1</v>
      </c>
      <c r="C386" s="96" t="s">
        <v>33</v>
      </c>
      <c r="D386" s="0" t="s">
        <v>945</v>
      </c>
    </row>
    <row r="387" customFormat="false" ht="14.25" hidden="false" customHeight="true" outlineLevel="0" collapsed="false">
      <c r="A387" s="94" t="s">
        <v>37</v>
      </c>
      <c r="B387" s="95" t="n">
        <v>2</v>
      </c>
      <c r="C387" s="96" t="s">
        <v>38</v>
      </c>
      <c r="D387" s="0" t="s">
        <v>946</v>
      </c>
    </row>
    <row r="388" customFormat="false" ht="14.25" hidden="false" customHeight="true" outlineLevel="0" collapsed="false">
      <c r="A388" s="94" t="s">
        <v>38</v>
      </c>
      <c r="B388" s="95" t="n">
        <v>1</v>
      </c>
      <c r="C388" s="96" t="s">
        <v>37</v>
      </c>
      <c r="D388" s="0" t="s">
        <v>947</v>
      </c>
    </row>
    <row r="389" customFormat="false" ht="14.25" hidden="false" customHeight="true" outlineLevel="0" collapsed="false">
      <c r="A389" s="94" t="s">
        <v>39</v>
      </c>
      <c r="B389" s="95" t="n">
        <v>1</v>
      </c>
      <c r="C389" s="96" t="s">
        <v>34</v>
      </c>
      <c r="D389" s="0" t="s">
        <v>948</v>
      </c>
    </row>
    <row r="390" customFormat="false" ht="14.25" hidden="false" customHeight="true" outlineLevel="0" collapsed="false">
      <c r="A390" s="94" t="s">
        <v>34</v>
      </c>
      <c r="B390" s="95" t="n">
        <v>1</v>
      </c>
      <c r="C390" s="96" t="s">
        <v>33</v>
      </c>
      <c r="D390" s="0" t="s">
        <v>949</v>
      </c>
    </row>
    <row r="391" customFormat="false" ht="14.25" hidden="false" customHeight="true" outlineLevel="0" collapsed="false">
      <c r="A391" s="94" t="s">
        <v>34</v>
      </c>
      <c r="B391" s="95" t="n">
        <v>1</v>
      </c>
      <c r="C391" s="96" t="s">
        <v>39</v>
      </c>
      <c r="D391" s="0" t="s">
        <v>949</v>
      </c>
    </row>
    <row r="392" customFormat="false" ht="14.25" hidden="false" customHeight="true" outlineLevel="0" collapsed="false">
      <c r="A392" s="94" t="s">
        <v>34</v>
      </c>
      <c r="B392" s="95" t="n">
        <v>2</v>
      </c>
      <c r="C392" s="96" t="s">
        <v>36</v>
      </c>
      <c r="D392" s="0" t="s">
        <v>950</v>
      </c>
    </row>
    <row r="393" customFormat="false" ht="14.25" hidden="false" customHeight="true" outlineLevel="0" collapsed="false">
      <c r="A393" s="94" t="s">
        <v>36</v>
      </c>
      <c r="B393" s="95" t="n">
        <v>2</v>
      </c>
      <c r="C393" s="96" t="s">
        <v>37</v>
      </c>
      <c r="D393" s="0" t="s">
        <v>951</v>
      </c>
    </row>
    <row r="394" customFormat="false" ht="14.25" hidden="false" customHeight="true" outlineLevel="0" collapsed="false">
      <c r="A394" s="94" t="s">
        <v>37</v>
      </c>
      <c r="B394" s="95" t="n">
        <v>1</v>
      </c>
      <c r="C394" s="96" t="s">
        <v>36</v>
      </c>
      <c r="D394" s="0" t="s">
        <v>952</v>
      </c>
    </row>
    <row r="395" customFormat="false" ht="14.25" hidden="false" customHeight="true" outlineLevel="0" collapsed="false">
      <c r="A395" s="94" t="s">
        <v>36</v>
      </c>
      <c r="B395" s="95" t="n">
        <v>1</v>
      </c>
      <c r="C395" s="96" t="s">
        <v>37</v>
      </c>
      <c r="D395" s="0" t="s">
        <v>953</v>
      </c>
    </row>
    <row r="396" customFormat="false" ht="14.25" hidden="false" customHeight="true" outlineLevel="0" collapsed="false">
      <c r="A396" s="94" t="s">
        <v>37</v>
      </c>
      <c r="B396" s="95" t="n">
        <v>1</v>
      </c>
      <c r="C396" s="96" t="s">
        <v>36</v>
      </c>
      <c r="D396" s="0" t="s">
        <v>954</v>
      </c>
    </row>
    <row r="397" customFormat="false" ht="14.25" hidden="false" customHeight="true" outlineLevel="0" collapsed="false">
      <c r="A397" s="94" t="s">
        <v>33</v>
      </c>
      <c r="B397" s="95" t="n">
        <v>1</v>
      </c>
      <c r="C397" s="96" t="s">
        <v>38</v>
      </c>
      <c r="D397" s="0" t="s">
        <v>955</v>
      </c>
    </row>
    <row r="398" customFormat="false" ht="14.25" hidden="false" customHeight="true" outlineLevel="0" collapsed="false">
      <c r="A398" s="94" t="s">
        <v>30</v>
      </c>
      <c r="B398" s="95" t="n">
        <v>2</v>
      </c>
      <c r="C398" s="96" t="s">
        <v>38</v>
      </c>
      <c r="D398" s="76" t="s">
        <v>956</v>
      </c>
    </row>
    <row r="399" customFormat="false" ht="14.25" hidden="false" customHeight="true" outlineLevel="0" collapsed="false">
      <c r="A399" s="122" t="s">
        <v>31</v>
      </c>
      <c r="B399" s="95" t="n">
        <v>2</v>
      </c>
      <c r="C399" s="123" t="s">
        <v>37</v>
      </c>
      <c r="D399" s="0" t="s">
        <v>957</v>
      </c>
    </row>
    <row r="400" customFormat="false" ht="14.25" hidden="false" customHeight="true" outlineLevel="0" collapsed="false">
      <c r="A400" s="122" t="s">
        <v>37</v>
      </c>
      <c r="B400" s="95" t="n">
        <v>1</v>
      </c>
      <c r="C400" s="123" t="s">
        <v>31</v>
      </c>
      <c r="D400" s="0" t="s">
        <v>958</v>
      </c>
    </row>
    <row r="401" customFormat="false" ht="14.25" hidden="false" customHeight="true" outlineLevel="0" collapsed="false">
      <c r="A401" s="122" t="s">
        <v>31</v>
      </c>
      <c r="B401" s="95" t="n">
        <v>2</v>
      </c>
      <c r="C401" s="123" t="s">
        <v>32</v>
      </c>
      <c r="D401" s="0" t="s">
        <v>959</v>
      </c>
    </row>
    <row r="402" customFormat="false" ht="14.25" hidden="false" customHeight="true" outlineLevel="0" collapsed="false">
      <c r="A402" s="122" t="s">
        <v>38</v>
      </c>
      <c r="B402" s="95" t="n">
        <v>1</v>
      </c>
      <c r="C402" s="123" t="s">
        <v>35</v>
      </c>
      <c r="D402" s="0" t="s">
        <v>960</v>
      </c>
    </row>
    <row r="403" customFormat="false" ht="14.25" hidden="false" customHeight="true" outlineLevel="0" collapsed="false">
      <c r="A403" s="122" t="s">
        <v>41</v>
      </c>
      <c r="B403" s="95" t="n">
        <v>1</v>
      </c>
      <c r="C403" s="123" t="s">
        <v>42</v>
      </c>
      <c r="D403" s="0" t="s">
        <v>961</v>
      </c>
    </row>
    <row r="404" customFormat="false" ht="14.25" hidden="false" customHeight="true" outlineLevel="0" collapsed="false">
      <c r="A404" s="122" t="s">
        <v>41</v>
      </c>
      <c r="B404" s="95" t="n">
        <v>1</v>
      </c>
      <c r="C404" s="123" t="s">
        <v>40</v>
      </c>
      <c r="D404" s="0" t="s">
        <v>961</v>
      </c>
    </row>
    <row r="405" customFormat="false" ht="14.25" hidden="false" customHeight="true" outlineLevel="0" collapsed="false">
      <c r="A405" s="122" t="s">
        <v>41</v>
      </c>
      <c r="B405" s="95" t="n">
        <v>5</v>
      </c>
      <c r="C405" s="123" t="s">
        <v>12</v>
      </c>
      <c r="D405" s="0" t="s">
        <v>961</v>
      </c>
    </row>
    <row r="406" customFormat="false" ht="14.25" hidden="false" customHeight="true" outlineLevel="0" collapsed="false">
      <c r="A406" s="122" t="s">
        <v>38</v>
      </c>
      <c r="B406" s="95" t="n">
        <v>2</v>
      </c>
      <c r="C406" s="123" t="s">
        <v>37</v>
      </c>
      <c r="D406" s="0" t="s">
        <v>962</v>
      </c>
    </row>
    <row r="407" customFormat="false" ht="14.25" hidden="false" customHeight="true" outlineLevel="0" collapsed="false">
      <c r="A407" s="122" t="s">
        <v>43</v>
      </c>
      <c r="B407" s="95" t="n">
        <v>2</v>
      </c>
      <c r="C407" s="123" t="s">
        <v>36</v>
      </c>
      <c r="D407" s="0" t="s">
        <v>963</v>
      </c>
    </row>
    <row r="408" customFormat="false" ht="14.25" hidden="false" customHeight="true" outlineLevel="0" collapsed="false">
      <c r="A408" s="122" t="s">
        <v>31</v>
      </c>
      <c r="B408" s="95" t="n">
        <v>2</v>
      </c>
      <c r="C408" s="123" t="s">
        <v>32</v>
      </c>
      <c r="D408" s="0" t="s">
        <v>964</v>
      </c>
    </row>
    <row r="409" customFormat="false" ht="14.25" hidden="false" customHeight="true" outlineLevel="0" collapsed="false">
      <c r="A409" s="122" t="s">
        <v>11</v>
      </c>
      <c r="B409" s="95" t="n">
        <v>2</v>
      </c>
      <c r="C409" s="123" t="s">
        <v>33</v>
      </c>
      <c r="D409" s="0" t="s">
        <v>965</v>
      </c>
    </row>
    <row r="410" customFormat="false" ht="14.25" hidden="false" customHeight="true" outlineLevel="0" collapsed="false">
      <c r="A410" s="122" t="s">
        <v>37</v>
      </c>
      <c r="B410" s="95" t="n">
        <v>1</v>
      </c>
      <c r="C410" s="123" t="s">
        <v>36</v>
      </c>
      <c r="D410" s="0" t="s">
        <v>966</v>
      </c>
    </row>
    <row r="411" customFormat="false" ht="14.25" hidden="false" customHeight="true" outlineLevel="0" collapsed="false">
      <c r="A411" s="122" t="s">
        <v>36</v>
      </c>
      <c r="B411" s="95" t="n">
        <v>1</v>
      </c>
      <c r="C411" s="123" t="s">
        <v>37</v>
      </c>
      <c r="D411" s="0" t="s">
        <v>967</v>
      </c>
    </row>
    <row r="412" customFormat="false" ht="14.25" hidden="false" customHeight="true" outlineLevel="0" collapsed="false">
      <c r="A412" s="122" t="s">
        <v>39</v>
      </c>
      <c r="B412" s="95" t="n">
        <v>2</v>
      </c>
      <c r="C412" s="123" t="s">
        <v>34</v>
      </c>
      <c r="D412" s="0" t="s">
        <v>968</v>
      </c>
    </row>
    <row r="413" customFormat="false" ht="14.25" hidden="false" customHeight="true" outlineLevel="0" collapsed="false">
      <c r="A413" s="122" t="s">
        <v>34</v>
      </c>
      <c r="B413" s="95" t="n">
        <v>2</v>
      </c>
      <c r="C413" s="123" t="s">
        <v>39</v>
      </c>
      <c r="D413" s="0" t="s">
        <v>969</v>
      </c>
    </row>
    <row r="414" customFormat="false" ht="14.25" hidden="false" customHeight="true" outlineLevel="0" collapsed="false">
      <c r="A414" s="122" t="s">
        <v>37</v>
      </c>
      <c r="B414" s="95" t="n">
        <v>2</v>
      </c>
      <c r="C414" s="123" t="s">
        <v>32</v>
      </c>
      <c r="D414" s="0" t="s">
        <v>970</v>
      </c>
    </row>
    <row r="415" customFormat="false" ht="14.25" hidden="false" customHeight="true" outlineLevel="0" collapsed="false">
      <c r="A415" s="122" t="s">
        <v>37</v>
      </c>
      <c r="B415" s="95" t="n">
        <v>2</v>
      </c>
      <c r="C415" s="123" t="s">
        <v>31</v>
      </c>
      <c r="D415" s="0" t="s">
        <v>970</v>
      </c>
    </row>
    <row r="416" customFormat="false" ht="14.25" hidden="false" customHeight="true" outlineLevel="0" collapsed="false">
      <c r="A416" s="122" t="s">
        <v>39</v>
      </c>
      <c r="B416" s="95" t="n">
        <v>1</v>
      </c>
      <c r="C416" s="123" t="s">
        <v>33</v>
      </c>
      <c r="D416" s="0" t="s">
        <v>971</v>
      </c>
    </row>
    <row r="417" customFormat="false" ht="14.25" hidden="false" customHeight="true" outlineLevel="0" collapsed="false">
      <c r="A417" s="122" t="s">
        <v>36</v>
      </c>
      <c r="B417" s="95" t="n">
        <v>2</v>
      </c>
      <c r="C417" s="123" t="s">
        <v>42</v>
      </c>
      <c r="D417" s="0" t="s">
        <v>972</v>
      </c>
    </row>
    <row r="418" customFormat="false" ht="14.25" hidden="false" customHeight="true" outlineLevel="0" collapsed="false">
      <c r="A418" s="122" t="s">
        <v>34</v>
      </c>
      <c r="B418" s="95" t="n">
        <v>2</v>
      </c>
      <c r="C418" s="123" t="s">
        <v>31</v>
      </c>
      <c r="D418" s="0" t="s">
        <v>973</v>
      </c>
    </row>
    <row r="419" customFormat="false" ht="14.25" hidden="false" customHeight="true" outlineLevel="0" collapsed="false">
      <c r="A419" s="122" t="s">
        <v>30</v>
      </c>
      <c r="B419" s="95" t="n">
        <v>1</v>
      </c>
      <c r="C419" s="123" t="s">
        <v>39</v>
      </c>
      <c r="D419" s="0" t="s">
        <v>974</v>
      </c>
    </row>
    <row r="420" customFormat="false" ht="14.25" hidden="false" customHeight="true" outlineLevel="0" collapsed="false">
      <c r="A420" s="122" t="s">
        <v>39</v>
      </c>
      <c r="B420" s="95" t="n">
        <v>2</v>
      </c>
      <c r="C420" s="123" t="s">
        <v>30</v>
      </c>
      <c r="D420" s="0" t="s">
        <v>975</v>
      </c>
    </row>
    <row r="421" customFormat="false" ht="14.25" hidden="false" customHeight="true" outlineLevel="0" collapsed="false">
      <c r="A421" s="122" t="s">
        <v>37</v>
      </c>
      <c r="B421" s="95" t="n">
        <v>2</v>
      </c>
      <c r="C421" s="123" t="s">
        <v>36</v>
      </c>
      <c r="D421" s="0" t="s">
        <v>976</v>
      </c>
    </row>
    <row r="422" customFormat="false" ht="14.25" hidden="false" customHeight="true" outlineLevel="0" collapsed="false">
      <c r="A422" s="122" t="s">
        <v>31</v>
      </c>
      <c r="B422" s="95" t="n">
        <v>1</v>
      </c>
      <c r="C422" s="123" t="s">
        <v>32</v>
      </c>
      <c r="D422" s="0" t="s">
        <v>977</v>
      </c>
    </row>
    <row r="423" customFormat="false" ht="14.25" hidden="false" customHeight="true" outlineLevel="0" collapsed="false">
      <c r="A423" s="122" t="s">
        <v>32</v>
      </c>
      <c r="B423" s="95" t="n">
        <v>1</v>
      </c>
      <c r="C423" s="123" t="s">
        <v>31</v>
      </c>
      <c r="D423" s="0" t="s">
        <v>978</v>
      </c>
    </row>
    <row r="424" customFormat="false" ht="14.25" hidden="false" customHeight="true" outlineLevel="0" collapsed="false">
      <c r="A424" s="122" t="s">
        <v>42</v>
      </c>
      <c r="B424" s="95" t="n">
        <v>2</v>
      </c>
      <c r="C424" s="123" t="s">
        <v>37</v>
      </c>
      <c r="D424" s="0" t="s">
        <v>979</v>
      </c>
    </row>
    <row r="425" customFormat="false" ht="14.25" hidden="false" customHeight="true" outlineLevel="0" collapsed="false">
      <c r="A425" s="122" t="s">
        <v>37</v>
      </c>
      <c r="B425" s="95" t="n">
        <v>1</v>
      </c>
      <c r="C425" s="123" t="s">
        <v>42</v>
      </c>
      <c r="D425" s="0" t="s">
        <v>980</v>
      </c>
    </row>
    <row r="426" customFormat="false" ht="14.25" hidden="false" customHeight="true" outlineLevel="0" collapsed="false">
      <c r="A426" s="122" t="s">
        <v>38</v>
      </c>
      <c r="B426" s="95" t="n">
        <v>1</v>
      </c>
      <c r="C426" s="123" t="s">
        <v>32</v>
      </c>
      <c r="D426" s="0" t="s">
        <v>981</v>
      </c>
    </row>
    <row r="427" customFormat="false" ht="14.25" hidden="false" customHeight="true" outlineLevel="0" collapsed="false">
      <c r="A427" s="122" t="s">
        <v>31</v>
      </c>
      <c r="B427" s="95" t="n">
        <v>1</v>
      </c>
      <c r="C427" s="123" t="s">
        <v>34</v>
      </c>
      <c r="D427" s="0" t="s">
        <v>982</v>
      </c>
    </row>
    <row r="428" customFormat="false" ht="14.25" hidden="false" customHeight="true" outlineLevel="0" collapsed="false">
      <c r="A428" s="122" t="s">
        <v>34</v>
      </c>
      <c r="B428" s="95" t="n">
        <v>1</v>
      </c>
      <c r="C428" s="123" t="s">
        <v>31</v>
      </c>
      <c r="D428" s="0" t="s">
        <v>983</v>
      </c>
    </row>
    <row r="429" customFormat="false" ht="14.25" hidden="false" customHeight="true" outlineLevel="0" collapsed="false">
      <c r="A429" s="122" t="s">
        <v>37</v>
      </c>
      <c r="B429" s="95" t="n">
        <v>1</v>
      </c>
      <c r="C429" s="123" t="s">
        <v>36</v>
      </c>
      <c r="D429" s="0" t="s">
        <v>984</v>
      </c>
    </row>
    <row r="430" customFormat="false" ht="14.25" hidden="false" customHeight="true" outlineLevel="0" collapsed="false">
      <c r="A430" s="122" t="s">
        <v>11</v>
      </c>
      <c r="B430" s="95" t="n">
        <v>2</v>
      </c>
      <c r="C430" s="123" t="s">
        <v>31</v>
      </c>
      <c r="D430" s="0" t="s">
        <v>985</v>
      </c>
    </row>
    <row r="431" customFormat="false" ht="14.25" hidden="false" customHeight="true" outlineLevel="0" collapsed="false">
      <c r="A431" s="122" t="s">
        <v>31</v>
      </c>
      <c r="B431" s="95" t="n">
        <v>2</v>
      </c>
      <c r="C431" s="123" t="s">
        <v>32</v>
      </c>
      <c r="D431" s="0" t="s">
        <v>986</v>
      </c>
    </row>
    <row r="432" customFormat="false" ht="14.25" hidden="false" customHeight="true" outlineLevel="0" collapsed="false">
      <c r="A432" s="122" t="s">
        <v>37</v>
      </c>
      <c r="B432" s="95" t="n">
        <v>2</v>
      </c>
      <c r="C432" s="123" t="s">
        <v>32</v>
      </c>
      <c r="D432" s="0" t="s">
        <v>987</v>
      </c>
    </row>
    <row r="433" customFormat="false" ht="14.25" hidden="false" customHeight="true" outlineLevel="0" collapsed="false">
      <c r="A433" s="122" t="s">
        <v>31</v>
      </c>
      <c r="B433" s="95" t="n">
        <v>1</v>
      </c>
      <c r="C433" s="123" t="s">
        <v>36</v>
      </c>
      <c r="D433" s="0" t="s">
        <v>988</v>
      </c>
    </row>
    <row r="434" customFormat="false" ht="14.25" hidden="false" customHeight="true" outlineLevel="0" collapsed="false">
      <c r="A434" s="122" t="s">
        <v>36</v>
      </c>
      <c r="B434" s="95" t="n">
        <v>1</v>
      </c>
      <c r="C434" s="123" t="s">
        <v>31</v>
      </c>
      <c r="D434" s="0" t="s">
        <v>989</v>
      </c>
    </row>
    <row r="435" customFormat="false" ht="14.25" hidden="false" customHeight="true" outlineLevel="0" collapsed="false">
      <c r="A435" s="122" t="s">
        <v>33</v>
      </c>
      <c r="B435" s="95" t="n">
        <v>2</v>
      </c>
      <c r="C435" s="123" t="s">
        <v>32</v>
      </c>
      <c r="D435" s="0" t="s">
        <v>990</v>
      </c>
    </row>
    <row r="436" customFormat="false" ht="14.25" hidden="false" customHeight="true" outlineLevel="0" collapsed="false">
      <c r="A436" s="122" t="s">
        <v>37</v>
      </c>
      <c r="B436" s="95" t="n">
        <v>1</v>
      </c>
      <c r="C436" s="123" t="s">
        <v>33</v>
      </c>
      <c r="D436" s="0" t="s">
        <v>991</v>
      </c>
    </row>
    <row r="437" customFormat="false" ht="14.25" hidden="false" customHeight="true" outlineLevel="0" collapsed="false">
      <c r="A437" s="122" t="s">
        <v>36</v>
      </c>
      <c r="B437" s="95" t="n">
        <v>1</v>
      </c>
      <c r="C437" s="123" t="s">
        <v>37</v>
      </c>
      <c r="D437" s="0" t="s">
        <v>992</v>
      </c>
    </row>
    <row r="438" customFormat="false" ht="14.25" hidden="false" customHeight="true" outlineLevel="0" collapsed="false">
      <c r="A438" s="122" t="s">
        <v>37</v>
      </c>
      <c r="B438" s="95" t="n">
        <v>1</v>
      </c>
      <c r="C438" s="123" t="s">
        <v>36</v>
      </c>
      <c r="D438" s="0" t="s">
        <v>993</v>
      </c>
    </row>
    <row r="439" customFormat="false" ht="14.25" hidden="false" customHeight="true" outlineLevel="0" collapsed="false">
      <c r="A439" s="122" t="s">
        <v>36</v>
      </c>
      <c r="B439" s="95" t="n">
        <v>2</v>
      </c>
      <c r="C439" s="123" t="s">
        <v>39</v>
      </c>
      <c r="D439" s="0" t="s">
        <v>994</v>
      </c>
    </row>
    <row r="440" customFormat="false" ht="14.25" hidden="false" customHeight="true" outlineLevel="0" collapsed="false">
      <c r="A440" s="122" t="s">
        <v>42</v>
      </c>
      <c r="B440" s="95" t="n">
        <v>2</v>
      </c>
      <c r="C440" s="123" t="s">
        <v>37</v>
      </c>
      <c r="D440" s="0" t="s">
        <v>995</v>
      </c>
    </row>
    <row r="441" customFormat="false" ht="14.25" hidden="false" customHeight="true" outlineLevel="0" collapsed="false">
      <c r="A441" s="122" t="s">
        <v>37</v>
      </c>
      <c r="B441" s="95" t="n">
        <v>1</v>
      </c>
      <c r="C441" s="123" t="s">
        <v>42</v>
      </c>
      <c r="D441" s="0" t="s">
        <v>996</v>
      </c>
    </row>
    <row r="442" customFormat="false" ht="14.25" hidden="false" customHeight="true" outlineLevel="0" collapsed="false">
      <c r="A442" s="122" t="s">
        <v>39</v>
      </c>
      <c r="B442" s="95" t="n">
        <v>2</v>
      </c>
      <c r="C442" s="123" t="s">
        <v>34</v>
      </c>
      <c r="D442" s="0" t="s">
        <v>997</v>
      </c>
    </row>
    <row r="443" customFormat="false" ht="14.25" hidden="false" customHeight="true" outlineLevel="0" collapsed="false">
      <c r="A443" s="122" t="s">
        <v>37</v>
      </c>
      <c r="B443" s="95" t="n">
        <v>1</v>
      </c>
      <c r="C443" s="123" t="s">
        <v>34</v>
      </c>
      <c r="D443" s="0" t="s">
        <v>998</v>
      </c>
    </row>
    <row r="444" customFormat="false" ht="14.25" hidden="false" customHeight="true" outlineLevel="0" collapsed="false">
      <c r="A444" s="122" t="s">
        <v>34</v>
      </c>
      <c r="B444" s="95" t="n">
        <v>1</v>
      </c>
      <c r="C444" s="123" t="s">
        <v>37</v>
      </c>
      <c r="D444" s="0" t="s">
        <v>999</v>
      </c>
    </row>
    <row r="445" customFormat="false" ht="14.25" hidden="false" customHeight="true" outlineLevel="0" collapsed="false">
      <c r="A445" s="122" t="s">
        <v>33</v>
      </c>
      <c r="B445" s="95" t="n">
        <v>2</v>
      </c>
      <c r="C445" s="123" t="s">
        <v>34</v>
      </c>
      <c r="D445" s="0" t="s">
        <v>1000</v>
      </c>
    </row>
    <row r="446" customFormat="false" ht="14.25" hidden="false" customHeight="true" outlineLevel="0" collapsed="false">
      <c r="A446" s="122" t="s">
        <v>31</v>
      </c>
      <c r="B446" s="95" t="n">
        <v>2</v>
      </c>
      <c r="C446" s="123" t="s">
        <v>34</v>
      </c>
      <c r="D446" s="0" t="s">
        <v>1001</v>
      </c>
    </row>
    <row r="447" customFormat="false" ht="14.25" hidden="false" customHeight="true" outlineLevel="0" collapsed="false">
      <c r="A447" s="122" t="s">
        <v>31</v>
      </c>
      <c r="B447" s="95" t="n">
        <v>2</v>
      </c>
      <c r="C447" s="123" t="s">
        <v>34</v>
      </c>
      <c r="D447" s="0" t="s">
        <v>1002</v>
      </c>
    </row>
    <row r="448" customFormat="false" ht="14.25" hidden="false" customHeight="true" outlineLevel="0" collapsed="false">
      <c r="A448" s="122" t="s">
        <v>31</v>
      </c>
      <c r="B448" s="95" t="n">
        <v>1</v>
      </c>
      <c r="C448" s="123" t="s">
        <v>35</v>
      </c>
      <c r="D448" s="0" t="s">
        <v>1003</v>
      </c>
    </row>
    <row r="449" customFormat="false" ht="14.25" hidden="false" customHeight="true" outlineLevel="0" collapsed="false">
      <c r="A449" s="122" t="s">
        <v>11</v>
      </c>
      <c r="B449" s="95" t="n">
        <v>2</v>
      </c>
      <c r="C449" s="123" t="s">
        <v>39</v>
      </c>
      <c r="D449" s="0" t="s">
        <v>1004</v>
      </c>
    </row>
    <row r="450" customFormat="false" ht="14.25" hidden="false" customHeight="true" outlineLevel="0" collapsed="false">
      <c r="A450" s="122" t="s">
        <v>36</v>
      </c>
      <c r="B450" s="95" t="n">
        <v>1</v>
      </c>
      <c r="C450" s="123" t="s">
        <v>37</v>
      </c>
      <c r="D450" s="0" t="s">
        <v>1005</v>
      </c>
    </row>
    <row r="451" customFormat="false" ht="14.25" hidden="false" customHeight="true" outlineLevel="0" collapsed="false">
      <c r="A451" s="122" t="s">
        <v>37</v>
      </c>
      <c r="B451" s="95" t="n">
        <v>1</v>
      </c>
      <c r="C451" s="123" t="s">
        <v>36</v>
      </c>
      <c r="D451" s="0" t="s">
        <v>1006</v>
      </c>
    </row>
    <row r="452" customFormat="false" ht="14.25" hidden="false" customHeight="true" outlineLevel="0" collapsed="false">
      <c r="A452" s="122" t="s">
        <v>37</v>
      </c>
      <c r="B452" s="95" t="n">
        <v>2</v>
      </c>
      <c r="C452" s="123" t="s">
        <v>32</v>
      </c>
      <c r="D452" s="0" t="s">
        <v>1007</v>
      </c>
    </row>
    <row r="453" customFormat="false" ht="14.25" hidden="false" customHeight="true" outlineLevel="0" collapsed="false">
      <c r="A453" s="122" t="s">
        <v>31</v>
      </c>
      <c r="B453" s="95" t="n">
        <v>1</v>
      </c>
      <c r="C453" s="123" t="s">
        <v>37</v>
      </c>
      <c r="D453" s="0" t="s">
        <v>1008</v>
      </c>
    </row>
    <row r="454" customFormat="false" ht="14.25" hidden="false" customHeight="true" outlineLevel="0" collapsed="false">
      <c r="A454" s="122" t="s">
        <v>37</v>
      </c>
      <c r="B454" s="95" t="n">
        <v>1</v>
      </c>
      <c r="C454" s="123" t="s">
        <v>31</v>
      </c>
      <c r="D454" s="0" t="s">
        <v>1009</v>
      </c>
    </row>
    <row r="455" customFormat="false" ht="14.25" hidden="false" customHeight="true" outlineLevel="0" collapsed="false">
      <c r="A455" s="122" t="s">
        <v>30</v>
      </c>
      <c r="B455" s="95" t="n">
        <v>2</v>
      </c>
      <c r="C455" s="123" t="s">
        <v>34</v>
      </c>
      <c r="D455" s="0" t="s">
        <v>1010</v>
      </c>
    </row>
    <row r="456" customFormat="false" ht="14.25" hidden="false" customHeight="true" outlineLevel="0" collapsed="false">
      <c r="A456" s="122" t="s">
        <v>34</v>
      </c>
      <c r="B456" s="95" t="n">
        <v>1</v>
      </c>
      <c r="C456" s="123" t="s">
        <v>37</v>
      </c>
      <c r="D456" s="0" t="s">
        <v>1011</v>
      </c>
    </row>
    <row r="457" customFormat="false" ht="14.25" hidden="false" customHeight="true" outlineLevel="0" collapsed="false">
      <c r="A457" s="122" t="s">
        <v>31</v>
      </c>
      <c r="B457" s="95" t="n">
        <v>2</v>
      </c>
      <c r="C457" s="123" t="s">
        <v>37</v>
      </c>
      <c r="D457" s="0" t="s">
        <v>1012</v>
      </c>
    </row>
    <row r="458" customFormat="false" ht="14.25" hidden="false" customHeight="true" outlineLevel="0" collapsed="false">
      <c r="A458" s="122" t="s">
        <v>37</v>
      </c>
      <c r="B458" s="95" t="n">
        <v>1</v>
      </c>
      <c r="C458" s="123" t="s">
        <v>31</v>
      </c>
      <c r="D458" s="0" t="s">
        <v>1013</v>
      </c>
    </row>
    <row r="459" customFormat="false" ht="14.25" hidden="false" customHeight="true" outlineLevel="0" collapsed="false">
      <c r="A459" s="122" t="s">
        <v>32</v>
      </c>
      <c r="B459" s="95" t="n">
        <v>1</v>
      </c>
      <c r="C459" s="123" t="s">
        <v>38</v>
      </c>
      <c r="D459" s="0" t="s">
        <v>1014</v>
      </c>
    </row>
    <row r="460" customFormat="false" ht="14.25" hidden="false" customHeight="true" outlineLevel="0" collapsed="false">
      <c r="A460" s="122" t="s">
        <v>34</v>
      </c>
      <c r="B460" s="95" t="n">
        <v>1</v>
      </c>
      <c r="C460" s="123" t="s">
        <v>36</v>
      </c>
      <c r="D460" s="0" t="s">
        <v>1015</v>
      </c>
    </row>
    <row r="461" customFormat="false" ht="14.25" hidden="false" customHeight="true" outlineLevel="0" collapsed="false">
      <c r="A461" s="122" t="s">
        <v>37</v>
      </c>
      <c r="B461" s="95" t="n">
        <v>2</v>
      </c>
      <c r="C461" s="123" t="s">
        <v>36</v>
      </c>
      <c r="D461" s="0" t="s">
        <v>1016</v>
      </c>
    </row>
    <row r="462" customFormat="false" ht="14.25" hidden="false" customHeight="true" outlineLevel="0" collapsed="false">
      <c r="A462" s="122" t="s">
        <v>39</v>
      </c>
      <c r="B462" s="95" t="n">
        <v>2</v>
      </c>
      <c r="C462" s="123" t="s">
        <v>95</v>
      </c>
      <c r="D462" s="0" t="s">
        <v>1017</v>
      </c>
    </row>
    <row r="463" customFormat="false" ht="14.25" hidden="false" customHeight="true" outlineLevel="0" collapsed="false">
      <c r="A463" s="122" t="s">
        <v>36</v>
      </c>
      <c r="B463" s="95" t="n">
        <v>2</v>
      </c>
      <c r="C463" s="123" t="s">
        <v>42</v>
      </c>
      <c r="D463" s="0" t="s">
        <v>1018</v>
      </c>
    </row>
    <row r="464" customFormat="false" ht="14.25" hidden="false" customHeight="true" outlineLevel="0" collapsed="false">
      <c r="A464" s="122" t="s">
        <v>37</v>
      </c>
      <c r="B464" s="95" t="n">
        <v>2</v>
      </c>
      <c r="C464" s="123" t="s">
        <v>42</v>
      </c>
      <c r="D464" s="0" t="s">
        <v>1019</v>
      </c>
    </row>
    <row r="465" customFormat="false" ht="14.25" hidden="false" customHeight="true" outlineLevel="0" collapsed="false">
      <c r="A465" s="122" t="s">
        <v>34</v>
      </c>
      <c r="B465" s="95" t="n">
        <v>2</v>
      </c>
      <c r="C465" s="123" t="s">
        <v>37</v>
      </c>
      <c r="D465" s="0" t="s">
        <v>1020</v>
      </c>
    </row>
    <row r="466" customFormat="false" ht="14.25" hidden="false" customHeight="true" outlineLevel="0" collapsed="false">
      <c r="A466" s="122" t="s">
        <v>37</v>
      </c>
      <c r="B466" s="95" t="n">
        <v>1</v>
      </c>
      <c r="C466" s="123" t="s">
        <v>34</v>
      </c>
      <c r="D466" s="0" t="s">
        <v>1021</v>
      </c>
    </row>
    <row r="467" customFormat="false" ht="14.25" hidden="false" customHeight="true" outlineLevel="0" collapsed="false">
      <c r="A467" s="122" t="s">
        <v>37</v>
      </c>
      <c r="B467" s="95" t="n">
        <v>2</v>
      </c>
      <c r="C467" s="123" t="s">
        <v>34</v>
      </c>
      <c r="D467" s="0" t="s">
        <v>1022</v>
      </c>
    </row>
    <row r="468" customFormat="false" ht="14.25" hidden="false" customHeight="true" outlineLevel="0" collapsed="false">
      <c r="A468" s="122" t="s">
        <v>34</v>
      </c>
      <c r="B468" s="95" t="n">
        <v>1</v>
      </c>
      <c r="C468" s="123" t="s">
        <v>37</v>
      </c>
      <c r="D468" s="0" t="s">
        <v>1023</v>
      </c>
    </row>
    <row r="469" customFormat="false" ht="14.25" hidden="false" customHeight="true" outlineLevel="0" collapsed="false">
      <c r="A469" s="122" t="s">
        <v>42</v>
      </c>
      <c r="B469" s="95" t="n">
        <v>2</v>
      </c>
      <c r="C469" s="123" t="s">
        <v>38</v>
      </c>
      <c r="D469" s="0" t="s">
        <v>1024</v>
      </c>
    </row>
    <row r="470" customFormat="false" ht="14.25" hidden="false" customHeight="true" outlineLevel="0" collapsed="false">
      <c r="A470" s="122" t="s">
        <v>30</v>
      </c>
      <c r="B470" s="95" t="n">
        <v>1</v>
      </c>
      <c r="C470" s="123" t="s">
        <v>40</v>
      </c>
      <c r="D470" s="0" t="s">
        <v>1025</v>
      </c>
    </row>
    <row r="471" customFormat="false" ht="14.25" hidden="false" customHeight="true" outlineLevel="0" collapsed="false">
      <c r="A471" s="122" t="s">
        <v>30</v>
      </c>
      <c r="B471" s="95" t="n">
        <v>1</v>
      </c>
      <c r="C471" s="123" t="s">
        <v>41</v>
      </c>
      <c r="D471" s="0" t="s">
        <v>1025</v>
      </c>
    </row>
    <row r="472" customFormat="false" ht="14.25" hidden="false" customHeight="true" outlineLevel="0" collapsed="false">
      <c r="A472" s="122" t="s">
        <v>30</v>
      </c>
      <c r="B472" s="95" t="n">
        <v>5</v>
      </c>
      <c r="C472" s="123" t="s">
        <v>12</v>
      </c>
      <c r="D472" s="0" t="s">
        <v>1025</v>
      </c>
    </row>
    <row r="473" customFormat="false" ht="14.25" hidden="false" customHeight="true" outlineLevel="0" collapsed="false">
      <c r="A473" s="122" t="s">
        <v>41</v>
      </c>
      <c r="B473" s="95" t="n">
        <v>1</v>
      </c>
      <c r="C473" s="123" t="s">
        <v>30</v>
      </c>
      <c r="D473" s="0" t="s">
        <v>1026</v>
      </c>
    </row>
    <row r="474" customFormat="false" ht="14.25" hidden="false" customHeight="true" outlineLevel="0" collapsed="false">
      <c r="A474" s="122" t="s">
        <v>31</v>
      </c>
      <c r="B474" s="95" t="n">
        <v>2</v>
      </c>
      <c r="C474" s="123" t="s">
        <v>37</v>
      </c>
      <c r="D474" s="0" t="s">
        <v>1027</v>
      </c>
    </row>
    <row r="475" customFormat="false" ht="14.25" hidden="false" customHeight="true" outlineLevel="0" collapsed="false">
      <c r="A475" s="122" t="s">
        <v>37</v>
      </c>
      <c r="B475" s="95" t="n">
        <v>1</v>
      </c>
      <c r="C475" s="123" t="s">
        <v>31</v>
      </c>
      <c r="D475" s="0" t="s">
        <v>1028</v>
      </c>
    </row>
    <row r="476" customFormat="false" ht="14.25" hidden="false" customHeight="true" outlineLevel="0" collapsed="false">
      <c r="A476" s="122" t="s">
        <v>39</v>
      </c>
      <c r="B476" s="95" t="n">
        <v>2</v>
      </c>
      <c r="C476" s="123" t="s">
        <v>37</v>
      </c>
      <c r="D476" s="0" t="s">
        <v>1029</v>
      </c>
    </row>
    <row r="477" customFormat="false" ht="14.25" hidden="false" customHeight="true" outlineLevel="0" collapsed="false">
      <c r="A477" s="122" t="s">
        <v>37</v>
      </c>
      <c r="B477" s="95" t="n">
        <v>1</v>
      </c>
      <c r="C477" s="123" t="s">
        <v>39</v>
      </c>
      <c r="D477" s="0" t="s">
        <v>1030</v>
      </c>
    </row>
    <row r="478" customFormat="false" ht="14.25" hidden="false" customHeight="true" outlineLevel="0" collapsed="false">
      <c r="A478" s="122" t="s">
        <v>36</v>
      </c>
      <c r="B478" s="95" t="n">
        <v>1</v>
      </c>
      <c r="C478" s="123" t="s">
        <v>34</v>
      </c>
      <c r="D478" s="0" t="s">
        <v>1031</v>
      </c>
    </row>
    <row r="479" customFormat="false" ht="14.25" hidden="false" customHeight="true" outlineLevel="0" collapsed="false">
      <c r="A479" s="122" t="s">
        <v>34</v>
      </c>
      <c r="B479" s="95" t="n">
        <v>1</v>
      </c>
      <c r="C479" s="123" t="s">
        <v>36</v>
      </c>
      <c r="D479" s="0" t="s">
        <v>1032</v>
      </c>
    </row>
    <row r="480" customFormat="false" ht="14.25" hidden="false" customHeight="true" outlineLevel="0" collapsed="false">
      <c r="A480" s="122" t="s">
        <v>34</v>
      </c>
      <c r="B480" s="95" t="n">
        <v>2</v>
      </c>
      <c r="C480" s="123" t="s">
        <v>37</v>
      </c>
      <c r="D480" s="0" t="s">
        <v>1033</v>
      </c>
    </row>
    <row r="481" customFormat="false" ht="14.25" hidden="false" customHeight="true" outlineLevel="0" collapsed="false">
      <c r="A481" s="122" t="s">
        <v>33</v>
      </c>
      <c r="B481" s="95" t="n">
        <v>2</v>
      </c>
      <c r="C481" s="123" t="s">
        <v>36</v>
      </c>
      <c r="D481" s="0" t="s">
        <v>1034</v>
      </c>
    </row>
    <row r="482" customFormat="false" ht="14.25" hidden="false" customHeight="true" outlineLevel="0" collapsed="false">
      <c r="A482" s="122" t="s">
        <v>32</v>
      </c>
      <c r="B482" s="95" t="n">
        <v>2</v>
      </c>
      <c r="C482" s="123" t="s">
        <v>33</v>
      </c>
      <c r="D482" s="0" t="s">
        <v>1035</v>
      </c>
    </row>
    <row r="483" customFormat="false" ht="14.25" hidden="false" customHeight="true" outlineLevel="0" collapsed="false">
      <c r="A483" s="122" t="s">
        <v>36</v>
      </c>
      <c r="B483" s="95" t="n">
        <v>1</v>
      </c>
      <c r="C483" s="123" t="s">
        <v>33</v>
      </c>
      <c r="D483" s="76" t="s">
        <v>1036</v>
      </c>
    </row>
    <row r="484" customFormat="false" ht="14.25" hidden="false" customHeight="true" outlineLevel="0" collapsed="false">
      <c r="A484" s="122" t="s">
        <v>33</v>
      </c>
      <c r="B484" s="95" t="n">
        <v>2</v>
      </c>
      <c r="C484" s="123" t="s">
        <v>31</v>
      </c>
      <c r="D484" s="76" t="s">
        <v>1037</v>
      </c>
    </row>
    <row r="485" customFormat="false" ht="14.25" hidden="false" customHeight="true" outlineLevel="0" collapsed="false">
      <c r="A485" s="122" t="s">
        <v>34</v>
      </c>
      <c r="B485" s="95" t="n">
        <v>2</v>
      </c>
      <c r="C485" s="123" t="s">
        <v>36</v>
      </c>
      <c r="D485" s="76" t="s">
        <v>1038</v>
      </c>
    </row>
    <row r="486" customFormat="false" ht="14.25" hidden="false" customHeight="true" outlineLevel="0" collapsed="false">
      <c r="A486" s="122" t="s">
        <v>31</v>
      </c>
      <c r="B486" s="95" t="n">
        <v>1</v>
      </c>
      <c r="C486" s="123" t="s">
        <v>32</v>
      </c>
      <c r="D486" s="18" t="s">
        <v>1039</v>
      </c>
    </row>
    <row r="487" customFormat="false" ht="14.25" hidden="false" customHeight="true" outlineLevel="0" collapsed="false">
      <c r="A487" s="122" t="s">
        <v>32</v>
      </c>
      <c r="B487" s="95" t="n">
        <v>1</v>
      </c>
      <c r="C487" s="123" t="s">
        <v>31</v>
      </c>
      <c r="D487" s="0" t="s">
        <v>1040</v>
      </c>
    </row>
    <row r="488" customFormat="false" ht="14.25" hidden="false" customHeight="true" outlineLevel="0" collapsed="false">
      <c r="A488" s="122" t="s">
        <v>42</v>
      </c>
      <c r="B488" s="95" t="n">
        <v>1</v>
      </c>
      <c r="C488" s="123" t="s">
        <v>40</v>
      </c>
      <c r="D488" s="0" t="s">
        <v>1041</v>
      </c>
    </row>
    <row r="489" customFormat="false" ht="14.25" hidden="false" customHeight="true" outlineLevel="0" collapsed="false">
      <c r="A489" s="122" t="s">
        <v>40</v>
      </c>
      <c r="B489" s="95" t="n">
        <v>1</v>
      </c>
      <c r="C489" s="123" t="s">
        <v>42</v>
      </c>
      <c r="D489" s="0" t="s">
        <v>1042</v>
      </c>
    </row>
    <row r="490" customFormat="false" ht="14.25" hidden="false" customHeight="true" outlineLevel="0" collapsed="false">
      <c r="A490" s="122" t="s">
        <v>33</v>
      </c>
      <c r="B490" s="95" t="n">
        <v>1</v>
      </c>
      <c r="C490" s="123" t="s">
        <v>37</v>
      </c>
      <c r="D490" s="0" t="s">
        <v>1043</v>
      </c>
    </row>
    <row r="491" customFormat="false" ht="14.25" hidden="false" customHeight="true" outlineLevel="0" collapsed="false">
      <c r="A491" s="122" t="s">
        <v>37</v>
      </c>
      <c r="B491" s="95" t="n">
        <v>1</v>
      </c>
      <c r="C491" s="123" t="s">
        <v>33</v>
      </c>
      <c r="D491" s="0" t="s">
        <v>1044</v>
      </c>
    </row>
    <row r="492" customFormat="false" ht="14.25" hidden="false" customHeight="true" outlineLevel="0" collapsed="false">
      <c r="A492" s="122" t="s">
        <v>37</v>
      </c>
      <c r="B492" s="95" t="n">
        <v>1</v>
      </c>
      <c r="C492" s="123" t="s">
        <v>33</v>
      </c>
      <c r="D492" s="0" t="s">
        <v>1045</v>
      </c>
    </row>
    <row r="493" customFormat="false" ht="14.25" hidden="false" customHeight="true" outlineLevel="0" collapsed="false">
      <c r="A493" s="122" t="s">
        <v>36</v>
      </c>
      <c r="B493" s="95" t="n">
        <v>1</v>
      </c>
      <c r="C493" s="123" t="s">
        <v>38</v>
      </c>
      <c r="D493" s="0" t="s">
        <v>1046</v>
      </c>
    </row>
    <row r="494" customFormat="false" ht="14.25" hidden="false" customHeight="true" outlineLevel="0" collapsed="false">
      <c r="A494" s="122" t="s">
        <v>11</v>
      </c>
      <c r="B494" s="95" t="n">
        <v>1</v>
      </c>
      <c r="C494" s="123" t="s">
        <v>31</v>
      </c>
      <c r="D494" s="0" t="s">
        <v>1047</v>
      </c>
    </row>
    <row r="495" customFormat="false" ht="14.25" hidden="false" customHeight="true" outlineLevel="0" collapsed="false">
      <c r="A495" s="122" t="s">
        <v>31</v>
      </c>
      <c r="B495" s="95" t="n">
        <v>1</v>
      </c>
      <c r="C495" s="123" t="s">
        <v>11</v>
      </c>
      <c r="D495" s="0" t="s">
        <v>1048</v>
      </c>
    </row>
    <row r="496" customFormat="false" ht="14.25" hidden="false" customHeight="true" outlineLevel="0" collapsed="false">
      <c r="A496" s="122" t="s">
        <v>38</v>
      </c>
      <c r="B496" s="95" t="n">
        <v>2</v>
      </c>
      <c r="C496" s="123" t="s">
        <v>36</v>
      </c>
      <c r="D496" s="0" t="s">
        <v>1049</v>
      </c>
    </row>
    <row r="497" customFormat="false" ht="14.25" hidden="false" customHeight="true" outlineLevel="0" collapsed="false">
      <c r="A497" s="122" t="s">
        <v>36</v>
      </c>
      <c r="B497" s="95" t="n">
        <v>1</v>
      </c>
      <c r="C497" s="123" t="s">
        <v>38</v>
      </c>
      <c r="D497" s="0" t="s">
        <v>1050</v>
      </c>
    </row>
    <row r="498" customFormat="false" ht="14.25" hidden="false" customHeight="true" outlineLevel="0" collapsed="false">
      <c r="A498" s="122" t="s">
        <v>34</v>
      </c>
      <c r="B498" s="95" t="n">
        <v>2</v>
      </c>
      <c r="C498" s="123" t="s">
        <v>31</v>
      </c>
      <c r="D498" s="0" t="s">
        <v>1051</v>
      </c>
    </row>
    <row r="499" customFormat="false" ht="14.25" hidden="false" customHeight="true" outlineLevel="0" collapsed="false">
      <c r="A499" s="122" t="s">
        <v>95</v>
      </c>
      <c r="B499" s="95" t="n">
        <v>1</v>
      </c>
      <c r="C499" s="123" t="s">
        <v>38</v>
      </c>
      <c r="D499" s="0" t="s">
        <v>1052</v>
      </c>
    </row>
    <row r="500" customFormat="false" ht="14.25" hidden="false" customHeight="true" outlineLevel="0" collapsed="false">
      <c r="A500" s="122" t="s">
        <v>38</v>
      </c>
      <c r="B500" s="95" t="n">
        <v>1</v>
      </c>
      <c r="C500" s="123" t="s">
        <v>95</v>
      </c>
      <c r="D500" s="0" t="s">
        <v>1053</v>
      </c>
    </row>
    <row r="501" customFormat="false" ht="14.25" hidden="false" customHeight="true" outlineLevel="0" collapsed="false">
      <c r="A501" s="122" t="s">
        <v>38</v>
      </c>
      <c r="B501" s="95" t="n">
        <v>1</v>
      </c>
      <c r="C501" s="123" t="s">
        <v>33</v>
      </c>
      <c r="D501" s="0" t="s">
        <v>1054</v>
      </c>
    </row>
    <row r="502" customFormat="false" ht="14.25" hidden="false" customHeight="true" outlineLevel="0" collapsed="false">
      <c r="A502" s="122" t="s">
        <v>37</v>
      </c>
      <c r="B502" s="95" t="n">
        <v>2</v>
      </c>
      <c r="C502" s="123" t="s">
        <v>42</v>
      </c>
      <c r="D502" s="0" t="s">
        <v>1055</v>
      </c>
    </row>
    <row r="503" customFormat="false" ht="14.25" hidden="false" customHeight="true" outlineLevel="0" collapsed="false">
      <c r="A503" s="122" t="s">
        <v>39</v>
      </c>
      <c r="B503" s="95" t="n">
        <v>2</v>
      </c>
      <c r="C503" s="123" t="s">
        <v>42</v>
      </c>
      <c r="D503" s="0" t="s">
        <v>1056</v>
      </c>
    </row>
    <row r="504" customFormat="false" ht="14.25" hidden="false" customHeight="true" outlineLevel="0" collapsed="false">
      <c r="A504" s="122" t="s">
        <v>37</v>
      </c>
      <c r="B504" s="95" t="n">
        <v>2</v>
      </c>
      <c r="C504" s="123" t="s">
        <v>36</v>
      </c>
      <c r="D504" s="76" t="s">
        <v>1057</v>
      </c>
    </row>
    <row r="505" customFormat="false" ht="14.25" hidden="false" customHeight="true" outlineLevel="0" collapsed="false">
      <c r="A505" s="122" t="s">
        <v>37</v>
      </c>
      <c r="B505" s="95" t="n">
        <v>1</v>
      </c>
      <c r="C505" s="123" t="s">
        <v>31</v>
      </c>
      <c r="D505" s="0" t="s">
        <v>1058</v>
      </c>
    </row>
    <row r="506" customFormat="false" ht="14.25" hidden="false" customHeight="true" outlineLevel="0" collapsed="false">
      <c r="A506" s="122" t="s">
        <v>31</v>
      </c>
      <c r="B506" s="95" t="n">
        <v>1</v>
      </c>
      <c r="C506" s="123" t="s">
        <v>37</v>
      </c>
      <c r="D506" s="0" t="s">
        <v>1059</v>
      </c>
    </row>
    <row r="507" customFormat="false" ht="14.25" hidden="false" customHeight="true" outlineLevel="0" collapsed="false">
      <c r="A507" s="122" t="s">
        <v>34</v>
      </c>
      <c r="B507" s="95" t="n">
        <v>1</v>
      </c>
      <c r="C507" s="123" t="s">
        <v>37</v>
      </c>
      <c r="D507" s="0" t="s">
        <v>1060</v>
      </c>
    </row>
    <row r="508" customFormat="false" ht="14.25" hidden="false" customHeight="true" outlineLevel="0" collapsed="false">
      <c r="A508" s="122" t="s">
        <v>37</v>
      </c>
      <c r="B508" s="95" t="n">
        <v>1</v>
      </c>
      <c r="C508" s="123" t="s">
        <v>34</v>
      </c>
      <c r="D508" s="0" t="s">
        <v>1061</v>
      </c>
    </row>
    <row r="509" customFormat="false" ht="14.25" hidden="false" customHeight="true" outlineLevel="0" collapsed="false">
      <c r="A509" s="122" t="s">
        <v>31</v>
      </c>
      <c r="B509" s="95" t="n">
        <v>2</v>
      </c>
      <c r="C509" s="123" t="s">
        <v>37</v>
      </c>
      <c r="D509" s="0" t="s">
        <v>1062</v>
      </c>
    </row>
    <row r="510" customFormat="false" ht="14.25" hidden="false" customHeight="true" outlineLevel="0" collapsed="false">
      <c r="A510" s="122" t="s">
        <v>34</v>
      </c>
      <c r="B510" s="95" t="n">
        <v>2</v>
      </c>
      <c r="C510" s="123" t="s">
        <v>31</v>
      </c>
      <c r="D510" s="0" t="s">
        <v>1063</v>
      </c>
    </row>
    <row r="511" customFormat="false" ht="14.25" hidden="false" customHeight="true" outlineLevel="0" collapsed="false">
      <c r="A511" s="122" t="s">
        <v>38</v>
      </c>
      <c r="B511" s="95" t="n">
        <v>2</v>
      </c>
      <c r="C511" s="123" t="s">
        <v>34</v>
      </c>
      <c r="D511" s="0" t="s">
        <v>1064</v>
      </c>
    </row>
    <row r="512" customFormat="false" ht="14.25" hidden="false" customHeight="true" outlineLevel="0" collapsed="false">
      <c r="A512" s="122" t="s">
        <v>41</v>
      </c>
      <c r="B512" s="95" t="n">
        <v>5</v>
      </c>
      <c r="C512" s="123" t="s">
        <v>12</v>
      </c>
      <c r="D512" s="0" t="s">
        <v>1065</v>
      </c>
    </row>
    <row r="513" customFormat="false" ht="14.25" hidden="false" customHeight="true" outlineLevel="0" collapsed="false">
      <c r="A513" s="122" t="s">
        <v>38</v>
      </c>
      <c r="B513" s="95" t="n">
        <v>2</v>
      </c>
      <c r="C513" s="123" t="s">
        <v>32</v>
      </c>
      <c r="D513" s="0" t="s">
        <v>1066</v>
      </c>
    </row>
    <row r="514" customFormat="false" ht="14.25" hidden="false" customHeight="true" outlineLevel="0" collapsed="false">
      <c r="A514" s="122" t="s">
        <v>95</v>
      </c>
      <c r="B514" s="95" t="n">
        <v>5</v>
      </c>
      <c r="C514" s="123" t="s">
        <v>12</v>
      </c>
      <c r="D514" s="0" t="s">
        <v>1067</v>
      </c>
    </row>
    <row r="515" customFormat="false" ht="14.25" hidden="false" customHeight="true" outlineLevel="0" collapsed="false">
      <c r="A515" s="122" t="s">
        <v>39</v>
      </c>
      <c r="B515" s="95" t="n">
        <v>1</v>
      </c>
      <c r="C515" s="123" t="s">
        <v>42</v>
      </c>
      <c r="D515" s="0" t="s">
        <v>1068</v>
      </c>
    </row>
    <row r="516" customFormat="false" ht="14.25" hidden="false" customHeight="true" outlineLevel="0" collapsed="false">
      <c r="A516" s="122" t="s">
        <v>39</v>
      </c>
      <c r="B516" s="95" t="n">
        <v>1</v>
      </c>
      <c r="C516" s="123" t="s">
        <v>95</v>
      </c>
      <c r="D516" s="0" t="s">
        <v>1068</v>
      </c>
    </row>
    <row r="517" customFormat="false" ht="14.25" hidden="false" customHeight="true" outlineLevel="0" collapsed="false">
      <c r="A517" s="122" t="s">
        <v>39</v>
      </c>
      <c r="B517" s="95" t="n">
        <v>1</v>
      </c>
      <c r="C517" s="123" t="s">
        <v>41</v>
      </c>
      <c r="D517" s="0" t="s">
        <v>1068</v>
      </c>
    </row>
    <row r="518" customFormat="false" ht="14.25" hidden="false" customHeight="true" outlineLevel="0" collapsed="false">
      <c r="A518" s="122" t="s">
        <v>39</v>
      </c>
      <c r="B518" s="95" t="n">
        <v>1</v>
      </c>
      <c r="C518" s="123" t="s">
        <v>31</v>
      </c>
      <c r="D518" s="0" t="s">
        <v>1068</v>
      </c>
    </row>
    <row r="519" customFormat="false" ht="14.25" hidden="false" customHeight="true" outlineLevel="0" collapsed="false">
      <c r="A519" s="122" t="s">
        <v>42</v>
      </c>
      <c r="B519" s="95" t="n">
        <v>1</v>
      </c>
      <c r="C519" s="123" t="s">
        <v>39</v>
      </c>
      <c r="D519" s="0" t="s">
        <v>1069</v>
      </c>
    </row>
    <row r="520" customFormat="false" ht="14.25" hidden="false" customHeight="true" outlineLevel="0" collapsed="false">
      <c r="A520" s="122" t="s">
        <v>41</v>
      </c>
      <c r="B520" s="95" t="n">
        <v>1</v>
      </c>
      <c r="C520" s="123" t="s">
        <v>39</v>
      </c>
      <c r="D520" s="0" t="s">
        <v>1070</v>
      </c>
    </row>
    <row r="521" customFormat="false" ht="14.25" hidden="false" customHeight="true" outlineLevel="0" collapsed="false">
      <c r="A521" s="122" t="s">
        <v>31</v>
      </c>
      <c r="B521" s="95" t="n">
        <v>1</v>
      </c>
      <c r="C521" s="123" t="s">
        <v>39</v>
      </c>
      <c r="D521" s="0" t="s">
        <v>1071</v>
      </c>
    </row>
    <row r="522" customFormat="false" ht="14.25" hidden="false" customHeight="true" outlineLevel="0" collapsed="false">
      <c r="A522" s="122" t="s">
        <v>41</v>
      </c>
      <c r="B522" s="95" t="n">
        <v>2</v>
      </c>
      <c r="C522" s="123" t="s">
        <v>42</v>
      </c>
      <c r="D522" s="0" t="s">
        <v>1072</v>
      </c>
    </row>
    <row r="523" customFormat="false" ht="14.25" hidden="false" customHeight="true" outlineLevel="0" collapsed="false">
      <c r="A523" s="122" t="s">
        <v>42</v>
      </c>
      <c r="B523" s="95" t="n">
        <v>1</v>
      </c>
      <c r="C523" s="123" t="s">
        <v>41</v>
      </c>
      <c r="D523" s="0" t="s">
        <v>1073</v>
      </c>
    </row>
    <row r="524" customFormat="false" ht="14.25" hidden="false" customHeight="true" outlineLevel="0" collapsed="false">
      <c r="A524" s="122" t="s">
        <v>34</v>
      </c>
      <c r="B524" s="95" t="n">
        <v>1</v>
      </c>
      <c r="C524" s="123" t="s">
        <v>31</v>
      </c>
      <c r="D524" s="0" t="s">
        <v>1074</v>
      </c>
    </row>
    <row r="525" customFormat="false" ht="14.25" hidden="false" customHeight="true" outlineLevel="0" collapsed="false">
      <c r="A525" s="122" t="s">
        <v>31</v>
      </c>
      <c r="B525" s="95" t="n">
        <v>1</v>
      </c>
      <c r="C525" s="123" t="s">
        <v>34</v>
      </c>
      <c r="D525" s="0" t="s">
        <v>1075</v>
      </c>
    </row>
    <row r="526" customFormat="false" ht="14.25" hidden="false" customHeight="true" outlineLevel="0" collapsed="false">
      <c r="A526" s="122" t="s">
        <v>36</v>
      </c>
      <c r="B526" s="95" t="n">
        <v>1</v>
      </c>
      <c r="C526" s="123" t="s">
        <v>30</v>
      </c>
      <c r="D526" s="0" t="s">
        <v>1076</v>
      </c>
    </row>
    <row r="527" customFormat="false" ht="14.25" hidden="false" customHeight="true" outlineLevel="0" collapsed="false">
      <c r="A527" s="122" t="s">
        <v>30</v>
      </c>
      <c r="B527" s="95" t="n">
        <v>1</v>
      </c>
      <c r="C527" s="123" t="s">
        <v>36</v>
      </c>
      <c r="D527" s="0" t="s">
        <v>1077</v>
      </c>
    </row>
    <row r="528" customFormat="false" ht="14.25" hidden="false" customHeight="true" outlineLevel="0" collapsed="false">
      <c r="A528" s="122" t="s">
        <v>41</v>
      </c>
      <c r="B528" s="95" t="n">
        <v>5</v>
      </c>
      <c r="C528" s="123" t="s">
        <v>12</v>
      </c>
      <c r="D528" s="0" t="s">
        <v>1078</v>
      </c>
    </row>
    <row r="529" customFormat="false" ht="14.25" hidden="false" customHeight="true" outlineLevel="0" collapsed="false">
      <c r="A529" s="122" t="s">
        <v>39</v>
      </c>
      <c r="B529" s="95" t="n">
        <v>1</v>
      </c>
      <c r="C529" s="123" t="s">
        <v>33</v>
      </c>
      <c r="D529" s="0" t="s">
        <v>1079</v>
      </c>
    </row>
    <row r="530" customFormat="false" ht="14.25" hidden="false" customHeight="true" outlineLevel="0" collapsed="false">
      <c r="A530" s="122" t="s">
        <v>33</v>
      </c>
      <c r="B530" s="95" t="n">
        <v>1</v>
      </c>
      <c r="C530" s="123" t="s">
        <v>39</v>
      </c>
      <c r="D530" s="0" t="s">
        <v>1079</v>
      </c>
    </row>
    <row r="531" customFormat="false" ht="14.25" hidden="false" customHeight="true" outlineLevel="0" collapsed="false">
      <c r="A531" s="122" t="s">
        <v>31</v>
      </c>
      <c r="B531" s="95" t="n">
        <v>2</v>
      </c>
      <c r="C531" s="123" t="s">
        <v>37</v>
      </c>
      <c r="D531" s="0" t="s">
        <v>1080</v>
      </c>
    </row>
    <row r="532" customFormat="false" ht="14.25" hidden="false" customHeight="true" outlineLevel="0" collapsed="false">
      <c r="A532" s="122" t="s">
        <v>37</v>
      </c>
      <c r="B532" s="95" t="n">
        <v>1</v>
      </c>
      <c r="C532" s="123" t="s">
        <v>31</v>
      </c>
      <c r="D532" s="0" t="s">
        <v>1081</v>
      </c>
    </row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mergeCells count="5">
    <mergeCell ref="G1:P1"/>
    <mergeCell ref="R1:AJ1"/>
    <mergeCell ref="AN13:AW13"/>
    <mergeCell ref="G20:O20"/>
    <mergeCell ref="AN56:AV56"/>
  </mergeCells>
  <conditionalFormatting sqref="AO66:AO70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O16:AW31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2:I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22:J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22:L26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M22:M26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22:N26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22:O26">
    <cfRule type="colorScale" priority="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O35"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O59:AV63">
    <cfRule type="colorScale" priority="11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1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W59:AW63">
    <cfRule type="colorScale" priority="1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O66:AO69">
    <cfRule type="colorScale" priority="1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P66:AP70">
    <cfRule type="colorScale" priority="1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2:I26">
    <cfRule type="colorScale" priority="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L22:L26">
    <cfRule type="colorScale" priority="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P4:AP11 AV4:AV11">
    <cfRule type="cellIs" priority="18" operator="greaterThan" aboveAverage="0" equalAverage="0" bottom="0" percent="0" rank="0" text="" dxfId="1">
      <formula>1</formula>
    </cfRule>
  </conditionalFormatting>
  <conditionalFormatting sqref="H83:H86">
    <cfRule type="colorScale" priority="1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83:R86">
    <cfRule type="colorScale" priority="2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94:H97">
    <cfRule type="colorScale" priority="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R94:R97">
    <cfRule type="colorScale" priority="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H105:H108">
    <cfRule type="colorScale" priority="2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105:R108">
    <cfRule type="colorScale" priority="2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O16:AO31 AR16:AR31 AU16:AU31">
    <cfRule type="colorScale" priority="2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P16:AP31 AS16:AS31 AV16:AV31">
    <cfRule type="colorScale" priority="2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Q16:AQ31 AT16:AT31 AW16:AW31">
    <cfRule type="colorScale" priority="2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R16:AR31">
    <cfRule type="colorScale" priority="30">
      <colorScale>
        <cfvo type="min" val="0"/>
        <cfvo type="max" val="0"/>
        <color rgb="FFFCFCFF"/>
        <color rgb="FF63BE7B"/>
      </colorScale>
    </cfRule>
    <cfRule type="colorScale" priority="3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S16:AS31">
    <cfRule type="colorScale" priority="32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3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T16:AT31">
    <cfRule type="colorScale" priority="3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U16:AU31">
    <cfRule type="colorScale" priority="3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V16:AV31">
    <cfRule type="colorScale" priority="3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W16:AW31">
    <cfRule type="colorScale" priority="3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X16:AX31">
    <cfRule type="colorScale" priority="3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P36:AP51">
    <cfRule type="colorScale" priority="3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K4:AK18">
    <cfRule type="colorScale" priority="40">
      <colorScale>
        <cfvo type="min" val="0"/>
        <cfvo type="max" val="0"/>
        <color rgb="FFFCFCFF"/>
        <color rgb="FF63BE7B"/>
      </colorScale>
    </cfRule>
  </conditionalFormatting>
  <conditionalFormatting sqref="H65:H80">
    <cfRule type="colorScale" priority="4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65:R80">
    <cfRule type="colorScale" priority="4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47:H62">
    <cfRule type="colorScale" priority="4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R47:R62">
    <cfRule type="colorScale" priority="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H29:H44">
    <cfRule type="colorScale" priority="4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29:R44">
    <cfRule type="colorScale" priority="4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3:H18">
    <cfRule type="colorScale" priority="4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3:I18">
    <cfRule type="colorScale" priority="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3:J18">
    <cfRule type="colorScale" priority="4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3:K18">
    <cfRule type="colorScale" priority="5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3:L18">
    <cfRule type="colorScale" priority="5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:M18">
    <cfRule type="colorScale" priority="5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3:N18">
    <cfRule type="colorScale" priority="5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3:O18">
    <cfRule type="colorScale" priority="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P3:P18">
    <cfRule type="colorScale" priority="5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O36:AO51">
    <cfRule type="colorScale" priority="5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O16:AO31">
    <cfRule type="colorScale" priority="57">
      <colorScale>
        <cfvo type="min" val="0"/>
        <cfvo type="max" val="0"/>
        <color rgb="FFFCFCFF"/>
        <color rgb="FF63BE7B"/>
      </colorScale>
    </cfRule>
    <cfRule type="colorScale" priority="5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P16:AP31">
    <cfRule type="colorScale" priority="59">
      <colorScale>
        <cfvo type="min" val="0"/>
        <cfvo type="max" val="0"/>
        <color rgb="FFF8696B"/>
        <color rgb="FFFCFCFF"/>
      </colorScale>
    </cfRule>
  </conditionalFormatting>
  <conditionalFormatting sqref="AQ16:AQ31">
    <cfRule type="colorScale" priority="60">
      <colorScale>
        <cfvo type="min" val="0"/>
        <cfvo type="max" val="0"/>
        <color rgb="FFFCFCFF"/>
        <color rgb="FF63BE7B"/>
      </colorScale>
    </cfRule>
  </conditionalFormatting>
  <hyperlinks>
    <hyperlink ref="D21" r:id="rId1" display="https://discord.com/channels/191975109500731392/1212839710439776287/1420102383278624777"/>
    <hyperlink ref="D32" r:id="rId2" display="https://discord.com/channels/191975109500731392/1212839710439776287/1420158594686521365"/>
    <hyperlink ref="D46" r:id="rId3" display="https://discord.com/channels/191975109500731392/1212839710439776287/1420785838920302643"/>
    <hyperlink ref="D152" r:id="rId4" display="https://discord.com/channels/191975109500731392/1212839710439776287/1424816644093513919"/>
    <hyperlink ref="D188" r:id="rId5" display="https://discord.com/channels/191975109500731392/1212839710439776287/1426205592493752341"/>
    <hyperlink ref="D223" r:id="rId6" display="https://discord.com/channels/191975109500731392/1212839710439776287/1428771201802829969"/>
    <hyperlink ref="D286" r:id="rId7" display="https://discord.com/channels/191975109500731392/1212839710439776287/1432781582556725298"/>
    <hyperlink ref="D301" r:id="rId8" display="https://discord.com/channels/191975109500731392/1212839710439776287/1433113874529390762"/>
    <hyperlink ref="D302" r:id="rId9" display="https://discord.com/channels/191975109500731392/1212839710439776287/1433114152942964889"/>
    <hyperlink ref="D354" r:id="rId10" display="https://discord.com/channels/191975109500731392/1212839710439776287/1434983665741598783"/>
    <hyperlink ref="D359" r:id="rId11" display="https://discord.com/channels/191975109500731392/1212839710439776287/1435017572138619093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54296875" defaultRowHeight="15" customHeight="true" zeroHeight="false" outlineLevelRow="0" outlineLevelCol="0"/>
  <cols>
    <col collapsed="false" customWidth="true" hidden="false" outlineLevel="0" max="1" min="1" style="0" width="7.45"/>
    <col collapsed="false" customWidth="true" hidden="false" outlineLevel="0" max="2" min="2" style="0" width="6.54"/>
    <col collapsed="false" customWidth="true" hidden="false" outlineLevel="0" max="3" min="3" style="0" width="7.45"/>
    <col collapsed="false" customWidth="true" hidden="false" outlineLevel="0" max="4" min="4" style="0" width="8.54"/>
    <col collapsed="false" customWidth="true" hidden="false" outlineLevel="0" max="5" min="5" style="0" width="2.27"/>
    <col collapsed="false" customWidth="true" hidden="false" outlineLevel="0" max="6" min="6" style="0" width="8.54"/>
    <col collapsed="false" customWidth="true" hidden="false" outlineLevel="0" max="9" min="8" style="0" width="7.27"/>
    <col collapsed="false" customWidth="true" hidden="false" outlineLevel="0" max="10" min="10" style="0" width="5.45"/>
    <col collapsed="false" customWidth="true" hidden="false" outlineLevel="0" max="11" min="11" style="0" width="9.73"/>
    <col collapsed="false" customWidth="true" hidden="false" outlineLevel="0" max="12" min="12" style="0" width="12.18"/>
    <col collapsed="false" customWidth="true" hidden="false" outlineLevel="0" max="13" min="13" style="0" width="7"/>
    <col collapsed="false" customWidth="true" hidden="false" outlineLevel="0" max="14" min="14" style="0" width="8.45"/>
    <col collapsed="false" customWidth="true" hidden="false" outlineLevel="0" max="15" min="15" style="0" width="11"/>
    <col collapsed="false" customWidth="true" hidden="false" outlineLevel="0" max="16" min="16" style="0" width="13.27"/>
    <col collapsed="false" customWidth="true" hidden="false" outlineLevel="0" max="17" min="17" style="0" width="7.45"/>
    <col collapsed="false" customWidth="true" hidden="false" outlineLevel="0" max="18" min="18" style="0" width="12.27"/>
    <col collapsed="false" customWidth="true" hidden="false" outlineLevel="0" max="19" min="19" style="0" width="5.82"/>
    <col collapsed="false" customWidth="true" hidden="false" outlineLevel="0" max="20" min="20" style="0" width="4.82"/>
    <col collapsed="false" customWidth="true" hidden="false" outlineLevel="0" max="21" min="21" style="0" width="6.73"/>
    <col collapsed="false" customWidth="true" hidden="false" outlineLevel="0" max="22" min="22" style="0" width="5.54"/>
    <col collapsed="false" customWidth="true" hidden="false" outlineLevel="0" max="23" min="23" style="0" width="6.82"/>
    <col collapsed="false" customWidth="true" hidden="false" outlineLevel="0" max="24" min="24" style="0" width="7.27"/>
    <col collapsed="false" customWidth="true" hidden="false" outlineLevel="0" max="25" min="25" style="0" width="5.18"/>
    <col collapsed="false" customWidth="true" hidden="false" outlineLevel="0" max="26" min="26" style="0" width="5.27"/>
    <col collapsed="false" customWidth="true" hidden="false" outlineLevel="0" max="27" min="27" style="0" width="6.82"/>
    <col collapsed="false" customWidth="true" hidden="false" outlineLevel="0" max="28" min="28" style="0" width="6.18"/>
    <col collapsed="false" customWidth="true" hidden="false" outlineLevel="0" max="29" min="29" style="0" width="7.73"/>
    <col collapsed="false" customWidth="true" hidden="false" outlineLevel="0" max="30" min="30" style="0" width="4.45"/>
    <col collapsed="false" customWidth="true" hidden="false" outlineLevel="0" max="32" min="31" style="0" width="10.45"/>
    <col collapsed="false" customWidth="true" hidden="false" outlineLevel="0" max="33" min="33" style="0" width="6.45"/>
    <col collapsed="false" customWidth="true" hidden="false" outlineLevel="0" max="34" min="34" style="0" width="8.82"/>
    <col collapsed="false" customWidth="true" hidden="false" outlineLevel="0" max="36" min="36" style="0" width="8.27"/>
    <col collapsed="false" customWidth="true" hidden="false" outlineLevel="0" max="37" min="37" style="0" width="8.45"/>
    <col collapsed="false" customWidth="true" hidden="false" outlineLevel="0" max="38" min="38" style="0" width="7.18"/>
    <col collapsed="false" customWidth="true" hidden="false" outlineLevel="0" max="39" min="39" style="0" width="9.27"/>
    <col collapsed="false" customWidth="true" hidden="false" outlineLevel="0" max="40" min="40" style="0" width="13.73"/>
    <col collapsed="false" customWidth="true" hidden="false" outlineLevel="0" max="41" min="41" style="0" width="7"/>
    <col collapsed="false" customWidth="true" hidden="false" outlineLevel="0" max="42" min="42" style="0" width="8.18"/>
    <col collapsed="false" customWidth="true" hidden="false" outlineLevel="0" max="43" min="43" style="0" width="10.73"/>
    <col collapsed="false" customWidth="true" hidden="false" outlineLevel="0" max="44" min="44" style="0" width="11.82"/>
    <col collapsed="false" customWidth="true" hidden="false" outlineLevel="0" max="45" min="45" style="0" width="8.18"/>
  </cols>
  <sheetData>
    <row r="1" customFormat="false" ht="14.25" hidden="false" customHeight="true" outlineLevel="0" collapsed="false">
      <c r="A1" s="89" t="s">
        <v>0</v>
      </c>
      <c r="B1" s="90" t="s">
        <v>1</v>
      </c>
      <c r="C1" s="91" t="s">
        <v>2</v>
      </c>
      <c r="D1" s="6" t="s">
        <v>3</v>
      </c>
      <c r="G1" s="7" t="s">
        <v>4</v>
      </c>
      <c r="H1" s="7"/>
      <c r="I1" s="7"/>
      <c r="J1" s="7"/>
      <c r="K1" s="7"/>
      <c r="L1" s="7"/>
      <c r="M1" s="7"/>
      <c r="N1" s="7"/>
      <c r="O1" s="7"/>
      <c r="P1" s="7"/>
      <c r="Q1" s="8"/>
      <c r="R1" s="45" t="s">
        <v>5</v>
      </c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K1" s="7" t="s">
        <v>6</v>
      </c>
      <c r="AL1" s="10" t="s">
        <v>7</v>
      </c>
      <c r="AM1" s="11" t="s">
        <v>8</v>
      </c>
      <c r="AN1" s="12" t="s">
        <v>9</v>
      </c>
      <c r="AO1" s="13" t="s">
        <v>8</v>
      </c>
      <c r="AP1" s="10" t="s">
        <v>10</v>
      </c>
      <c r="AQ1" s="7" t="s">
        <v>6</v>
      </c>
    </row>
    <row r="2" customFormat="false" ht="14.25" hidden="false" customHeight="true" outlineLevel="0" collapsed="false">
      <c r="A2" s="94" t="s">
        <v>33</v>
      </c>
      <c r="B2" s="95" t="n">
        <v>1</v>
      </c>
      <c r="C2" s="96" t="s">
        <v>40</v>
      </c>
      <c r="D2" s="17" t="s">
        <v>1082</v>
      </c>
      <c r="E2" s="6"/>
      <c r="F2" s="19"/>
      <c r="G2" s="52" t="s">
        <v>88</v>
      </c>
      <c r="H2" s="31" t="s">
        <v>16</v>
      </c>
      <c r="I2" s="31" t="s">
        <v>17</v>
      </c>
      <c r="J2" s="31" t="s">
        <v>18</v>
      </c>
      <c r="K2" s="31" t="s">
        <v>19</v>
      </c>
      <c r="L2" s="31" t="s">
        <v>20</v>
      </c>
      <c r="M2" s="31" t="s">
        <v>21</v>
      </c>
      <c r="N2" s="21" t="s">
        <v>22</v>
      </c>
      <c r="O2" s="21" t="s">
        <v>23</v>
      </c>
      <c r="P2" s="53" t="s">
        <v>24</v>
      </c>
      <c r="Q2" s="8"/>
      <c r="R2" s="23" t="s">
        <v>25</v>
      </c>
      <c r="S2" s="24" t="s">
        <v>2</v>
      </c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6"/>
      <c r="AG2" s="27" t="s">
        <v>26</v>
      </c>
      <c r="AK2" s="28"/>
      <c r="AL2" s="29"/>
      <c r="AM2" s="30" t="n">
        <f aca="false">COUNT(B$1:B$155)</f>
        <v>74</v>
      </c>
      <c r="AN2" s="31" t="s">
        <v>27</v>
      </c>
      <c r="AO2" s="30" t="n">
        <f aca="false">COUNT(B$1:B$155)</f>
        <v>74</v>
      </c>
      <c r="AP2" s="28"/>
      <c r="AQ2" s="28"/>
    </row>
    <row r="3" customFormat="false" ht="14.25" hidden="false" customHeight="true" outlineLevel="0" collapsed="false">
      <c r="A3" s="94" t="s">
        <v>40</v>
      </c>
      <c r="B3" s="95" t="n">
        <v>1</v>
      </c>
      <c r="C3" s="96" t="s">
        <v>33</v>
      </c>
      <c r="D3" s="17" t="s">
        <v>1083</v>
      </c>
      <c r="E3" s="6"/>
      <c r="F3" s="32"/>
      <c r="G3" s="33" t="s">
        <v>30</v>
      </c>
      <c r="H3" s="34" t="n">
        <f aca="false">COUNTIF($A:$A,G3)</f>
        <v>3</v>
      </c>
      <c r="I3" s="34" t="n">
        <f aca="false">COUNTIF($C:$C,G3)</f>
        <v>4</v>
      </c>
      <c r="J3" s="35" t="n">
        <f aca="false">IF(I3,H3/I3,H3)</f>
        <v>0.75</v>
      </c>
      <c r="K3" s="34" t="n">
        <f aca="false">IFERROR(GETPIVOTDATA("Points",$R$2,"Sniper",G3),0)</f>
        <v>4</v>
      </c>
      <c r="L3" s="34" t="n">
        <f aca="false">IFERROR(GETPIVOTDATA("Points",$R$2,"Snipee",G3),0)</f>
        <v>5</v>
      </c>
      <c r="M3" s="124" t="n">
        <f aca="false">IF(L3,K3/L3,K3)</f>
        <v>0.8</v>
      </c>
      <c r="N3" s="35" t="n">
        <f aca="false">IF(H3,K3/H3,0)</f>
        <v>1.33333333333333</v>
      </c>
      <c r="O3" s="35" t="n">
        <f aca="false">IF(I3,L3/I3,0)</f>
        <v>1.25</v>
      </c>
      <c r="P3" s="125" t="n">
        <f aca="false">IFERROR(VLOOKUP(G3,R:AG,16,FALSE())/10,0)</f>
        <v>0.2</v>
      </c>
      <c r="Q3" s="8"/>
      <c r="R3" s="37" t="s">
        <v>0</v>
      </c>
      <c r="S3" s="126" t="s">
        <v>42</v>
      </c>
      <c r="T3" s="127" t="s">
        <v>36</v>
      </c>
      <c r="U3" s="127" t="s">
        <v>12</v>
      </c>
      <c r="V3" s="127" t="s">
        <v>39</v>
      </c>
      <c r="W3" s="127" t="s">
        <v>41</v>
      </c>
      <c r="X3" s="127" t="s">
        <v>43</v>
      </c>
      <c r="Y3" s="127" t="s">
        <v>35</v>
      </c>
      <c r="Z3" s="127" t="s">
        <v>40</v>
      </c>
      <c r="AA3" s="127" t="s">
        <v>11</v>
      </c>
      <c r="AB3" s="127" t="s">
        <v>33</v>
      </c>
      <c r="AC3" s="127" t="s">
        <v>30</v>
      </c>
      <c r="AD3" s="127" t="s">
        <v>95</v>
      </c>
      <c r="AE3" s="39" t="s">
        <v>44</v>
      </c>
      <c r="AG3" s="27" t="s">
        <v>16</v>
      </c>
      <c r="AK3" s="28"/>
      <c r="AL3" s="28"/>
      <c r="AM3" s="40" t="n">
        <f aca="false">IFERROR(GETPIVOTDATA("Points",R2),0)</f>
        <v>113</v>
      </c>
      <c r="AN3" s="41" t="s">
        <v>45</v>
      </c>
      <c r="AO3" s="40" t="n">
        <f aca="false">IFERROR(GETPIVOTDATA("Points",R2),0)</f>
        <v>113</v>
      </c>
      <c r="AP3" s="28"/>
      <c r="AQ3" s="28"/>
    </row>
    <row r="4" customFormat="false" ht="14.25" hidden="false" customHeight="true" outlineLevel="0" collapsed="false">
      <c r="A4" s="94" t="s">
        <v>39</v>
      </c>
      <c r="B4" s="95" t="n">
        <v>1</v>
      </c>
      <c r="C4" s="96" t="s">
        <v>43</v>
      </c>
      <c r="D4" s="17" t="s">
        <v>1084</v>
      </c>
      <c r="E4" s="6"/>
      <c r="F4" s="32"/>
      <c r="G4" s="33" t="s">
        <v>42</v>
      </c>
      <c r="H4" s="34" t="n">
        <f aca="false">COUNTIF($A:$A,G4)</f>
        <v>3</v>
      </c>
      <c r="I4" s="34" t="n">
        <f aca="false">COUNTIF($C:$C,G4)</f>
        <v>12</v>
      </c>
      <c r="J4" s="35" t="n">
        <f aca="false">IF(I4,H4/I4,H4)</f>
        <v>0.25</v>
      </c>
      <c r="K4" s="34" t="n">
        <f aca="false">IFERROR(GETPIVOTDATA("Points",$R$2,"Sniper",G4),0)</f>
        <v>3</v>
      </c>
      <c r="L4" s="34" t="n">
        <f aca="false">IFERROR(GETPIVOTDATA("Points",$R$2,"Snipee",G4),0)</f>
        <v>20</v>
      </c>
      <c r="M4" s="124" t="n">
        <f aca="false">IF(L4,K4/L4,K4)</f>
        <v>0.15</v>
      </c>
      <c r="N4" s="35" t="n">
        <f aca="false">IF(H4,K4/H4,0)</f>
        <v>1</v>
      </c>
      <c r="O4" s="35" t="n">
        <f aca="false">IF(I4,L4/I4,0)</f>
        <v>1.66666666666667</v>
      </c>
      <c r="P4" s="125" t="n">
        <f aca="false">IFERROR(VLOOKUP(G4,R:AG,16,FALSE())/10,0)</f>
        <v>0.2</v>
      </c>
      <c r="Q4" s="8"/>
      <c r="R4" s="128" t="s">
        <v>39</v>
      </c>
      <c r="S4" s="100" t="n">
        <v>2</v>
      </c>
      <c r="T4" s="101" t="n">
        <v>7</v>
      </c>
      <c r="U4" s="101"/>
      <c r="V4" s="101"/>
      <c r="W4" s="101" t="n">
        <v>1</v>
      </c>
      <c r="X4" s="101" t="n">
        <v>4</v>
      </c>
      <c r="Y4" s="101" t="n">
        <v>5</v>
      </c>
      <c r="Z4" s="101"/>
      <c r="AA4" s="101" t="n">
        <v>4</v>
      </c>
      <c r="AB4" s="101" t="n">
        <v>2</v>
      </c>
      <c r="AC4" s="101"/>
      <c r="AD4" s="102" t="n">
        <v>3</v>
      </c>
      <c r="AE4" s="103" t="n">
        <v>28</v>
      </c>
      <c r="AG4" s="27" t="n">
        <f aca="false">IF(COUNT(S4:AF4)&lt;&gt;0,COUNT(S4:AF4)-1,"")</f>
        <v>8</v>
      </c>
      <c r="AK4" s="45" t="n">
        <f aca="false">COUNTIF(H3:H12,AM4)</f>
        <v>0</v>
      </c>
      <c r="AL4" s="46" t="str">
        <f aca="false">$G$26</f>
        <v>Ethan</v>
      </c>
      <c r="AM4" s="40" t="e">
        <f aca="false">maxine(H3:H12)</f>
        <v>#NAME?</v>
      </c>
      <c r="AN4" s="41" t="s">
        <v>49</v>
      </c>
      <c r="AO4" s="47" t="e">
        <f aca="false">maxine(H17:H20)</f>
        <v>#NAME?</v>
      </c>
      <c r="AP4" s="48" t="str">
        <f aca="false">$G$77</f>
        <v>Baris</v>
      </c>
      <c r="AQ4" s="45" t="n">
        <f aca="false">COUNTIF(H17:H20,AO4)</f>
        <v>0</v>
      </c>
    </row>
    <row r="5" customFormat="false" ht="14.25" hidden="false" customHeight="true" outlineLevel="0" collapsed="false">
      <c r="A5" s="94" t="s">
        <v>95</v>
      </c>
      <c r="B5" s="95" t="n">
        <v>1</v>
      </c>
      <c r="C5" s="96" t="s">
        <v>35</v>
      </c>
      <c r="D5" s="17" t="s">
        <v>1085</v>
      </c>
      <c r="F5" s="32"/>
      <c r="G5" s="33" t="s">
        <v>40</v>
      </c>
      <c r="H5" s="34" t="n">
        <f aca="false">COUNTIF($A:$A,G5)</f>
        <v>3</v>
      </c>
      <c r="I5" s="34" t="n">
        <f aca="false">COUNTIF($C:$C,G5)</f>
        <v>5</v>
      </c>
      <c r="J5" s="35" t="n">
        <f aca="false">IF(I5,H5/I5,H5)</f>
        <v>0.6</v>
      </c>
      <c r="K5" s="34" t="n">
        <f aca="false">IFERROR(GETPIVOTDATA("Points",$R$2,"Sniper",G5),0)</f>
        <v>4</v>
      </c>
      <c r="L5" s="34" t="n">
        <f aca="false">IFERROR(GETPIVOTDATA("Points",$R$2,"Snipee",G5),0)</f>
        <v>6</v>
      </c>
      <c r="M5" s="124" t="n">
        <f aca="false">IF(L5,K5/L5,K5)</f>
        <v>0.666666666666667</v>
      </c>
      <c r="N5" s="35" t="n">
        <f aca="false">IF(H5,K5/H5,0)</f>
        <v>1.33333333333333</v>
      </c>
      <c r="O5" s="35" t="n">
        <f aca="false">IF(I5,L5/I5,0)</f>
        <v>1.2</v>
      </c>
      <c r="P5" s="125" t="n">
        <f aca="false">IFERROR(VLOOKUP(G5,R:AG,16,FALSE())/10,0)</f>
        <v>0.3</v>
      </c>
      <c r="Q5" s="8"/>
      <c r="R5" s="129" t="s">
        <v>41</v>
      </c>
      <c r="S5" s="105" t="n">
        <v>7</v>
      </c>
      <c r="T5" s="106" t="n">
        <v>1</v>
      </c>
      <c r="U5" s="106" t="n">
        <v>5</v>
      </c>
      <c r="V5" s="106" t="n">
        <v>1</v>
      </c>
      <c r="W5" s="106"/>
      <c r="X5" s="106"/>
      <c r="Y5" s="106" t="n">
        <v>1</v>
      </c>
      <c r="Z5" s="106" t="n">
        <v>3</v>
      </c>
      <c r="AA5" s="106"/>
      <c r="AB5" s="106" t="n">
        <v>1</v>
      </c>
      <c r="AC5" s="106" t="n">
        <v>2</v>
      </c>
      <c r="AD5" s="107"/>
      <c r="AE5" s="108" t="n">
        <v>21</v>
      </c>
      <c r="AG5" s="27" t="n">
        <f aca="false">IF(COUNT(S5:AF5)&lt;&gt;0,COUNT(S5:AF5)-1,"")</f>
        <v>8</v>
      </c>
      <c r="AK5" s="45" t="n">
        <f aca="false">COUNTIF(I3:I12,AM5)</f>
        <v>0</v>
      </c>
      <c r="AL5" s="46" t="str">
        <f aca="false">$G$42</f>
        <v>Evan</v>
      </c>
      <c r="AM5" s="40" t="e">
        <f aca="false">maxine(I3:I12)</f>
        <v>#NAME?</v>
      </c>
      <c r="AN5" s="41" t="s">
        <v>54</v>
      </c>
      <c r="AO5" s="47" t="e">
        <f aca="false">maxine(I17:I20)</f>
        <v>#NAME?</v>
      </c>
      <c r="AP5" s="49" t="str">
        <f aca="false">$G$88</f>
        <v>Leads</v>
      </c>
      <c r="AQ5" s="45" t="n">
        <f aca="false">COUNTIF(I17:I20,AO5)</f>
        <v>0</v>
      </c>
    </row>
    <row r="6" customFormat="false" ht="14.25" hidden="false" customHeight="true" outlineLevel="0" collapsed="false">
      <c r="A6" s="94" t="s">
        <v>30</v>
      </c>
      <c r="B6" s="95" t="n">
        <v>2</v>
      </c>
      <c r="C6" s="96" t="s">
        <v>41</v>
      </c>
      <c r="D6" s="17" t="s">
        <v>1086</v>
      </c>
      <c r="F6" s="32"/>
      <c r="G6" s="33" t="s">
        <v>41</v>
      </c>
      <c r="H6" s="34" t="n">
        <f aca="false">COUNTIF($A:$A,G6)</f>
        <v>13</v>
      </c>
      <c r="I6" s="34" t="n">
        <f aca="false">COUNTIF($C:$C,G6)</f>
        <v>7</v>
      </c>
      <c r="J6" s="35" t="n">
        <f aca="false">IF(I6,H6/I6,H6)</f>
        <v>1.85714285714286</v>
      </c>
      <c r="K6" s="34" t="n">
        <f aca="false">IFERROR(GETPIVOTDATA("Points",$R$2,"Sniper",G6),0)</f>
        <v>21</v>
      </c>
      <c r="L6" s="34" t="n">
        <f aca="false">IFERROR(GETPIVOTDATA("Points",$R$2,"Snipee",G6),0)</f>
        <v>9</v>
      </c>
      <c r="M6" s="124" t="n">
        <f aca="false">IF(L6,K6/L6,K6)</f>
        <v>2.33333333333333</v>
      </c>
      <c r="N6" s="35" t="n">
        <f aca="false">IF(H6,K6/H6,0)</f>
        <v>1.61538461538462</v>
      </c>
      <c r="O6" s="35" t="n">
        <f aca="false">IF(I6,L6/I6,0)</f>
        <v>1.28571428571429</v>
      </c>
      <c r="P6" s="125" t="n">
        <f aca="false">IFERROR(VLOOKUP(G6,R:AG,16,FALSE())/10,0)</f>
        <v>0.8</v>
      </c>
      <c r="Q6" s="8"/>
      <c r="R6" s="129" t="s">
        <v>33</v>
      </c>
      <c r="S6" s="105" t="n">
        <v>6</v>
      </c>
      <c r="T6" s="106" t="n">
        <v>2</v>
      </c>
      <c r="U6" s="106" t="n">
        <v>5</v>
      </c>
      <c r="V6" s="106" t="n">
        <v>2</v>
      </c>
      <c r="W6" s="106" t="n">
        <v>1</v>
      </c>
      <c r="X6" s="106"/>
      <c r="Y6" s="106"/>
      <c r="Z6" s="106" t="n">
        <v>2</v>
      </c>
      <c r="AA6" s="106"/>
      <c r="AB6" s="106"/>
      <c r="AC6" s="106"/>
      <c r="AD6" s="107"/>
      <c r="AE6" s="108" t="n">
        <v>18</v>
      </c>
      <c r="AG6" s="27" t="n">
        <f aca="false">IF(COUNT(S6:AF6)&lt;&gt;0,COUNT(S6:AF6)-1,"")</f>
        <v>6</v>
      </c>
      <c r="AK6" s="45" t="n">
        <f aca="false">COUNTIF(K3:K12,AM6)</f>
        <v>0</v>
      </c>
      <c r="AL6" s="46" t="str">
        <f aca="false">$Q$26</f>
        <v>Ethan</v>
      </c>
      <c r="AM6" s="40" t="e">
        <f aca="false">maxine(K3:K12)</f>
        <v>#NAME?</v>
      </c>
      <c r="AN6" s="41" t="s">
        <v>59</v>
      </c>
      <c r="AO6" s="47" t="e">
        <f aca="false">maxine(K17:K20)</f>
        <v>#NAME?</v>
      </c>
      <c r="AP6" s="49" t="str">
        <f aca="false">$Q$77</f>
        <v>Baris</v>
      </c>
      <c r="AQ6" s="45" t="n">
        <f aca="false">COUNTIF(K17:K20,AO6)</f>
        <v>0</v>
      </c>
    </row>
    <row r="7" customFormat="false" ht="14.25" hidden="false" customHeight="true" outlineLevel="0" collapsed="false">
      <c r="A7" s="94" t="s">
        <v>41</v>
      </c>
      <c r="B7" s="95" t="n">
        <v>1</v>
      </c>
      <c r="C7" s="96" t="s">
        <v>30</v>
      </c>
      <c r="D7" s="17" t="s">
        <v>1087</v>
      </c>
      <c r="E7" s="6" t="n">
        <v>1</v>
      </c>
      <c r="F7" s="32"/>
      <c r="G7" s="33" t="s">
        <v>36</v>
      </c>
      <c r="H7" s="34" t="n">
        <f aca="false">COUNTIF($A:$A,G7)</f>
        <v>10</v>
      </c>
      <c r="I7" s="34" t="n">
        <f aca="false">COUNTIF($C:$C,G7)</f>
        <v>13</v>
      </c>
      <c r="J7" s="35" t="n">
        <f aca="false">IF(I7,H7/I7,H7)</f>
        <v>0.769230769230769</v>
      </c>
      <c r="K7" s="34" t="n">
        <f aca="false">IFERROR(GETPIVOTDATA("Points",$R$2,"Sniper",G7),0)</f>
        <v>13</v>
      </c>
      <c r="L7" s="34" t="n">
        <f aca="false">IFERROR(GETPIVOTDATA("Points",$R$2,"Snipee",G7),0)</f>
        <v>19</v>
      </c>
      <c r="M7" s="124" t="n">
        <f aca="false">IF(L7,K7/L7,K7)</f>
        <v>0.68421052631579</v>
      </c>
      <c r="N7" s="35" t="n">
        <f aca="false">IF(H7,K7/H7,0)</f>
        <v>1.3</v>
      </c>
      <c r="O7" s="35" t="n">
        <f aca="false">IF(I7,L7/I7,0)</f>
        <v>1.46153846153846</v>
      </c>
      <c r="P7" s="125" t="n">
        <f aca="false">IFERROR(VLOOKUP(G7,R:AG,16,FALSE())/10,0)</f>
        <v>0.5</v>
      </c>
      <c r="Q7" s="8"/>
      <c r="R7" s="129" t="s">
        <v>36</v>
      </c>
      <c r="S7" s="105" t="n">
        <v>5</v>
      </c>
      <c r="T7" s="106"/>
      <c r="U7" s="106"/>
      <c r="V7" s="106" t="n">
        <v>2</v>
      </c>
      <c r="W7" s="106" t="n">
        <v>1</v>
      </c>
      <c r="X7" s="106" t="n">
        <v>3</v>
      </c>
      <c r="Y7" s="106"/>
      <c r="Z7" s="106"/>
      <c r="AA7" s="106" t="n">
        <v>2</v>
      </c>
      <c r="AB7" s="106"/>
      <c r="AC7" s="106"/>
      <c r="AD7" s="107"/>
      <c r="AE7" s="108" t="n">
        <v>13</v>
      </c>
      <c r="AG7" s="27" t="n">
        <f aca="false">IF(COUNT(S7:AF7)&lt;&gt;0,COUNT(S7:AF7)-1,"")</f>
        <v>5</v>
      </c>
      <c r="AK7" s="45" t="n">
        <f aca="false">COUNTIF(L3:L12,AM7)</f>
        <v>0</v>
      </c>
      <c r="AL7" s="46" t="str">
        <f aca="false">$Q$42</f>
        <v>Grady</v>
      </c>
      <c r="AM7" s="40" t="e">
        <f aca="false">maxine(L3:L12)</f>
        <v>#NAME?</v>
      </c>
      <c r="AN7" s="41" t="s">
        <v>63</v>
      </c>
      <c r="AO7" s="47" t="e">
        <f aca="false">maxine(L17:L20)</f>
        <v>#NAME?</v>
      </c>
      <c r="AP7" s="49" t="str">
        <f aca="false">$Q$88</f>
        <v>Tenors</v>
      </c>
      <c r="AQ7" s="45" t="n">
        <f aca="false">COUNTIF(L17:L20,AO7)</f>
        <v>0</v>
      </c>
    </row>
    <row r="8" customFormat="false" ht="14.25" hidden="false" customHeight="true" outlineLevel="0" collapsed="false">
      <c r="A8" s="94" t="s">
        <v>36</v>
      </c>
      <c r="B8" s="95" t="n">
        <v>2</v>
      </c>
      <c r="C8" s="96" t="s">
        <v>43</v>
      </c>
      <c r="D8" s="17" t="s">
        <v>1088</v>
      </c>
      <c r="F8" s="32"/>
      <c r="G8" s="33" t="s">
        <v>39</v>
      </c>
      <c r="H8" s="34" t="n">
        <f aca="false">COUNTIF($A:$A,G8)</f>
        <v>18</v>
      </c>
      <c r="I8" s="34" t="n">
        <f aca="false">COUNTIF($C:$C,G8)</f>
        <v>8</v>
      </c>
      <c r="J8" s="35" t="n">
        <f aca="false">IF(I8,H8/I8,H8)</f>
        <v>2.25</v>
      </c>
      <c r="K8" s="34" t="n">
        <f aca="false">IFERROR(GETPIVOTDATA("Points",$R$2,"Sniper",G8),0)</f>
        <v>28</v>
      </c>
      <c r="L8" s="34" t="n">
        <f aca="false">IFERROR(GETPIVOTDATA("Points",$R$2,"Snipee",G8),0)</f>
        <v>10</v>
      </c>
      <c r="M8" s="124" t="n">
        <f aca="false">IF(L8,K8/L8,K8)</f>
        <v>2.8</v>
      </c>
      <c r="N8" s="35" t="n">
        <f aca="false">IF(H8,K8/H8,0)</f>
        <v>1.55555555555556</v>
      </c>
      <c r="O8" s="35" t="n">
        <f aca="false">IF(I8,L8/I8,0)</f>
        <v>1.25</v>
      </c>
      <c r="P8" s="125" t="n">
        <f aca="false">IFERROR(VLOOKUP(G8,R:AG,16,FALSE())/10,0)</f>
        <v>0.8</v>
      </c>
      <c r="Q8" s="8"/>
      <c r="R8" s="129" t="s">
        <v>11</v>
      </c>
      <c r="S8" s="105"/>
      <c r="T8" s="106" t="n">
        <v>6</v>
      </c>
      <c r="U8" s="106"/>
      <c r="V8" s="106" t="n">
        <v>4</v>
      </c>
      <c r="W8" s="106"/>
      <c r="X8" s="106"/>
      <c r="Y8" s="106"/>
      <c r="Z8" s="106" t="n">
        <v>1</v>
      </c>
      <c r="AA8" s="106"/>
      <c r="AB8" s="106"/>
      <c r="AC8" s="106"/>
      <c r="AD8" s="107"/>
      <c r="AE8" s="108" t="n">
        <v>11</v>
      </c>
      <c r="AG8" s="27" t="n">
        <f aca="false">IF(COUNT(S8:AF8)&lt;&gt;0,COUNT(S8:AF8)-1,"")</f>
        <v>3</v>
      </c>
      <c r="AK8" s="45" t="n">
        <f aca="false">COUNTIF(J3:J12,AM8)</f>
        <v>0</v>
      </c>
      <c r="AL8" s="51" t="str">
        <f aca="false">$G$58</f>
        <v>Ethan</v>
      </c>
      <c r="AM8" s="47" t="e">
        <f aca="false">maxine(J3:J12)</f>
        <v>#NAME?</v>
      </c>
      <c r="AN8" s="41" t="s">
        <v>67</v>
      </c>
      <c r="AO8" s="47" t="e">
        <f aca="false">maxine(J17:J20)</f>
        <v>#NAME?</v>
      </c>
      <c r="AP8" s="49" t="str">
        <f aca="false">$G$99</f>
        <v>Baris</v>
      </c>
      <c r="AQ8" s="45" t="n">
        <f aca="false">COUNTIF(J17:J20,AO8)</f>
        <v>0</v>
      </c>
    </row>
    <row r="9" customFormat="false" ht="14.25" hidden="false" customHeight="true" outlineLevel="0" collapsed="false">
      <c r="A9" s="94" t="s">
        <v>39</v>
      </c>
      <c r="B9" s="95" t="n">
        <v>2</v>
      </c>
      <c r="C9" s="96" t="s">
        <v>11</v>
      </c>
      <c r="D9" s="17" t="s">
        <v>1089</v>
      </c>
      <c r="F9" s="17"/>
      <c r="G9" s="33" t="s">
        <v>33</v>
      </c>
      <c r="H9" s="34" t="n">
        <f aca="false">COUNTIF($A:$A,G9)</f>
        <v>11</v>
      </c>
      <c r="I9" s="34" t="n">
        <f aca="false">COUNTIF($C:$C,G9)</f>
        <v>5</v>
      </c>
      <c r="J9" s="35" t="n">
        <f aca="false">IF(I9,H9/I9,H9)</f>
        <v>2.2</v>
      </c>
      <c r="K9" s="34" t="n">
        <f aca="false">IFERROR(GETPIVOTDATA("Points",$R$2,"Sniper",G9),0)</f>
        <v>18</v>
      </c>
      <c r="L9" s="34" t="n">
        <f aca="false">IFERROR(GETPIVOTDATA("Points",$R$2,"Snipee",G9),0)</f>
        <v>5</v>
      </c>
      <c r="M9" s="124" t="n">
        <f aca="false">IF(L9,K9/L9,K9)</f>
        <v>3.6</v>
      </c>
      <c r="N9" s="35" t="n">
        <f aca="false">IF(H9,K9/H9,0)</f>
        <v>1.63636363636364</v>
      </c>
      <c r="O9" s="35" t="n">
        <f aca="false">IF(I9,L9/I9,0)</f>
        <v>1</v>
      </c>
      <c r="P9" s="125" t="n">
        <f aca="false">IFERROR(VLOOKUP(G9,R:AG,16,FALSE())/10,0)</f>
        <v>0.6</v>
      </c>
      <c r="Q9" s="8"/>
      <c r="R9" s="129" t="s">
        <v>95</v>
      </c>
      <c r="S9" s="105"/>
      <c r="T9" s="106"/>
      <c r="U9" s="106" t="n">
        <v>5</v>
      </c>
      <c r="V9" s="106" t="n">
        <v>1</v>
      </c>
      <c r="W9" s="106" t="n">
        <v>2</v>
      </c>
      <c r="X9" s="106"/>
      <c r="Y9" s="106" t="n">
        <v>1</v>
      </c>
      <c r="Z9" s="106"/>
      <c r="AA9" s="106"/>
      <c r="AB9" s="106"/>
      <c r="AC9" s="106" t="n">
        <v>1</v>
      </c>
      <c r="AD9" s="107"/>
      <c r="AE9" s="108" t="n">
        <v>10</v>
      </c>
      <c r="AG9" s="27" t="n">
        <f aca="false">IF(COUNT(S9:AF9)&lt;&gt;0,COUNT(S9:AF9)-1,"")</f>
        <v>5</v>
      </c>
      <c r="AK9" s="45" t="n">
        <f aca="false">COUNTIF(J3:J12,AM9)</f>
        <v>1</v>
      </c>
      <c r="AL9" s="51" t="str">
        <f aca="false">$G$68</f>
        <v>Reuben</v>
      </c>
      <c r="AM9" s="47" t="n">
        <f aca="false">MIN(J3:J12)</f>
        <v>0.2</v>
      </c>
      <c r="AN9" s="41" t="s">
        <v>71</v>
      </c>
      <c r="AO9" s="47" t="n">
        <f aca="false">MIN(J17:J20)</f>
        <v>0.375</v>
      </c>
      <c r="AP9" s="49" t="str">
        <f aca="false">$G$96</f>
        <v>Tenors</v>
      </c>
      <c r="AQ9" s="45" t="n">
        <f aca="false">COUNTIF(J17:J20,AO9)</f>
        <v>1</v>
      </c>
    </row>
    <row r="10" customFormat="false" ht="14.25" hidden="false" customHeight="true" outlineLevel="0" collapsed="false">
      <c r="A10" s="94" t="s">
        <v>41</v>
      </c>
      <c r="B10" s="95" t="n">
        <v>1</v>
      </c>
      <c r="C10" s="96" t="s">
        <v>33</v>
      </c>
      <c r="D10" s="17" t="s">
        <v>1090</v>
      </c>
      <c r="F10" s="17"/>
      <c r="G10" s="33" t="s">
        <v>11</v>
      </c>
      <c r="H10" s="34" t="n">
        <f aca="false">COUNTIF($A:$A,G10)</f>
        <v>7</v>
      </c>
      <c r="I10" s="34" t="n">
        <f aca="false">COUNTIF($C:$C,G10)</f>
        <v>4</v>
      </c>
      <c r="J10" s="35" t="n">
        <f aca="false">IF(I10,H10/I10,H10)</f>
        <v>1.75</v>
      </c>
      <c r="K10" s="34" t="n">
        <f aca="false">IFERROR(GETPIVOTDATA("Points",$R$2,"Sniper",G10),0)</f>
        <v>11</v>
      </c>
      <c r="L10" s="34" t="n">
        <f aca="false">IFERROR(GETPIVOTDATA("Points",$R$2,"Snipee",G10),0)</f>
        <v>6</v>
      </c>
      <c r="M10" s="124" t="n">
        <f aca="false">IF(L10,K10/L10,K10)</f>
        <v>1.83333333333333</v>
      </c>
      <c r="N10" s="35" t="n">
        <f aca="false">IF(H10,K10/H10,0)</f>
        <v>1.57142857142857</v>
      </c>
      <c r="O10" s="35" t="n">
        <f aca="false">IF(I10,L10/I10,0)</f>
        <v>1.5</v>
      </c>
      <c r="P10" s="125" t="n">
        <f aca="false">IFERROR(VLOOKUP(G10,R:AG,16,FALSE())/10,0)</f>
        <v>0.3</v>
      </c>
      <c r="Q10" s="8"/>
      <c r="R10" s="129" t="s">
        <v>30</v>
      </c>
      <c r="S10" s="105"/>
      <c r="T10" s="106"/>
      <c r="U10" s="106"/>
      <c r="V10" s="106"/>
      <c r="W10" s="106" t="n">
        <v>3</v>
      </c>
      <c r="X10" s="106"/>
      <c r="Y10" s="106"/>
      <c r="Z10" s="106"/>
      <c r="AA10" s="106"/>
      <c r="AB10" s="106"/>
      <c r="AC10" s="106"/>
      <c r="AD10" s="107" t="n">
        <v>1</v>
      </c>
      <c r="AE10" s="108" t="n">
        <v>4</v>
      </c>
      <c r="AG10" s="27" t="n">
        <f aca="false">IF(COUNT(S10:AF10)&lt;&gt;0,COUNT(S10:AF10)-1,"")</f>
        <v>2</v>
      </c>
      <c r="AK10" s="45" t="n">
        <f aca="false">COUNTIF(M3:M12,AM10)</f>
        <v>0</v>
      </c>
      <c r="AL10" s="51" t="str">
        <f aca="false">$Q$58</f>
        <v>Anthony</v>
      </c>
      <c r="AM10" s="47" t="e">
        <f aca="false">maxine(M3:M12)</f>
        <v>#NAME?</v>
      </c>
      <c r="AN10" s="41" t="s">
        <v>74</v>
      </c>
      <c r="AO10" s="47" t="e">
        <f aca="false">maxine(M17:M20)</f>
        <v>#NAME?</v>
      </c>
      <c r="AP10" s="49" t="str">
        <f aca="false">$Q$99</f>
        <v>Baris</v>
      </c>
      <c r="AQ10" s="45" t="n">
        <f aca="false">COUNTIF(M17:M20,AO10)</f>
        <v>0</v>
      </c>
    </row>
    <row r="11" customFormat="false" ht="14.25" hidden="false" customHeight="true" outlineLevel="0" collapsed="false">
      <c r="A11" s="94" t="s">
        <v>33</v>
      </c>
      <c r="B11" s="95" t="n">
        <v>1</v>
      </c>
      <c r="C11" s="96" t="s">
        <v>41</v>
      </c>
      <c r="D11" s="17" t="s">
        <v>1091</v>
      </c>
      <c r="E11" s="6"/>
      <c r="F11" s="32"/>
      <c r="G11" s="33" t="s">
        <v>43</v>
      </c>
      <c r="H11" s="34" t="n">
        <f aca="false">COUNTIF($A:$A,G11)</f>
        <v>1</v>
      </c>
      <c r="I11" s="34" t="n">
        <f aca="false">COUNTIF($C:$C,G11)</f>
        <v>5</v>
      </c>
      <c r="J11" s="35" t="n">
        <f aca="false">IF(I11,H11/I11,H11)</f>
        <v>0.2</v>
      </c>
      <c r="K11" s="34" t="n">
        <f aca="false">IFERROR(GETPIVOTDATA("Points",$R$2,"Sniper",G11),0)</f>
        <v>1</v>
      </c>
      <c r="L11" s="34" t="n">
        <f aca="false">IFERROR(GETPIVOTDATA("Points",$R$2,"Snipee",G11),0)</f>
        <v>7</v>
      </c>
      <c r="M11" s="124" t="n">
        <f aca="false">IF(L11,K11/L11,K11)</f>
        <v>0.142857142857143</v>
      </c>
      <c r="N11" s="35" t="n">
        <f aca="false">IF(H11,K11/H11,0)</f>
        <v>1</v>
      </c>
      <c r="O11" s="35" t="n">
        <f aca="false">IF(I11,L11/I11,0)</f>
        <v>1.4</v>
      </c>
      <c r="P11" s="125" t="n">
        <f aca="false">IFERROR(VLOOKUP(G11,R:AG,16,FALSE())/10,0)</f>
        <v>0.1</v>
      </c>
      <c r="Q11" s="8"/>
      <c r="R11" s="129" t="s">
        <v>40</v>
      </c>
      <c r="S11" s="105"/>
      <c r="T11" s="106"/>
      <c r="U11" s="106"/>
      <c r="V11" s="106"/>
      <c r="W11" s="106" t="n">
        <v>1</v>
      </c>
      <c r="X11" s="106"/>
      <c r="Y11" s="106"/>
      <c r="Z11" s="106"/>
      <c r="AA11" s="106"/>
      <c r="AB11" s="106" t="n">
        <v>1</v>
      </c>
      <c r="AC11" s="106" t="n">
        <v>2</v>
      </c>
      <c r="AD11" s="107"/>
      <c r="AE11" s="108" t="n">
        <v>4</v>
      </c>
      <c r="AG11" s="27" t="n">
        <f aca="false">IF(COUNT(S11:AF11)&lt;&gt;0,COUNT(S11:AF11)-1,"")</f>
        <v>3</v>
      </c>
      <c r="AK11" s="45" t="n">
        <f aca="false">COUNTIF(M3:M12,AM11)</f>
        <v>1</v>
      </c>
      <c r="AL11" s="51" t="str">
        <f aca="false">$Q$68</f>
        <v>Reuben</v>
      </c>
      <c r="AM11" s="47" t="n">
        <f aca="false">MIN(M3:M12)</f>
        <v>0.142857142857143</v>
      </c>
      <c r="AN11" s="41" t="s">
        <v>79</v>
      </c>
      <c r="AO11" s="47" t="n">
        <f aca="false">MIN(M17:M20)</f>
        <v>0.28</v>
      </c>
      <c r="AP11" s="49" t="str">
        <f aca="false">$Q$96</f>
        <v>Tenors</v>
      </c>
      <c r="AQ11" s="45" t="n">
        <f aca="false">COUNTIF(M17:M20,AO11)</f>
        <v>1</v>
      </c>
    </row>
    <row r="12" customFormat="false" ht="14.25" hidden="false" customHeight="true" outlineLevel="0" collapsed="false">
      <c r="A12" s="94" t="s">
        <v>41</v>
      </c>
      <c r="B12" s="95" t="n">
        <v>2</v>
      </c>
      <c r="C12" s="96" t="s">
        <v>42</v>
      </c>
      <c r="D12" s="17" t="s">
        <v>1092</v>
      </c>
      <c r="F12" s="32"/>
      <c r="G12" s="33" t="s">
        <v>95</v>
      </c>
      <c r="H12" s="34" t="n">
        <f aca="false">COUNTIF($A:$A,G12)</f>
        <v>5</v>
      </c>
      <c r="I12" s="34" t="n">
        <f aca="false">COUNTIF($C:$C,G12)</f>
        <v>3</v>
      </c>
      <c r="J12" s="35" t="n">
        <f aca="false">IF(I12,H12/I12,H12)</f>
        <v>1.66666666666667</v>
      </c>
      <c r="K12" s="34" t="n">
        <f aca="false">IFERROR(GETPIVOTDATA("Points",$R$2,"Sniper",G12),0)</f>
        <v>10</v>
      </c>
      <c r="L12" s="34" t="n">
        <f aca="false">IFERROR(GETPIVOTDATA("Points",$R$2,"Snipee",G12),0)</f>
        <v>4</v>
      </c>
      <c r="M12" s="124" t="n">
        <f aca="false">IF(L12,K12/L12,K12)</f>
        <v>2.5</v>
      </c>
      <c r="N12" s="35" t="n">
        <f aca="false">IF(H12,K12/H12,0)</f>
        <v>2</v>
      </c>
      <c r="O12" s="35" t="n">
        <f aca="false">IF(I12,L12/I12,0)</f>
        <v>1.33333333333333</v>
      </c>
      <c r="P12" s="125" t="n">
        <f aca="false">IFERROR(VLOOKUP(G12,R:AG,16,FALSE())/10,0)</f>
        <v>0.5</v>
      </c>
      <c r="Q12" s="8"/>
      <c r="R12" s="129" t="s">
        <v>42</v>
      </c>
      <c r="S12" s="105"/>
      <c r="T12" s="106" t="n">
        <v>2</v>
      </c>
      <c r="U12" s="106"/>
      <c r="V12" s="106"/>
      <c r="W12" s="106"/>
      <c r="X12" s="106"/>
      <c r="Y12" s="106"/>
      <c r="Z12" s="106"/>
      <c r="AA12" s="106"/>
      <c r="AB12" s="106" t="n">
        <v>1</v>
      </c>
      <c r="AC12" s="106"/>
      <c r="AD12" s="107"/>
      <c r="AE12" s="108" t="n">
        <v>3</v>
      </c>
      <c r="AG12" s="27" t="n">
        <f aca="false">IF(COUNT(S12:AF12)&lt;&gt;0,COUNT(S12:AF12)-1,"")</f>
        <v>2</v>
      </c>
    </row>
    <row r="13" customFormat="false" ht="14.25" hidden="false" customHeight="true" outlineLevel="0" collapsed="false">
      <c r="A13" s="94" t="s">
        <v>95</v>
      </c>
      <c r="B13" s="95" t="n">
        <v>2</v>
      </c>
      <c r="C13" s="96" t="s">
        <v>41</v>
      </c>
      <c r="D13" s="17" t="s">
        <v>1093</v>
      </c>
      <c r="F13" s="32"/>
      <c r="G13" s="33" t="s">
        <v>35</v>
      </c>
      <c r="H13" s="34" t="n">
        <f aca="false">COUNTIF($A:$A,G13)</f>
        <v>0</v>
      </c>
      <c r="I13" s="34" t="n">
        <f aca="false">COUNTIF($C:$C,G13)</f>
        <v>5</v>
      </c>
      <c r="J13" s="35" t="n">
        <f aca="false">IF(I13,H13/I13,H13)</f>
        <v>0</v>
      </c>
      <c r="K13" s="34" t="n">
        <f aca="false">IFERROR(GETPIVOTDATA("Points",$R$2,"Sniper",G13),0)</f>
        <v>0</v>
      </c>
      <c r="L13" s="34" t="n">
        <f aca="false">IFERROR(GETPIVOTDATA("Points",$R$2,"Snipee",G13),0)</f>
        <v>7</v>
      </c>
      <c r="M13" s="124" t="n">
        <f aca="false">IF(L13,K13/L13,K13)</f>
        <v>0</v>
      </c>
      <c r="N13" s="35" t="n">
        <f aca="false">IF(H13,K13/H13,0)</f>
        <v>0</v>
      </c>
      <c r="O13" s="35" t="n">
        <f aca="false">IF(I13,L13/I13,0)</f>
        <v>1.4</v>
      </c>
      <c r="P13" s="125" t="n">
        <f aca="false">IFERROR(VLOOKUP(G13,R:AG,16,FALSE())/10,0)</f>
        <v>0</v>
      </c>
      <c r="Q13" s="8"/>
      <c r="R13" s="129" t="s">
        <v>43</v>
      </c>
      <c r="S13" s="109"/>
      <c r="T13" s="110" t="n">
        <v>1</v>
      </c>
      <c r="U13" s="110"/>
      <c r="V13" s="110"/>
      <c r="W13" s="110"/>
      <c r="X13" s="110"/>
      <c r="Y13" s="110"/>
      <c r="Z13" s="110"/>
      <c r="AA13" s="110"/>
      <c r="AB13" s="110"/>
      <c r="AC13" s="110"/>
      <c r="AD13" s="111"/>
      <c r="AE13" s="112" t="n">
        <v>1</v>
      </c>
      <c r="AG13" s="27" t="n">
        <f aca="false">IF(COUNT(S13:AF13)&lt;&gt;0,COUNT(S13:AF13)-1,"")</f>
        <v>1</v>
      </c>
      <c r="AI13" s="7" t="s">
        <v>85</v>
      </c>
      <c r="AJ13" s="7"/>
      <c r="AK13" s="7"/>
      <c r="AL13" s="7"/>
      <c r="AM13" s="7"/>
      <c r="AN13" s="7"/>
      <c r="AO13" s="7"/>
      <c r="AP13" s="7"/>
      <c r="AQ13" s="7"/>
      <c r="AR13" s="7"/>
    </row>
    <row r="14" customFormat="false" ht="14.25" hidden="false" customHeight="true" outlineLevel="0" collapsed="false">
      <c r="A14" s="94" t="s">
        <v>33</v>
      </c>
      <c r="B14" s="95" t="n">
        <v>1</v>
      </c>
      <c r="C14" s="96" t="s">
        <v>42</v>
      </c>
      <c r="D14" s="17" t="s">
        <v>1094</v>
      </c>
      <c r="F14" s="32"/>
      <c r="Q14" s="8"/>
      <c r="R14" s="63" t="s">
        <v>44</v>
      </c>
      <c r="S14" s="113" t="n">
        <v>20</v>
      </c>
      <c r="T14" s="114" t="n">
        <v>19</v>
      </c>
      <c r="U14" s="114" t="n">
        <v>15</v>
      </c>
      <c r="V14" s="114" t="n">
        <v>10</v>
      </c>
      <c r="W14" s="114" t="n">
        <v>9</v>
      </c>
      <c r="X14" s="114" t="n">
        <v>7</v>
      </c>
      <c r="Y14" s="114" t="n">
        <v>7</v>
      </c>
      <c r="Z14" s="114" t="n">
        <v>6</v>
      </c>
      <c r="AA14" s="114" t="n">
        <v>6</v>
      </c>
      <c r="AB14" s="114" t="n">
        <v>5</v>
      </c>
      <c r="AC14" s="114" t="n">
        <v>5</v>
      </c>
      <c r="AD14" s="115" t="n">
        <v>4</v>
      </c>
      <c r="AE14" s="65" t="n">
        <v>113</v>
      </c>
      <c r="AG14" s="27" t="n">
        <f aca="false">IF(COUNT(S14:AF14)&lt;&gt;0,COUNT(S14:AF14)-1,"")</f>
        <v>12</v>
      </c>
      <c r="AI14" s="52" t="s">
        <v>88</v>
      </c>
      <c r="AJ14" s="31" t="s">
        <v>16</v>
      </c>
      <c r="AK14" s="31" t="s">
        <v>17</v>
      </c>
      <c r="AL14" s="31" t="s">
        <v>18</v>
      </c>
      <c r="AM14" s="31" t="s">
        <v>19</v>
      </c>
      <c r="AN14" s="31" t="s">
        <v>20</v>
      </c>
      <c r="AO14" s="31" t="s">
        <v>21</v>
      </c>
      <c r="AP14" s="31" t="s">
        <v>22</v>
      </c>
      <c r="AQ14" s="31" t="s">
        <v>23</v>
      </c>
      <c r="AR14" s="53" t="s">
        <v>24</v>
      </c>
    </row>
    <row r="15" customFormat="false" ht="14.25" hidden="false" customHeight="true" outlineLevel="0" collapsed="false">
      <c r="A15" s="94" t="s">
        <v>42</v>
      </c>
      <c r="B15" s="95" t="n">
        <v>1</v>
      </c>
      <c r="C15" s="96" t="s">
        <v>36</v>
      </c>
      <c r="D15" s="17" t="s">
        <v>1095</v>
      </c>
      <c r="F15" s="32"/>
      <c r="G15" s="7" t="s">
        <v>105</v>
      </c>
      <c r="H15" s="7"/>
      <c r="I15" s="7"/>
      <c r="J15" s="7"/>
      <c r="K15" s="7"/>
      <c r="L15" s="7"/>
      <c r="M15" s="7"/>
      <c r="N15" s="7"/>
      <c r="O15" s="7"/>
      <c r="Q15" s="8"/>
      <c r="AG15" s="27" t="str">
        <f aca="false">IF(COUNT(S15:AF15)&lt;&gt;0,COUNT(S15:AF15)-1,"")</f>
        <v/>
      </c>
      <c r="AI15" s="54" t="s">
        <v>91</v>
      </c>
      <c r="AJ15" s="55" t="n">
        <v>7.5</v>
      </c>
      <c r="AK15" s="56" t="n">
        <v>-6</v>
      </c>
      <c r="AL15" s="56" t="n">
        <v>25</v>
      </c>
      <c r="AM15" s="56" t="n">
        <v>8.5</v>
      </c>
      <c r="AN15" s="56" t="n">
        <v>-6.5</v>
      </c>
      <c r="AO15" s="56" t="n">
        <v>25</v>
      </c>
      <c r="AP15" s="56" t="n">
        <v>20</v>
      </c>
      <c r="AQ15" s="56" t="n">
        <v>-20</v>
      </c>
      <c r="AR15" s="57" t="n">
        <v>250</v>
      </c>
      <c r="AS15" s="41" t="s">
        <v>92</v>
      </c>
    </row>
    <row r="16" customFormat="false" ht="14.25" hidden="false" customHeight="true" outlineLevel="0" collapsed="false">
      <c r="A16" s="94" t="s">
        <v>36</v>
      </c>
      <c r="B16" s="95" t="n">
        <v>2</v>
      </c>
      <c r="C16" s="96" t="s">
        <v>42</v>
      </c>
      <c r="D16" s="17" t="s">
        <v>1096</v>
      </c>
      <c r="F16" s="32"/>
      <c r="G16" s="52" t="s">
        <v>108</v>
      </c>
      <c r="H16" s="31" t="s">
        <v>16</v>
      </c>
      <c r="I16" s="31" t="s">
        <v>17</v>
      </c>
      <c r="J16" s="31" t="s">
        <v>18</v>
      </c>
      <c r="K16" s="31" t="s">
        <v>19</v>
      </c>
      <c r="L16" s="31" t="s">
        <v>20</v>
      </c>
      <c r="M16" s="31" t="s">
        <v>21</v>
      </c>
      <c r="N16" s="21" t="s">
        <v>22</v>
      </c>
      <c r="O16" s="31" t="s">
        <v>23</v>
      </c>
      <c r="Q16" s="58"/>
      <c r="AI16" s="130" t="s">
        <v>30</v>
      </c>
      <c r="AJ16" s="34" t="n">
        <f aca="false">H3*$AJ$15</f>
        <v>22.5</v>
      </c>
      <c r="AK16" s="59" t="n">
        <f aca="false">I3*$AK$15</f>
        <v>-24</v>
      </c>
      <c r="AL16" s="60" t="n">
        <f aca="false">J3*$AL$15</f>
        <v>18.75</v>
      </c>
      <c r="AM16" s="131" t="n">
        <f aca="false">K3*$AM$15</f>
        <v>34</v>
      </c>
      <c r="AN16" s="131" t="n">
        <f aca="false">L3*$AN$15</f>
        <v>-32.5</v>
      </c>
      <c r="AO16" s="132" t="n">
        <f aca="false">M3*$AO$15</f>
        <v>20</v>
      </c>
      <c r="AP16" s="60" t="n">
        <f aca="false">N3*$AP$15</f>
        <v>26.6666666666667</v>
      </c>
      <c r="AQ16" s="60" t="n">
        <f aca="false">O3*$AQ$15</f>
        <v>-25</v>
      </c>
      <c r="AR16" s="133" t="n">
        <f aca="false">P3*$AR$15</f>
        <v>50</v>
      </c>
      <c r="AS16" s="62" t="n">
        <f aca="false">SUM(AJ16:AR16)</f>
        <v>90.4166666666667</v>
      </c>
    </row>
    <row r="17" customFormat="false" ht="14.25" hidden="false" customHeight="true" outlineLevel="0" collapsed="false">
      <c r="A17" s="94" t="s">
        <v>39</v>
      </c>
      <c r="B17" s="95" t="n">
        <v>2</v>
      </c>
      <c r="C17" s="96" t="s">
        <v>42</v>
      </c>
      <c r="D17" s="17" t="s">
        <v>1097</v>
      </c>
      <c r="F17" s="32"/>
      <c r="G17" s="33" t="s">
        <v>111</v>
      </c>
      <c r="H17" s="67" t="n">
        <f aca="false">SUM(H3:H4)/COUNT(H3:H4)</f>
        <v>3</v>
      </c>
      <c r="I17" s="67" t="n">
        <f aca="false">SUM(I3:I4)/COUNT(I3:I4)</f>
        <v>8</v>
      </c>
      <c r="J17" s="68" t="n">
        <f aca="false">IF(I17,H17/I17,H17)</f>
        <v>0.375</v>
      </c>
      <c r="K17" s="67" t="n">
        <f aca="false">SUM(K3:K4)/COUNT(K3:K4)</f>
        <v>3.5</v>
      </c>
      <c r="L17" s="67" t="n">
        <f aca="false">SUM(L3:L4)/COUNT(L3:L4)</f>
        <v>12.5</v>
      </c>
      <c r="M17" s="68" t="n">
        <f aca="false">IF(L17,K17/L17,K17)</f>
        <v>0.28</v>
      </c>
      <c r="N17" s="69" t="n">
        <f aca="false">IF(H17,K17/H17,0)</f>
        <v>1.16666666666667</v>
      </c>
      <c r="O17" s="70" t="n">
        <f aca="false">IF(I17,L17/I17,0)</f>
        <v>1.5625</v>
      </c>
      <c r="AF17" s="66"/>
      <c r="AG17" s="66" t="str">
        <f aca="false">IF(COUNT(S17:AE17)&lt;&gt;0,COUNT(S17:AE17)-1,"")</f>
        <v/>
      </c>
      <c r="AI17" s="33" t="s">
        <v>42</v>
      </c>
      <c r="AJ17" s="34" t="n">
        <f aca="false">H4*$AJ$15</f>
        <v>22.5</v>
      </c>
      <c r="AK17" s="59" t="n">
        <f aca="false">I4*$AK$15</f>
        <v>-72</v>
      </c>
      <c r="AL17" s="60" t="n">
        <f aca="false">J4*$AL$15</f>
        <v>6.25</v>
      </c>
      <c r="AM17" s="131" t="n">
        <f aca="false">K4*$AM$15</f>
        <v>25.5</v>
      </c>
      <c r="AN17" s="131" t="n">
        <f aca="false">L4*$AN$15</f>
        <v>-130</v>
      </c>
      <c r="AO17" s="132" t="n">
        <f aca="false">M4*$AO$15</f>
        <v>3.75</v>
      </c>
      <c r="AP17" s="60" t="n">
        <f aca="false">N4*$AP$15</f>
        <v>20</v>
      </c>
      <c r="AQ17" s="60" t="n">
        <f aca="false">O4*$AQ$15</f>
        <v>-33.3333333333333</v>
      </c>
      <c r="AR17" s="133" t="n">
        <f aca="false">P4*$AR$15</f>
        <v>50</v>
      </c>
      <c r="AS17" s="62" t="n">
        <f aca="false">SUM(AJ17:AR17)</f>
        <v>-107.333333333333</v>
      </c>
    </row>
    <row r="18" customFormat="false" ht="14.25" hidden="false" customHeight="true" outlineLevel="0" collapsed="false">
      <c r="A18" s="94" t="s">
        <v>30</v>
      </c>
      <c r="B18" s="95" t="n">
        <v>1</v>
      </c>
      <c r="C18" s="96" t="s">
        <v>95</v>
      </c>
      <c r="D18" s="17" t="s">
        <v>1098</v>
      </c>
      <c r="F18" s="32"/>
      <c r="G18" s="33" t="s">
        <v>114</v>
      </c>
      <c r="H18" s="67" t="n">
        <f aca="false">SUM(H5:H7)/COUNT(H5:H7)</f>
        <v>8.66666666666667</v>
      </c>
      <c r="I18" s="67" t="n">
        <f aca="false">SUM(I5:I7)/COUNT(I5:I7)</f>
        <v>8.33333333333333</v>
      </c>
      <c r="J18" s="68" t="n">
        <f aca="false">IF(I18,H18/I18,H18)</f>
        <v>1.04</v>
      </c>
      <c r="K18" s="67" t="n">
        <f aca="false">SUM(K5:K7)/COUNT(K5:K7)</f>
        <v>12.6666666666667</v>
      </c>
      <c r="L18" s="67" t="n">
        <f aca="false">SUM(L5:L7)/COUNT(L5:L7)</f>
        <v>11.3333333333333</v>
      </c>
      <c r="M18" s="68" t="n">
        <f aca="false">IF(L18,K18/L18,K18)</f>
        <v>1.11764705882353</v>
      </c>
      <c r="N18" s="69" t="n">
        <f aca="false">IF(H18,K18/H18,0)</f>
        <v>1.46153846153846</v>
      </c>
      <c r="O18" s="70" t="n">
        <f aca="false">IF(I18,L18/I18,0)</f>
        <v>1.36</v>
      </c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 t="str">
        <f aca="false">IF(COUNT(S18:AE18)&lt;&gt;0,COUNT(S18:AE18)-1,"")</f>
        <v/>
      </c>
      <c r="AI18" s="33" t="s">
        <v>40</v>
      </c>
      <c r="AJ18" s="34" t="n">
        <f aca="false">H5*$AJ$15</f>
        <v>22.5</v>
      </c>
      <c r="AK18" s="59" t="n">
        <f aca="false">I5*$AK$15</f>
        <v>-30</v>
      </c>
      <c r="AL18" s="60" t="n">
        <f aca="false">J5*$AL$15</f>
        <v>15</v>
      </c>
      <c r="AM18" s="131" t="n">
        <f aca="false">K5*$AM$15</f>
        <v>34</v>
      </c>
      <c r="AN18" s="131" t="n">
        <f aca="false">L5*$AN$15</f>
        <v>-39</v>
      </c>
      <c r="AO18" s="132" t="n">
        <f aca="false">M5*$AO$15</f>
        <v>16.6666666666667</v>
      </c>
      <c r="AP18" s="60" t="n">
        <f aca="false">N5*$AP$15</f>
        <v>26.6666666666667</v>
      </c>
      <c r="AQ18" s="60" t="n">
        <f aca="false">O5*$AQ$15</f>
        <v>-24</v>
      </c>
      <c r="AR18" s="133" t="n">
        <f aca="false">P5*$AR$15</f>
        <v>75</v>
      </c>
      <c r="AS18" s="62" t="n">
        <f aca="false">SUM(AJ18:AR18)</f>
        <v>96.8333333333333</v>
      </c>
    </row>
    <row r="19" customFormat="false" ht="14.25" hidden="false" customHeight="true" outlineLevel="0" collapsed="false">
      <c r="A19" s="94" t="s">
        <v>95</v>
      </c>
      <c r="B19" s="95" t="n">
        <v>1</v>
      </c>
      <c r="C19" s="96" t="s">
        <v>30</v>
      </c>
      <c r="D19" s="17" t="s">
        <v>1099</v>
      </c>
      <c r="E19" s="6" t="n">
        <v>1</v>
      </c>
      <c r="F19" s="32"/>
      <c r="G19" s="33" t="s">
        <v>117</v>
      </c>
      <c r="H19" s="67" t="n">
        <f aca="false">SUM(H8:H9)/COUNT(H8:H9)</f>
        <v>14.5</v>
      </c>
      <c r="I19" s="67" t="n">
        <f aca="false">SUM(I8:I9)/COUNT(I8:I9)</f>
        <v>6.5</v>
      </c>
      <c r="J19" s="68" t="n">
        <f aca="false">IF(I19,H19/I19,H19)</f>
        <v>2.23076923076923</v>
      </c>
      <c r="K19" s="67" t="n">
        <f aca="false">SUM(K8:K9)/COUNT(K8:K9)</f>
        <v>23</v>
      </c>
      <c r="L19" s="67" t="n">
        <f aca="false">SUM(L8:L9)/COUNT(L8:L9)</f>
        <v>7.5</v>
      </c>
      <c r="M19" s="68" t="n">
        <f aca="false">IF(L19,K19/L19,K19)</f>
        <v>3.06666666666667</v>
      </c>
      <c r="N19" s="69" t="n">
        <f aca="false">IF(H19,K19/H19,0)</f>
        <v>1.58620689655172</v>
      </c>
      <c r="O19" s="70" t="n">
        <f aca="false">IF(I19,L19/I19,0)</f>
        <v>1.15384615384615</v>
      </c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 t="str">
        <f aca="false">IF(COUNT(S19:AE19)&lt;&gt;0,COUNT(S19:AE19)-1,"")</f>
        <v/>
      </c>
      <c r="AI19" s="33" t="s">
        <v>41</v>
      </c>
      <c r="AJ19" s="34" t="n">
        <f aca="false">H6*$AJ$15</f>
        <v>97.5</v>
      </c>
      <c r="AK19" s="59" t="n">
        <f aca="false">I6*$AK$15</f>
        <v>-42</v>
      </c>
      <c r="AL19" s="60" t="n">
        <f aca="false">J6*$AL$15</f>
        <v>46.4285714285714</v>
      </c>
      <c r="AM19" s="131" t="n">
        <f aca="false">K6*$AM$15</f>
        <v>178.5</v>
      </c>
      <c r="AN19" s="131" t="n">
        <f aca="false">L6*$AN$15</f>
        <v>-58.5</v>
      </c>
      <c r="AO19" s="132" t="n">
        <f aca="false">M6*$AO$15</f>
        <v>58.3333333333333</v>
      </c>
      <c r="AP19" s="60" t="n">
        <f aca="false">N6*$AP$15</f>
        <v>32.3076923076923</v>
      </c>
      <c r="AQ19" s="60" t="n">
        <f aca="false">O6*$AQ$15</f>
        <v>-25.7142857142857</v>
      </c>
      <c r="AR19" s="133" t="n">
        <f aca="false">P6*$AR$15</f>
        <v>200</v>
      </c>
      <c r="AS19" s="62" t="n">
        <f aca="false">SUM(AJ19:AR19)</f>
        <v>486.855311355311</v>
      </c>
    </row>
    <row r="20" customFormat="false" ht="14.25" hidden="false" customHeight="true" outlineLevel="0" collapsed="false">
      <c r="A20" s="94" t="s">
        <v>41</v>
      </c>
      <c r="B20" s="95" t="n">
        <v>1</v>
      </c>
      <c r="C20" s="96" t="s">
        <v>36</v>
      </c>
      <c r="D20" s="17" t="s">
        <v>1100</v>
      </c>
      <c r="F20" s="32"/>
      <c r="G20" s="33" t="s">
        <v>120</v>
      </c>
      <c r="H20" s="67" t="n">
        <f aca="false">SUM(H10:H13)/COUNT(H10:H13)</f>
        <v>3.25</v>
      </c>
      <c r="I20" s="67" t="n">
        <f aca="false">SUM(I10:I13)/COUNT(I10:I13)</f>
        <v>4.25</v>
      </c>
      <c r="J20" s="68" t="n">
        <f aca="false">IF(I20,H20/I20,H20)</f>
        <v>0.764705882352941</v>
      </c>
      <c r="K20" s="67" t="n">
        <f aca="false">SUM(K10:K13)/COUNT(K10:K13)</f>
        <v>5.5</v>
      </c>
      <c r="L20" s="67" t="n">
        <f aca="false">SUM(L10:L13)/COUNT(L10:L13)</f>
        <v>6</v>
      </c>
      <c r="M20" s="68" t="n">
        <f aca="false">IF(L20,K20/L20,K20)</f>
        <v>0.916666666666667</v>
      </c>
      <c r="N20" s="69" t="n">
        <f aca="false">IF(H20,K20/H20,0)</f>
        <v>1.69230769230769</v>
      </c>
      <c r="O20" s="70" t="n">
        <f aca="false">IF(I20,L20/I20,0)</f>
        <v>1.41176470588235</v>
      </c>
      <c r="S20" s="66"/>
      <c r="T20" s="66"/>
      <c r="U20" s="66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 t="str">
        <f aca="false">IF(COUNT(S20:AE20)&lt;&gt;0,COUNT(S20:AE20)-1,"")</f>
        <v/>
      </c>
      <c r="AI20" s="33" t="s">
        <v>36</v>
      </c>
      <c r="AJ20" s="34" t="n">
        <f aca="false">H7*$AJ$15</f>
        <v>75</v>
      </c>
      <c r="AK20" s="59" t="n">
        <f aca="false">I7*$AK$15</f>
        <v>-78</v>
      </c>
      <c r="AL20" s="60" t="n">
        <f aca="false">J7*$AL$15</f>
        <v>19.2307692307692</v>
      </c>
      <c r="AM20" s="131" t="n">
        <f aca="false">K7*$AM$15</f>
        <v>110.5</v>
      </c>
      <c r="AN20" s="131" t="n">
        <f aca="false">L7*$AN$15</f>
        <v>-123.5</v>
      </c>
      <c r="AO20" s="132" t="n">
        <f aca="false">M7*$AO$15</f>
        <v>17.1052631578947</v>
      </c>
      <c r="AP20" s="60" t="n">
        <f aca="false">N7*$AP$15</f>
        <v>26</v>
      </c>
      <c r="AQ20" s="60" t="n">
        <f aca="false">O7*$AQ$15</f>
        <v>-29.2307692307692</v>
      </c>
      <c r="AR20" s="133" t="n">
        <f aca="false">P7*$AR$15</f>
        <v>125</v>
      </c>
      <c r="AS20" s="62" t="n">
        <f aca="false">SUM(AJ20:AR20)</f>
        <v>142.105263157895</v>
      </c>
    </row>
    <row r="21" customFormat="false" ht="14.25" hidden="false" customHeight="true" outlineLevel="0" collapsed="false">
      <c r="A21" s="94" t="s">
        <v>36</v>
      </c>
      <c r="B21" s="95" t="n">
        <v>1</v>
      </c>
      <c r="C21" s="96" t="s">
        <v>43</v>
      </c>
      <c r="D21" s="17" t="s">
        <v>1101</v>
      </c>
      <c r="E21" s="6"/>
      <c r="F21" s="32"/>
      <c r="G21" s="73" t="s">
        <v>123</v>
      </c>
      <c r="H21" s="67" t="n">
        <f aca="false">SUM(H10:H12)/COUNT(H10:H12)</f>
        <v>4.33333333333333</v>
      </c>
      <c r="I21" s="67" t="n">
        <f aca="false">SUM(I10:I12)/COUNT(I10:I12)</f>
        <v>4</v>
      </c>
      <c r="J21" s="68" t="n">
        <f aca="false">IF(I21,H21/I21,H21)</f>
        <v>1.08333333333333</v>
      </c>
      <c r="K21" s="67" t="n">
        <f aca="false">SUM(K10:K12)/COUNT(K10:K12)</f>
        <v>7.33333333333333</v>
      </c>
      <c r="L21" s="67" t="n">
        <f aca="false">SUM(L10:L12)/COUNT(L10:L12)</f>
        <v>5.66666666666667</v>
      </c>
      <c r="M21" s="68" t="n">
        <f aca="false">IF(L21,K21/L21,K21)</f>
        <v>1.29411764705882</v>
      </c>
      <c r="N21" s="69" t="n">
        <f aca="false">IF(H21,K21/H21,0)</f>
        <v>1.69230769230769</v>
      </c>
      <c r="O21" s="70" t="n">
        <f aca="false">IF(I21,L21/I21,0)</f>
        <v>1.41666666666667</v>
      </c>
      <c r="S21" s="66"/>
      <c r="T21" s="66"/>
      <c r="U21" s="66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 t="str">
        <f aca="false">IF(COUNT(S21:AE21)&lt;&gt;0,COUNT(S21:AE21)-1,"")</f>
        <v/>
      </c>
      <c r="AI21" s="33" t="s">
        <v>39</v>
      </c>
      <c r="AJ21" s="34" t="n">
        <f aca="false">H8*$AJ$15</f>
        <v>135</v>
      </c>
      <c r="AK21" s="59" t="n">
        <f aca="false">I8*$AK$15</f>
        <v>-48</v>
      </c>
      <c r="AL21" s="60" t="n">
        <f aca="false">J8*$AL$15</f>
        <v>56.25</v>
      </c>
      <c r="AM21" s="131" t="n">
        <f aca="false">K8*$AM$15</f>
        <v>238</v>
      </c>
      <c r="AN21" s="131" t="n">
        <f aca="false">L8*$AN$15</f>
        <v>-65</v>
      </c>
      <c r="AO21" s="132" t="n">
        <f aca="false">M8*$AO$15</f>
        <v>70</v>
      </c>
      <c r="AP21" s="60" t="n">
        <f aca="false">N8*$AP$15</f>
        <v>31.1111111111111</v>
      </c>
      <c r="AQ21" s="60" t="n">
        <f aca="false">O8*$AQ$15</f>
        <v>-25</v>
      </c>
      <c r="AR21" s="133" t="n">
        <f aca="false">P8*$AR$15</f>
        <v>200</v>
      </c>
      <c r="AS21" s="62" t="n">
        <f aca="false">SUM(AJ21:AR21)</f>
        <v>592.361111111111</v>
      </c>
    </row>
    <row r="22" customFormat="false" ht="14.25" hidden="false" customHeight="true" outlineLevel="0" collapsed="false">
      <c r="A22" s="94" t="s">
        <v>36</v>
      </c>
      <c r="B22" s="95" t="n">
        <v>1</v>
      </c>
      <c r="C22" s="96" t="s">
        <v>41</v>
      </c>
      <c r="D22" s="17" t="s">
        <v>1101</v>
      </c>
      <c r="F22" s="17"/>
      <c r="Q22" s="71"/>
      <c r="R22" s="116" t="s">
        <v>594</v>
      </c>
      <c r="S22" s="40" t="s">
        <v>595</v>
      </c>
      <c r="T22" s="117" t="s">
        <v>596</v>
      </c>
      <c r="U22" s="118" t="s">
        <v>597</v>
      </c>
      <c r="V22" s="119" t="s">
        <v>598</v>
      </c>
      <c r="AG22" s="66" t="str">
        <f aca="false">IF(COUNT(S22:AE22)&lt;&gt;0,COUNT(S22:AE22)-1,"")</f>
        <v/>
      </c>
      <c r="AI22" s="33" t="s">
        <v>33</v>
      </c>
      <c r="AJ22" s="34" t="n">
        <f aca="false">H9*$AJ$15</f>
        <v>82.5</v>
      </c>
      <c r="AK22" s="59" t="n">
        <f aca="false">I9*$AK$15</f>
        <v>-30</v>
      </c>
      <c r="AL22" s="60" t="n">
        <f aca="false">J9*$AL$15</f>
        <v>55</v>
      </c>
      <c r="AM22" s="131" t="n">
        <f aca="false">K9*$AM$15</f>
        <v>153</v>
      </c>
      <c r="AN22" s="131" t="n">
        <f aca="false">L9*$AN$15</f>
        <v>-32.5</v>
      </c>
      <c r="AO22" s="132" t="n">
        <f aca="false">M9*$AO$15</f>
        <v>90</v>
      </c>
      <c r="AP22" s="60" t="n">
        <f aca="false">N9*$AP$15</f>
        <v>32.7272727272727</v>
      </c>
      <c r="AQ22" s="60" t="n">
        <f aca="false">O9*$AQ$15</f>
        <v>-20</v>
      </c>
      <c r="AR22" s="133" t="n">
        <f aca="false">P9*$AR$15</f>
        <v>150</v>
      </c>
      <c r="AS22" s="62" t="n">
        <f aca="false">SUM(AJ22:AR22)</f>
        <v>480.727272727273</v>
      </c>
    </row>
    <row r="23" customFormat="false" ht="14.25" hidden="false" customHeight="true" outlineLevel="0" collapsed="false">
      <c r="A23" s="94" t="s">
        <v>43</v>
      </c>
      <c r="B23" s="95" t="n">
        <v>1</v>
      </c>
      <c r="C23" s="96" t="s">
        <v>36</v>
      </c>
      <c r="D23" s="17" t="s">
        <v>1102</v>
      </c>
      <c r="F23" s="32"/>
      <c r="Q23" s="71"/>
      <c r="R23" s="46" t="s">
        <v>600</v>
      </c>
      <c r="S23" s="40" t="n">
        <f aca="false">COUNT(E:E)</f>
        <v>4</v>
      </c>
      <c r="T23" s="117" t="n">
        <f aca="false">COUNTIF(E:E,1)</f>
        <v>4</v>
      </c>
      <c r="U23" s="118" t="n">
        <f aca="false">S23-T23</f>
        <v>0</v>
      </c>
      <c r="V23" s="120" t="n">
        <f aca="false">IFERROR(T23/S23,0)</f>
        <v>1</v>
      </c>
      <c r="AI23" s="33" t="s">
        <v>11</v>
      </c>
      <c r="AJ23" s="34" t="n">
        <f aca="false">H10*$AJ$15</f>
        <v>52.5</v>
      </c>
      <c r="AK23" s="59" t="n">
        <f aca="false">I10*$AK$15</f>
        <v>-24</v>
      </c>
      <c r="AL23" s="60" t="n">
        <f aca="false">J10*$AL$15</f>
        <v>43.75</v>
      </c>
      <c r="AM23" s="131" t="n">
        <f aca="false">K10*$AM$15</f>
        <v>93.5</v>
      </c>
      <c r="AN23" s="131" t="n">
        <f aca="false">L10*$AN$15</f>
        <v>-39</v>
      </c>
      <c r="AO23" s="132" t="n">
        <f aca="false">M10*$AO$15</f>
        <v>45.8333333333333</v>
      </c>
      <c r="AP23" s="60" t="n">
        <f aca="false">N10*$AP$15</f>
        <v>31.4285714285714</v>
      </c>
      <c r="AQ23" s="60" t="n">
        <f aca="false">O10*$AQ$15</f>
        <v>-30</v>
      </c>
      <c r="AR23" s="133" t="n">
        <f aca="false">P10*$AR$15</f>
        <v>75</v>
      </c>
      <c r="AS23" s="62" t="n">
        <f aca="false">SUM(AJ23:AR23)</f>
        <v>249.011904761905</v>
      </c>
    </row>
    <row r="24" customFormat="false" ht="14.25" hidden="false" customHeight="true" outlineLevel="0" collapsed="false">
      <c r="A24" s="94" t="s">
        <v>95</v>
      </c>
      <c r="B24" s="95" t="n">
        <v>1</v>
      </c>
      <c r="C24" s="96" t="s">
        <v>39</v>
      </c>
      <c r="D24" s="17" t="s">
        <v>1103</v>
      </c>
      <c r="F24" s="17"/>
      <c r="J24" s="72"/>
      <c r="K24" s="72"/>
      <c r="L24" s="72"/>
      <c r="M24" s="84"/>
      <c r="N24" s="84"/>
      <c r="O24" s="84"/>
      <c r="Q24" s="8"/>
      <c r="AD24" s="72"/>
      <c r="AI24" s="33" t="s">
        <v>43</v>
      </c>
      <c r="AJ24" s="34" t="n">
        <f aca="false">H11*$AJ$15</f>
        <v>7.5</v>
      </c>
      <c r="AK24" s="59" t="n">
        <f aca="false">I11*$AK$15</f>
        <v>-30</v>
      </c>
      <c r="AL24" s="60" t="n">
        <f aca="false">J11*$AL$15</f>
        <v>5</v>
      </c>
      <c r="AM24" s="131" t="n">
        <f aca="false">K11*$AM$15</f>
        <v>8.5</v>
      </c>
      <c r="AN24" s="131" t="n">
        <f aca="false">L11*$AN$15</f>
        <v>-45.5</v>
      </c>
      <c r="AO24" s="132" t="n">
        <f aca="false">M11*$AO$15</f>
        <v>3.57142857142857</v>
      </c>
      <c r="AP24" s="60" t="n">
        <f aca="false">N11*$AP$15</f>
        <v>20</v>
      </c>
      <c r="AQ24" s="60" t="n">
        <f aca="false">O11*$AQ$15</f>
        <v>-28</v>
      </c>
      <c r="AR24" s="133" t="n">
        <f aca="false">P11*$AR$15</f>
        <v>25</v>
      </c>
      <c r="AS24" s="62" t="n">
        <f aca="false">SUM(AJ24:AR24)</f>
        <v>-33.9285714285714</v>
      </c>
    </row>
    <row r="25" customFormat="false" ht="14.25" hidden="false" customHeight="true" outlineLevel="0" collapsed="false">
      <c r="A25" s="94" t="s">
        <v>39</v>
      </c>
      <c r="B25" s="95" t="n">
        <v>1</v>
      </c>
      <c r="C25" s="96" t="s">
        <v>95</v>
      </c>
      <c r="D25" s="17" t="s">
        <v>1104</v>
      </c>
      <c r="F25" s="32"/>
      <c r="G25" s="33" t="s">
        <v>88</v>
      </c>
      <c r="H25" s="41" t="s">
        <v>16</v>
      </c>
      <c r="Q25" s="33" t="s">
        <v>88</v>
      </c>
      <c r="R25" s="41" t="s">
        <v>19</v>
      </c>
      <c r="AI25" s="33" t="s">
        <v>95</v>
      </c>
      <c r="AJ25" s="34" t="n">
        <f aca="false">H12*$AJ$15</f>
        <v>37.5</v>
      </c>
      <c r="AK25" s="59" t="n">
        <f aca="false">I12*$AK$15</f>
        <v>-18</v>
      </c>
      <c r="AL25" s="60" t="n">
        <f aca="false">J12*$AL$15</f>
        <v>41.6666666666667</v>
      </c>
      <c r="AM25" s="131" t="n">
        <f aca="false">K12*$AM$15</f>
        <v>85</v>
      </c>
      <c r="AN25" s="131" t="n">
        <f aca="false">L12*$AN$15</f>
        <v>-26</v>
      </c>
      <c r="AO25" s="132" t="n">
        <f aca="false">M12*$AO$15</f>
        <v>62.5</v>
      </c>
      <c r="AP25" s="60" t="n">
        <f aca="false">N12*$AP$15</f>
        <v>40</v>
      </c>
      <c r="AQ25" s="60" t="n">
        <f aca="false">O12*$AQ$15</f>
        <v>-26.6666666666667</v>
      </c>
      <c r="AR25" s="133" t="n">
        <f aca="false">P12*$AR$15</f>
        <v>125</v>
      </c>
      <c r="AS25" s="62" t="n">
        <f aca="false">SUM(AJ25:AR25)</f>
        <v>321</v>
      </c>
    </row>
    <row r="26" customFormat="false" ht="14.25" hidden="false" customHeight="true" outlineLevel="0" collapsed="false">
      <c r="A26" s="94" t="s">
        <v>39</v>
      </c>
      <c r="B26" s="95" t="n">
        <v>2</v>
      </c>
      <c r="C26" s="96" t="s">
        <v>95</v>
      </c>
      <c r="D26" s="17" t="s">
        <v>1105</v>
      </c>
      <c r="F26" s="32"/>
      <c r="G26" s="33" t="s">
        <v>39</v>
      </c>
      <c r="H26" s="34" t="n">
        <f aca="false">VLOOKUP(G26,$G$3:$P$13,2,FALSE())</f>
        <v>18</v>
      </c>
      <c r="Q26" s="33" t="s">
        <v>39</v>
      </c>
      <c r="R26" s="34" t="n">
        <f aca="false">VLOOKUP(Q26,$G$3:$P$13,5,FALSE())</f>
        <v>28</v>
      </c>
      <c r="AI26" s="33" t="s">
        <v>35</v>
      </c>
      <c r="AJ26" s="34" t="n">
        <f aca="false">H13*$AJ$15</f>
        <v>0</v>
      </c>
      <c r="AK26" s="59" t="n">
        <f aca="false">I13*$AK$15</f>
        <v>-30</v>
      </c>
      <c r="AL26" s="60" t="n">
        <f aca="false">J13*$AL$15</f>
        <v>0</v>
      </c>
      <c r="AM26" s="131" t="n">
        <f aca="false">K13*$AM$15</f>
        <v>0</v>
      </c>
      <c r="AN26" s="131" t="n">
        <f aca="false">L13*$AN$15</f>
        <v>-45.5</v>
      </c>
      <c r="AO26" s="132" t="n">
        <f aca="false">M13*$AO$15</f>
        <v>0</v>
      </c>
      <c r="AP26" s="60" t="n">
        <f aca="false">N13*$AP$15</f>
        <v>0</v>
      </c>
      <c r="AQ26" s="60" t="n">
        <f aca="false">O13*$AQ$15</f>
        <v>-28</v>
      </c>
      <c r="AR26" s="133" t="n">
        <f aca="false">P13*$AR$15</f>
        <v>0</v>
      </c>
      <c r="AS26" s="62" t="n">
        <f aca="false">SUM(AJ26:AR26)</f>
        <v>-103.5</v>
      </c>
    </row>
    <row r="27" customFormat="false" ht="14.25" hidden="false" customHeight="true" outlineLevel="0" collapsed="false">
      <c r="A27" s="94" t="s">
        <v>41</v>
      </c>
      <c r="B27" s="95" t="n">
        <v>1</v>
      </c>
      <c r="C27" s="96" t="s">
        <v>35</v>
      </c>
      <c r="D27" s="17" t="s">
        <v>1106</v>
      </c>
      <c r="F27" s="17"/>
      <c r="G27" s="33" t="s">
        <v>41</v>
      </c>
      <c r="H27" s="34" t="n">
        <f aca="false">VLOOKUP(G27,$G$3:$P$13,2,FALSE())</f>
        <v>13</v>
      </c>
      <c r="Q27" s="33" t="s">
        <v>41</v>
      </c>
      <c r="R27" s="34" t="n">
        <f aca="false">VLOOKUP(Q27,$G$3:$P$13,5,FALSE())</f>
        <v>21</v>
      </c>
    </row>
    <row r="28" customFormat="false" ht="14.25" hidden="false" customHeight="true" outlineLevel="0" collapsed="false">
      <c r="A28" s="94" t="s">
        <v>41</v>
      </c>
      <c r="B28" s="95" t="n">
        <v>1</v>
      </c>
      <c r="C28" s="96" t="s">
        <v>30</v>
      </c>
      <c r="D28" s="17" t="s">
        <v>1107</v>
      </c>
      <c r="E28" s="6" t="n">
        <v>1</v>
      </c>
      <c r="F28" s="32"/>
      <c r="G28" s="33" t="s">
        <v>33</v>
      </c>
      <c r="H28" s="34" t="n">
        <f aca="false">VLOOKUP(G28,$G$3:$P$13,2,FALSE())</f>
        <v>11</v>
      </c>
      <c r="Q28" s="33" t="s">
        <v>33</v>
      </c>
      <c r="R28" s="34" t="n">
        <f aca="false">VLOOKUP(Q28,$G$3:$P$13,5,FALSE())</f>
        <v>18</v>
      </c>
    </row>
    <row r="29" customFormat="false" ht="14.25" hidden="false" customHeight="true" outlineLevel="0" collapsed="false">
      <c r="A29" s="94" t="s">
        <v>30</v>
      </c>
      <c r="B29" s="95" t="n">
        <v>1</v>
      </c>
      <c r="C29" s="96" t="s">
        <v>41</v>
      </c>
      <c r="D29" s="17" t="s">
        <v>1108</v>
      </c>
      <c r="F29" s="17"/>
      <c r="G29" s="33" t="s">
        <v>36</v>
      </c>
      <c r="H29" s="34" t="n">
        <f aca="false">VLOOKUP(G29,$G$3:$P$13,2,FALSE())</f>
        <v>10</v>
      </c>
      <c r="Q29" s="33" t="s">
        <v>36</v>
      </c>
      <c r="R29" s="34" t="n">
        <f aca="false">VLOOKUP(Q29,$G$3:$P$13,5,FALSE())</f>
        <v>13</v>
      </c>
    </row>
    <row r="30" customFormat="false" ht="14.25" hidden="false" customHeight="true" outlineLevel="0" collapsed="false">
      <c r="A30" s="94" t="s">
        <v>39</v>
      </c>
      <c r="B30" s="95" t="n">
        <v>2</v>
      </c>
      <c r="C30" s="96" t="s">
        <v>36</v>
      </c>
      <c r="D30" s="17" t="s">
        <v>1109</v>
      </c>
      <c r="F30" s="32"/>
      <c r="G30" s="33" t="s">
        <v>11</v>
      </c>
      <c r="H30" s="34" t="n">
        <f aca="false">VLOOKUP(G30,$G$3:$P$13,2,FALSE())</f>
        <v>7</v>
      </c>
      <c r="Q30" s="33" t="s">
        <v>11</v>
      </c>
      <c r="R30" s="34" t="n">
        <f aca="false">VLOOKUP(Q30,$G$3:$P$13,5,FALSE())</f>
        <v>11</v>
      </c>
    </row>
    <row r="31" customFormat="false" ht="14.25" hidden="false" customHeight="true" outlineLevel="0" collapsed="false">
      <c r="A31" s="94" t="s">
        <v>33</v>
      </c>
      <c r="B31" s="95" t="n">
        <v>2</v>
      </c>
      <c r="C31" s="96" t="s">
        <v>42</v>
      </c>
      <c r="D31" s="17" t="s">
        <v>1110</v>
      </c>
      <c r="F31" s="32"/>
      <c r="G31" s="33" t="s">
        <v>95</v>
      </c>
      <c r="H31" s="34" t="n">
        <f aca="false">VLOOKUP(G31,$G$3:$P$13,2,FALSE())</f>
        <v>5</v>
      </c>
      <c r="Q31" s="33" t="s">
        <v>95</v>
      </c>
      <c r="R31" s="34" t="n">
        <f aca="false">VLOOKUP(Q31,$G$3:$P$13,5,FALSE())</f>
        <v>10</v>
      </c>
    </row>
    <row r="32" customFormat="false" ht="14.25" hidden="false" customHeight="true" outlineLevel="0" collapsed="false">
      <c r="A32" s="94" t="s">
        <v>39</v>
      </c>
      <c r="B32" s="95" t="n">
        <v>1</v>
      </c>
      <c r="C32" s="96" t="s">
        <v>43</v>
      </c>
      <c r="D32" s="17" t="s">
        <v>1111</v>
      </c>
      <c r="F32" s="32"/>
      <c r="G32" s="33" t="s">
        <v>30</v>
      </c>
      <c r="H32" s="34" t="n">
        <f aca="false">VLOOKUP(G32,$G$3:$P$13,2,FALSE())</f>
        <v>3</v>
      </c>
      <c r="Q32" s="33" t="s">
        <v>30</v>
      </c>
      <c r="R32" s="34" t="n">
        <f aca="false">VLOOKUP(Q32,$G$3:$P$13,5,FALSE())</f>
        <v>4</v>
      </c>
      <c r="AI32" s="72"/>
      <c r="AJ32" s="72"/>
      <c r="AK32" s="72"/>
    </row>
    <row r="33" customFormat="false" ht="14.25" hidden="false" customHeight="true" outlineLevel="0" collapsed="false">
      <c r="A33" s="94" t="s">
        <v>39</v>
      </c>
      <c r="B33" s="95" t="n">
        <v>1</v>
      </c>
      <c r="C33" s="96" t="s">
        <v>36</v>
      </c>
      <c r="D33" s="17" t="s">
        <v>1112</v>
      </c>
      <c r="F33" s="32"/>
      <c r="G33" s="33" t="s">
        <v>42</v>
      </c>
      <c r="H33" s="34" t="n">
        <f aca="false">VLOOKUP(G33,$G$3:$P$13,2,FALSE())</f>
        <v>3</v>
      </c>
      <c r="Q33" s="33" t="s">
        <v>40</v>
      </c>
      <c r="R33" s="34" t="n">
        <f aca="false">VLOOKUP(Q33,$G$3:$P$13,5,FALSE())</f>
        <v>4</v>
      </c>
      <c r="AH33" s="72"/>
      <c r="AI33" s="74" t="s">
        <v>88</v>
      </c>
      <c r="AJ33" s="75" t="s">
        <v>143</v>
      </c>
      <c r="AK33" s="75" t="s">
        <v>144</v>
      </c>
      <c r="AL33" s="72"/>
    </row>
    <row r="34" customFormat="false" ht="14.25" hidden="false" customHeight="true" outlineLevel="0" collapsed="false">
      <c r="A34" s="94" t="s">
        <v>36</v>
      </c>
      <c r="B34" s="95" t="n">
        <v>1</v>
      </c>
      <c r="C34" s="96" t="s">
        <v>39</v>
      </c>
      <c r="D34" s="17" t="s">
        <v>1113</v>
      </c>
      <c r="F34" s="32"/>
      <c r="G34" s="33" t="s">
        <v>40</v>
      </c>
      <c r="H34" s="34" t="n">
        <f aca="false">VLOOKUP(G34,$G$3:$P$13,2,FALSE())</f>
        <v>3</v>
      </c>
      <c r="Q34" s="33" t="s">
        <v>42</v>
      </c>
      <c r="R34" s="34" t="n">
        <f aca="false">VLOOKUP(Q34,$G$3:$P$13,5,FALSE())</f>
        <v>3</v>
      </c>
      <c r="AH34" s="72"/>
      <c r="AI34" s="130" t="s">
        <v>39</v>
      </c>
      <c r="AJ34" s="62" t="n">
        <f aca="false">$AS$21</f>
        <v>592.361111111111</v>
      </c>
      <c r="AK34" s="77" t="n">
        <f aca="false">AJ34-$AJ$44</f>
        <v>699.694444444445</v>
      </c>
      <c r="AL34" s="6" t="n">
        <v>1</v>
      </c>
    </row>
    <row r="35" customFormat="false" ht="14.25" hidden="false" customHeight="true" outlineLevel="0" collapsed="false">
      <c r="A35" s="94" t="s">
        <v>11</v>
      </c>
      <c r="B35" s="95" t="n">
        <v>2</v>
      </c>
      <c r="C35" s="96" t="s">
        <v>36</v>
      </c>
      <c r="D35" s="17" t="s">
        <v>1114</v>
      </c>
      <c r="F35" s="17"/>
      <c r="G35" s="33" t="s">
        <v>43</v>
      </c>
      <c r="H35" s="34" t="n">
        <f aca="false">VLOOKUP(G35,$G$3:$P$13,2,FALSE())</f>
        <v>1</v>
      </c>
      <c r="Q35" s="33" t="s">
        <v>43</v>
      </c>
      <c r="R35" s="34" t="n">
        <f aca="false">VLOOKUP(Q35,$G$3:$P$13,5,FALSE())</f>
        <v>1</v>
      </c>
      <c r="AH35" s="72"/>
      <c r="AI35" s="33" t="s">
        <v>41</v>
      </c>
      <c r="AJ35" s="62" t="n">
        <f aca="false">$AS$19</f>
        <v>486.855311355311</v>
      </c>
      <c r="AK35" s="77" t="n">
        <f aca="false">AJ35-$AJ$44</f>
        <v>594.188644688645</v>
      </c>
      <c r="AL35" s="6" t="n">
        <v>2</v>
      </c>
    </row>
    <row r="36" customFormat="false" ht="14.25" hidden="false" customHeight="true" outlineLevel="0" collapsed="false">
      <c r="A36" s="94" t="s">
        <v>33</v>
      </c>
      <c r="B36" s="95" t="n">
        <v>2</v>
      </c>
      <c r="C36" s="96" t="s">
        <v>36</v>
      </c>
      <c r="D36" s="17" t="s">
        <v>1115</v>
      </c>
      <c r="F36" s="32"/>
      <c r="G36" s="33" t="s">
        <v>35</v>
      </c>
      <c r="H36" s="34" t="n">
        <f aca="false">VLOOKUP(G36,$G$3:$P$13,2,FALSE())</f>
        <v>0</v>
      </c>
      <c r="Q36" s="33" t="s">
        <v>35</v>
      </c>
      <c r="R36" s="34" t="n">
        <f aca="false">VLOOKUP(Q36,$G$3:$P$13,5,FALSE())</f>
        <v>0</v>
      </c>
      <c r="AH36" s="72"/>
      <c r="AI36" s="33" t="s">
        <v>33</v>
      </c>
      <c r="AJ36" s="62" t="n">
        <f aca="false">$AS$22</f>
        <v>480.727272727273</v>
      </c>
      <c r="AK36" s="77" t="n">
        <f aca="false">AJ36-$AJ$44</f>
        <v>588.060606060606</v>
      </c>
      <c r="AL36" s="6" t="n">
        <v>3</v>
      </c>
    </row>
    <row r="37" customFormat="false" ht="14.25" hidden="false" customHeight="true" outlineLevel="0" collapsed="false">
      <c r="A37" s="94" t="s">
        <v>39</v>
      </c>
      <c r="B37" s="95" t="n">
        <v>2</v>
      </c>
      <c r="C37" s="96" t="s">
        <v>35</v>
      </c>
      <c r="D37" s="17" t="s">
        <v>1116</v>
      </c>
      <c r="F37" s="17"/>
      <c r="AH37" s="72"/>
      <c r="AI37" s="33" t="s">
        <v>95</v>
      </c>
      <c r="AJ37" s="62" t="n">
        <f aca="false">$AS$25</f>
        <v>321</v>
      </c>
      <c r="AK37" s="77" t="n">
        <f aca="false">AJ37-$AJ$44</f>
        <v>428.333333333333</v>
      </c>
      <c r="AL37" s="6" t="n">
        <v>4</v>
      </c>
    </row>
    <row r="38" customFormat="false" ht="14.25" hidden="false" customHeight="true" outlineLevel="0" collapsed="false">
      <c r="A38" s="94" t="s">
        <v>33</v>
      </c>
      <c r="B38" s="95" t="n">
        <v>1</v>
      </c>
      <c r="C38" s="96" t="s">
        <v>39</v>
      </c>
      <c r="D38" s="17" t="s">
        <v>1117</v>
      </c>
      <c r="F38" s="32"/>
      <c r="AH38" s="72"/>
      <c r="AI38" s="33" t="s">
        <v>11</v>
      </c>
      <c r="AJ38" s="62" t="n">
        <f aca="false">$AS$23</f>
        <v>249.011904761905</v>
      </c>
      <c r="AK38" s="77" t="n">
        <f aca="false">AJ38-$AJ$44</f>
        <v>356.345238095238</v>
      </c>
      <c r="AL38" s="6" t="n">
        <v>5</v>
      </c>
    </row>
    <row r="39" customFormat="false" ht="14.25" hidden="false" customHeight="true" outlineLevel="0" collapsed="false">
      <c r="A39" s="94" t="s">
        <v>39</v>
      </c>
      <c r="B39" s="95" t="n">
        <v>1</v>
      </c>
      <c r="C39" s="96" t="s">
        <v>33</v>
      </c>
      <c r="D39" s="17" t="s">
        <v>1118</v>
      </c>
      <c r="F39" s="32"/>
      <c r="AH39" s="72"/>
      <c r="AI39" s="33" t="s">
        <v>36</v>
      </c>
      <c r="AJ39" s="62" t="n">
        <f aca="false">$AS$20</f>
        <v>142.105263157895</v>
      </c>
      <c r="AK39" s="77" t="n">
        <f aca="false">AJ39-$AJ$44</f>
        <v>249.438596491228</v>
      </c>
      <c r="AL39" s="6" t="n">
        <v>6</v>
      </c>
    </row>
    <row r="40" customFormat="false" ht="14.25" hidden="false" customHeight="true" outlineLevel="0" collapsed="false">
      <c r="A40" s="94" t="s">
        <v>41</v>
      </c>
      <c r="B40" s="95" t="n">
        <v>2</v>
      </c>
      <c r="C40" s="96" t="s">
        <v>42</v>
      </c>
      <c r="D40" s="17" t="s">
        <v>1119</v>
      </c>
      <c r="F40" s="32"/>
      <c r="AH40" s="72"/>
      <c r="AI40" s="33" t="s">
        <v>40</v>
      </c>
      <c r="AJ40" s="62" t="n">
        <f aca="false">$AS$18</f>
        <v>96.8333333333333</v>
      </c>
      <c r="AK40" s="77" t="n">
        <f aca="false">AJ40-$AJ$44</f>
        <v>204.166666666667</v>
      </c>
      <c r="AL40" s="6" t="n">
        <v>7</v>
      </c>
    </row>
    <row r="41" customFormat="false" ht="14.25" hidden="false" customHeight="true" outlineLevel="0" collapsed="false">
      <c r="A41" s="94" t="s">
        <v>33</v>
      </c>
      <c r="B41" s="95" t="n">
        <v>2</v>
      </c>
      <c r="C41" s="96" t="s">
        <v>42</v>
      </c>
      <c r="D41" s="17" t="s">
        <v>1120</v>
      </c>
      <c r="F41" s="17"/>
      <c r="G41" s="33" t="s">
        <v>88</v>
      </c>
      <c r="H41" s="41" t="s">
        <v>17</v>
      </c>
      <c r="Q41" s="33" t="s">
        <v>88</v>
      </c>
      <c r="R41" s="41" t="s">
        <v>20</v>
      </c>
      <c r="AH41" s="72"/>
      <c r="AI41" s="33" t="s">
        <v>30</v>
      </c>
      <c r="AJ41" s="62" t="n">
        <f aca="false">$AS$16</f>
        <v>90.4166666666667</v>
      </c>
      <c r="AK41" s="77" t="n">
        <f aca="false">AJ41-$AJ$44</f>
        <v>197.75</v>
      </c>
      <c r="AL41" s="6" t="n">
        <v>8</v>
      </c>
    </row>
    <row r="42" customFormat="false" ht="14.25" hidden="false" customHeight="true" outlineLevel="0" collapsed="false">
      <c r="A42" s="94" t="s">
        <v>39</v>
      </c>
      <c r="B42" s="95" t="n">
        <v>1</v>
      </c>
      <c r="C42" s="96" t="s">
        <v>35</v>
      </c>
      <c r="D42" s="17" t="s">
        <v>1121</v>
      </c>
      <c r="F42" s="32"/>
      <c r="G42" s="33" t="s">
        <v>36</v>
      </c>
      <c r="H42" s="34" t="n">
        <f aca="false">VLOOKUP(G42,$G$3:$P$13,3,FALSE())</f>
        <v>13</v>
      </c>
      <c r="Q42" s="33" t="s">
        <v>42</v>
      </c>
      <c r="R42" s="34" t="n">
        <f aca="false">VLOOKUP(Q42,$G$3:$P$13,6,FALSE())</f>
        <v>20</v>
      </c>
      <c r="AH42" s="72"/>
      <c r="AI42" s="33" t="s">
        <v>43</v>
      </c>
      <c r="AJ42" s="62" t="n">
        <f aca="false">$AS$24</f>
        <v>-33.9285714285714</v>
      </c>
      <c r="AK42" s="77" t="n">
        <f aca="false">AJ42-$AJ$44</f>
        <v>73.4047619047619</v>
      </c>
      <c r="AL42" s="6" t="n">
        <v>9</v>
      </c>
    </row>
    <row r="43" customFormat="false" ht="14.25" hidden="false" customHeight="true" outlineLevel="0" collapsed="false">
      <c r="A43" s="94" t="s">
        <v>39</v>
      </c>
      <c r="B43" s="95" t="n">
        <v>2</v>
      </c>
      <c r="C43" s="96" t="s">
        <v>11</v>
      </c>
      <c r="D43" s="17" t="s">
        <v>1122</v>
      </c>
      <c r="F43" s="32"/>
      <c r="G43" s="33" t="s">
        <v>42</v>
      </c>
      <c r="H43" s="34" t="n">
        <f aca="false">VLOOKUP(G43,$G$3:$P$13,3,FALSE())</f>
        <v>12</v>
      </c>
      <c r="Q43" s="33" t="s">
        <v>36</v>
      </c>
      <c r="R43" s="34" t="n">
        <f aca="false">VLOOKUP(Q43,$G$3:$P$13,6,FALSE())</f>
        <v>19</v>
      </c>
      <c r="AH43" s="72"/>
      <c r="AI43" s="33" t="s">
        <v>35</v>
      </c>
      <c r="AJ43" s="62" t="n">
        <f aca="false">$AS$26</f>
        <v>-103.5</v>
      </c>
      <c r="AK43" s="77" t="n">
        <f aca="false">AJ43-$AJ$44</f>
        <v>3.83333333333334</v>
      </c>
      <c r="AL43" s="6" t="n">
        <v>10</v>
      </c>
    </row>
    <row r="44" customFormat="false" ht="14.25" hidden="false" customHeight="true" outlineLevel="0" collapsed="false">
      <c r="A44" s="94" t="s">
        <v>40</v>
      </c>
      <c r="B44" s="95" t="n">
        <v>2</v>
      </c>
      <c r="C44" s="96" t="s">
        <v>30</v>
      </c>
      <c r="D44" s="17" t="s">
        <v>1123</v>
      </c>
      <c r="E44" s="6" t="n">
        <v>1</v>
      </c>
      <c r="F44" s="32"/>
      <c r="G44" s="33" t="s">
        <v>39</v>
      </c>
      <c r="H44" s="34" t="n">
        <f aca="false">VLOOKUP(G44,$G$3:$P$13,3,FALSE())</f>
        <v>8</v>
      </c>
      <c r="Q44" s="33" t="s">
        <v>39</v>
      </c>
      <c r="R44" s="34" t="n">
        <f aca="false">VLOOKUP(Q44,$G$3:$P$13,6,FALSE())</f>
        <v>10</v>
      </c>
      <c r="AH44" s="72"/>
      <c r="AI44" s="33" t="s">
        <v>42</v>
      </c>
      <c r="AJ44" s="62" t="n">
        <f aca="false">$AS$17</f>
        <v>-107.333333333333</v>
      </c>
      <c r="AK44" s="77" t="n">
        <f aca="false">AJ44-$AJ$44</f>
        <v>0</v>
      </c>
      <c r="AL44" s="6" t="n">
        <v>11</v>
      </c>
    </row>
    <row r="45" customFormat="false" ht="14.25" hidden="false" customHeight="true" outlineLevel="0" collapsed="false">
      <c r="A45" s="94" t="s">
        <v>33</v>
      </c>
      <c r="B45" s="95" t="n">
        <v>1</v>
      </c>
      <c r="C45" s="96" t="s">
        <v>40</v>
      </c>
      <c r="D45" s="17" t="s">
        <v>1124</v>
      </c>
      <c r="F45" s="17"/>
      <c r="G45" s="33" t="s">
        <v>41</v>
      </c>
      <c r="H45" s="34" t="n">
        <f aca="false">VLOOKUP(G45,$G$3:$P$13,3,FALSE())</f>
        <v>7</v>
      </c>
      <c r="Q45" s="33" t="s">
        <v>41</v>
      </c>
      <c r="R45" s="34" t="n">
        <f aca="false">VLOOKUP(Q45,$G$3:$P$13,6,FALSE())</f>
        <v>9</v>
      </c>
      <c r="AH45" s="72"/>
    </row>
    <row r="46" customFormat="false" ht="14.25" hidden="false" customHeight="true" outlineLevel="0" collapsed="false">
      <c r="A46" s="94" t="s">
        <v>39</v>
      </c>
      <c r="B46" s="95" t="n">
        <v>2</v>
      </c>
      <c r="C46" s="96" t="s">
        <v>36</v>
      </c>
      <c r="D46" s="17" t="s">
        <v>1125</v>
      </c>
      <c r="F46" s="32"/>
      <c r="G46" s="33" t="s">
        <v>43</v>
      </c>
      <c r="H46" s="34" t="n">
        <f aca="false">VLOOKUP(G46,$G$3:$P$13,3,FALSE())</f>
        <v>5</v>
      </c>
      <c r="Q46" s="33" t="s">
        <v>43</v>
      </c>
      <c r="R46" s="34" t="n">
        <f aca="false">VLOOKUP(Q46,$G$3:$P$13,6,FALSE())</f>
        <v>7</v>
      </c>
    </row>
    <row r="47" customFormat="false" ht="14.25" hidden="false" customHeight="true" outlineLevel="0" collapsed="false">
      <c r="A47" s="94" t="s">
        <v>36</v>
      </c>
      <c r="B47" s="95" t="n">
        <v>1</v>
      </c>
      <c r="C47" s="96" t="s">
        <v>42</v>
      </c>
      <c r="D47" s="17" t="s">
        <v>1126</v>
      </c>
      <c r="F47" s="32"/>
      <c r="G47" s="33" t="s">
        <v>33</v>
      </c>
      <c r="H47" s="34" t="n">
        <f aca="false">VLOOKUP(G47,$G$3:$P$13,3,FALSE())</f>
        <v>5</v>
      </c>
      <c r="Q47" s="33" t="s">
        <v>35</v>
      </c>
      <c r="R47" s="34" t="n">
        <f aca="false">VLOOKUP(Q47,$G$3:$P$13,6,FALSE())</f>
        <v>7</v>
      </c>
      <c r="AI47" s="72"/>
      <c r="AJ47" s="72"/>
      <c r="AK47" s="72"/>
    </row>
    <row r="48" customFormat="false" ht="14.25" hidden="false" customHeight="true" outlineLevel="0" collapsed="false">
      <c r="A48" s="94" t="s">
        <v>42</v>
      </c>
      <c r="B48" s="95" t="n">
        <v>1</v>
      </c>
      <c r="C48" s="96" t="s">
        <v>36</v>
      </c>
      <c r="D48" s="17" t="s">
        <v>1127</v>
      </c>
      <c r="F48" s="32"/>
      <c r="G48" s="33" t="s">
        <v>35</v>
      </c>
      <c r="H48" s="34" t="n">
        <f aca="false">VLOOKUP(G48,$G$3:$P$13,3,FALSE())</f>
        <v>5</v>
      </c>
      <c r="Q48" s="33" t="s">
        <v>11</v>
      </c>
      <c r="R48" s="34" t="n">
        <f aca="false">VLOOKUP(Q48,$G$3:$P$13,6,FALSE())</f>
        <v>6</v>
      </c>
      <c r="AI48" s="72"/>
      <c r="AJ48" s="72"/>
      <c r="AK48" s="72"/>
    </row>
    <row r="49" customFormat="false" ht="14.25" hidden="false" customHeight="true" outlineLevel="0" collapsed="false">
      <c r="A49" s="94" t="s">
        <v>33</v>
      </c>
      <c r="B49" s="95" t="n">
        <v>1</v>
      </c>
      <c r="C49" s="96" t="s">
        <v>39</v>
      </c>
      <c r="D49" s="17" t="s">
        <v>1128</v>
      </c>
      <c r="F49" s="32"/>
      <c r="G49" s="33" t="s">
        <v>40</v>
      </c>
      <c r="H49" s="34" t="n">
        <f aca="false">VLOOKUP(G49,$G$3:$P$13,3,FALSE())</f>
        <v>5</v>
      </c>
      <c r="Q49" s="33" t="s">
        <v>40</v>
      </c>
      <c r="R49" s="34" t="n">
        <f aca="false">VLOOKUP(Q49,$G$3:$P$13,6,FALSE())</f>
        <v>6</v>
      </c>
      <c r="AI49" s="72"/>
      <c r="AJ49" s="72"/>
      <c r="AK49" s="72"/>
    </row>
    <row r="50" customFormat="false" ht="14.25" hidden="false" customHeight="true" outlineLevel="0" collapsed="false">
      <c r="A50" s="94" t="s">
        <v>39</v>
      </c>
      <c r="B50" s="95" t="n">
        <v>1</v>
      </c>
      <c r="C50" s="96" t="s">
        <v>33</v>
      </c>
      <c r="D50" s="17" t="s">
        <v>1129</v>
      </c>
      <c r="F50" s="32"/>
      <c r="G50" s="33" t="s">
        <v>30</v>
      </c>
      <c r="H50" s="34" t="n">
        <f aca="false">VLOOKUP(G50,$G$3:$P$13,3,FALSE())</f>
        <v>4</v>
      </c>
      <c r="Q50" s="33" t="s">
        <v>30</v>
      </c>
      <c r="R50" s="34" t="n">
        <f aca="false">VLOOKUP(Q50,$G$3:$P$13,6,FALSE())</f>
        <v>5</v>
      </c>
      <c r="AI50" s="72"/>
      <c r="AJ50" s="72"/>
      <c r="AK50" s="72"/>
    </row>
    <row r="51" customFormat="false" ht="14.25" hidden="false" customHeight="true" outlineLevel="0" collapsed="false">
      <c r="A51" s="94" t="s">
        <v>33</v>
      </c>
      <c r="B51" s="95" t="n">
        <v>5</v>
      </c>
      <c r="C51" s="96" t="s">
        <v>12</v>
      </c>
      <c r="D51" s="17" t="s">
        <v>1130</v>
      </c>
      <c r="F51" s="32"/>
      <c r="G51" s="33" t="s">
        <v>11</v>
      </c>
      <c r="H51" s="34" t="n">
        <f aca="false">VLOOKUP(G51,$G$3:$P$13,3,FALSE())</f>
        <v>4</v>
      </c>
      <c r="Q51" s="33" t="s">
        <v>33</v>
      </c>
      <c r="R51" s="34" t="n">
        <f aca="false">VLOOKUP(Q51,$G$3:$P$13,6,FALSE())</f>
        <v>5</v>
      </c>
      <c r="AI51" s="7" t="s">
        <v>191</v>
      </c>
      <c r="AJ51" s="7"/>
      <c r="AK51" s="7"/>
      <c r="AL51" s="7"/>
      <c r="AM51" s="7"/>
      <c r="AN51" s="7"/>
      <c r="AO51" s="7"/>
      <c r="AP51" s="7"/>
      <c r="AQ51" s="7"/>
    </row>
    <row r="52" customFormat="false" ht="14.25" hidden="false" customHeight="true" outlineLevel="0" collapsed="false">
      <c r="A52" s="94" t="s">
        <v>36</v>
      </c>
      <c r="B52" s="95" t="n">
        <v>1</v>
      </c>
      <c r="C52" s="96" t="s">
        <v>11</v>
      </c>
      <c r="D52" s="17" t="s">
        <v>1131</v>
      </c>
      <c r="F52" s="32"/>
      <c r="G52" s="33" t="s">
        <v>95</v>
      </c>
      <c r="H52" s="34" t="n">
        <f aca="false">VLOOKUP(G52,$G$3:$P$13,3,FALSE())</f>
        <v>3</v>
      </c>
      <c r="Q52" s="33" t="s">
        <v>95</v>
      </c>
      <c r="R52" s="34" t="n">
        <f aca="false">VLOOKUP(Q52,$G$3:$P$13,6,FALSE())</f>
        <v>4</v>
      </c>
      <c r="AI52" s="78" t="s">
        <v>194</v>
      </c>
      <c r="AJ52" s="79" t="s">
        <v>16</v>
      </c>
      <c r="AK52" s="79" t="s">
        <v>17</v>
      </c>
      <c r="AL52" s="79" t="s">
        <v>18</v>
      </c>
      <c r="AM52" s="79" t="s">
        <v>19</v>
      </c>
      <c r="AN52" s="79" t="s">
        <v>20</v>
      </c>
      <c r="AO52" s="79" t="s">
        <v>21</v>
      </c>
      <c r="AP52" s="79" t="s">
        <v>22</v>
      </c>
      <c r="AQ52" s="79" t="s">
        <v>23</v>
      </c>
    </row>
    <row r="53" customFormat="false" ht="14.25" hidden="false" customHeight="true" outlineLevel="0" collapsed="false">
      <c r="A53" s="94" t="s">
        <v>11</v>
      </c>
      <c r="B53" s="95" t="n">
        <v>1</v>
      </c>
      <c r="C53" s="96" t="s">
        <v>36</v>
      </c>
      <c r="D53" s="17" t="s">
        <v>1132</v>
      </c>
      <c r="F53" s="32"/>
      <c r="AI53" s="33" t="s">
        <v>91</v>
      </c>
      <c r="AJ53" s="55" t="n">
        <v>7.5</v>
      </c>
      <c r="AK53" s="56" t="n">
        <v>-6</v>
      </c>
      <c r="AL53" s="56" t="n">
        <v>25</v>
      </c>
      <c r="AM53" s="56" t="n">
        <v>8.5</v>
      </c>
      <c r="AN53" s="56" t="n">
        <v>-6.5</v>
      </c>
      <c r="AO53" s="56" t="n">
        <v>25</v>
      </c>
      <c r="AP53" s="56" t="n">
        <v>20</v>
      </c>
      <c r="AQ53" s="56" t="n">
        <v>-20</v>
      </c>
      <c r="AR53" s="41" t="s">
        <v>92</v>
      </c>
    </row>
    <row r="54" customFormat="false" ht="14.25" hidden="false" customHeight="true" outlineLevel="0" collapsed="false">
      <c r="A54" s="94" t="s">
        <v>11</v>
      </c>
      <c r="B54" s="95" t="n">
        <v>2</v>
      </c>
      <c r="C54" s="96" t="s">
        <v>39</v>
      </c>
      <c r="D54" s="17" t="s">
        <v>1133</v>
      </c>
      <c r="F54" s="32"/>
      <c r="AI54" s="52" t="s">
        <v>111</v>
      </c>
      <c r="AJ54" s="35" t="n">
        <f aca="false">H17*$AJ$53</f>
        <v>22.5</v>
      </c>
      <c r="AK54" s="35" t="n">
        <f aca="false">I17*$AK$53</f>
        <v>-48</v>
      </c>
      <c r="AL54" s="35" t="n">
        <f aca="false">J17*$AL$53</f>
        <v>9.375</v>
      </c>
      <c r="AM54" s="35" t="n">
        <f aca="false">K17*$AM$53</f>
        <v>29.75</v>
      </c>
      <c r="AN54" s="35" t="n">
        <f aca="false">L17*$AN$53</f>
        <v>-81.25</v>
      </c>
      <c r="AO54" s="35" t="n">
        <f aca="false">M17*$AO$53</f>
        <v>7</v>
      </c>
      <c r="AP54" s="35" t="n">
        <f aca="false">N17*$AP$53</f>
        <v>23.3333333333333</v>
      </c>
      <c r="AQ54" s="35" t="n">
        <f aca="false">O17*$AQ$53</f>
        <v>-31.25</v>
      </c>
      <c r="AR54" s="35" t="n">
        <f aca="false">SUM(AJ54:AQ54)</f>
        <v>-68.5416666666667</v>
      </c>
    </row>
    <row r="55" customFormat="false" ht="14.25" hidden="false" customHeight="true" outlineLevel="0" collapsed="false">
      <c r="A55" s="94" t="s">
        <v>11</v>
      </c>
      <c r="B55" s="95" t="n">
        <v>1</v>
      </c>
      <c r="C55" s="96" t="s">
        <v>40</v>
      </c>
      <c r="D55" s="17" t="s">
        <v>1134</v>
      </c>
      <c r="F55" s="32"/>
      <c r="AI55" s="33" t="s">
        <v>114</v>
      </c>
      <c r="AJ55" s="35" t="n">
        <f aca="false">H18*$AJ$53</f>
        <v>65</v>
      </c>
      <c r="AK55" s="35" t="n">
        <f aca="false">I18*$AK$53</f>
        <v>-50</v>
      </c>
      <c r="AL55" s="35" t="n">
        <f aca="false">J18*$AL$53</f>
        <v>26</v>
      </c>
      <c r="AM55" s="35" t="n">
        <f aca="false">K18*$AM$53</f>
        <v>107.666666666667</v>
      </c>
      <c r="AN55" s="35" t="n">
        <f aca="false">L18*$AN$53</f>
        <v>-73.6666666666667</v>
      </c>
      <c r="AO55" s="35" t="n">
        <f aca="false">M18*$AO$53</f>
        <v>27.9411764705882</v>
      </c>
      <c r="AP55" s="35" t="n">
        <f aca="false">N18*$AP$53</f>
        <v>29.2307692307692</v>
      </c>
      <c r="AQ55" s="35" t="n">
        <f aca="false">O18*$AQ$53</f>
        <v>-27.2</v>
      </c>
      <c r="AR55" s="35" t="n">
        <f aca="false">SUM(AJ55:AQ55)</f>
        <v>104.971945701357</v>
      </c>
    </row>
    <row r="56" customFormat="false" ht="14.25" hidden="false" customHeight="true" outlineLevel="0" collapsed="false">
      <c r="A56" s="94" t="s">
        <v>33</v>
      </c>
      <c r="B56" s="95" t="n">
        <v>1</v>
      </c>
      <c r="C56" s="96" t="s">
        <v>42</v>
      </c>
      <c r="D56" s="17" t="s">
        <v>1135</v>
      </c>
      <c r="F56" s="32"/>
      <c r="AI56" s="33" t="s">
        <v>117</v>
      </c>
      <c r="AJ56" s="35" t="n">
        <f aca="false">H19*$AJ$53</f>
        <v>108.75</v>
      </c>
      <c r="AK56" s="35" t="n">
        <f aca="false">I19*$AK$53</f>
        <v>-39</v>
      </c>
      <c r="AL56" s="35" t="n">
        <f aca="false">J19*$AL$53</f>
        <v>55.7692307692308</v>
      </c>
      <c r="AM56" s="35" t="n">
        <f aca="false">K19*$AM$53</f>
        <v>195.5</v>
      </c>
      <c r="AN56" s="35" t="n">
        <f aca="false">L19*$AN$53</f>
        <v>-48.75</v>
      </c>
      <c r="AO56" s="35" t="n">
        <f aca="false">M19*$AO$53</f>
        <v>76.6666666666667</v>
      </c>
      <c r="AP56" s="35" t="n">
        <f aca="false">N19*$AP$53</f>
        <v>31.7241379310345</v>
      </c>
      <c r="AQ56" s="35" t="n">
        <f aca="false">O19*$AQ$53</f>
        <v>-23.0769230769231</v>
      </c>
      <c r="AR56" s="35" t="n">
        <f aca="false">SUM(AJ56:AQ56)</f>
        <v>357.583112290009</v>
      </c>
    </row>
    <row r="57" customFormat="false" ht="14.25" hidden="false" customHeight="true" outlineLevel="0" collapsed="false">
      <c r="A57" s="94" t="s">
        <v>42</v>
      </c>
      <c r="B57" s="95" t="n">
        <v>1</v>
      </c>
      <c r="C57" s="96" t="s">
        <v>33</v>
      </c>
      <c r="D57" s="17" t="s">
        <v>1136</v>
      </c>
      <c r="F57" s="32"/>
      <c r="G57" s="33" t="s">
        <v>88</v>
      </c>
      <c r="H57" s="41" t="s">
        <v>18</v>
      </c>
      <c r="Q57" s="33" t="s">
        <v>88</v>
      </c>
      <c r="R57" s="41" t="s">
        <v>21</v>
      </c>
      <c r="AI57" s="33" t="s">
        <v>120</v>
      </c>
      <c r="AJ57" s="35" t="n">
        <f aca="false">H20*$AJ$53</f>
        <v>24.375</v>
      </c>
      <c r="AK57" s="35" t="n">
        <f aca="false">I20*$AK$53</f>
        <v>-25.5</v>
      </c>
      <c r="AL57" s="35" t="n">
        <f aca="false">J20*$AL$53</f>
        <v>19.1176470588235</v>
      </c>
      <c r="AM57" s="35" t="n">
        <f aca="false">K20*$AM$53</f>
        <v>46.75</v>
      </c>
      <c r="AN57" s="35" t="n">
        <f aca="false">L20*$AN$53</f>
        <v>-39</v>
      </c>
      <c r="AO57" s="35" t="n">
        <f aca="false">M20*$AO$53</f>
        <v>22.9166666666667</v>
      </c>
      <c r="AP57" s="35" t="n">
        <f aca="false">N20*$AP$53</f>
        <v>33.8461538461539</v>
      </c>
      <c r="AQ57" s="35" t="n">
        <f aca="false">O20*$AQ$53</f>
        <v>-28.2352941176471</v>
      </c>
      <c r="AR57" s="35" t="n">
        <f aca="false">SUM(AJ57:AQ57)</f>
        <v>54.270173453997</v>
      </c>
    </row>
    <row r="58" customFormat="false" ht="14.25" hidden="false" customHeight="true" outlineLevel="0" collapsed="false">
      <c r="A58" s="94" t="s">
        <v>39</v>
      </c>
      <c r="B58" s="95" t="n">
        <v>2</v>
      </c>
      <c r="C58" s="96" t="s">
        <v>43</v>
      </c>
      <c r="D58" s="17" t="s">
        <v>1137</v>
      </c>
      <c r="F58" s="32"/>
      <c r="G58" s="33" t="s">
        <v>39</v>
      </c>
      <c r="H58" s="35" t="n">
        <f aca="false">VLOOKUP(G58,$G$3:$P$13,4,FALSE())</f>
        <v>2.25</v>
      </c>
      <c r="Q58" s="33" t="s">
        <v>33</v>
      </c>
      <c r="R58" s="35" t="n">
        <f aca="false">VLOOKUP(Q58,$G$3:$P$13,7,FALSE())</f>
        <v>3.6</v>
      </c>
      <c r="AI58" s="73" t="s">
        <v>123</v>
      </c>
      <c r="AJ58" s="35" t="n">
        <f aca="false">H21*$AJ$53</f>
        <v>32.5</v>
      </c>
      <c r="AK58" s="35" t="n">
        <f aca="false">I21*$AK$53</f>
        <v>-24</v>
      </c>
      <c r="AL58" s="35" t="n">
        <f aca="false">J21*$AL$53</f>
        <v>27.0833333333333</v>
      </c>
      <c r="AM58" s="35" t="n">
        <f aca="false">K21*$AM$53</f>
        <v>62.3333333333333</v>
      </c>
      <c r="AN58" s="35" t="n">
        <f aca="false">L21*$AN$53</f>
        <v>-36.8333333333333</v>
      </c>
      <c r="AO58" s="35" t="n">
        <f aca="false">M21*$AO$53</f>
        <v>32.3529411764706</v>
      </c>
      <c r="AP58" s="35" t="n">
        <f aca="false">N21*$AP$53</f>
        <v>33.8461538461539</v>
      </c>
      <c r="AQ58" s="35" t="n">
        <f aca="false">O21*$AQ$53</f>
        <v>-28.3333333333333</v>
      </c>
      <c r="AR58" s="35" t="n">
        <f aca="false">SUM(AJ58:AQ58)</f>
        <v>98.9490950226244</v>
      </c>
    </row>
    <row r="59" customFormat="false" ht="14.25" hidden="false" customHeight="true" outlineLevel="0" collapsed="false">
      <c r="A59" s="94" t="s">
        <v>36</v>
      </c>
      <c r="B59" s="95" t="n">
        <v>2</v>
      </c>
      <c r="C59" s="96" t="s">
        <v>42</v>
      </c>
      <c r="D59" s="17" t="s">
        <v>1138</v>
      </c>
      <c r="F59" s="32"/>
      <c r="G59" s="33" t="s">
        <v>33</v>
      </c>
      <c r="H59" s="35" t="n">
        <f aca="false">VLOOKUP(G59,$G$3:$P$13,4,FALSE())</f>
        <v>2.2</v>
      </c>
      <c r="Q59" s="33" t="s">
        <v>39</v>
      </c>
      <c r="R59" s="35" t="n">
        <f aca="false">VLOOKUP(Q59,$G$3:$P$13,7,FALSE())</f>
        <v>2.8</v>
      </c>
    </row>
    <row r="60" customFormat="false" ht="14.25" hidden="false" customHeight="true" outlineLevel="0" collapsed="false">
      <c r="A60" s="94" t="s">
        <v>41</v>
      </c>
      <c r="B60" s="95" t="n">
        <v>1</v>
      </c>
      <c r="C60" s="96" t="s">
        <v>39</v>
      </c>
      <c r="D60" s="17" t="s">
        <v>1139</v>
      </c>
      <c r="F60" s="32"/>
      <c r="G60" s="33" t="s">
        <v>41</v>
      </c>
      <c r="H60" s="35" t="n">
        <f aca="false">VLOOKUP(G60,$G$3:$P$13,4,FALSE())</f>
        <v>1.85714285714286</v>
      </c>
      <c r="Q60" s="33" t="s">
        <v>95</v>
      </c>
      <c r="R60" s="35" t="n">
        <f aca="false">VLOOKUP(Q60,$G$3:$P$13,7,FALSE())</f>
        <v>2.5</v>
      </c>
      <c r="AI60" s="74" t="s">
        <v>10</v>
      </c>
      <c r="AJ60" s="75" t="s">
        <v>143</v>
      </c>
      <c r="AK60" s="75" t="s">
        <v>144</v>
      </c>
    </row>
    <row r="61" customFormat="false" ht="14.25" hidden="false" customHeight="true" outlineLevel="0" collapsed="false">
      <c r="A61" s="94" t="s">
        <v>39</v>
      </c>
      <c r="B61" s="95" t="n">
        <v>1</v>
      </c>
      <c r="C61" s="96" t="s">
        <v>41</v>
      </c>
      <c r="D61" s="17" t="s">
        <v>1139</v>
      </c>
      <c r="F61" s="17"/>
      <c r="G61" s="33" t="s">
        <v>11</v>
      </c>
      <c r="H61" s="35" t="n">
        <f aca="false">VLOOKUP(G61,$G$3:$P$13,4,FALSE())</f>
        <v>1.75</v>
      </c>
      <c r="Q61" s="33" t="s">
        <v>41</v>
      </c>
      <c r="R61" s="35" t="n">
        <f aca="false">VLOOKUP(Q61,$G$3:$P$13,7,FALSE())</f>
        <v>2.33333333333333</v>
      </c>
      <c r="AI61" s="52" t="s">
        <v>117</v>
      </c>
      <c r="AJ61" s="77" t="n">
        <f aca="false">$AR$56</f>
        <v>357.583112290009</v>
      </c>
      <c r="AK61" s="77" t="n">
        <f aca="false">AJ61-($AJ$65)</f>
        <v>426.124778956676</v>
      </c>
    </row>
    <row r="62" customFormat="false" ht="14.25" hidden="false" customHeight="true" outlineLevel="0" collapsed="false">
      <c r="A62" s="94" t="s">
        <v>11</v>
      </c>
      <c r="B62" s="95" t="n">
        <v>2</v>
      </c>
      <c r="C62" s="96" t="s">
        <v>36</v>
      </c>
      <c r="D62" s="17" t="s">
        <v>1140</v>
      </c>
      <c r="F62" s="32"/>
      <c r="G62" s="33" t="s">
        <v>95</v>
      </c>
      <c r="H62" s="35" t="n">
        <f aca="false">VLOOKUP(G62,$G$3:$P$13,4,FALSE())</f>
        <v>1.66666666666667</v>
      </c>
      <c r="Q62" s="33" t="s">
        <v>11</v>
      </c>
      <c r="R62" s="35" t="n">
        <f aca="false">VLOOKUP(Q62,$G$3:$P$13,7,FALSE())</f>
        <v>1.83333333333333</v>
      </c>
      <c r="AI62" s="33" t="s">
        <v>114</v>
      </c>
      <c r="AJ62" s="77" t="n">
        <f aca="false">$AR$55</f>
        <v>104.971945701357</v>
      </c>
      <c r="AK62" s="77" t="n">
        <f aca="false">AJ62-($AJ$65)</f>
        <v>173.513612368024</v>
      </c>
    </row>
    <row r="63" customFormat="false" ht="14.25" hidden="false" customHeight="true" outlineLevel="0" collapsed="false">
      <c r="A63" s="94" t="s">
        <v>39</v>
      </c>
      <c r="B63" s="95" t="n">
        <v>2</v>
      </c>
      <c r="C63" s="96" t="s">
        <v>36</v>
      </c>
      <c r="D63" s="17" t="s">
        <v>1141</v>
      </c>
      <c r="F63" s="32"/>
      <c r="G63" s="33" t="s">
        <v>36</v>
      </c>
      <c r="H63" s="35" t="n">
        <f aca="false">VLOOKUP(G63,$G$3:$P$13,4,FALSE())</f>
        <v>0.769230769230769</v>
      </c>
      <c r="Q63" s="33" t="s">
        <v>30</v>
      </c>
      <c r="R63" s="35" t="n">
        <f aca="false">VLOOKUP(Q63,$G$3:$P$13,7,FALSE())</f>
        <v>0.8</v>
      </c>
      <c r="AI63" s="73" t="s">
        <v>123</v>
      </c>
      <c r="AJ63" s="77" t="n">
        <f aca="false">$AR$58</f>
        <v>98.9490950226244</v>
      </c>
      <c r="AK63" s="77" t="n">
        <f aca="false">AJ63-($AJ$65)</f>
        <v>167.490761689291</v>
      </c>
    </row>
    <row r="64" customFormat="false" ht="14.25" hidden="false" customHeight="true" outlineLevel="0" collapsed="false">
      <c r="A64" s="94" t="s">
        <v>36</v>
      </c>
      <c r="B64" s="95" t="n">
        <v>1</v>
      </c>
      <c r="C64" s="96" t="s">
        <v>39</v>
      </c>
      <c r="D64" s="17" t="s">
        <v>1142</v>
      </c>
      <c r="F64" s="32"/>
      <c r="G64" s="33" t="s">
        <v>30</v>
      </c>
      <c r="H64" s="35" t="n">
        <f aca="false">VLOOKUP(G64,$G$3:$P$13,4,FALSE())</f>
        <v>0.75</v>
      </c>
      <c r="Q64" s="33" t="s">
        <v>36</v>
      </c>
      <c r="R64" s="35" t="n">
        <f aca="false">VLOOKUP(Q64,$G$3:$P$13,7,FALSE())</f>
        <v>0.68421052631579</v>
      </c>
      <c r="AI64" s="33" t="s">
        <v>120</v>
      </c>
      <c r="AJ64" s="81" t="n">
        <f aca="false">$AR$57</f>
        <v>54.270173453997</v>
      </c>
      <c r="AK64" s="77" t="n">
        <f aca="false">AJ64-($AJ$65)</f>
        <v>122.811840120664</v>
      </c>
    </row>
    <row r="65" customFormat="false" ht="14.25" hidden="false" customHeight="true" outlineLevel="0" collapsed="false">
      <c r="A65" s="94" t="s">
        <v>39</v>
      </c>
      <c r="B65" s="95" t="n">
        <v>2</v>
      </c>
      <c r="C65" s="96" t="s">
        <v>35</v>
      </c>
      <c r="D65" s="17" t="s">
        <v>1143</v>
      </c>
      <c r="F65" s="32"/>
      <c r="G65" s="33" t="s">
        <v>40</v>
      </c>
      <c r="H65" s="35" t="n">
        <f aca="false">VLOOKUP(G65,$G$3:$P$13,4,FALSE())</f>
        <v>0.6</v>
      </c>
      <c r="Q65" s="33" t="s">
        <v>40</v>
      </c>
      <c r="R65" s="35" t="n">
        <f aca="false">VLOOKUP(Q65,$G$3:$P$13,7,FALSE())</f>
        <v>0.666666666666667</v>
      </c>
      <c r="AI65" s="82" t="s">
        <v>111</v>
      </c>
      <c r="AJ65" s="77" t="n">
        <f aca="false">$AR$54</f>
        <v>-68.5416666666667</v>
      </c>
      <c r="AK65" s="83" t="n">
        <f aca="false">AJ65-($AJ$65)</f>
        <v>0</v>
      </c>
    </row>
    <row r="66" customFormat="false" ht="14.25" hidden="false" customHeight="true" outlineLevel="0" collapsed="false">
      <c r="A66" s="94" t="s">
        <v>41</v>
      </c>
      <c r="B66" s="95" t="n">
        <v>1</v>
      </c>
      <c r="C66" s="96" t="s">
        <v>42</v>
      </c>
      <c r="D66" s="17" t="s">
        <v>1144</v>
      </c>
      <c r="F66" s="32"/>
      <c r="G66" s="33" t="s">
        <v>42</v>
      </c>
      <c r="H66" s="35" t="n">
        <f aca="false">VLOOKUP(G66,$G$3:$P$13,4,FALSE())</f>
        <v>0.25</v>
      </c>
      <c r="Q66" s="33" t="s">
        <v>42</v>
      </c>
      <c r="R66" s="35" t="n">
        <f aca="false">VLOOKUP(Q66,$G$3:$P$13,7,FALSE())</f>
        <v>0.15</v>
      </c>
    </row>
    <row r="67" customFormat="false" ht="14.25" hidden="false" customHeight="true" outlineLevel="0" collapsed="false">
      <c r="A67" s="94" t="s">
        <v>41</v>
      </c>
      <c r="B67" s="95" t="n">
        <v>1</v>
      </c>
      <c r="C67" s="96" t="s">
        <v>40</v>
      </c>
      <c r="D67" s="17" t="s">
        <v>1144</v>
      </c>
      <c r="F67" s="32"/>
      <c r="G67" s="33" t="s">
        <v>43</v>
      </c>
      <c r="H67" s="35" t="n">
        <f aca="false">VLOOKUP(G67,$G$3:$P$13,4,FALSE())</f>
        <v>0.2</v>
      </c>
      <c r="Q67" s="33" t="s">
        <v>43</v>
      </c>
      <c r="R67" s="35" t="n">
        <f aca="false">VLOOKUP(Q67,$G$3:$P$13,7,FALSE())</f>
        <v>0.142857142857143</v>
      </c>
    </row>
    <row r="68" customFormat="false" ht="14.25" hidden="false" customHeight="true" outlineLevel="0" collapsed="false">
      <c r="A68" s="94" t="s">
        <v>40</v>
      </c>
      <c r="B68" s="95" t="n">
        <v>1</v>
      </c>
      <c r="C68" s="96" t="s">
        <v>41</v>
      </c>
      <c r="D68" s="17" t="s">
        <v>1145</v>
      </c>
      <c r="F68" s="32"/>
      <c r="G68" s="33" t="s">
        <v>35</v>
      </c>
      <c r="H68" s="35" t="n">
        <f aca="false">VLOOKUP(G68,$G$3:$P$13,4,FALSE())</f>
        <v>0</v>
      </c>
      <c r="Q68" s="33" t="s">
        <v>35</v>
      </c>
      <c r="R68" s="35" t="n">
        <f aca="false">VLOOKUP(Q68,$G$3:$P$13,7,FALSE())</f>
        <v>0</v>
      </c>
    </row>
    <row r="69" customFormat="false" ht="14.25" hidden="false" customHeight="true" outlineLevel="0" collapsed="false">
      <c r="A69" s="94" t="s">
        <v>11</v>
      </c>
      <c r="B69" s="95" t="n">
        <v>1</v>
      </c>
      <c r="C69" s="96" t="s">
        <v>36</v>
      </c>
      <c r="D69" s="17" t="s">
        <v>1146</v>
      </c>
      <c r="F69" s="32"/>
      <c r="AI69" s="72"/>
      <c r="AJ69" s="72"/>
      <c r="AK69" s="72"/>
    </row>
    <row r="70" customFormat="false" ht="14.25" hidden="false" customHeight="true" outlineLevel="0" collapsed="false">
      <c r="A70" s="94" t="s">
        <v>36</v>
      </c>
      <c r="B70" s="95" t="n">
        <v>1</v>
      </c>
      <c r="C70" s="96" t="s">
        <v>11</v>
      </c>
      <c r="D70" s="17" t="s">
        <v>1147</v>
      </c>
      <c r="F70" s="32"/>
      <c r="AI70" s="72"/>
      <c r="AJ70" s="72"/>
      <c r="AK70" s="72"/>
    </row>
    <row r="71" customFormat="false" ht="14.25" hidden="false" customHeight="true" outlineLevel="0" collapsed="false">
      <c r="A71" s="94" t="s">
        <v>11</v>
      </c>
      <c r="B71" s="95" t="n">
        <v>2</v>
      </c>
      <c r="C71" s="96" t="s">
        <v>39</v>
      </c>
      <c r="D71" s="17" t="s">
        <v>1148</v>
      </c>
      <c r="F71" s="17"/>
      <c r="AI71" s="72"/>
      <c r="AJ71" s="72"/>
      <c r="AK71" s="72"/>
    </row>
    <row r="72" customFormat="false" ht="14.25" hidden="false" customHeight="true" outlineLevel="0" collapsed="false">
      <c r="A72" s="94" t="s">
        <v>95</v>
      </c>
      <c r="B72" s="95" t="n">
        <v>5</v>
      </c>
      <c r="C72" s="96" t="s">
        <v>12</v>
      </c>
      <c r="D72" s="17" t="s">
        <v>1093</v>
      </c>
      <c r="F72" s="32"/>
      <c r="AI72" s="72"/>
      <c r="AJ72" s="72"/>
      <c r="AK72" s="72"/>
    </row>
    <row r="73" customFormat="false" ht="14.25" hidden="false" customHeight="true" outlineLevel="0" collapsed="false">
      <c r="A73" s="94" t="s">
        <v>41</v>
      </c>
      <c r="B73" s="95" t="n">
        <v>5</v>
      </c>
      <c r="C73" s="96" t="s">
        <v>12</v>
      </c>
      <c r="D73" s="17" t="s">
        <v>1149</v>
      </c>
      <c r="F73" s="32"/>
      <c r="G73" s="33" t="s">
        <v>108</v>
      </c>
      <c r="H73" s="41" t="s">
        <v>16</v>
      </c>
      <c r="Q73" s="33" t="s">
        <v>108</v>
      </c>
      <c r="R73" s="41" t="s">
        <v>19</v>
      </c>
      <c r="AJ73" s="72"/>
      <c r="AK73" s="72"/>
    </row>
    <row r="74" customFormat="false" ht="14.25" hidden="false" customHeight="true" outlineLevel="0" collapsed="false">
      <c r="A74" s="94" t="s">
        <v>41</v>
      </c>
      <c r="B74" s="95" t="n">
        <v>2</v>
      </c>
      <c r="C74" s="96" t="s">
        <v>42</v>
      </c>
      <c r="D74" s="17" t="s">
        <v>1150</v>
      </c>
      <c r="F74" s="32"/>
      <c r="G74" s="52" t="s">
        <v>111</v>
      </c>
      <c r="H74" s="67" t="n">
        <f aca="false">VLOOKUP(G74,$G$17:$O$21,2,FALSE())</f>
        <v>3</v>
      </c>
      <c r="Q74" s="52" t="s">
        <v>111</v>
      </c>
      <c r="R74" s="67" t="n">
        <f aca="false">VLOOKUP(Q74,$G$17:$O$21,5,FALSE())</f>
        <v>3.5</v>
      </c>
      <c r="AG74" s="72"/>
      <c r="AH74" s="72"/>
      <c r="AI74" s="72"/>
      <c r="AJ74" s="72"/>
      <c r="AK74" s="72"/>
    </row>
    <row r="75" customFormat="false" ht="14.25" hidden="false" customHeight="true" outlineLevel="0" collapsed="false">
      <c r="A75" s="94" t="s">
        <v>41</v>
      </c>
      <c r="B75" s="95" t="n">
        <v>2</v>
      </c>
      <c r="C75" s="96" t="s">
        <v>40</v>
      </c>
      <c r="D75" s="17" t="s">
        <v>1150</v>
      </c>
      <c r="F75" s="32"/>
      <c r="G75" s="33" t="s">
        <v>120</v>
      </c>
      <c r="H75" s="67" t="n">
        <f aca="false">VLOOKUP(G75,$G$17:$O$21,2,FALSE())</f>
        <v>3.25</v>
      </c>
      <c r="Q75" s="33" t="s">
        <v>120</v>
      </c>
      <c r="R75" s="67" t="n">
        <f aca="false">VLOOKUP(Q75,$G$17:$O$21,5,FALSE())</f>
        <v>5.5</v>
      </c>
      <c r="AE75" s="72"/>
      <c r="AF75" s="72"/>
      <c r="AG75" s="72"/>
    </row>
    <row r="76" customFormat="false" ht="14.25" hidden="false" customHeight="true" outlineLevel="0" collapsed="false">
      <c r="A76" s="94"/>
      <c r="B76" s="95"/>
      <c r="C76" s="96"/>
      <c r="D76" s="17"/>
      <c r="F76" s="32"/>
      <c r="G76" s="33" t="s">
        <v>114</v>
      </c>
      <c r="H76" s="67" t="n">
        <f aca="false">VLOOKUP(G76,$G$17:$O$21,2,FALSE())</f>
        <v>8.66666666666667</v>
      </c>
      <c r="Q76" s="33" t="s">
        <v>114</v>
      </c>
      <c r="R76" s="67" t="n">
        <f aca="false">VLOOKUP(Q76,$G$17:$O$21,5,FALSE())</f>
        <v>12.6666666666667</v>
      </c>
    </row>
    <row r="77" customFormat="false" ht="14.25" hidden="false" customHeight="true" outlineLevel="0" collapsed="false">
      <c r="A77" s="94"/>
      <c r="B77" s="95"/>
      <c r="C77" s="96"/>
      <c r="D77" s="17"/>
      <c r="F77" s="32"/>
      <c r="G77" s="33" t="s">
        <v>117</v>
      </c>
      <c r="H77" s="67" t="n">
        <f aca="false">VLOOKUP(G77,$G$17:$O$21,2,FALSE())</f>
        <v>14.5</v>
      </c>
      <c r="Q77" s="33" t="s">
        <v>117</v>
      </c>
      <c r="R77" s="67" t="n">
        <f aca="false">VLOOKUP(Q77,$G$17:$O$21,5,FALSE())</f>
        <v>23</v>
      </c>
    </row>
    <row r="78" customFormat="false" ht="14.25" hidden="false" customHeight="true" outlineLevel="0" collapsed="false">
      <c r="A78" s="94"/>
      <c r="B78" s="95"/>
      <c r="C78" s="96"/>
      <c r="D78" s="17"/>
      <c r="F78" s="32"/>
    </row>
    <row r="79" customFormat="false" ht="14.25" hidden="false" customHeight="true" outlineLevel="0" collapsed="false">
      <c r="A79" s="94"/>
      <c r="B79" s="95"/>
      <c r="C79" s="96"/>
      <c r="D79" s="17"/>
      <c r="F79" s="32"/>
    </row>
    <row r="80" customFormat="false" ht="14.25" hidden="false" customHeight="true" outlineLevel="0" collapsed="false">
      <c r="A80" s="94"/>
      <c r="B80" s="95"/>
      <c r="C80" s="96"/>
      <c r="D80" s="17"/>
      <c r="F80" s="32"/>
    </row>
    <row r="81" customFormat="false" ht="14.25" hidden="false" customHeight="true" outlineLevel="0" collapsed="false">
      <c r="A81" s="94"/>
      <c r="B81" s="95"/>
      <c r="C81" s="96"/>
      <c r="D81" s="17"/>
      <c r="F81" s="17"/>
    </row>
    <row r="82" customFormat="false" ht="14.25" hidden="false" customHeight="true" outlineLevel="0" collapsed="false">
      <c r="A82" s="94"/>
      <c r="B82" s="95"/>
      <c r="C82" s="96"/>
      <c r="D82" s="17"/>
      <c r="F82" s="32"/>
    </row>
    <row r="83" customFormat="false" ht="14.25" hidden="false" customHeight="true" outlineLevel="0" collapsed="false">
      <c r="A83" s="94"/>
      <c r="B83" s="95"/>
      <c r="C83" s="96"/>
      <c r="D83" s="17"/>
      <c r="F83" s="32"/>
    </row>
    <row r="84" customFormat="false" ht="14.25" hidden="false" customHeight="true" outlineLevel="0" collapsed="false">
      <c r="A84" s="94"/>
      <c r="B84" s="95"/>
      <c r="C84" s="96"/>
      <c r="D84" s="17"/>
      <c r="F84" s="32"/>
      <c r="G84" s="33" t="s">
        <v>108</v>
      </c>
      <c r="H84" s="41" t="s">
        <v>17</v>
      </c>
      <c r="Q84" s="33" t="s">
        <v>108</v>
      </c>
      <c r="R84" s="41" t="s">
        <v>20</v>
      </c>
    </row>
    <row r="85" customFormat="false" ht="14.25" hidden="false" customHeight="true" outlineLevel="0" collapsed="false">
      <c r="A85" s="94"/>
      <c r="B85" s="95"/>
      <c r="C85" s="96"/>
      <c r="D85" s="17"/>
      <c r="F85" s="32"/>
      <c r="G85" s="33" t="s">
        <v>120</v>
      </c>
      <c r="H85" s="69" t="n">
        <f aca="false">VLOOKUP(G85,$G$17:$O$21,3,FALSE())</f>
        <v>4.25</v>
      </c>
      <c r="Q85" s="33" t="s">
        <v>120</v>
      </c>
      <c r="R85" s="69" t="n">
        <f aca="false">VLOOKUP(Q85,$G$17:$O$21,6,FALSE())</f>
        <v>6</v>
      </c>
    </row>
    <row r="86" customFormat="false" ht="14.25" hidden="false" customHeight="true" outlineLevel="0" collapsed="false">
      <c r="A86" s="94"/>
      <c r="B86" s="95"/>
      <c r="C86" s="96"/>
      <c r="D86" s="17"/>
      <c r="F86" s="32"/>
      <c r="G86" s="33" t="s">
        <v>117</v>
      </c>
      <c r="H86" s="69" t="n">
        <f aca="false">VLOOKUP(G86,$G$17:$O$21,3,FALSE())</f>
        <v>6.5</v>
      </c>
      <c r="Q86" s="33" t="s">
        <v>117</v>
      </c>
      <c r="R86" s="69" t="n">
        <f aca="false">VLOOKUP(Q86,$G$17:$O$21,6,FALSE())</f>
        <v>7.5</v>
      </c>
    </row>
    <row r="87" customFormat="false" ht="14.25" hidden="false" customHeight="true" outlineLevel="0" collapsed="false">
      <c r="A87" s="94"/>
      <c r="B87" s="95"/>
      <c r="C87" s="96"/>
      <c r="D87" s="17"/>
      <c r="F87" s="32"/>
      <c r="G87" s="33" t="s">
        <v>111</v>
      </c>
      <c r="H87" s="69" t="n">
        <f aca="false">VLOOKUP(G87,$G$17:$O$21,3,FALSE())</f>
        <v>8</v>
      </c>
      <c r="Q87" s="33" t="s">
        <v>114</v>
      </c>
      <c r="R87" s="69" t="n">
        <f aca="false">VLOOKUP(Q87,$G$17:$O$21,6,FALSE())</f>
        <v>11.3333333333333</v>
      </c>
    </row>
    <row r="88" customFormat="false" ht="14.25" hidden="false" customHeight="true" outlineLevel="0" collapsed="false">
      <c r="A88" s="94"/>
      <c r="B88" s="95"/>
      <c r="C88" s="96"/>
      <c r="D88" s="17"/>
      <c r="F88" s="32"/>
      <c r="G88" s="33" t="s">
        <v>114</v>
      </c>
      <c r="H88" s="69" t="n">
        <f aca="false">VLOOKUP(G88,$G$17:$O$21,3,FALSE())</f>
        <v>8.33333333333333</v>
      </c>
      <c r="Q88" s="33" t="s">
        <v>111</v>
      </c>
      <c r="R88" s="69" t="n">
        <f aca="false">VLOOKUP(Q88,$G$17:$O$21,6,FALSE())</f>
        <v>12.5</v>
      </c>
    </row>
    <row r="89" customFormat="false" ht="14.25" hidden="false" customHeight="true" outlineLevel="0" collapsed="false">
      <c r="A89" s="94"/>
      <c r="B89" s="95"/>
      <c r="C89" s="96"/>
      <c r="D89" s="17"/>
      <c r="F89" s="32"/>
      <c r="AJ89" s="72"/>
      <c r="AK89" s="84"/>
    </row>
    <row r="90" customFormat="false" ht="14.25" hidden="false" customHeight="true" outlineLevel="0" collapsed="false">
      <c r="A90" s="94"/>
      <c r="B90" s="95"/>
      <c r="C90" s="96"/>
      <c r="D90" s="17"/>
      <c r="F90" s="32"/>
      <c r="AJ90" s="72"/>
      <c r="AK90" s="84"/>
    </row>
    <row r="91" customFormat="false" ht="14.25" hidden="false" customHeight="true" outlineLevel="0" collapsed="false">
      <c r="A91" s="94"/>
      <c r="B91" s="95"/>
      <c r="C91" s="96"/>
      <c r="D91" s="17"/>
      <c r="F91" s="32"/>
      <c r="AJ91" s="72"/>
      <c r="AK91" s="84"/>
    </row>
    <row r="92" customFormat="false" ht="14.25" hidden="false" customHeight="true" outlineLevel="0" collapsed="false">
      <c r="A92" s="94"/>
      <c r="B92" s="95"/>
      <c r="C92" s="96"/>
      <c r="D92" s="17"/>
      <c r="F92" s="32"/>
      <c r="AJ92" s="72"/>
      <c r="AK92" s="84"/>
    </row>
    <row r="93" customFormat="false" ht="14.25" hidden="false" customHeight="true" outlineLevel="0" collapsed="false">
      <c r="A93" s="94"/>
      <c r="B93" s="95"/>
      <c r="C93" s="96"/>
      <c r="D93" s="17"/>
      <c r="F93" s="32"/>
      <c r="AJ93" s="72"/>
      <c r="AK93" s="84"/>
    </row>
    <row r="94" customFormat="false" ht="14.25" hidden="false" customHeight="true" outlineLevel="0" collapsed="false">
      <c r="A94" s="94"/>
      <c r="B94" s="95"/>
      <c r="C94" s="96"/>
      <c r="D94" s="17"/>
      <c r="F94" s="32"/>
      <c r="J94" s="72"/>
      <c r="K94" s="72"/>
      <c r="L94" s="72"/>
      <c r="M94" s="84"/>
      <c r="N94" s="84"/>
      <c r="O94" s="84"/>
      <c r="P94" s="84"/>
      <c r="Q94" s="8"/>
      <c r="T94" s="72"/>
      <c r="U94" s="72"/>
      <c r="V94" s="72"/>
      <c r="W94" s="72"/>
      <c r="X94" s="72"/>
      <c r="Y94" s="72"/>
      <c r="Z94" s="72"/>
      <c r="AA94" s="72"/>
      <c r="AB94" s="72"/>
      <c r="AC94" s="72"/>
      <c r="AD94" s="72"/>
      <c r="AG94" s="72"/>
      <c r="AJ94" s="72"/>
      <c r="AK94" s="84"/>
    </row>
    <row r="95" customFormat="false" ht="14.25" hidden="false" customHeight="true" outlineLevel="0" collapsed="false">
      <c r="A95" s="94"/>
      <c r="B95" s="95"/>
      <c r="C95" s="96"/>
      <c r="D95" s="17"/>
      <c r="F95" s="32"/>
      <c r="G95" s="33" t="s">
        <v>108</v>
      </c>
      <c r="H95" s="41" t="s">
        <v>18</v>
      </c>
      <c r="J95" s="72"/>
      <c r="K95" s="72"/>
      <c r="L95" s="72"/>
      <c r="M95" s="84"/>
      <c r="N95" s="84"/>
      <c r="O95" s="84"/>
      <c r="P95" s="84"/>
      <c r="Q95" s="33" t="s">
        <v>108</v>
      </c>
      <c r="R95" s="41" t="s">
        <v>21</v>
      </c>
      <c r="T95" s="72"/>
      <c r="U95" s="72"/>
      <c r="V95" s="72"/>
      <c r="W95" s="72"/>
      <c r="X95" s="72"/>
      <c r="Y95" s="72"/>
      <c r="Z95" s="72"/>
      <c r="AA95" s="72"/>
      <c r="AB95" s="72"/>
      <c r="AC95" s="72"/>
      <c r="AD95" s="72"/>
      <c r="AG95" s="72"/>
      <c r="AJ95" s="72"/>
      <c r="AK95" s="84"/>
    </row>
    <row r="96" customFormat="false" ht="14.25" hidden="false" customHeight="true" outlineLevel="0" collapsed="false">
      <c r="A96" s="94"/>
      <c r="B96" s="95"/>
      <c r="C96" s="96"/>
      <c r="D96" s="17"/>
      <c r="F96" s="32"/>
      <c r="G96" s="52" t="s">
        <v>111</v>
      </c>
      <c r="H96" s="68" t="n">
        <f aca="false">VLOOKUP(G96,$G$17:$O$21,4,FALSE())</f>
        <v>0.375</v>
      </c>
      <c r="J96" s="72"/>
      <c r="K96" s="72"/>
      <c r="L96" s="72"/>
      <c r="M96" s="84"/>
      <c r="N96" s="84"/>
      <c r="O96" s="84"/>
      <c r="P96" s="84"/>
      <c r="Q96" s="52" t="s">
        <v>111</v>
      </c>
      <c r="R96" s="68" t="n">
        <f aca="false">VLOOKUP(Q96,$G$17:$O$21,7,FALSE())</f>
        <v>0.28</v>
      </c>
      <c r="T96" s="72"/>
      <c r="U96" s="72"/>
      <c r="V96" s="72"/>
      <c r="W96" s="72"/>
      <c r="X96" s="72"/>
      <c r="Y96" s="72"/>
      <c r="Z96" s="72"/>
      <c r="AA96" s="72"/>
      <c r="AB96" s="72"/>
      <c r="AC96" s="72"/>
      <c r="AD96" s="72"/>
      <c r="AG96" s="72"/>
      <c r="AJ96" s="72"/>
      <c r="AK96" s="84"/>
    </row>
    <row r="97" customFormat="false" ht="14.25" hidden="false" customHeight="true" outlineLevel="0" collapsed="false">
      <c r="A97" s="94"/>
      <c r="B97" s="95"/>
      <c r="C97" s="96"/>
      <c r="D97" s="17"/>
      <c r="F97" s="32"/>
      <c r="G97" s="33" t="s">
        <v>120</v>
      </c>
      <c r="H97" s="68" t="n">
        <f aca="false">VLOOKUP(G97,$G$17:$O$21,4,FALSE())</f>
        <v>0.764705882352941</v>
      </c>
      <c r="J97" s="72"/>
      <c r="K97" s="72"/>
      <c r="L97" s="72"/>
      <c r="M97" s="84"/>
      <c r="N97" s="84"/>
      <c r="O97" s="84"/>
      <c r="P97" s="84"/>
      <c r="Q97" s="33" t="s">
        <v>120</v>
      </c>
      <c r="R97" s="68" t="n">
        <f aca="false">VLOOKUP(Q97,$G$17:$O$21,7,FALSE())</f>
        <v>0.916666666666667</v>
      </c>
      <c r="T97" s="72"/>
      <c r="U97" s="72"/>
      <c r="V97" s="72"/>
      <c r="W97" s="72"/>
      <c r="X97" s="72"/>
      <c r="Y97" s="72"/>
      <c r="Z97" s="72"/>
      <c r="AA97" s="72"/>
      <c r="AB97" s="72"/>
      <c r="AC97" s="72"/>
      <c r="AD97" s="72"/>
      <c r="AG97" s="72"/>
      <c r="AJ97" s="72"/>
      <c r="AK97" s="84"/>
    </row>
    <row r="98" customFormat="false" ht="14.25" hidden="false" customHeight="true" outlineLevel="0" collapsed="false">
      <c r="A98" s="94"/>
      <c r="B98" s="95"/>
      <c r="C98" s="96"/>
      <c r="D98" s="17"/>
      <c r="F98" s="32"/>
      <c r="G98" s="33" t="s">
        <v>114</v>
      </c>
      <c r="H98" s="68" t="n">
        <f aca="false">VLOOKUP(G98,$G$17:$O$21,4,FALSE())</f>
        <v>1.04</v>
      </c>
      <c r="J98" s="72"/>
      <c r="K98" s="72"/>
      <c r="L98" s="72"/>
      <c r="M98" s="84"/>
      <c r="N98" s="84"/>
      <c r="O98" s="84"/>
      <c r="P98" s="84"/>
      <c r="Q98" s="33" t="s">
        <v>114</v>
      </c>
      <c r="R98" s="68" t="n">
        <f aca="false">VLOOKUP(Q98,$G$17:$O$21,7,FALSE())</f>
        <v>1.11764705882353</v>
      </c>
      <c r="T98" s="72"/>
      <c r="U98" s="72"/>
      <c r="V98" s="72"/>
      <c r="W98" s="72"/>
      <c r="X98" s="72"/>
      <c r="Y98" s="72"/>
      <c r="Z98" s="72"/>
      <c r="AA98" s="72"/>
      <c r="AB98" s="72"/>
      <c r="AC98" s="72"/>
      <c r="AD98" s="72"/>
      <c r="AG98" s="72"/>
      <c r="AJ98" s="72"/>
      <c r="AK98" s="84"/>
    </row>
    <row r="99" customFormat="false" ht="14.25" hidden="false" customHeight="true" outlineLevel="0" collapsed="false">
      <c r="A99" s="94"/>
      <c r="B99" s="95"/>
      <c r="C99" s="96"/>
      <c r="D99" s="17"/>
      <c r="F99" s="32"/>
      <c r="G99" s="33" t="s">
        <v>117</v>
      </c>
      <c r="H99" s="68" t="n">
        <f aca="false">VLOOKUP(G99,$G$17:$O$21,4,FALSE())</f>
        <v>2.23076923076923</v>
      </c>
      <c r="J99" s="72"/>
      <c r="K99" s="72"/>
      <c r="L99" s="72"/>
      <c r="M99" s="84"/>
      <c r="N99" s="84"/>
      <c r="O99" s="84"/>
      <c r="P99" s="84"/>
      <c r="Q99" s="33" t="s">
        <v>117</v>
      </c>
      <c r="R99" s="68" t="n">
        <f aca="false">VLOOKUP(Q99,$G$17:$O$21,7,FALSE())</f>
        <v>3.06666666666667</v>
      </c>
      <c r="T99" s="72"/>
      <c r="U99" s="72"/>
      <c r="V99" s="72"/>
      <c r="W99" s="72"/>
      <c r="X99" s="72"/>
      <c r="Y99" s="72"/>
      <c r="Z99" s="72"/>
      <c r="AA99" s="72"/>
      <c r="AB99" s="72"/>
      <c r="AC99" s="72"/>
      <c r="AD99" s="72"/>
      <c r="AG99" s="72"/>
      <c r="AJ99" s="72"/>
      <c r="AK99" s="84"/>
    </row>
    <row r="100" customFormat="false" ht="14.25" hidden="false" customHeight="true" outlineLevel="0" collapsed="false">
      <c r="A100" s="94"/>
      <c r="B100" s="95"/>
      <c r="C100" s="96"/>
      <c r="D100" s="17"/>
      <c r="F100" s="32"/>
      <c r="J100" s="72"/>
      <c r="K100" s="72"/>
      <c r="L100" s="72"/>
      <c r="M100" s="84"/>
      <c r="N100" s="84"/>
      <c r="O100" s="84"/>
      <c r="P100" s="84"/>
      <c r="Q100" s="8"/>
      <c r="T100" s="72"/>
      <c r="U100" s="72"/>
      <c r="V100" s="72"/>
      <c r="W100" s="72"/>
      <c r="X100" s="72"/>
      <c r="Y100" s="72"/>
      <c r="Z100" s="72"/>
      <c r="AA100" s="72"/>
      <c r="AB100" s="72"/>
      <c r="AC100" s="72"/>
      <c r="AD100" s="72"/>
      <c r="AG100" s="72"/>
      <c r="AJ100" s="72"/>
      <c r="AK100" s="84"/>
    </row>
    <row r="101" customFormat="false" ht="14.25" hidden="false" customHeight="true" outlineLevel="0" collapsed="false">
      <c r="A101" s="94"/>
      <c r="B101" s="95"/>
      <c r="C101" s="96"/>
      <c r="D101" s="17"/>
      <c r="F101" s="32"/>
      <c r="J101" s="72"/>
      <c r="K101" s="72"/>
      <c r="L101" s="72"/>
      <c r="M101" s="84"/>
      <c r="N101" s="84"/>
      <c r="O101" s="84"/>
      <c r="P101" s="84"/>
      <c r="Q101" s="8"/>
      <c r="T101" s="72"/>
      <c r="U101" s="72"/>
      <c r="V101" s="72"/>
      <c r="W101" s="72"/>
      <c r="X101" s="72"/>
      <c r="Y101" s="72"/>
      <c r="Z101" s="72"/>
      <c r="AA101" s="72"/>
      <c r="AB101" s="72"/>
      <c r="AC101" s="72"/>
      <c r="AD101" s="72"/>
      <c r="AG101" s="72"/>
      <c r="AJ101" s="72"/>
      <c r="AK101" s="84"/>
    </row>
    <row r="102" customFormat="false" ht="14.25" hidden="false" customHeight="true" outlineLevel="0" collapsed="false">
      <c r="A102" s="94"/>
      <c r="B102" s="95"/>
      <c r="C102" s="96"/>
      <c r="D102" s="17"/>
      <c r="F102" s="32"/>
      <c r="J102" s="72"/>
      <c r="K102" s="72"/>
      <c r="L102" s="72"/>
      <c r="M102" s="84"/>
      <c r="N102" s="84"/>
      <c r="O102" s="84"/>
      <c r="P102" s="84"/>
      <c r="Q102" s="8"/>
      <c r="T102" s="72"/>
      <c r="U102" s="72"/>
      <c r="V102" s="72"/>
      <c r="W102" s="72"/>
      <c r="X102" s="72"/>
      <c r="Y102" s="72"/>
      <c r="Z102" s="72"/>
      <c r="AA102" s="72"/>
      <c r="AB102" s="72"/>
      <c r="AC102" s="72"/>
      <c r="AD102" s="72"/>
      <c r="AG102" s="72"/>
      <c r="AJ102" s="72"/>
      <c r="AK102" s="84"/>
    </row>
    <row r="103" customFormat="false" ht="14.25" hidden="false" customHeight="true" outlineLevel="0" collapsed="false">
      <c r="A103" s="94"/>
      <c r="B103" s="95"/>
      <c r="C103" s="96"/>
      <c r="D103" s="17"/>
      <c r="F103" s="32"/>
      <c r="J103" s="72"/>
      <c r="K103" s="72"/>
      <c r="L103" s="72"/>
      <c r="M103" s="84"/>
      <c r="N103" s="84"/>
      <c r="O103" s="84"/>
      <c r="P103" s="84"/>
      <c r="Q103" s="8"/>
      <c r="T103" s="72"/>
      <c r="U103" s="72"/>
      <c r="V103" s="72"/>
      <c r="W103" s="72"/>
      <c r="X103" s="72"/>
      <c r="Y103" s="72"/>
      <c r="Z103" s="72"/>
      <c r="AA103" s="72"/>
      <c r="AB103" s="72"/>
      <c r="AC103" s="72"/>
      <c r="AD103" s="72"/>
      <c r="AG103" s="72"/>
      <c r="AJ103" s="72"/>
      <c r="AK103" s="84"/>
    </row>
    <row r="104" customFormat="false" ht="14.25" hidden="false" customHeight="true" outlineLevel="0" collapsed="false">
      <c r="A104" s="94"/>
      <c r="B104" s="95"/>
      <c r="C104" s="96"/>
      <c r="D104" s="17"/>
      <c r="F104" s="32"/>
      <c r="J104" s="72"/>
      <c r="K104" s="72"/>
      <c r="L104" s="72"/>
      <c r="M104" s="84"/>
      <c r="N104" s="84"/>
      <c r="O104" s="84"/>
      <c r="P104" s="84"/>
      <c r="Q104" s="8"/>
      <c r="T104" s="72"/>
      <c r="U104" s="72"/>
      <c r="V104" s="72"/>
      <c r="W104" s="72"/>
      <c r="X104" s="72"/>
      <c r="Y104" s="72"/>
      <c r="Z104" s="72"/>
      <c r="AA104" s="72"/>
      <c r="AB104" s="72"/>
      <c r="AC104" s="72"/>
      <c r="AD104" s="72"/>
      <c r="AG104" s="72"/>
      <c r="AJ104" s="72"/>
      <c r="AK104" s="84"/>
    </row>
    <row r="105" customFormat="false" ht="14.25" hidden="false" customHeight="true" outlineLevel="0" collapsed="false">
      <c r="A105" s="94"/>
      <c r="B105" s="95"/>
      <c r="C105" s="96"/>
      <c r="D105" s="17"/>
      <c r="F105" s="32"/>
      <c r="J105" s="72"/>
      <c r="K105" s="72"/>
      <c r="L105" s="72"/>
      <c r="M105" s="84"/>
      <c r="N105" s="84"/>
      <c r="O105" s="84"/>
      <c r="P105" s="84"/>
      <c r="Q105" s="8"/>
      <c r="T105" s="72"/>
      <c r="U105" s="72"/>
      <c r="V105" s="72"/>
      <c r="W105" s="72"/>
      <c r="X105" s="72"/>
      <c r="Y105" s="72"/>
      <c r="Z105" s="72"/>
      <c r="AA105" s="72"/>
      <c r="AB105" s="72"/>
      <c r="AC105" s="72"/>
      <c r="AD105" s="72"/>
      <c r="AG105" s="72"/>
      <c r="AJ105" s="72"/>
      <c r="AK105" s="84"/>
    </row>
    <row r="106" customFormat="false" ht="14.25" hidden="false" customHeight="true" outlineLevel="0" collapsed="false">
      <c r="A106" s="94"/>
      <c r="B106" s="95"/>
      <c r="C106" s="96"/>
      <c r="D106" s="17"/>
      <c r="F106" s="32"/>
      <c r="J106" s="72"/>
      <c r="K106" s="72"/>
      <c r="L106" s="72"/>
      <c r="M106" s="84"/>
      <c r="N106" s="84"/>
      <c r="O106" s="84"/>
      <c r="P106" s="84"/>
      <c r="Q106" s="8"/>
      <c r="T106" s="72"/>
      <c r="U106" s="72"/>
      <c r="V106" s="72"/>
      <c r="W106" s="72"/>
      <c r="X106" s="72"/>
      <c r="Y106" s="72"/>
      <c r="Z106" s="72"/>
      <c r="AA106" s="72"/>
      <c r="AB106" s="72"/>
      <c r="AC106" s="72"/>
      <c r="AD106" s="72"/>
      <c r="AG106" s="72"/>
      <c r="AJ106" s="72"/>
      <c r="AK106" s="84"/>
    </row>
    <row r="107" customFormat="false" ht="14.25" hidden="false" customHeight="true" outlineLevel="0" collapsed="false">
      <c r="A107" s="94"/>
      <c r="B107" s="95"/>
      <c r="C107" s="96"/>
      <c r="D107" s="17"/>
      <c r="F107" s="32"/>
      <c r="J107" s="72"/>
      <c r="K107" s="72"/>
      <c r="L107" s="72"/>
      <c r="M107" s="84"/>
      <c r="N107" s="84"/>
      <c r="O107" s="84"/>
      <c r="P107" s="84"/>
      <c r="Q107" s="8"/>
      <c r="T107" s="72"/>
      <c r="U107" s="72"/>
      <c r="V107" s="72"/>
      <c r="W107" s="72"/>
      <c r="X107" s="72"/>
      <c r="Y107" s="72"/>
      <c r="Z107" s="72"/>
      <c r="AA107" s="72"/>
      <c r="AB107" s="72"/>
      <c r="AC107" s="72"/>
      <c r="AD107" s="72"/>
      <c r="AG107" s="72"/>
      <c r="AJ107" s="72"/>
      <c r="AK107" s="84"/>
    </row>
    <row r="108" customFormat="false" ht="14.25" hidden="false" customHeight="true" outlineLevel="0" collapsed="false">
      <c r="A108" s="94"/>
      <c r="B108" s="95"/>
      <c r="C108" s="96"/>
      <c r="D108" s="17"/>
      <c r="F108" s="32"/>
      <c r="J108" s="72"/>
      <c r="K108" s="72"/>
      <c r="L108" s="72"/>
      <c r="M108" s="84"/>
      <c r="N108" s="84"/>
      <c r="O108" s="84"/>
      <c r="P108" s="84"/>
      <c r="Q108" s="8"/>
      <c r="T108" s="72"/>
      <c r="U108" s="72"/>
      <c r="V108" s="72"/>
      <c r="W108" s="72"/>
      <c r="X108" s="72"/>
      <c r="Y108" s="72"/>
      <c r="Z108" s="72"/>
      <c r="AA108" s="72"/>
      <c r="AB108" s="72"/>
      <c r="AC108" s="72"/>
      <c r="AD108" s="72"/>
      <c r="AG108" s="72"/>
      <c r="AJ108" s="72"/>
      <c r="AK108" s="84"/>
    </row>
    <row r="109" customFormat="false" ht="14.25" hidden="false" customHeight="true" outlineLevel="0" collapsed="false">
      <c r="A109" s="94"/>
      <c r="B109" s="95"/>
      <c r="C109" s="96"/>
      <c r="D109" s="17"/>
      <c r="F109" s="32"/>
      <c r="J109" s="72"/>
      <c r="K109" s="72"/>
      <c r="L109" s="72"/>
      <c r="M109" s="84"/>
      <c r="N109" s="84"/>
      <c r="O109" s="84"/>
      <c r="P109" s="84"/>
      <c r="Q109" s="8"/>
      <c r="T109" s="72"/>
      <c r="U109" s="72"/>
      <c r="V109" s="72"/>
      <c r="W109" s="72"/>
      <c r="X109" s="72"/>
      <c r="Y109" s="72"/>
      <c r="Z109" s="72"/>
      <c r="AA109" s="72"/>
      <c r="AB109" s="72"/>
      <c r="AC109" s="72"/>
      <c r="AD109" s="72"/>
      <c r="AE109" s="72"/>
      <c r="AF109" s="72"/>
      <c r="AG109" s="72"/>
      <c r="AJ109" s="72"/>
      <c r="AK109" s="84"/>
    </row>
    <row r="110" customFormat="false" ht="14.25" hidden="false" customHeight="true" outlineLevel="0" collapsed="false">
      <c r="A110" s="94"/>
      <c r="B110" s="95"/>
      <c r="C110" s="96"/>
      <c r="D110" s="17"/>
      <c r="F110" s="32"/>
      <c r="J110" s="72"/>
      <c r="K110" s="72"/>
      <c r="L110" s="72"/>
      <c r="M110" s="84"/>
      <c r="N110" s="84"/>
      <c r="O110" s="84"/>
      <c r="P110" s="84"/>
      <c r="Q110" s="8"/>
      <c r="T110" s="72"/>
      <c r="U110" s="72"/>
      <c r="V110" s="72"/>
      <c r="W110" s="72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  <c r="AJ110" s="72"/>
      <c r="AK110" s="84"/>
    </row>
    <row r="111" customFormat="false" ht="14.25" hidden="false" customHeight="true" outlineLevel="0" collapsed="false">
      <c r="A111" s="94"/>
      <c r="B111" s="95"/>
      <c r="C111" s="96"/>
      <c r="D111" s="17"/>
      <c r="F111" s="32"/>
      <c r="J111" s="72"/>
      <c r="K111" s="72"/>
      <c r="L111" s="72"/>
      <c r="M111" s="84"/>
      <c r="N111" s="84"/>
      <c r="O111" s="84"/>
      <c r="P111" s="84"/>
      <c r="Q111" s="8"/>
      <c r="T111" s="72"/>
      <c r="U111" s="72"/>
      <c r="V111" s="72"/>
      <c r="W111" s="72"/>
      <c r="X111" s="72"/>
      <c r="Y111" s="72"/>
      <c r="Z111" s="72"/>
      <c r="AA111" s="72"/>
      <c r="AB111" s="72"/>
      <c r="AC111" s="72"/>
      <c r="AD111" s="72"/>
      <c r="AE111" s="72"/>
      <c r="AF111" s="72"/>
      <c r="AG111" s="72"/>
      <c r="AJ111" s="72"/>
      <c r="AK111" s="84"/>
    </row>
    <row r="112" customFormat="false" ht="14.25" hidden="false" customHeight="true" outlineLevel="0" collapsed="false">
      <c r="A112" s="94"/>
      <c r="B112" s="95"/>
      <c r="C112" s="96"/>
      <c r="D112" s="17"/>
      <c r="F112" s="32"/>
      <c r="J112" s="72"/>
      <c r="K112" s="72"/>
      <c r="L112" s="72"/>
      <c r="M112" s="84"/>
      <c r="N112" s="84"/>
      <c r="O112" s="84"/>
      <c r="P112" s="84"/>
      <c r="Q112" s="8"/>
      <c r="T112" s="72"/>
      <c r="U112" s="72"/>
      <c r="V112" s="72"/>
      <c r="W112" s="72"/>
      <c r="X112" s="72"/>
      <c r="Y112" s="72"/>
      <c r="Z112" s="72"/>
      <c r="AA112" s="72"/>
      <c r="AB112" s="72"/>
      <c r="AC112" s="72"/>
      <c r="AD112" s="72"/>
      <c r="AE112" s="72"/>
      <c r="AF112" s="72"/>
      <c r="AG112" s="72"/>
      <c r="AJ112" s="72"/>
      <c r="AK112" s="84"/>
    </row>
    <row r="113" customFormat="false" ht="14.25" hidden="false" customHeight="true" outlineLevel="0" collapsed="false">
      <c r="A113" s="94"/>
      <c r="B113" s="95"/>
      <c r="C113" s="96"/>
      <c r="D113" s="17"/>
      <c r="F113" s="32"/>
      <c r="J113" s="72"/>
      <c r="K113" s="72"/>
      <c r="L113" s="72"/>
      <c r="M113" s="84"/>
      <c r="N113" s="84"/>
      <c r="O113" s="84"/>
      <c r="P113" s="84"/>
      <c r="Q113" s="8"/>
      <c r="T113" s="72"/>
      <c r="U113" s="72"/>
      <c r="V113" s="72"/>
      <c r="W113" s="72"/>
      <c r="X113" s="72"/>
      <c r="Y113" s="72"/>
      <c r="Z113" s="72"/>
      <c r="AA113" s="72"/>
      <c r="AB113" s="72"/>
      <c r="AC113" s="72"/>
      <c r="AD113" s="72"/>
      <c r="AE113" s="72"/>
      <c r="AF113" s="72"/>
      <c r="AG113" s="72"/>
      <c r="AJ113" s="72"/>
      <c r="AK113" s="84"/>
    </row>
    <row r="114" customFormat="false" ht="14.25" hidden="false" customHeight="true" outlineLevel="0" collapsed="false">
      <c r="A114" s="94"/>
      <c r="B114" s="95"/>
      <c r="C114" s="96"/>
      <c r="D114" s="17"/>
      <c r="F114" s="32"/>
      <c r="J114" s="72"/>
      <c r="K114" s="72"/>
      <c r="L114" s="72"/>
      <c r="M114" s="84"/>
      <c r="N114" s="84"/>
      <c r="O114" s="84"/>
      <c r="P114" s="84"/>
      <c r="Q114" s="8"/>
      <c r="T114" s="72"/>
      <c r="U114" s="72"/>
      <c r="V114" s="72"/>
      <c r="W114" s="72"/>
      <c r="X114" s="72"/>
      <c r="Y114" s="72"/>
      <c r="Z114" s="72"/>
      <c r="AA114" s="72"/>
      <c r="AB114" s="72"/>
      <c r="AC114" s="72"/>
      <c r="AD114" s="72"/>
      <c r="AE114" s="72"/>
      <c r="AF114" s="72"/>
      <c r="AG114" s="72"/>
      <c r="AJ114" s="72"/>
      <c r="AK114" s="84"/>
    </row>
    <row r="115" customFormat="false" ht="14.25" hidden="false" customHeight="true" outlineLevel="0" collapsed="false">
      <c r="A115" s="94"/>
      <c r="B115" s="95"/>
      <c r="C115" s="96"/>
      <c r="D115" s="17"/>
      <c r="F115" s="32"/>
      <c r="J115" s="72"/>
      <c r="K115" s="72"/>
      <c r="L115" s="72"/>
      <c r="M115" s="84"/>
      <c r="N115" s="84"/>
      <c r="O115" s="84"/>
      <c r="P115" s="84"/>
      <c r="Q115" s="8"/>
      <c r="T115" s="72"/>
      <c r="U115" s="72"/>
      <c r="V115" s="72"/>
      <c r="W115" s="72"/>
      <c r="X115" s="72"/>
      <c r="Y115" s="72"/>
      <c r="Z115" s="72"/>
      <c r="AA115" s="72"/>
      <c r="AB115" s="72"/>
      <c r="AC115" s="72"/>
      <c r="AD115" s="72"/>
      <c r="AE115" s="72"/>
      <c r="AF115" s="72"/>
      <c r="AG115" s="72"/>
      <c r="AJ115" s="72"/>
      <c r="AK115" s="84"/>
    </row>
    <row r="116" customFormat="false" ht="14.25" hidden="false" customHeight="true" outlineLevel="0" collapsed="false">
      <c r="A116" s="94"/>
      <c r="B116" s="95"/>
      <c r="C116" s="96"/>
      <c r="D116" s="17"/>
      <c r="F116" s="32"/>
      <c r="J116" s="72"/>
      <c r="K116" s="72"/>
      <c r="L116" s="72"/>
      <c r="M116" s="84"/>
      <c r="N116" s="84"/>
      <c r="O116" s="84"/>
      <c r="P116" s="84"/>
      <c r="Q116" s="8"/>
      <c r="T116" s="72"/>
      <c r="U116" s="72"/>
      <c r="V116" s="72"/>
      <c r="W116" s="72"/>
      <c r="X116" s="72"/>
      <c r="Y116" s="72"/>
      <c r="Z116" s="72"/>
      <c r="AA116" s="72"/>
      <c r="AB116" s="72"/>
      <c r="AC116" s="72"/>
      <c r="AD116" s="72"/>
      <c r="AE116" s="72"/>
      <c r="AF116" s="72"/>
      <c r="AG116" s="72"/>
      <c r="AJ116" s="72"/>
      <c r="AK116" s="84"/>
    </row>
    <row r="117" customFormat="false" ht="14.25" hidden="false" customHeight="true" outlineLevel="0" collapsed="false">
      <c r="A117" s="94"/>
      <c r="B117" s="95"/>
      <c r="C117" s="96"/>
      <c r="D117" s="17"/>
      <c r="F117" s="32"/>
      <c r="J117" s="72"/>
      <c r="K117" s="72"/>
      <c r="L117" s="72"/>
      <c r="M117" s="84"/>
      <c r="N117" s="84"/>
      <c r="O117" s="84"/>
      <c r="P117" s="84"/>
      <c r="Q117" s="8"/>
      <c r="T117" s="72"/>
      <c r="U117" s="72"/>
      <c r="V117" s="72"/>
      <c r="W117" s="72"/>
      <c r="X117" s="72"/>
      <c r="Y117" s="72"/>
      <c r="Z117" s="72"/>
      <c r="AA117" s="72"/>
      <c r="AB117" s="72"/>
      <c r="AC117" s="72"/>
      <c r="AD117" s="72"/>
      <c r="AE117" s="72"/>
      <c r="AF117" s="72"/>
      <c r="AG117" s="72"/>
      <c r="AJ117" s="72"/>
      <c r="AK117" s="84"/>
    </row>
    <row r="118" customFormat="false" ht="14.25" hidden="false" customHeight="true" outlineLevel="0" collapsed="false">
      <c r="A118" s="94"/>
      <c r="B118" s="95"/>
      <c r="C118" s="96"/>
      <c r="D118" s="17"/>
      <c r="F118" s="32"/>
      <c r="J118" s="72"/>
      <c r="K118" s="72"/>
      <c r="L118" s="72"/>
      <c r="M118" s="84"/>
      <c r="N118" s="84"/>
      <c r="O118" s="84"/>
      <c r="P118" s="84"/>
      <c r="Q118" s="8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J118" s="72"/>
      <c r="AK118" s="84"/>
    </row>
    <row r="119" customFormat="false" ht="14.25" hidden="false" customHeight="true" outlineLevel="0" collapsed="false">
      <c r="A119" s="94"/>
      <c r="B119" s="95"/>
      <c r="C119" s="96"/>
      <c r="D119" s="17"/>
      <c r="F119" s="32"/>
      <c r="J119" s="72"/>
      <c r="K119" s="72"/>
      <c r="L119" s="72"/>
      <c r="M119" s="84"/>
      <c r="N119" s="84"/>
      <c r="O119" s="84"/>
      <c r="P119" s="84"/>
      <c r="Q119" s="8"/>
      <c r="T119" s="72"/>
      <c r="U119" s="72"/>
      <c r="V119" s="72"/>
      <c r="W119" s="72"/>
      <c r="X119" s="72"/>
      <c r="Y119" s="72"/>
      <c r="Z119" s="72"/>
      <c r="AA119" s="72"/>
      <c r="AB119" s="72"/>
      <c r="AC119" s="72"/>
      <c r="AD119" s="72"/>
      <c r="AE119" s="72"/>
      <c r="AF119" s="72"/>
      <c r="AG119" s="72"/>
      <c r="AJ119" s="72"/>
      <c r="AK119" s="84"/>
    </row>
    <row r="120" customFormat="false" ht="14.25" hidden="false" customHeight="true" outlineLevel="0" collapsed="false">
      <c r="A120" s="94"/>
      <c r="B120" s="95"/>
      <c r="C120" s="96"/>
      <c r="D120" s="17"/>
      <c r="F120" s="32"/>
      <c r="J120" s="72"/>
      <c r="K120" s="72"/>
      <c r="L120" s="72"/>
      <c r="M120" s="84"/>
      <c r="N120" s="84"/>
      <c r="O120" s="84"/>
      <c r="P120" s="84"/>
      <c r="Q120" s="8"/>
      <c r="T120" s="72"/>
      <c r="U120" s="72"/>
      <c r="V120" s="72"/>
      <c r="W120" s="72"/>
      <c r="X120" s="72"/>
      <c r="Y120" s="72"/>
      <c r="Z120" s="72"/>
      <c r="AA120" s="72"/>
      <c r="AB120" s="72"/>
      <c r="AC120" s="72"/>
      <c r="AD120" s="72"/>
      <c r="AE120" s="72"/>
      <c r="AF120" s="72"/>
      <c r="AG120" s="72"/>
      <c r="AJ120" s="72"/>
      <c r="AK120" s="84"/>
    </row>
    <row r="121" customFormat="false" ht="14.25" hidden="false" customHeight="true" outlineLevel="0" collapsed="false">
      <c r="A121" s="94"/>
      <c r="B121" s="95"/>
      <c r="C121" s="96"/>
      <c r="D121" s="17"/>
      <c r="F121" s="32"/>
      <c r="J121" s="72"/>
      <c r="K121" s="72"/>
      <c r="L121" s="72"/>
      <c r="M121" s="84"/>
      <c r="N121" s="84"/>
      <c r="O121" s="84"/>
      <c r="P121" s="84"/>
      <c r="Q121" s="8"/>
      <c r="T121" s="72"/>
      <c r="U121" s="72"/>
      <c r="V121" s="72"/>
      <c r="W121" s="72"/>
      <c r="X121" s="72"/>
      <c r="Y121" s="72"/>
      <c r="Z121" s="72"/>
      <c r="AA121" s="72"/>
      <c r="AB121" s="72"/>
      <c r="AC121" s="72"/>
      <c r="AD121" s="72"/>
      <c r="AE121" s="72"/>
      <c r="AF121" s="72"/>
      <c r="AG121" s="72"/>
      <c r="AJ121" s="72"/>
      <c r="AK121" s="84"/>
    </row>
    <row r="122" customFormat="false" ht="14.25" hidden="false" customHeight="true" outlineLevel="0" collapsed="false">
      <c r="A122" s="94"/>
      <c r="B122" s="95"/>
      <c r="C122" s="121"/>
      <c r="D122" s="17"/>
      <c r="F122" s="32"/>
      <c r="J122" s="72"/>
      <c r="K122" s="72"/>
      <c r="L122" s="72"/>
      <c r="M122" s="84"/>
      <c r="N122" s="84"/>
      <c r="O122" s="84"/>
      <c r="P122" s="84"/>
      <c r="Q122" s="8"/>
      <c r="T122" s="72"/>
      <c r="U122" s="72"/>
      <c r="V122" s="72"/>
      <c r="W122" s="72"/>
      <c r="X122" s="72"/>
      <c r="Y122" s="72"/>
      <c r="Z122" s="72"/>
      <c r="AA122" s="72"/>
      <c r="AB122" s="72"/>
      <c r="AC122" s="72"/>
      <c r="AD122" s="72"/>
      <c r="AE122" s="72"/>
      <c r="AF122" s="72"/>
      <c r="AG122" s="72"/>
      <c r="AJ122" s="72"/>
      <c r="AK122" s="84"/>
    </row>
    <row r="123" customFormat="false" ht="14.25" hidden="false" customHeight="true" outlineLevel="0" collapsed="false">
      <c r="A123" s="94"/>
      <c r="B123" s="95"/>
      <c r="C123" s="121"/>
      <c r="D123" s="17"/>
      <c r="F123" s="32"/>
      <c r="J123" s="72"/>
      <c r="K123" s="72"/>
      <c r="L123" s="72"/>
      <c r="M123" s="84"/>
      <c r="N123" s="84"/>
      <c r="O123" s="84"/>
      <c r="P123" s="84"/>
      <c r="Q123" s="8"/>
      <c r="T123" s="72"/>
      <c r="U123" s="72"/>
      <c r="V123" s="72"/>
      <c r="W123" s="72"/>
      <c r="X123" s="72"/>
      <c r="Y123" s="72"/>
      <c r="Z123" s="72"/>
      <c r="AA123" s="72"/>
      <c r="AB123" s="72"/>
      <c r="AC123" s="72"/>
      <c r="AD123" s="72"/>
      <c r="AE123" s="72"/>
      <c r="AF123" s="72"/>
      <c r="AG123" s="72"/>
      <c r="AJ123" s="72"/>
      <c r="AK123" s="84"/>
    </row>
    <row r="124" customFormat="false" ht="14.25" hidden="false" customHeight="true" outlineLevel="0" collapsed="false">
      <c r="A124" s="94"/>
      <c r="B124" s="95"/>
      <c r="C124" s="121"/>
      <c r="D124" s="17"/>
      <c r="F124" s="32"/>
      <c r="J124" s="72"/>
      <c r="K124" s="72"/>
      <c r="L124" s="72"/>
      <c r="M124" s="84"/>
      <c r="N124" s="84"/>
      <c r="O124" s="84"/>
      <c r="P124" s="84"/>
      <c r="Q124" s="8"/>
      <c r="T124" s="72"/>
      <c r="U124" s="72"/>
      <c r="V124" s="72"/>
      <c r="W124" s="72"/>
      <c r="X124" s="72"/>
      <c r="Y124" s="72"/>
      <c r="Z124" s="72"/>
      <c r="AA124" s="72"/>
      <c r="AB124" s="72"/>
      <c r="AC124" s="72"/>
      <c r="AD124" s="72"/>
      <c r="AE124" s="72"/>
      <c r="AF124" s="72"/>
      <c r="AG124" s="72"/>
      <c r="AJ124" s="72"/>
      <c r="AK124" s="84"/>
    </row>
    <row r="125" customFormat="false" ht="14.25" hidden="false" customHeight="true" outlineLevel="0" collapsed="false">
      <c r="A125" s="94"/>
      <c r="B125" s="95"/>
      <c r="C125" s="121"/>
      <c r="D125" s="17"/>
      <c r="F125" s="32"/>
      <c r="J125" s="72"/>
      <c r="K125" s="72"/>
      <c r="L125" s="72"/>
      <c r="M125" s="84"/>
      <c r="N125" s="84"/>
      <c r="O125" s="84"/>
      <c r="P125" s="84"/>
      <c r="Q125" s="8"/>
      <c r="T125" s="72"/>
      <c r="U125" s="72"/>
      <c r="V125" s="72"/>
      <c r="W125" s="72"/>
      <c r="X125" s="72"/>
      <c r="Y125" s="72"/>
      <c r="Z125" s="72"/>
      <c r="AA125" s="72"/>
      <c r="AB125" s="72"/>
      <c r="AC125" s="72"/>
      <c r="AD125" s="72"/>
      <c r="AE125" s="72"/>
      <c r="AF125" s="72"/>
      <c r="AG125" s="72"/>
      <c r="AJ125" s="72"/>
      <c r="AK125" s="84"/>
    </row>
    <row r="126" customFormat="false" ht="14.25" hidden="false" customHeight="true" outlineLevel="0" collapsed="false">
      <c r="A126" s="94"/>
      <c r="B126" s="95"/>
      <c r="C126" s="96"/>
      <c r="D126" s="17"/>
      <c r="F126" s="32"/>
    </row>
    <row r="127" customFormat="false" ht="14.25" hidden="false" customHeight="true" outlineLevel="0" collapsed="false">
      <c r="A127" s="94"/>
      <c r="B127" s="95"/>
      <c r="C127" s="96"/>
      <c r="D127" s="17"/>
      <c r="F127" s="32"/>
    </row>
    <row r="128" customFormat="false" ht="14.25" hidden="false" customHeight="true" outlineLevel="0" collapsed="false">
      <c r="A128" s="94"/>
      <c r="B128" s="95"/>
      <c r="C128" s="96"/>
      <c r="D128" s="17"/>
      <c r="F128" s="32"/>
    </row>
    <row r="129" customFormat="false" ht="14.25" hidden="false" customHeight="true" outlineLevel="0" collapsed="false">
      <c r="A129" s="94"/>
      <c r="B129" s="95"/>
      <c r="C129" s="96"/>
      <c r="D129" s="17"/>
      <c r="F129" s="32"/>
    </row>
    <row r="130" customFormat="false" ht="14.25" hidden="false" customHeight="true" outlineLevel="0" collapsed="false">
      <c r="A130" s="94"/>
      <c r="B130" s="95"/>
      <c r="C130" s="96"/>
      <c r="D130" s="17"/>
      <c r="F130" s="32"/>
    </row>
    <row r="131" customFormat="false" ht="14.25" hidden="false" customHeight="true" outlineLevel="0" collapsed="false">
      <c r="A131" s="94"/>
      <c r="B131" s="95"/>
      <c r="C131" s="96"/>
      <c r="D131" s="17"/>
      <c r="F131" s="32"/>
    </row>
    <row r="132" customFormat="false" ht="14.25" hidden="false" customHeight="true" outlineLevel="0" collapsed="false">
      <c r="A132" s="94"/>
      <c r="B132" s="95"/>
      <c r="C132" s="96"/>
      <c r="D132" s="17"/>
      <c r="F132" s="32"/>
    </row>
    <row r="133" customFormat="false" ht="14.25" hidden="false" customHeight="true" outlineLevel="0" collapsed="false">
      <c r="A133" s="94"/>
      <c r="B133" s="95"/>
      <c r="C133" s="96"/>
      <c r="D133" s="17"/>
      <c r="F133" s="32"/>
    </row>
    <row r="134" customFormat="false" ht="14.25" hidden="false" customHeight="true" outlineLevel="0" collapsed="false">
      <c r="A134" s="94"/>
      <c r="B134" s="95"/>
      <c r="C134" s="96"/>
      <c r="D134" s="17"/>
      <c r="F134" s="32"/>
    </row>
    <row r="135" customFormat="false" ht="14.25" hidden="false" customHeight="true" outlineLevel="0" collapsed="false">
      <c r="A135" s="94"/>
      <c r="B135" s="95"/>
      <c r="C135" s="96"/>
      <c r="D135" s="17"/>
      <c r="F135" s="32"/>
    </row>
    <row r="136" customFormat="false" ht="14.25" hidden="false" customHeight="true" outlineLevel="0" collapsed="false">
      <c r="A136" s="94"/>
      <c r="B136" s="95"/>
      <c r="C136" s="96"/>
      <c r="D136" s="17"/>
      <c r="F136" s="32"/>
    </row>
    <row r="137" customFormat="false" ht="14.25" hidden="false" customHeight="true" outlineLevel="0" collapsed="false">
      <c r="A137" s="94"/>
      <c r="B137" s="95"/>
      <c r="C137" s="96"/>
      <c r="D137" s="17"/>
      <c r="F137" s="32"/>
    </row>
    <row r="138" customFormat="false" ht="14.25" hidden="false" customHeight="true" outlineLevel="0" collapsed="false">
      <c r="A138" s="94"/>
      <c r="B138" s="95"/>
      <c r="C138" s="96"/>
      <c r="D138" s="17"/>
      <c r="F138" s="32"/>
    </row>
    <row r="139" customFormat="false" ht="14.25" hidden="false" customHeight="true" outlineLevel="0" collapsed="false">
      <c r="A139" s="94"/>
      <c r="B139" s="95"/>
      <c r="C139" s="96"/>
      <c r="D139" s="17"/>
      <c r="F139" s="32"/>
    </row>
    <row r="140" customFormat="false" ht="14.25" hidden="false" customHeight="true" outlineLevel="0" collapsed="false">
      <c r="A140" s="94"/>
      <c r="B140" s="95"/>
      <c r="C140" s="96"/>
      <c r="D140" s="17"/>
      <c r="F140" s="32"/>
    </row>
    <row r="141" customFormat="false" ht="14.25" hidden="false" customHeight="true" outlineLevel="0" collapsed="false">
      <c r="A141" s="94"/>
      <c r="B141" s="95"/>
      <c r="C141" s="96"/>
      <c r="D141" s="17"/>
      <c r="F141" s="32"/>
    </row>
    <row r="142" customFormat="false" ht="14.25" hidden="false" customHeight="true" outlineLevel="0" collapsed="false">
      <c r="A142" s="94"/>
      <c r="B142" s="95"/>
      <c r="C142" s="96"/>
      <c r="D142" s="17"/>
      <c r="F142" s="32"/>
    </row>
    <row r="143" customFormat="false" ht="14.25" hidden="false" customHeight="true" outlineLevel="0" collapsed="false">
      <c r="A143" s="94"/>
      <c r="B143" s="95"/>
      <c r="C143" s="96"/>
      <c r="D143" s="17"/>
      <c r="F143" s="32"/>
    </row>
    <row r="144" customFormat="false" ht="14.25" hidden="false" customHeight="true" outlineLevel="0" collapsed="false">
      <c r="A144" s="94"/>
      <c r="B144" s="95"/>
      <c r="C144" s="96"/>
      <c r="D144" s="17"/>
      <c r="F144" s="32"/>
    </row>
    <row r="145" customFormat="false" ht="14.25" hidden="false" customHeight="true" outlineLevel="0" collapsed="false">
      <c r="A145" s="94"/>
      <c r="B145" s="95"/>
      <c r="C145" s="96"/>
      <c r="D145" s="17"/>
      <c r="F145" s="32"/>
    </row>
    <row r="146" customFormat="false" ht="14.25" hidden="false" customHeight="true" outlineLevel="0" collapsed="false">
      <c r="A146" s="94"/>
      <c r="B146" s="95"/>
      <c r="C146" s="96"/>
      <c r="D146" s="17"/>
      <c r="F146" s="32"/>
    </row>
    <row r="147" customFormat="false" ht="14.25" hidden="false" customHeight="true" outlineLevel="0" collapsed="false">
      <c r="A147" s="94"/>
      <c r="B147" s="95"/>
      <c r="C147" s="96"/>
      <c r="D147" s="17"/>
      <c r="F147" s="32"/>
    </row>
    <row r="148" customFormat="false" ht="14.25" hidden="false" customHeight="true" outlineLevel="0" collapsed="false">
      <c r="A148" s="94"/>
      <c r="B148" s="95"/>
      <c r="C148" s="96"/>
      <c r="D148" s="17"/>
      <c r="F148" s="32"/>
    </row>
    <row r="149" customFormat="false" ht="14.25" hidden="false" customHeight="true" outlineLevel="0" collapsed="false">
      <c r="A149" s="94"/>
      <c r="B149" s="95"/>
      <c r="C149" s="96"/>
      <c r="D149" s="17"/>
      <c r="F149" s="32"/>
    </row>
    <row r="150" customFormat="false" ht="14.25" hidden="false" customHeight="true" outlineLevel="0" collapsed="false">
      <c r="A150" s="94"/>
      <c r="B150" s="95"/>
      <c r="C150" s="96"/>
      <c r="D150" s="17"/>
      <c r="F150" s="32"/>
    </row>
    <row r="151" customFormat="false" ht="14.25" hidden="false" customHeight="true" outlineLevel="0" collapsed="false">
      <c r="A151" s="94"/>
      <c r="B151" s="95"/>
      <c r="C151" s="96"/>
      <c r="D151" s="17"/>
      <c r="F151" s="32"/>
    </row>
    <row r="152" customFormat="false" ht="14.25" hidden="false" customHeight="true" outlineLevel="0" collapsed="false">
      <c r="A152" s="94"/>
      <c r="B152" s="95"/>
      <c r="C152" s="96"/>
      <c r="D152" s="17"/>
      <c r="F152" s="32"/>
    </row>
    <row r="153" customFormat="false" ht="14.25" hidden="false" customHeight="true" outlineLevel="0" collapsed="false">
      <c r="A153" s="94"/>
      <c r="B153" s="95"/>
      <c r="C153" s="96"/>
      <c r="D153" s="17"/>
      <c r="F153" s="32"/>
    </row>
    <row r="154" customFormat="false" ht="14.25" hidden="false" customHeight="true" outlineLevel="0" collapsed="false">
      <c r="A154" s="94"/>
      <c r="B154" s="95"/>
      <c r="C154" s="96"/>
      <c r="D154" s="17"/>
      <c r="F154" s="32"/>
    </row>
    <row r="155" customFormat="false" ht="14.25" hidden="false" customHeight="true" outlineLevel="0" collapsed="false">
      <c r="A155" s="94"/>
      <c r="B155" s="95"/>
      <c r="C155" s="96"/>
      <c r="D155" s="17"/>
      <c r="F155" s="32"/>
    </row>
    <row r="156" customFormat="false" ht="14.25" hidden="false" customHeight="true" outlineLevel="0" collapsed="false">
      <c r="A156" s="94"/>
      <c r="B156" s="95"/>
      <c r="C156" s="96"/>
      <c r="D156" s="17"/>
      <c r="F156" s="32"/>
    </row>
    <row r="157" customFormat="false" ht="14.25" hidden="false" customHeight="true" outlineLevel="0" collapsed="false">
      <c r="A157" s="94"/>
      <c r="B157" s="95"/>
      <c r="C157" s="96"/>
      <c r="D157" s="17"/>
      <c r="F157" s="32"/>
    </row>
    <row r="158" customFormat="false" ht="14.25" hidden="false" customHeight="true" outlineLevel="0" collapsed="false">
      <c r="A158" s="94"/>
      <c r="B158" s="95"/>
      <c r="C158" s="96"/>
      <c r="D158" s="17"/>
      <c r="F158" s="32"/>
    </row>
    <row r="159" customFormat="false" ht="14.25" hidden="false" customHeight="true" outlineLevel="0" collapsed="false">
      <c r="A159" s="94"/>
      <c r="B159" s="95"/>
      <c r="C159" s="96"/>
      <c r="D159" s="17"/>
      <c r="F159" s="32"/>
    </row>
    <row r="160" customFormat="false" ht="14.25" hidden="false" customHeight="true" outlineLevel="0" collapsed="false">
      <c r="A160" s="94"/>
      <c r="B160" s="95"/>
      <c r="C160" s="96"/>
      <c r="D160" s="17"/>
    </row>
    <row r="161" customFormat="false" ht="14.25" hidden="false" customHeight="true" outlineLevel="0" collapsed="false">
      <c r="A161" s="94"/>
      <c r="B161" s="95"/>
      <c r="C161" s="96"/>
      <c r="D161" s="17"/>
    </row>
    <row r="162" customFormat="false" ht="14.25" hidden="false" customHeight="true" outlineLevel="0" collapsed="false">
      <c r="A162" s="94"/>
      <c r="B162" s="95"/>
      <c r="C162" s="96"/>
      <c r="D162" s="17"/>
    </row>
    <row r="163" customFormat="false" ht="14.25" hidden="false" customHeight="true" outlineLevel="0" collapsed="false">
      <c r="A163" s="94"/>
      <c r="B163" s="95"/>
      <c r="C163" s="96"/>
      <c r="D163" s="17"/>
    </row>
    <row r="164" customFormat="false" ht="14.25" hidden="false" customHeight="true" outlineLevel="0" collapsed="false">
      <c r="A164" s="94"/>
      <c r="B164" s="95"/>
      <c r="C164" s="96"/>
      <c r="D164" s="17"/>
    </row>
    <row r="165" customFormat="false" ht="14.25" hidden="false" customHeight="true" outlineLevel="0" collapsed="false">
      <c r="A165" s="94"/>
      <c r="B165" s="95"/>
      <c r="C165" s="96"/>
      <c r="D165" s="17"/>
    </row>
    <row r="166" customFormat="false" ht="14.25" hidden="false" customHeight="true" outlineLevel="0" collapsed="false">
      <c r="A166" s="94"/>
      <c r="B166" s="95"/>
      <c r="C166" s="96"/>
      <c r="D166" s="17"/>
    </row>
    <row r="167" customFormat="false" ht="14.25" hidden="false" customHeight="true" outlineLevel="0" collapsed="false">
      <c r="A167" s="94"/>
      <c r="B167" s="95"/>
      <c r="C167" s="96"/>
      <c r="D167" s="17"/>
    </row>
    <row r="168" customFormat="false" ht="14.25" hidden="false" customHeight="true" outlineLevel="0" collapsed="false">
      <c r="A168" s="94"/>
      <c r="B168" s="95"/>
      <c r="C168" s="96"/>
      <c r="D168" s="17"/>
    </row>
    <row r="169" customFormat="false" ht="14.25" hidden="false" customHeight="true" outlineLevel="0" collapsed="false">
      <c r="A169" s="94"/>
      <c r="B169" s="95"/>
      <c r="C169" s="96"/>
      <c r="D169" s="17"/>
    </row>
    <row r="170" customFormat="false" ht="14.25" hidden="false" customHeight="true" outlineLevel="0" collapsed="false">
      <c r="A170" s="94"/>
      <c r="B170" s="95"/>
      <c r="C170" s="96"/>
      <c r="D170" s="17"/>
    </row>
    <row r="171" customFormat="false" ht="14.25" hidden="false" customHeight="true" outlineLevel="0" collapsed="false">
      <c r="A171" s="94"/>
      <c r="B171" s="95"/>
      <c r="C171" s="96"/>
      <c r="D171" s="17"/>
    </row>
    <row r="172" customFormat="false" ht="14.25" hidden="false" customHeight="true" outlineLevel="0" collapsed="false">
      <c r="A172" s="94"/>
      <c r="B172" s="95"/>
      <c r="C172" s="96"/>
      <c r="D172" s="17"/>
    </row>
    <row r="173" customFormat="false" ht="14.25" hidden="false" customHeight="true" outlineLevel="0" collapsed="false">
      <c r="A173" s="94"/>
      <c r="B173" s="95"/>
      <c r="C173" s="96"/>
      <c r="D173" s="17"/>
    </row>
    <row r="174" customFormat="false" ht="14.25" hidden="false" customHeight="true" outlineLevel="0" collapsed="false">
      <c r="A174" s="94"/>
      <c r="B174" s="95"/>
      <c r="C174" s="96"/>
      <c r="D174" s="17"/>
    </row>
    <row r="175" customFormat="false" ht="14.25" hidden="false" customHeight="true" outlineLevel="0" collapsed="false">
      <c r="A175" s="94"/>
      <c r="B175" s="95"/>
      <c r="C175" s="96"/>
      <c r="D175" s="17"/>
    </row>
    <row r="176" customFormat="false" ht="14.25" hidden="false" customHeight="true" outlineLevel="0" collapsed="false">
      <c r="A176" s="94"/>
      <c r="B176" s="95"/>
      <c r="C176" s="96"/>
      <c r="D176" s="17"/>
    </row>
    <row r="177" customFormat="false" ht="14.25" hidden="false" customHeight="true" outlineLevel="0" collapsed="false">
      <c r="A177" s="94"/>
      <c r="B177" s="95"/>
      <c r="C177" s="96"/>
      <c r="D177" s="17"/>
    </row>
    <row r="178" customFormat="false" ht="14.25" hidden="false" customHeight="true" outlineLevel="0" collapsed="false">
      <c r="A178" s="94"/>
      <c r="B178" s="95"/>
      <c r="C178" s="96"/>
      <c r="D178" s="17"/>
    </row>
    <row r="179" customFormat="false" ht="14.25" hidden="false" customHeight="true" outlineLevel="0" collapsed="false">
      <c r="A179" s="94"/>
      <c r="B179" s="95"/>
      <c r="C179" s="96"/>
      <c r="D179" s="17"/>
    </row>
    <row r="180" customFormat="false" ht="14.25" hidden="false" customHeight="true" outlineLevel="0" collapsed="false">
      <c r="A180" s="94"/>
      <c r="B180" s="95"/>
      <c r="C180" s="96"/>
      <c r="D180" s="17"/>
    </row>
    <row r="181" customFormat="false" ht="14.25" hidden="false" customHeight="true" outlineLevel="0" collapsed="false">
      <c r="A181" s="94"/>
      <c r="B181" s="95"/>
      <c r="C181" s="96"/>
      <c r="D181" s="17"/>
    </row>
    <row r="182" customFormat="false" ht="14.25" hidden="false" customHeight="true" outlineLevel="0" collapsed="false">
      <c r="A182" s="94"/>
      <c r="B182" s="95"/>
      <c r="C182" s="96"/>
      <c r="D182" s="17"/>
    </row>
    <row r="183" customFormat="false" ht="14.25" hidden="false" customHeight="true" outlineLevel="0" collapsed="false">
      <c r="A183" s="94"/>
      <c r="B183" s="95"/>
      <c r="C183" s="96"/>
      <c r="D183" s="17"/>
    </row>
    <row r="184" customFormat="false" ht="14.25" hidden="false" customHeight="true" outlineLevel="0" collapsed="false">
      <c r="A184" s="94"/>
      <c r="B184" s="95"/>
      <c r="C184" s="96"/>
      <c r="D184" s="17"/>
    </row>
    <row r="185" customFormat="false" ht="14.25" hidden="false" customHeight="true" outlineLevel="0" collapsed="false">
      <c r="A185" s="94"/>
      <c r="B185" s="95"/>
      <c r="C185" s="96"/>
      <c r="D185" s="17"/>
    </row>
    <row r="186" customFormat="false" ht="14.25" hidden="false" customHeight="true" outlineLevel="0" collapsed="false">
      <c r="A186" s="94"/>
      <c r="B186" s="95"/>
      <c r="C186" s="96"/>
      <c r="D186" s="17"/>
    </row>
    <row r="187" customFormat="false" ht="14.25" hidden="false" customHeight="true" outlineLevel="0" collapsed="false">
      <c r="A187" s="94"/>
      <c r="B187" s="95"/>
      <c r="C187" s="96"/>
      <c r="D187" s="17"/>
    </row>
    <row r="188" customFormat="false" ht="14.25" hidden="false" customHeight="true" outlineLevel="0" collapsed="false">
      <c r="A188" s="94"/>
      <c r="B188" s="95"/>
      <c r="C188" s="96"/>
      <c r="D188" s="17"/>
    </row>
    <row r="189" customFormat="false" ht="14.25" hidden="false" customHeight="true" outlineLevel="0" collapsed="false">
      <c r="A189" s="94"/>
      <c r="B189" s="95"/>
      <c r="C189" s="96"/>
      <c r="D189" s="17"/>
    </row>
    <row r="190" customFormat="false" ht="14.25" hidden="false" customHeight="true" outlineLevel="0" collapsed="false">
      <c r="A190" s="94"/>
      <c r="B190" s="95"/>
      <c r="C190" s="96"/>
      <c r="D190" s="17"/>
    </row>
    <row r="191" customFormat="false" ht="14.25" hidden="false" customHeight="true" outlineLevel="0" collapsed="false">
      <c r="A191" s="94"/>
      <c r="B191" s="95"/>
      <c r="C191" s="96"/>
      <c r="D191" s="17"/>
    </row>
    <row r="192" customFormat="false" ht="14.25" hidden="false" customHeight="true" outlineLevel="0" collapsed="false">
      <c r="A192" s="94"/>
      <c r="B192" s="95"/>
      <c r="C192" s="96"/>
      <c r="D192" s="17"/>
    </row>
    <row r="193" customFormat="false" ht="14.25" hidden="false" customHeight="true" outlineLevel="0" collapsed="false">
      <c r="A193" s="94"/>
      <c r="B193" s="95"/>
      <c r="C193" s="96"/>
      <c r="D193" s="17"/>
    </row>
    <row r="194" customFormat="false" ht="14.25" hidden="false" customHeight="true" outlineLevel="0" collapsed="false">
      <c r="A194" s="94"/>
      <c r="B194" s="95"/>
      <c r="C194" s="96"/>
      <c r="D194" s="17"/>
    </row>
    <row r="195" customFormat="false" ht="14.25" hidden="false" customHeight="true" outlineLevel="0" collapsed="false">
      <c r="A195" s="94"/>
      <c r="B195" s="95"/>
      <c r="C195" s="96"/>
      <c r="D195" s="17"/>
    </row>
    <row r="196" customFormat="false" ht="14.25" hidden="false" customHeight="true" outlineLevel="0" collapsed="false">
      <c r="A196" s="94"/>
      <c r="B196" s="95"/>
      <c r="C196" s="96"/>
      <c r="D196" s="17"/>
    </row>
    <row r="197" customFormat="false" ht="14.25" hidden="false" customHeight="true" outlineLevel="0" collapsed="false">
      <c r="A197" s="94"/>
      <c r="B197" s="95"/>
      <c r="C197" s="96"/>
      <c r="D197" s="17"/>
    </row>
    <row r="198" customFormat="false" ht="14.25" hidden="false" customHeight="true" outlineLevel="0" collapsed="false">
      <c r="A198" s="94"/>
      <c r="B198" s="95"/>
      <c r="C198" s="96"/>
      <c r="D198" s="17"/>
    </row>
    <row r="199" customFormat="false" ht="14.25" hidden="false" customHeight="true" outlineLevel="0" collapsed="false">
      <c r="A199" s="94"/>
      <c r="B199" s="95"/>
      <c r="C199" s="96"/>
      <c r="D199" s="17"/>
    </row>
    <row r="200" customFormat="false" ht="14.25" hidden="false" customHeight="true" outlineLevel="0" collapsed="false">
      <c r="A200" s="94"/>
      <c r="B200" s="95"/>
      <c r="C200" s="96"/>
    </row>
    <row r="201" customFormat="false" ht="14.25" hidden="false" customHeight="true" outlineLevel="0" collapsed="false">
      <c r="A201" s="94"/>
      <c r="B201" s="95"/>
      <c r="C201" s="96"/>
    </row>
    <row r="202" customFormat="false" ht="14.25" hidden="false" customHeight="true" outlineLevel="0" collapsed="false">
      <c r="A202" s="94"/>
      <c r="B202" s="95"/>
      <c r="C202" s="96"/>
    </row>
    <row r="203" customFormat="false" ht="14.25" hidden="false" customHeight="true" outlineLevel="0" collapsed="false">
      <c r="A203" s="94"/>
      <c r="B203" s="95"/>
      <c r="C203" s="96"/>
      <c r="D203" s="17"/>
    </row>
    <row r="204" customFormat="false" ht="14.25" hidden="false" customHeight="true" outlineLevel="0" collapsed="false">
      <c r="A204" s="94"/>
      <c r="B204" s="95"/>
      <c r="C204" s="96"/>
    </row>
    <row r="205" customFormat="false" ht="14.25" hidden="false" customHeight="true" outlineLevel="0" collapsed="false">
      <c r="A205" s="94"/>
      <c r="B205" s="95"/>
      <c r="C205" s="96"/>
    </row>
    <row r="206" customFormat="false" ht="14.25" hidden="false" customHeight="true" outlineLevel="0" collapsed="false">
      <c r="A206" s="94"/>
      <c r="B206" s="95"/>
      <c r="C206" s="96"/>
    </row>
    <row r="207" customFormat="false" ht="14.25" hidden="false" customHeight="true" outlineLevel="0" collapsed="false">
      <c r="A207" s="94"/>
      <c r="B207" s="95"/>
      <c r="C207" s="96"/>
    </row>
    <row r="208" customFormat="false" ht="14.25" hidden="false" customHeight="true" outlineLevel="0" collapsed="false">
      <c r="A208" s="94"/>
      <c r="B208" s="95"/>
      <c r="C208" s="96"/>
    </row>
    <row r="209" customFormat="false" ht="14.25" hidden="false" customHeight="true" outlineLevel="0" collapsed="false">
      <c r="A209" s="94"/>
      <c r="B209" s="95"/>
      <c r="C209" s="96"/>
    </row>
    <row r="210" customFormat="false" ht="14.25" hidden="false" customHeight="true" outlineLevel="0" collapsed="false">
      <c r="A210" s="94"/>
      <c r="B210" s="95"/>
      <c r="C210" s="96"/>
    </row>
    <row r="211" customFormat="false" ht="14.25" hidden="false" customHeight="true" outlineLevel="0" collapsed="false">
      <c r="A211" s="94"/>
      <c r="B211" s="95"/>
      <c r="C211" s="96"/>
    </row>
    <row r="212" customFormat="false" ht="14.25" hidden="false" customHeight="true" outlineLevel="0" collapsed="false">
      <c r="A212" s="94"/>
      <c r="B212" s="95"/>
      <c r="C212" s="96"/>
    </row>
    <row r="213" customFormat="false" ht="14.25" hidden="false" customHeight="true" outlineLevel="0" collapsed="false">
      <c r="A213" s="94"/>
      <c r="B213" s="95"/>
      <c r="C213" s="96"/>
    </row>
    <row r="214" customFormat="false" ht="14.25" hidden="false" customHeight="true" outlineLevel="0" collapsed="false">
      <c r="A214" s="94"/>
      <c r="B214" s="95"/>
      <c r="C214" s="96"/>
    </row>
    <row r="215" customFormat="false" ht="14.25" hidden="false" customHeight="true" outlineLevel="0" collapsed="false">
      <c r="A215" s="94"/>
      <c r="B215" s="95"/>
      <c r="C215" s="96"/>
    </row>
    <row r="216" customFormat="false" ht="14.25" hidden="false" customHeight="true" outlineLevel="0" collapsed="false">
      <c r="A216" s="94"/>
      <c r="B216" s="95"/>
      <c r="C216" s="96"/>
    </row>
    <row r="217" customFormat="false" ht="14.25" hidden="false" customHeight="true" outlineLevel="0" collapsed="false">
      <c r="A217" s="94"/>
      <c r="B217" s="95"/>
      <c r="C217" s="96"/>
    </row>
    <row r="218" customFormat="false" ht="14.25" hidden="false" customHeight="true" outlineLevel="0" collapsed="false">
      <c r="A218" s="94"/>
      <c r="B218" s="95"/>
      <c r="C218" s="96"/>
    </row>
    <row r="219" customFormat="false" ht="14.25" hidden="false" customHeight="true" outlineLevel="0" collapsed="false">
      <c r="A219" s="94"/>
      <c r="B219" s="95"/>
      <c r="C219" s="96"/>
    </row>
    <row r="220" customFormat="false" ht="14.25" hidden="false" customHeight="true" outlineLevel="0" collapsed="false">
      <c r="A220" s="94"/>
      <c r="B220" s="95"/>
      <c r="C220" s="96"/>
      <c r="D220" s="17"/>
    </row>
    <row r="221" customFormat="false" ht="14.25" hidden="false" customHeight="true" outlineLevel="0" collapsed="false">
      <c r="A221" s="94"/>
      <c r="B221" s="95"/>
      <c r="C221" s="96"/>
    </row>
    <row r="222" customFormat="false" ht="14.25" hidden="false" customHeight="true" outlineLevel="0" collapsed="false">
      <c r="A222" s="94"/>
      <c r="B222" s="95"/>
      <c r="C222" s="96"/>
    </row>
    <row r="223" customFormat="false" ht="14.25" hidden="false" customHeight="true" outlineLevel="0" collapsed="false">
      <c r="A223" s="94"/>
      <c r="B223" s="95"/>
      <c r="C223" s="96"/>
    </row>
    <row r="224" customFormat="false" ht="14.25" hidden="false" customHeight="true" outlineLevel="0" collapsed="false">
      <c r="A224" s="94"/>
      <c r="B224" s="95"/>
      <c r="C224" s="96"/>
    </row>
    <row r="225" customFormat="false" ht="14.25" hidden="false" customHeight="true" outlineLevel="0" collapsed="false">
      <c r="A225" s="94"/>
      <c r="B225" s="95"/>
      <c r="C225" s="96"/>
    </row>
    <row r="226" customFormat="false" ht="14.25" hidden="false" customHeight="true" outlineLevel="0" collapsed="false">
      <c r="A226" s="94"/>
      <c r="B226" s="95"/>
      <c r="C226" s="96"/>
    </row>
    <row r="227" customFormat="false" ht="14.25" hidden="false" customHeight="true" outlineLevel="0" collapsed="false">
      <c r="A227" s="94"/>
      <c r="B227" s="95"/>
      <c r="C227" s="96"/>
    </row>
    <row r="228" customFormat="false" ht="14.25" hidden="false" customHeight="true" outlineLevel="0" collapsed="false">
      <c r="A228" s="94"/>
      <c r="B228" s="95"/>
      <c r="C228" s="96"/>
    </row>
    <row r="229" customFormat="false" ht="14.25" hidden="false" customHeight="true" outlineLevel="0" collapsed="false">
      <c r="A229" s="94"/>
      <c r="B229" s="95"/>
      <c r="C229" s="96"/>
    </row>
    <row r="230" customFormat="false" ht="14.25" hidden="false" customHeight="true" outlineLevel="0" collapsed="false">
      <c r="A230" s="94"/>
      <c r="B230" s="95"/>
      <c r="C230" s="96"/>
    </row>
    <row r="231" customFormat="false" ht="14.25" hidden="false" customHeight="true" outlineLevel="0" collapsed="false">
      <c r="A231" s="94"/>
      <c r="B231" s="95"/>
      <c r="C231" s="96"/>
    </row>
    <row r="232" customFormat="false" ht="14.25" hidden="false" customHeight="true" outlineLevel="0" collapsed="false">
      <c r="A232" s="94"/>
      <c r="B232" s="95"/>
      <c r="C232" s="96"/>
    </row>
    <row r="233" customFormat="false" ht="14.25" hidden="false" customHeight="true" outlineLevel="0" collapsed="false">
      <c r="A233" s="94"/>
      <c r="B233" s="95"/>
      <c r="C233" s="96"/>
    </row>
    <row r="234" customFormat="false" ht="14.25" hidden="false" customHeight="true" outlineLevel="0" collapsed="false">
      <c r="A234" s="94"/>
      <c r="B234" s="95"/>
      <c r="C234" s="96"/>
    </row>
    <row r="235" customFormat="false" ht="14.25" hidden="false" customHeight="true" outlineLevel="0" collapsed="false">
      <c r="A235" s="94"/>
      <c r="B235" s="95"/>
      <c r="C235" s="96"/>
    </row>
    <row r="236" customFormat="false" ht="14.25" hidden="false" customHeight="true" outlineLevel="0" collapsed="false">
      <c r="A236" s="94"/>
      <c r="B236" s="95"/>
      <c r="C236" s="96"/>
    </row>
    <row r="237" customFormat="false" ht="14.25" hidden="false" customHeight="true" outlineLevel="0" collapsed="false">
      <c r="A237" s="94"/>
      <c r="B237" s="95"/>
      <c r="C237" s="96"/>
    </row>
    <row r="238" customFormat="false" ht="14.25" hidden="false" customHeight="true" outlineLevel="0" collapsed="false">
      <c r="A238" s="94"/>
      <c r="B238" s="95"/>
      <c r="C238" s="96"/>
    </row>
    <row r="239" customFormat="false" ht="14.25" hidden="false" customHeight="true" outlineLevel="0" collapsed="false">
      <c r="A239" s="94"/>
      <c r="B239" s="95"/>
      <c r="C239" s="96"/>
    </row>
    <row r="240" customFormat="false" ht="14.25" hidden="false" customHeight="true" outlineLevel="0" collapsed="false">
      <c r="A240" s="94"/>
      <c r="B240" s="95"/>
      <c r="C240" s="96"/>
    </row>
    <row r="241" customFormat="false" ht="14.25" hidden="false" customHeight="true" outlineLevel="0" collapsed="false">
      <c r="A241" s="94"/>
      <c r="B241" s="95"/>
      <c r="C241" s="96"/>
    </row>
    <row r="242" customFormat="false" ht="14.25" hidden="false" customHeight="true" outlineLevel="0" collapsed="false">
      <c r="A242" s="94"/>
      <c r="B242" s="95"/>
      <c r="C242" s="96"/>
    </row>
    <row r="243" customFormat="false" ht="14.25" hidden="false" customHeight="true" outlineLevel="0" collapsed="false">
      <c r="A243" s="94"/>
      <c r="B243" s="95"/>
      <c r="C243" s="96"/>
    </row>
    <row r="244" customFormat="false" ht="14.25" hidden="false" customHeight="true" outlineLevel="0" collapsed="false">
      <c r="A244" s="94"/>
      <c r="B244" s="95"/>
      <c r="C244" s="96"/>
    </row>
    <row r="245" customFormat="false" ht="14.25" hidden="false" customHeight="true" outlineLevel="0" collapsed="false">
      <c r="A245" s="94"/>
      <c r="B245" s="95"/>
      <c r="C245" s="96"/>
    </row>
    <row r="246" customFormat="false" ht="14.25" hidden="false" customHeight="true" outlineLevel="0" collapsed="false">
      <c r="A246" s="94"/>
      <c r="B246" s="95"/>
      <c r="C246" s="96"/>
      <c r="D246" s="6"/>
    </row>
    <row r="247" customFormat="false" ht="14.25" hidden="false" customHeight="true" outlineLevel="0" collapsed="false">
      <c r="A247" s="94"/>
      <c r="B247" s="95"/>
      <c r="C247" s="96"/>
    </row>
    <row r="248" customFormat="false" ht="14.25" hidden="false" customHeight="true" outlineLevel="0" collapsed="false">
      <c r="A248" s="94"/>
      <c r="B248" s="95"/>
      <c r="C248" s="96"/>
      <c r="D248" s="17"/>
    </row>
    <row r="249" customFormat="false" ht="14.25" hidden="false" customHeight="true" outlineLevel="0" collapsed="false">
      <c r="A249" s="94"/>
      <c r="B249" s="95"/>
      <c r="C249" s="96"/>
    </row>
    <row r="250" customFormat="false" ht="14.25" hidden="false" customHeight="true" outlineLevel="0" collapsed="false">
      <c r="A250" s="94"/>
      <c r="B250" s="95"/>
      <c r="C250" s="96"/>
    </row>
    <row r="251" customFormat="false" ht="14.25" hidden="false" customHeight="true" outlineLevel="0" collapsed="false">
      <c r="A251" s="94"/>
      <c r="B251" s="95"/>
      <c r="C251" s="96"/>
    </row>
    <row r="252" customFormat="false" ht="14.25" hidden="false" customHeight="true" outlineLevel="0" collapsed="false">
      <c r="A252" s="94"/>
      <c r="B252" s="95"/>
      <c r="C252" s="96"/>
    </row>
    <row r="253" customFormat="false" ht="14.25" hidden="false" customHeight="true" outlineLevel="0" collapsed="false">
      <c r="A253" s="94"/>
      <c r="B253" s="95"/>
      <c r="C253" s="96"/>
    </row>
    <row r="254" customFormat="false" ht="14.25" hidden="false" customHeight="true" outlineLevel="0" collapsed="false">
      <c r="A254" s="94"/>
      <c r="B254" s="95"/>
      <c r="C254" s="96"/>
    </row>
    <row r="255" customFormat="false" ht="14.25" hidden="false" customHeight="true" outlineLevel="0" collapsed="false">
      <c r="A255" s="94"/>
      <c r="B255" s="95"/>
      <c r="C255" s="96"/>
    </row>
    <row r="256" customFormat="false" ht="14.25" hidden="false" customHeight="true" outlineLevel="0" collapsed="false">
      <c r="A256" s="94"/>
      <c r="B256" s="95"/>
      <c r="C256" s="96"/>
    </row>
    <row r="257" customFormat="false" ht="14.25" hidden="false" customHeight="true" outlineLevel="0" collapsed="false">
      <c r="A257" s="94"/>
      <c r="B257" s="95"/>
      <c r="C257" s="96"/>
    </row>
    <row r="258" customFormat="false" ht="14.25" hidden="false" customHeight="true" outlineLevel="0" collapsed="false">
      <c r="A258" s="94"/>
      <c r="B258" s="95"/>
      <c r="C258" s="96"/>
    </row>
    <row r="259" customFormat="false" ht="14.25" hidden="false" customHeight="true" outlineLevel="0" collapsed="false">
      <c r="A259" s="94"/>
      <c r="B259" s="95"/>
      <c r="C259" s="96"/>
    </row>
    <row r="260" customFormat="false" ht="14.25" hidden="false" customHeight="true" outlineLevel="0" collapsed="false">
      <c r="A260" s="94"/>
      <c r="B260" s="95"/>
      <c r="C260" s="96"/>
    </row>
    <row r="261" customFormat="false" ht="14.25" hidden="false" customHeight="true" outlineLevel="0" collapsed="false">
      <c r="A261" s="94"/>
      <c r="B261" s="95"/>
      <c r="C261" s="96"/>
    </row>
    <row r="262" customFormat="false" ht="14.25" hidden="false" customHeight="true" outlineLevel="0" collapsed="false">
      <c r="A262" s="94"/>
      <c r="B262" s="95"/>
      <c r="C262" s="96"/>
    </row>
    <row r="263" customFormat="false" ht="14.25" hidden="false" customHeight="true" outlineLevel="0" collapsed="false">
      <c r="A263" s="94"/>
      <c r="B263" s="95"/>
      <c r="C263" s="96"/>
    </row>
    <row r="264" customFormat="false" ht="14.25" hidden="false" customHeight="true" outlineLevel="0" collapsed="false">
      <c r="A264" s="94"/>
      <c r="B264" s="95"/>
      <c r="C264" s="96"/>
    </row>
    <row r="265" customFormat="false" ht="14.25" hidden="false" customHeight="true" outlineLevel="0" collapsed="false">
      <c r="A265" s="94"/>
      <c r="B265" s="95"/>
      <c r="C265" s="96"/>
    </row>
    <row r="266" customFormat="false" ht="14.25" hidden="false" customHeight="true" outlineLevel="0" collapsed="false">
      <c r="A266" s="94"/>
      <c r="B266" s="95"/>
      <c r="C266" s="96"/>
    </row>
    <row r="267" customFormat="false" ht="14.25" hidden="false" customHeight="true" outlineLevel="0" collapsed="false">
      <c r="A267" s="94"/>
      <c r="B267" s="95"/>
      <c r="C267" s="96"/>
    </row>
    <row r="268" customFormat="false" ht="14.25" hidden="false" customHeight="true" outlineLevel="0" collapsed="false">
      <c r="A268" s="94"/>
      <c r="B268" s="95"/>
      <c r="C268" s="96"/>
    </row>
    <row r="269" customFormat="false" ht="14.25" hidden="false" customHeight="true" outlineLevel="0" collapsed="false">
      <c r="A269" s="94"/>
      <c r="B269" s="95"/>
      <c r="C269" s="96"/>
    </row>
    <row r="270" customFormat="false" ht="14.25" hidden="false" customHeight="true" outlineLevel="0" collapsed="false">
      <c r="A270" s="94"/>
      <c r="B270" s="95"/>
      <c r="C270" s="96"/>
    </row>
    <row r="271" customFormat="false" ht="14.25" hidden="false" customHeight="true" outlineLevel="0" collapsed="false">
      <c r="A271" s="94"/>
      <c r="B271" s="95"/>
      <c r="C271" s="96"/>
    </row>
    <row r="272" customFormat="false" ht="14.25" hidden="false" customHeight="true" outlineLevel="0" collapsed="false">
      <c r="A272" s="94"/>
      <c r="B272" s="95"/>
      <c r="C272" s="96"/>
    </row>
    <row r="273" customFormat="false" ht="14.25" hidden="false" customHeight="true" outlineLevel="0" collapsed="false">
      <c r="A273" s="94"/>
      <c r="B273" s="95"/>
      <c r="C273" s="96"/>
    </row>
    <row r="274" customFormat="false" ht="14.25" hidden="false" customHeight="true" outlineLevel="0" collapsed="false">
      <c r="A274" s="94"/>
      <c r="B274" s="95"/>
      <c r="C274" s="96"/>
    </row>
    <row r="275" customFormat="false" ht="14.25" hidden="false" customHeight="true" outlineLevel="0" collapsed="false">
      <c r="A275" s="94"/>
      <c r="B275" s="95"/>
      <c r="C275" s="96"/>
    </row>
    <row r="276" customFormat="false" ht="14.25" hidden="false" customHeight="true" outlineLevel="0" collapsed="false">
      <c r="A276" s="94"/>
      <c r="B276" s="95"/>
      <c r="C276" s="96"/>
    </row>
    <row r="277" customFormat="false" ht="14.25" hidden="false" customHeight="true" outlineLevel="0" collapsed="false">
      <c r="A277" s="94"/>
      <c r="B277" s="95"/>
      <c r="C277" s="96"/>
    </row>
    <row r="278" customFormat="false" ht="14.25" hidden="false" customHeight="true" outlineLevel="0" collapsed="false">
      <c r="A278" s="94"/>
      <c r="B278" s="95"/>
      <c r="C278" s="96"/>
    </row>
    <row r="279" customFormat="false" ht="14.25" hidden="false" customHeight="true" outlineLevel="0" collapsed="false">
      <c r="A279" s="94"/>
      <c r="B279" s="95"/>
      <c r="C279" s="96"/>
    </row>
    <row r="280" customFormat="false" ht="14.25" hidden="false" customHeight="true" outlineLevel="0" collapsed="false">
      <c r="A280" s="94"/>
      <c r="B280" s="95"/>
      <c r="C280" s="96"/>
    </row>
    <row r="281" customFormat="false" ht="14.25" hidden="false" customHeight="true" outlineLevel="0" collapsed="false">
      <c r="A281" s="94"/>
      <c r="B281" s="95"/>
      <c r="C281" s="96"/>
    </row>
    <row r="282" customFormat="false" ht="14.25" hidden="false" customHeight="true" outlineLevel="0" collapsed="false">
      <c r="A282" s="94"/>
      <c r="B282" s="95"/>
      <c r="C282" s="96"/>
    </row>
    <row r="283" customFormat="false" ht="14.25" hidden="false" customHeight="true" outlineLevel="0" collapsed="false">
      <c r="A283" s="94"/>
      <c r="B283" s="95"/>
      <c r="C283" s="96"/>
    </row>
    <row r="284" customFormat="false" ht="14.25" hidden="false" customHeight="true" outlineLevel="0" collapsed="false">
      <c r="A284" s="94"/>
      <c r="B284" s="95"/>
      <c r="C284" s="96"/>
    </row>
    <row r="285" customFormat="false" ht="14.25" hidden="false" customHeight="true" outlineLevel="0" collapsed="false">
      <c r="A285" s="94"/>
      <c r="B285" s="95"/>
      <c r="C285" s="96"/>
    </row>
    <row r="286" customFormat="false" ht="14.25" hidden="false" customHeight="true" outlineLevel="0" collapsed="false">
      <c r="A286" s="94"/>
      <c r="B286" s="95"/>
      <c r="C286" s="96"/>
    </row>
    <row r="287" customFormat="false" ht="14.25" hidden="false" customHeight="true" outlineLevel="0" collapsed="false">
      <c r="A287" s="94"/>
      <c r="B287" s="95"/>
      <c r="C287" s="96"/>
    </row>
    <row r="288" customFormat="false" ht="14.25" hidden="false" customHeight="true" outlineLevel="0" collapsed="false">
      <c r="A288" s="94"/>
      <c r="B288" s="95"/>
      <c r="C288" s="96"/>
    </row>
    <row r="289" customFormat="false" ht="14.25" hidden="false" customHeight="true" outlineLevel="0" collapsed="false">
      <c r="A289" s="94"/>
      <c r="B289" s="95"/>
      <c r="C289" s="96"/>
    </row>
    <row r="290" customFormat="false" ht="14.25" hidden="false" customHeight="true" outlineLevel="0" collapsed="false">
      <c r="A290" s="94"/>
      <c r="B290" s="95"/>
      <c r="C290" s="96"/>
    </row>
    <row r="291" customFormat="false" ht="14.25" hidden="false" customHeight="true" outlineLevel="0" collapsed="false">
      <c r="A291" s="94"/>
      <c r="B291" s="95"/>
      <c r="C291" s="96"/>
    </row>
    <row r="292" customFormat="false" ht="14.25" hidden="false" customHeight="true" outlineLevel="0" collapsed="false">
      <c r="A292" s="94"/>
      <c r="B292" s="95"/>
      <c r="C292" s="96"/>
    </row>
    <row r="293" customFormat="false" ht="14.25" hidden="false" customHeight="true" outlineLevel="0" collapsed="false">
      <c r="A293" s="94"/>
      <c r="B293" s="95"/>
      <c r="C293" s="96"/>
    </row>
    <row r="294" customFormat="false" ht="14.25" hidden="false" customHeight="true" outlineLevel="0" collapsed="false">
      <c r="A294" s="94"/>
      <c r="B294" s="95"/>
      <c r="C294" s="96"/>
    </row>
    <row r="295" customFormat="false" ht="14.25" hidden="false" customHeight="true" outlineLevel="0" collapsed="false">
      <c r="A295" s="94"/>
      <c r="B295" s="95"/>
      <c r="C295" s="96"/>
    </row>
    <row r="296" customFormat="false" ht="14.25" hidden="false" customHeight="true" outlineLevel="0" collapsed="false">
      <c r="A296" s="94"/>
      <c r="B296" s="95"/>
      <c r="C296" s="96"/>
    </row>
    <row r="297" customFormat="false" ht="14.25" hidden="false" customHeight="true" outlineLevel="0" collapsed="false">
      <c r="A297" s="94"/>
      <c r="B297" s="95"/>
      <c r="C297" s="96"/>
    </row>
    <row r="298" customFormat="false" ht="14.25" hidden="false" customHeight="true" outlineLevel="0" collapsed="false">
      <c r="A298" s="94"/>
      <c r="B298" s="95"/>
      <c r="C298" s="96"/>
    </row>
    <row r="299" customFormat="false" ht="14.25" hidden="false" customHeight="true" outlineLevel="0" collapsed="false">
      <c r="A299" s="94"/>
      <c r="B299" s="95"/>
      <c r="C299" s="96"/>
    </row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mergeCells count="5">
    <mergeCell ref="G1:P1"/>
    <mergeCell ref="R1:AG1"/>
    <mergeCell ref="AI13:AR13"/>
    <mergeCell ref="G15:O15"/>
    <mergeCell ref="AI51:AQ51"/>
  </mergeCells>
  <conditionalFormatting sqref="H17:I21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17:J21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17:L21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M17:M21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17:N21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17:O21">
    <cfRule type="colorScale" priority="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J33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54:AQ58">
    <cfRule type="colorScale" priority="9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R54:AR58">
    <cfRule type="colorScale" priority="1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61:AJ64">
    <cfRule type="colorScale" priority="1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K61:AK65">
    <cfRule type="colorScale" priority="1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17:I21">
    <cfRule type="colorScale" priority="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L17:L21">
    <cfRule type="colorScale" priority="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K4:AK11 AQ4:AQ11">
    <cfRule type="cellIs" priority="16" operator="greaterThan" aboveAverage="0" equalAverage="0" bottom="0" percent="0" rank="0" text="" dxfId="2">
      <formula>1</formula>
    </cfRule>
  </conditionalFormatting>
  <conditionalFormatting sqref="H74:H77">
    <cfRule type="colorScale" priority="1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74:R77">
    <cfRule type="colorScale" priority="1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85:H88">
    <cfRule type="colorScale" priority="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R85:R88">
    <cfRule type="colorScale" priority="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H96:H99">
    <cfRule type="colorScale" priority="2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96:R99">
    <cfRule type="colorScale" priority="2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61:AJ65">
    <cfRule type="colorScale" priority="2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6:H36">
    <cfRule type="colorScale" priority="2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26:R36">
    <cfRule type="colorScale" priority="2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42:R52">
    <cfRule type="colorScale" priority="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H42:H52">
    <cfRule type="colorScale" priority="2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H58:H68">
    <cfRule type="colorScale" priority="3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8:R68">
    <cfRule type="colorScale" priority="3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3:H13">
    <cfRule type="colorScale" priority="3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3:I13">
    <cfRule type="colorScale" priority="3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3:J13">
    <cfRule type="colorScale" priority="3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3:K13">
    <cfRule type="colorScale" priority="3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3:L13">
    <cfRule type="colorScale" priority="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:M13">
    <cfRule type="colorScale" priority="3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3:N13">
    <cfRule type="colorScale" priority="3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3:O13">
    <cfRule type="colorScale" priority="3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P3:P13">
    <cfRule type="colorScale" priority="4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16:AJ26">
    <cfRule type="colorScale" priority="4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K16:AK26">
    <cfRule type="colorScale" priority="4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L16:AL26">
    <cfRule type="colorScale" priority="4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M16:AM26">
    <cfRule type="colorScale" priority="4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N16:AN26">
    <cfRule type="colorScale" priority="4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O16:AO26">
    <cfRule type="colorScale" priority="4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P16:AP26">
    <cfRule type="colorScale" priority="4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Q16:AQ26">
    <cfRule type="colorScale" priority="4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R16:AR26">
    <cfRule type="colorScale" priority="4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16:AR26">
    <cfRule type="colorScale" priority="5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S16:AS26">
    <cfRule type="colorScale" priority="5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K34:AK44">
    <cfRule type="colorScale" priority="5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34:AJ44">
    <cfRule type="colorScale" priority="5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G4:AG10">
    <cfRule type="colorScale" priority="54">
      <colorScale>
        <cfvo type="min" val="0"/>
        <cfvo type="max" val="0"/>
        <color rgb="FFFCFCFF"/>
        <color rgb="FF63BE7B"/>
      </colorScale>
    </cfRule>
  </conditionalFormatting>
  <hyperlinks>
    <hyperlink ref="D24" r:id="rId1" display="https://discord.com/channels/191975109500731392/1212839710439776287/1410732645112877098"/>
    <hyperlink ref="D71" r:id="rId2" display="https://discord.com/channels/191975109500731392/1212839710439776287/1418581366886367354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54296875" defaultRowHeight="15" customHeight="true" zeroHeight="false" outlineLevelRow="0" outlineLevelCol="0"/>
  <cols>
    <col collapsed="false" customWidth="true" hidden="false" outlineLevel="0" max="1" min="1" style="0" width="7.45"/>
    <col collapsed="false" customWidth="true" hidden="false" outlineLevel="0" max="2" min="2" style="0" width="6.27"/>
    <col collapsed="false" customWidth="true" hidden="false" outlineLevel="0" max="3" min="3" style="0" width="7.45"/>
    <col collapsed="false" customWidth="true" hidden="false" outlineLevel="0" max="4" min="4" style="0" width="8.54"/>
    <col collapsed="false" customWidth="true" hidden="false" outlineLevel="0" max="5" min="5" style="0" width="1.82"/>
    <col collapsed="false" customWidth="true" hidden="false" outlineLevel="0" max="6" min="6" style="0" width="8.54"/>
    <col collapsed="false" customWidth="true" hidden="false" outlineLevel="0" max="9" min="8" style="0" width="6.82"/>
    <col collapsed="false" customWidth="true" hidden="false" outlineLevel="0" max="10" min="10" style="0" width="5"/>
    <col collapsed="false" customWidth="true" hidden="false" outlineLevel="0" max="11" min="11" style="0" width="9.27"/>
    <col collapsed="false" customWidth="true" hidden="false" outlineLevel="0" max="12" min="12" style="0" width="11.73"/>
    <col collapsed="false" customWidth="true" hidden="false" outlineLevel="0" max="13" min="13" style="0" width="6.54"/>
    <col collapsed="false" customWidth="true" hidden="false" outlineLevel="0" max="14" min="14" style="0" width="8"/>
    <col collapsed="false" customWidth="true" hidden="false" outlineLevel="0" max="15" min="15" style="0" width="10.54"/>
    <col collapsed="false" customWidth="true" hidden="false" outlineLevel="0" max="16" min="16" style="0" width="12.82"/>
    <col collapsed="false" customWidth="true" hidden="false" outlineLevel="0" max="17" min="17" style="0" width="7.45"/>
    <col collapsed="false" customWidth="true" hidden="false" outlineLevel="0" max="18" min="18" style="0" width="12.27"/>
    <col collapsed="false" customWidth="true" hidden="false" outlineLevel="0" max="19" min="19" style="0" width="4.82"/>
    <col collapsed="false" customWidth="true" hidden="false" outlineLevel="0" max="20" min="20" style="0" width="7.27"/>
    <col collapsed="false" customWidth="true" hidden="false" outlineLevel="0" max="22" min="21" style="0" width="5.54"/>
    <col collapsed="false" customWidth="true" hidden="false" outlineLevel="0" max="23" min="23" style="0" width="5.82"/>
    <col collapsed="false" customWidth="true" hidden="false" outlineLevel="0" max="24" min="24" style="0" width="6.18"/>
    <col collapsed="false" customWidth="true" hidden="false" outlineLevel="0" max="25" min="25" style="0" width="6.82"/>
    <col collapsed="false" customWidth="true" hidden="false" outlineLevel="0" max="26" min="26" style="0" width="7.73"/>
    <col collapsed="false" customWidth="true" hidden="false" outlineLevel="0" max="27" min="27" style="0" width="4.82"/>
    <col collapsed="false" customWidth="true" hidden="false" outlineLevel="0" max="28" min="28" style="0" width="5.18"/>
    <col collapsed="false" customWidth="true" hidden="false" outlineLevel="0" max="29" min="29" style="0" width="4.45"/>
    <col collapsed="false" customWidth="true" hidden="false" outlineLevel="0" max="32" min="30" style="0" width="10.45"/>
    <col collapsed="false" customWidth="true" hidden="false" outlineLevel="0" max="33" min="33" style="0" width="6.82"/>
    <col collapsed="false" customWidth="true" hidden="false" outlineLevel="0" max="34" min="34" style="0" width="29.27"/>
    <col collapsed="false" customWidth="true" hidden="false" outlineLevel="0" max="36" min="36" style="0" width="8.27"/>
    <col collapsed="false" customWidth="true" hidden="false" outlineLevel="0" max="37" min="37" style="0" width="8.45"/>
    <col collapsed="false" customWidth="true" hidden="false" outlineLevel="0" max="38" min="38" style="0" width="7"/>
    <col collapsed="false" customWidth="true" hidden="false" outlineLevel="0" max="39" min="39" style="0" width="9.27"/>
    <col collapsed="false" customWidth="true" hidden="false" outlineLevel="0" max="40" min="40" style="0" width="13.73"/>
    <col collapsed="false" customWidth="true" hidden="false" outlineLevel="0" max="41" min="41" style="0" width="6.54"/>
    <col collapsed="false" customWidth="true" hidden="false" outlineLevel="0" max="42" min="42" style="0" width="8"/>
    <col collapsed="false" customWidth="true" hidden="false" outlineLevel="0" max="43" min="43" style="0" width="10.54"/>
    <col collapsed="false" customWidth="true" hidden="false" outlineLevel="0" max="44" min="44" style="0" width="11.82"/>
    <col collapsed="false" customWidth="true" hidden="false" outlineLevel="0" max="45" min="45" style="0" width="8"/>
  </cols>
  <sheetData>
    <row r="1" customFormat="false" ht="14.25" hidden="false" customHeight="true" outlineLevel="0" collapsed="false">
      <c r="A1" s="89" t="s">
        <v>0</v>
      </c>
      <c r="B1" s="90" t="s">
        <v>1</v>
      </c>
      <c r="C1" s="91" t="s">
        <v>2</v>
      </c>
      <c r="D1" s="6" t="s">
        <v>3</v>
      </c>
      <c r="G1" s="7" t="s">
        <v>4</v>
      </c>
      <c r="H1" s="7"/>
      <c r="I1" s="7"/>
      <c r="J1" s="7"/>
      <c r="K1" s="7"/>
      <c r="L1" s="7"/>
      <c r="M1" s="7"/>
      <c r="N1" s="7"/>
      <c r="O1" s="7"/>
      <c r="P1" s="7"/>
      <c r="Q1" s="8"/>
      <c r="R1" s="45" t="s">
        <v>5</v>
      </c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27"/>
      <c r="AK1" s="7" t="s">
        <v>6</v>
      </c>
      <c r="AL1" s="10" t="s">
        <v>7</v>
      </c>
      <c r="AM1" s="11" t="s">
        <v>8</v>
      </c>
      <c r="AN1" s="12" t="s">
        <v>9</v>
      </c>
      <c r="AO1" s="13" t="s">
        <v>8</v>
      </c>
      <c r="AP1" s="10" t="s">
        <v>10</v>
      </c>
      <c r="AQ1" s="7" t="s">
        <v>6</v>
      </c>
    </row>
    <row r="2" customFormat="false" ht="14.25" hidden="false" customHeight="true" outlineLevel="0" collapsed="false">
      <c r="A2" s="94" t="s">
        <v>1151</v>
      </c>
      <c r="B2" s="95" t="n">
        <v>1</v>
      </c>
      <c r="C2" s="96" t="s">
        <v>95</v>
      </c>
      <c r="D2" s="17" t="s">
        <v>1152</v>
      </c>
      <c r="E2" s="6"/>
      <c r="F2" s="19"/>
      <c r="G2" s="52" t="s">
        <v>88</v>
      </c>
      <c r="H2" s="31" t="s">
        <v>16</v>
      </c>
      <c r="I2" s="31" t="s">
        <v>17</v>
      </c>
      <c r="J2" s="31" t="s">
        <v>18</v>
      </c>
      <c r="K2" s="31" t="s">
        <v>19</v>
      </c>
      <c r="L2" s="31" t="s">
        <v>20</v>
      </c>
      <c r="M2" s="31" t="s">
        <v>21</v>
      </c>
      <c r="N2" s="21" t="s">
        <v>22</v>
      </c>
      <c r="O2" s="21" t="s">
        <v>23</v>
      </c>
      <c r="P2" s="53" t="s">
        <v>24</v>
      </c>
      <c r="Q2" s="8"/>
      <c r="R2" s="23" t="s">
        <v>25</v>
      </c>
      <c r="S2" s="24" t="s">
        <v>2</v>
      </c>
      <c r="T2" s="25"/>
      <c r="U2" s="25"/>
      <c r="V2" s="25"/>
      <c r="W2" s="25"/>
      <c r="X2" s="25"/>
      <c r="Y2" s="25"/>
      <c r="Z2" s="25"/>
      <c r="AA2" s="25"/>
      <c r="AB2" s="25"/>
      <c r="AC2" s="25"/>
      <c r="AD2" s="26"/>
      <c r="AF2" s="134"/>
      <c r="AG2" s="27" t="s">
        <v>26</v>
      </c>
      <c r="AK2" s="28"/>
      <c r="AL2" s="29"/>
      <c r="AM2" s="30" t="n">
        <f aca="false">COUNT(B$1:B$155)</f>
        <v>154</v>
      </c>
      <c r="AN2" s="31" t="s">
        <v>27</v>
      </c>
      <c r="AO2" s="30" t="n">
        <f aca="false">COUNT(B$1:B$155)</f>
        <v>154</v>
      </c>
      <c r="AP2" s="28"/>
      <c r="AQ2" s="28"/>
    </row>
    <row r="3" customFormat="false" ht="14.25" hidden="false" customHeight="true" outlineLevel="0" collapsed="false">
      <c r="A3" s="94" t="s">
        <v>39</v>
      </c>
      <c r="B3" s="95" t="n">
        <v>1</v>
      </c>
      <c r="C3" s="96" t="s">
        <v>36</v>
      </c>
      <c r="D3" s="17" t="s">
        <v>1153</v>
      </c>
      <c r="E3" s="6"/>
      <c r="F3" s="32"/>
      <c r="G3" s="33" t="s">
        <v>30</v>
      </c>
      <c r="H3" s="34" t="n">
        <f aca="false">COUNTIF($A:$A,G3)</f>
        <v>28</v>
      </c>
      <c r="I3" s="34" t="n">
        <f aca="false">COUNTIF($C:$C,G3)</f>
        <v>25</v>
      </c>
      <c r="J3" s="35" t="n">
        <f aca="false">IF(I3,H3/I3,H3)</f>
        <v>1.12</v>
      </c>
      <c r="K3" s="34" t="n">
        <f aca="false">IFERROR(GETPIVOTDATA("Points",$R$2,"Sniper",G3),0)</f>
        <v>33</v>
      </c>
      <c r="L3" s="34" t="n">
        <f aca="false">IFERROR(GETPIVOTDATA("Points",$R$2,"Snipee",G3),0)</f>
        <v>33</v>
      </c>
      <c r="M3" s="124" t="n">
        <f aca="false">IF(L3,K3/L3,K3)</f>
        <v>1</v>
      </c>
      <c r="N3" s="35" t="n">
        <f aca="false">IF(H3,K3/H3,0)</f>
        <v>1.17857142857143</v>
      </c>
      <c r="O3" s="35" t="n">
        <f aca="false">IF(I3,L3/I3,0)</f>
        <v>1.32</v>
      </c>
      <c r="P3" s="125" t="n">
        <f aca="false">IFERROR(VLOOKUP(G3,R:AG,16,FALSE())/12,0)</f>
        <v>0.5</v>
      </c>
      <c r="Q3" s="8"/>
      <c r="R3" s="37" t="s">
        <v>0</v>
      </c>
      <c r="S3" s="126" t="s">
        <v>36</v>
      </c>
      <c r="T3" s="127" t="s">
        <v>35</v>
      </c>
      <c r="U3" s="127" t="s">
        <v>39</v>
      </c>
      <c r="V3" s="127" t="s">
        <v>1151</v>
      </c>
      <c r="W3" s="127" t="s">
        <v>42</v>
      </c>
      <c r="X3" s="127" t="s">
        <v>30</v>
      </c>
      <c r="Y3" s="127" t="s">
        <v>40</v>
      </c>
      <c r="Z3" s="127" t="s">
        <v>33</v>
      </c>
      <c r="AA3" s="127" t="s">
        <v>1154</v>
      </c>
      <c r="AB3" s="127" t="s">
        <v>43</v>
      </c>
      <c r="AC3" s="127" t="s">
        <v>95</v>
      </c>
      <c r="AD3" s="39" t="s">
        <v>44</v>
      </c>
      <c r="AF3" s="134"/>
      <c r="AG3" s="27" t="s">
        <v>16</v>
      </c>
      <c r="AK3" s="28"/>
      <c r="AL3" s="28"/>
      <c r="AM3" s="40" t="n">
        <f aca="false">IFERROR(GETPIVOTDATA("Points",R2),0)</f>
        <v>373</v>
      </c>
      <c r="AN3" s="41" t="s">
        <v>45</v>
      </c>
      <c r="AO3" s="40" t="n">
        <f aca="false">IFERROR(GETPIVOTDATA("Points",R2),0)</f>
        <v>373</v>
      </c>
      <c r="AP3" s="28"/>
      <c r="AQ3" s="28"/>
    </row>
    <row r="4" customFormat="false" ht="14.25" hidden="false" customHeight="true" outlineLevel="0" collapsed="false">
      <c r="A4" s="94" t="s">
        <v>36</v>
      </c>
      <c r="B4" s="95" t="n">
        <v>1</v>
      </c>
      <c r="C4" s="96" t="s">
        <v>39</v>
      </c>
      <c r="D4" s="17" t="s">
        <v>1155</v>
      </c>
      <c r="E4" s="6"/>
      <c r="F4" s="32"/>
      <c r="G4" s="33" t="s">
        <v>42</v>
      </c>
      <c r="H4" s="34" t="n">
        <f aca="false">COUNTIF($A:$A,G4)</f>
        <v>42</v>
      </c>
      <c r="I4" s="34" t="n">
        <f aca="false">COUNTIF($C:$C,G4)</f>
        <v>25</v>
      </c>
      <c r="J4" s="35" t="n">
        <f aca="false">IF(I4,H4/I4,H4)</f>
        <v>1.68</v>
      </c>
      <c r="K4" s="34" t="n">
        <f aca="false">IFERROR(GETPIVOTDATA("Points",$R$2,"Sniper",G4),0)</f>
        <v>56</v>
      </c>
      <c r="L4" s="34" t="n">
        <f aca="false">IFERROR(GETPIVOTDATA("Points",$R$2,"Snipee",G4),0)</f>
        <v>34</v>
      </c>
      <c r="M4" s="124" t="n">
        <f aca="false">IF(L4,K4/L4,K4)</f>
        <v>1.64705882352941</v>
      </c>
      <c r="N4" s="35" t="n">
        <f aca="false">IF(H4,K4/H4,0)</f>
        <v>1.33333333333333</v>
      </c>
      <c r="O4" s="35" t="n">
        <f aca="false">IF(I4,L4/I4,0)</f>
        <v>1.36</v>
      </c>
      <c r="P4" s="125" t="n">
        <f aca="false">IFERROR(VLOOKUP(G4,R:AG,16,FALSE())/12,0)</f>
        <v>0.666666666666667</v>
      </c>
      <c r="Q4" s="8"/>
      <c r="R4" s="128" t="s">
        <v>39</v>
      </c>
      <c r="S4" s="100" t="n">
        <v>51</v>
      </c>
      <c r="T4" s="101" t="n">
        <v>24</v>
      </c>
      <c r="U4" s="101"/>
      <c r="V4" s="101" t="n">
        <v>16</v>
      </c>
      <c r="W4" s="101" t="n">
        <v>11</v>
      </c>
      <c r="X4" s="101" t="n">
        <v>13</v>
      </c>
      <c r="Y4" s="101"/>
      <c r="Z4" s="101" t="n">
        <v>2</v>
      </c>
      <c r="AA4" s="101"/>
      <c r="AB4" s="101"/>
      <c r="AC4" s="102"/>
      <c r="AD4" s="103" t="n">
        <v>117</v>
      </c>
      <c r="AF4" s="134"/>
      <c r="AG4" s="27" t="n">
        <f aca="false">IF(COUNT(S4:AF4)&lt;&gt;0,COUNT(S4:AF4)-1,"")</f>
        <v>6</v>
      </c>
      <c r="AK4" s="45" t="n">
        <f aca="false">COUNTIF(H3:H13,AM4)</f>
        <v>0</v>
      </c>
      <c r="AL4" s="46" t="str">
        <f aca="false">$G$26</f>
        <v>Ethan</v>
      </c>
      <c r="AM4" s="40" t="e">
        <f aca="false">maxine(H3:H13)</f>
        <v>#NAME?</v>
      </c>
      <c r="AN4" s="41" t="s">
        <v>49</v>
      </c>
      <c r="AO4" s="47" t="e">
        <f aca="false">maxine(H19:H22)</f>
        <v>#NAME?</v>
      </c>
      <c r="AP4" s="48" t="str">
        <f aca="false">$G$77</f>
        <v>Tenors</v>
      </c>
      <c r="AQ4" s="45" t="n">
        <f aca="false">COUNTIF(H19:H22,AO4)</f>
        <v>0</v>
      </c>
    </row>
    <row r="5" customFormat="false" ht="14.25" hidden="false" customHeight="true" outlineLevel="0" collapsed="false">
      <c r="A5" s="94" t="s">
        <v>30</v>
      </c>
      <c r="B5" s="95" t="n">
        <v>2</v>
      </c>
      <c r="C5" s="96" t="s">
        <v>36</v>
      </c>
      <c r="D5" s="17" t="s">
        <v>1156</v>
      </c>
      <c r="F5" s="32"/>
      <c r="G5" s="33" t="s">
        <v>40</v>
      </c>
      <c r="H5" s="34" t="n">
        <f aca="false">COUNTIF($A:$A,G5)</f>
        <v>6</v>
      </c>
      <c r="I5" s="34" t="n">
        <f aca="false">COUNTIF($C:$C,G5)</f>
        <v>16</v>
      </c>
      <c r="J5" s="35" t="n">
        <f aca="false">IF(I5,H5/I5,H5)</f>
        <v>0.375</v>
      </c>
      <c r="K5" s="34" t="n">
        <f aca="false">IFERROR(GETPIVOTDATA("Points",$R$2,"Sniper",G5),0)</f>
        <v>8</v>
      </c>
      <c r="L5" s="34" t="n">
        <f aca="false">IFERROR(GETPIVOTDATA("Points",$R$2,"Snipee",G5),0)</f>
        <v>22</v>
      </c>
      <c r="M5" s="124" t="n">
        <f aca="false">IF(L5,K5/L5,K5)</f>
        <v>0.363636363636364</v>
      </c>
      <c r="N5" s="35" t="n">
        <f aca="false">IF(H5,K5/H5,0)</f>
        <v>1.33333333333333</v>
      </c>
      <c r="O5" s="35" t="n">
        <f aca="false">IF(I5,L5/I5,0)</f>
        <v>1.375</v>
      </c>
      <c r="P5" s="125" t="n">
        <f aca="false">IFERROR(VLOOKUP(G5,R:AG,16,FALSE())/12,0)</f>
        <v>0.333333333333333</v>
      </c>
      <c r="Q5" s="8"/>
      <c r="R5" s="129" t="s">
        <v>1151</v>
      </c>
      <c r="S5" s="105" t="n">
        <v>10</v>
      </c>
      <c r="T5" s="106" t="n">
        <v>15</v>
      </c>
      <c r="U5" s="106" t="n">
        <v>13</v>
      </c>
      <c r="V5" s="106"/>
      <c r="W5" s="106" t="n">
        <v>7</v>
      </c>
      <c r="X5" s="106" t="n">
        <v>18</v>
      </c>
      <c r="Y5" s="106" t="n">
        <v>1</v>
      </c>
      <c r="Z5" s="106" t="n">
        <v>1</v>
      </c>
      <c r="AA5" s="106"/>
      <c r="AB5" s="106" t="n">
        <v>1</v>
      </c>
      <c r="AC5" s="107" t="n">
        <v>1</v>
      </c>
      <c r="AD5" s="108" t="n">
        <v>67</v>
      </c>
      <c r="AF5" s="134"/>
      <c r="AG5" s="27" t="n">
        <f aca="false">IF(COUNT(S5:AF5)&lt;&gt;0,COUNT(S5:AF5)-1,"")</f>
        <v>9</v>
      </c>
      <c r="AK5" s="45" t="n">
        <f aca="false">COUNTIF(I3:I13,AM5)</f>
        <v>0</v>
      </c>
      <c r="AL5" s="46" t="str">
        <f aca="false">$G$42</f>
        <v>Evan</v>
      </c>
      <c r="AM5" s="40" t="e">
        <f aca="false">maxine(I3:I13)</f>
        <v>#NAME?</v>
      </c>
      <c r="AN5" s="41" t="s">
        <v>54</v>
      </c>
      <c r="AO5" s="47" t="e">
        <f aca="false">maxine(I19:I22)</f>
        <v>#NAME?</v>
      </c>
      <c r="AP5" s="49" t="str">
        <f aca="false">$G$88</f>
        <v>Leads</v>
      </c>
      <c r="AQ5" s="45" t="n">
        <f aca="false">COUNTIF(I19:I22,AO5)</f>
        <v>0</v>
      </c>
    </row>
    <row r="6" customFormat="false" ht="14.25" hidden="false" customHeight="true" outlineLevel="0" collapsed="false">
      <c r="A6" s="94" t="s">
        <v>1151</v>
      </c>
      <c r="B6" s="95" t="n">
        <v>2</v>
      </c>
      <c r="C6" s="96" t="s">
        <v>41</v>
      </c>
      <c r="D6" s="17" t="s">
        <v>1157</v>
      </c>
      <c r="F6" s="32"/>
      <c r="G6" s="33" t="s">
        <v>41</v>
      </c>
      <c r="H6" s="34" t="n">
        <f aca="false">COUNTIF($A:$A,G6)</f>
        <v>19</v>
      </c>
      <c r="I6" s="34" t="n">
        <f aca="false">COUNTIF($C:$C,G6)</f>
        <v>17</v>
      </c>
      <c r="J6" s="35" t="n">
        <f aca="false">IF(I6,H6/I6,H6)</f>
        <v>1.11764705882353</v>
      </c>
      <c r="K6" s="34" t="n">
        <f aca="false">IFERROR(GETPIVOTDATA("Points",$R$2,"Sniper",G6),0)</f>
        <v>0</v>
      </c>
      <c r="L6" s="34" t="n">
        <f aca="false">IFERROR(GETPIVOTDATA("Points",$R$2,"Snipee",G6),0)</f>
        <v>0</v>
      </c>
      <c r="M6" s="124" t="n">
        <f aca="false">IF(L6,K6/L6,K6)</f>
        <v>0</v>
      </c>
      <c r="N6" s="35" t="n">
        <f aca="false">IF(H6,K6/H6,0)</f>
        <v>0</v>
      </c>
      <c r="O6" s="35" t="n">
        <f aca="false">IF(I6,L6/I6,0)</f>
        <v>0</v>
      </c>
      <c r="P6" s="125" t="n">
        <f aca="false">IFERROR(VLOOKUP(G6,R:AG,16,FALSE())/12,0)</f>
        <v>0</v>
      </c>
      <c r="Q6" s="8"/>
      <c r="R6" s="129" t="s">
        <v>36</v>
      </c>
      <c r="S6" s="105"/>
      <c r="T6" s="106" t="n">
        <v>17</v>
      </c>
      <c r="U6" s="106" t="n">
        <v>26</v>
      </c>
      <c r="V6" s="106" t="n">
        <v>7</v>
      </c>
      <c r="W6" s="106" t="n">
        <v>7</v>
      </c>
      <c r="X6" s="106"/>
      <c r="Y6" s="106"/>
      <c r="Z6" s="106" t="n">
        <v>5</v>
      </c>
      <c r="AA6" s="106"/>
      <c r="AB6" s="106"/>
      <c r="AC6" s="107"/>
      <c r="AD6" s="108" t="n">
        <v>62</v>
      </c>
      <c r="AF6" s="134"/>
      <c r="AG6" s="27" t="n">
        <f aca="false">IF(COUNT(S6:AF6)&lt;&gt;0,COUNT(S6:AF6)-1,"")</f>
        <v>5</v>
      </c>
      <c r="AK6" s="45" t="n">
        <f aca="false">COUNTIF(K3:K13,AM6)</f>
        <v>0</v>
      </c>
      <c r="AL6" s="46" t="str">
        <f aca="false">$Q$26</f>
        <v>Ethan</v>
      </c>
      <c r="AM6" s="40" t="e">
        <f aca="false">maxine(K3:K13)</f>
        <v>#NAME?</v>
      </c>
      <c r="AN6" s="41" t="s">
        <v>59</v>
      </c>
      <c r="AO6" s="47" t="e">
        <f aca="false">maxine(K19:K22)</f>
        <v>#NAME?</v>
      </c>
      <c r="AP6" s="49" t="str">
        <f aca="false">$Q$77</f>
        <v>Baris</v>
      </c>
      <c r="AQ6" s="45" t="n">
        <f aca="false">COUNTIF(K19:K22,AO6)</f>
        <v>0</v>
      </c>
    </row>
    <row r="7" customFormat="false" ht="14.25" hidden="false" customHeight="true" outlineLevel="0" collapsed="false">
      <c r="A7" s="94" t="s">
        <v>41</v>
      </c>
      <c r="B7" s="95" t="n">
        <v>1</v>
      </c>
      <c r="C7" s="96" t="s">
        <v>1151</v>
      </c>
      <c r="D7" s="17" t="s">
        <v>1158</v>
      </c>
      <c r="F7" s="32"/>
      <c r="G7" s="33" t="s">
        <v>1151</v>
      </c>
      <c r="H7" s="34" t="n">
        <f aca="false">COUNTIF($A:$A,G7)</f>
        <v>54</v>
      </c>
      <c r="I7" s="34" t="n">
        <f aca="false">COUNTIF($C:$C,G7)</f>
        <v>42</v>
      </c>
      <c r="J7" s="35" t="n">
        <f aca="false">IF(I7,H7/I7,H7)</f>
        <v>1.28571428571429</v>
      </c>
      <c r="K7" s="34" t="n">
        <f aca="false">IFERROR(GETPIVOTDATA("Points",$R$2,"Sniper",G7),0)</f>
        <v>67</v>
      </c>
      <c r="L7" s="34" t="n">
        <f aca="false">IFERROR(GETPIVOTDATA("Points",$R$2,"Snipee",G7),0)</f>
        <v>48</v>
      </c>
      <c r="M7" s="124" t="n">
        <f aca="false">IF(L7,K7/L7,K7)</f>
        <v>1.39583333333333</v>
      </c>
      <c r="N7" s="35" t="n">
        <f aca="false">IF(H7,K7/H7,0)</f>
        <v>1.24074074074074</v>
      </c>
      <c r="O7" s="35" t="n">
        <f aca="false">IF(I7,L7/I7,0)</f>
        <v>1.14285714285714</v>
      </c>
      <c r="P7" s="125" t="n">
        <f aca="false">IFERROR(VLOOKUP(G7,R:AG,16,FALSE())/12,0)</f>
        <v>0.75</v>
      </c>
      <c r="Q7" s="8"/>
      <c r="R7" s="129" t="s">
        <v>42</v>
      </c>
      <c r="S7" s="105" t="n">
        <v>7</v>
      </c>
      <c r="T7" s="106" t="n">
        <v>12</v>
      </c>
      <c r="U7" s="106" t="n">
        <v>5</v>
      </c>
      <c r="V7" s="106" t="n">
        <v>4</v>
      </c>
      <c r="W7" s="106"/>
      <c r="X7" s="106" t="n">
        <v>2</v>
      </c>
      <c r="Y7" s="106" t="n">
        <v>19</v>
      </c>
      <c r="Z7" s="106" t="n">
        <v>5</v>
      </c>
      <c r="AA7" s="106" t="n">
        <v>2</v>
      </c>
      <c r="AB7" s="106"/>
      <c r="AC7" s="107"/>
      <c r="AD7" s="108" t="n">
        <v>56</v>
      </c>
      <c r="AF7" s="134"/>
      <c r="AG7" s="27" t="n">
        <f aca="false">IF(COUNT(S7:AF7)&lt;&gt;0,COUNT(S7:AF7)-1,"")</f>
        <v>8</v>
      </c>
      <c r="AK7" s="45" t="n">
        <f aca="false">COUNTIF(L3:L13,AM7)</f>
        <v>0</v>
      </c>
      <c r="AL7" s="46" t="str">
        <f aca="false">$Q$42</f>
        <v>Evan</v>
      </c>
      <c r="AM7" s="40" t="e">
        <f aca="false">maxine(L3:L13)</f>
        <v>#NAME?</v>
      </c>
      <c r="AN7" s="41" t="s">
        <v>63</v>
      </c>
      <c r="AO7" s="47" t="e">
        <f aca="false">maxine(L19:L22)</f>
        <v>#NAME?</v>
      </c>
      <c r="AP7" s="49" t="str">
        <f aca="false">$Q$88</f>
        <v>Leads</v>
      </c>
      <c r="AQ7" s="45" t="n">
        <f aca="false">COUNTIF(L19:L22,AO7)</f>
        <v>0</v>
      </c>
    </row>
    <row r="8" customFormat="false" ht="14.25" hidden="false" customHeight="true" outlineLevel="0" collapsed="false">
      <c r="A8" s="94" t="s">
        <v>1151</v>
      </c>
      <c r="B8" s="95" t="n">
        <v>1</v>
      </c>
      <c r="C8" s="96" t="s">
        <v>35</v>
      </c>
      <c r="D8" s="17" t="s">
        <v>1159</v>
      </c>
      <c r="F8" s="32"/>
      <c r="G8" s="33" t="s">
        <v>36</v>
      </c>
      <c r="H8" s="34" t="n">
        <f aca="false">COUNTIF($A:$A,G8)</f>
        <v>50</v>
      </c>
      <c r="I8" s="34" t="n">
        <f aca="false">COUNTIF($C:$C,G8)</f>
        <v>63</v>
      </c>
      <c r="J8" s="35" t="n">
        <f aca="false">IF(I8,H8/I8,H8)</f>
        <v>0.793650793650794</v>
      </c>
      <c r="K8" s="34" t="n">
        <f aca="false">IFERROR(GETPIVOTDATA("Points",$R$2,"Sniper",G8),0)</f>
        <v>62</v>
      </c>
      <c r="L8" s="34" t="n">
        <f aca="false">IFERROR(GETPIVOTDATA("Points",$R$2,"Snipee",G8),0)</f>
        <v>87</v>
      </c>
      <c r="M8" s="124" t="n">
        <f aca="false">IF(L8,K8/L8,K8)</f>
        <v>0.71264367816092</v>
      </c>
      <c r="N8" s="35" t="n">
        <f aca="false">IF(H8,K8/H8,0)</f>
        <v>1.24</v>
      </c>
      <c r="O8" s="35" t="n">
        <f aca="false">IF(I8,L8/I8,0)</f>
        <v>1.38095238095238</v>
      </c>
      <c r="P8" s="125" t="n">
        <f aca="false">IFERROR(VLOOKUP(G8,R:AG,16,FALSE())/12,0)</f>
        <v>0.416666666666667</v>
      </c>
      <c r="Q8" s="8"/>
      <c r="R8" s="129" t="s">
        <v>30</v>
      </c>
      <c r="S8" s="105" t="n">
        <v>5</v>
      </c>
      <c r="T8" s="106" t="n">
        <v>3</v>
      </c>
      <c r="U8" s="106" t="n">
        <v>5</v>
      </c>
      <c r="V8" s="106" t="n">
        <v>16</v>
      </c>
      <c r="W8" s="106"/>
      <c r="X8" s="106"/>
      <c r="Y8" s="106" t="n">
        <v>2</v>
      </c>
      <c r="Z8" s="106" t="n">
        <v>2</v>
      </c>
      <c r="AA8" s="106"/>
      <c r="AB8" s="106"/>
      <c r="AC8" s="107"/>
      <c r="AD8" s="108" t="n">
        <v>33</v>
      </c>
      <c r="AF8" s="134"/>
      <c r="AG8" s="27" t="n">
        <f aca="false">IF(COUNT(S8:AF8)&lt;&gt;0,COUNT(S8:AF8)-1,"")</f>
        <v>6</v>
      </c>
      <c r="AK8" s="45" t="n">
        <f aca="false">COUNTIF(J3:J13,AM8)</f>
        <v>0</v>
      </c>
      <c r="AL8" s="51" t="str">
        <f aca="false">$G$58</f>
        <v>Erick</v>
      </c>
      <c r="AM8" s="47" t="e">
        <f aca="false">maxine(J3:J13)</f>
        <v>#NAME?</v>
      </c>
      <c r="AN8" s="41" t="s">
        <v>67</v>
      </c>
      <c r="AO8" s="47" t="e">
        <f aca="false">maxine(J19:J22)</f>
        <v>#NAME?</v>
      </c>
      <c r="AP8" s="49" t="str">
        <f aca="false">$G$99</f>
        <v>Baris</v>
      </c>
      <c r="AQ8" s="45" t="n">
        <f aca="false">COUNTIF(J19:J22,AO8)</f>
        <v>0</v>
      </c>
    </row>
    <row r="9" customFormat="false" ht="14.25" hidden="false" customHeight="true" outlineLevel="0" collapsed="false">
      <c r="A9" s="94" t="s">
        <v>1151</v>
      </c>
      <c r="B9" s="95" t="n">
        <v>1</v>
      </c>
      <c r="C9" s="96" t="s">
        <v>30</v>
      </c>
      <c r="D9" s="17" t="s">
        <v>1160</v>
      </c>
      <c r="E9" s="6" t="n">
        <v>0</v>
      </c>
      <c r="F9" s="17"/>
      <c r="G9" s="33" t="s">
        <v>1154</v>
      </c>
      <c r="H9" s="34" t="n">
        <f aca="false">COUNTIF($A:$A,G9)</f>
        <v>2</v>
      </c>
      <c r="I9" s="34" t="n">
        <f aca="false">COUNTIF($C:$C,G9)</f>
        <v>2</v>
      </c>
      <c r="J9" s="35" t="n">
        <f aca="false">IF(I9,H9/I9,H9)</f>
        <v>1</v>
      </c>
      <c r="K9" s="34" t="n">
        <f aca="false">IFERROR(GETPIVOTDATA("Points",$R$2,"Sniper",G9),0)</f>
        <v>4</v>
      </c>
      <c r="L9" s="34" t="n">
        <f aca="false">IFERROR(GETPIVOTDATA("Points",$R$2,"Snipee",G9),0)</f>
        <v>2</v>
      </c>
      <c r="M9" s="124" t="n">
        <f aca="false">IF(L9,K9/L9,K9)</f>
        <v>2</v>
      </c>
      <c r="N9" s="35" t="n">
        <f aca="false">IF(H9,K9/H9,0)</f>
        <v>2</v>
      </c>
      <c r="O9" s="35" t="n">
        <f aca="false">IF(I9,L9/I9,0)</f>
        <v>1</v>
      </c>
      <c r="P9" s="125" t="n">
        <f aca="false">IFERROR(VLOOKUP(G9,R:AG,16,FALSE())/12,0)</f>
        <v>0.166666666666667</v>
      </c>
      <c r="Q9" s="8"/>
      <c r="R9" s="129" t="s">
        <v>33</v>
      </c>
      <c r="S9" s="105" t="n">
        <v>10</v>
      </c>
      <c r="T9" s="106" t="n">
        <v>4</v>
      </c>
      <c r="U9" s="106" t="n">
        <v>2</v>
      </c>
      <c r="V9" s="106" t="n">
        <v>2</v>
      </c>
      <c r="W9" s="106" t="n">
        <v>4</v>
      </c>
      <c r="X9" s="106"/>
      <c r="Y9" s="106"/>
      <c r="Z9" s="106"/>
      <c r="AA9" s="106"/>
      <c r="AB9" s="106"/>
      <c r="AC9" s="107"/>
      <c r="AD9" s="108" t="n">
        <v>22</v>
      </c>
      <c r="AF9" s="134"/>
      <c r="AG9" s="27" t="n">
        <f aca="false">IF(COUNT(S9:AF9)&lt;&gt;0,COUNT(S9:AF9)-1,"")</f>
        <v>5</v>
      </c>
      <c r="AK9" s="45" t="n">
        <f aca="false">COUNTIF(J3:J13,AM9)</f>
        <v>1</v>
      </c>
      <c r="AL9" s="51" t="str">
        <f aca="false">$G$69</f>
        <v>Reuben</v>
      </c>
      <c r="AM9" s="47" t="n">
        <f aca="false">MIN(J3:J13)</f>
        <v>0.375</v>
      </c>
      <c r="AN9" s="41" t="s">
        <v>71</v>
      </c>
      <c r="AO9" s="47" t="n">
        <f aca="false">MIN(J19:J22)</f>
        <v>0.0638297872340426</v>
      </c>
      <c r="AP9" s="49" t="str">
        <f aca="false">$G$96</f>
        <v>Basses</v>
      </c>
      <c r="AQ9" s="45" t="n">
        <f aca="false">COUNTIF(J19:J22,AO9)</f>
        <v>1</v>
      </c>
    </row>
    <row r="10" customFormat="false" ht="14.25" hidden="false" customHeight="true" outlineLevel="0" collapsed="false">
      <c r="A10" s="94" t="s">
        <v>30</v>
      </c>
      <c r="B10" s="95" t="n">
        <v>1</v>
      </c>
      <c r="C10" s="96" t="s">
        <v>1151</v>
      </c>
      <c r="D10" s="17" t="s">
        <v>1161</v>
      </c>
      <c r="F10" s="17"/>
      <c r="G10" s="33" t="s">
        <v>33</v>
      </c>
      <c r="H10" s="34" t="n">
        <f aca="false">COUNTIF($A:$A,G10)</f>
        <v>15</v>
      </c>
      <c r="I10" s="34" t="n">
        <f aca="false">COUNTIF($C:$C,G10)</f>
        <v>14</v>
      </c>
      <c r="J10" s="35" t="n">
        <f aca="false">IF(I10,H10/I10,H10)</f>
        <v>1.07142857142857</v>
      </c>
      <c r="K10" s="34" t="n">
        <f aca="false">IFERROR(GETPIVOTDATA("Points",$R$2,"Sniper",G10),0)</f>
        <v>22</v>
      </c>
      <c r="L10" s="34" t="n">
        <f aca="false">IFERROR(GETPIVOTDATA("Points",$R$2,"Snipee",G10),0)</f>
        <v>15</v>
      </c>
      <c r="M10" s="124" t="n">
        <f aca="false">IF(L10,K10/L10,K10)</f>
        <v>1.46666666666667</v>
      </c>
      <c r="N10" s="35" t="n">
        <f aca="false">IF(H10,K10/H10,0)</f>
        <v>1.46666666666667</v>
      </c>
      <c r="O10" s="35" t="n">
        <f aca="false">IF(I10,L10/I10,0)</f>
        <v>1.07142857142857</v>
      </c>
      <c r="P10" s="125" t="n">
        <f aca="false">IFERROR(VLOOKUP(G10,R:AG,16,FALSE())/12,0)</f>
        <v>0.416666666666667</v>
      </c>
      <c r="Q10" s="8"/>
      <c r="R10" s="129" t="s">
        <v>40</v>
      </c>
      <c r="S10" s="105" t="n">
        <v>2</v>
      </c>
      <c r="T10" s="106" t="n">
        <v>2</v>
      </c>
      <c r="U10" s="106"/>
      <c r="V10" s="106" t="n">
        <v>1</v>
      </c>
      <c r="W10" s="106" t="n">
        <v>3</v>
      </c>
      <c r="X10" s="106"/>
      <c r="Y10" s="106"/>
      <c r="Z10" s="106"/>
      <c r="AA10" s="106"/>
      <c r="AB10" s="106"/>
      <c r="AC10" s="107"/>
      <c r="AD10" s="108" t="n">
        <v>8</v>
      </c>
      <c r="AF10" s="134"/>
      <c r="AG10" s="27" t="n">
        <f aca="false">IF(COUNT(S10:AF10)&lt;&gt;0,COUNT(S10:AF10)-1,"")</f>
        <v>4</v>
      </c>
      <c r="AK10" s="45" t="n">
        <f aca="false">COUNTIF(M3:M13,AM10)</f>
        <v>0</v>
      </c>
      <c r="AL10" s="51" t="str">
        <f aca="false">$Q$58</f>
        <v>Erick</v>
      </c>
      <c r="AM10" s="47" t="e">
        <f aca="false">maxine(M3:M13)</f>
        <v>#NAME?</v>
      </c>
      <c r="AN10" s="41" t="s">
        <v>74</v>
      </c>
      <c r="AO10" s="47" t="e">
        <f aca="false">maxine(M19:M22)</f>
        <v>#NAME?</v>
      </c>
      <c r="AP10" s="49" t="str">
        <f aca="false">$Q$99</f>
        <v>Baris</v>
      </c>
      <c r="AQ10" s="45" t="n">
        <f aca="false">COUNTIF(M19:M22,AO10)</f>
        <v>0</v>
      </c>
    </row>
    <row r="11" customFormat="false" ht="14.25" hidden="false" customHeight="true" outlineLevel="0" collapsed="false">
      <c r="A11" s="94" t="s">
        <v>36</v>
      </c>
      <c r="B11" s="95" t="n">
        <v>1</v>
      </c>
      <c r="C11" s="96" t="s">
        <v>41</v>
      </c>
      <c r="D11" s="17" t="s">
        <v>1162</v>
      </c>
      <c r="E11" s="6"/>
      <c r="F11" s="32"/>
      <c r="G11" s="33" t="s">
        <v>39</v>
      </c>
      <c r="H11" s="34" t="n">
        <f aca="false">COUNTIF($A:$A,G11)</f>
        <v>77</v>
      </c>
      <c r="I11" s="34" t="n">
        <f aca="false">COUNTIF($C:$C,G11)</f>
        <v>43</v>
      </c>
      <c r="J11" s="35" t="n">
        <f aca="false">IF(I11,H11/I11,H11)</f>
        <v>1.7906976744186</v>
      </c>
      <c r="K11" s="34" t="n">
        <f aca="false">IFERROR(GETPIVOTDATA("Points",$R$2,"Sniper",G11),0)</f>
        <v>117</v>
      </c>
      <c r="L11" s="34" t="n">
        <f aca="false">IFERROR(GETPIVOTDATA("Points",$R$2,"Snipee",G11),0)</f>
        <v>53</v>
      </c>
      <c r="M11" s="124" t="n">
        <f aca="false">IF(L11,K11/L11,K11)</f>
        <v>2.20754716981132</v>
      </c>
      <c r="N11" s="35" t="n">
        <f aca="false">IF(H11,K11/H11,0)</f>
        <v>1.51948051948052</v>
      </c>
      <c r="O11" s="35" t="n">
        <f aca="false">IF(I11,L11/I11,0)</f>
        <v>1.23255813953488</v>
      </c>
      <c r="P11" s="125" t="n">
        <f aca="false">IFERROR(VLOOKUP(G11,R:AG,16,FALSE())/12,0)</f>
        <v>0.5</v>
      </c>
      <c r="Q11" s="8"/>
      <c r="R11" s="129" t="s">
        <v>1154</v>
      </c>
      <c r="S11" s="105" t="n">
        <v>2</v>
      </c>
      <c r="T11" s="106"/>
      <c r="U11" s="106"/>
      <c r="V11" s="106"/>
      <c r="W11" s="106" t="n">
        <v>2</v>
      </c>
      <c r="X11" s="106"/>
      <c r="Y11" s="106"/>
      <c r="Z11" s="106"/>
      <c r="AA11" s="106"/>
      <c r="AB11" s="106"/>
      <c r="AC11" s="107"/>
      <c r="AD11" s="108" t="n">
        <v>4</v>
      </c>
      <c r="AF11" s="134"/>
      <c r="AG11" s="27" t="n">
        <f aca="false">IF(COUNT(S11:AF11)&lt;&gt;0,COUNT(S11:AF11)-1,"")</f>
        <v>2</v>
      </c>
      <c r="AK11" s="45" t="n">
        <f aca="false">COUNTIF(M3:M13,AM11)</f>
        <v>1</v>
      </c>
      <c r="AL11" s="51" t="str">
        <f aca="false">$Q$69</f>
        <v>Reuben</v>
      </c>
      <c r="AM11" s="47" t="n">
        <f aca="false">MIN(M3:M13)</f>
        <v>0</v>
      </c>
      <c r="AN11" s="41" t="s">
        <v>79</v>
      </c>
      <c r="AO11" s="47" t="n">
        <f aca="false">MIN(M19:M22)</f>
        <v>0.0506329113924051</v>
      </c>
      <c r="AP11" s="49" t="str">
        <f aca="false">$Q$96</f>
        <v>Basses</v>
      </c>
      <c r="AQ11" s="45" t="n">
        <f aca="false">COUNTIF(M19:M22,AO11)</f>
        <v>1</v>
      </c>
    </row>
    <row r="12" customFormat="false" ht="14.25" hidden="false" customHeight="true" outlineLevel="0" collapsed="false">
      <c r="A12" s="94" t="s">
        <v>41</v>
      </c>
      <c r="B12" s="95" t="n">
        <v>1</v>
      </c>
      <c r="C12" s="96" t="s">
        <v>36</v>
      </c>
      <c r="D12" s="17" t="s">
        <v>1163</v>
      </c>
      <c r="F12" s="32"/>
      <c r="G12" s="33" t="s">
        <v>43</v>
      </c>
      <c r="H12" s="34" t="n">
        <f aca="false">COUNTIF($A:$A,G12)</f>
        <v>2</v>
      </c>
      <c r="I12" s="34" t="n">
        <f aca="false">COUNTIF($C:$C,G12)</f>
        <v>1</v>
      </c>
      <c r="J12" s="35" t="n">
        <f aca="false">IF(I12,H12/I12,H12)</f>
        <v>2</v>
      </c>
      <c r="K12" s="34" t="n">
        <f aca="false">IFERROR(GETPIVOTDATA("Points",$R$2,"Sniper",G12),0)</f>
        <v>2</v>
      </c>
      <c r="L12" s="34" t="n">
        <f aca="false">IFERROR(GETPIVOTDATA("Points",$R$2,"Snipee",G12),0)</f>
        <v>1</v>
      </c>
      <c r="M12" s="124" t="n">
        <f aca="false">IF(L12,K12/L12,K12)</f>
        <v>2</v>
      </c>
      <c r="N12" s="35" t="n">
        <f aca="false">IF(H12,K12/H12,0)</f>
        <v>1</v>
      </c>
      <c r="O12" s="35" t="n">
        <f aca="false">IF(I12,L12/I12,0)</f>
        <v>1</v>
      </c>
      <c r="P12" s="125" t="n">
        <f aca="false">IFERROR(VLOOKUP(G12,R:AG,16,FALSE())/12,0)</f>
        <v>0.0833333333333333</v>
      </c>
      <c r="Q12" s="8"/>
      <c r="R12" s="129" t="s">
        <v>43</v>
      </c>
      <c r="S12" s="105"/>
      <c r="T12" s="106"/>
      <c r="U12" s="106"/>
      <c r="V12" s="106" t="n">
        <v>2</v>
      </c>
      <c r="W12" s="106"/>
      <c r="X12" s="106"/>
      <c r="Y12" s="106"/>
      <c r="Z12" s="106"/>
      <c r="AA12" s="106"/>
      <c r="AB12" s="106"/>
      <c r="AC12" s="107"/>
      <c r="AD12" s="108" t="n">
        <v>2</v>
      </c>
      <c r="AF12" s="134"/>
      <c r="AG12" s="27" t="n">
        <f aca="false">IF(COUNT(S12:AF12)&lt;&gt;0,COUNT(S12:AF12)-1,"")</f>
        <v>1</v>
      </c>
    </row>
    <row r="13" customFormat="false" ht="14.25" hidden="false" customHeight="true" outlineLevel="0" collapsed="false">
      <c r="A13" s="94" t="s">
        <v>36</v>
      </c>
      <c r="B13" s="95" t="n">
        <v>1</v>
      </c>
      <c r="C13" s="96" t="s">
        <v>39</v>
      </c>
      <c r="D13" s="17" t="s">
        <v>1164</v>
      </c>
      <c r="F13" s="32"/>
      <c r="G13" s="33" t="s">
        <v>95</v>
      </c>
      <c r="H13" s="34" t="n">
        <f aca="false">COUNTIF($A:$A,G13)</f>
        <v>1</v>
      </c>
      <c r="I13" s="34" t="n">
        <f aca="false">COUNTIF($C:$C,G13)</f>
        <v>1</v>
      </c>
      <c r="J13" s="35" t="n">
        <f aca="false">IF(I13,H13/I13,H13)</f>
        <v>1</v>
      </c>
      <c r="K13" s="34" t="n">
        <f aca="false">IFERROR(GETPIVOTDATA("Points",$R$2,"Sniper",G13),0)</f>
        <v>2</v>
      </c>
      <c r="L13" s="34" t="n">
        <f aca="false">IFERROR(GETPIVOTDATA("Points",$R$2,"Snipee",G13),0)</f>
        <v>1</v>
      </c>
      <c r="M13" s="124" t="n">
        <f aca="false">IF(L13,K13/L13,K13)</f>
        <v>2</v>
      </c>
      <c r="N13" s="35" t="n">
        <f aca="false">IF(H13,K13/H13,0)</f>
        <v>2</v>
      </c>
      <c r="O13" s="35" t="n">
        <f aca="false">IF(I13,L13/I13,0)</f>
        <v>1</v>
      </c>
      <c r="P13" s="125" t="n">
        <f aca="false">IFERROR(VLOOKUP(G13,R:AG,16,FALSE())/12,0)</f>
        <v>0.0833333333333333</v>
      </c>
      <c r="Q13" s="8"/>
      <c r="R13" s="129" t="s">
        <v>95</v>
      </c>
      <c r="S13" s="109"/>
      <c r="T13" s="110"/>
      <c r="U13" s="110" t="n">
        <v>2</v>
      </c>
      <c r="V13" s="110"/>
      <c r="W13" s="110"/>
      <c r="X13" s="110"/>
      <c r="Y13" s="110"/>
      <c r="Z13" s="110"/>
      <c r="AA13" s="110"/>
      <c r="AB13" s="110"/>
      <c r="AC13" s="111"/>
      <c r="AD13" s="112" t="n">
        <v>2</v>
      </c>
      <c r="AF13" s="134"/>
      <c r="AG13" s="27" t="n">
        <f aca="false">IF(COUNT(S13:AF13)&lt;&gt;0,COUNT(S13:AF13)-1,"")</f>
        <v>1</v>
      </c>
      <c r="AI13" s="7" t="s">
        <v>85</v>
      </c>
      <c r="AJ13" s="7"/>
      <c r="AK13" s="7"/>
      <c r="AL13" s="7"/>
      <c r="AM13" s="7"/>
      <c r="AN13" s="7"/>
      <c r="AO13" s="7"/>
      <c r="AP13" s="7"/>
      <c r="AQ13" s="7"/>
      <c r="AR13" s="7"/>
    </row>
    <row r="14" customFormat="false" ht="14.25" hidden="false" customHeight="true" outlineLevel="0" collapsed="false">
      <c r="A14" s="94" t="s">
        <v>39</v>
      </c>
      <c r="B14" s="95" t="n">
        <v>1</v>
      </c>
      <c r="C14" s="96" t="s">
        <v>36</v>
      </c>
      <c r="D14" s="17" t="s">
        <v>1165</v>
      </c>
      <c r="F14" s="32"/>
      <c r="G14" s="33" t="s">
        <v>35</v>
      </c>
      <c r="H14" s="34" t="n">
        <f aca="false">COUNTIF($A:$A,G14)</f>
        <v>0</v>
      </c>
      <c r="I14" s="34" t="n">
        <f aca="false">COUNTIF($C:$C,G14)</f>
        <v>45</v>
      </c>
      <c r="J14" s="35" t="n">
        <f aca="false">IF(I14,H14/I14,H14)</f>
        <v>0</v>
      </c>
      <c r="K14" s="34" t="n">
        <f aca="false">IFERROR(GETPIVOTDATA("Points",$R$2,"Sniper",G14),0)</f>
        <v>0</v>
      </c>
      <c r="L14" s="34" t="n">
        <f aca="false">IFERROR(GETPIVOTDATA("Points",$R$2,"Snipee",G14),0)</f>
        <v>77</v>
      </c>
      <c r="M14" s="124" t="n">
        <f aca="false">IF(L14,K14/L14,K14)</f>
        <v>0</v>
      </c>
      <c r="N14" s="35" t="n">
        <f aca="false">IF(H14,K14/H14,0)</f>
        <v>0</v>
      </c>
      <c r="O14" s="35" t="n">
        <f aca="false">IF(I14,L14/I14,0)</f>
        <v>1.71111111111111</v>
      </c>
      <c r="P14" s="125" t="n">
        <f aca="false">IFERROR(VLOOKUP(G14,R:AG,16,FALSE())/12,0)</f>
        <v>0</v>
      </c>
      <c r="Q14" s="8"/>
      <c r="R14" s="63" t="s">
        <v>44</v>
      </c>
      <c r="S14" s="113" t="n">
        <v>87</v>
      </c>
      <c r="T14" s="114" t="n">
        <v>77</v>
      </c>
      <c r="U14" s="114" t="n">
        <v>53</v>
      </c>
      <c r="V14" s="114" t="n">
        <v>48</v>
      </c>
      <c r="W14" s="114" t="n">
        <v>34</v>
      </c>
      <c r="X14" s="114" t="n">
        <v>33</v>
      </c>
      <c r="Y14" s="114" t="n">
        <v>22</v>
      </c>
      <c r="Z14" s="114" t="n">
        <v>15</v>
      </c>
      <c r="AA14" s="114" t="n">
        <v>2</v>
      </c>
      <c r="AB14" s="114" t="n">
        <v>1</v>
      </c>
      <c r="AC14" s="115" t="n">
        <v>1</v>
      </c>
      <c r="AD14" s="65" t="n">
        <v>373</v>
      </c>
      <c r="AF14" s="134"/>
      <c r="AG14" s="27" t="n">
        <f aca="false">IF(COUNT(S14:AF14)&lt;&gt;0,COUNT(S14:AF14)-1,"")</f>
        <v>11</v>
      </c>
      <c r="AI14" s="52" t="s">
        <v>88</v>
      </c>
      <c r="AJ14" s="31" t="s">
        <v>16</v>
      </c>
      <c r="AK14" s="31" t="s">
        <v>17</v>
      </c>
      <c r="AL14" s="31" t="s">
        <v>18</v>
      </c>
      <c r="AM14" s="31" t="s">
        <v>19</v>
      </c>
      <c r="AN14" s="31" t="s">
        <v>20</v>
      </c>
      <c r="AO14" s="31" t="s">
        <v>21</v>
      </c>
      <c r="AP14" s="31" t="s">
        <v>22</v>
      </c>
      <c r="AQ14" s="31" t="s">
        <v>23</v>
      </c>
      <c r="AR14" s="53" t="s">
        <v>24</v>
      </c>
    </row>
    <row r="15" customFormat="false" ht="14.25" hidden="false" customHeight="true" outlineLevel="0" collapsed="false">
      <c r="A15" s="94" t="s">
        <v>39</v>
      </c>
      <c r="B15" s="95" t="n">
        <v>2</v>
      </c>
      <c r="C15" s="96" t="s">
        <v>35</v>
      </c>
      <c r="D15" s="17" t="s">
        <v>1166</v>
      </c>
      <c r="F15" s="32"/>
      <c r="Q15" s="8"/>
      <c r="AF15" s="134"/>
      <c r="AG15" s="27" t="str">
        <f aca="false">IF(COUNT(S15:AF15)&lt;&gt;0,COUNT(S15:AF15)-1,"")</f>
        <v/>
      </c>
      <c r="AI15" s="54" t="s">
        <v>91</v>
      </c>
      <c r="AJ15" s="55" t="n">
        <v>7.5</v>
      </c>
      <c r="AK15" s="56" t="n">
        <v>-6</v>
      </c>
      <c r="AL15" s="56" t="n">
        <v>25</v>
      </c>
      <c r="AM15" s="56" t="n">
        <v>8.5</v>
      </c>
      <c r="AN15" s="56" t="n">
        <v>-6.5</v>
      </c>
      <c r="AO15" s="56" t="n">
        <v>25</v>
      </c>
      <c r="AP15" s="56" t="n">
        <v>20</v>
      </c>
      <c r="AQ15" s="56" t="n">
        <v>-20</v>
      </c>
      <c r="AR15" s="57" t="n">
        <v>250</v>
      </c>
      <c r="AS15" s="41" t="s">
        <v>92</v>
      </c>
    </row>
    <row r="16" customFormat="false" ht="14.25" hidden="false" customHeight="true" outlineLevel="0" collapsed="false">
      <c r="A16" s="94" t="s">
        <v>33</v>
      </c>
      <c r="B16" s="95" t="n">
        <v>1</v>
      </c>
      <c r="C16" s="96" t="s">
        <v>42</v>
      </c>
      <c r="D16" s="17" t="s">
        <v>1167</v>
      </c>
      <c r="F16" s="32"/>
      <c r="Q16" s="58"/>
      <c r="AI16" s="130" t="s">
        <v>30</v>
      </c>
      <c r="AJ16" s="34" t="n">
        <f aca="false">H3*$AJ$15</f>
        <v>210</v>
      </c>
      <c r="AK16" s="59" t="n">
        <f aca="false">I3*$AK$15</f>
        <v>-150</v>
      </c>
      <c r="AL16" s="60" t="n">
        <f aca="false">J3*$AL$15</f>
        <v>28</v>
      </c>
      <c r="AM16" s="131" t="n">
        <f aca="false">K3*$AM$15</f>
        <v>280.5</v>
      </c>
      <c r="AN16" s="131" t="n">
        <f aca="false">L3*$AN$15</f>
        <v>-214.5</v>
      </c>
      <c r="AO16" s="132" t="n">
        <f aca="false">M3*$AO$15</f>
        <v>25</v>
      </c>
      <c r="AP16" s="60" t="n">
        <f aca="false">N3*$AP$15</f>
        <v>23.5714285714286</v>
      </c>
      <c r="AQ16" s="60" t="n">
        <f aca="false">O3*$AQ$15</f>
        <v>-26.4</v>
      </c>
      <c r="AR16" s="133" t="n">
        <f aca="false">P3*$AR$15</f>
        <v>125</v>
      </c>
      <c r="AS16" s="62" t="n">
        <f aca="false">SUM(AJ16:AR16)</f>
        <v>301.171428571429</v>
      </c>
    </row>
    <row r="17" customFormat="false" ht="14.25" hidden="false" customHeight="true" outlineLevel="0" collapsed="false">
      <c r="A17" s="94" t="s">
        <v>42</v>
      </c>
      <c r="B17" s="95" t="n">
        <v>1</v>
      </c>
      <c r="C17" s="96" t="s">
        <v>33</v>
      </c>
      <c r="D17" s="17" t="s">
        <v>1168</v>
      </c>
      <c r="F17" s="32"/>
      <c r="G17" s="7" t="s">
        <v>105</v>
      </c>
      <c r="H17" s="7"/>
      <c r="I17" s="7"/>
      <c r="J17" s="7"/>
      <c r="K17" s="7"/>
      <c r="L17" s="7"/>
      <c r="M17" s="7"/>
      <c r="N17" s="7"/>
      <c r="O17" s="7"/>
      <c r="AF17" s="66"/>
      <c r="AG17" s="66" t="str">
        <f aca="false">IF(COUNT(S17:AE17)&lt;&gt;0,COUNT(S17:AE17)-1,"")</f>
        <v/>
      </c>
      <c r="AI17" s="33" t="s">
        <v>42</v>
      </c>
      <c r="AJ17" s="34" t="n">
        <f aca="false">H4*$AJ$15</f>
        <v>315</v>
      </c>
      <c r="AK17" s="59" t="n">
        <f aca="false">I4*$AK$15</f>
        <v>-150</v>
      </c>
      <c r="AL17" s="60" t="n">
        <f aca="false">J4*$AL$15</f>
        <v>42</v>
      </c>
      <c r="AM17" s="131" t="n">
        <f aca="false">K4*$AM$15</f>
        <v>476</v>
      </c>
      <c r="AN17" s="131" t="n">
        <f aca="false">L4*$AN$15</f>
        <v>-221</v>
      </c>
      <c r="AO17" s="132" t="n">
        <f aca="false">M4*$AO$15</f>
        <v>41.1764705882353</v>
      </c>
      <c r="AP17" s="60" t="n">
        <f aca="false">N4*$AP$15</f>
        <v>26.6666666666667</v>
      </c>
      <c r="AQ17" s="60" t="n">
        <f aca="false">O4*$AQ$15</f>
        <v>-27.2</v>
      </c>
      <c r="AR17" s="133" t="n">
        <f aca="false">P4*$AR$15</f>
        <v>166.666666666667</v>
      </c>
      <c r="AS17" s="62" t="n">
        <f aca="false">SUM(AJ17:AR17)</f>
        <v>669.309803921569</v>
      </c>
    </row>
    <row r="18" customFormat="false" ht="14.25" hidden="false" customHeight="true" outlineLevel="0" collapsed="false">
      <c r="A18" s="94" t="s">
        <v>42</v>
      </c>
      <c r="B18" s="95" t="n">
        <v>2</v>
      </c>
      <c r="C18" s="96" t="s">
        <v>36</v>
      </c>
      <c r="D18" s="17" t="s">
        <v>1169</v>
      </c>
      <c r="F18" s="32"/>
      <c r="G18" s="52" t="s">
        <v>108</v>
      </c>
      <c r="H18" s="31" t="s">
        <v>16</v>
      </c>
      <c r="I18" s="31" t="s">
        <v>17</v>
      </c>
      <c r="J18" s="31" t="s">
        <v>18</v>
      </c>
      <c r="K18" s="31" t="s">
        <v>19</v>
      </c>
      <c r="L18" s="31" t="s">
        <v>20</v>
      </c>
      <c r="M18" s="31" t="s">
        <v>21</v>
      </c>
      <c r="N18" s="21" t="s">
        <v>22</v>
      </c>
      <c r="O18" s="31" t="s">
        <v>23</v>
      </c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 t="str">
        <f aca="false">IF(COUNT(S18:AE18)&lt;&gt;0,COUNT(S18:AE18)-1,"")</f>
        <v/>
      </c>
      <c r="AI18" s="33" t="s">
        <v>40</v>
      </c>
      <c r="AJ18" s="34" t="n">
        <f aca="false">H5*$AJ$15</f>
        <v>45</v>
      </c>
      <c r="AK18" s="59" t="n">
        <f aca="false">I5*$AK$15</f>
        <v>-96</v>
      </c>
      <c r="AL18" s="60" t="n">
        <f aca="false">J5*$AL$15</f>
        <v>9.375</v>
      </c>
      <c r="AM18" s="131" t="n">
        <f aca="false">K5*$AM$15</f>
        <v>68</v>
      </c>
      <c r="AN18" s="131" t="n">
        <f aca="false">L5*$AN$15</f>
        <v>-143</v>
      </c>
      <c r="AO18" s="132" t="n">
        <f aca="false">M5*$AO$15</f>
        <v>9.09090909090909</v>
      </c>
      <c r="AP18" s="60" t="n">
        <f aca="false">N5*$AP$15</f>
        <v>26.6666666666667</v>
      </c>
      <c r="AQ18" s="60" t="n">
        <f aca="false">O5*$AQ$15</f>
        <v>-27.5</v>
      </c>
      <c r="AR18" s="133" t="n">
        <f aca="false">P5*$AR$15</f>
        <v>83.3333333333333</v>
      </c>
      <c r="AS18" s="62" t="n">
        <f aca="false">SUM(AJ18:AR18)</f>
        <v>-25.0340909090909</v>
      </c>
    </row>
    <row r="19" customFormat="false" ht="14.25" hidden="false" customHeight="true" outlineLevel="0" collapsed="false">
      <c r="A19" s="94" t="s">
        <v>36</v>
      </c>
      <c r="B19" s="95" t="n">
        <v>1</v>
      </c>
      <c r="C19" s="96" t="s">
        <v>42</v>
      </c>
      <c r="D19" s="17" t="s">
        <v>1170</v>
      </c>
      <c r="F19" s="32"/>
      <c r="G19" s="33" t="s">
        <v>111</v>
      </c>
      <c r="H19" s="67" t="n">
        <f aca="false">SUM(H3:H4)/COUNT(H3:H4)</f>
        <v>35</v>
      </c>
      <c r="I19" s="67" t="n">
        <f aca="false">SUM(I3:I4)/COUNT(I3:I4)</f>
        <v>25</v>
      </c>
      <c r="J19" s="68" t="n">
        <f aca="false">IF(I19,H19/I19,H19)</f>
        <v>1.4</v>
      </c>
      <c r="K19" s="67" t="n">
        <f aca="false">SUM(K3:K4)/COUNT(K3:K4)</f>
        <v>44.5</v>
      </c>
      <c r="L19" s="67" t="n">
        <f aca="false">SUM(L3:L4)/COUNT(L3:L4)</f>
        <v>33.5</v>
      </c>
      <c r="M19" s="68" t="n">
        <f aca="false">IF(L19,K19/L19,K19)</f>
        <v>1.32835820895522</v>
      </c>
      <c r="N19" s="69" t="n">
        <f aca="false">IF(H19,K19/H19,0)</f>
        <v>1.27142857142857</v>
      </c>
      <c r="O19" s="70" t="n">
        <f aca="false">IF(I19,L19/I19,0)</f>
        <v>1.34</v>
      </c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 t="str">
        <f aca="false">IF(COUNT(S19:AE19)&lt;&gt;0,COUNT(S19:AE19)-1,"")</f>
        <v/>
      </c>
      <c r="AI19" s="33" t="s">
        <v>41</v>
      </c>
      <c r="AJ19" s="34" t="n">
        <f aca="false">H6*$AJ$15</f>
        <v>142.5</v>
      </c>
      <c r="AK19" s="59" t="n">
        <f aca="false">I6*$AK$15</f>
        <v>-102</v>
      </c>
      <c r="AL19" s="60" t="n">
        <f aca="false">J6*$AL$15</f>
        <v>27.9411764705882</v>
      </c>
      <c r="AM19" s="131" t="n">
        <f aca="false">K6*$AM$15</f>
        <v>0</v>
      </c>
      <c r="AN19" s="131" t="n">
        <f aca="false">L6*$AN$15</f>
        <v>-0</v>
      </c>
      <c r="AO19" s="132" t="n">
        <f aca="false">M6*$AO$15</f>
        <v>0</v>
      </c>
      <c r="AP19" s="60" t="n">
        <f aca="false">N6*$AP$15</f>
        <v>0</v>
      </c>
      <c r="AQ19" s="60" t="n">
        <f aca="false">O6*$AQ$15</f>
        <v>-0</v>
      </c>
      <c r="AR19" s="133" t="n">
        <f aca="false">P6*$AR$15</f>
        <v>0</v>
      </c>
      <c r="AS19" s="62" t="n">
        <f aca="false">SUM(AJ19:AR19)</f>
        <v>68.4411764705882</v>
      </c>
    </row>
    <row r="20" customFormat="false" ht="14.25" hidden="false" customHeight="true" outlineLevel="0" collapsed="false">
      <c r="A20" s="94" t="s">
        <v>1151</v>
      </c>
      <c r="B20" s="95" t="n">
        <v>2</v>
      </c>
      <c r="C20" s="96" t="s">
        <v>42</v>
      </c>
      <c r="D20" s="17" t="s">
        <v>1171</v>
      </c>
      <c r="F20" s="32"/>
      <c r="G20" s="33" t="s">
        <v>114</v>
      </c>
      <c r="H20" s="67" t="n">
        <f aca="false">SUM(H5:H8)/COUNT(H5:H8)</f>
        <v>32.25</v>
      </c>
      <c r="I20" s="67" t="n">
        <f aca="false">SUM(I5:I8)/COUNT(I5:I8)</f>
        <v>34.5</v>
      </c>
      <c r="J20" s="68" t="n">
        <f aca="false">IF(I20,H20/I20,H20)</f>
        <v>0.934782608695652</v>
      </c>
      <c r="K20" s="67" t="n">
        <f aca="false">SUM(K5:K8)/COUNT(K5:K8)</f>
        <v>34.25</v>
      </c>
      <c r="L20" s="67" t="n">
        <f aca="false">SUM(L5:L8)/COUNT(L5:L8)</f>
        <v>39.25</v>
      </c>
      <c r="M20" s="68" t="n">
        <f aca="false">IF(L20,K20/L20,K20)</f>
        <v>0.872611464968153</v>
      </c>
      <c r="N20" s="69" t="n">
        <f aca="false">IF(H20,K20/H20,0)</f>
        <v>1.06201550387597</v>
      </c>
      <c r="O20" s="70" t="n">
        <f aca="false">IF(I20,L20/I20,0)</f>
        <v>1.13768115942029</v>
      </c>
      <c r="S20" s="66"/>
      <c r="T20" s="66"/>
      <c r="U20" s="66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 t="str">
        <f aca="false">IF(COUNT(S20:AE20)&lt;&gt;0,COUNT(S20:AE20)-1,"")</f>
        <v/>
      </c>
      <c r="AI20" s="33" t="s">
        <v>1151</v>
      </c>
      <c r="AJ20" s="34" t="n">
        <f aca="false">H7*$AJ$15</f>
        <v>405</v>
      </c>
      <c r="AK20" s="59" t="n">
        <f aca="false">I7*$AK$15</f>
        <v>-252</v>
      </c>
      <c r="AL20" s="60" t="n">
        <f aca="false">J7*$AL$15</f>
        <v>32.1428571428571</v>
      </c>
      <c r="AM20" s="131" t="n">
        <f aca="false">K7*$AM$15</f>
        <v>569.5</v>
      </c>
      <c r="AN20" s="131" t="n">
        <f aca="false">L7*$AN$15</f>
        <v>-312</v>
      </c>
      <c r="AO20" s="132" t="n">
        <f aca="false">M7*$AO$15</f>
        <v>34.8958333333333</v>
      </c>
      <c r="AP20" s="60" t="n">
        <f aca="false">N7*$AP$15</f>
        <v>24.8148148148148</v>
      </c>
      <c r="AQ20" s="60" t="n">
        <f aca="false">O7*$AQ$15</f>
        <v>-22.8571428571429</v>
      </c>
      <c r="AR20" s="133" t="n">
        <f aca="false">P7*$AR$15</f>
        <v>187.5</v>
      </c>
      <c r="AS20" s="62" t="n">
        <f aca="false">SUM(AJ20:AR20)</f>
        <v>666.996362433863</v>
      </c>
    </row>
    <row r="21" customFormat="false" ht="14.25" hidden="false" customHeight="true" outlineLevel="0" collapsed="false">
      <c r="A21" s="94" t="s">
        <v>36</v>
      </c>
      <c r="B21" s="95" t="n">
        <v>1</v>
      </c>
      <c r="C21" s="96" t="s">
        <v>1151</v>
      </c>
      <c r="D21" s="17" t="s">
        <v>1172</v>
      </c>
      <c r="E21" s="6"/>
      <c r="F21" s="32"/>
      <c r="G21" s="33" t="s">
        <v>117</v>
      </c>
      <c r="H21" s="67" t="n">
        <f aca="false">SUM(H9:H11)/COUNT(H9:H11)</f>
        <v>31.3333333333333</v>
      </c>
      <c r="I21" s="67" t="n">
        <f aca="false">SUM(I9:I11)/COUNT(I9:I11)</f>
        <v>19.6666666666667</v>
      </c>
      <c r="J21" s="68" t="n">
        <f aca="false">IF(I21,H21/I21,H21)</f>
        <v>1.59322033898305</v>
      </c>
      <c r="K21" s="67" t="n">
        <f aca="false">SUM(K9:K11)/COUNT(K9:K11)</f>
        <v>47.6666666666667</v>
      </c>
      <c r="L21" s="67" t="n">
        <f aca="false">SUM(L9:L11)/COUNT(L9:L11)</f>
        <v>23.3333333333333</v>
      </c>
      <c r="M21" s="68" t="n">
        <f aca="false">IF(L21,K21/L21,K21)</f>
        <v>2.04285714285714</v>
      </c>
      <c r="N21" s="69" t="n">
        <f aca="false">IF(H21,K21/H21,0)</f>
        <v>1.52127659574468</v>
      </c>
      <c r="O21" s="70" t="n">
        <f aca="false">IF(I21,L21/I21,0)</f>
        <v>1.1864406779661</v>
      </c>
      <c r="S21" s="66"/>
      <c r="T21" s="66"/>
      <c r="U21" s="66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 t="str">
        <f aca="false">IF(COUNT(S21:AE21)&lt;&gt;0,COUNT(S21:AE21)-1,"")</f>
        <v/>
      </c>
      <c r="AI21" s="33" t="s">
        <v>36</v>
      </c>
      <c r="AJ21" s="34" t="n">
        <f aca="false">H8*$AJ$15</f>
        <v>375</v>
      </c>
      <c r="AK21" s="59" t="n">
        <f aca="false">I8*$AK$15</f>
        <v>-378</v>
      </c>
      <c r="AL21" s="60" t="n">
        <f aca="false">J8*$AL$15</f>
        <v>19.8412698412698</v>
      </c>
      <c r="AM21" s="131" t="n">
        <f aca="false">K8*$AM$15</f>
        <v>527</v>
      </c>
      <c r="AN21" s="131" t="n">
        <f aca="false">L8*$AN$15</f>
        <v>-565.5</v>
      </c>
      <c r="AO21" s="132" t="n">
        <f aca="false">M8*$AO$15</f>
        <v>17.816091954023</v>
      </c>
      <c r="AP21" s="60" t="n">
        <f aca="false">N8*$AP$15</f>
        <v>24.8</v>
      </c>
      <c r="AQ21" s="60" t="n">
        <f aca="false">O8*$AQ$15</f>
        <v>-27.6190476190476</v>
      </c>
      <c r="AR21" s="133" t="n">
        <f aca="false">P8*$AR$15</f>
        <v>104.166666666667</v>
      </c>
      <c r="AS21" s="62" t="n">
        <f aca="false">SUM(AJ21:AR21)</f>
        <v>97.5049808429119</v>
      </c>
    </row>
    <row r="22" customFormat="false" ht="14.25" hidden="false" customHeight="true" outlineLevel="0" collapsed="false">
      <c r="A22" s="94" t="s">
        <v>1151</v>
      </c>
      <c r="B22" s="95" t="n">
        <v>1</v>
      </c>
      <c r="C22" s="96" t="s">
        <v>36</v>
      </c>
      <c r="D22" s="17" t="s">
        <v>1173</v>
      </c>
      <c r="F22" s="17"/>
      <c r="G22" s="33" t="s">
        <v>120</v>
      </c>
      <c r="H22" s="67" t="n">
        <f aca="false">SUM(H12:H14)/COUNT(H12:H14)</f>
        <v>1</v>
      </c>
      <c r="I22" s="67" t="n">
        <f aca="false">SUM(I12:I14)/COUNT(I12:I14)</f>
        <v>15.6666666666667</v>
      </c>
      <c r="J22" s="68" t="n">
        <f aca="false">IF(I22,H22/I22,H22)</f>
        <v>0.0638297872340426</v>
      </c>
      <c r="K22" s="67" t="n">
        <f aca="false">SUM(K12:K14)/COUNT(K12:K14)</f>
        <v>1.33333333333333</v>
      </c>
      <c r="L22" s="67" t="n">
        <f aca="false">SUM(L12:L14)/COUNT(L12:L14)</f>
        <v>26.3333333333333</v>
      </c>
      <c r="M22" s="68" t="n">
        <f aca="false">IF(L22,K22/L22,K22)</f>
        <v>0.0506329113924051</v>
      </c>
      <c r="N22" s="69" t="n">
        <f aca="false">IF(H22,K22/H22,0)</f>
        <v>1.33333333333333</v>
      </c>
      <c r="O22" s="70" t="n">
        <f aca="false">IF(I22,L22/I22,0)</f>
        <v>1.68085106382979</v>
      </c>
      <c r="Q22" s="71"/>
      <c r="R22" s="116" t="s">
        <v>30</v>
      </c>
      <c r="S22" s="40" t="s">
        <v>595</v>
      </c>
      <c r="T22" s="117" t="s">
        <v>596</v>
      </c>
      <c r="U22" s="118" t="s">
        <v>597</v>
      </c>
      <c r="V22" s="119" t="s">
        <v>598</v>
      </c>
      <c r="AG22" s="66" t="str">
        <f aca="false">IF(COUNT(S22:AE22)&lt;&gt;0,COUNT(S22:AE22)-1,"")</f>
        <v/>
      </c>
      <c r="AI22" s="33" t="s">
        <v>1154</v>
      </c>
      <c r="AJ22" s="34" t="n">
        <f aca="false">H9*$AJ$15</f>
        <v>15</v>
      </c>
      <c r="AK22" s="59" t="n">
        <f aca="false">I9*$AK$15</f>
        <v>-12</v>
      </c>
      <c r="AL22" s="60" t="n">
        <f aca="false">J9*$AL$15</f>
        <v>25</v>
      </c>
      <c r="AM22" s="131" t="n">
        <f aca="false">K9*$AM$15</f>
        <v>34</v>
      </c>
      <c r="AN22" s="131" t="n">
        <f aca="false">L9*$AN$15</f>
        <v>-13</v>
      </c>
      <c r="AO22" s="132" t="n">
        <f aca="false">M9*$AO$15</f>
        <v>50</v>
      </c>
      <c r="AP22" s="60" t="n">
        <f aca="false">N9*$AP$15</f>
        <v>40</v>
      </c>
      <c r="AQ22" s="60" t="n">
        <f aca="false">O9*$AQ$15</f>
        <v>-20</v>
      </c>
      <c r="AR22" s="133" t="n">
        <f aca="false">P9*$AR$15</f>
        <v>41.6666666666667</v>
      </c>
      <c r="AS22" s="62" t="n">
        <f aca="false">SUM(AJ22:AR22)</f>
        <v>160.666666666667</v>
      </c>
    </row>
    <row r="23" customFormat="false" ht="14.25" hidden="false" customHeight="true" outlineLevel="0" collapsed="false">
      <c r="A23" s="94" t="s">
        <v>42</v>
      </c>
      <c r="B23" s="95" t="n">
        <v>1</v>
      </c>
      <c r="C23" s="96" t="s">
        <v>1151</v>
      </c>
      <c r="D23" s="17" t="s">
        <v>1174</v>
      </c>
      <c r="F23" s="32"/>
      <c r="G23" s="73" t="s">
        <v>123</v>
      </c>
      <c r="H23" s="67" t="n">
        <f aca="false">SUM(H12:H13)/COUNT(H12:H13)</f>
        <v>1.5</v>
      </c>
      <c r="I23" s="67" t="n">
        <f aca="false">SUM(I12:I13)/COUNT(I12:I13)</f>
        <v>1</v>
      </c>
      <c r="J23" s="68" t="n">
        <f aca="false">IF(I23,H23/I23,H23)</f>
        <v>1.5</v>
      </c>
      <c r="K23" s="67" t="n">
        <f aca="false">SUM(K12:K13)/COUNT(K12:K13)</f>
        <v>2</v>
      </c>
      <c r="L23" s="67" t="n">
        <f aca="false">SUM(L12:L13)/COUNT(L12:L13)</f>
        <v>1</v>
      </c>
      <c r="M23" s="68" t="n">
        <f aca="false">IF(L23,K23/L23,K23)</f>
        <v>2</v>
      </c>
      <c r="N23" s="69" t="n">
        <f aca="false">IF(H23,K23/H23,0)</f>
        <v>1.33333333333333</v>
      </c>
      <c r="O23" s="70" t="n">
        <f aca="false">IF(I23,L23/I23,0)</f>
        <v>1</v>
      </c>
      <c r="Q23" s="71"/>
      <c r="R23" s="46" t="s">
        <v>600</v>
      </c>
      <c r="S23" s="40" t="n">
        <f aca="false">COUNT(E:E)</f>
        <v>24</v>
      </c>
      <c r="T23" s="117" t="n">
        <f aca="false">COUNTIF(E:E,1)</f>
        <v>8</v>
      </c>
      <c r="U23" s="118" t="n">
        <f aca="false">S23-T23</f>
        <v>16</v>
      </c>
      <c r="V23" s="120" t="n">
        <f aca="false">IFERROR(T23/S23,0)</f>
        <v>0.333333333333333</v>
      </c>
      <c r="AI23" s="33" t="s">
        <v>33</v>
      </c>
      <c r="AJ23" s="34" t="n">
        <f aca="false">H10*$AJ$15</f>
        <v>112.5</v>
      </c>
      <c r="AK23" s="59" t="n">
        <f aca="false">I10*$AK$15</f>
        <v>-84</v>
      </c>
      <c r="AL23" s="60" t="n">
        <f aca="false">J10*$AL$15</f>
        <v>26.7857142857143</v>
      </c>
      <c r="AM23" s="131" t="n">
        <f aca="false">K10*$AM$15</f>
        <v>187</v>
      </c>
      <c r="AN23" s="131" t="n">
        <f aca="false">L10*$AN$15</f>
        <v>-97.5</v>
      </c>
      <c r="AO23" s="132" t="n">
        <f aca="false">M10*$AO$15</f>
        <v>36.6666666666667</v>
      </c>
      <c r="AP23" s="60" t="n">
        <f aca="false">N10*$AP$15</f>
        <v>29.3333333333333</v>
      </c>
      <c r="AQ23" s="60" t="n">
        <f aca="false">O10*$AQ$15</f>
        <v>-21.4285714285714</v>
      </c>
      <c r="AR23" s="133" t="n">
        <f aca="false">P10*$AR$15</f>
        <v>104.166666666667</v>
      </c>
      <c r="AS23" s="62" t="n">
        <f aca="false">SUM(AJ23:AR23)</f>
        <v>293.52380952381</v>
      </c>
    </row>
    <row r="24" customFormat="false" ht="14.25" hidden="false" customHeight="true" outlineLevel="0" collapsed="false">
      <c r="A24" s="94" t="s">
        <v>39</v>
      </c>
      <c r="B24" s="95" t="n">
        <v>2</v>
      </c>
      <c r="C24" s="96" t="s">
        <v>35</v>
      </c>
      <c r="D24" s="17" t="s">
        <v>1175</v>
      </c>
      <c r="F24" s="17"/>
      <c r="J24" s="72"/>
      <c r="K24" s="72"/>
      <c r="L24" s="72"/>
      <c r="M24" s="84"/>
      <c r="N24" s="84"/>
      <c r="O24" s="84"/>
      <c r="Q24" s="8"/>
      <c r="AD24" s="72"/>
      <c r="AI24" s="33" t="s">
        <v>39</v>
      </c>
      <c r="AJ24" s="34" t="n">
        <f aca="false">H11*$AJ$15</f>
        <v>577.5</v>
      </c>
      <c r="AK24" s="59" t="n">
        <f aca="false">I11*$AK$15</f>
        <v>-258</v>
      </c>
      <c r="AL24" s="60" t="n">
        <f aca="false">J11*$AL$15</f>
        <v>44.7674418604651</v>
      </c>
      <c r="AM24" s="131" t="n">
        <f aca="false">K11*$AM$15</f>
        <v>994.5</v>
      </c>
      <c r="AN24" s="131" t="n">
        <f aca="false">L11*$AN$15</f>
        <v>-344.5</v>
      </c>
      <c r="AO24" s="132" t="n">
        <f aca="false">M11*$AO$15</f>
        <v>55.188679245283</v>
      </c>
      <c r="AP24" s="60" t="n">
        <f aca="false">N11*$AP$15</f>
        <v>30.3896103896104</v>
      </c>
      <c r="AQ24" s="60" t="n">
        <f aca="false">O11*$AQ$15</f>
        <v>-24.6511627906977</v>
      </c>
      <c r="AR24" s="133" t="n">
        <f aca="false">P11*$AR$15</f>
        <v>125</v>
      </c>
      <c r="AS24" s="62" t="n">
        <f aca="false">SUM(AJ24:AR24)</f>
        <v>1200.19456870466</v>
      </c>
    </row>
    <row r="25" customFormat="false" ht="14.25" hidden="false" customHeight="true" outlineLevel="0" collapsed="false">
      <c r="A25" s="94" t="s">
        <v>33</v>
      </c>
      <c r="B25" s="95" t="n">
        <v>1</v>
      </c>
      <c r="C25" s="96" t="s">
        <v>36</v>
      </c>
      <c r="D25" s="17" t="s">
        <v>1176</v>
      </c>
      <c r="F25" s="32"/>
      <c r="G25" s="33" t="s">
        <v>88</v>
      </c>
      <c r="H25" s="41" t="s">
        <v>16</v>
      </c>
      <c r="Q25" s="33" t="s">
        <v>88</v>
      </c>
      <c r="R25" s="41" t="s">
        <v>19</v>
      </c>
      <c r="AI25" s="33" t="s">
        <v>43</v>
      </c>
      <c r="AJ25" s="34" t="n">
        <f aca="false">H12*$AJ$15</f>
        <v>15</v>
      </c>
      <c r="AK25" s="59" t="n">
        <f aca="false">I12*$AK$15</f>
        <v>-6</v>
      </c>
      <c r="AL25" s="60" t="n">
        <f aca="false">J12*$AL$15</f>
        <v>50</v>
      </c>
      <c r="AM25" s="131" t="n">
        <f aca="false">K12*$AM$15</f>
        <v>17</v>
      </c>
      <c r="AN25" s="131" t="n">
        <f aca="false">L12*$AN$15</f>
        <v>-6.5</v>
      </c>
      <c r="AO25" s="132" t="n">
        <f aca="false">M12*$AO$15</f>
        <v>50</v>
      </c>
      <c r="AP25" s="60" t="n">
        <f aca="false">N12*$AP$15</f>
        <v>20</v>
      </c>
      <c r="AQ25" s="60" t="n">
        <f aca="false">O12*$AQ$15</f>
        <v>-20</v>
      </c>
      <c r="AR25" s="133" t="n">
        <f aca="false">P12*$AR$15</f>
        <v>20.8333333333333</v>
      </c>
      <c r="AS25" s="62" t="n">
        <f aca="false">SUM(AJ25:AR25)</f>
        <v>140.333333333333</v>
      </c>
    </row>
    <row r="26" customFormat="false" ht="14.25" hidden="false" customHeight="true" outlineLevel="0" collapsed="false">
      <c r="A26" s="94" t="s">
        <v>36</v>
      </c>
      <c r="B26" s="95" t="n">
        <v>1</v>
      </c>
      <c r="C26" s="96" t="s">
        <v>33</v>
      </c>
      <c r="D26" s="17" t="s">
        <v>1177</v>
      </c>
      <c r="F26" s="32"/>
      <c r="G26" s="33" t="s">
        <v>39</v>
      </c>
      <c r="H26" s="34" t="n">
        <f aca="false">$H$11</f>
        <v>77</v>
      </c>
      <c r="Q26" s="33" t="s">
        <v>39</v>
      </c>
      <c r="R26" s="34" t="n">
        <f aca="false">$K$11</f>
        <v>117</v>
      </c>
      <c r="AI26" s="33" t="s">
        <v>95</v>
      </c>
      <c r="AJ26" s="34" t="n">
        <f aca="false">H13*$AJ$15</f>
        <v>7.5</v>
      </c>
      <c r="AK26" s="59" t="n">
        <f aca="false">I13*$AK$15</f>
        <v>-6</v>
      </c>
      <c r="AL26" s="60" t="n">
        <f aca="false">J13*$AL$15</f>
        <v>25</v>
      </c>
      <c r="AM26" s="131" t="n">
        <f aca="false">K13*$AM$15</f>
        <v>17</v>
      </c>
      <c r="AN26" s="131" t="n">
        <f aca="false">L13*$AN$15</f>
        <v>-6.5</v>
      </c>
      <c r="AO26" s="132" t="n">
        <f aca="false">M13*$AO$15</f>
        <v>50</v>
      </c>
      <c r="AP26" s="60" t="n">
        <f aca="false">N13*$AP$15</f>
        <v>40</v>
      </c>
      <c r="AQ26" s="60" t="n">
        <f aca="false">O13*$AQ$15</f>
        <v>-20</v>
      </c>
      <c r="AR26" s="133" t="n">
        <f aca="false">P13*$AR$15</f>
        <v>20.8333333333333</v>
      </c>
      <c r="AS26" s="62" t="n">
        <f aca="false">SUM(AJ26:AR26)</f>
        <v>127.833333333333</v>
      </c>
    </row>
    <row r="27" customFormat="false" ht="14.25" hidden="false" customHeight="true" outlineLevel="0" collapsed="false">
      <c r="A27" s="94" t="s">
        <v>30</v>
      </c>
      <c r="B27" s="95" t="n">
        <v>2</v>
      </c>
      <c r="C27" s="96" t="s">
        <v>36</v>
      </c>
      <c r="D27" s="17" t="s">
        <v>1178</v>
      </c>
      <c r="F27" s="17"/>
      <c r="G27" s="33" t="s">
        <v>1151</v>
      </c>
      <c r="H27" s="34" t="n">
        <f aca="false">$H$7</f>
        <v>54</v>
      </c>
      <c r="Q27" s="33" t="s">
        <v>1151</v>
      </c>
      <c r="R27" s="34" t="n">
        <f aca="false">$K$7</f>
        <v>67</v>
      </c>
      <c r="AI27" s="33" t="s">
        <v>35</v>
      </c>
      <c r="AJ27" s="34" t="n">
        <f aca="false">H14*$AJ$15</f>
        <v>0</v>
      </c>
      <c r="AK27" s="59" t="n">
        <f aca="false">I14*$AK$15</f>
        <v>-270</v>
      </c>
      <c r="AL27" s="60" t="n">
        <f aca="false">J14*$AL$15</f>
        <v>0</v>
      </c>
      <c r="AM27" s="131" t="n">
        <f aca="false">K14*$AM$15</f>
        <v>0</v>
      </c>
      <c r="AN27" s="131" t="n">
        <f aca="false">L14*$AN$15</f>
        <v>-500.5</v>
      </c>
      <c r="AO27" s="132" t="n">
        <f aca="false">M14*$AO$15</f>
        <v>0</v>
      </c>
      <c r="AP27" s="60" t="n">
        <f aca="false">N14*$AP$15</f>
        <v>0</v>
      </c>
      <c r="AQ27" s="60" t="n">
        <f aca="false">O14*$AQ$15</f>
        <v>-34.2222222222222</v>
      </c>
      <c r="AR27" s="133" t="n">
        <f aca="false">P14*$AR$15</f>
        <v>0</v>
      </c>
      <c r="AS27" s="62" t="n">
        <f aca="false">SUM(AJ27:AR27)</f>
        <v>-804.722222222222</v>
      </c>
    </row>
    <row r="28" customFormat="false" ht="14.25" hidden="false" customHeight="true" outlineLevel="0" collapsed="false">
      <c r="A28" s="94" t="s">
        <v>1151</v>
      </c>
      <c r="B28" s="95" t="n">
        <v>1</v>
      </c>
      <c r="C28" s="96" t="s">
        <v>36</v>
      </c>
      <c r="D28" s="17" t="s">
        <v>1179</v>
      </c>
      <c r="F28" s="32"/>
      <c r="G28" s="33" t="s">
        <v>36</v>
      </c>
      <c r="H28" s="34" t="n">
        <f aca="false">$H$8</f>
        <v>50</v>
      </c>
      <c r="Q28" s="33" t="s">
        <v>36</v>
      </c>
      <c r="R28" s="34" t="n">
        <f aca="false">$K$8</f>
        <v>62</v>
      </c>
    </row>
    <row r="29" customFormat="false" ht="14.25" hidden="false" customHeight="true" outlineLevel="0" collapsed="false">
      <c r="A29" s="94" t="s">
        <v>36</v>
      </c>
      <c r="B29" s="95" t="n">
        <v>1</v>
      </c>
      <c r="C29" s="96" t="s">
        <v>1151</v>
      </c>
      <c r="D29" s="17" t="s">
        <v>1180</v>
      </c>
      <c r="F29" s="17"/>
      <c r="G29" s="33" t="s">
        <v>42</v>
      </c>
      <c r="H29" s="34" t="n">
        <f aca="false">$H$4</f>
        <v>42</v>
      </c>
      <c r="Q29" s="33" t="s">
        <v>42</v>
      </c>
      <c r="R29" s="34" t="n">
        <f aca="false">$K$4</f>
        <v>56</v>
      </c>
    </row>
    <row r="30" customFormat="false" ht="14.25" hidden="false" customHeight="true" outlineLevel="0" collapsed="false">
      <c r="A30" s="94" t="s">
        <v>41</v>
      </c>
      <c r="B30" s="95" t="n">
        <v>2</v>
      </c>
      <c r="C30" s="96" t="s">
        <v>36</v>
      </c>
      <c r="D30" s="17" t="s">
        <v>1181</v>
      </c>
      <c r="F30" s="32"/>
      <c r="G30" s="33" t="s">
        <v>30</v>
      </c>
      <c r="H30" s="34" t="n">
        <f aca="false">$H$3</f>
        <v>28</v>
      </c>
      <c r="Q30" s="33" t="s">
        <v>30</v>
      </c>
      <c r="R30" s="34" t="n">
        <f aca="false">$K$3</f>
        <v>33</v>
      </c>
    </row>
    <row r="31" customFormat="false" ht="14.25" hidden="false" customHeight="true" outlineLevel="0" collapsed="false">
      <c r="A31" s="94" t="s">
        <v>36</v>
      </c>
      <c r="B31" s="95" t="n">
        <v>1</v>
      </c>
      <c r="C31" s="96" t="s">
        <v>41</v>
      </c>
      <c r="D31" s="17" t="s">
        <v>1182</v>
      </c>
      <c r="F31" s="32"/>
      <c r="G31" s="33" t="s">
        <v>41</v>
      </c>
      <c r="H31" s="34" t="n">
        <f aca="false">$H$6</f>
        <v>19</v>
      </c>
      <c r="Q31" s="33" t="s">
        <v>41</v>
      </c>
      <c r="R31" s="34" t="n">
        <f aca="false">$K$6</f>
        <v>0</v>
      </c>
    </row>
    <row r="32" customFormat="false" ht="14.25" hidden="false" customHeight="true" outlineLevel="0" collapsed="false">
      <c r="A32" s="94" t="s">
        <v>39</v>
      </c>
      <c r="B32" s="95" t="n">
        <v>2</v>
      </c>
      <c r="C32" s="96" t="s">
        <v>42</v>
      </c>
      <c r="D32" s="17" t="s">
        <v>1183</v>
      </c>
      <c r="F32" s="32"/>
      <c r="G32" s="33" t="s">
        <v>33</v>
      </c>
      <c r="H32" s="34" t="n">
        <f aca="false">$H$10</f>
        <v>15</v>
      </c>
      <c r="Q32" s="33" t="s">
        <v>33</v>
      </c>
      <c r="R32" s="34" t="n">
        <f aca="false">$K$10</f>
        <v>22</v>
      </c>
      <c r="AI32" s="72"/>
      <c r="AJ32" s="72"/>
      <c r="AK32" s="72"/>
    </row>
    <row r="33" customFormat="false" ht="14.25" hidden="false" customHeight="true" outlineLevel="0" collapsed="false">
      <c r="A33" s="94" t="s">
        <v>42</v>
      </c>
      <c r="B33" s="95" t="n">
        <v>1</v>
      </c>
      <c r="C33" s="96" t="s">
        <v>39</v>
      </c>
      <c r="D33" s="17" t="s">
        <v>1184</v>
      </c>
      <c r="F33" s="32"/>
      <c r="G33" s="33" t="s">
        <v>40</v>
      </c>
      <c r="H33" s="34" t="n">
        <f aca="false">$H$5</f>
        <v>6</v>
      </c>
      <c r="Q33" s="33" t="s">
        <v>40</v>
      </c>
      <c r="R33" s="34" t="n">
        <f aca="false">$K$5</f>
        <v>8</v>
      </c>
      <c r="AH33" s="72" t="s">
        <v>1185</v>
      </c>
      <c r="AI33" s="74" t="s">
        <v>88</v>
      </c>
      <c r="AJ33" s="75" t="s">
        <v>143</v>
      </c>
      <c r="AK33" s="75" t="s">
        <v>144</v>
      </c>
      <c r="AL33" s="72"/>
    </row>
    <row r="34" customFormat="false" ht="14.25" hidden="false" customHeight="true" outlineLevel="0" collapsed="false">
      <c r="A34" s="94" t="s">
        <v>39</v>
      </c>
      <c r="B34" s="95" t="n">
        <v>1</v>
      </c>
      <c r="C34" s="96" t="s">
        <v>1151</v>
      </c>
      <c r="D34" s="17" t="s">
        <v>1186</v>
      </c>
      <c r="F34" s="32"/>
      <c r="G34" s="33" t="s">
        <v>1154</v>
      </c>
      <c r="H34" s="34" t="n">
        <f aca="false">$H$9</f>
        <v>2</v>
      </c>
      <c r="Q34" s="33" t="s">
        <v>1154</v>
      </c>
      <c r="R34" s="34" t="n">
        <f aca="false">$K$9</f>
        <v>4</v>
      </c>
      <c r="AH34" s="72" t="s">
        <v>1187</v>
      </c>
      <c r="AI34" s="130" t="s">
        <v>39</v>
      </c>
      <c r="AJ34" s="62" t="n">
        <f aca="false">$AS$24</f>
        <v>1200.19456870466</v>
      </c>
      <c r="AK34" s="77" t="n">
        <f aca="false">AJ34-$AJ$45</f>
        <v>2004.91679092688</v>
      </c>
      <c r="AL34" s="6" t="n">
        <v>1</v>
      </c>
    </row>
    <row r="35" customFormat="false" ht="14.25" hidden="false" customHeight="true" outlineLevel="0" collapsed="false">
      <c r="A35" s="94" t="s">
        <v>1151</v>
      </c>
      <c r="B35" s="95" t="n">
        <v>2</v>
      </c>
      <c r="C35" s="96" t="s">
        <v>39</v>
      </c>
      <c r="D35" s="17" t="s">
        <v>1188</v>
      </c>
      <c r="F35" s="17"/>
      <c r="G35" s="33" t="s">
        <v>43</v>
      </c>
      <c r="H35" s="34" t="n">
        <f aca="false">$H$12</f>
        <v>2</v>
      </c>
      <c r="Q35" s="33" t="s">
        <v>43</v>
      </c>
      <c r="R35" s="34" t="n">
        <f aca="false">$K$12</f>
        <v>2</v>
      </c>
      <c r="AH35" s="72" t="s">
        <v>1189</v>
      </c>
      <c r="AI35" s="33" t="s">
        <v>1151</v>
      </c>
      <c r="AJ35" s="62" t="n">
        <f aca="false">$AS$20</f>
        <v>666.996362433863</v>
      </c>
      <c r="AK35" s="77" t="n">
        <f aca="false">AJ35-$AJ$45</f>
        <v>1471.71858465608</v>
      </c>
      <c r="AL35" s="6" t="n">
        <v>2</v>
      </c>
    </row>
    <row r="36" customFormat="false" ht="14.25" hidden="false" customHeight="true" outlineLevel="0" collapsed="false">
      <c r="A36" s="94" t="s">
        <v>1151</v>
      </c>
      <c r="B36" s="95" t="n">
        <v>1</v>
      </c>
      <c r="C36" s="96" t="s">
        <v>40</v>
      </c>
      <c r="D36" s="17" t="s">
        <v>1190</v>
      </c>
      <c r="F36" s="32"/>
      <c r="G36" s="33" t="s">
        <v>95</v>
      </c>
      <c r="H36" s="34" t="n">
        <f aca="false">$H$13</f>
        <v>1</v>
      </c>
      <c r="Q36" s="33" t="s">
        <v>95</v>
      </c>
      <c r="R36" s="34" t="n">
        <f aca="false">$K$13</f>
        <v>2</v>
      </c>
      <c r="AH36" s="72" t="s">
        <v>1191</v>
      </c>
      <c r="AI36" s="33" t="s">
        <v>42</v>
      </c>
      <c r="AJ36" s="62" t="n">
        <f aca="false">$AS$17</f>
        <v>669.309803921569</v>
      </c>
      <c r="AK36" s="77" t="n">
        <f aca="false">AJ36-$AJ$45</f>
        <v>1474.03202614379</v>
      </c>
      <c r="AL36" s="6" t="n">
        <v>3</v>
      </c>
    </row>
    <row r="37" customFormat="false" ht="14.25" hidden="false" customHeight="true" outlineLevel="0" collapsed="false">
      <c r="A37" s="94" t="s">
        <v>40</v>
      </c>
      <c r="B37" s="95" t="n">
        <v>1</v>
      </c>
      <c r="C37" s="96" t="s">
        <v>1151</v>
      </c>
      <c r="D37" s="17" t="s">
        <v>1192</v>
      </c>
      <c r="F37" s="17"/>
      <c r="G37" s="33" t="s">
        <v>35</v>
      </c>
      <c r="H37" s="34" t="n">
        <f aca="false">$H$14</f>
        <v>0</v>
      </c>
      <c r="Q37" s="33" t="s">
        <v>35</v>
      </c>
      <c r="R37" s="34" t="n">
        <f aca="false">$K$14</f>
        <v>0</v>
      </c>
      <c r="AH37" s="72" t="s">
        <v>1193</v>
      </c>
      <c r="AI37" s="33" t="s">
        <v>41</v>
      </c>
      <c r="AJ37" s="62" t="n">
        <f aca="false">$AS$19</f>
        <v>68.4411764705882</v>
      </c>
      <c r="AK37" s="77" t="n">
        <f aca="false">AJ37-$AJ$45</f>
        <v>873.163398692811</v>
      </c>
      <c r="AL37" s="6" t="n">
        <v>4</v>
      </c>
    </row>
    <row r="38" customFormat="false" ht="14.25" hidden="false" customHeight="true" outlineLevel="0" collapsed="false">
      <c r="A38" s="94" t="s">
        <v>39</v>
      </c>
      <c r="B38" s="95" t="n">
        <v>2</v>
      </c>
      <c r="C38" s="96" t="s">
        <v>35</v>
      </c>
      <c r="D38" s="17" t="s">
        <v>1194</v>
      </c>
      <c r="F38" s="32"/>
      <c r="AH38" s="72" t="s">
        <v>1195</v>
      </c>
      <c r="AI38" s="33" t="s">
        <v>30</v>
      </c>
      <c r="AJ38" s="62" t="n">
        <f aca="false">$AS$16</f>
        <v>301.171428571429</v>
      </c>
      <c r="AK38" s="77" t="n">
        <f aca="false">AJ38-$AJ$45</f>
        <v>1105.89365079365</v>
      </c>
      <c r="AL38" s="6" t="n">
        <v>5</v>
      </c>
    </row>
    <row r="39" customFormat="false" ht="14.25" hidden="false" customHeight="true" outlineLevel="0" collapsed="false">
      <c r="A39" s="94" t="s">
        <v>36</v>
      </c>
      <c r="B39" s="95" t="n">
        <v>2</v>
      </c>
      <c r="C39" s="96" t="s">
        <v>39</v>
      </c>
      <c r="D39" s="17" t="s">
        <v>1196</v>
      </c>
      <c r="F39" s="32"/>
      <c r="AH39" s="72" t="s">
        <v>1197</v>
      </c>
      <c r="AI39" s="33" t="s">
        <v>33</v>
      </c>
      <c r="AJ39" s="62" t="n">
        <f aca="false">$AS$23</f>
        <v>293.52380952381</v>
      </c>
      <c r="AK39" s="77" t="n">
        <f aca="false">AJ39-$AJ$45</f>
        <v>1098.24603174603</v>
      </c>
      <c r="AL39" s="6" t="n">
        <v>6</v>
      </c>
    </row>
    <row r="40" customFormat="false" ht="14.25" hidden="false" customHeight="true" outlineLevel="0" collapsed="false">
      <c r="A40" s="94" t="s">
        <v>39</v>
      </c>
      <c r="B40" s="95" t="n">
        <v>2</v>
      </c>
      <c r="C40" s="96" t="s">
        <v>36</v>
      </c>
      <c r="D40" s="17" t="s">
        <v>1198</v>
      </c>
      <c r="F40" s="32"/>
      <c r="AH40" s="72" t="s">
        <v>1199</v>
      </c>
      <c r="AI40" s="33" t="s">
        <v>43</v>
      </c>
      <c r="AJ40" s="62" t="n">
        <f aca="false">$AS$25</f>
        <v>140.333333333333</v>
      </c>
      <c r="AK40" s="77" t="n">
        <f aca="false">AJ40-$AJ$45</f>
        <v>945.055555555556</v>
      </c>
      <c r="AL40" s="6" t="n">
        <v>7</v>
      </c>
    </row>
    <row r="41" customFormat="false" ht="14.25" hidden="false" customHeight="true" outlineLevel="0" collapsed="false">
      <c r="A41" s="94" t="s">
        <v>30</v>
      </c>
      <c r="B41" s="95" t="n">
        <v>1</v>
      </c>
      <c r="C41" s="96" t="s">
        <v>1151</v>
      </c>
      <c r="D41" s="17" t="s">
        <v>1200</v>
      </c>
      <c r="F41" s="17"/>
      <c r="G41" s="33" t="s">
        <v>88</v>
      </c>
      <c r="H41" s="41" t="s">
        <v>17</v>
      </c>
      <c r="Q41" s="33" t="s">
        <v>88</v>
      </c>
      <c r="R41" s="41" t="s">
        <v>20</v>
      </c>
      <c r="AH41" s="72" t="s">
        <v>1201</v>
      </c>
      <c r="AI41" s="33" t="s">
        <v>1154</v>
      </c>
      <c r="AJ41" s="62" t="n">
        <f aca="false">$AS$22</f>
        <v>160.666666666667</v>
      </c>
      <c r="AK41" s="77" t="n">
        <f aca="false">AJ41-$AJ$45</f>
        <v>965.388888888889</v>
      </c>
      <c r="AL41" s="6" t="n">
        <v>8</v>
      </c>
    </row>
    <row r="42" customFormat="false" ht="14.25" hidden="false" customHeight="true" outlineLevel="0" collapsed="false">
      <c r="A42" s="94" t="s">
        <v>1151</v>
      </c>
      <c r="B42" s="95" t="n">
        <v>2</v>
      </c>
      <c r="C42" s="96" t="s">
        <v>30</v>
      </c>
      <c r="D42" s="17" t="s">
        <v>1202</v>
      </c>
      <c r="E42" s="6" t="n">
        <v>0</v>
      </c>
      <c r="F42" s="32"/>
      <c r="G42" s="33" t="s">
        <v>36</v>
      </c>
      <c r="H42" s="34" t="n">
        <f aca="false">$I$8</f>
        <v>63</v>
      </c>
      <c r="Q42" s="33" t="s">
        <v>36</v>
      </c>
      <c r="R42" s="34" t="n">
        <f aca="false">$L$8</f>
        <v>87</v>
      </c>
      <c r="AH42" s="72" t="s">
        <v>1203</v>
      </c>
      <c r="AI42" s="33" t="s">
        <v>95</v>
      </c>
      <c r="AJ42" s="62" t="n">
        <f aca="false">$AS$26</f>
        <v>127.833333333333</v>
      </c>
      <c r="AK42" s="77" t="n">
        <f aca="false">AJ42-$AJ$45</f>
        <v>932.555555555556</v>
      </c>
      <c r="AL42" s="6" t="n">
        <v>9</v>
      </c>
    </row>
    <row r="43" customFormat="false" ht="14.25" hidden="false" customHeight="true" outlineLevel="0" collapsed="false">
      <c r="A43" s="94" t="s">
        <v>1151</v>
      </c>
      <c r="B43" s="95" t="n">
        <v>1</v>
      </c>
      <c r="C43" s="96" t="s">
        <v>35</v>
      </c>
      <c r="D43" s="17" t="s">
        <v>1204</v>
      </c>
      <c r="F43" s="32"/>
      <c r="G43" s="33" t="s">
        <v>35</v>
      </c>
      <c r="H43" s="34" t="n">
        <f aca="false">$I$14</f>
        <v>45</v>
      </c>
      <c r="Q43" s="33" t="s">
        <v>35</v>
      </c>
      <c r="R43" s="34" t="n">
        <f aca="false">$L$14</f>
        <v>77</v>
      </c>
      <c r="AH43" s="72" t="s">
        <v>1205</v>
      </c>
      <c r="AI43" s="33" t="s">
        <v>36</v>
      </c>
      <c r="AJ43" s="62" t="n">
        <f aca="false">$AS$21</f>
        <v>97.5049808429119</v>
      </c>
      <c r="AK43" s="77" t="n">
        <f aca="false">AJ43-$AJ$45</f>
        <v>902.227203065134</v>
      </c>
      <c r="AL43" s="6" t="n">
        <v>10</v>
      </c>
    </row>
    <row r="44" customFormat="false" ht="14.25" hidden="false" customHeight="true" outlineLevel="0" collapsed="false">
      <c r="A44" s="94" t="s">
        <v>39</v>
      </c>
      <c r="B44" s="95" t="n">
        <v>2</v>
      </c>
      <c r="C44" s="96" t="s">
        <v>30</v>
      </c>
      <c r="D44" s="17" t="s">
        <v>1206</v>
      </c>
      <c r="E44" s="6" t="n">
        <v>0</v>
      </c>
      <c r="F44" s="32"/>
      <c r="G44" s="33" t="s">
        <v>39</v>
      </c>
      <c r="H44" s="34" t="n">
        <f aca="false">$I$11</f>
        <v>43</v>
      </c>
      <c r="Q44" s="33" t="s">
        <v>39</v>
      </c>
      <c r="R44" s="34" t="n">
        <f aca="false">$L$11</f>
        <v>53</v>
      </c>
      <c r="AH44" s="72" t="s">
        <v>1207</v>
      </c>
      <c r="AI44" s="33" t="s">
        <v>40</v>
      </c>
      <c r="AJ44" s="62" t="n">
        <f aca="false">$AS$18</f>
        <v>-25.0340909090909</v>
      </c>
      <c r="AK44" s="77" t="n">
        <f aca="false">AJ44-$AJ$45</f>
        <v>779.688131313131</v>
      </c>
      <c r="AL44" s="6" t="n">
        <v>11</v>
      </c>
    </row>
    <row r="45" customFormat="false" ht="14.25" hidden="false" customHeight="true" outlineLevel="0" collapsed="false">
      <c r="A45" s="94" t="s">
        <v>39</v>
      </c>
      <c r="B45" s="95" t="n">
        <v>1</v>
      </c>
      <c r="C45" s="96" t="s">
        <v>36</v>
      </c>
      <c r="D45" s="17" t="s">
        <v>1208</v>
      </c>
      <c r="F45" s="17"/>
      <c r="G45" s="33" t="s">
        <v>1151</v>
      </c>
      <c r="H45" s="34" t="n">
        <f aca="false">$I$7</f>
        <v>42</v>
      </c>
      <c r="Q45" s="33" t="s">
        <v>1151</v>
      </c>
      <c r="R45" s="34" t="n">
        <f aca="false">$L$7</f>
        <v>48</v>
      </c>
      <c r="AH45" s="72" t="s">
        <v>1209</v>
      </c>
      <c r="AI45" s="33" t="s">
        <v>35</v>
      </c>
      <c r="AJ45" s="62" t="n">
        <f aca="false">$AS$27</f>
        <v>-804.722222222222</v>
      </c>
      <c r="AK45" s="77" t="n">
        <f aca="false">AJ45-$AJ$45</f>
        <v>0</v>
      </c>
      <c r="AL45" s="6" t="n">
        <v>12</v>
      </c>
    </row>
    <row r="46" customFormat="false" ht="14.25" hidden="false" customHeight="true" outlineLevel="0" collapsed="false">
      <c r="A46" s="94" t="s">
        <v>36</v>
      </c>
      <c r="B46" s="95" t="n">
        <v>1</v>
      </c>
      <c r="C46" s="96" t="s">
        <v>39</v>
      </c>
      <c r="D46" s="17" t="s">
        <v>1210</v>
      </c>
      <c r="F46" s="32"/>
      <c r="G46" s="33" t="s">
        <v>42</v>
      </c>
      <c r="H46" s="34" t="n">
        <f aca="false">$I$4</f>
        <v>25</v>
      </c>
      <c r="Q46" s="33" t="s">
        <v>30</v>
      </c>
      <c r="R46" s="34" t="n">
        <f aca="false">$L$3</f>
        <v>33</v>
      </c>
    </row>
    <row r="47" customFormat="false" ht="14.25" hidden="false" customHeight="true" outlineLevel="0" collapsed="false">
      <c r="A47" s="94" t="s">
        <v>39</v>
      </c>
      <c r="B47" s="95" t="n">
        <v>2</v>
      </c>
      <c r="C47" s="96" t="s">
        <v>36</v>
      </c>
      <c r="D47" s="17" t="s">
        <v>1211</v>
      </c>
      <c r="F47" s="32"/>
      <c r="G47" s="33" t="s">
        <v>30</v>
      </c>
      <c r="H47" s="34" t="n">
        <f aca="false">$I$3</f>
        <v>25</v>
      </c>
      <c r="Q47" s="33" t="s">
        <v>42</v>
      </c>
      <c r="R47" s="34" t="n">
        <f aca="false">$L$4</f>
        <v>34</v>
      </c>
      <c r="AI47" s="72"/>
      <c r="AJ47" s="72"/>
      <c r="AK47" s="72"/>
    </row>
    <row r="48" customFormat="false" ht="14.25" hidden="false" customHeight="true" outlineLevel="0" collapsed="false">
      <c r="A48" s="94" t="s">
        <v>39</v>
      </c>
      <c r="B48" s="95" t="n">
        <v>2</v>
      </c>
      <c r="C48" s="96" t="s">
        <v>35</v>
      </c>
      <c r="D48" s="17" t="s">
        <v>1212</v>
      </c>
      <c r="F48" s="32"/>
      <c r="G48" s="33" t="s">
        <v>41</v>
      </c>
      <c r="H48" s="34" t="n">
        <f aca="false">$I$6</f>
        <v>17</v>
      </c>
      <c r="Q48" s="33" t="s">
        <v>40</v>
      </c>
      <c r="R48" s="34" t="n">
        <f aca="false">$L$5</f>
        <v>22</v>
      </c>
      <c r="AI48" s="72"/>
      <c r="AJ48" s="72"/>
      <c r="AK48" s="72"/>
    </row>
    <row r="49" customFormat="false" ht="14.25" hidden="false" customHeight="true" outlineLevel="0" collapsed="false">
      <c r="A49" s="94" t="s">
        <v>43</v>
      </c>
      <c r="B49" s="95" t="n">
        <v>2</v>
      </c>
      <c r="C49" s="96" t="s">
        <v>1151</v>
      </c>
      <c r="D49" s="17" t="s">
        <v>1213</v>
      </c>
      <c r="F49" s="32"/>
      <c r="G49" s="33" t="s">
        <v>40</v>
      </c>
      <c r="H49" s="34" t="n">
        <f aca="false">$I$5</f>
        <v>16</v>
      </c>
      <c r="Q49" s="33" t="s">
        <v>41</v>
      </c>
      <c r="R49" s="34" t="n">
        <f aca="false">$L$6</f>
        <v>0</v>
      </c>
      <c r="AI49" s="72"/>
      <c r="AJ49" s="72"/>
      <c r="AK49" s="72"/>
    </row>
    <row r="50" customFormat="false" ht="14.25" hidden="false" customHeight="true" outlineLevel="0" collapsed="false">
      <c r="A50" s="94" t="s">
        <v>43</v>
      </c>
      <c r="B50" s="95" t="n">
        <v>2</v>
      </c>
      <c r="C50" s="96" t="s">
        <v>41</v>
      </c>
      <c r="D50" s="17" t="s">
        <v>1213</v>
      </c>
      <c r="F50" s="32"/>
      <c r="G50" s="33" t="s">
        <v>33</v>
      </c>
      <c r="H50" s="34" t="n">
        <f aca="false">$I$10</f>
        <v>14</v>
      </c>
      <c r="Q50" s="33" t="s">
        <v>33</v>
      </c>
      <c r="R50" s="34" t="n">
        <f aca="false">$L$10</f>
        <v>15</v>
      </c>
      <c r="AI50" s="72"/>
      <c r="AJ50" s="72"/>
      <c r="AK50" s="72"/>
    </row>
    <row r="51" customFormat="false" ht="14.25" hidden="false" customHeight="true" outlineLevel="0" collapsed="false">
      <c r="A51" s="94" t="s">
        <v>1151</v>
      </c>
      <c r="B51" s="95" t="n">
        <v>2</v>
      </c>
      <c r="C51" s="96" t="s">
        <v>30</v>
      </c>
      <c r="D51" s="17" t="s">
        <v>1214</v>
      </c>
      <c r="E51" s="6" t="n">
        <v>0</v>
      </c>
      <c r="F51" s="32"/>
      <c r="G51" s="33" t="s">
        <v>1154</v>
      </c>
      <c r="H51" s="34" t="n">
        <f aca="false">$I$9</f>
        <v>2</v>
      </c>
      <c r="Q51" s="33" t="s">
        <v>1154</v>
      </c>
      <c r="R51" s="34" t="n">
        <f aca="false">$L$9</f>
        <v>2</v>
      </c>
      <c r="AI51" s="7" t="s">
        <v>191</v>
      </c>
      <c r="AJ51" s="7"/>
      <c r="AK51" s="7"/>
      <c r="AL51" s="7"/>
      <c r="AM51" s="7"/>
      <c r="AN51" s="7"/>
      <c r="AO51" s="7"/>
      <c r="AP51" s="7"/>
      <c r="AQ51" s="7"/>
    </row>
    <row r="52" customFormat="false" ht="14.25" hidden="false" customHeight="true" outlineLevel="0" collapsed="false">
      <c r="A52" s="94" t="s">
        <v>41</v>
      </c>
      <c r="B52" s="95" t="n">
        <v>1</v>
      </c>
      <c r="C52" s="96" t="s">
        <v>30</v>
      </c>
      <c r="D52" s="17" t="s">
        <v>1215</v>
      </c>
      <c r="E52" s="6" t="n">
        <v>0</v>
      </c>
      <c r="F52" s="32"/>
      <c r="G52" s="33" t="s">
        <v>95</v>
      </c>
      <c r="H52" s="34" t="n">
        <f aca="false">$I$13</f>
        <v>1</v>
      </c>
      <c r="Q52" s="33" t="s">
        <v>95</v>
      </c>
      <c r="R52" s="34" t="n">
        <f aca="false">$L$13</f>
        <v>1</v>
      </c>
      <c r="AI52" s="78" t="s">
        <v>194</v>
      </c>
      <c r="AJ52" s="79" t="s">
        <v>16</v>
      </c>
      <c r="AK52" s="79" t="s">
        <v>17</v>
      </c>
      <c r="AL52" s="79" t="s">
        <v>18</v>
      </c>
      <c r="AM52" s="79" t="s">
        <v>19</v>
      </c>
      <c r="AN52" s="79" t="s">
        <v>20</v>
      </c>
      <c r="AO52" s="79" t="s">
        <v>21</v>
      </c>
      <c r="AP52" s="79" t="s">
        <v>22</v>
      </c>
      <c r="AQ52" s="79" t="s">
        <v>23</v>
      </c>
    </row>
    <row r="53" customFormat="false" ht="14.25" hidden="false" customHeight="true" outlineLevel="0" collapsed="false">
      <c r="A53" s="94" t="s">
        <v>30</v>
      </c>
      <c r="B53" s="95" t="n">
        <v>1</v>
      </c>
      <c r="C53" s="96" t="s">
        <v>41</v>
      </c>
      <c r="D53" s="17" t="s">
        <v>1216</v>
      </c>
      <c r="F53" s="32"/>
      <c r="G53" s="33" t="s">
        <v>43</v>
      </c>
      <c r="H53" s="34" t="n">
        <f aca="false">$I$12</f>
        <v>1</v>
      </c>
      <c r="Q53" s="33" t="s">
        <v>43</v>
      </c>
      <c r="R53" s="34" t="n">
        <f aca="false">$L$12</f>
        <v>1</v>
      </c>
      <c r="AI53" s="33" t="s">
        <v>91</v>
      </c>
      <c r="AJ53" s="55" t="n">
        <v>7.5</v>
      </c>
      <c r="AK53" s="56" t="n">
        <v>-6</v>
      </c>
      <c r="AL53" s="56" t="n">
        <v>25</v>
      </c>
      <c r="AM53" s="56" t="n">
        <v>8.5</v>
      </c>
      <c r="AN53" s="56" t="n">
        <v>-6.5</v>
      </c>
      <c r="AO53" s="56" t="n">
        <v>25</v>
      </c>
      <c r="AP53" s="56" t="n">
        <v>20</v>
      </c>
      <c r="AQ53" s="56" t="n">
        <v>-20</v>
      </c>
      <c r="AR53" s="41" t="s">
        <v>92</v>
      </c>
    </row>
    <row r="54" customFormat="false" ht="14.25" hidden="false" customHeight="true" outlineLevel="0" collapsed="false">
      <c r="A54" s="94" t="s">
        <v>30</v>
      </c>
      <c r="B54" s="95" t="n">
        <v>1</v>
      </c>
      <c r="C54" s="96" t="s">
        <v>1151</v>
      </c>
      <c r="D54" s="17" t="s">
        <v>1216</v>
      </c>
      <c r="F54" s="32"/>
      <c r="AI54" s="52" t="s">
        <v>111</v>
      </c>
      <c r="AJ54" s="35" t="n">
        <f aca="false">H19*$AJ$53</f>
        <v>262.5</v>
      </c>
      <c r="AK54" s="35" t="n">
        <f aca="false">I19*$AK$53</f>
        <v>-150</v>
      </c>
      <c r="AL54" s="35" t="n">
        <f aca="false">J19*$AL$53</f>
        <v>35</v>
      </c>
      <c r="AM54" s="35" t="n">
        <f aca="false">K19*$AM$53</f>
        <v>378.25</v>
      </c>
      <c r="AN54" s="35" t="n">
        <f aca="false">L19*$AN$53</f>
        <v>-217.75</v>
      </c>
      <c r="AO54" s="35" t="n">
        <f aca="false">M19*$AO$53</f>
        <v>33.2089552238806</v>
      </c>
      <c r="AP54" s="35" t="n">
        <f aca="false">N19*$AP$53</f>
        <v>25.4285714285714</v>
      </c>
      <c r="AQ54" s="35" t="n">
        <f aca="false">O19*$AQ$53</f>
        <v>-26.8</v>
      </c>
      <c r="AR54" s="35" t="n">
        <f aca="false">SUM(AJ54:AQ54)</f>
        <v>339.837526652452</v>
      </c>
    </row>
    <row r="55" customFormat="false" ht="14.25" hidden="false" customHeight="true" outlineLevel="0" collapsed="false">
      <c r="A55" s="94" t="s">
        <v>1151</v>
      </c>
      <c r="B55" s="95" t="n">
        <v>1</v>
      </c>
      <c r="C55" s="96" t="s">
        <v>39</v>
      </c>
      <c r="D55" s="17" t="s">
        <v>1217</v>
      </c>
      <c r="F55" s="32"/>
      <c r="AI55" s="33" t="s">
        <v>114</v>
      </c>
      <c r="AJ55" s="35" t="n">
        <f aca="false">H20*$AJ$53</f>
        <v>241.875</v>
      </c>
      <c r="AK55" s="35" t="n">
        <f aca="false">I20*$AK$53</f>
        <v>-207</v>
      </c>
      <c r="AL55" s="35" t="n">
        <f aca="false">J20*$AL$53</f>
        <v>23.3695652173913</v>
      </c>
      <c r="AM55" s="35" t="n">
        <f aca="false">K20*$AM$53</f>
        <v>291.125</v>
      </c>
      <c r="AN55" s="35" t="n">
        <f aca="false">L20*$AN$53</f>
        <v>-255.125</v>
      </c>
      <c r="AO55" s="35" t="n">
        <f aca="false">M20*$AO$53</f>
        <v>21.8152866242038</v>
      </c>
      <c r="AP55" s="35" t="n">
        <f aca="false">N20*$AP$53</f>
        <v>21.2403100775194</v>
      </c>
      <c r="AQ55" s="35" t="n">
        <f aca="false">O20*$AQ$53</f>
        <v>-22.7536231884058</v>
      </c>
      <c r="AR55" s="35" t="n">
        <f aca="false">SUM(AJ55:AQ55)</f>
        <v>114.546538730709</v>
      </c>
    </row>
    <row r="56" customFormat="false" ht="14.25" hidden="false" customHeight="true" outlineLevel="0" collapsed="false">
      <c r="A56" s="94" t="s">
        <v>39</v>
      </c>
      <c r="B56" s="95" t="n">
        <v>1</v>
      </c>
      <c r="C56" s="96" t="s">
        <v>1151</v>
      </c>
      <c r="D56" s="17" t="s">
        <v>1218</v>
      </c>
      <c r="F56" s="32"/>
      <c r="AI56" s="33" t="s">
        <v>117</v>
      </c>
      <c r="AJ56" s="35" t="n">
        <f aca="false">H21*$AJ$53</f>
        <v>235</v>
      </c>
      <c r="AK56" s="35" t="n">
        <f aca="false">I21*$AK$53</f>
        <v>-118</v>
      </c>
      <c r="AL56" s="35" t="n">
        <f aca="false">J21*$AL$53</f>
        <v>39.8305084745763</v>
      </c>
      <c r="AM56" s="35" t="n">
        <f aca="false">K21*$AM$53</f>
        <v>405.166666666667</v>
      </c>
      <c r="AN56" s="35" t="n">
        <f aca="false">L21*$AN$53</f>
        <v>-151.666666666667</v>
      </c>
      <c r="AO56" s="35" t="n">
        <f aca="false">M21*$AO$53</f>
        <v>51.0714285714286</v>
      </c>
      <c r="AP56" s="35" t="n">
        <f aca="false">N21*$AP$53</f>
        <v>30.4255319148936</v>
      </c>
      <c r="AQ56" s="35" t="n">
        <f aca="false">O21*$AQ$53</f>
        <v>-23.728813559322</v>
      </c>
      <c r="AR56" s="35" t="n">
        <f aca="false">SUM(AJ56:AQ56)</f>
        <v>468.098655401576</v>
      </c>
    </row>
    <row r="57" customFormat="false" ht="14.25" hidden="false" customHeight="true" outlineLevel="0" collapsed="false">
      <c r="A57" s="94" t="s">
        <v>30</v>
      </c>
      <c r="B57" s="95" t="n">
        <v>2</v>
      </c>
      <c r="C57" s="96" t="s">
        <v>1151</v>
      </c>
      <c r="D57" s="17" t="s">
        <v>1219</v>
      </c>
      <c r="F57" s="32"/>
      <c r="G57" s="33" t="s">
        <v>88</v>
      </c>
      <c r="H57" s="41" t="s">
        <v>18</v>
      </c>
      <c r="Q57" s="33" t="s">
        <v>88</v>
      </c>
      <c r="R57" s="41" t="s">
        <v>21</v>
      </c>
      <c r="AI57" s="33" t="s">
        <v>120</v>
      </c>
      <c r="AJ57" s="35" t="n">
        <f aca="false">H22*$AJ$53</f>
        <v>7.5</v>
      </c>
      <c r="AK57" s="35" t="n">
        <f aca="false">I22*$AK$53</f>
        <v>-94</v>
      </c>
      <c r="AL57" s="35" t="n">
        <f aca="false">J22*$AL$53</f>
        <v>1.59574468085106</v>
      </c>
      <c r="AM57" s="35" t="n">
        <f aca="false">K22*$AM$53</f>
        <v>11.3333333333333</v>
      </c>
      <c r="AN57" s="35" t="n">
        <f aca="false">L22*$AN$53</f>
        <v>-171.166666666667</v>
      </c>
      <c r="AO57" s="35" t="n">
        <f aca="false">M22*$AO$53</f>
        <v>1.26582278481013</v>
      </c>
      <c r="AP57" s="35" t="n">
        <f aca="false">N22*$AP$53</f>
        <v>26.6666666666667</v>
      </c>
      <c r="AQ57" s="35" t="n">
        <f aca="false">O22*$AQ$53</f>
        <v>-33.6170212765958</v>
      </c>
      <c r="AR57" s="35" t="n">
        <f aca="false">SUM(AJ57:AQ57)</f>
        <v>-250.422120477601</v>
      </c>
    </row>
    <row r="58" customFormat="false" ht="14.25" hidden="false" customHeight="true" outlineLevel="0" collapsed="false">
      <c r="A58" s="94" t="s">
        <v>1151</v>
      </c>
      <c r="B58" s="95" t="n">
        <v>1</v>
      </c>
      <c r="C58" s="96" t="s">
        <v>30</v>
      </c>
      <c r="D58" s="17" t="s">
        <v>1220</v>
      </c>
      <c r="E58" s="6" t="n">
        <v>1</v>
      </c>
      <c r="F58" s="32"/>
      <c r="G58" s="33" t="s">
        <v>43</v>
      </c>
      <c r="H58" s="35" t="n">
        <f aca="false">$J$12</f>
        <v>2</v>
      </c>
      <c r="Q58" s="33" t="s">
        <v>43</v>
      </c>
      <c r="R58" s="35" t="n">
        <f aca="false">$M$12</f>
        <v>2</v>
      </c>
      <c r="AI58" s="73" t="s">
        <v>123</v>
      </c>
      <c r="AJ58" s="35" t="n">
        <f aca="false">H23*$AJ$53</f>
        <v>11.25</v>
      </c>
      <c r="AK58" s="35" t="n">
        <f aca="false">I23*$AK$53</f>
        <v>-6</v>
      </c>
      <c r="AL58" s="35" t="n">
        <f aca="false">J23*$AL$53</f>
        <v>37.5</v>
      </c>
      <c r="AM58" s="35" t="n">
        <f aca="false">K23*$AM$53</f>
        <v>17</v>
      </c>
      <c r="AN58" s="35" t="n">
        <f aca="false">L23*$AN$53</f>
        <v>-6.5</v>
      </c>
      <c r="AO58" s="35" t="n">
        <f aca="false">M23*$AO$53</f>
        <v>50</v>
      </c>
      <c r="AP58" s="35" t="n">
        <f aca="false">N23*$AP$53</f>
        <v>26.6666666666667</v>
      </c>
      <c r="AQ58" s="35" t="n">
        <f aca="false">O23*$AQ$53</f>
        <v>-20</v>
      </c>
      <c r="AR58" s="35" t="n">
        <f aca="false">SUM(AJ58:AQ58)</f>
        <v>109.916666666667</v>
      </c>
    </row>
    <row r="59" customFormat="false" ht="14.25" hidden="false" customHeight="true" outlineLevel="0" collapsed="false">
      <c r="A59" s="94" t="s">
        <v>36</v>
      </c>
      <c r="B59" s="95" t="n">
        <v>2</v>
      </c>
      <c r="C59" s="96" t="s">
        <v>35</v>
      </c>
      <c r="D59" s="17" t="s">
        <v>1221</v>
      </c>
      <c r="F59" s="32"/>
      <c r="G59" s="33" t="s">
        <v>39</v>
      </c>
      <c r="H59" s="35" t="n">
        <f aca="false">$J$11</f>
        <v>1.7906976744186</v>
      </c>
      <c r="Q59" s="33" t="s">
        <v>39</v>
      </c>
      <c r="R59" s="35" t="n">
        <f aca="false">$M$11</f>
        <v>2.20754716981132</v>
      </c>
    </row>
    <row r="60" customFormat="false" ht="14.25" hidden="false" customHeight="true" outlineLevel="0" collapsed="false">
      <c r="A60" s="94" t="s">
        <v>30</v>
      </c>
      <c r="B60" s="95" t="n">
        <v>1</v>
      </c>
      <c r="C60" s="96" t="s">
        <v>1151</v>
      </c>
      <c r="D60" s="17" t="s">
        <v>1222</v>
      </c>
      <c r="F60" s="32"/>
      <c r="G60" s="33" t="s">
        <v>42</v>
      </c>
      <c r="H60" s="35" t="n">
        <f aca="false">$J$4</f>
        <v>1.68</v>
      </c>
      <c r="Q60" s="33" t="s">
        <v>1154</v>
      </c>
      <c r="R60" s="35" t="n">
        <f aca="false">$M$9</f>
        <v>2</v>
      </c>
      <c r="AI60" s="74" t="s">
        <v>10</v>
      </c>
      <c r="AJ60" s="75" t="s">
        <v>143</v>
      </c>
      <c r="AK60" s="75" t="s">
        <v>144</v>
      </c>
    </row>
    <row r="61" customFormat="false" ht="14.25" hidden="false" customHeight="true" outlineLevel="0" collapsed="false">
      <c r="A61" s="94" t="s">
        <v>1151</v>
      </c>
      <c r="B61" s="95" t="n">
        <v>1</v>
      </c>
      <c r="C61" s="96" t="s">
        <v>30</v>
      </c>
      <c r="D61" s="17" t="s">
        <v>1223</v>
      </c>
      <c r="E61" s="6" t="n">
        <v>0</v>
      </c>
      <c r="F61" s="17"/>
      <c r="G61" s="33" t="s">
        <v>1151</v>
      </c>
      <c r="H61" s="35" t="n">
        <f aca="false">$J$7</f>
        <v>1.28571428571429</v>
      </c>
      <c r="Q61" s="33" t="s">
        <v>95</v>
      </c>
      <c r="R61" s="35" t="n">
        <f aca="false">$M$13</f>
        <v>2</v>
      </c>
      <c r="AI61" s="52" t="s">
        <v>117</v>
      </c>
      <c r="AJ61" s="77" t="n">
        <f aca="false">$AR$56</f>
        <v>468.098655401576</v>
      </c>
      <c r="AK61" s="77" t="n">
        <f aca="false">AJ61-($AJ$65)</f>
        <v>718.520775879178</v>
      </c>
    </row>
    <row r="62" customFormat="false" ht="14.25" hidden="false" customHeight="true" outlineLevel="0" collapsed="false">
      <c r="A62" s="94" t="s">
        <v>39</v>
      </c>
      <c r="B62" s="95" t="n">
        <v>2</v>
      </c>
      <c r="C62" s="96" t="s">
        <v>36</v>
      </c>
      <c r="D62" s="17" t="s">
        <v>1224</v>
      </c>
      <c r="F62" s="32"/>
      <c r="G62" s="33" t="s">
        <v>30</v>
      </c>
      <c r="H62" s="35" t="n">
        <f aca="false">$J$3</f>
        <v>1.12</v>
      </c>
      <c r="Q62" s="33" t="s">
        <v>42</v>
      </c>
      <c r="R62" s="35" t="n">
        <f aca="false">$M$4</f>
        <v>1.64705882352941</v>
      </c>
      <c r="AI62" s="33" t="s">
        <v>111</v>
      </c>
      <c r="AJ62" s="77" t="n">
        <f aca="false">$AR$54</f>
        <v>339.837526652452</v>
      </c>
      <c r="AK62" s="77" t="n">
        <f aca="false">AJ62-($AJ$65)</f>
        <v>590.259647130053</v>
      </c>
    </row>
    <row r="63" customFormat="false" ht="14.25" hidden="false" customHeight="true" outlineLevel="0" collapsed="false">
      <c r="A63" s="94" t="s">
        <v>36</v>
      </c>
      <c r="B63" s="95" t="n">
        <v>2</v>
      </c>
      <c r="C63" s="96" t="s">
        <v>35</v>
      </c>
      <c r="D63" s="17" t="s">
        <v>1225</v>
      </c>
      <c r="F63" s="32"/>
      <c r="G63" s="33" t="s">
        <v>41</v>
      </c>
      <c r="H63" s="35" t="n">
        <f aca="false">$J$6</f>
        <v>1.11764705882353</v>
      </c>
      <c r="Q63" s="33" t="s">
        <v>33</v>
      </c>
      <c r="R63" s="35" t="n">
        <f aca="false">$M$10</f>
        <v>1.46666666666667</v>
      </c>
      <c r="AI63" s="73" t="s">
        <v>123</v>
      </c>
      <c r="AJ63" s="77" t="n">
        <f aca="false">$AR$58</f>
        <v>109.916666666667</v>
      </c>
      <c r="AK63" s="77" t="n">
        <f aca="false">AJ63-($AJ$65)</f>
        <v>360.338787144268</v>
      </c>
    </row>
    <row r="64" customFormat="false" ht="14.25" hidden="false" customHeight="true" outlineLevel="0" collapsed="false">
      <c r="A64" s="94" t="s">
        <v>30</v>
      </c>
      <c r="B64" s="95" t="n">
        <v>2</v>
      </c>
      <c r="C64" s="96" t="s">
        <v>39</v>
      </c>
      <c r="D64" s="17" t="s">
        <v>1226</v>
      </c>
      <c r="F64" s="32"/>
      <c r="G64" s="33" t="s">
        <v>33</v>
      </c>
      <c r="H64" s="35" t="n">
        <f aca="false">$J$10</f>
        <v>1.07142857142857</v>
      </c>
      <c r="Q64" s="33" t="s">
        <v>1151</v>
      </c>
      <c r="R64" s="35" t="n">
        <f aca="false">$M$7</f>
        <v>1.39583333333333</v>
      </c>
      <c r="AI64" s="33" t="s">
        <v>114</v>
      </c>
      <c r="AJ64" s="81" t="n">
        <f aca="false">$AR$55</f>
        <v>114.546538730709</v>
      </c>
      <c r="AK64" s="77" t="n">
        <f aca="false">AJ64-($AJ$65)</f>
        <v>364.96865920831</v>
      </c>
    </row>
    <row r="65" customFormat="false" ht="14.25" hidden="false" customHeight="true" outlineLevel="0" collapsed="false">
      <c r="A65" s="94" t="s">
        <v>39</v>
      </c>
      <c r="B65" s="95" t="n">
        <v>1</v>
      </c>
      <c r="C65" s="96" t="s">
        <v>30</v>
      </c>
      <c r="D65" s="17" t="s">
        <v>1227</v>
      </c>
      <c r="E65" s="6" t="n">
        <v>0</v>
      </c>
      <c r="F65" s="32"/>
      <c r="G65" s="33" t="s">
        <v>1154</v>
      </c>
      <c r="H65" s="35" t="n">
        <f aca="false">$J$9</f>
        <v>1</v>
      </c>
      <c r="Q65" s="33" t="s">
        <v>41</v>
      </c>
      <c r="R65" s="35" t="n">
        <f aca="false">$M$6</f>
        <v>0</v>
      </c>
      <c r="AI65" s="82" t="s">
        <v>120</v>
      </c>
      <c r="AJ65" s="77" t="n">
        <f aca="false">$AR$57</f>
        <v>-250.422120477601</v>
      </c>
      <c r="AK65" s="83" t="n">
        <f aca="false">AJ65-($AJ$65)</f>
        <v>0</v>
      </c>
    </row>
    <row r="66" customFormat="false" ht="14.25" hidden="false" customHeight="true" outlineLevel="0" collapsed="false">
      <c r="A66" s="94" t="s">
        <v>41</v>
      </c>
      <c r="B66" s="95" t="n">
        <v>2</v>
      </c>
      <c r="C66" s="96" t="s">
        <v>30</v>
      </c>
      <c r="D66" s="17" t="s">
        <v>1228</v>
      </c>
      <c r="E66" s="6" t="n">
        <v>0</v>
      </c>
      <c r="F66" s="32"/>
      <c r="G66" s="33" t="s">
        <v>95</v>
      </c>
      <c r="H66" s="35" t="n">
        <f aca="false">$J$13</f>
        <v>1</v>
      </c>
      <c r="Q66" s="33" t="s">
        <v>30</v>
      </c>
      <c r="R66" s="35" t="n">
        <f aca="false">$M$3</f>
        <v>1</v>
      </c>
    </row>
    <row r="67" customFormat="false" ht="14.25" hidden="false" customHeight="true" outlineLevel="0" collapsed="false">
      <c r="A67" s="94" t="s">
        <v>41</v>
      </c>
      <c r="B67" s="95" t="n">
        <v>2</v>
      </c>
      <c r="C67" s="96" t="s">
        <v>39</v>
      </c>
      <c r="D67" s="17" t="s">
        <v>1228</v>
      </c>
      <c r="F67" s="32"/>
      <c r="G67" s="33" t="s">
        <v>36</v>
      </c>
      <c r="H67" s="35" t="n">
        <f aca="false">$J$8</f>
        <v>0.793650793650794</v>
      </c>
      <c r="Q67" s="33" t="s">
        <v>36</v>
      </c>
      <c r="R67" s="35" t="n">
        <f aca="false">$M$8</f>
        <v>0.71264367816092</v>
      </c>
    </row>
    <row r="68" customFormat="false" ht="14.25" hidden="false" customHeight="true" outlineLevel="0" collapsed="false">
      <c r="A68" s="94" t="s">
        <v>30</v>
      </c>
      <c r="B68" s="95" t="n">
        <v>1</v>
      </c>
      <c r="C68" s="96" t="s">
        <v>41</v>
      </c>
      <c r="D68" s="17" t="s">
        <v>1229</v>
      </c>
      <c r="F68" s="32"/>
      <c r="G68" s="33" t="s">
        <v>40</v>
      </c>
      <c r="H68" s="35" t="n">
        <f aca="false">$J$5</f>
        <v>0.375</v>
      </c>
      <c r="Q68" s="33" t="s">
        <v>40</v>
      </c>
      <c r="R68" s="35" t="n">
        <f aca="false">$M$5</f>
        <v>0.363636363636364</v>
      </c>
    </row>
    <row r="69" customFormat="false" ht="14.25" hidden="false" customHeight="true" outlineLevel="0" collapsed="false">
      <c r="A69" s="94" t="s">
        <v>39</v>
      </c>
      <c r="B69" s="95" t="n">
        <v>1</v>
      </c>
      <c r="C69" s="96" t="s">
        <v>41</v>
      </c>
      <c r="D69" s="17" t="s">
        <v>1230</v>
      </c>
      <c r="F69" s="32"/>
      <c r="G69" s="33" t="s">
        <v>35</v>
      </c>
      <c r="H69" s="35" t="n">
        <f aca="false">$J$14</f>
        <v>0</v>
      </c>
      <c r="Q69" s="33" t="s">
        <v>35</v>
      </c>
      <c r="R69" s="35" t="n">
        <f aca="false">$M$14</f>
        <v>0</v>
      </c>
      <c r="AI69" s="72"/>
      <c r="AJ69" s="72"/>
      <c r="AK69" s="72"/>
    </row>
    <row r="70" customFormat="false" ht="14.25" hidden="false" customHeight="true" outlineLevel="0" collapsed="false">
      <c r="A70" s="94" t="s">
        <v>36</v>
      </c>
      <c r="B70" s="95" t="n">
        <v>1</v>
      </c>
      <c r="C70" s="96" t="s">
        <v>39</v>
      </c>
      <c r="D70" s="17" t="s">
        <v>1231</v>
      </c>
      <c r="F70" s="32"/>
      <c r="AI70" s="72"/>
      <c r="AJ70" s="72"/>
      <c r="AK70" s="72"/>
    </row>
    <row r="71" customFormat="false" ht="14.25" hidden="false" customHeight="true" outlineLevel="0" collapsed="false">
      <c r="A71" s="94" t="s">
        <v>39</v>
      </c>
      <c r="B71" s="95" t="n">
        <v>1</v>
      </c>
      <c r="C71" s="96" t="s">
        <v>36</v>
      </c>
      <c r="D71" s="6" t="s">
        <v>1232</v>
      </c>
      <c r="F71" s="17"/>
      <c r="AI71" s="72"/>
      <c r="AJ71" s="72"/>
      <c r="AK71" s="72"/>
    </row>
    <row r="72" customFormat="false" ht="14.25" hidden="false" customHeight="true" outlineLevel="0" collapsed="false">
      <c r="A72" s="94" t="s">
        <v>42</v>
      </c>
      <c r="B72" s="95" t="n">
        <v>2</v>
      </c>
      <c r="C72" s="96" t="s">
        <v>33</v>
      </c>
      <c r="D72" s="17" t="s">
        <v>1233</v>
      </c>
      <c r="F72" s="32"/>
      <c r="AI72" s="72"/>
      <c r="AJ72" s="72"/>
      <c r="AK72" s="72"/>
    </row>
    <row r="73" customFormat="false" ht="14.25" hidden="false" customHeight="true" outlineLevel="0" collapsed="false">
      <c r="A73" s="94" t="s">
        <v>33</v>
      </c>
      <c r="B73" s="95" t="n">
        <v>1</v>
      </c>
      <c r="C73" s="96" t="s">
        <v>42</v>
      </c>
      <c r="D73" s="17" t="s">
        <v>1234</v>
      </c>
      <c r="F73" s="32"/>
      <c r="G73" s="33" t="s">
        <v>108</v>
      </c>
      <c r="H73" s="41" t="s">
        <v>16</v>
      </c>
      <c r="Q73" s="33" t="s">
        <v>108</v>
      </c>
      <c r="R73" s="41" t="s">
        <v>19</v>
      </c>
      <c r="AJ73" s="72"/>
      <c r="AK73" s="72"/>
    </row>
    <row r="74" customFormat="false" ht="14.25" hidden="false" customHeight="true" outlineLevel="0" collapsed="false">
      <c r="A74" s="94" t="s">
        <v>42</v>
      </c>
      <c r="B74" s="95" t="n">
        <v>2</v>
      </c>
      <c r="C74" s="96" t="s">
        <v>35</v>
      </c>
      <c r="D74" s="17" t="s">
        <v>1235</v>
      </c>
      <c r="F74" s="32"/>
      <c r="G74" s="52" t="s">
        <v>120</v>
      </c>
      <c r="H74" s="67" t="n">
        <f aca="false">$H$22</f>
        <v>1</v>
      </c>
      <c r="Q74" s="52" t="s">
        <v>120</v>
      </c>
      <c r="R74" s="67" t="n">
        <f aca="false">$K$22</f>
        <v>1.33333333333333</v>
      </c>
      <c r="AG74" s="72"/>
      <c r="AH74" s="72"/>
      <c r="AI74" s="72"/>
      <c r="AJ74" s="72"/>
      <c r="AK74" s="72"/>
    </row>
    <row r="75" customFormat="false" ht="14.25" hidden="false" customHeight="true" outlineLevel="0" collapsed="false">
      <c r="A75" s="94" t="s">
        <v>1151</v>
      </c>
      <c r="B75" s="95" t="n">
        <v>1</v>
      </c>
      <c r="C75" s="96" t="s">
        <v>30</v>
      </c>
      <c r="D75" s="17" t="s">
        <v>1236</v>
      </c>
      <c r="E75" s="6" t="n">
        <v>0</v>
      </c>
      <c r="F75" s="32"/>
      <c r="G75" s="33" t="s">
        <v>117</v>
      </c>
      <c r="H75" s="67" t="n">
        <f aca="false">$H$21</f>
        <v>31.3333333333333</v>
      </c>
      <c r="Q75" s="33" t="s">
        <v>114</v>
      </c>
      <c r="R75" s="67" t="n">
        <f aca="false">$K$20</f>
        <v>34.25</v>
      </c>
      <c r="AE75" s="72"/>
      <c r="AF75" s="72"/>
      <c r="AG75" s="72"/>
    </row>
    <row r="76" customFormat="false" ht="14.25" hidden="false" customHeight="true" outlineLevel="0" collapsed="false">
      <c r="A76" s="94" t="s">
        <v>30</v>
      </c>
      <c r="B76" s="95" t="n">
        <v>1</v>
      </c>
      <c r="C76" s="96" t="s">
        <v>1151</v>
      </c>
      <c r="D76" s="17" t="s">
        <v>1237</v>
      </c>
      <c r="F76" s="32"/>
      <c r="G76" s="33" t="s">
        <v>114</v>
      </c>
      <c r="H76" s="67" t="n">
        <f aca="false">$H$20</f>
        <v>32.25</v>
      </c>
      <c r="Q76" s="33" t="s">
        <v>111</v>
      </c>
      <c r="R76" s="67" t="n">
        <f aca="false">$K$19</f>
        <v>44.5</v>
      </c>
    </row>
    <row r="77" customFormat="false" ht="14.25" hidden="false" customHeight="true" outlineLevel="0" collapsed="false">
      <c r="A77" s="94" t="s">
        <v>36</v>
      </c>
      <c r="B77" s="95" t="n">
        <v>2</v>
      </c>
      <c r="C77" s="96" t="s">
        <v>35</v>
      </c>
      <c r="D77" s="17" t="s">
        <v>1238</v>
      </c>
      <c r="F77" s="32"/>
      <c r="G77" s="33" t="s">
        <v>111</v>
      </c>
      <c r="H77" s="67" t="n">
        <f aca="false">$H$19</f>
        <v>35</v>
      </c>
      <c r="Q77" s="33" t="s">
        <v>117</v>
      </c>
      <c r="R77" s="67" t="n">
        <f aca="false">$K$21</f>
        <v>47.6666666666667</v>
      </c>
    </row>
    <row r="78" customFormat="false" ht="14.25" hidden="false" customHeight="true" outlineLevel="0" collapsed="false">
      <c r="A78" s="94" t="s">
        <v>39</v>
      </c>
      <c r="B78" s="95" t="n">
        <v>1</v>
      </c>
      <c r="C78" s="96" t="s">
        <v>1151</v>
      </c>
      <c r="D78" s="17" t="s">
        <v>1239</v>
      </c>
      <c r="F78" s="32"/>
    </row>
    <row r="79" customFormat="false" ht="14.25" hidden="false" customHeight="true" outlineLevel="0" collapsed="false">
      <c r="A79" s="94" t="s">
        <v>1151</v>
      </c>
      <c r="B79" s="95" t="n">
        <v>1</v>
      </c>
      <c r="C79" s="96" t="s">
        <v>39</v>
      </c>
      <c r="D79" s="17" t="s">
        <v>1240</v>
      </c>
      <c r="F79" s="32"/>
    </row>
    <row r="80" customFormat="false" ht="14.25" hidden="false" customHeight="true" outlineLevel="0" collapsed="false">
      <c r="A80" s="94" t="s">
        <v>39</v>
      </c>
      <c r="B80" s="95" t="n">
        <v>2</v>
      </c>
      <c r="C80" s="96" t="s">
        <v>42</v>
      </c>
      <c r="D80" s="17" t="s">
        <v>1241</v>
      </c>
      <c r="F80" s="32"/>
    </row>
    <row r="81" customFormat="false" ht="14.25" hidden="false" customHeight="true" outlineLevel="0" collapsed="false">
      <c r="A81" s="94" t="s">
        <v>39</v>
      </c>
      <c r="B81" s="95" t="n">
        <v>2</v>
      </c>
      <c r="C81" s="96" t="s">
        <v>36</v>
      </c>
      <c r="D81" s="17" t="s">
        <v>1242</v>
      </c>
      <c r="F81" s="17"/>
    </row>
    <row r="82" customFormat="false" ht="14.25" hidden="false" customHeight="true" outlineLevel="0" collapsed="false">
      <c r="A82" s="94" t="s">
        <v>42</v>
      </c>
      <c r="B82" s="95" t="n">
        <v>1</v>
      </c>
      <c r="C82" s="96" t="s">
        <v>40</v>
      </c>
      <c r="D82" s="17" t="s">
        <v>1243</v>
      </c>
      <c r="F82" s="32"/>
    </row>
    <row r="83" customFormat="false" ht="14.25" hidden="false" customHeight="true" outlineLevel="0" collapsed="false">
      <c r="A83" s="94" t="s">
        <v>42</v>
      </c>
      <c r="B83" s="95" t="n">
        <v>2</v>
      </c>
      <c r="C83" s="96" t="s">
        <v>35</v>
      </c>
      <c r="D83" s="17" t="s">
        <v>1244</v>
      </c>
      <c r="F83" s="32"/>
    </row>
    <row r="84" customFormat="false" ht="14.25" hidden="false" customHeight="true" outlineLevel="0" collapsed="false">
      <c r="A84" s="94" t="s">
        <v>36</v>
      </c>
      <c r="B84" s="95" t="n">
        <v>2</v>
      </c>
      <c r="C84" s="96" t="s">
        <v>35</v>
      </c>
      <c r="D84" s="17" t="s">
        <v>1245</v>
      </c>
      <c r="F84" s="32"/>
      <c r="G84" s="33" t="s">
        <v>108</v>
      </c>
      <c r="H84" s="41" t="s">
        <v>17</v>
      </c>
      <c r="Q84" s="33" t="s">
        <v>108</v>
      </c>
      <c r="R84" s="41" t="s">
        <v>20</v>
      </c>
    </row>
    <row r="85" customFormat="false" ht="14.25" hidden="false" customHeight="true" outlineLevel="0" collapsed="false">
      <c r="A85" s="94" t="s">
        <v>1151</v>
      </c>
      <c r="B85" s="95" t="n">
        <v>2</v>
      </c>
      <c r="C85" s="96" t="s">
        <v>35</v>
      </c>
      <c r="D85" s="17" t="s">
        <v>1246</v>
      </c>
      <c r="F85" s="32"/>
      <c r="G85" s="33" t="s">
        <v>120</v>
      </c>
      <c r="H85" s="69" t="n">
        <f aca="false">$I$22</f>
        <v>15.6666666666667</v>
      </c>
      <c r="Q85" s="33" t="s">
        <v>117</v>
      </c>
      <c r="R85" s="69" t="n">
        <f aca="false">$L$21</f>
        <v>23.3333333333333</v>
      </c>
    </row>
    <row r="86" customFormat="false" ht="14.25" hidden="false" customHeight="true" outlineLevel="0" collapsed="false">
      <c r="A86" s="94" t="s">
        <v>42</v>
      </c>
      <c r="B86" s="95" t="n">
        <v>2</v>
      </c>
      <c r="C86" s="96" t="s">
        <v>35</v>
      </c>
      <c r="D86" s="17" t="s">
        <v>1247</v>
      </c>
      <c r="F86" s="32"/>
      <c r="G86" s="33" t="s">
        <v>117</v>
      </c>
      <c r="H86" s="69" t="n">
        <f aca="false">$I$21</f>
        <v>19.6666666666667</v>
      </c>
      <c r="Q86" s="33" t="s">
        <v>120</v>
      </c>
      <c r="R86" s="69" t="n">
        <f aca="false">$L$22</f>
        <v>26.3333333333333</v>
      </c>
    </row>
    <row r="87" customFormat="false" ht="14.25" hidden="false" customHeight="true" outlineLevel="0" collapsed="false">
      <c r="A87" s="94" t="s">
        <v>39</v>
      </c>
      <c r="B87" s="95" t="n">
        <v>2</v>
      </c>
      <c r="C87" s="96" t="s">
        <v>36</v>
      </c>
      <c r="D87" s="17" t="s">
        <v>1248</v>
      </c>
      <c r="F87" s="32"/>
      <c r="G87" s="33" t="s">
        <v>111</v>
      </c>
      <c r="H87" s="69" t="n">
        <f aca="false">$I$19</f>
        <v>25</v>
      </c>
      <c r="Q87" s="33" t="s">
        <v>111</v>
      </c>
      <c r="R87" s="69" t="n">
        <f aca="false">$L$19</f>
        <v>33.5</v>
      </c>
    </row>
    <row r="88" customFormat="false" ht="14.25" hidden="false" customHeight="true" outlineLevel="0" collapsed="false">
      <c r="A88" s="94" t="s">
        <v>39</v>
      </c>
      <c r="B88" s="95" t="n">
        <v>1</v>
      </c>
      <c r="C88" s="96" t="s">
        <v>36</v>
      </c>
      <c r="D88" s="17" t="s">
        <v>1249</v>
      </c>
      <c r="F88" s="32"/>
      <c r="G88" s="33" t="s">
        <v>114</v>
      </c>
      <c r="H88" s="69" t="n">
        <f aca="false">$I$20</f>
        <v>34.5</v>
      </c>
      <c r="Q88" s="33" t="s">
        <v>114</v>
      </c>
      <c r="R88" s="69" t="n">
        <f aca="false">$L$20</f>
        <v>39.25</v>
      </c>
    </row>
    <row r="89" customFormat="false" ht="14.25" hidden="false" customHeight="true" outlineLevel="0" collapsed="false">
      <c r="A89" s="94" t="s">
        <v>42</v>
      </c>
      <c r="B89" s="95" t="n">
        <v>1</v>
      </c>
      <c r="C89" s="96" t="s">
        <v>40</v>
      </c>
      <c r="D89" s="17" t="s">
        <v>1250</v>
      </c>
      <c r="F89" s="32"/>
      <c r="AJ89" s="72"/>
      <c r="AK89" s="84"/>
    </row>
    <row r="90" customFormat="false" ht="14.25" hidden="false" customHeight="true" outlineLevel="0" collapsed="false">
      <c r="A90" s="94" t="s">
        <v>42</v>
      </c>
      <c r="B90" s="95" t="n">
        <v>2</v>
      </c>
      <c r="C90" s="96" t="s">
        <v>35</v>
      </c>
      <c r="D90" s="17" t="s">
        <v>1251</v>
      </c>
      <c r="F90" s="32"/>
      <c r="AJ90" s="72"/>
      <c r="AK90" s="84"/>
    </row>
    <row r="91" customFormat="false" ht="14.25" hidden="false" customHeight="true" outlineLevel="0" collapsed="false">
      <c r="A91" s="94" t="s">
        <v>36</v>
      </c>
      <c r="B91" s="95" t="n">
        <v>1</v>
      </c>
      <c r="C91" s="96" t="s">
        <v>39</v>
      </c>
      <c r="D91" s="17" t="s">
        <v>1252</v>
      </c>
      <c r="F91" s="32"/>
      <c r="AJ91" s="72"/>
      <c r="AK91" s="84"/>
    </row>
    <row r="92" customFormat="false" ht="14.25" hidden="false" customHeight="true" outlineLevel="0" collapsed="false">
      <c r="A92" s="94" t="s">
        <v>36</v>
      </c>
      <c r="B92" s="95" t="n">
        <v>2</v>
      </c>
      <c r="C92" s="96" t="s">
        <v>35</v>
      </c>
      <c r="D92" s="17" t="s">
        <v>1253</v>
      </c>
      <c r="F92" s="32"/>
      <c r="AJ92" s="72"/>
      <c r="AK92" s="84"/>
    </row>
    <row r="93" customFormat="false" ht="14.25" hidden="false" customHeight="true" outlineLevel="0" collapsed="false">
      <c r="A93" s="94" t="s">
        <v>1151</v>
      </c>
      <c r="B93" s="95" t="n">
        <v>2</v>
      </c>
      <c r="C93" s="96" t="s">
        <v>30</v>
      </c>
      <c r="D93" s="17" t="s">
        <v>1254</v>
      </c>
      <c r="E93" s="6" t="n">
        <v>1</v>
      </c>
      <c r="F93" s="32"/>
      <c r="AJ93" s="72"/>
      <c r="AK93" s="84"/>
    </row>
    <row r="94" customFormat="false" ht="14.25" hidden="false" customHeight="true" outlineLevel="0" collapsed="false">
      <c r="A94" s="94" t="s">
        <v>30</v>
      </c>
      <c r="B94" s="95" t="n">
        <v>1</v>
      </c>
      <c r="C94" s="96" t="s">
        <v>1151</v>
      </c>
      <c r="D94" s="17" t="s">
        <v>1255</v>
      </c>
      <c r="F94" s="32"/>
      <c r="J94" s="72"/>
      <c r="K94" s="72"/>
      <c r="L94" s="72"/>
      <c r="M94" s="84"/>
      <c r="N94" s="84"/>
      <c r="O94" s="84"/>
      <c r="P94" s="84"/>
      <c r="Q94" s="8"/>
      <c r="T94" s="72"/>
      <c r="U94" s="72"/>
      <c r="V94" s="72"/>
      <c r="W94" s="72"/>
      <c r="X94" s="72"/>
      <c r="Y94" s="72"/>
      <c r="Z94" s="72"/>
      <c r="AA94" s="72"/>
      <c r="AB94" s="72"/>
      <c r="AC94" s="72"/>
      <c r="AD94" s="72"/>
      <c r="AG94" s="72"/>
      <c r="AJ94" s="72"/>
      <c r="AK94" s="84"/>
    </row>
    <row r="95" customFormat="false" ht="14.25" hidden="false" customHeight="true" outlineLevel="0" collapsed="false">
      <c r="A95" s="94" t="s">
        <v>30</v>
      </c>
      <c r="B95" s="95" t="n">
        <v>2</v>
      </c>
      <c r="C95" s="96" t="s">
        <v>1151</v>
      </c>
      <c r="D95" s="17" t="s">
        <v>1256</v>
      </c>
      <c r="F95" s="32"/>
      <c r="G95" s="33" t="s">
        <v>108</v>
      </c>
      <c r="H95" s="41" t="s">
        <v>18</v>
      </c>
      <c r="J95" s="72"/>
      <c r="K95" s="72"/>
      <c r="L95" s="72"/>
      <c r="M95" s="84"/>
      <c r="N95" s="84"/>
      <c r="O95" s="84"/>
      <c r="P95" s="84"/>
      <c r="Q95" s="33" t="s">
        <v>108</v>
      </c>
      <c r="R95" s="41" t="s">
        <v>21</v>
      </c>
      <c r="T95" s="72"/>
      <c r="U95" s="72"/>
      <c r="V95" s="72"/>
      <c r="W95" s="72"/>
      <c r="X95" s="72"/>
      <c r="Y95" s="72"/>
      <c r="Z95" s="72"/>
      <c r="AA95" s="72"/>
      <c r="AB95" s="72"/>
      <c r="AC95" s="72"/>
      <c r="AD95" s="72"/>
      <c r="AG95" s="72"/>
      <c r="AJ95" s="72"/>
      <c r="AK95" s="84"/>
    </row>
    <row r="96" customFormat="false" ht="14.25" hidden="false" customHeight="true" outlineLevel="0" collapsed="false">
      <c r="A96" s="94" t="s">
        <v>36</v>
      </c>
      <c r="B96" s="95" t="n">
        <v>1</v>
      </c>
      <c r="C96" s="96" t="s">
        <v>39</v>
      </c>
      <c r="D96" s="17" t="s">
        <v>1257</v>
      </c>
      <c r="F96" s="32"/>
      <c r="G96" s="52" t="s">
        <v>120</v>
      </c>
      <c r="H96" s="68" t="n">
        <f aca="false">$J$22</f>
        <v>0.0638297872340426</v>
      </c>
      <c r="J96" s="72"/>
      <c r="K96" s="72"/>
      <c r="L96" s="72"/>
      <c r="M96" s="84"/>
      <c r="N96" s="84"/>
      <c r="O96" s="84"/>
      <c r="P96" s="84"/>
      <c r="Q96" s="52" t="s">
        <v>120</v>
      </c>
      <c r="R96" s="68" t="n">
        <f aca="false">$M$22</f>
        <v>0.0506329113924051</v>
      </c>
      <c r="T96" s="72"/>
      <c r="U96" s="72"/>
      <c r="V96" s="72"/>
      <c r="W96" s="72"/>
      <c r="X96" s="72"/>
      <c r="Y96" s="72"/>
      <c r="Z96" s="72"/>
      <c r="AA96" s="72"/>
      <c r="AB96" s="72"/>
      <c r="AC96" s="72"/>
      <c r="AD96" s="72"/>
      <c r="AG96" s="72"/>
      <c r="AJ96" s="72"/>
      <c r="AK96" s="84"/>
    </row>
    <row r="97" customFormat="false" ht="14.25" hidden="false" customHeight="true" outlineLevel="0" collapsed="false">
      <c r="A97" s="94" t="s">
        <v>39</v>
      </c>
      <c r="B97" s="95" t="n">
        <v>1</v>
      </c>
      <c r="C97" s="96" t="s">
        <v>36</v>
      </c>
      <c r="D97" s="17" t="s">
        <v>1258</v>
      </c>
      <c r="F97" s="32"/>
      <c r="G97" s="33" t="s">
        <v>114</v>
      </c>
      <c r="H97" s="68" t="n">
        <f aca="false">$J$20</f>
        <v>0.934782608695652</v>
      </c>
      <c r="J97" s="72"/>
      <c r="K97" s="72"/>
      <c r="L97" s="72"/>
      <c r="M97" s="84"/>
      <c r="N97" s="84"/>
      <c r="O97" s="84"/>
      <c r="P97" s="84"/>
      <c r="Q97" s="33" t="s">
        <v>114</v>
      </c>
      <c r="R97" s="68" t="n">
        <f aca="false">$M$20</f>
        <v>0.872611464968153</v>
      </c>
      <c r="T97" s="72"/>
      <c r="U97" s="72"/>
      <c r="V97" s="72"/>
      <c r="W97" s="72"/>
      <c r="X97" s="72"/>
      <c r="Y97" s="72"/>
      <c r="Z97" s="72"/>
      <c r="AA97" s="72"/>
      <c r="AB97" s="72"/>
      <c r="AC97" s="72"/>
      <c r="AD97" s="72"/>
      <c r="AG97" s="72"/>
      <c r="AJ97" s="72"/>
      <c r="AK97" s="84"/>
    </row>
    <row r="98" customFormat="false" ht="14.25" hidden="false" customHeight="true" outlineLevel="0" collapsed="false">
      <c r="A98" s="94" t="s">
        <v>1151</v>
      </c>
      <c r="B98" s="95" t="n">
        <v>1</v>
      </c>
      <c r="C98" s="96" t="s">
        <v>39</v>
      </c>
      <c r="D98" s="17" t="s">
        <v>1259</v>
      </c>
      <c r="F98" s="32"/>
      <c r="G98" s="33" t="s">
        <v>111</v>
      </c>
      <c r="H98" s="68" t="n">
        <f aca="false">$J$19</f>
        <v>1.4</v>
      </c>
      <c r="J98" s="72"/>
      <c r="K98" s="72"/>
      <c r="L98" s="72"/>
      <c r="M98" s="84"/>
      <c r="N98" s="84"/>
      <c r="O98" s="84"/>
      <c r="P98" s="84"/>
      <c r="Q98" s="33" t="s">
        <v>111</v>
      </c>
      <c r="R98" s="68" t="n">
        <f aca="false">$M$19</f>
        <v>1.32835820895522</v>
      </c>
      <c r="T98" s="72"/>
      <c r="U98" s="72"/>
      <c r="V98" s="72"/>
      <c r="W98" s="72"/>
      <c r="X98" s="72"/>
      <c r="Y98" s="72"/>
      <c r="Z98" s="72"/>
      <c r="AA98" s="72"/>
      <c r="AB98" s="72"/>
      <c r="AC98" s="72"/>
      <c r="AD98" s="72"/>
      <c r="AG98" s="72"/>
      <c r="AJ98" s="72"/>
      <c r="AK98" s="84"/>
    </row>
    <row r="99" customFormat="false" ht="14.25" hidden="false" customHeight="true" outlineLevel="0" collapsed="false">
      <c r="A99" s="94" t="s">
        <v>39</v>
      </c>
      <c r="B99" s="95" t="n">
        <v>1</v>
      </c>
      <c r="C99" s="96" t="s">
        <v>1151</v>
      </c>
      <c r="D99" s="17" t="s">
        <v>1260</v>
      </c>
      <c r="F99" s="32"/>
      <c r="G99" s="33" t="s">
        <v>117</v>
      </c>
      <c r="H99" s="68" t="n">
        <f aca="false">$J$21</f>
        <v>1.59322033898305</v>
      </c>
      <c r="J99" s="72"/>
      <c r="K99" s="72"/>
      <c r="L99" s="72"/>
      <c r="M99" s="84"/>
      <c r="N99" s="84"/>
      <c r="O99" s="84"/>
      <c r="P99" s="84"/>
      <c r="Q99" s="33" t="s">
        <v>117</v>
      </c>
      <c r="R99" s="68" t="n">
        <f aca="false">$M$21</f>
        <v>2.04285714285714</v>
      </c>
      <c r="T99" s="72"/>
      <c r="U99" s="72"/>
      <c r="V99" s="72"/>
      <c r="W99" s="72"/>
      <c r="X99" s="72"/>
      <c r="Y99" s="72"/>
      <c r="Z99" s="72"/>
      <c r="AA99" s="72"/>
      <c r="AB99" s="72"/>
      <c r="AC99" s="72"/>
      <c r="AD99" s="72"/>
      <c r="AG99" s="72"/>
      <c r="AJ99" s="72"/>
      <c r="AK99" s="84"/>
    </row>
    <row r="100" customFormat="false" ht="14.25" hidden="false" customHeight="true" outlineLevel="0" collapsed="false">
      <c r="A100" s="94" t="s">
        <v>1151</v>
      </c>
      <c r="B100" s="95" t="n">
        <v>2</v>
      </c>
      <c r="C100" s="96" t="s">
        <v>35</v>
      </c>
      <c r="D100" s="17" t="s">
        <v>1261</v>
      </c>
      <c r="F100" s="32"/>
      <c r="J100" s="72"/>
      <c r="K100" s="72"/>
      <c r="L100" s="72"/>
      <c r="M100" s="84"/>
      <c r="N100" s="84"/>
      <c r="O100" s="84"/>
      <c r="P100" s="84"/>
      <c r="Q100" s="8"/>
      <c r="T100" s="72"/>
      <c r="U100" s="72"/>
      <c r="V100" s="72"/>
      <c r="W100" s="72"/>
      <c r="X100" s="72"/>
      <c r="Y100" s="72"/>
      <c r="Z100" s="72"/>
      <c r="AA100" s="72"/>
      <c r="AB100" s="72"/>
      <c r="AC100" s="72"/>
      <c r="AD100" s="72"/>
      <c r="AG100" s="72"/>
      <c r="AJ100" s="72"/>
      <c r="AK100" s="84"/>
    </row>
    <row r="101" customFormat="false" ht="14.25" hidden="false" customHeight="true" outlineLevel="0" collapsed="false">
      <c r="A101" s="94" t="s">
        <v>41</v>
      </c>
      <c r="B101" s="95" t="n">
        <v>2</v>
      </c>
      <c r="C101" s="96" t="s">
        <v>35</v>
      </c>
      <c r="D101" s="17" t="s">
        <v>1262</v>
      </c>
      <c r="F101" s="32"/>
      <c r="J101" s="72"/>
      <c r="K101" s="72"/>
      <c r="L101" s="72"/>
      <c r="M101" s="84"/>
      <c r="N101" s="84"/>
      <c r="O101" s="84"/>
      <c r="P101" s="84"/>
      <c r="Q101" s="8"/>
      <c r="T101" s="72"/>
      <c r="U101" s="72"/>
      <c r="V101" s="72"/>
      <c r="W101" s="72"/>
      <c r="X101" s="72"/>
      <c r="Y101" s="72"/>
      <c r="Z101" s="72"/>
      <c r="AA101" s="72"/>
      <c r="AB101" s="72"/>
      <c r="AC101" s="72"/>
      <c r="AD101" s="72"/>
      <c r="AG101" s="72"/>
      <c r="AJ101" s="72"/>
      <c r="AK101" s="84"/>
    </row>
    <row r="102" customFormat="false" ht="14.25" hidden="false" customHeight="true" outlineLevel="0" collapsed="false">
      <c r="A102" s="94" t="s">
        <v>39</v>
      </c>
      <c r="B102" s="95" t="n">
        <v>2</v>
      </c>
      <c r="C102" s="96" t="s">
        <v>36</v>
      </c>
      <c r="D102" s="17" t="s">
        <v>1263</v>
      </c>
      <c r="F102" s="32"/>
      <c r="J102" s="72"/>
      <c r="K102" s="72"/>
      <c r="L102" s="72"/>
      <c r="M102" s="84"/>
      <c r="N102" s="84"/>
      <c r="O102" s="84"/>
      <c r="P102" s="84"/>
      <c r="Q102" s="8"/>
      <c r="T102" s="72"/>
      <c r="U102" s="72"/>
      <c r="V102" s="72"/>
      <c r="W102" s="72"/>
      <c r="X102" s="72"/>
      <c r="Y102" s="72"/>
      <c r="Z102" s="72"/>
      <c r="AA102" s="72"/>
      <c r="AB102" s="72"/>
      <c r="AC102" s="72"/>
      <c r="AD102" s="72"/>
      <c r="AG102" s="72"/>
      <c r="AJ102" s="72"/>
      <c r="AK102" s="84"/>
    </row>
    <row r="103" customFormat="false" ht="14.25" hidden="false" customHeight="true" outlineLevel="0" collapsed="false">
      <c r="A103" s="94" t="s">
        <v>39</v>
      </c>
      <c r="B103" s="95" t="n">
        <v>1</v>
      </c>
      <c r="C103" s="96" t="s">
        <v>1151</v>
      </c>
      <c r="D103" s="17" t="s">
        <v>1264</v>
      </c>
      <c r="F103" s="32"/>
      <c r="J103" s="72"/>
      <c r="K103" s="72"/>
      <c r="L103" s="72"/>
      <c r="M103" s="84"/>
      <c r="N103" s="84"/>
      <c r="O103" s="84"/>
      <c r="P103" s="84"/>
      <c r="Q103" s="8"/>
      <c r="T103" s="72"/>
      <c r="U103" s="72"/>
      <c r="V103" s="72"/>
      <c r="W103" s="72"/>
      <c r="X103" s="72"/>
      <c r="Y103" s="72"/>
      <c r="Z103" s="72"/>
      <c r="AA103" s="72"/>
      <c r="AB103" s="72"/>
      <c r="AC103" s="72"/>
      <c r="AD103" s="72"/>
      <c r="AG103" s="72"/>
      <c r="AJ103" s="72"/>
      <c r="AK103" s="84"/>
    </row>
    <row r="104" customFormat="false" ht="14.25" hidden="false" customHeight="true" outlineLevel="0" collapsed="false">
      <c r="A104" s="94" t="s">
        <v>1151</v>
      </c>
      <c r="B104" s="95" t="n">
        <v>1</v>
      </c>
      <c r="C104" s="96" t="s">
        <v>39</v>
      </c>
      <c r="D104" s="17" t="s">
        <v>1265</v>
      </c>
      <c r="F104" s="32"/>
      <c r="J104" s="72"/>
      <c r="K104" s="72"/>
      <c r="L104" s="72"/>
      <c r="M104" s="84"/>
      <c r="N104" s="84"/>
      <c r="O104" s="84"/>
      <c r="P104" s="84"/>
      <c r="Q104" s="8"/>
      <c r="T104" s="72"/>
      <c r="U104" s="72"/>
      <c r="V104" s="72"/>
      <c r="W104" s="72"/>
      <c r="X104" s="72"/>
      <c r="Y104" s="72"/>
      <c r="Z104" s="72"/>
      <c r="AA104" s="72"/>
      <c r="AB104" s="72"/>
      <c r="AC104" s="72"/>
      <c r="AD104" s="72"/>
      <c r="AG104" s="72"/>
      <c r="AJ104" s="72"/>
      <c r="AK104" s="84"/>
    </row>
    <row r="105" customFormat="false" ht="14.25" hidden="false" customHeight="true" outlineLevel="0" collapsed="false">
      <c r="A105" s="94" t="s">
        <v>42</v>
      </c>
      <c r="B105" s="95" t="n">
        <v>1</v>
      </c>
      <c r="C105" s="96" t="s">
        <v>1154</v>
      </c>
      <c r="D105" s="17" t="s">
        <v>1266</v>
      </c>
      <c r="F105" s="32"/>
      <c r="J105" s="72"/>
      <c r="K105" s="72"/>
      <c r="L105" s="72"/>
      <c r="M105" s="84"/>
      <c r="N105" s="84"/>
      <c r="O105" s="84"/>
      <c r="P105" s="84"/>
      <c r="Q105" s="8"/>
      <c r="T105" s="72"/>
      <c r="U105" s="72"/>
      <c r="V105" s="72"/>
      <c r="W105" s="72"/>
      <c r="X105" s="72"/>
      <c r="Y105" s="72"/>
      <c r="Z105" s="72"/>
      <c r="AA105" s="72"/>
      <c r="AB105" s="72"/>
      <c r="AC105" s="72"/>
      <c r="AD105" s="72"/>
      <c r="AG105" s="72"/>
      <c r="AJ105" s="72"/>
      <c r="AK105" s="84"/>
    </row>
    <row r="106" customFormat="false" ht="14.25" hidden="false" customHeight="true" outlineLevel="0" collapsed="false">
      <c r="A106" s="94" t="s">
        <v>1151</v>
      </c>
      <c r="B106" s="95" t="n">
        <v>2</v>
      </c>
      <c r="C106" s="96" t="s">
        <v>35</v>
      </c>
      <c r="D106" s="17" t="s">
        <v>1267</v>
      </c>
      <c r="F106" s="32"/>
      <c r="J106" s="72"/>
      <c r="K106" s="72"/>
      <c r="L106" s="72"/>
      <c r="M106" s="84"/>
      <c r="N106" s="84"/>
      <c r="O106" s="84"/>
      <c r="P106" s="84"/>
      <c r="Q106" s="8"/>
      <c r="T106" s="72"/>
      <c r="U106" s="72"/>
      <c r="V106" s="72"/>
      <c r="W106" s="72"/>
      <c r="X106" s="72"/>
      <c r="Y106" s="72"/>
      <c r="Z106" s="72"/>
      <c r="AA106" s="72"/>
      <c r="AB106" s="72"/>
      <c r="AC106" s="72"/>
      <c r="AD106" s="72"/>
      <c r="AG106" s="72"/>
      <c r="AJ106" s="72"/>
      <c r="AK106" s="84"/>
    </row>
    <row r="107" customFormat="false" ht="14.25" hidden="false" customHeight="true" outlineLevel="0" collapsed="false">
      <c r="A107" s="94" t="s">
        <v>95</v>
      </c>
      <c r="B107" s="95" t="n">
        <v>2</v>
      </c>
      <c r="C107" s="96" t="s">
        <v>39</v>
      </c>
      <c r="D107" s="17" t="s">
        <v>1268</v>
      </c>
      <c r="F107" s="32"/>
      <c r="J107" s="72"/>
      <c r="K107" s="72"/>
      <c r="L107" s="72"/>
      <c r="M107" s="84"/>
      <c r="N107" s="84"/>
      <c r="O107" s="84"/>
      <c r="P107" s="84"/>
      <c r="Q107" s="8"/>
      <c r="T107" s="72"/>
      <c r="U107" s="72"/>
      <c r="V107" s="72"/>
      <c r="W107" s="72"/>
      <c r="X107" s="72"/>
      <c r="Y107" s="72"/>
      <c r="Z107" s="72"/>
      <c r="AA107" s="72"/>
      <c r="AB107" s="72"/>
      <c r="AC107" s="72"/>
      <c r="AD107" s="72"/>
      <c r="AG107" s="72"/>
      <c r="AJ107" s="72"/>
      <c r="AK107" s="84"/>
    </row>
    <row r="108" customFormat="false" ht="14.25" hidden="false" customHeight="true" outlineLevel="0" collapsed="false">
      <c r="A108" s="94" t="s">
        <v>40</v>
      </c>
      <c r="B108" s="95" t="n">
        <v>2</v>
      </c>
      <c r="C108" s="96" t="s">
        <v>35</v>
      </c>
      <c r="D108" s="17" t="s">
        <v>1269</v>
      </c>
      <c r="F108" s="32"/>
      <c r="J108" s="72"/>
      <c r="K108" s="72"/>
      <c r="L108" s="72"/>
      <c r="M108" s="84"/>
      <c r="N108" s="84"/>
      <c r="O108" s="84"/>
      <c r="P108" s="84"/>
      <c r="Q108" s="8"/>
      <c r="T108" s="72"/>
      <c r="U108" s="72"/>
      <c r="V108" s="72"/>
      <c r="W108" s="72"/>
      <c r="X108" s="72"/>
      <c r="Y108" s="72"/>
      <c r="Z108" s="72"/>
      <c r="AA108" s="72"/>
      <c r="AB108" s="72"/>
      <c r="AC108" s="72"/>
      <c r="AD108" s="72"/>
      <c r="AG108" s="72"/>
      <c r="AJ108" s="72"/>
      <c r="AK108" s="84"/>
    </row>
    <row r="109" customFormat="false" ht="14.25" hidden="false" customHeight="true" outlineLevel="0" collapsed="false">
      <c r="A109" s="94" t="s">
        <v>39</v>
      </c>
      <c r="B109" s="95" t="n">
        <v>2</v>
      </c>
      <c r="C109" s="96" t="s">
        <v>30</v>
      </c>
      <c r="D109" s="17" t="s">
        <v>1270</v>
      </c>
      <c r="E109" s="6" t="n">
        <v>1</v>
      </c>
      <c r="F109" s="32"/>
      <c r="J109" s="72"/>
      <c r="K109" s="72"/>
      <c r="L109" s="72"/>
      <c r="M109" s="84"/>
      <c r="N109" s="84"/>
      <c r="O109" s="84"/>
      <c r="P109" s="84"/>
      <c r="Q109" s="8"/>
      <c r="T109" s="72"/>
      <c r="U109" s="72"/>
      <c r="V109" s="72"/>
      <c r="W109" s="72"/>
      <c r="X109" s="72"/>
      <c r="Y109" s="72"/>
      <c r="Z109" s="72"/>
      <c r="AA109" s="72"/>
      <c r="AB109" s="72"/>
      <c r="AC109" s="72"/>
      <c r="AD109" s="72"/>
      <c r="AE109" s="72"/>
      <c r="AF109" s="72"/>
      <c r="AG109" s="72"/>
      <c r="AJ109" s="72"/>
      <c r="AK109" s="84"/>
    </row>
    <row r="110" customFormat="false" ht="14.25" hidden="false" customHeight="true" outlineLevel="0" collapsed="false">
      <c r="A110" s="94" t="s">
        <v>39</v>
      </c>
      <c r="B110" s="95" t="n">
        <v>2</v>
      </c>
      <c r="C110" s="96" t="s">
        <v>35</v>
      </c>
      <c r="D110" s="17" t="s">
        <v>1271</v>
      </c>
      <c r="F110" s="32"/>
      <c r="J110" s="72"/>
      <c r="K110" s="72"/>
      <c r="L110" s="72"/>
      <c r="M110" s="84"/>
      <c r="N110" s="84"/>
      <c r="O110" s="84"/>
      <c r="P110" s="84"/>
      <c r="Q110" s="8"/>
      <c r="T110" s="72"/>
      <c r="U110" s="72"/>
      <c r="V110" s="72"/>
      <c r="W110" s="72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  <c r="AJ110" s="72"/>
      <c r="AK110" s="84"/>
    </row>
    <row r="111" customFormat="false" ht="14.25" hidden="false" customHeight="true" outlineLevel="0" collapsed="false">
      <c r="A111" s="94" t="s">
        <v>39</v>
      </c>
      <c r="B111" s="95" t="n">
        <v>2</v>
      </c>
      <c r="C111" s="96" t="s">
        <v>36</v>
      </c>
      <c r="D111" s="17" t="s">
        <v>1272</v>
      </c>
      <c r="F111" s="32"/>
      <c r="J111" s="72"/>
      <c r="K111" s="72"/>
      <c r="L111" s="72"/>
      <c r="M111" s="84"/>
      <c r="N111" s="84"/>
      <c r="O111" s="84"/>
      <c r="P111" s="84"/>
      <c r="Q111" s="8"/>
      <c r="T111" s="72"/>
      <c r="U111" s="72"/>
      <c r="V111" s="72"/>
      <c r="W111" s="72"/>
      <c r="X111" s="72"/>
      <c r="Y111" s="72"/>
      <c r="Z111" s="72"/>
      <c r="AA111" s="72"/>
      <c r="AB111" s="72"/>
      <c r="AC111" s="72"/>
      <c r="AD111" s="72"/>
      <c r="AE111" s="72"/>
      <c r="AF111" s="72"/>
      <c r="AG111" s="72"/>
      <c r="AJ111" s="72"/>
      <c r="AK111" s="84"/>
    </row>
    <row r="112" customFormat="false" ht="14.25" hidden="false" customHeight="true" outlineLevel="0" collapsed="false">
      <c r="A112" s="94" t="s">
        <v>36</v>
      </c>
      <c r="B112" s="95" t="n">
        <v>1</v>
      </c>
      <c r="C112" s="96" t="s">
        <v>39</v>
      </c>
      <c r="D112" s="17" t="s">
        <v>1273</v>
      </c>
      <c r="F112" s="32"/>
      <c r="J112" s="72"/>
      <c r="K112" s="72"/>
      <c r="L112" s="72"/>
      <c r="M112" s="84"/>
      <c r="N112" s="84"/>
      <c r="O112" s="84"/>
      <c r="P112" s="84"/>
      <c r="Q112" s="8"/>
      <c r="T112" s="72"/>
      <c r="U112" s="72"/>
      <c r="V112" s="72"/>
      <c r="W112" s="72"/>
      <c r="X112" s="72"/>
      <c r="Y112" s="72"/>
      <c r="Z112" s="72"/>
      <c r="AA112" s="72"/>
      <c r="AB112" s="72"/>
      <c r="AC112" s="72"/>
      <c r="AD112" s="72"/>
      <c r="AE112" s="72"/>
      <c r="AF112" s="72"/>
      <c r="AG112" s="72"/>
      <c r="AJ112" s="72"/>
      <c r="AK112" s="84"/>
    </row>
    <row r="113" customFormat="false" ht="14.25" hidden="false" customHeight="true" outlineLevel="0" collapsed="false">
      <c r="A113" s="94" t="s">
        <v>39</v>
      </c>
      <c r="B113" s="95" t="n">
        <v>2</v>
      </c>
      <c r="C113" s="96" t="s">
        <v>30</v>
      </c>
      <c r="D113" s="17" t="s">
        <v>1274</v>
      </c>
      <c r="E113" s="6" t="n">
        <v>0</v>
      </c>
      <c r="F113" s="32"/>
      <c r="J113" s="72"/>
      <c r="K113" s="72"/>
      <c r="L113" s="72"/>
      <c r="M113" s="84"/>
      <c r="N113" s="84"/>
      <c r="O113" s="84"/>
      <c r="P113" s="84"/>
      <c r="Q113" s="8"/>
      <c r="T113" s="72"/>
      <c r="U113" s="72"/>
      <c r="V113" s="72"/>
      <c r="W113" s="72"/>
      <c r="X113" s="72"/>
      <c r="Y113" s="72"/>
      <c r="Z113" s="72"/>
      <c r="AA113" s="72"/>
      <c r="AB113" s="72"/>
      <c r="AC113" s="72"/>
      <c r="AD113" s="72"/>
      <c r="AE113" s="72"/>
      <c r="AF113" s="72"/>
      <c r="AG113" s="72"/>
      <c r="AJ113" s="72"/>
      <c r="AK113" s="84"/>
    </row>
    <row r="114" customFormat="false" ht="14.25" hidden="false" customHeight="true" outlineLevel="0" collapsed="false">
      <c r="A114" s="94" t="s">
        <v>30</v>
      </c>
      <c r="B114" s="95" t="n">
        <v>2</v>
      </c>
      <c r="C114" s="96" t="s">
        <v>33</v>
      </c>
      <c r="D114" s="17" t="s">
        <v>1275</v>
      </c>
      <c r="F114" s="32"/>
      <c r="J114" s="72"/>
      <c r="K114" s="72"/>
      <c r="L114" s="72"/>
      <c r="M114" s="84"/>
      <c r="N114" s="84"/>
      <c r="O114" s="84"/>
      <c r="P114" s="84"/>
      <c r="Q114" s="8"/>
      <c r="T114" s="72"/>
      <c r="U114" s="72"/>
      <c r="V114" s="72"/>
      <c r="W114" s="72"/>
      <c r="X114" s="72"/>
      <c r="Y114" s="72"/>
      <c r="Z114" s="72"/>
      <c r="AA114" s="72"/>
      <c r="AB114" s="72"/>
      <c r="AC114" s="72"/>
      <c r="AD114" s="72"/>
      <c r="AE114" s="72"/>
      <c r="AF114" s="72"/>
      <c r="AG114" s="72"/>
      <c r="AJ114" s="72"/>
      <c r="AK114" s="84"/>
    </row>
    <row r="115" customFormat="false" ht="14.25" hidden="false" customHeight="true" outlineLevel="0" collapsed="false">
      <c r="A115" s="94" t="s">
        <v>39</v>
      </c>
      <c r="B115" s="95" t="n">
        <v>2</v>
      </c>
      <c r="C115" s="96" t="s">
        <v>35</v>
      </c>
      <c r="D115" s="17" t="s">
        <v>1276</v>
      </c>
      <c r="F115" s="32"/>
      <c r="J115" s="72"/>
      <c r="K115" s="72"/>
      <c r="L115" s="72"/>
      <c r="M115" s="84"/>
      <c r="N115" s="84"/>
      <c r="O115" s="84"/>
      <c r="P115" s="84"/>
      <c r="Q115" s="8"/>
      <c r="T115" s="72"/>
      <c r="U115" s="72"/>
      <c r="V115" s="72"/>
      <c r="W115" s="72"/>
      <c r="X115" s="72"/>
      <c r="Y115" s="72"/>
      <c r="Z115" s="72"/>
      <c r="AA115" s="72"/>
      <c r="AB115" s="72"/>
      <c r="AC115" s="72"/>
      <c r="AD115" s="72"/>
      <c r="AE115" s="72"/>
      <c r="AF115" s="72"/>
      <c r="AG115" s="72"/>
      <c r="AJ115" s="72"/>
      <c r="AK115" s="84"/>
    </row>
    <row r="116" customFormat="false" ht="14.25" hidden="false" customHeight="true" outlineLevel="0" collapsed="false">
      <c r="A116" s="94" t="s">
        <v>39</v>
      </c>
      <c r="B116" s="95" t="n">
        <v>2</v>
      </c>
      <c r="C116" s="96" t="s">
        <v>35</v>
      </c>
      <c r="D116" s="17" t="s">
        <v>1277</v>
      </c>
      <c r="F116" s="32"/>
      <c r="J116" s="72"/>
      <c r="K116" s="72"/>
      <c r="L116" s="72"/>
      <c r="M116" s="84"/>
      <c r="N116" s="84"/>
      <c r="O116" s="84"/>
      <c r="P116" s="84"/>
      <c r="Q116" s="8"/>
      <c r="T116" s="72"/>
      <c r="U116" s="72"/>
      <c r="V116" s="72"/>
      <c r="W116" s="72"/>
      <c r="X116" s="72"/>
      <c r="Y116" s="72"/>
      <c r="Z116" s="72"/>
      <c r="AA116" s="72"/>
      <c r="AB116" s="72"/>
      <c r="AC116" s="72"/>
      <c r="AD116" s="72"/>
      <c r="AE116" s="72"/>
      <c r="AF116" s="72"/>
      <c r="AG116" s="72"/>
      <c r="AJ116" s="72"/>
      <c r="AK116" s="84"/>
    </row>
    <row r="117" customFormat="false" ht="14.25" hidden="false" customHeight="true" outlineLevel="0" collapsed="false">
      <c r="A117" s="94" t="s">
        <v>39</v>
      </c>
      <c r="B117" s="95" t="n">
        <v>2</v>
      </c>
      <c r="C117" s="96" t="s">
        <v>35</v>
      </c>
      <c r="D117" s="17" t="s">
        <v>1278</v>
      </c>
      <c r="F117" s="32"/>
      <c r="J117" s="72"/>
      <c r="K117" s="72"/>
      <c r="L117" s="72"/>
      <c r="M117" s="84"/>
      <c r="N117" s="84"/>
      <c r="O117" s="84"/>
      <c r="P117" s="84"/>
      <c r="Q117" s="8"/>
      <c r="T117" s="72"/>
      <c r="U117" s="72"/>
      <c r="V117" s="72"/>
      <c r="W117" s="72"/>
      <c r="X117" s="72"/>
      <c r="Y117" s="72"/>
      <c r="Z117" s="72"/>
      <c r="AA117" s="72"/>
      <c r="AB117" s="72"/>
      <c r="AC117" s="72"/>
      <c r="AD117" s="72"/>
      <c r="AE117" s="72"/>
      <c r="AF117" s="72"/>
      <c r="AG117" s="72"/>
      <c r="AJ117" s="72"/>
      <c r="AK117" s="84"/>
    </row>
    <row r="118" customFormat="false" ht="14.25" hidden="false" customHeight="true" outlineLevel="0" collapsed="false">
      <c r="A118" s="94" t="s">
        <v>1151</v>
      </c>
      <c r="B118" s="95" t="n">
        <v>1</v>
      </c>
      <c r="C118" s="96" t="s">
        <v>39</v>
      </c>
      <c r="D118" s="17" t="s">
        <v>1279</v>
      </c>
      <c r="F118" s="32"/>
      <c r="J118" s="72"/>
      <c r="K118" s="72"/>
      <c r="L118" s="72"/>
      <c r="M118" s="84"/>
      <c r="N118" s="84"/>
      <c r="O118" s="84"/>
      <c r="P118" s="84"/>
      <c r="Q118" s="8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J118" s="72"/>
      <c r="AK118" s="84"/>
    </row>
    <row r="119" customFormat="false" ht="14.25" hidden="false" customHeight="true" outlineLevel="0" collapsed="false">
      <c r="A119" s="94" t="s">
        <v>41</v>
      </c>
      <c r="B119" s="95" t="n">
        <v>1</v>
      </c>
      <c r="C119" s="96" t="s">
        <v>39</v>
      </c>
      <c r="D119" s="17" t="s">
        <v>1280</v>
      </c>
      <c r="F119" s="32"/>
      <c r="J119" s="72"/>
      <c r="K119" s="72"/>
      <c r="L119" s="72"/>
      <c r="M119" s="84"/>
      <c r="N119" s="84"/>
      <c r="O119" s="84"/>
      <c r="P119" s="84"/>
      <c r="Q119" s="8"/>
      <c r="T119" s="72"/>
      <c r="U119" s="72"/>
      <c r="V119" s="72"/>
      <c r="W119" s="72"/>
      <c r="X119" s="72"/>
      <c r="Y119" s="72"/>
      <c r="Z119" s="72"/>
      <c r="AA119" s="72"/>
      <c r="AB119" s="72"/>
      <c r="AC119" s="72"/>
      <c r="AD119" s="72"/>
      <c r="AE119" s="72"/>
      <c r="AF119" s="72"/>
      <c r="AG119" s="72"/>
      <c r="AJ119" s="72"/>
      <c r="AK119" s="84"/>
    </row>
    <row r="120" customFormat="false" ht="14.25" hidden="false" customHeight="true" outlineLevel="0" collapsed="false">
      <c r="A120" s="94" t="s">
        <v>39</v>
      </c>
      <c r="B120" s="95" t="n">
        <v>1</v>
      </c>
      <c r="C120" s="96" t="s">
        <v>41</v>
      </c>
      <c r="D120" s="17" t="s">
        <v>1281</v>
      </c>
      <c r="F120" s="32"/>
      <c r="J120" s="72"/>
      <c r="K120" s="72"/>
      <c r="L120" s="72"/>
      <c r="M120" s="84"/>
      <c r="N120" s="84"/>
      <c r="O120" s="84"/>
      <c r="P120" s="84"/>
      <c r="Q120" s="8"/>
      <c r="T120" s="72"/>
      <c r="U120" s="72"/>
      <c r="V120" s="72"/>
      <c r="W120" s="72"/>
      <c r="X120" s="72"/>
      <c r="Y120" s="72"/>
      <c r="Z120" s="72"/>
      <c r="AA120" s="72"/>
      <c r="AB120" s="72"/>
      <c r="AC120" s="72"/>
      <c r="AD120" s="72"/>
      <c r="AE120" s="72"/>
      <c r="AF120" s="72"/>
      <c r="AG120" s="72"/>
      <c r="AJ120" s="72"/>
      <c r="AK120" s="84"/>
    </row>
    <row r="121" customFormat="false" ht="14.25" hidden="false" customHeight="true" outlineLevel="0" collapsed="false">
      <c r="A121" s="94" t="s">
        <v>39</v>
      </c>
      <c r="B121" s="95" t="n">
        <v>1</v>
      </c>
      <c r="C121" s="96" t="s">
        <v>1151</v>
      </c>
      <c r="D121" s="17" t="s">
        <v>1281</v>
      </c>
      <c r="F121" s="32"/>
      <c r="J121" s="72"/>
      <c r="K121" s="72"/>
      <c r="L121" s="72"/>
      <c r="M121" s="84"/>
      <c r="N121" s="84"/>
      <c r="O121" s="84"/>
      <c r="P121" s="84"/>
      <c r="Q121" s="8"/>
      <c r="T121" s="72"/>
      <c r="U121" s="72"/>
      <c r="V121" s="72"/>
      <c r="W121" s="72"/>
      <c r="X121" s="72"/>
      <c r="Y121" s="72"/>
      <c r="Z121" s="72"/>
      <c r="AA121" s="72"/>
      <c r="AB121" s="72"/>
      <c r="AC121" s="72"/>
      <c r="AD121" s="72"/>
      <c r="AE121" s="72"/>
      <c r="AF121" s="72"/>
      <c r="AG121" s="72"/>
      <c r="AJ121" s="72"/>
      <c r="AK121" s="84"/>
    </row>
    <row r="122" customFormat="false" ht="14.25" hidden="false" customHeight="true" outlineLevel="0" collapsed="false">
      <c r="A122" s="94" t="s">
        <v>30</v>
      </c>
      <c r="B122" s="95" t="n">
        <v>1</v>
      </c>
      <c r="C122" s="121" t="s">
        <v>36</v>
      </c>
      <c r="D122" s="17" t="s">
        <v>1282</v>
      </c>
      <c r="F122" s="32"/>
      <c r="J122" s="72"/>
      <c r="K122" s="72"/>
      <c r="L122" s="72"/>
      <c r="M122" s="84"/>
      <c r="N122" s="84"/>
      <c r="O122" s="84"/>
      <c r="P122" s="84"/>
      <c r="Q122" s="8"/>
      <c r="T122" s="72"/>
      <c r="U122" s="72"/>
      <c r="V122" s="72"/>
      <c r="W122" s="72"/>
      <c r="X122" s="72"/>
      <c r="Y122" s="72"/>
      <c r="Z122" s="72"/>
      <c r="AA122" s="72"/>
      <c r="AB122" s="72"/>
      <c r="AC122" s="72"/>
      <c r="AD122" s="72"/>
      <c r="AE122" s="72"/>
      <c r="AF122" s="72"/>
      <c r="AG122" s="72"/>
      <c r="AJ122" s="72"/>
      <c r="AK122" s="84"/>
    </row>
    <row r="123" customFormat="false" ht="14.25" hidden="false" customHeight="true" outlineLevel="0" collapsed="false">
      <c r="A123" s="94" t="s">
        <v>42</v>
      </c>
      <c r="B123" s="95" t="n">
        <v>2</v>
      </c>
      <c r="C123" s="121" t="s">
        <v>30</v>
      </c>
      <c r="D123" s="17" t="s">
        <v>1283</v>
      </c>
      <c r="E123" s="6" t="n">
        <v>0</v>
      </c>
      <c r="F123" s="32"/>
      <c r="J123" s="72"/>
      <c r="K123" s="72"/>
      <c r="L123" s="72"/>
      <c r="M123" s="84"/>
      <c r="N123" s="84"/>
      <c r="O123" s="84"/>
      <c r="P123" s="84"/>
      <c r="Q123" s="8"/>
      <c r="T123" s="72"/>
      <c r="U123" s="72"/>
      <c r="V123" s="72"/>
      <c r="W123" s="72"/>
      <c r="X123" s="72"/>
      <c r="Y123" s="72"/>
      <c r="Z123" s="72"/>
      <c r="AA123" s="72"/>
      <c r="AB123" s="72"/>
      <c r="AC123" s="72"/>
      <c r="AD123" s="72"/>
      <c r="AE123" s="72"/>
      <c r="AF123" s="72"/>
      <c r="AG123" s="72"/>
      <c r="AJ123" s="72"/>
      <c r="AK123" s="84"/>
    </row>
    <row r="124" customFormat="false" ht="14.25" hidden="false" customHeight="true" outlineLevel="0" collapsed="false">
      <c r="A124" s="94" t="s">
        <v>1151</v>
      </c>
      <c r="B124" s="95" t="n">
        <v>1</v>
      </c>
      <c r="C124" s="121" t="s">
        <v>35</v>
      </c>
      <c r="D124" s="17" t="s">
        <v>1284</v>
      </c>
      <c r="F124" s="32"/>
      <c r="J124" s="72"/>
      <c r="K124" s="72"/>
      <c r="L124" s="72"/>
      <c r="M124" s="84"/>
      <c r="N124" s="84"/>
      <c r="O124" s="84"/>
      <c r="P124" s="84"/>
      <c r="Q124" s="8"/>
      <c r="T124" s="72"/>
      <c r="U124" s="72"/>
      <c r="V124" s="72"/>
      <c r="W124" s="72"/>
      <c r="X124" s="72"/>
      <c r="Y124" s="72"/>
      <c r="Z124" s="72"/>
      <c r="AA124" s="72"/>
      <c r="AB124" s="72"/>
      <c r="AC124" s="72"/>
      <c r="AD124" s="72"/>
      <c r="AE124" s="72"/>
      <c r="AF124" s="72"/>
      <c r="AG124" s="72"/>
      <c r="AJ124" s="72"/>
      <c r="AK124" s="84"/>
    </row>
    <row r="125" customFormat="false" ht="14.25" hidden="false" customHeight="true" outlineLevel="0" collapsed="false">
      <c r="A125" s="94" t="s">
        <v>33</v>
      </c>
      <c r="B125" s="95" t="n">
        <v>2</v>
      </c>
      <c r="C125" s="121" t="s">
        <v>35</v>
      </c>
      <c r="D125" s="17" t="s">
        <v>1285</v>
      </c>
      <c r="F125" s="32"/>
      <c r="J125" s="72"/>
      <c r="K125" s="72"/>
      <c r="L125" s="72"/>
      <c r="M125" s="84"/>
      <c r="N125" s="84"/>
      <c r="O125" s="84"/>
      <c r="P125" s="84"/>
      <c r="Q125" s="8"/>
      <c r="T125" s="72"/>
      <c r="U125" s="72"/>
      <c r="V125" s="72"/>
      <c r="W125" s="72"/>
      <c r="X125" s="72"/>
      <c r="Y125" s="72"/>
      <c r="Z125" s="72"/>
      <c r="AA125" s="72"/>
      <c r="AB125" s="72"/>
      <c r="AC125" s="72"/>
      <c r="AD125" s="72"/>
      <c r="AE125" s="72"/>
      <c r="AF125" s="72"/>
      <c r="AG125" s="72"/>
      <c r="AJ125" s="72"/>
      <c r="AK125" s="84"/>
    </row>
    <row r="126" customFormat="false" ht="14.25" hidden="false" customHeight="true" outlineLevel="0" collapsed="false">
      <c r="A126" s="94" t="s">
        <v>1151</v>
      </c>
      <c r="B126" s="95" t="n">
        <v>2</v>
      </c>
      <c r="C126" s="96" t="s">
        <v>35</v>
      </c>
      <c r="D126" s="17" t="s">
        <v>1286</v>
      </c>
      <c r="F126" s="32"/>
    </row>
    <row r="127" customFormat="false" ht="14.25" hidden="false" customHeight="true" outlineLevel="0" collapsed="false">
      <c r="A127" s="94" t="s">
        <v>39</v>
      </c>
      <c r="B127" s="95" t="n">
        <v>2</v>
      </c>
      <c r="C127" s="96" t="s">
        <v>35</v>
      </c>
      <c r="D127" s="17" t="s">
        <v>1287</v>
      </c>
      <c r="F127" s="32"/>
    </row>
    <row r="128" customFormat="false" ht="14.25" hidden="false" customHeight="true" outlineLevel="0" collapsed="false">
      <c r="A128" s="94" t="s">
        <v>39</v>
      </c>
      <c r="B128" s="95" t="n">
        <v>1</v>
      </c>
      <c r="C128" s="96" t="s">
        <v>36</v>
      </c>
      <c r="D128" s="17" t="s">
        <v>1288</v>
      </c>
      <c r="F128" s="32"/>
    </row>
    <row r="129" customFormat="false" ht="14.25" hidden="false" customHeight="true" outlineLevel="0" collapsed="false">
      <c r="A129" s="94" t="s">
        <v>36</v>
      </c>
      <c r="B129" s="95" t="n">
        <v>2</v>
      </c>
      <c r="C129" s="96" t="s">
        <v>35</v>
      </c>
      <c r="D129" s="17" t="s">
        <v>1289</v>
      </c>
      <c r="F129" s="32"/>
    </row>
    <row r="130" customFormat="false" ht="14.25" hidden="false" customHeight="true" outlineLevel="0" collapsed="false">
      <c r="A130" s="94" t="s">
        <v>36</v>
      </c>
      <c r="B130" s="95" t="n">
        <v>1</v>
      </c>
      <c r="C130" s="96" t="s">
        <v>39</v>
      </c>
      <c r="D130" s="17" t="s">
        <v>1290</v>
      </c>
      <c r="F130" s="32"/>
    </row>
    <row r="131" customFormat="false" ht="14.25" hidden="false" customHeight="true" outlineLevel="0" collapsed="false">
      <c r="A131" s="94" t="s">
        <v>42</v>
      </c>
      <c r="B131" s="95" t="n">
        <v>2</v>
      </c>
      <c r="C131" s="96" t="s">
        <v>35</v>
      </c>
      <c r="D131" s="17" t="s">
        <v>1291</v>
      </c>
      <c r="F131" s="32"/>
    </row>
    <row r="132" customFormat="false" ht="14.25" hidden="false" customHeight="true" outlineLevel="0" collapsed="false">
      <c r="A132" s="94" t="s">
        <v>39</v>
      </c>
      <c r="B132" s="95" t="n">
        <v>2</v>
      </c>
      <c r="C132" s="96" t="s">
        <v>36</v>
      </c>
      <c r="D132" s="17" t="s">
        <v>1292</v>
      </c>
      <c r="F132" s="32"/>
    </row>
    <row r="133" customFormat="false" ht="14.25" hidden="false" customHeight="true" outlineLevel="0" collapsed="false">
      <c r="A133" s="94" t="s">
        <v>36</v>
      </c>
      <c r="B133" s="95" t="n">
        <v>1</v>
      </c>
      <c r="C133" s="96" t="s">
        <v>35</v>
      </c>
      <c r="D133" s="17" t="s">
        <v>1293</v>
      </c>
      <c r="F133" s="32"/>
    </row>
    <row r="134" customFormat="false" ht="14.25" hidden="false" customHeight="true" outlineLevel="0" collapsed="false">
      <c r="A134" s="94" t="s">
        <v>1151</v>
      </c>
      <c r="B134" s="95" t="n">
        <v>2</v>
      </c>
      <c r="C134" s="96" t="s">
        <v>35</v>
      </c>
      <c r="D134" s="17" t="s">
        <v>1294</v>
      </c>
      <c r="F134" s="32"/>
    </row>
    <row r="135" customFormat="false" ht="14.25" hidden="false" customHeight="true" outlineLevel="0" collapsed="false">
      <c r="A135" s="94" t="s">
        <v>39</v>
      </c>
      <c r="B135" s="95" t="n">
        <v>1</v>
      </c>
      <c r="C135" s="96" t="s">
        <v>36</v>
      </c>
      <c r="D135" s="17" t="s">
        <v>1295</v>
      </c>
      <c r="F135" s="32"/>
    </row>
    <row r="136" customFormat="false" ht="14.25" hidden="false" customHeight="true" outlineLevel="0" collapsed="false">
      <c r="A136" s="94" t="s">
        <v>36</v>
      </c>
      <c r="B136" s="95" t="n">
        <v>1</v>
      </c>
      <c r="C136" s="96" t="s">
        <v>39</v>
      </c>
      <c r="D136" s="17" t="s">
        <v>1296</v>
      </c>
      <c r="F136" s="32"/>
    </row>
    <row r="137" customFormat="false" ht="14.25" hidden="false" customHeight="true" outlineLevel="0" collapsed="false">
      <c r="A137" s="94" t="s">
        <v>36</v>
      </c>
      <c r="B137" s="95" t="n">
        <v>2</v>
      </c>
      <c r="C137" s="96" t="s">
        <v>42</v>
      </c>
      <c r="D137" s="17" t="s">
        <v>1297</v>
      </c>
      <c r="F137" s="32"/>
    </row>
    <row r="138" customFormat="false" ht="14.25" hidden="false" customHeight="true" outlineLevel="0" collapsed="false">
      <c r="A138" s="94" t="s">
        <v>39</v>
      </c>
      <c r="B138" s="95" t="n">
        <v>2</v>
      </c>
      <c r="C138" s="96" t="s">
        <v>42</v>
      </c>
      <c r="D138" s="17" t="s">
        <v>1298</v>
      </c>
      <c r="F138" s="32"/>
    </row>
    <row r="139" customFormat="false" ht="14.25" hidden="false" customHeight="true" outlineLevel="0" collapsed="false">
      <c r="A139" s="94" t="s">
        <v>42</v>
      </c>
      <c r="B139" s="95" t="n">
        <v>1</v>
      </c>
      <c r="C139" s="96" t="s">
        <v>39</v>
      </c>
      <c r="D139" s="17" t="s">
        <v>1299</v>
      </c>
      <c r="F139" s="32"/>
    </row>
    <row r="140" customFormat="false" ht="14.25" hidden="false" customHeight="true" outlineLevel="0" collapsed="false">
      <c r="A140" s="94" t="s">
        <v>42</v>
      </c>
      <c r="B140" s="95" t="n">
        <v>1</v>
      </c>
      <c r="C140" s="96" t="s">
        <v>36</v>
      </c>
      <c r="D140" s="17" t="s">
        <v>1299</v>
      </c>
      <c r="F140" s="32"/>
    </row>
    <row r="141" customFormat="false" ht="14.25" hidden="false" customHeight="true" outlineLevel="0" collapsed="false">
      <c r="A141" s="94" t="s">
        <v>41</v>
      </c>
      <c r="B141" s="95" t="n">
        <v>1</v>
      </c>
      <c r="C141" s="96" t="s">
        <v>35</v>
      </c>
      <c r="D141" s="17" t="s">
        <v>1300</v>
      </c>
      <c r="F141" s="32"/>
    </row>
    <row r="142" customFormat="false" ht="14.25" hidden="false" customHeight="true" outlineLevel="0" collapsed="false">
      <c r="A142" s="94" t="s">
        <v>30</v>
      </c>
      <c r="B142" s="95" t="n">
        <v>1</v>
      </c>
      <c r="C142" s="96" t="s">
        <v>35</v>
      </c>
      <c r="D142" s="17" t="s">
        <v>1301</v>
      </c>
      <c r="F142" s="32"/>
    </row>
    <row r="143" customFormat="false" ht="14.25" hidden="false" customHeight="true" outlineLevel="0" collapsed="false">
      <c r="A143" s="94" t="s">
        <v>33</v>
      </c>
      <c r="B143" s="95" t="n">
        <v>2</v>
      </c>
      <c r="C143" s="96" t="s">
        <v>35</v>
      </c>
      <c r="D143" s="17" t="s">
        <v>1302</v>
      </c>
      <c r="F143" s="32"/>
    </row>
    <row r="144" customFormat="false" ht="14.25" hidden="false" customHeight="true" outlineLevel="0" collapsed="false">
      <c r="A144" s="94" t="s">
        <v>39</v>
      </c>
      <c r="B144" s="95" t="n">
        <v>2</v>
      </c>
      <c r="C144" s="96" t="s">
        <v>36</v>
      </c>
      <c r="D144" s="17" t="s">
        <v>1303</v>
      </c>
      <c r="F144" s="32"/>
    </row>
    <row r="145" customFormat="false" ht="14.25" hidden="false" customHeight="true" outlineLevel="0" collapsed="false">
      <c r="A145" s="94" t="s">
        <v>40</v>
      </c>
      <c r="B145" s="95" t="n">
        <v>2</v>
      </c>
      <c r="C145" s="96" t="s">
        <v>36</v>
      </c>
      <c r="D145" s="17" t="s">
        <v>1304</v>
      </c>
      <c r="F145" s="32"/>
    </row>
    <row r="146" customFormat="false" ht="14.25" hidden="false" customHeight="true" outlineLevel="0" collapsed="false">
      <c r="A146" s="94" t="s">
        <v>30</v>
      </c>
      <c r="B146" s="95" t="n">
        <v>2</v>
      </c>
      <c r="C146" s="96" t="s">
        <v>35</v>
      </c>
      <c r="D146" s="17" t="s">
        <v>1305</v>
      </c>
      <c r="F146" s="32"/>
    </row>
    <row r="147" customFormat="false" ht="14.25" hidden="false" customHeight="true" outlineLevel="0" collapsed="false">
      <c r="A147" s="94" t="s">
        <v>39</v>
      </c>
      <c r="B147" s="95" t="n">
        <v>2</v>
      </c>
      <c r="C147" s="96" t="s">
        <v>42</v>
      </c>
      <c r="D147" s="17" t="s">
        <v>1306</v>
      </c>
      <c r="F147" s="32"/>
    </row>
    <row r="148" customFormat="false" ht="14.25" hidden="false" customHeight="true" outlineLevel="0" collapsed="false">
      <c r="A148" s="94" t="s">
        <v>42</v>
      </c>
      <c r="B148" s="95" t="n">
        <v>1</v>
      </c>
      <c r="C148" s="96" t="s">
        <v>35</v>
      </c>
      <c r="D148" s="17" t="s">
        <v>1307</v>
      </c>
      <c r="F148" s="32"/>
    </row>
    <row r="149" customFormat="false" ht="14.25" hidden="false" customHeight="true" outlineLevel="0" collapsed="false">
      <c r="A149" s="94" t="s">
        <v>39</v>
      </c>
      <c r="B149" s="95" t="n">
        <v>1</v>
      </c>
      <c r="C149" s="96" t="s">
        <v>35</v>
      </c>
      <c r="D149" s="17" t="s">
        <v>1308</v>
      </c>
      <c r="F149" s="32"/>
    </row>
    <row r="150" customFormat="false" ht="14.25" hidden="false" customHeight="true" outlineLevel="0" collapsed="false">
      <c r="A150" s="94" t="s">
        <v>1154</v>
      </c>
      <c r="B150" s="95" t="n">
        <v>2</v>
      </c>
      <c r="C150" s="96" t="s">
        <v>36</v>
      </c>
      <c r="D150" s="17" t="s">
        <v>1309</v>
      </c>
      <c r="F150" s="32"/>
    </row>
    <row r="151" customFormat="false" ht="14.25" hidden="false" customHeight="true" outlineLevel="0" collapsed="false">
      <c r="A151" s="94" t="s">
        <v>33</v>
      </c>
      <c r="B151" s="95" t="n">
        <v>2</v>
      </c>
      <c r="C151" s="96" t="s">
        <v>36</v>
      </c>
      <c r="D151" s="17" t="s">
        <v>1310</v>
      </c>
      <c r="F151" s="32"/>
    </row>
    <row r="152" customFormat="false" ht="14.25" hidden="false" customHeight="true" outlineLevel="0" collapsed="false">
      <c r="A152" s="94" t="s">
        <v>36</v>
      </c>
      <c r="B152" s="95" t="n">
        <v>1</v>
      </c>
      <c r="C152" s="96" t="s">
        <v>39</v>
      </c>
      <c r="D152" s="17" t="s">
        <v>1311</v>
      </c>
      <c r="F152" s="32"/>
    </row>
    <row r="153" customFormat="false" ht="14.25" hidden="false" customHeight="true" outlineLevel="0" collapsed="false">
      <c r="A153" s="94" t="s">
        <v>39</v>
      </c>
      <c r="B153" s="95" t="n">
        <v>2</v>
      </c>
      <c r="C153" s="96" t="s">
        <v>36</v>
      </c>
      <c r="D153" s="17" t="s">
        <v>1312</v>
      </c>
      <c r="F153" s="32"/>
    </row>
    <row r="154" customFormat="false" ht="14.25" hidden="false" customHeight="true" outlineLevel="0" collapsed="false">
      <c r="A154" s="94" t="s">
        <v>39</v>
      </c>
      <c r="B154" s="95" t="n">
        <v>1</v>
      </c>
      <c r="C154" s="96" t="s">
        <v>36</v>
      </c>
      <c r="D154" s="17" t="s">
        <v>1313</v>
      </c>
      <c r="F154" s="32"/>
    </row>
    <row r="155" customFormat="false" ht="14.25" hidden="false" customHeight="true" outlineLevel="0" collapsed="false">
      <c r="A155" s="94" t="s">
        <v>39</v>
      </c>
      <c r="B155" s="95" t="n">
        <v>2</v>
      </c>
      <c r="C155" s="96" t="s">
        <v>36</v>
      </c>
      <c r="D155" s="17" t="s">
        <v>1314</v>
      </c>
      <c r="F155" s="32"/>
    </row>
    <row r="156" customFormat="false" ht="14.25" hidden="false" customHeight="true" outlineLevel="0" collapsed="false">
      <c r="A156" s="94" t="s">
        <v>36</v>
      </c>
      <c r="B156" s="95" t="n">
        <v>1</v>
      </c>
      <c r="C156" s="96" t="s">
        <v>39</v>
      </c>
      <c r="D156" s="17" t="s">
        <v>1315</v>
      </c>
      <c r="F156" s="32"/>
    </row>
    <row r="157" customFormat="false" ht="14.25" hidden="false" customHeight="true" outlineLevel="0" collapsed="false">
      <c r="A157" s="94" t="s">
        <v>42</v>
      </c>
      <c r="B157" s="95" t="n">
        <v>1</v>
      </c>
      <c r="C157" s="96" t="s">
        <v>40</v>
      </c>
      <c r="D157" s="17" t="s">
        <v>1316</v>
      </c>
      <c r="F157" s="32"/>
    </row>
    <row r="158" customFormat="false" ht="14.25" hidden="false" customHeight="true" outlineLevel="0" collapsed="false">
      <c r="A158" s="94" t="s">
        <v>42</v>
      </c>
      <c r="B158" s="95" t="n">
        <v>2</v>
      </c>
      <c r="C158" s="96" t="s">
        <v>40</v>
      </c>
      <c r="D158" s="17" t="s">
        <v>1317</v>
      </c>
      <c r="F158" s="32"/>
    </row>
    <row r="159" customFormat="false" ht="14.25" hidden="false" customHeight="true" outlineLevel="0" collapsed="false">
      <c r="A159" s="94" t="s">
        <v>39</v>
      </c>
      <c r="B159" s="95" t="n">
        <v>1</v>
      </c>
      <c r="C159" s="96" t="s">
        <v>35</v>
      </c>
      <c r="D159" s="17" t="s">
        <v>1318</v>
      </c>
      <c r="F159" s="32"/>
    </row>
    <row r="160" customFormat="false" ht="14.25" hidden="false" customHeight="true" outlineLevel="0" collapsed="false">
      <c r="A160" s="94" t="s">
        <v>36</v>
      </c>
      <c r="B160" s="95" t="n">
        <v>2</v>
      </c>
      <c r="C160" s="96" t="s">
        <v>35</v>
      </c>
      <c r="D160" s="17" t="s">
        <v>1319</v>
      </c>
    </row>
    <row r="161" customFormat="false" ht="14.25" hidden="false" customHeight="true" outlineLevel="0" collapsed="false">
      <c r="A161" s="94" t="s">
        <v>39</v>
      </c>
      <c r="B161" s="95" t="n">
        <v>1</v>
      </c>
      <c r="C161" s="96" t="s">
        <v>36</v>
      </c>
      <c r="D161" s="17" t="s">
        <v>1320</v>
      </c>
    </row>
    <row r="162" customFormat="false" ht="14.25" hidden="false" customHeight="true" outlineLevel="0" collapsed="false">
      <c r="A162" s="94" t="s">
        <v>36</v>
      </c>
      <c r="B162" s="95" t="n">
        <v>1</v>
      </c>
      <c r="C162" s="96" t="s">
        <v>39</v>
      </c>
      <c r="D162" s="17" t="s">
        <v>1321</v>
      </c>
    </row>
    <row r="163" customFormat="false" ht="14.25" hidden="false" customHeight="true" outlineLevel="0" collapsed="false">
      <c r="A163" s="94" t="s">
        <v>42</v>
      </c>
      <c r="B163" s="95" t="n">
        <v>1</v>
      </c>
      <c r="C163" s="96" t="s">
        <v>35</v>
      </c>
      <c r="D163" s="17" t="s">
        <v>1322</v>
      </c>
    </row>
    <row r="164" customFormat="false" ht="14.25" hidden="false" customHeight="true" outlineLevel="0" collapsed="false">
      <c r="A164" s="94" t="s">
        <v>39</v>
      </c>
      <c r="B164" s="95" t="n">
        <v>2</v>
      </c>
      <c r="C164" s="96" t="s">
        <v>36</v>
      </c>
      <c r="D164" s="17" t="s">
        <v>1323</v>
      </c>
    </row>
    <row r="165" customFormat="false" ht="14.25" hidden="false" customHeight="true" outlineLevel="0" collapsed="false">
      <c r="A165" s="94" t="s">
        <v>36</v>
      </c>
      <c r="B165" s="95" t="n">
        <v>1</v>
      </c>
      <c r="C165" s="96" t="s">
        <v>39</v>
      </c>
      <c r="D165" s="17" t="s">
        <v>1324</v>
      </c>
    </row>
    <row r="166" customFormat="false" ht="14.25" hidden="false" customHeight="true" outlineLevel="0" collapsed="false">
      <c r="A166" s="94" t="s">
        <v>1151</v>
      </c>
      <c r="B166" s="95" t="n">
        <v>2</v>
      </c>
      <c r="C166" s="96" t="s">
        <v>39</v>
      </c>
      <c r="D166" s="17" t="s">
        <v>1325</v>
      </c>
    </row>
    <row r="167" customFormat="false" ht="14.25" hidden="false" customHeight="true" outlineLevel="0" collapsed="false">
      <c r="A167" s="94" t="s">
        <v>39</v>
      </c>
      <c r="B167" s="95" t="n">
        <v>1</v>
      </c>
      <c r="C167" s="96" t="s">
        <v>1151</v>
      </c>
      <c r="D167" s="17" t="s">
        <v>1326</v>
      </c>
    </row>
    <row r="168" customFormat="false" ht="14.25" hidden="false" customHeight="true" outlineLevel="0" collapsed="false">
      <c r="A168" s="94" t="s">
        <v>1151</v>
      </c>
      <c r="B168" s="95" t="n">
        <v>1</v>
      </c>
      <c r="C168" s="96" t="s">
        <v>41</v>
      </c>
      <c r="D168" s="17" t="s">
        <v>1327</v>
      </c>
    </row>
    <row r="169" customFormat="false" ht="14.25" hidden="false" customHeight="true" outlineLevel="0" collapsed="false">
      <c r="A169" s="94" t="s">
        <v>41</v>
      </c>
      <c r="B169" s="95" t="n">
        <v>1</v>
      </c>
      <c r="C169" s="96" t="s">
        <v>1151</v>
      </c>
      <c r="D169" s="17" t="s">
        <v>1328</v>
      </c>
    </row>
    <row r="170" customFormat="false" ht="14.25" hidden="false" customHeight="true" outlineLevel="0" collapsed="false">
      <c r="A170" s="94" t="s">
        <v>39</v>
      </c>
      <c r="B170" s="95" t="n">
        <v>1</v>
      </c>
      <c r="C170" s="96" t="s">
        <v>1151</v>
      </c>
      <c r="D170" s="17" t="s">
        <v>1329</v>
      </c>
    </row>
    <row r="171" customFormat="false" ht="14.25" hidden="false" customHeight="true" outlineLevel="0" collapsed="false">
      <c r="A171" s="94" t="s">
        <v>39</v>
      </c>
      <c r="B171" s="95" t="n">
        <v>2</v>
      </c>
      <c r="C171" s="96" t="s">
        <v>36</v>
      </c>
      <c r="D171" s="17" t="s">
        <v>1330</v>
      </c>
    </row>
    <row r="172" customFormat="false" ht="14.25" hidden="false" customHeight="true" outlineLevel="0" collapsed="false">
      <c r="A172" s="94" t="s">
        <v>36</v>
      </c>
      <c r="B172" s="95" t="n">
        <v>1</v>
      </c>
      <c r="C172" s="96" t="s">
        <v>39</v>
      </c>
      <c r="D172" s="17" t="s">
        <v>1331</v>
      </c>
    </row>
    <row r="173" customFormat="false" ht="14.25" hidden="false" customHeight="true" outlineLevel="0" collapsed="false">
      <c r="A173" s="94" t="s">
        <v>42</v>
      </c>
      <c r="B173" s="95" t="n">
        <v>2</v>
      </c>
      <c r="C173" s="96" t="s">
        <v>39</v>
      </c>
      <c r="D173" s="17" t="s">
        <v>1332</v>
      </c>
    </row>
    <row r="174" customFormat="false" ht="14.25" hidden="false" customHeight="true" outlineLevel="0" collapsed="false">
      <c r="A174" s="94" t="s">
        <v>42</v>
      </c>
      <c r="B174" s="95" t="n">
        <v>2</v>
      </c>
      <c r="C174" s="96" t="s">
        <v>36</v>
      </c>
      <c r="D174" s="17" t="s">
        <v>1332</v>
      </c>
    </row>
    <row r="175" customFormat="false" ht="14.25" hidden="false" customHeight="true" outlineLevel="0" collapsed="false">
      <c r="A175" s="94" t="s">
        <v>36</v>
      </c>
      <c r="B175" s="95" t="n">
        <v>2</v>
      </c>
      <c r="C175" s="96" t="s">
        <v>42</v>
      </c>
      <c r="D175" s="17" t="s">
        <v>1333</v>
      </c>
    </row>
    <row r="176" customFormat="false" ht="14.25" hidden="false" customHeight="true" outlineLevel="0" collapsed="false">
      <c r="A176" s="94" t="s">
        <v>39</v>
      </c>
      <c r="B176" s="95" t="n">
        <v>1</v>
      </c>
      <c r="C176" s="96" t="s">
        <v>42</v>
      </c>
      <c r="D176" s="17" t="s">
        <v>1334</v>
      </c>
    </row>
    <row r="177" customFormat="false" ht="14.25" hidden="false" customHeight="true" outlineLevel="0" collapsed="false">
      <c r="A177" s="94" t="s">
        <v>36</v>
      </c>
      <c r="B177" s="95" t="n">
        <v>2</v>
      </c>
      <c r="C177" s="96" t="s">
        <v>35</v>
      </c>
      <c r="D177" s="17" t="s">
        <v>1335</v>
      </c>
    </row>
    <row r="178" customFormat="false" ht="14.25" hidden="false" customHeight="true" outlineLevel="0" collapsed="false">
      <c r="A178" s="94" t="s">
        <v>40</v>
      </c>
      <c r="B178" s="95" t="n">
        <v>1</v>
      </c>
      <c r="C178" s="96" t="s">
        <v>42</v>
      </c>
      <c r="D178" s="17" t="s">
        <v>1336</v>
      </c>
    </row>
    <row r="179" customFormat="false" ht="14.25" hidden="false" customHeight="true" outlineLevel="0" collapsed="false">
      <c r="A179" s="94" t="s">
        <v>42</v>
      </c>
      <c r="B179" s="95" t="n">
        <v>1</v>
      </c>
      <c r="C179" s="96" t="s">
        <v>40</v>
      </c>
      <c r="D179" s="17" t="s">
        <v>1337</v>
      </c>
    </row>
    <row r="180" customFormat="false" ht="14.25" hidden="false" customHeight="true" outlineLevel="0" collapsed="false">
      <c r="A180" s="94" t="s">
        <v>36</v>
      </c>
      <c r="B180" s="95" t="n">
        <v>1</v>
      </c>
      <c r="C180" s="96" t="s">
        <v>39</v>
      </c>
      <c r="D180" s="17" t="s">
        <v>1338</v>
      </c>
    </row>
    <row r="181" customFormat="false" ht="14.25" hidden="false" customHeight="true" outlineLevel="0" collapsed="false">
      <c r="A181" s="94" t="s">
        <v>39</v>
      </c>
      <c r="B181" s="95" t="n">
        <v>1</v>
      </c>
      <c r="C181" s="96" t="s">
        <v>36</v>
      </c>
      <c r="D181" s="17" t="s">
        <v>1339</v>
      </c>
    </row>
    <row r="182" customFormat="false" ht="14.25" hidden="false" customHeight="true" outlineLevel="0" collapsed="false">
      <c r="A182" s="94" t="s">
        <v>40</v>
      </c>
      <c r="B182" s="95" t="n">
        <v>1</v>
      </c>
      <c r="C182" s="96" t="s">
        <v>42</v>
      </c>
      <c r="D182" s="17" t="s">
        <v>1340</v>
      </c>
    </row>
    <row r="183" customFormat="false" ht="14.25" hidden="false" customHeight="true" outlineLevel="0" collapsed="false">
      <c r="A183" s="94" t="s">
        <v>42</v>
      </c>
      <c r="B183" s="95" t="n">
        <v>1</v>
      </c>
      <c r="C183" s="96" t="s">
        <v>40</v>
      </c>
      <c r="D183" s="17" t="s">
        <v>1341</v>
      </c>
    </row>
    <row r="184" customFormat="false" ht="14.25" hidden="false" customHeight="true" outlineLevel="0" collapsed="false">
      <c r="A184" s="94" t="s">
        <v>1151</v>
      </c>
      <c r="B184" s="95" t="n">
        <v>2</v>
      </c>
      <c r="C184" s="96" t="s">
        <v>41</v>
      </c>
      <c r="D184" s="17" t="s">
        <v>1342</v>
      </c>
    </row>
    <row r="185" customFormat="false" ht="14.25" hidden="false" customHeight="true" outlineLevel="0" collapsed="false">
      <c r="A185" s="94" t="s">
        <v>39</v>
      </c>
      <c r="B185" s="95" t="n">
        <v>1</v>
      </c>
      <c r="C185" s="96" t="s">
        <v>36</v>
      </c>
      <c r="D185" s="17" t="s">
        <v>1343</v>
      </c>
    </row>
    <row r="186" customFormat="false" ht="14.25" hidden="false" customHeight="true" outlineLevel="0" collapsed="false">
      <c r="A186" s="94" t="s">
        <v>36</v>
      </c>
      <c r="B186" s="95" t="n">
        <v>1</v>
      </c>
      <c r="C186" s="96" t="s">
        <v>39</v>
      </c>
      <c r="D186" s="17" t="s">
        <v>1344</v>
      </c>
    </row>
    <row r="187" customFormat="false" ht="14.25" hidden="false" customHeight="true" outlineLevel="0" collapsed="false">
      <c r="A187" s="94" t="s">
        <v>1151</v>
      </c>
      <c r="B187" s="95" t="n">
        <v>1</v>
      </c>
      <c r="C187" s="96" t="s">
        <v>30</v>
      </c>
      <c r="D187" s="17" t="s">
        <v>1345</v>
      </c>
    </row>
    <row r="188" customFormat="false" ht="14.25" hidden="false" customHeight="true" outlineLevel="0" collapsed="false">
      <c r="A188" s="94" t="s">
        <v>30</v>
      </c>
      <c r="B188" s="95" t="n">
        <v>1</v>
      </c>
      <c r="C188" s="96" t="s">
        <v>1151</v>
      </c>
      <c r="D188" s="17" t="s">
        <v>1346</v>
      </c>
    </row>
    <row r="189" customFormat="false" ht="14.25" hidden="false" customHeight="true" outlineLevel="0" collapsed="false">
      <c r="A189" s="94" t="s">
        <v>39</v>
      </c>
      <c r="B189" s="95" t="n">
        <v>2</v>
      </c>
      <c r="C189" s="96" t="s">
        <v>35</v>
      </c>
      <c r="D189" s="17" t="s">
        <v>1347</v>
      </c>
    </row>
    <row r="190" customFormat="false" ht="14.25" hidden="false" customHeight="true" outlineLevel="0" collapsed="false">
      <c r="A190" s="94" t="s">
        <v>39</v>
      </c>
      <c r="B190" s="95" t="n">
        <v>2</v>
      </c>
      <c r="C190" s="96" t="s">
        <v>36</v>
      </c>
      <c r="D190" s="17" t="s">
        <v>1348</v>
      </c>
    </row>
    <row r="191" customFormat="false" ht="14.25" hidden="false" customHeight="true" outlineLevel="0" collapsed="false">
      <c r="A191" s="94" t="s">
        <v>1151</v>
      </c>
      <c r="B191" s="95" t="n">
        <v>2</v>
      </c>
      <c r="C191" s="96" t="s">
        <v>36</v>
      </c>
      <c r="D191" s="17" t="s">
        <v>1349</v>
      </c>
    </row>
    <row r="192" customFormat="false" ht="14.25" hidden="false" customHeight="true" outlineLevel="0" collapsed="false">
      <c r="A192" s="94" t="s">
        <v>39</v>
      </c>
      <c r="B192" s="95" t="n">
        <v>2</v>
      </c>
      <c r="C192" s="96" t="s">
        <v>1151</v>
      </c>
      <c r="D192" s="17" t="s">
        <v>1350</v>
      </c>
    </row>
    <row r="193" customFormat="false" ht="14.25" hidden="false" customHeight="true" outlineLevel="0" collapsed="false">
      <c r="A193" s="94" t="s">
        <v>1151</v>
      </c>
      <c r="B193" s="95" t="n">
        <v>2</v>
      </c>
      <c r="C193" s="96" t="s">
        <v>42</v>
      </c>
      <c r="D193" s="17" t="s">
        <v>1351</v>
      </c>
    </row>
    <row r="194" customFormat="false" ht="14.25" hidden="false" customHeight="true" outlineLevel="0" collapsed="false">
      <c r="A194" s="94" t="s">
        <v>42</v>
      </c>
      <c r="B194" s="95" t="n">
        <v>1</v>
      </c>
      <c r="C194" s="96" t="s">
        <v>1151</v>
      </c>
      <c r="D194" s="17" t="s">
        <v>1352</v>
      </c>
    </row>
    <row r="195" customFormat="false" ht="14.25" hidden="false" customHeight="true" outlineLevel="0" collapsed="false">
      <c r="A195" s="94" t="s">
        <v>36</v>
      </c>
      <c r="B195" s="95" t="n">
        <v>1</v>
      </c>
      <c r="C195" s="96" t="s">
        <v>1151</v>
      </c>
      <c r="D195" s="17" t="s">
        <v>1353</v>
      </c>
    </row>
    <row r="196" customFormat="false" ht="14.25" hidden="false" customHeight="true" outlineLevel="0" collapsed="false">
      <c r="A196" s="94" t="s">
        <v>1151</v>
      </c>
      <c r="B196" s="95" t="n">
        <v>1</v>
      </c>
      <c r="C196" s="96" t="s">
        <v>36</v>
      </c>
      <c r="D196" s="17" t="s">
        <v>1354</v>
      </c>
    </row>
    <row r="197" customFormat="false" ht="14.25" hidden="false" customHeight="true" outlineLevel="0" collapsed="false">
      <c r="A197" s="94" t="s">
        <v>39</v>
      </c>
      <c r="B197" s="95" t="n">
        <v>2</v>
      </c>
      <c r="C197" s="96" t="s">
        <v>1151</v>
      </c>
      <c r="D197" s="17" t="s">
        <v>1355</v>
      </c>
    </row>
    <row r="198" customFormat="false" ht="14.25" hidden="false" customHeight="true" outlineLevel="0" collapsed="false">
      <c r="A198" s="94" t="s">
        <v>39</v>
      </c>
      <c r="B198" s="95" t="n">
        <v>2</v>
      </c>
      <c r="C198" s="96" t="s">
        <v>30</v>
      </c>
      <c r="D198" s="17" t="s">
        <v>1356</v>
      </c>
      <c r="E198" s="6" t="n">
        <v>0</v>
      </c>
    </row>
    <row r="199" customFormat="false" ht="14.25" hidden="false" customHeight="true" outlineLevel="0" collapsed="false">
      <c r="A199" s="94" t="s">
        <v>30</v>
      </c>
      <c r="B199" s="95" t="n">
        <v>1</v>
      </c>
      <c r="C199" s="96" t="s">
        <v>39</v>
      </c>
      <c r="D199" s="17" t="s">
        <v>1357</v>
      </c>
    </row>
    <row r="200" customFormat="false" ht="14.25" hidden="false" customHeight="true" outlineLevel="0" collapsed="false">
      <c r="A200" s="94" t="s">
        <v>39</v>
      </c>
      <c r="B200" s="95" t="n">
        <v>2</v>
      </c>
      <c r="C200" s="96" t="s">
        <v>30</v>
      </c>
      <c r="D200" s="6" t="s">
        <v>1358</v>
      </c>
      <c r="E200" s="6" t="n">
        <v>0</v>
      </c>
    </row>
    <row r="201" customFormat="false" ht="14.25" hidden="false" customHeight="true" outlineLevel="0" collapsed="false">
      <c r="A201" s="94" t="s">
        <v>30</v>
      </c>
      <c r="B201" s="95" t="n">
        <v>1</v>
      </c>
      <c r="C201" s="96" t="s">
        <v>39</v>
      </c>
      <c r="D201" s="6" t="s">
        <v>1359</v>
      </c>
    </row>
    <row r="202" customFormat="false" ht="14.25" hidden="false" customHeight="true" outlineLevel="0" collapsed="false">
      <c r="A202" s="94" t="s">
        <v>42</v>
      </c>
      <c r="B202" s="95" t="n">
        <v>2</v>
      </c>
      <c r="C202" s="96" t="s">
        <v>40</v>
      </c>
      <c r="D202" s="6" t="s">
        <v>1360</v>
      </c>
    </row>
    <row r="203" customFormat="false" ht="14.25" hidden="false" customHeight="true" outlineLevel="0" collapsed="false">
      <c r="A203" s="94" t="s">
        <v>36</v>
      </c>
      <c r="B203" s="95" t="n">
        <v>2</v>
      </c>
      <c r="C203" s="96" t="s">
        <v>39</v>
      </c>
      <c r="D203" s="17" t="s">
        <v>1361</v>
      </c>
    </row>
    <row r="204" customFormat="false" ht="14.25" hidden="false" customHeight="true" outlineLevel="0" collapsed="false">
      <c r="A204" s="94" t="s">
        <v>39</v>
      </c>
      <c r="B204" s="95" t="n">
        <v>1</v>
      </c>
      <c r="C204" s="96" t="s">
        <v>36</v>
      </c>
      <c r="D204" s="6" t="s">
        <v>1362</v>
      </c>
    </row>
    <row r="205" customFormat="false" ht="14.25" hidden="false" customHeight="true" outlineLevel="0" collapsed="false">
      <c r="A205" s="94" t="s">
        <v>36</v>
      </c>
      <c r="B205" s="95" t="n">
        <v>1</v>
      </c>
      <c r="C205" s="96" t="s">
        <v>33</v>
      </c>
      <c r="D205" s="6" t="s">
        <v>1363</v>
      </c>
    </row>
    <row r="206" customFormat="false" ht="14.25" hidden="false" customHeight="true" outlineLevel="0" collapsed="false">
      <c r="A206" s="94" t="s">
        <v>33</v>
      </c>
      <c r="B206" s="95" t="n">
        <v>1</v>
      </c>
      <c r="C206" s="96" t="s">
        <v>36</v>
      </c>
      <c r="D206" s="6" t="s">
        <v>1364</v>
      </c>
    </row>
    <row r="207" customFormat="false" ht="14.25" hidden="false" customHeight="true" outlineLevel="0" collapsed="false">
      <c r="A207" s="94" t="s">
        <v>1151</v>
      </c>
      <c r="B207" s="95" t="n">
        <v>1</v>
      </c>
      <c r="C207" s="96" t="s">
        <v>42</v>
      </c>
      <c r="D207" s="6" t="s">
        <v>1365</v>
      </c>
    </row>
    <row r="208" customFormat="false" ht="14.25" hidden="false" customHeight="true" outlineLevel="0" collapsed="false">
      <c r="A208" s="94" t="s">
        <v>36</v>
      </c>
      <c r="B208" s="95" t="n">
        <v>1</v>
      </c>
      <c r="C208" s="96" t="s">
        <v>39</v>
      </c>
      <c r="D208" s="6" t="s">
        <v>1366</v>
      </c>
    </row>
    <row r="209" customFormat="false" ht="14.25" hidden="false" customHeight="true" outlineLevel="0" collapsed="false">
      <c r="A209" s="94" t="s">
        <v>39</v>
      </c>
      <c r="B209" s="95" t="n">
        <v>1</v>
      </c>
      <c r="C209" s="96" t="s">
        <v>36</v>
      </c>
      <c r="D209" s="6" t="s">
        <v>1367</v>
      </c>
    </row>
    <row r="210" customFormat="false" ht="14.25" hidden="false" customHeight="true" outlineLevel="0" collapsed="false">
      <c r="A210" s="94" t="s">
        <v>1151</v>
      </c>
      <c r="B210" s="95" t="n">
        <v>2</v>
      </c>
      <c r="C210" s="96" t="s">
        <v>36</v>
      </c>
      <c r="D210" s="6" t="s">
        <v>1368</v>
      </c>
    </row>
    <row r="211" customFormat="false" ht="14.25" hidden="false" customHeight="true" outlineLevel="0" collapsed="false">
      <c r="A211" s="94" t="s">
        <v>39</v>
      </c>
      <c r="B211" s="95" t="n">
        <v>2</v>
      </c>
      <c r="C211" s="96" t="s">
        <v>1151</v>
      </c>
      <c r="D211" s="6" t="s">
        <v>1369</v>
      </c>
    </row>
    <row r="212" customFormat="false" ht="14.25" hidden="false" customHeight="true" outlineLevel="0" collapsed="false">
      <c r="A212" s="94" t="s">
        <v>39</v>
      </c>
      <c r="B212" s="95" t="n">
        <v>2</v>
      </c>
      <c r="C212" s="96" t="s">
        <v>36</v>
      </c>
      <c r="D212" s="6" t="s">
        <v>1369</v>
      </c>
    </row>
    <row r="213" customFormat="false" ht="14.25" hidden="false" customHeight="true" outlineLevel="0" collapsed="false">
      <c r="A213" s="94" t="s">
        <v>1151</v>
      </c>
      <c r="B213" s="95" t="n">
        <v>2</v>
      </c>
      <c r="C213" s="96" t="s">
        <v>39</v>
      </c>
      <c r="D213" s="6" t="s">
        <v>1370</v>
      </c>
    </row>
    <row r="214" customFormat="false" ht="14.25" hidden="false" customHeight="true" outlineLevel="0" collapsed="false">
      <c r="A214" s="94" t="s">
        <v>36</v>
      </c>
      <c r="B214" s="95" t="n">
        <v>2</v>
      </c>
      <c r="C214" s="96" t="s">
        <v>39</v>
      </c>
      <c r="D214" s="6" t="s">
        <v>1371</v>
      </c>
    </row>
    <row r="215" customFormat="false" ht="14.25" hidden="false" customHeight="true" outlineLevel="0" collapsed="false">
      <c r="A215" s="94" t="s">
        <v>39</v>
      </c>
      <c r="B215" s="95" t="n">
        <v>2</v>
      </c>
      <c r="C215" s="96" t="s">
        <v>36</v>
      </c>
      <c r="D215" s="6" t="s">
        <v>1372</v>
      </c>
    </row>
    <row r="216" customFormat="false" ht="14.25" hidden="false" customHeight="true" outlineLevel="0" collapsed="false">
      <c r="A216" s="94" t="s">
        <v>30</v>
      </c>
      <c r="B216" s="95" t="n">
        <v>1</v>
      </c>
      <c r="C216" s="96" t="s">
        <v>1151</v>
      </c>
      <c r="D216" s="6" t="s">
        <v>1373</v>
      </c>
    </row>
    <row r="217" customFormat="false" ht="14.25" hidden="false" customHeight="true" outlineLevel="0" collapsed="false">
      <c r="A217" s="94" t="s">
        <v>1151</v>
      </c>
      <c r="B217" s="95" t="n">
        <v>1</v>
      </c>
      <c r="C217" s="96" t="s">
        <v>30</v>
      </c>
      <c r="D217" s="6" t="s">
        <v>1374</v>
      </c>
      <c r="E217" s="6" t="n">
        <v>0</v>
      </c>
    </row>
    <row r="218" customFormat="false" ht="14.25" hidden="false" customHeight="true" outlineLevel="0" collapsed="false">
      <c r="A218" s="94" t="s">
        <v>1151</v>
      </c>
      <c r="B218" s="95" t="n">
        <v>1</v>
      </c>
      <c r="C218" s="96" t="s">
        <v>30</v>
      </c>
      <c r="D218" s="6" t="s">
        <v>1375</v>
      </c>
      <c r="E218" s="6" t="n">
        <v>0</v>
      </c>
    </row>
    <row r="219" customFormat="false" ht="14.25" hidden="false" customHeight="true" outlineLevel="0" collapsed="false">
      <c r="A219" s="94" t="s">
        <v>30</v>
      </c>
      <c r="B219" s="95" t="n">
        <v>2</v>
      </c>
      <c r="C219" s="96" t="s">
        <v>1151</v>
      </c>
      <c r="D219" s="6" t="s">
        <v>1376</v>
      </c>
    </row>
    <row r="220" customFormat="false" ht="14.25" hidden="false" customHeight="true" outlineLevel="0" collapsed="false">
      <c r="A220" s="94" t="s">
        <v>36</v>
      </c>
      <c r="B220" s="95" t="n">
        <v>1</v>
      </c>
      <c r="C220" s="96" t="s">
        <v>42</v>
      </c>
      <c r="D220" s="17" t="s">
        <v>1377</v>
      </c>
    </row>
    <row r="221" customFormat="false" ht="14.25" hidden="false" customHeight="true" outlineLevel="0" collapsed="false">
      <c r="A221" s="94" t="s">
        <v>41</v>
      </c>
      <c r="B221" s="95" t="n">
        <v>2</v>
      </c>
      <c r="C221" s="96" t="s">
        <v>42</v>
      </c>
      <c r="D221" s="6" t="s">
        <v>1378</v>
      </c>
    </row>
    <row r="222" customFormat="false" ht="14.25" hidden="false" customHeight="true" outlineLevel="0" collapsed="false">
      <c r="A222" s="94" t="s">
        <v>41</v>
      </c>
      <c r="B222" s="95" t="n">
        <v>2</v>
      </c>
      <c r="C222" s="96" t="s">
        <v>36</v>
      </c>
      <c r="D222" s="6" t="s">
        <v>1378</v>
      </c>
    </row>
    <row r="223" customFormat="false" ht="14.25" hidden="false" customHeight="true" outlineLevel="0" collapsed="false">
      <c r="A223" s="94" t="s">
        <v>1151</v>
      </c>
      <c r="B223" s="95" t="n">
        <v>1</v>
      </c>
      <c r="C223" s="96" t="s">
        <v>36</v>
      </c>
      <c r="D223" s="6" t="s">
        <v>1379</v>
      </c>
    </row>
    <row r="224" customFormat="false" ht="14.25" hidden="false" customHeight="true" outlineLevel="0" collapsed="false">
      <c r="A224" s="94" t="s">
        <v>1151</v>
      </c>
      <c r="B224" s="95" t="n">
        <v>1</v>
      </c>
      <c r="C224" s="96" t="s">
        <v>42</v>
      </c>
      <c r="D224" s="6" t="s">
        <v>1379</v>
      </c>
    </row>
    <row r="225" customFormat="false" ht="14.25" hidden="false" customHeight="true" outlineLevel="0" collapsed="false">
      <c r="A225" s="94" t="s">
        <v>36</v>
      </c>
      <c r="B225" s="95" t="n">
        <v>1</v>
      </c>
      <c r="C225" s="96" t="s">
        <v>1151</v>
      </c>
      <c r="D225" s="6" t="s">
        <v>1380</v>
      </c>
    </row>
    <row r="226" customFormat="false" ht="14.25" hidden="false" customHeight="true" outlineLevel="0" collapsed="false">
      <c r="A226" s="94" t="s">
        <v>42</v>
      </c>
      <c r="B226" s="95" t="n">
        <v>1</v>
      </c>
      <c r="C226" s="96" t="s">
        <v>1151</v>
      </c>
      <c r="D226" s="6" t="s">
        <v>1381</v>
      </c>
    </row>
    <row r="227" customFormat="false" ht="14.25" hidden="false" customHeight="true" outlineLevel="0" collapsed="false">
      <c r="A227" s="94" t="s">
        <v>42</v>
      </c>
      <c r="B227" s="95" t="n">
        <v>1</v>
      </c>
      <c r="C227" s="96" t="s">
        <v>36</v>
      </c>
      <c r="D227" s="6" t="s">
        <v>1381</v>
      </c>
    </row>
    <row r="228" customFormat="false" ht="14.25" hidden="false" customHeight="true" outlineLevel="0" collapsed="false">
      <c r="A228" s="94" t="s">
        <v>1151</v>
      </c>
      <c r="B228" s="95" t="n">
        <v>1</v>
      </c>
      <c r="C228" s="96" t="s">
        <v>41</v>
      </c>
      <c r="D228" s="6" t="s">
        <v>1382</v>
      </c>
    </row>
    <row r="229" customFormat="false" ht="14.25" hidden="false" customHeight="true" outlineLevel="0" collapsed="false">
      <c r="A229" s="94" t="s">
        <v>41</v>
      </c>
      <c r="B229" s="95" t="n">
        <v>1</v>
      </c>
      <c r="C229" s="96" t="s">
        <v>1151</v>
      </c>
      <c r="D229" s="6" t="s">
        <v>1383</v>
      </c>
    </row>
    <row r="230" customFormat="false" ht="14.25" hidden="false" customHeight="true" outlineLevel="0" collapsed="false">
      <c r="A230" s="94" t="s">
        <v>41</v>
      </c>
      <c r="B230" s="95" t="n">
        <v>1</v>
      </c>
      <c r="C230" s="96" t="s">
        <v>42</v>
      </c>
      <c r="D230" s="6" t="s">
        <v>1383</v>
      </c>
    </row>
    <row r="231" customFormat="false" ht="14.25" hidden="false" customHeight="true" outlineLevel="0" collapsed="false">
      <c r="A231" s="94" t="s">
        <v>41</v>
      </c>
      <c r="B231" s="95" t="n">
        <v>1</v>
      </c>
      <c r="C231" s="96" t="s">
        <v>36</v>
      </c>
      <c r="D231" s="6" t="s">
        <v>1383</v>
      </c>
    </row>
    <row r="232" customFormat="false" ht="14.25" hidden="false" customHeight="true" outlineLevel="0" collapsed="false">
      <c r="A232" s="94" t="s">
        <v>36</v>
      </c>
      <c r="B232" s="95" t="n">
        <v>1</v>
      </c>
      <c r="C232" s="96" t="s">
        <v>41</v>
      </c>
      <c r="D232" s="6" t="s">
        <v>1384</v>
      </c>
    </row>
    <row r="233" customFormat="false" ht="14.25" hidden="false" customHeight="true" outlineLevel="0" collapsed="false">
      <c r="A233" s="94" t="s">
        <v>42</v>
      </c>
      <c r="B233" s="95" t="n">
        <v>1</v>
      </c>
      <c r="C233" s="96" t="s">
        <v>41</v>
      </c>
      <c r="D233" s="6" t="s">
        <v>1385</v>
      </c>
    </row>
    <row r="234" customFormat="false" ht="14.25" hidden="false" customHeight="true" outlineLevel="0" collapsed="false">
      <c r="A234" s="94" t="s">
        <v>42</v>
      </c>
      <c r="B234" s="95" t="n">
        <v>1</v>
      </c>
      <c r="C234" s="96" t="s">
        <v>1151</v>
      </c>
      <c r="D234" s="6" t="s">
        <v>1386</v>
      </c>
    </row>
    <row r="235" customFormat="false" ht="14.25" hidden="false" customHeight="true" outlineLevel="0" collapsed="false">
      <c r="A235" s="94" t="s">
        <v>42</v>
      </c>
      <c r="B235" s="95" t="n">
        <v>1</v>
      </c>
      <c r="C235" s="96" t="s">
        <v>36</v>
      </c>
      <c r="D235" s="6" t="s">
        <v>1387</v>
      </c>
    </row>
    <row r="236" customFormat="false" ht="14.25" hidden="false" customHeight="true" outlineLevel="0" collapsed="false">
      <c r="A236" s="94" t="s">
        <v>1151</v>
      </c>
      <c r="B236" s="95" t="n">
        <v>1</v>
      </c>
      <c r="C236" s="96" t="s">
        <v>42</v>
      </c>
      <c r="D236" s="6" t="s">
        <v>1388</v>
      </c>
    </row>
    <row r="237" customFormat="false" ht="14.25" hidden="false" customHeight="true" outlineLevel="0" collapsed="false">
      <c r="A237" s="94" t="s">
        <v>1151</v>
      </c>
      <c r="B237" s="95" t="n">
        <v>1</v>
      </c>
      <c r="C237" s="96" t="s">
        <v>36</v>
      </c>
      <c r="D237" s="6" t="s">
        <v>1388</v>
      </c>
    </row>
    <row r="238" customFormat="false" ht="14.25" hidden="false" customHeight="true" outlineLevel="0" collapsed="false">
      <c r="A238" s="94" t="s">
        <v>36</v>
      </c>
      <c r="B238" s="95" t="n">
        <v>1</v>
      </c>
      <c r="C238" s="96" t="s">
        <v>1151</v>
      </c>
      <c r="D238" s="6" t="s">
        <v>1389</v>
      </c>
    </row>
    <row r="239" customFormat="false" ht="14.25" hidden="false" customHeight="true" outlineLevel="0" collapsed="false">
      <c r="A239" s="94" t="s">
        <v>36</v>
      </c>
      <c r="B239" s="95" t="n">
        <v>1</v>
      </c>
      <c r="C239" s="96" t="s">
        <v>42</v>
      </c>
      <c r="D239" s="6" t="s">
        <v>1389</v>
      </c>
    </row>
    <row r="240" customFormat="false" ht="14.25" hidden="false" customHeight="true" outlineLevel="0" collapsed="false">
      <c r="A240" s="94" t="s">
        <v>1151</v>
      </c>
      <c r="B240" s="95" t="n">
        <v>2</v>
      </c>
      <c r="C240" s="96" t="s">
        <v>30</v>
      </c>
      <c r="D240" s="6" t="s">
        <v>1390</v>
      </c>
      <c r="E240" s="6" t="n">
        <v>1</v>
      </c>
    </row>
    <row r="241" customFormat="false" ht="14.25" hidden="false" customHeight="true" outlineLevel="0" collapsed="false">
      <c r="A241" s="94" t="s">
        <v>30</v>
      </c>
      <c r="B241" s="95" t="n">
        <v>1</v>
      </c>
      <c r="C241" s="96" t="s">
        <v>1151</v>
      </c>
      <c r="D241" s="6" t="s">
        <v>1391</v>
      </c>
    </row>
    <row r="242" customFormat="false" ht="14.25" hidden="false" customHeight="true" outlineLevel="0" collapsed="false">
      <c r="A242" s="94" t="s">
        <v>1151</v>
      </c>
      <c r="B242" s="95" t="n">
        <v>5</v>
      </c>
      <c r="C242" s="96"/>
      <c r="D242" s="6" t="s">
        <v>1392</v>
      </c>
    </row>
    <row r="243" customFormat="false" ht="14.25" hidden="false" customHeight="true" outlineLevel="0" collapsed="false">
      <c r="A243" s="94" t="s">
        <v>33</v>
      </c>
      <c r="B243" s="95" t="n">
        <v>2</v>
      </c>
      <c r="C243" s="96" t="s">
        <v>36</v>
      </c>
      <c r="D243" s="6" t="s">
        <v>1393</v>
      </c>
    </row>
    <row r="244" customFormat="false" ht="14.25" hidden="false" customHeight="true" outlineLevel="0" collapsed="false">
      <c r="A244" s="94" t="s">
        <v>39</v>
      </c>
      <c r="B244" s="95" t="n">
        <v>2</v>
      </c>
      <c r="C244" s="96" t="s">
        <v>42</v>
      </c>
      <c r="D244" s="6" t="s">
        <v>1394</v>
      </c>
    </row>
    <row r="245" customFormat="false" ht="14.25" hidden="false" customHeight="true" outlineLevel="0" collapsed="false">
      <c r="A245" s="94" t="s">
        <v>42</v>
      </c>
      <c r="B245" s="95" t="n">
        <v>1</v>
      </c>
      <c r="C245" s="96" t="s">
        <v>39</v>
      </c>
      <c r="D245" s="6" t="s">
        <v>1395</v>
      </c>
    </row>
    <row r="246" customFormat="false" ht="14.25" hidden="false" customHeight="true" outlineLevel="0" collapsed="false">
      <c r="A246" s="94" t="s">
        <v>39</v>
      </c>
      <c r="B246" s="95" t="n">
        <v>2</v>
      </c>
      <c r="C246" s="96" t="s">
        <v>35</v>
      </c>
      <c r="D246" s="6" t="s">
        <v>1396</v>
      </c>
    </row>
    <row r="247" customFormat="false" ht="14.25" hidden="false" customHeight="true" outlineLevel="0" collapsed="false">
      <c r="A247" s="94" t="s">
        <v>42</v>
      </c>
      <c r="B247" s="95" t="n">
        <v>2</v>
      </c>
      <c r="C247" s="96" t="s">
        <v>40</v>
      </c>
      <c r="D247" s="6" t="s">
        <v>1397</v>
      </c>
    </row>
    <row r="248" customFormat="false" ht="14.25" hidden="false" customHeight="true" outlineLevel="0" collapsed="false">
      <c r="A248" s="94" t="s">
        <v>42</v>
      </c>
      <c r="B248" s="95" t="n">
        <v>1</v>
      </c>
      <c r="C248" s="96" t="s">
        <v>33</v>
      </c>
      <c r="D248" s="17" t="s">
        <v>1397</v>
      </c>
    </row>
    <row r="249" customFormat="false" ht="14.25" hidden="false" customHeight="true" outlineLevel="0" collapsed="false">
      <c r="A249" s="94" t="s">
        <v>33</v>
      </c>
      <c r="B249" s="95" t="n">
        <v>2</v>
      </c>
      <c r="C249" s="96" t="s">
        <v>39</v>
      </c>
      <c r="D249" s="6" t="s">
        <v>1398</v>
      </c>
    </row>
    <row r="250" customFormat="false" ht="14.25" hidden="false" customHeight="true" outlineLevel="0" collapsed="false">
      <c r="A250" s="94" t="s">
        <v>39</v>
      </c>
      <c r="B250" s="95" t="n">
        <v>1</v>
      </c>
      <c r="C250" s="96" t="s">
        <v>33</v>
      </c>
      <c r="D250" s="6" t="s">
        <v>1398</v>
      </c>
    </row>
    <row r="251" customFormat="false" ht="14.25" hidden="false" customHeight="true" outlineLevel="0" collapsed="false">
      <c r="A251" s="94" t="s">
        <v>1151</v>
      </c>
      <c r="B251" s="95" t="n">
        <v>2</v>
      </c>
      <c r="C251" s="96" t="s">
        <v>39</v>
      </c>
      <c r="D251" s="6" t="s">
        <v>1399</v>
      </c>
    </row>
    <row r="252" customFormat="false" ht="14.25" hidden="false" customHeight="true" outlineLevel="0" collapsed="false">
      <c r="A252" s="94" t="s">
        <v>39</v>
      </c>
      <c r="B252" s="95" t="n">
        <v>2</v>
      </c>
      <c r="C252" s="96" t="s">
        <v>1151</v>
      </c>
      <c r="D252" s="6" t="s">
        <v>1400</v>
      </c>
    </row>
    <row r="253" customFormat="false" ht="14.25" hidden="false" customHeight="true" outlineLevel="0" collapsed="false">
      <c r="A253" s="94" t="s">
        <v>36</v>
      </c>
      <c r="B253" s="95" t="n">
        <v>2</v>
      </c>
      <c r="C253" s="96" t="s">
        <v>1151</v>
      </c>
      <c r="D253" s="6" t="s">
        <v>1401</v>
      </c>
    </row>
    <row r="254" customFormat="false" ht="14.25" hidden="false" customHeight="true" outlineLevel="0" collapsed="false">
      <c r="A254" s="94" t="s">
        <v>33</v>
      </c>
      <c r="B254" s="95" t="n">
        <v>2</v>
      </c>
      <c r="C254" s="96" t="s">
        <v>36</v>
      </c>
      <c r="D254" s="6" t="s">
        <v>1402</v>
      </c>
    </row>
    <row r="255" customFormat="false" ht="14.25" hidden="false" customHeight="true" outlineLevel="0" collapsed="false">
      <c r="A255" s="94" t="s">
        <v>33</v>
      </c>
      <c r="B255" s="95" t="n">
        <v>2</v>
      </c>
      <c r="C255" s="96" t="s">
        <v>1151</v>
      </c>
      <c r="D255" s="6" t="s">
        <v>1402</v>
      </c>
    </row>
    <row r="256" customFormat="false" ht="14.25" hidden="false" customHeight="true" outlineLevel="0" collapsed="false">
      <c r="A256" s="94" t="s">
        <v>1151</v>
      </c>
      <c r="B256" s="95" t="n">
        <v>1</v>
      </c>
      <c r="C256" s="96" t="s">
        <v>36</v>
      </c>
      <c r="D256" s="6" t="s">
        <v>1403</v>
      </c>
    </row>
    <row r="257" customFormat="false" ht="14.25" hidden="false" customHeight="true" outlineLevel="0" collapsed="false">
      <c r="A257" s="94" t="s">
        <v>39</v>
      </c>
      <c r="B257" s="95" t="n">
        <v>1</v>
      </c>
      <c r="C257" s="96" t="s">
        <v>36</v>
      </c>
      <c r="D257" s="6" t="s">
        <v>1404</v>
      </c>
    </row>
    <row r="258" customFormat="false" ht="14.25" hidden="false" customHeight="true" outlineLevel="0" collapsed="false">
      <c r="A258" s="94" t="s">
        <v>36</v>
      </c>
      <c r="B258" s="95" t="n">
        <v>1</v>
      </c>
      <c r="C258" s="96" t="s">
        <v>39</v>
      </c>
      <c r="D258" s="6" t="s">
        <v>1405</v>
      </c>
    </row>
    <row r="259" customFormat="false" ht="14.25" hidden="false" customHeight="true" outlineLevel="0" collapsed="false">
      <c r="A259" s="94" t="s">
        <v>36</v>
      </c>
      <c r="B259" s="95" t="n">
        <v>1</v>
      </c>
      <c r="C259" s="96" t="s">
        <v>33</v>
      </c>
      <c r="D259" s="6" t="s">
        <v>1406</v>
      </c>
    </row>
    <row r="260" customFormat="false" ht="14.25" hidden="false" customHeight="true" outlineLevel="0" collapsed="false">
      <c r="A260" s="94" t="s">
        <v>1151</v>
      </c>
      <c r="B260" s="95" t="n">
        <v>1</v>
      </c>
      <c r="C260" s="96" t="s">
        <v>33</v>
      </c>
      <c r="D260" s="6" t="s">
        <v>1407</v>
      </c>
    </row>
    <row r="261" customFormat="false" ht="14.25" hidden="false" customHeight="true" outlineLevel="0" collapsed="false">
      <c r="A261" s="94" t="s">
        <v>42</v>
      </c>
      <c r="B261" s="95" t="n">
        <v>1</v>
      </c>
      <c r="C261" s="96" t="s">
        <v>40</v>
      </c>
      <c r="D261" s="6" t="s">
        <v>1408</v>
      </c>
    </row>
    <row r="262" customFormat="false" ht="14.25" hidden="false" customHeight="true" outlineLevel="0" collapsed="false">
      <c r="A262" s="94" t="s">
        <v>42</v>
      </c>
      <c r="B262" s="95" t="n">
        <v>1</v>
      </c>
      <c r="C262" s="96" t="s">
        <v>40</v>
      </c>
      <c r="D262" s="6" t="s">
        <v>1409</v>
      </c>
    </row>
    <row r="263" customFormat="false" ht="14.25" hidden="false" customHeight="true" outlineLevel="0" collapsed="false">
      <c r="A263" s="94" t="s">
        <v>1151</v>
      </c>
      <c r="B263" s="95" t="n">
        <v>2</v>
      </c>
      <c r="C263" s="96" t="s">
        <v>35</v>
      </c>
      <c r="D263" s="6" t="s">
        <v>1410</v>
      </c>
    </row>
    <row r="264" customFormat="false" ht="14.25" hidden="false" customHeight="true" outlineLevel="0" collapsed="false">
      <c r="A264" s="94" t="s">
        <v>39</v>
      </c>
      <c r="B264" s="95" t="n">
        <v>5</v>
      </c>
      <c r="C264" s="96"/>
      <c r="D264" s="6" t="s">
        <v>1411</v>
      </c>
    </row>
    <row r="265" customFormat="false" ht="14.25" hidden="false" customHeight="true" outlineLevel="0" collapsed="false">
      <c r="A265" s="94" t="s">
        <v>39</v>
      </c>
      <c r="B265" s="95" t="n">
        <v>2</v>
      </c>
      <c r="C265" s="96" t="s">
        <v>30</v>
      </c>
      <c r="D265" s="6" t="s">
        <v>1412</v>
      </c>
      <c r="E265" s="6" t="n">
        <v>1</v>
      </c>
    </row>
    <row r="266" customFormat="false" ht="14.25" hidden="false" customHeight="true" outlineLevel="0" collapsed="false">
      <c r="A266" s="94" t="s">
        <v>30</v>
      </c>
      <c r="B266" s="95" t="n">
        <v>1</v>
      </c>
      <c r="C266" s="96" t="s">
        <v>39</v>
      </c>
      <c r="D266" s="6" t="s">
        <v>1413</v>
      </c>
    </row>
    <row r="267" customFormat="false" ht="14.25" hidden="false" customHeight="true" outlineLevel="0" collapsed="false">
      <c r="A267" s="94" t="s">
        <v>33</v>
      </c>
      <c r="B267" s="95" t="n">
        <v>2</v>
      </c>
      <c r="C267" s="96" t="s">
        <v>42</v>
      </c>
      <c r="D267" s="6" t="s">
        <v>1414</v>
      </c>
    </row>
    <row r="268" customFormat="false" ht="14.25" hidden="false" customHeight="true" outlineLevel="0" collapsed="false">
      <c r="A268" s="94" t="s">
        <v>39</v>
      </c>
      <c r="B268" s="95" t="n">
        <v>1</v>
      </c>
      <c r="C268" s="96" t="s">
        <v>33</v>
      </c>
      <c r="D268" s="6" t="s">
        <v>1415</v>
      </c>
    </row>
    <row r="269" customFormat="false" ht="14.25" hidden="false" customHeight="true" outlineLevel="0" collapsed="false">
      <c r="A269" s="94" t="s">
        <v>39</v>
      </c>
      <c r="B269" s="95" t="n">
        <v>1</v>
      </c>
      <c r="C269" s="96" t="s">
        <v>36</v>
      </c>
      <c r="D269" s="6" t="s">
        <v>1416</v>
      </c>
    </row>
    <row r="270" customFormat="false" ht="14.25" hidden="false" customHeight="true" outlineLevel="0" collapsed="false">
      <c r="A270" s="94" t="s">
        <v>1151</v>
      </c>
      <c r="B270" s="95" t="n">
        <v>1</v>
      </c>
      <c r="C270" s="96" t="s">
        <v>41</v>
      </c>
      <c r="D270" s="6" t="s">
        <v>1417</v>
      </c>
    </row>
    <row r="271" customFormat="false" ht="14.25" hidden="false" customHeight="true" outlineLevel="0" collapsed="false">
      <c r="A271" s="94" t="s">
        <v>41</v>
      </c>
      <c r="B271" s="95" t="n">
        <v>1</v>
      </c>
      <c r="C271" s="96" t="s">
        <v>1151</v>
      </c>
      <c r="D271" s="6" t="s">
        <v>1418</v>
      </c>
    </row>
    <row r="272" customFormat="false" ht="14.25" hidden="false" customHeight="true" outlineLevel="0" collapsed="false">
      <c r="A272" s="94" t="s">
        <v>42</v>
      </c>
      <c r="B272" s="95" t="n">
        <v>1</v>
      </c>
      <c r="C272" s="96" t="s">
        <v>33</v>
      </c>
      <c r="D272" s="6" t="s">
        <v>1419</v>
      </c>
    </row>
    <row r="273" customFormat="false" ht="14.25" hidden="false" customHeight="true" outlineLevel="0" collapsed="false">
      <c r="A273" s="94" t="s">
        <v>42</v>
      </c>
      <c r="B273" s="95" t="n">
        <v>1</v>
      </c>
      <c r="C273" s="96" t="s">
        <v>40</v>
      </c>
      <c r="D273" s="6" t="s">
        <v>1419</v>
      </c>
    </row>
    <row r="274" customFormat="false" ht="14.25" hidden="false" customHeight="true" outlineLevel="0" collapsed="false">
      <c r="A274" s="94" t="s">
        <v>30</v>
      </c>
      <c r="B274" s="95" t="n">
        <v>1</v>
      </c>
      <c r="C274" s="96" t="s">
        <v>1151</v>
      </c>
      <c r="D274" s="6" t="s">
        <v>1420</v>
      </c>
    </row>
    <row r="275" customFormat="false" ht="14.25" hidden="false" customHeight="true" outlineLevel="0" collapsed="false">
      <c r="A275" s="94" t="s">
        <v>1151</v>
      </c>
      <c r="B275" s="95" t="n">
        <v>1</v>
      </c>
      <c r="C275" s="96" t="s">
        <v>30</v>
      </c>
      <c r="D275" s="6" t="s">
        <v>1420</v>
      </c>
      <c r="E275" s="6" t="n">
        <v>1</v>
      </c>
    </row>
    <row r="276" customFormat="false" ht="14.25" hidden="false" customHeight="true" outlineLevel="0" collapsed="false">
      <c r="A276" s="94" t="s">
        <v>42</v>
      </c>
      <c r="B276" s="95" t="n">
        <v>1</v>
      </c>
      <c r="C276" s="96" t="s">
        <v>1154</v>
      </c>
      <c r="D276" s="6" t="s">
        <v>1421</v>
      </c>
    </row>
    <row r="277" customFormat="false" ht="14.25" hidden="false" customHeight="true" outlineLevel="0" collapsed="false">
      <c r="A277" s="94" t="s">
        <v>1154</v>
      </c>
      <c r="B277" s="95" t="n">
        <v>2</v>
      </c>
      <c r="C277" s="96" t="s">
        <v>42</v>
      </c>
      <c r="D277" s="6" t="s">
        <v>1422</v>
      </c>
    </row>
    <row r="278" customFormat="false" ht="14.25" hidden="false" customHeight="true" outlineLevel="0" collapsed="false">
      <c r="A278" s="94" t="s">
        <v>42</v>
      </c>
      <c r="B278" s="95" t="n">
        <v>1</v>
      </c>
      <c r="C278" s="96" t="s">
        <v>40</v>
      </c>
      <c r="D278" s="6" t="s">
        <v>1423</v>
      </c>
    </row>
    <row r="279" customFormat="false" ht="14.25" hidden="false" customHeight="true" outlineLevel="0" collapsed="false">
      <c r="A279" s="94" t="s">
        <v>40</v>
      </c>
      <c r="B279" s="95" t="n">
        <v>1</v>
      </c>
      <c r="C279" s="96" t="s">
        <v>42</v>
      </c>
      <c r="D279" s="6" t="s">
        <v>1424</v>
      </c>
    </row>
    <row r="280" customFormat="false" ht="14.25" hidden="false" customHeight="true" outlineLevel="0" collapsed="false">
      <c r="A280" s="94" t="s">
        <v>42</v>
      </c>
      <c r="B280" s="95" t="n">
        <v>2</v>
      </c>
      <c r="C280" s="96" t="s">
        <v>40</v>
      </c>
      <c r="D280" s="6" t="s">
        <v>1425</v>
      </c>
    </row>
    <row r="281" customFormat="false" ht="14.25" hidden="false" customHeight="true" outlineLevel="0" collapsed="false">
      <c r="A281" s="94" t="s">
        <v>36</v>
      </c>
      <c r="B281" s="95" t="n">
        <v>2</v>
      </c>
      <c r="C281" s="96" t="s">
        <v>39</v>
      </c>
      <c r="D281" s="6" t="s">
        <v>1426</v>
      </c>
    </row>
    <row r="282" customFormat="false" ht="14.25" hidden="false" customHeight="true" outlineLevel="0" collapsed="false">
      <c r="A282" s="94" t="s">
        <v>39</v>
      </c>
      <c r="B282" s="95" t="n">
        <v>1</v>
      </c>
      <c r="C282" s="96" t="s">
        <v>36</v>
      </c>
      <c r="D282" s="6" t="s">
        <v>1427</v>
      </c>
    </row>
    <row r="283" customFormat="false" ht="14.25" hidden="false" customHeight="true" outlineLevel="0" collapsed="false">
      <c r="A283" s="94" t="s">
        <v>1151</v>
      </c>
      <c r="B283" s="95" t="n">
        <v>1</v>
      </c>
      <c r="C283" s="96" t="s">
        <v>43</v>
      </c>
      <c r="D283" s="6" t="s">
        <v>1428</v>
      </c>
    </row>
    <row r="284" customFormat="false" ht="14.25" hidden="false" customHeight="true" outlineLevel="0" collapsed="false">
      <c r="A284" s="94" t="s">
        <v>33</v>
      </c>
      <c r="B284" s="95" t="n">
        <v>1</v>
      </c>
      <c r="C284" s="96" t="s">
        <v>36</v>
      </c>
      <c r="D284" s="6" t="s">
        <v>1429</v>
      </c>
    </row>
    <row r="285" customFormat="false" ht="14.25" hidden="false" customHeight="true" outlineLevel="0" collapsed="false">
      <c r="A285" s="94" t="s">
        <v>36</v>
      </c>
      <c r="B285" s="95" t="n">
        <v>1</v>
      </c>
      <c r="C285" s="96" t="s">
        <v>33</v>
      </c>
      <c r="D285" s="6" t="s">
        <v>1430</v>
      </c>
    </row>
    <row r="286" customFormat="false" ht="14.25" hidden="false" customHeight="true" outlineLevel="0" collapsed="false">
      <c r="A286" s="94" t="s">
        <v>39</v>
      </c>
      <c r="B286" s="95" t="n">
        <v>2</v>
      </c>
      <c r="C286" s="96" t="s">
        <v>36</v>
      </c>
      <c r="D286" s="6" t="s">
        <v>1431</v>
      </c>
    </row>
    <row r="287" customFormat="false" ht="14.25" hidden="false" customHeight="true" outlineLevel="0" collapsed="false">
      <c r="A287" s="94" t="s">
        <v>30</v>
      </c>
      <c r="B287" s="95" t="n">
        <v>2</v>
      </c>
      <c r="C287" s="96" t="s">
        <v>40</v>
      </c>
      <c r="D287" s="6" t="s">
        <v>1432</v>
      </c>
    </row>
    <row r="288" customFormat="false" ht="14.25" hidden="false" customHeight="true" outlineLevel="0" collapsed="false">
      <c r="A288" s="94" t="s">
        <v>41</v>
      </c>
      <c r="B288" s="95" t="n">
        <v>1</v>
      </c>
      <c r="C288" s="96" t="s">
        <v>33</v>
      </c>
      <c r="D288" s="6" t="s">
        <v>1433</v>
      </c>
    </row>
    <row r="289" customFormat="false" ht="14.25" hidden="false" customHeight="true" outlineLevel="0" collapsed="false">
      <c r="A289" s="94" t="s">
        <v>33</v>
      </c>
      <c r="B289" s="95" t="n">
        <v>1</v>
      </c>
      <c r="C289" s="96" t="s">
        <v>41</v>
      </c>
      <c r="D289" s="6" t="s">
        <v>1434</v>
      </c>
    </row>
    <row r="290" customFormat="false" ht="14.25" hidden="false" customHeight="true" outlineLevel="0" collapsed="false">
      <c r="A290" s="94" t="s">
        <v>41</v>
      </c>
      <c r="B290" s="95" t="n">
        <v>1</v>
      </c>
      <c r="C290" s="96" t="s">
        <v>30</v>
      </c>
      <c r="D290" s="6" t="s">
        <v>1435</v>
      </c>
      <c r="E290" s="6" t="n">
        <v>1</v>
      </c>
    </row>
    <row r="291" customFormat="false" ht="14.25" hidden="false" customHeight="true" outlineLevel="0" collapsed="false">
      <c r="A291" s="94" t="s">
        <v>30</v>
      </c>
      <c r="B291" s="95" t="n">
        <v>1</v>
      </c>
      <c r="C291" s="96" t="s">
        <v>41</v>
      </c>
      <c r="D291" s="6" t="s">
        <v>1436</v>
      </c>
    </row>
    <row r="292" customFormat="false" ht="14.25" hidden="false" customHeight="true" outlineLevel="0" collapsed="false">
      <c r="A292" s="94" t="s">
        <v>1151</v>
      </c>
      <c r="B292" s="95" t="n">
        <v>2</v>
      </c>
      <c r="C292" s="96" t="s">
        <v>30</v>
      </c>
      <c r="D292" s="6" t="s">
        <v>1437</v>
      </c>
      <c r="E292" s="6" t="n">
        <v>1</v>
      </c>
    </row>
    <row r="293" customFormat="false" ht="14.25" hidden="false" customHeight="true" outlineLevel="0" collapsed="false">
      <c r="A293" s="94" t="s">
        <v>41</v>
      </c>
      <c r="B293" s="95" t="n">
        <v>1</v>
      </c>
      <c r="C293" s="96" t="s">
        <v>30</v>
      </c>
      <c r="D293" s="6" t="s">
        <v>1438</v>
      </c>
      <c r="E293" s="6" t="n">
        <v>0</v>
      </c>
    </row>
    <row r="294" customFormat="false" ht="14.25" hidden="false" customHeight="true" outlineLevel="0" collapsed="false">
      <c r="A294" s="94" t="s">
        <v>30</v>
      </c>
      <c r="B294" s="95" t="n">
        <v>1</v>
      </c>
      <c r="C294" s="96" t="s">
        <v>41</v>
      </c>
      <c r="D294" s="6" t="s">
        <v>1439</v>
      </c>
    </row>
    <row r="295" customFormat="false" ht="14.25" hidden="false" customHeight="true" outlineLevel="0" collapsed="false">
      <c r="A295" s="94" t="s">
        <v>42</v>
      </c>
      <c r="B295" s="95" t="n">
        <v>2</v>
      </c>
      <c r="C295" s="96" t="s">
        <v>40</v>
      </c>
      <c r="D295" s="6" t="s">
        <v>1440</v>
      </c>
    </row>
    <row r="296" customFormat="false" ht="14.25" hidden="false" customHeight="true" outlineLevel="0" collapsed="false">
      <c r="A296" s="94" t="s">
        <v>36</v>
      </c>
      <c r="B296" s="95" t="n">
        <v>1</v>
      </c>
      <c r="C296" s="96" t="s">
        <v>33</v>
      </c>
      <c r="D296" s="6" t="s">
        <v>1441</v>
      </c>
    </row>
    <row r="297" customFormat="false" ht="14.25" hidden="false" customHeight="true" outlineLevel="0" collapsed="false">
      <c r="A297" s="94" t="s">
        <v>33</v>
      </c>
      <c r="B297" s="95" t="n">
        <v>1</v>
      </c>
      <c r="C297" s="96" t="s">
        <v>36</v>
      </c>
      <c r="D297" s="6" t="s">
        <v>1442</v>
      </c>
    </row>
    <row r="298" customFormat="false" ht="14.25" hidden="false" customHeight="true" outlineLevel="0" collapsed="false">
      <c r="A298" s="94"/>
      <c r="B298" s="95"/>
      <c r="C298" s="96"/>
    </row>
    <row r="299" customFormat="false" ht="14.25" hidden="false" customHeight="true" outlineLevel="0" collapsed="false">
      <c r="A299" s="94"/>
      <c r="B299" s="95"/>
      <c r="C299" s="96"/>
    </row>
    <row r="300" customFormat="false" ht="14.25" hidden="false" customHeight="true" outlineLevel="0" collapsed="false">
      <c r="A300" s="94"/>
      <c r="B300" s="95"/>
      <c r="C300" s="96"/>
    </row>
    <row r="301" customFormat="false" ht="14.25" hidden="false" customHeight="true" outlineLevel="0" collapsed="false">
      <c r="A301" s="94"/>
      <c r="B301" s="95"/>
      <c r="C301" s="96"/>
    </row>
    <row r="302" customFormat="false" ht="14.25" hidden="false" customHeight="true" outlineLevel="0" collapsed="false">
      <c r="A302" s="94"/>
      <c r="B302" s="95"/>
      <c r="C302" s="96"/>
    </row>
    <row r="303" customFormat="false" ht="14.25" hidden="false" customHeight="true" outlineLevel="0" collapsed="false">
      <c r="A303" s="94"/>
      <c r="B303" s="95"/>
      <c r="C303" s="96"/>
    </row>
    <row r="304" customFormat="false" ht="14.25" hidden="false" customHeight="true" outlineLevel="0" collapsed="false">
      <c r="A304" s="94"/>
      <c r="B304" s="95"/>
      <c r="C304" s="96"/>
    </row>
    <row r="305" customFormat="false" ht="14.25" hidden="false" customHeight="true" outlineLevel="0" collapsed="false">
      <c r="A305" s="94"/>
      <c r="B305" s="95"/>
      <c r="C305" s="96"/>
    </row>
    <row r="306" customFormat="false" ht="14.25" hidden="false" customHeight="true" outlineLevel="0" collapsed="false">
      <c r="A306" s="94"/>
      <c r="B306" s="95"/>
      <c r="C306" s="96"/>
    </row>
    <row r="307" customFormat="false" ht="14.25" hidden="false" customHeight="true" outlineLevel="0" collapsed="false">
      <c r="A307" s="94"/>
      <c r="B307" s="95"/>
      <c r="C307" s="96"/>
    </row>
    <row r="308" customFormat="false" ht="14.25" hidden="false" customHeight="true" outlineLevel="0" collapsed="false">
      <c r="A308" s="94"/>
      <c r="B308" s="95"/>
      <c r="C308" s="96"/>
      <c r="D308" s="17"/>
    </row>
    <row r="309" customFormat="false" ht="14.25" hidden="false" customHeight="true" outlineLevel="0" collapsed="false">
      <c r="A309" s="94"/>
      <c r="B309" s="95"/>
      <c r="C309" s="96"/>
    </row>
    <row r="310" customFormat="false" ht="14.25" hidden="false" customHeight="true" outlineLevel="0" collapsed="false">
      <c r="A310" s="94"/>
      <c r="B310" s="95"/>
      <c r="C310" s="96"/>
    </row>
    <row r="311" customFormat="false" ht="14.25" hidden="false" customHeight="true" outlineLevel="0" collapsed="false">
      <c r="A311" s="94"/>
      <c r="B311" s="95"/>
      <c r="C311" s="96"/>
    </row>
    <row r="312" customFormat="false" ht="14.25" hidden="false" customHeight="true" outlineLevel="0" collapsed="false">
      <c r="A312" s="94"/>
      <c r="B312" s="95"/>
      <c r="C312" s="96"/>
    </row>
    <row r="313" customFormat="false" ht="14.25" hidden="false" customHeight="true" outlineLevel="0" collapsed="false">
      <c r="A313" s="94"/>
      <c r="B313" s="95"/>
      <c r="C313" s="96"/>
    </row>
    <row r="314" customFormat="false" ht="14.25" hidden="false" customHeight="true" outlineLevel="0" collapsed="false">
      <c r="A314" s="94"/>
      <c r="B314" s="95"/>
      <c r="C314" s="96"/>
    </row>
    <row r="315" customFormat="false" ht="14.25" hidden="false" customHeight="true" outlineLevel="0" collapsed="false">
      <c r="A315" s="94"/>
      <c r="B315" s="95"/>
      <c r="C315" s="96"/>
    </row>
    <row r="316" customFormat="false" ht="14.25" hidden="false" customHeight="true" outlineLevel="0" collapsed="false">
      <c r="A316" s="94"/>
      <c r="B316" s="95"/>
      <c r="C316" s="96"/>
    </row>
    <row r="317" customFormat="false" ht="14.25" hidden="false" customHeight="true" outlineLevel="0" collapsed="false">
      <c r="A317" s="94"/>
      <c r="B317" s="95"/>
      <c r="C317" s="96"/>
    </row>
    <row r="318" customFormat="false" ht="14.25" hidden="false" customHeight="true" outlineLevel="0" collapsed="false">
      <c r="A318" s="94"/>
      <c r="B318" s="95"/>
      <c r="C318" s="96"/>
    </row>
    <row r="319" customFormat="false" ht="14.25" hidden="false" customHeight="true" outlineLevel="0" collapsed="false">
      <c r="A319" s="94"/>
      <c r="B319" s="95"/>
      <c r="C319" s="96"/>
    </row>
    <row r="320" customFormat="false" ht="14.25" hidden="false" customHeight="true" outlineLevel="0" collapsed="false">
      <c r="A320" s="94"/>
      <c r="B320" s="95"/>
      <c r="C320" s="96"/>
    </row>
    <row r="321" customFormat="false" ht="14.25" hidden="false" customHeight="true" outlineLevel="0" collapsed="false">
      <c r="A321" s="94"/>
      <c r="B321" s="95"/>
      <c r="C321" s="96"/>
    </row>
    <row r="322" customFormat="false" ht="14.25" hidden="false" customHeight="true" outlineLevel="0" collapsed="false">
      <c r="A322" s="94"/>
      <c r="B322" s="95"/>
      <c r="C322" s="96"/>
    </row>
    <row r="323" customFormat="false" ht="14.25" hidden="false" customHeight="true" outlineLevel="0" collapsed="false">
      <c r="A323" s="94"/>
      <c r="B323" s="95"/>
      <c r="C323" s="96"/>
    </row>
    <row r="324" customFormat="false" ht="14.25" hidden="false" customHeight="true" outlineLevel="0" collapsed="false">
      <c r="A324" s="94"/>
      <c r="B324" s="95"/>
      <c r="C324" s="96"/>
    </row>
    <row r="325" customFormat="false" ht="14.25" hidden="false" customHeight="true" outlineLevel="0" collapsed="false">
      <c r="A325" s="94"/>
      <c r="B325" s="95"/>
      <c r="C325" s="96"/>
    </row>
    <row r="326" customFormat="false" ht="14.25" hidden="false" customHeight="true" outlineLevel="0" collapsed="false">
      <c r="A326" s="94"/>
      <c r="B326" s="95"/>
      <c r="C326" s="96"/>
    </row>
    <row r="327" customFormat="false" ht="14.25" hidden="false" customHeight="true" outlineLevel="0" collapsed="false">
      <c r="A327" s="94"/>
      <c r="B327" s="95"/>
      <c r="C327" s="96"/>
    </row>
    <row r="328" customFormat="false" ht="14.25" hidden="false" customHeight="true" outlineLevel="0" collapsed="false">
      <c r="A328" s="94"/>
      <c r="B328" s="95"/>
      <c r="C328" s="96"/>
    </row>
    <row r="329" customFormat="false" ht="14.25" hidden="false" customHeight="true" outlineLevel="0" collapsed="false">
      <c r="A329" s="94"/>
      <c r="B329" s="95"/>
      <c r="C329" s="96"/>
    </row>
    <row r="330" customFormat="false" ht="14.25" hidden="false" customHeight="true" outlineLevel="0" collapsed="false">
      <c r="A330" s="94"/>
      <c r="B330" s="95"/>
      <c r="C330" s="96"/>
    </row>
    <row r="331" customFormat="false" ht="14.25" hidden="false" customHeight="true" outlineLevel="0" collapsed="false">
      <c r="A331" s="94"/>
      <c r="B331" s="95"/>
      <c r="C331" s="96"/>
    </row>
    <row r="332" customFormat="false" ht="14.25" hidden="false" customHeight="true" outlineLevel="0" collapsed="false">
      <c r="A332" s="94"/>
      <c r="B332" s="95"/>
      <c r="C332" s="96"/>
    </row>
    <row r="333" customFormat="false" ht="14.25" hidden="false" customHeight="true" outlineLevel="0" collapsed="false">
      <c r="A333" s="94"/>
      <c r="B333" s="95"/>
      <c r="C333" s="96"/>
    </row>
    <row r="334" customFormat="false" ht="14.25" hidden="false" customHeight="true" outlineLevel="0" collapsed="false">
      <c r="A334" s="94"/>
      <c r="B334" s="95"/>
      <c r="C334" s="96"/>
    </row>
    <row r="335" customFormat="false" ht="14.25" hidden="false" customHeight="true" outlineLevel="0" collapsed="false">
      <c r="A335" s="94"/>
      <c r="B335" s="95"/>
      <c r="C335" s="96"/>
    </row>
    <row r="336" customFormat="false" ht="14.25" hidden="false" customHeight="true" outlineLevel="0" collapsed="false">
      <c r="A336" s="94"/>
      <c r="B336" s="95"/>
      <c r="C336" s="96"/>
    </row>
    <row r="337" customFormat="false" ht="14.25" hidden="false" customHeight="true" outlineLevel="0" collapsed="false">
      <c r="A337" s="94"/>
      <c r="B337" s="95"/>
      <c r="C337" s="96"/>
    </row>
    <row r="338" customFormat="false" ht="14.25" hidden="false" customHeight="true" outlineLevel="0" collapsed="false">
      <c r="A338" s="94"/>
      <c r="B338" s="95"/>
      <c r="C338" s="96"/>
    </row>
    <row r="339" customFormat="false" ht="14.25" hidden="false" customHeight="true" outlineLevel="0" collapsed="false">
      <c r="A339" s="94"/>
      <c r="B339" s="95"/>
      <c r="C339" s="96"/>
    </row>
    <row r="340" customFormat="false" ht="14.25" hidden="false" customHeight="true" outlineLevel="0" collapsed="false">
      <c r="A340" s="94"/>
      <c r="B340" s="95"/>
      <c r="C340" s="96"/>
    </row>
    <row r="341" customFormat="false" ht="14.25" hidden="false" customHeight="true" outlineLevel="0" collapsed="false">
      <c r="A341" s="94"/>
      <c r="B341" s="95"/>
      <c r="C341" s="96"/>
    </row>
    <row r="342" customFormat="false" ht="14.25" hidden="false" customHeight="true" outlineLevel="0" collapsed="false">
      <c r="A342" s="94"/>
      <c r="B342" s="95"/>
      <c r="C342" s="96"/>
    </row>
    <row r="343" customFormat="false" ht="14.25" hidden="false" customHeight="true" outlineLevel="0" collapsed="false">
      <c r="A343" s="94"/>
      <c r="B343" s="95"/>
      <c r="C343" s="96"/>
    </row>
    <row r="344" customFormat="false" ht="14.25" hidden="false" customHeight="true" outlineLevel="0" collapsed="false">
      <c r="A344" s="94"/>
      <c r="B344" s="95"/>
      <c r="C344" s="96"/>
    </row>
    <row r="345" customFormat="false" ht="14.25" hidden="false" customHeight="true" outlineLevel="0" collapsed="false">
      <c r="A345" s="94"/>
      <c r="B345" s="95"/>
      <c r="C345" s="96"/>
      <c r="D345" s="17"/>
    </row>
    <row r="346" customFormat="false" ht="14.25" hidden="false" customHeight="true" outlineLevel="0" collapsed="false">
      <c r="A346" s="94"/>
      <c r="B346" s="95"/>
      <c r="C346" s="96"/>
    </row>
    <row r="347" customFormat="false" ht="14.25" hidden="false" customHeight="true" outlineLevel="0" collapsed="false">
      <c r="A347" s="94"/>
      <c r="B347" s="95"/>
      <c r="C347" s="96"/>
    </row>
    <row r="348" customFormat="false" ht="14.25" hidden="false" customHeight="true" outlineLevel="0" collapsed="false">
      <c r="A348" s="94"/>
      <c r="B348" s="95"/>
      <c r="C348" s="96"/>
    </row>
    <row r="349" customFormat="false" ht="14.25" hidden="false" customHeight="true" outlineLevel="0" collapsed="false">
      <c r="A349" s="94"/>
      <c r="B349" s="95"/>
      <c r="C349" s="96"/>
    </row>
    <row r="350" customFormat="false" ht="14.25" hidden="false" customHeight="true" outlineLevel="0" collapsed="false">
      <c r="A350" s="94"/>
      <c r="B350" s="95"/>
      <c r="C350" s="96"/>
    </row>
    <row r="351" customFormat="false" ht="14.25" hidden="false" customHeight="true" outlineLevel="0" collapsed="false">
      <c r="A351" s="94"/>
      <c r="B351" s="95"/>
      <c r="C351" s="96"/>
    </row>
    <row r="352" customFormat="false" ht="14.25" hidden="false" customHeight="true" outlineLevel="0" collapsed="false">
      <c r="A352" s="94"/>
      <c r="B352" s="95"/>
      <c r="C352" s="96"/>
    </row>
    <row r="353" customFormat="false" ht="14.25" hidden="false" customHeight="true" outlineLevel="0" collapsed="false">
      <c r="A353" s="94"/>
      <c r="B353" s="95"/>
      <c r="C353" s="96"/>
    </row>
    <row r="354" customFormat="false" ht="14.25" hidden="false" customHeight="true" outlineLevel="0" collapsed="false">
      <c r="A354" s="94"/>
      <c r="B354" s="95"/>
      <c r="C354" s="96"/>
    </row>
    <row r="355" customFormat="false" ht="14.25" hidden="false" customHeight="true" outlineLevel="0" collapsed="false">
      <c r="A355" s="94"/>
      <c r="B355" s="95"/>
      <c r="C355" s="96"/>
    </row>
    <row r="356" customFormat="false" ht="14.25" hidden="false" customHeight="true" outlineLevel="0" collapsed="false">
      <c r="A356" s="94"/>
      <c r="B356" s="95"/>
      <c r="C356" s="96"/>
    </row>
    <row r="357" customFormat="false" ht="14.25" hidden="false" customHeight="true" outlineLevel="0" collapsed="false">
      <c r="A357" s="94"/>
      <c r="B357" s="95"/>
      <c r="C357" s="96"/>
    </row>
    <row r="358" customFormat="false" ht="14.25" hidden="false" customHeight="true" outlineLevel="0" collapsed="false">
      <c r="A358" s="94"/>
      <c r="B358" s="95"/>
      <c r="C358" s="96"/>
    </row>
    <row r="359" customFormat="false" ht="14.25" hidden="false" customHeight="true" outlineLevel="0" collapsed="false">
      <c r="A359" s="94"/>
      <c r="B359" s="95"/>
      <c r="C359" s="96"/>
    </row>
    <row r="360" customFormat="false" ht="14.25" hidden="false" customHeight="true" outlineLevel="0" collapsed="false">
      <c r="A360" s="94"/>
      <c r="B360" s="95"/>
      <c r="C360" s="96"/>
    </row>
    <row r="361" customFormat="false" ht="14.25" hidden="false" customHeight="true" outlineLevel="0" collapsed="false">
      <c r="A361" s="94"/>
      <c r="B361" s="95"/>
      <c r="C361" s="96"/>
    </row>
    <row r="362" customFormat="false" ht="14.25" hidden="false" customHeight="true" outlineLevel="0" collapsed="false">
      <c r="A362" s="94"/>
      <c r="B362" s="95"/>
      <c r="C362" s="96"/>
    </row>
    <row r="363" customFormat="false" ht="14.25" hidden="false" customHeight="true" outlineLevel="0" collapsed="false">
      <c r="A363" s="94"/>
      <c r="B363" s="95"/>
      <c r="C363" s="96"/>
    </row>
    <row r="364" customFormat="false" ht="14.25" hidden="false" customHeight="true" outlineLevel="0" collapsed="false">
      <c r="A364" s="94"/>
      <c r="B364" s="95"/>
      <c r="C364" s="96"/>
    </row>
    <row r="365" customFormat="false" ht="14.25" hidden="false" customHeight="true" outlineLevel="0" collapsed="false">
      <c r="A365" s="94"/>
      <c r="B365" s="95"/>
      <c r="C365" s="96"/>
    </row>
    <row r="366" customFormat="false" ht="14.25" hidden="false" customHeight="true" outlineLevel="0" collapsed="false">
      <c r="A366" s="94"/>
      <c r="B366" s="95"/>
      <c r="C366" s="96"/>
    </row>
    <row r="367" customFormat="false" ht="14.25" hidden="false" customHeight="true" outlineLevel="0" collapsed="false">
      <c r="A367" s="94"/>
      <c r="B367" s="95"/>
      <c r="C367" s="96"/>
    </row>
    <row r="368" customFormat="false" ht="14.25" hidden="false" customHeight="true" outlineLevel="0" collapsed="false">
      <c r="A368" s="94"/>
      <c r="B368" s="95"/>
      <c r="C368" s="96"/>
    </row>
    <row r="369" customFormat="false" ht="14.25" hidden="false" customHeight="true" outlineLevel="0" collapsed="false">
      <c r="A369" s="94"/>
      <c r="B369" s="95"/>
      <c r="C369" s="96"/>
    </row>
    <row r="370" customFormat="false" ht="14.25" hidden="false" customHeight="true" outlineLevel="0" collapsed="false">
      <c r="A370" s="94"/>
      <c r="B370" s="95"/>
      <c r="C370" s="96"/>
    </row>
    <row r="371" customFormat="false" ht="14.25" hidden="false" customHeight="true" outlineLevel="0" collapsed="false">
      <c r="A371" s="94"/>
      <c r="B371" s="95"/>
      <c r="C371" s="96"/>
    </row>
    <row r="372" customFormat="false" ht="14.25" hidden="false" customHeight="true" outlineLevel="0" collapsed="false">
      <c r="A372" s="94"/>
      <c r="B372" s="95"/>
      <c r="C372" s="96"/>
    </row>
    <row r="373" customFormat="false" ht="14.25" hidden="false" customHeight="true" outlineLevel="0" collapsed="false">
      <c r="A373" s="94"/>
      <c r="B373" s="95"/>
      <c r="C373" s="96"/>
    </row>
    <row r="374" customFormat="false" ht="14.25" hidden="false" customHeight="true" outlineLevel="0" collapsed="false">
      <c r="A374" s="94"/>
      <c r="B374" s="95"/>
      <c r="C374" s="96"/>
    </row>
    <row r="375" customFormat="false" ht="14.25" hidden="false" customHeight="true" outlineLevel="0" collapsed="false">
      <c r="A375" s="94"/>
      <c r="B375" s="95"/>
      <c r="C375" s="96"/>
    </row>
    <row r="376" customFormat="false" ht="14.25" hidden="false" customHeight="true" outlineLevel="0" collapsed="false">
      <c r="A376" s="94"/>
      <c r="B376" s="95"/>
      <c r="C376" s="96"/>
    </row>
    <row r="377" customFormat="false" ht="14.25" hidden="false" customHeight="true" outlineLevel="0" collapsed="false">
      <c r="A377" s="94"/>
      <c r="B377" s="95"/>
      <c r="C377" s="96"/>
    </row>
    <row r="378" customFormat="false" ht="14.25" hidden="false" customHeight="true" outlineLevel="0" collapsed="false">
      <c r="A378" s="94"/>
      <c r="B378" s="95"/>
      <c r="C378" s="96"/>
    </row>
    <row r="379" customFormat="false" ht="14.25" hidden="false" customHeight="true" outlineLevel="0" collapsed="false">
      <c r="A379" s="94"/>
      <c r="B379" s="95"/>
      <c r="C379" s="96"/>
    </row>
    <row r="380" customFormat="false" ht="14.25" hidden="false" customHeight="true" outlineLevel="0" collapsed="false">
      <c r="A380" s="94"/>
      <c r="B380" s="95"/>
      <c r="C380" s="96"/>
    </row>
    <row r="381" customFormat="false" ht="14.25" hidden="false" customHeight="true" outlineLevel="0" collapsed="false">
      <c r="A381" s="94"/>
      <c r="B381" s="95"/>
      <c r="C381" s="96"/>
    </row>
    <row r="382" customFormat="false" ht="14.25" hidden="false" customHeight="true" outlineLevel="0" collapsed="false">
      <c r="A382" s="94"/>
      <c r="B382" s="95"/>
      <c r="C382" s="96"/>
    </row>
    <row r="383" customFormat="false" ht="14.25" hidden="false" customHeight="true" outlineLevel="0" collapsed="false">
      <c r="A383" s="94"/>
      <c r="B383" s="95"/>
      <c r="C383" s="96"/>
    </row>
    <row r="384" customFormat="false" ht="14.25" hidden="false" customHeight="true" outlineLevel="0" collapsed="false">
      <c r="A384" s="94"/>
      <c r="B384" s="95"/>
      <c r="C384" s="96"/>
    </row>
    <row r="385" customFormat="false" ht="14.25" hidden="false" customHeight="true" outlineLevel="0" collapsed="false">
      <c r="A385" s="94"/>
      <c r="B385" s="95"/>
      <c r="C385" s="96"/>
    </row>
    <row r="386" customFormat="false" ht="14.25" hidden="false" customHeight="true" outlineLevel="0" collapsed="false">
      <c r="A386" s="94"/>
      <c r="B386" s="95"/>
      <c r="C386" s="96"/>
    </row>
    <row r="387" customFormat="false" ht="14.25" hidden="false" customHeight="true" outlineLevel="0" collapsed="false">
      <c r="A387" s="94"/>
      <c r="B387" s="95"/>
      <c r="C387" s="96"/>
    </row>
    <row r="388" customFormat="false" ht="14.25" hidden="false" customHeight="true" outlineLevel="0" collapsed="false">
      <c r="A388" s="94"/>
      <c r="B388" s="95"/>
      <c r="C388" s="96"/>
    </row>
    <row r="389" customFormat="false" ht="14.25" hidden="false" customHeight="true" outlineLevel="0" collapsed="false">
      <c r="A389" s="94"/>
      <c r="B389" s="95"/>
      <c r="C389" s="96"/>
    </row>
    <row r="390" customFormat="false" ht="14.25" hidden="false" customHeight="true" outlineLevel="0" collapsed="false">
      <c r="A390" s="94"/>
      <c r="B390" s="95"/>
      <c r="C390" s="96"/>
    </row>
    <row r="391" customFormat="false" ht="14.25" hidden="false" customHeight="true" outlineLevel="0" collapsed="false">
      <c r="A391" s="94"/>
      <c r="B391" s="95"/>
      <c r="C391" s="96"/>
    </row>
    <row r="392" customFormat="false" ht="14.25" hidden="false" customHeight="true" outlineLevel="0" collapsed="false">
      <c r="A392" s="94"/>
      <c r="B392" s="95"/>
      <c r="C392" s="96"/>
    </row>
    <row r="393" customFormat="false" ht="14.25" hidden="false" customHeight="true" outlineLevel="0" collapsed="false">
      <c r="A393" s="94"/>
      <c r="B393" s="95"/>
      <c r="C393" s="96"/>
    </row>
    <row r="394" customFormat="false" ht="14.25" hidden="false" customHeight="true" outlineLevel="0" collapsed="false">
      <c r="A394" s="94"/>
      <c r="B394" s="95"/>
      <c r="C394" s="96"/>
    </row>
    <row r="395" customFormat="false" ht="14.25" hidden="false" customHeight="true" outlineLevel="0" collapsed="false">
      <c r="A395" s="94"/>
      <c r="B395" s="95"/>
      <c r="C395" s="96"/>
    </row>
    <row r="396" customFormat="false" ht="14.25" hidden="false" customHeight="true" outlineLevel="0" collapsed="false">
      <c r="A396" s="94"/>
      <c r="B396" s="95"/>
      <c r="C396" s="96"/>
    </row>
    <row r="397" customFormat="false" ht="14.25" hidden="false" customHeight="true" outlineLevel="0" collapsed="false">
      <c r="A397" s="94"/>
      <c r="B397" s="95"/>
      <c r="C397" s="96"/>
    </row>
    <row r="398" customFormat="false" ht="14.25" hidden="false" customHeight="true" outlineLevel="0" collapsed="false">
      <c r="A398" s="94"/>
      <c r="B398" s="95"/>
      <c r="C398" s="96"/>
    </row>
    <row r="399" customFormat="false" ht="14.25" hidden="false" customHeight="true" outlineLevel="0" collapsed="false">
      <c r="A399" s="94"/>
      <c r="B399" s="95"/>
      <c r="C399" s="96"/>
    </row>
    <row r="400" customFormat="false" ht="14.25" hidden="false" customHeight="true" outlineLevel="0" collapsed="false">
      <c r="A400" s="94"/>
      <c r="B400" s="95"/>
      <c r="C400" s="96"/>
    </row>
    <row r="401" customFormat="false" ht="14.25" hidden="false" customHeight="true" outlineLevel="0" collapsed="false">
      <c r="A401" s="94"/>
      <c r="B401" s="95"/>
      <c r="C401" s="96"/>
      <c r="D401" s="6"/>
    </row>
    <row r="402" customFormat="false" ht="14.25" hidden="false" customHeight="true" outlineLevel="0" collapsed="false">
      <c r="A402" s="94"/>
      <c r="B402" s="95"/>
      <c r="C402" s="96"/>
      <c r="D402" s="6"/>
    </row>
    <row r="403" customFormat="false" ht="14.25" hidden="false" customHeight="true" outlineLevel="0" collapsed="false">
      <c r="A403" s="94"/>
      <c r="B403" s="95"/>
      <c r="C403" s="96"/>
    </row>
    <row r="404" customFormat="false" ht="14.25" hidden="false" customHeight="true" outlineLevel="0" collapsed="false">
      <c r="A404" s="94"/>
      <c r="B404" s="95"/>
      <c r="C404" s="96"/>
    </row>
    <row r="405" customFormat="false" ht="14.25" hidden="false" customHeight="true" outlineLevel="0" collapsed="false">
      <c r="A405" s="94"/>
      <c r="B405" s="95"/>
      <c r="C405" s="96"/>
    </row>
    <row r="406" customFormat="false" ht="14.25" hidden="false" customHeight="true" outlineLevel="0" collapsed="false">
      <c r="A406" s="94"/>
      <c r="B406" s="95"/>
      <c r="C406" s="96"/>
    </row>
    <row r="407" customFormat="false" ht="14.25" hidden="false" customHeight="true" outlineLevel="0" collapsed="false">
      <c r="A407" s="94"/>
      <c r="B407" s="95"/>
      <c r="C407" s="96"/>
    </row>
    <row r="408" customFormat="false" ht="14.25" hidden="false" customHeight="true" outlineLevel="0" collapsed="false">
      <c r="A408" s="94"/>
      <c r="B408" s="95"/>
      <c r="C408" s="96"/>
    </row>
    <row r="409" customFormat="false" ht="14.25" hidden="false" customHeight="true" outlineLevel="0" collapsed="false">
      <c r="A409" s="94"/>
      <c r="B409" s="95"/>
      <c r="C409" s="96"/>
    </row>
    <row r="410" customFormat="false" ht="14.25" hidden="false" customHeight="true" outlineLevel="0" collapsed="false">
      <c r="A410" s="94"/>
      <c r="B410" s="95"/>
      <c r="C410" s="96"/>
    </row>
    <row r="411" customFormat="false" ht="14.25" hidden="false" customHeight="true" outlineLevel="0" collapsed="false">
      <c r="A411" s="94"/>
      <c r="B411" s="95"/>
      <c r="C411" s="96"/>
    </row>
    <row r="412" customFormat="false" ht="14.25" hidden="false" customHeight="true" outlineLevel="0" collapsed="false">
      <c r="A412" s="94"/>
      <c r="B412" s="95"/>
      <c r="C412" s="96"/>
    </row>
    <row r="413" customFormat="false" ht="14.25" hidden="false" customHeight="true" outlineLevel="0" collapsed="false">
      <c r="A413" s="94"/>
      <c r="B413" s="95"/>
      <c r="C413" s="96"/>
    </row>
    <row r="414" customFormat="false" ht="14.25" hidden="false" customHeight="true" outlineLevel="0" collapsed="false">
      <c r="A414" s="94"/>
      <c r="B414" s="95"/>
      <c r="C414" s="96"/>
    </row>
    <row r="415" customFormat="false" ht="14.25" hidden="false" customHeight="true" outlineLevel="0" collapsed="false">
      <c r="A415" s="94"/>
      <c r="B415" s="95"/>
      <c r="C415" s="96"/>
    </row>
    <row r="416" customFormat="false" ht="14.25" hidden="false" customHeight="true" outlineLevel="0" collapsed="false">
      <c r="A416" s="94"/>
      <c r="B416" s="95"/>
      <c r="C416" s="96"/>
    </row>
    <row r="417" customFormat="false" ht="14.25" hidden="false" customHeight="true" outlineLevel="0" collapsed="false">
      <c r="A417" s="94"/>
      <c r="B417" s="95"/>
      <c r="C417" s="96"/>
    </row>
    <row r="418" customFormat="false" ht="14.25" hidden="false" customHeight="true" outlineLevel="0" collapsed="false">
      <c r="A418" s="94"/>
      <c r="B418" s="95"/>
      <c r="C418" s="96"/>
    </row>
    <row r="419" customFormat="false" ht="14.25" hidden="false" customHeight="true" outlineLevel="0" collapsed="false">
      <c r="A419" s="94"/>
      <c r="B419" s="95"/>
      <c r="C419" s="96"/>
    </row>
    <row r="420" customFormat="false" ht="14.25" hidden="false" customHeight="true" outlineLevel="0" collapsed="false">
      <c r="A420" s="94"/>
      <c r="B420" s="95"/>
      <c r="C420" s="96"/>
    </row>
    <row r="421" customFormat="false" ht="14.25" hidden="false" customHeight="true" outlineLevel="0" collapsed="false">
      <c r="A421" s="94"/>
      <c r="B421" s="95"/>
      <c r="C421" s="96"/>
    </row>
    <row r="422" customFormat="false" ht="14.25" hidden="false" customHeight="true" outlineLevel="0" collapsed="false">
      <c r="A422" s="94"/>
      <c r="B422" s="95"/>
      <c r="C422" s="96"/>
    </row>
    <row r="423" customFormat="false" ht="14.25" hidden="false" customHeight="true" outlineLevel="0" collapsed="false">
      <c r="A423" s="94"/>
      <c r="B423" s="95"/>
      <c r="C423" s="96"/>
    </row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mergeCells count="5">
    <mergeCell ref="G1:P1"/>
    <mergeCell ref="R1:AF1"/>
    <mergeCell ref="AI13:AR13"/>
    <mergeCell ref="G17:O17"/>
    <mergeCell ref="AI51:AQ51"/>
  </mergeCells>
  <conditionalFormatting sqref="H19:I23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19:J2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19:L2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M19:M2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19:N2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19:O23">
    <cfRule type="colorScale" priority="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J33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54:AQ58">
    <cfRule type="colorScale" priority="9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R54:AR58">
    <cfRule type="colorScale" priority="1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61:AJ64">
    <cfRule type="colorScale" priority="1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K61:AK65">
    <cfRule type="colorScale" priority="1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19:I23">
    <cfRule type="colorScale" priority="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L19:L23">
    <cfRule type="colorScale" priority="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K4:AK11 AQ4:AQ11">
    <cfRule type="cellIs" priority="16" operator="greaterThan" aboveAverage="0" equalAverage="0" bottom="0" percent="0" rank="0" text="" dxfId="3">
      <formula>1</formula>
    </cfRule>
  </conditionalFormatting>
  <conditionalFormatting sqref="H74:H77">
    <cfRule type="colorScale" priority="1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74:R77">
    <cfRule type="colorScale" priority="1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85:H88">
    <cfRule type="colorScale" priority="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R85:R88">
    <cfRule type="colorScale" priority="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H96:H99">
    <cfRule type="colorScale" priority="2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96:R99">
    <cfRule type="colorScale" priority="2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61:AJ65">
    <cfRule type="colorScale" priority="2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3:H14">
    <cfRule type="colorScale" priority="2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3:I14">
    <cfRule type="colorScale" priority="2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3:J14">
    <cfRule type="colorScale" priority="2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3:K14">
    <cfRule type="colorScale" priority="2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3:L14">
    <cfRule type="colorScale" priority="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:M14">
    <cfRule type="colorScale" priority="3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3:N14">
    <cfRule type="colorScale" priority="3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3:O14">
    <cfRule type="colorScale" priority="3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P3:P14">
    <cfRule type="colorScale" priority="3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6:H37">
    <cfRule type="colorScale" priority="3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26:R37">
    <cfRule type="colorScale" priority="3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42:H53">
    <cfRule type="colorScale" priority="3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R42:R53">
    <cfRule type="colorScale" priority="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H58:H69">
    <cfRule type="colorScale" priority="3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8:R69">
    <cfRule type="colorScale" priority="4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16:AJ27">
    <cfRule type="colorScale" priority="4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K16:AK27">
    <cfRule type="colorScale" priority="4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L16:AL27">
    <cfRule type="colorScale" priority="4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M16:AM27">
    <cfRule type="colorScale" priority="4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N16:AN27">
    <cfRule type="colorScale" priority="4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O16:AO27">
    <cfRule type="colorScale" priority="4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P16:AP27">
    <cfRule type="colorScale" priority="4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Q16:AQ27">
    <cfRule type="colorScale" priority="4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R16:AR27">
    <cfRule type="colorScale" priority="4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16:AR27">
    <cfRule type="colorScale" priority="5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S16:AS27">
    <cfRule type="colorScale" priority="5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K34:AK45">
    <cfRule type="colorScale" priority="5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34:AJ45">
    <cfRule type="colorScale" priority="5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hyperlinks>
    <hyperlink ref="D2" r:id="rId1" display="https://discord.com/channels/191975109500731392/1212839710439776287/1328421980986146921"/>
    <hyperlink ref="D4" r:id="rId2" display="https://discord.com/channels/191975109500731392/1212839710439776287/1328431903224627242"/>
    <hyperlink ref="D6" r:id="rId3" display="https://discord.com/channels/191975109500731392/1212839710439776287/1328444788130709625"/>
    <hyperlink ref="D10" r:id="rId4" display="https://discord.com/channels/191975109500731392/1212839710439776287/1329116512476205076"/>
    <hyperlink ref="D11" r:id="rId5" display="https://discord.com/channels/191975109500731392/1212839710439776287/1329131165818290278"/>
    <hyperlink ref="D13" r:id="rId6" display="https://discord.com/channels/191975109500731392/1212839710439776287/1329131398652629064"/>
    <hyperlink ref="D16" r:id="rId7" display="https://discord.com/channels/191975109500731392/1212839710439776287/1329161563461910689"/>
    <hyperlink ref="D33" r:id="rId8" display="https://discord.com/channels/191975109500731392/1212839710439776287/1329904517151719514"/>
    <hyperlink ref="D35" r:id="rId9" display="https://discord.com/channels/191975109500731392/1212839710439776287/1330341537489616977"/>
    <hyperlink ref="D39" r:id="rId10" display="https://discord.com/channels/191975109500731392/1212839710439776287/1331407502687862784"/>
    <hyperlink ref="D41" r:id="rId11" display="https://discord.com/channels/191975109500731392/1212839710439776287/1331654158717288450"/>
    <hyperlink ref="D46" r:id="rId12" display="https://discord.com/channels/191975109500731392/1212839710439776287/1331786975774244975"/>
    <hyperlink ref="D50" r:id="rId13" display="https://discord.com/channels/191975109500731392/1212839710439776287/1332096889293770873"/>
    <hyperlink ref="D54" r:id="rId14" display="https://discord.com/channels/191975109500731392/1212839710439776287/1332104635577532449"/>
    <hyperlink ref="D120" r:id="rId15" display="https://discord.com/channels/191975109500731392/1212839710439776287/1340814596830920714"/>
    <hyperlink ref="D123" r:id="rId16" display="https://discord.com/channels/191975109500731392/1212839710439776287/1341446113479098399"/>
    <hyperlink ref="D168" r:id="rId17" display="https://discord.com/channels/191975109500731392/1212839710439776287/1351252845374083104"/>
    <hyperlink ref="D184" r:id="rId18" display="https://discord.com/channels/191975109500731392/1212839710439776287/1351672302345130024"/>
    <hyperlink ref="D248" r:id="rId19" display="https://discord.com/channels/191975109500731392/1212839710439776287/1354853809394024635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627"/>
  <sheetViews>
    <sheetView showFormulas="false" showGridLines="true" showRowColHeaders="true" showZeros="true" rightToLeft="false" tabSelected="false" showOutlineSymbols="true" defaultGridColor="true" view="normal" topLeftCell="A410" colorId="64" zoomScale="100" zoomScaleNormal="100" zoomScalePageLayoutView="100" workbookViewId="0">
      <selection pane="topLeft" activeCell="A410" activeCellId="0" sqref="A410"/>
    </sheetView>
  </sheetViews>
  <sheetFormatPr defaultColWidth="12.54296875" defaultRowHeight="15" customHeight="true" zeroHeight="false" outlineLevelRow="0" outlineLevelCol="0"/>
  <cols>
    <col collapsed="false" customWidth="true" hidden="false" outlineLevel="0" max="1" min="1" style="0" width="6.73"/>
    <col collapsed="false" customWidth="true" hidden="false" outlineLevel="0" max="2" min="2" style="0" width="6.45"/>
    <col collapsed="false" customWidth="true" hidden="false" outlineLevel="0" max="3" min="3" style="0" width="7.45"/>
    <col collapsed="false" customWidth="true" hidden="false" outlineLevel="0" max="4" min="4" style="0" width="5.18"/>
    <col collapsed="false" customWidth="true" hidden="false" outlineLevel="0" max="5" min="5" style="0" width="2.27"/>
    <col collapsed="false" customWidth="true" hidden="true" outlineLevel="0" max="6" min="6" style="0" width="5.45"/>
    <col collapsed="false" customWidth="true" hidden="false" outlineLevel="0" max="7" min="7" style="0" width="12.45"/>
    <col collapsed="false" customWidth="true" hidden="false" outlineLevel="0" max="9" min="8" style="0" width="6.82"/>
    <col collapsed="false" customWidth="true" hidden="false" outlineLevel="0" max="10" min="10" style="0" width="4.82"/>
    <col collapsed="false" customWidth="true" hidden="false" outlineLevel="0" max="11" min="11" style="0" width="9.45"/>
    <col collapsed="false" customWidth="true" hidden="false" outlineLevel="0" max="12" min="12" style="0" width="11.54"/>
    <col collapsed="false" customWidth="true" hidden="false" outlineLevel="0" max="13" min="13" style="0" width="6.82"/>
    <col collapsed="false" customWidth="true" hidden="false" outlineLevel="0" max="14" min="14" style="0" width="8.27"/>
    <col collapsed="false" customWidth="true" hidden="false" outlineLevel="0" max="15" min="15" style="0" width="10.54"/>
    <col collapsed="false" customWidth="true" hidden="false" outlineLevel="0" max="16" min="16" style="0" width="12"/>
    <col collapsed="false" customWidth="true" hidden="false" outlineLevel="0" max="17" min="17" style="0" width="7.27"/>
    <col collapsed="false" customWidth="true" hidden="false" outlineLevel="0" max="18" min="18" style="0" width="12.27"/>
    <col collapsed="false" customWidth="true" hidden="false" outlineLevel="0" max="19" min="19" style="0" width="7.27"/>
    <col collapsed="false" customWidth="true" hidden="false" outlineLevel="0" max="20" min="20" style="0" width="6.18"/>
    <col collapsed="false" customWidth="true" hidden="false" outlineLevel="0" max="21" min="21" style="0" width="5.54"/>
    <col collapsed="false" customWidth="true" hidden="false" outlineLevel="0" max="22" min="22" style="0" width="5.82"/>
    <col collapsed="false" customWidth="true" hidden="false" outlineLevel="0" max="23" min="23" style="0" width="4.82"/>
    <col collapsed="false" customWidth="true" hidden="false" outlineLevel="0" max="24" min="24" style="0" width="5.54"/>
    <col collapsed="false" customWidth="true" hidden="false" outlineLevel="0" max="25" min="25" style="0" width="5.27"/>
    <col collapsed="false" customWidth="true" hidden="false" outlineLevel="0" max="26" min="26" style="0" width="3.54"/>
    <col collapsed="false" customWidth="true" hidden="false" outlineLevel="0" max="27" min="27" style="0" width="5.18"/>
    <col collapsed="false" customWidth="true" hidden="false" outlineLevel="0" max="28" min="28" style="0" width="4.45"/>
    <col collapsed="false" customWidth="true" hidden="false" outlineLevel="0" max="29" min="29" style="0" width="4.82"/>
    <col collapsed="false" customWidth="true" hidden="false" outlineLevel="0" max="30" min="30" style="0" width="6.82"/>
    <col collapsed="false" customWidth="true" hidden="false" outlineLevel="0" max="32" min="31" style="0" width="10.45"/>
    <col collapsed="false" customWidth="true" hidden="false" outlineLevel="0" max="33" min="33" style="0" width="6.73"/>
    <col collapsed="false" customWidth="true" hidden="false" outlineLevel="0" max="34" min="34" style="0" width="8.27"/>
    <col collapsed="false" customWidth="true" hidden="false" outlineLevel="0" max="35" min="35" style="0" width="13.45"/>
    <col collapsed="false" customWidth="true" hidden="false" outlineLevel="0" max="36" min="36" style="0" width="8.54"/>
    <col collapsed="false" customWidth="true" hidden="false" outlineLevel="0" max="37" min="37" style="0" width="8.45"/>
    <col collapsed="false" customWidth="true" hidden="false" outlineLevel="0" max="38" min="38" style="0" width="6.82"/>
    <col collapsed="false" customWidth="true" hidden="false" outlineLevel="0" max="39" min="39" style="0" width="9.27"/>
    <col collapsed="false" customWidth="true" hidden="false" outlineLevel="0" max="40" min="40" style="0" width="13.45"/>
    <col collapsed="false" customWidth="true" hidden="false" outlineLevel="0" max="41" min="41" style="0" width="6.54"/>
    <col collapsed="false" customWidth="true" hidden="false" outlineLevel="0" max="42" min="42" style="0" width="8.18"/>
    <col collapsed="false" customWidth="true" hidden="false" outlineLevel="0" max="43" min="43" style="0" width="10.45"/>
    <col collapsed="false" customWidth="true" hidden="false" outlineLevel="0" max="44" min="44" style="0" width="11.82"/>
    <col collapsed="false" customWidth="true" hidden="false" outlineLevel="0" max="45" min="45" style="0" width="8.54"/>
    <col collapsed="false" customWidth="true" hidden="false" outlineLevel="0" max="46" min="46" style="0" width="12.45"/>
  </cols>
  <sheetData>
    <row r="1" customFormat="false" ht="14.25" hidden="false" customHeight="true" outlineLevel="0" collapsed="false">
      <c r="A1" s="89" t="s">
        <v>0</v>
      </c>
      <c r="B1" s="90" t="s">
        <v>1</v>
      </c>
      <c r="C1" s="91" t="s">
        <v>2</v>
      </c>
      <c r="D1" s="6" t="s">
        <v>3</v>
      </c>
      <c r="G1" s="7" t="s">
        <v>4</v>
      </c>
      <c r="H1" s="7"/>
      <c r="I1" s="7"/>
      <c r="J1" s="7"/>
      <c r="K1" s="7"/>
      <c r="L1" s="7"/>
      <c r="M1" s="7"/>
      <c r="N1" s="7"/>
      <c r="O1" s="7"/>
      <c r="P1" s="7"/>
      <c r="Q1" s="8"/>
      <c r="R1" s="7" t="s">
        <v>5</v>
      </c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66" t="s">
        <v>26</v>
      </c>
      <c r="AK1" s="7" t="s">
        <v>6</v>
      </c>
      <c r="AL1" s="10" t="s">
        <v>7</v>
      </c>
      <c r="AM1" s="11" t="s">
        <v>8</v>
      </c>
      <c r="AN1" s="12" t="s">
        <v>9</v>
      </c>
      <c r="AO1" s="13" t="s">
        <v>8</v>
      </c>
      <c r="AP1" s="10" t="s">
        <v>10</v>
      </c>
      <c r="AQ1" s="7" t="s">
        <v>6</v>
      </c>
    </row>
    <row r="2" customFormat="false" ht="14.25" hidden="false" customHeight="true" outlineLevel="0" collapsed="false">
      <c r="A2" s="94" t="s">
        <v>40</v>
      </c>
      <c r="B2" s="95" t="n">
        <v>1</v>
      </c>
      <c r="C2" s="96" t="s">
        <v>1443</v>
      </c>
      <c r="D2" s="17" t="s">
        <v>1444</v>
      </c>
      <c r="E2" s="6"/>
      <c r="F2" s="19"/>
      <c r="G2" s="52" t="s">
        <v>88</v>
      </c>
      <c r="H2" s="31" t="s">
        <v>16</v>
      </c>
      <c r="I2" s="31" t="s">
        <v>17</v>
      </c>
      <c r="J2" s="31" t="s">
        <v>18</v>
      </c>
      <c r="K2" s="31" t="s">
        <v>19</v>
      </c>
      <c r="L2" s="31" t="s">
        <v>20</v>
      </c>
      <c r="M2" s="31" t="s">
        <v>21</v>
      </c>
      <c r="N2" s="21" t="s">
        <v>22</v>
      </c>
      <c r="O2" s="21" t="s">
        <v>23</v>
      </c>
      <c r="P2" s="53" t="s">
        <v>24</v>
      </c>
      <c r="Q2" s="8"/>
      <c r="R2" s="23" t="s">
        <v>25</v>
      </c>
      <c r="S2" s="24" t="s">
        <v>2</v>
      </c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6"/>
      <c r="AG2" s="66" t="s">
        <v>1445</v>
      </c>
      <c r="AK2" s="28"/>
      <c r="AL2" s="29"/>
      <c r="AM2" s="30" t="n">
        <f aca="false">COUNT(B$1:B$159)</f>
        <v>158</v>
      </c>
      <c r="AN2" s="31" t="s">
        <v>27</v>
      </c>
      <c r="AO2" s="30" t="n">
        <f aca="false">COUNT(B$1:B$159)</f>
        <v>158</v>
      </c>
      <c r="AP2" s="28"/>
      <c r="AQ2" s="28"/>
    </row>
    <row r="3" customFormat="false" ht="14.25" hidden="false" customHeight="true" outlineLevel="0" collapsed="false">
      <c r="A3" s="94" t="s">
        <v>41</v>
      </c>
      <c r="B3" s="95" t="n">
        <v>1</v>
      </c>
      <c r="C3" s="96" t="s">
        <v>1154</v>
      </c>
      <c r="D3" s="17" t="s">
        <v>1446</v>
      </c>
      <c r="E3" s="6"/>
      <c r="F3" s="32"/>
      <c r="G3" s="33" t="s">
        <v>30</v>
      </c>
      <c r="H3" s="34" t="n">
        <f aca="false">COUNTIF($A:$A,G3)</f>
        <v>55</v>
      </c>
      <c r="I3" s="34" t="n">
        <f aca="false">COUNTIF($C:$C,G3)</f>
        <v>73</v>
      </c>
      <c r="J3" s="35" t="n">
        <f aca="false">IF(I3,H3/I3,H3)</f>
        <v>0.753424657534247</v>
      </c>
      <c r="K3" s="34" t="n">
        <f aca="false">IFERROR(GETPIVOTDATA("Points",$R$2,"Sniper",G3),0)</f>
        <v>70</v>
      </c>
      <c r="L3" s="34" t="n">
        <f aca="false">IFERROR(GETPIVOTDATA("Points",$R$2,"Snipee",G3),0)</f>
        <v>108</v>
      </c>
      <c r="M3" s="124" t="n">
        <f aca="false">IF(L3,K3/L3,K3)</f>
        <v>0.648148148148148</v>
      </c>
      <c r="N3" s="35" t="n">
        <f aca="false">IF(H3,K3/H3,0)</f>
        <v>1.27272727272727</v>
      </c>
      <c r="O3" s="35" t="n">
        <f aca="false">IF(I3,L3/I3,0)</f>
        <v>1.47945205479452</v>
      </c>
      <c r="P3" s="125" t="n">
        <f aca="false">IFERROR(VLOOKUP(G3,R:AG,16,FALSE())/12,0)</f>
        <v>0.833333333333333</v>
      </c>
      <c r="Q3" s="8"/>
      <c r="R3" s="37" t="s">
        <v>0</v>
      </c>
      <c r="S3" s="126" t="s">
        <v>35</v>
      </c>
      <c r="T3" s="127" t="s">
        <v>30</v>
      </c>
      <c r="U3" s="127" t="s">
        <v>39</v>
      </c>
      <c r="V3" s="127" t="s">
        <v>36</v>
      </c>
      <c r="W3" s="127" t="s">
        <v>42</v>
      </c>
      <c r="X3" s="127" t="s">
        <v>1151</v>
      </c>
      <c r="Y3" s="127" t="s">
        <v>11</v>
      </c>
      <c r="Z3" s="127" t="s">
        <v>1443</v>
      </c>
      <c r="AA3" s="127" t="s">
        <v>43</v>
      </c>
      <c r="AB3" s="127" t="s">
        <v>1447</v>
      </c>
      <c r="AC3" s="127" t="s">
        <v>1154</v>
      </c>
      <c r="AD3" s="127" t="s">
        <v>40</v>
      </c>
      <c r="AE3" s="39" t="s">
        <v>44</v>
      </c>
      <c r="AG3" s="66" t="s">
        <v>1448</v>
      </c>
      <c r="AK3" s="28"/>
      <c r="AL3" s="28"/>
      <c r="AM3" s="40" t="n">
        <f aca="false">IFERROR(GETPIVOTDATA("Points",R2),0)</f>
        <v>553</v>
      </c>
      <c r="AN3" s="41" t="s">
        <v>45</v>
      </c>
      <c r="AO3" s="40" t="n">
        <f aca="false">IFERROR(GETPIVOTDATA("Points",R2),0)</f>
        <v>553</v>
      </c>
      <c r="AP3" s="28"/>
      <c r="AQ3" s="28"/>
    </row>
    <row r="4" customFormat="false" ht="14.25" hidden="false" customHeight="true" outlineLevel="0" collapsed="false">
      <c r="A4" s="94" t="s">
        <v>1447</v>
      </c>
      <c r="B4" s="95" t="n">
        <v>2</v>
      </c>
      <c r="C4" s="96" t="s">
        <v>11</v>
      </c>
      <c r="D4" s="17" t="s">
        <v>1449</v>
      </c>
      <c r="E4" s="6"/>
      <c r="F4" s="32"/>
      <c r="G4" s="33" t="s">
        <v>42</v>
      </c>
      <c r="H4" s="34" t="n">
        <f aca="false">COUNTIF($A:$A,G4)</f>
        <v>18</v>
      </c>
      <c r="I4" s="34" t="n">
        <f aca="false">COUNTIF($C:$C,G4)</f>
        <v>39</v>
      </c>
      <c r="J4" s="35" t="n">
        <f aca="false">IF(I4,H4/I4,H4)</f>
        <v>0.461538461538462</v>
      </c>
      <c r="K4" s="34" t="n">
        <f aca="false">IFERROR(GETPIVOTDATA("Points",$R$2,"Sniper",G4),0)</f>
        <v>26</v>
      </c>
      <c r="L4" s="34" t="n">
        <f aca="false">IFERROR(GETPIVOTDATA("Points",$R$2,"Snipee",G4),0)</f>
        <v>54</v>
      </c>
      <c r="M4" s="124" t="n">
        <f aca="false">IF(L4,K4/L4,K4)</f>
        <v>0.481481481481481</v>
      </c>
      <c r="N4" s="35" t="n">
        <f aca="false">IF(H4,K4/H4,0)</f>
        <v>1.44444444444444</v>
      </c>
      <c r="O4" s="35" t="n">
        <f aca="false">IF(I4,L4/I4,0)</f>
        <v>1.38461538461538</v>
      </c>
      <c r="P4" s="125" t="n">
        <f aca="false">IFERROR(VLOOKUP(G4,R:AG,16,FALSE())/12,0)</f>
        <v>0.666666666666667</v>
      </c>
      <c r="Q4" s="8"/>
      <c r="R4" s="128" t="s">
        <v>1151</v>
      </c>
      <c r="S4" s="100" t="n">
        <v>20</v>
      </c>
      <c r="T4" s="101" t="n">
        <v>44</v>
      </c>
      <c r="U4" s="101" t="n">
        <v>16</v>
      </c>
      <c r="V4" s="101" t="n">
        <v>12</v>
      </c>
      <c r="W4" s="101" t="n">
        <v>10</v>
      </c>
      <c r="X4" s="101"/>
      <c r="Y4" s="101" t="n">
        <v>5</v>
      </c>
      <c r="Z4" s="101" t="n">
        <v>2</v>
      </c>
      <c r="AA4" s="101" t="n">
        <v>4</v>
      </c>
      <c r="AB4" s="101"/>
      <c r="AC4" s="101" t="n">
        <v>2</v>
      </c>
      <c r="AD4" s="102"/>
      <c r="AE4" s="103" t="n">
        <v>115</v>
      </c>
      <c r="AG4" s="66" t="n">
        <f aca="false">IF(COUNT(S4:AF4)&lt;&gt;0,COUNT(S4:AF4)-1,"")</f>
        <v>9</v>
      </c>
      <c r="AK4" s="45" t="n">
        <f aca="false">COUNTIF(H3:H14,AM4)</f>
        <v>0</v>
      </c>
      <c r="AL4" s="46" t="str">
        <f aca="false">$G$26</f>
        <v>David</v>
      </c>
      <c r="AM4" s="40" t="e">
        <f aca="false">maxine(H3:H14)</f>
        <v>#NAME?</v>
      </c>
      <c r="AN4" s="41" t="s">
        <v>49</v>
      </c>
      <c r="AO4" s="47" t="e">
        <f aca="false">maxine(H19:H22)</f>
        <v>#NAME?</v>
      </c>
      <c r="AP4" s="48" t="str">
        <f aca="false">$G$77</f>
        <v>Leads</v>
      </c>
      <c r="AQ4" s="45" t="n">
        <f aca="false">COUNTIF(H19:H22,AO4)</f>
        <v>0</v>
      </c>
    </row>
    <row r="5" customFormat="false" ht="14.25" hidden="false" customHeight="true" outlineLevel="0" collapsed="false">
      <c r="A5" s="94" t="s">
        <v>1151</v>
      </c>
      <c r="B5" s="95" t="n">
        <v>1</v>
      </c>
      <c r="C5" s="96" t="s">
        <v>30</v>
      </c>
      <c r="D5" s="17" t="s">
        <v>1450</v>
      </c>
      <c r="E5" s="6" t="n">
        <v>1</v>
      </c>
      <c r="F5" s="32"/>
      <c r="G5" s="33" t="s">
        <v>40</v>
      </c>
      <c r="H5" s="34" t="n">
        <f aca="false">COUNTIF($A:$A,G5)</f>
        <v>4</v>
      </c>
      <c r="I5" s="34" t="n">
        <f aca="false">COUNTIF($C:$C,G5)</f>
        <v>8</v>
      </c>
      <c r="J5" s="35" t="n">
        <f aca="false">IF(I5,H5/I5,H5)</f>
        <v>0.5</v>
      </c>
      <c r="K5" s="34" t="n">
        <f aca="false">IFERROR(GETPIVOTDATA("Points",$R$2,"Sniper",G5),0)</f>
        <v>4</v>
      </c>
      <c r="L5" s="34" t="n">
        <f aca="false">IFERROR(GETPIVOTDATA("Points",$R$2,"Snipee",G5),0)</f>
        <v>11</v>
      </c>
      <c r="M5" s="124" t="n">
        <f aca="false">IF(L5,K5/L5,K5)</f>
        <v>0.363636363636364</v>
      </c>
      <c r="N5" s="35" t="n">
        <f aca="false">IF(H5,K5/H5,0)</f>
        <v>1</v>
      </c>
      <c r="O5" s="35" t="n">
        <f aca="false">IF(I5,L5/I5,0)</f>
        <v>1.375</v>
      </c>
      <c r="P5" s="125" t="n">
        <f aca="false">IFERROR(VLOOKUP(G5,R:AG,16,FALSE())/12,0)</f>
        <v>0.166666666666667</v>
      </c>
      <c r="Q5" s="8"/>
      <c r="R5" s="129" t="s">
        <v>39</v>
      </c>
      <c r="S5" s="105" t="n">
        <v>29</v>
      </c>
      <c r="T5" s="106" t="n">
        <v>14</v>
      </c>
      <c r="U5" s="106"/>
      <c r="V5" s="106" t="n">
        <v>23</v>
      </c>
      <c r="W5" s="106" t="n">
        <v>4</v>
      </c>
      <c r="X5" s="106" t="n">
        <v>9</v>
      </c>
      <c r="Y5" s="106" t="n">
        <v>3</v>
      </c>
      <c r="Z5" s="106" t="n">
        <v>4</v>
      </c>
      <c r="AA5" s="106"/>
      <c r="AB5" s="106" t="n">
        <v>3</v>
      </c>
      <c r="AC5" s="106" t="n">
        <v>1</v>
      </c>
      <c r="AD5" s="107" t="n">
        <v>1</v>
      </c>
      <c r="AE5" s="108" t="n">
        <v>91</v>
      </c>
      <c r="AG5" s="66" t="n">
        <f aca="false">IF(COUNT(S5:AF5)&lt;&gt;0,COUNT(S5:AF5)-1,"")</f>
        <v>10</v>
      </c>
      <c r="AK5" s="45" t="n">
        <f aca="false">COUNTIF(I3:I14,AM5)</f>
        <v>0</v>
      </c>
      <c r="AL5" s="46" t="str">
        <f aca="false">$G$42</f>
        <v>Carter</v>
      </c>
      <c r="AM5" s="40" t="e">
        <f aca="false">maxine(I3:I14)</f>
        <v>#NAME?</v>
      </c>
      <c r="AN5" s="41" t="s">
        <v>54</v>
      </c>
      <c r="AO5" s="47" t="e">
        <f aca="false">maxine(I19:I22)</f>
        <v>#NAME?</v>
      </c>
      <c r="AP5" s="49" t="str">
        <f aca="false">$G$88</f>
        <v>Tenors</v>
      </c>
      <c r="AQ5" s="45" t="n">
        <f aca="false">COUNTIF(I19:I22,AO5)</f>
        <v>0</v>
      </c>
    </row>
    <row r="6" customFormat="false" ht="14.25" hidden="false" customHeight="true" outlineLevel="0" collapsed="false">
      <c r="A6" s="94" t="s">
        <v>30</v>
      </c>
      <c r="B6" s="95" t="n">
        <v>1</v>
      </c>
      <c r="C6" s="96" t="s">
        <v>1151</v>
      </c>
      <c r="D6" s="17" t="s">
        <v>1451</v>
      </c>
      <c r="E6" s="6"/>
      <c r="F6" s="32"/>
      <c r="G6" s="33" t="s">
        <v>41</v>
      </c>
      <c r="H6" s="34" t="n">
        <f aca="false">COUNTIF($A:$A,G6)</f>
        <v>43</v>
      </c>
      <c r="I6" s="34" t="n">
        <f aca="false">COUNTIF($C:$C,G6)</f>
        <v>31</v>
      </c>
      <c r="J6" s="35" t="n">
        <f aca="false">IF(I6,H6/I6,H6)</f>
        <v>1.38709677419355</v>
      </c>
      <c r="K6" s="34" t="n">
        <f aca="false">IFERROR(GETPIVOTDATA("Points",$R$2,"Sniper",G6),0)</f>
        <v>0</v>
      </c>
      <c r="L6" s="34" t="n">
        <f aca="false">IFERROR(GETPIVOTDATA("Points",$R$2,"Snipee",G6),0)</f>
        <v>0</v>
      </c>
      <c r="M6" s="124" t="n">
        <f aca="false">IF(L6,K6/L6,K6)</f>
        <v>0</v>
      </c>
      <c r="N6" s="35" t="n">
        <f aca="false">IF(H6,K6/H6,0)</f>
        <v>0</v>
      </c>
      <c r="O6" s="35" t="n">
        <f aca="false">IF(I6,L6/I6,0)</f>
        <v>0</v>
      </c>
      <c r="P6" s="125" t="n">
        <f aca="false">IFERROR(VLOOKUP(G6,R:AG,16,FALSE())/12,0)</f>
        <v>0</v>
      </c>
      <c r="Q6" s="8"/>
      <c r="R6" s="129" t="s">
        <v>1447</v>
      </c>
      <c r="S6" s="105" t="n">
        <v>7</v>
      </c>
      <c r="T6" s="106" t="n">
        <v>15</v>
      </c>
      <c r="U6" s="106" t="n">
        <v>7</v>
      </c>
      <c r="V6" s="106" t="n">
        <v>5</v>
      </c>
      <c r="W6" s="106" t="n">
        <v>13</v>
      </c>
      <c r="X6" s="106"/>
      <c r="Y6" s="106" t="n">
        <v>10</v>
      </c>
      <c r="Z6" s="106" t="n">
        <v>4</v>
      </c>
      <c r="AA6" s="106" t="n">
        <v>6</v>
      </c>
      <c r="AB6" s="106"/>
      <c r="AC6" s="106" t="n">
        <v>2</v>
      </c>
      <c r="AD6" s="107" t="n">
        <v>3</v>
      </c>
      <c r="AE6" s="108" t="n">
        <v>72</v>
      </c>
      <c r="AG6" s="66" t="n">
        <f aca="false">IF(COUNT(S6:AF6)&lt;&gt;0,COUNT(S6:AF6)-1,"")</f>
        <v>10</v>
      </c>
      <c r="AK6" s="45" t="n">
        <f aca="false">COUNTIF(K3:K14,AM6)</f>
        <v>0</v>
      </c>
      <c r="AL6" s="46" t="str">
        <f aca="false">$Q$26</f>
        <v>David</v>
      </c>
      <c r="AM6" s="40" t="e">
        <f aca="false">maxine(K3:K14)</f>
        <v>#NAME?</v>
      </c>
      <c r="AN6" s="41" t="s">
        <v>59</v>
      </c>
      <c r="AO6" s="47" t="e">
        <f aca="false">maxine(K19:K22)</f>
        <v>#NAME?</v>
      </c>
      <c r="AP6" s="49" t="str">
        <f aca="false">$Q$77</f>
        <v>Leads</v>
      </c>
      <c r="AQ6" s="45" t="n">
        <f aca="false">COUNTIF(K19:K22,AO6)</f>
        <v>0</v>
      </c>
    </row>
    <row r="7" customFormat="false" ht="14.25" hidden="false" customHeight="true" outlineLevel="0" collapsed="false">
      <c r="A7" s="94" t="s">
        <v>1447</v>
      </c>
      <c r="B7" s="95" t="n">
        <v>2</v>
      </c>
      <c r="C7" s="96" t="s">
        <v>39</v>
      </c>
      <c r="D7" s="17" t="s">
        <v>1452</v>
      </c>
      <c r="E7" s="6"/>
      <c r="F7" s="32"/>
      <c r="G7" s="33" t="s">
        <v>1151</v>
      </c>
      <c r="H7" s="34" t="n">
        <f aca="false">COUNTIF($A:$A,G7)</f>
        <v>87</v>
      </c>
      <c r="I7" s="34" t="n">
        <f aca="false">COUNTIF($C:$C,G7)</f>
        <v>51</v>
      </c>
      <c r="J7" s="35" t="n">
        <f aca="false">IF(I7,H7/I7,H7)</f>
        <v>1.70588235294118</v>
      </c>
      <c r="K7" s="34" t="n">
        <f aca="false">IFERROR(GETPIVOTDATA("Points",$R$2,"Sniper",G7),0)</f>
        <v>115</v>
      </c>
      <c r="L7" s="34" t="n">
        <f aca="false">IFERROR(GETPIVOTDATA("Points",$R$2,"Snipee",G7),0)</f>
        <v>45</v>
      </c>
      <c r="M7" s="124" t="n">
        <f aca="false">IF(L7,K7/L7,K7)</f>
        <v>2.55555555555556</v>
      </c>
      <c r="N7" s="35" t="n">
        <f aca="false">IF(H7,K7/H7,0)</f>
        <v>1.32183908045977</v>
      </c>
      <c r="O7" s="35" t="n">
        <f aca="false">IF(I7,L7/I7,0)</f>
        <v>0.882352941176471</v>
      </c>
      <c r="P7" s="125" t="n">
        <f aca="false">IFERROR(VLOOKUP(G7,R:AG,16,FALSE())/12,0)</f>
        <v>0.75</v>
      </c>
      <c r="Q7" s="8"/>
      <c r="R7" s="129" t="s">
        <v>30</v>
      </c>
      <c r="S7" s="105" t="n">
        <v>11</v>
      </c>
      <c r="T7" s="106"/>
      <c r="U7" s="106" t="n">
        <v>6</v>
      </c>
      <c r="V7" s="106" t="n">
        <v>8</v>
      </c>
      <c r="W7" s="106" t="n">
        <v>1</v>
      </c>
      <c r="X7" s="106" t="n">
        <v>19</v>
      </c>
      <c r="Y7" s="106" t="n">
        <v>5</v>
      </c>
      <c r="Z7" s="106" t="n">
        <v>4</v>
      </c>
      <c r="AA7" s="106" t="n">
        <v>4</v>
      </c>
      <c r="AB7" s="106" t="n">
        <v>8</v>
      </c>
      <c r="AC7" s="106" t="n">
        <v>4</v>
      </c>
      <c r="AD7" s="107"/>
      <c r="AE7" s="108" t="n">
        <v>70</v>
      </c>
      <c r="AG7" s="66" t="n">
        <f aca="false">IF(COUNT(S7:AF7)&lt;&gt;0,COUNT(S7:AF7)-1,"")</f>
        <v>10</v>
      </c>
      <c r="AK7" s="45" t="n">
        <f aca="false">COUNTIF(L3:L14,AM7)</f>
        <v>0</v>
      </c>
      <c r="AL7" s="46" t="str">
        <f aca="false">$Q$42</f>
        <v>Reuben</v>
      </c>
      <c r="AM7" s="40" t="e">
        <f aca="false">maxine(L3:L14)</f>
        <v>#NAME?</v>
      </c>
      <c r="AN7" s="41" t="s">
        <v>63</v>
      </c>
      <c r="AO7" s="47" t="e">
        <f aca="false">maxine(L19:L22)</f>
        <v>#NAME?</v>
      </c>
      <c r="AP7" s="49" t="str">
        <f aca="false">$Q$88</f>
        <v>Tenors</v>
      </c>
      <c r="AQ7" s="45" t="n">
        <f aca="false">COUNTIF(L19:L22,AO7)</f>
        <v>0</v>
      </c>
    </row>
    <row r="8" customFormat="false" ht="14.25" hidden="false" customHeight="true" outlineLevel="0" collapsed="false">
      <c r="A8" s="94" t="s">
        <v>39</v>
      </c>
      <c r="B8" s="95" t="n">
        <v>2</v>
      </c>
      <c r="C8" s="96" t="s">
        <v>1443</v>
      </c>
      <c r="D8" s="17" t="s">
        <v>1453</v>
      </c>
      <c r="E8" s="6"/>
      <c r="F8" s="32"/>
      <c r="G8" s="33" t="s">
        <v>36</v>
      </c>
      <c r="H8" s="34" t="n">
        <f aca="false">COUNTIF($A:$A,G8)</f>
        <v>38</v>
      </c>
      <c r="I8" s="34" t="n">
        <f aca="false">COUNTIF($C:$C,G8)</f>
        <v>42</v>
      </c>
      <c r="J8" s="35" t="n">
        <f aca="false">IF(I8,H8/I8,H8)</f>
        <v>0.904761904761905</v>
      </c>
      <c r="K8" s="34" t="n">
        <f aca="false">IFERROR(GETPIVOTDATA("Points",$R$2,"Sniper",G8),0)</f>
        <v>51</v>
      </c>
      <c r="L8" s="34" t="n">
        <f aca="false">IFERROR(GETPIVOTDATA("Points",$R$2,"Snipee",G8),0)</f>
        <v>54</v>
      </c>
      <c r="M8" s="124" t="n">
        <f aca="false">IF(L8,K8/L8,K8)</f>
        <v>0.944444444444444</v>
      </c>
      <c r="N8" s="35" t="n">
        <f aca="false">IF(H8,K8/H8,0)</f>
        <v>1.34210526315789</v>
      </c>
      <c r="O8" s="35" t="n">
        <f aca="false">IF(I8,L8/I8,0)</f>
        <v>1.28571428571429</v>
      </c>
      <c r="P8" s="125" t="n">
        <f aca="false">IFERROR(VLOOKUP(G8,R:AG,16,FALSE())/12,0)</f>
        <v>0.75</v>
      </c>
      <c r="Q8" s="8"/>
      <c r="R8" s="129" t="s">
        <v>11</v>
      </c>
      <c r="S8" s="105" t="n">
        <v>14</v>
      </c>
      <c r="T8" s="106" t="n">
        <v>12</v>
      </c>
      <c r="U8" s="106" t="n">
        <v>1</v>
      </c>
      <c r="V8" s="106" t="n">
        <v>2</v>
      </c>
      <c r="W8" s="106" t="n">
        <v>13</v>
      </c>
      <c r="X8" s="106" t="n">
        <v>6</v>
      </c>
      <c r="Y8" s="106"/>
      <c r="Z8" s="106" t="n">
        <v>2</v>
      </c>
      <c r="AA8" s="106"/>
      <c r="AB8" s="106" t="n">
        <v>2</v>
      </c>
      <c r="AC8" s="106" t="n">
        <v>1</v>
      </c>
      <c r="AD8" s="107"/>
      <c r="AE8" s="108" t="n">
        <v>53</v>
      </c>
      <c r="AG8" s="66" t="n">
        <f aca="false">IF(COUNT(S8:AF8)&lt;&gt;0,COUNT(S8:AF8)-1,"")</f>
        <v>9</v>
      </c>
      <c r="AK8" s="45" t="n">
        <f aca="false">COUNTIF(J3:J14,AM8)</f>
        <v>0</v>
      </c>
      <c r="AL8" s="51" t="str">
        <f aca="false">$G$58</f>
        <v>Sam</v>
      </c>
      <c r="AM8" s="47" t="e">
        <f aca="false">maxine(J3:J14)</f>
        <v>#NAME?</v>
      </c>
      <c r="AN8" s="41" t="s">
        <v>67</v>
      </c>
      <c r="AO8" s="47" t="e">
        <f aca="false">maxine(J19:J22)</f>
        <v>#NAME?</v>
      </c>
      <c r="AP8" s="49" t="str">
        <f aca="false">$G$99</f>
        <v>Baris</v>
      </c>
      <c r="AQ8" s="45" t="n">
        <f aca="false">COUNTIF(J19:J22,AO8)</f>
        <v>0</v>
      </c>
    </row>
    <row r="9" customFormat="false" ht="14.25" hidden="false" customHeight="true" outlineLevel="0" collapsed="false">
      <c r="A9" s="94" t="s">
        <v>1443</v>
      </c>
      <c r="B9" s="95" t="n">
        <v>2</v>
      </c>
      <c r="C9" s="96" t="s">
        <v>35</v>
      </c>
      <c r="D9" s="17" t="s">
        <v>1454</v>
      </c>
      <c r="E9" s="6"/>
      <c r="F9" s="17"/>
      <c r="G9" s="33" t="s">
        <v>1154</v>
      </c>
      <c r="H9" s="34" t="n">
        <f aca="false">COUNTIF($A:$A,G9)</f>
        <v>17</v>
      </c>
      <c r="I9" s="34" t="n">
        <f aca="false">COUNTIF($C:$C,G9)</f>
        <v>12</v>
      </c>
      <c r="J9" s="35" t="n">
        <f aca="false">IF(I9,H9/I9,H9)</f>
        <v>1.41666666666667</v>
      </c>
      <c r="K9" s="34" t="n">
        <f aca="false">IFERROR(GETPIVOTDATA("Points",$R$2,"Sniper",G9),0)</f>
        <v>28</v>
      </c>
      <c r="L9" s="34" t="n">
        <f aca="false">IFERROR(GETPIVOTDATA("Points",$R$2,"Snipee",G9),0)</f>
        <v>13</v>
      </c>
      <c r="M9" s="124" t="n">
        <f aca="false">IF(L9,K9/L9,K9)</f>
        <v>2.15384615384615</v>
      </c>
      <c r="N9" s="35" t="n">
        <f aca="false">IF(H9,K9/H9,0)</f>
        <v>1.64705882352941</v>
      </c>
      <c r="O9" s="35" t="n">
        <f aca="false">IF(I9,L9/I9,0)</f>
        <v>1.08333333333333</v>
      </c>
      <c r="P9" s="125" t="n">
        <f aca="false">IFERROR(VLOOKUP(G9,R:AG,16,FALSE())/12,0)</f>
        <v>0.75</v>
      </c>
      <c r="Q9" s="8"/>
      <c r="R9" s="129" t="s">
        <v>36</v>
      </c>
      <c r="S9" s="105" t="n">
        <v>16</v>
      </c>
      <c r="T9" s="106" t="n">
        <v>4</v>
      </c>
      <c r="U9" s="106" t="n">
        <v>14</v>
      </c>
      <c r="V9" s="106"/>
      <c r="W9" s="106" t="n">
        <v>8</v>
      </c>
      <c r="X9" s="106" t="n">
        <v>3</v>
      </c>
      <c r="Y9" s="106"/>
      <c r="Z9" s="106" t="n">
        <v>1</v>
      </c>
      <c r="AA9" s="106" t="n">
        <v>2</v>
      </c>
      <c r="AB9" s="106" t="n">
        <v>1</v>
      </c>
      <c r="AC9" s="106"/>
      <c r="AD9" s="107" t="n">
        <v>2</v>
      </c>
      <c r="AE9" s="108" t="n">
        <v>51</v>
      </c>
      <c r="AG9" s="66" t="n">
        <f aca="false">IF(COUNT(S9:AF9)&lt;&gt;0,COUNT(S9:AF9)-1,"")</f>
        <v>9</v>
      </c>
      <c r="AK9" s="45" t="n">
        <f aca="false">COUNTIF(J3:J14,AM9)</f>
        <v>1</v>
      </c>
      <c r="AL9" s="51" t="str">
        <f aca="false">$G$70</f>
        <v>Reuben</v>
      </c>
      <c r="AM9" s="47" t="n">
        <f aca="false">MIN(J3:J14)</f>
        <v>0.461538461538462</v>
      </c>
      <c r="AN9" s="41" t="s">
        <v>71</v>
      </c>
      <c r="AO9" s="47" t="n">
        <f aca="false">MIN(J19:J22)</f>
        <v>0.544642857142857</v>
      </c>
      <c r="AP9" s="49" t="str">
        <f aca="false">$G$96</f>
        <v>Basses</v>
      </c>
      <c r="AQ9" s="45" t="n">
        <f aca="false">COUNTIF(J19:J22,AO9)</f>
        <v>1</v>
      </c>
    </row>
    <row r="10" customFormat="false" ht="14.25" hidden="false" customHeight="true" outlineLevel="0" collapsed="false">
      <c r="A10" s="94" t="s">
        <v>1447</v>
      </c>
      <c r="B10" s="95" t="n">
        <v>1</v>
      </c>
      <c r="C10" s="96" t="s">
        <v>1443</v>
      </c>
      <c r="D10" s="17" t="s">
        <v>1455</v>
      </c>
      <c r="E10" s="6"/>
      <c r="F10" s="17"/>
      <c r="G10" s="33" t="s">
        <v>1447</v>
      </c>
      <c r="H10" s="34" t="n">
        <f aca="false">COUNTIF($A:$A,G10)</f>
        <v>43</v>
      </c>
      <c r="I10" s="34" t="n">
        <f aca="false">COUNTIF($C:$C,G10)</f>
        <v>17</v>
      </c>
      <c r="J10" s="35" t="n">
        <f aca="false">IF(I10,H10/I10,H10)</f>
        <v>2.52941176470588</v>
      </c>
      <c r="K10" s="34" t="n">
        <f aca="false">IFERROR(GETPIVOTDATA("Points",$R$2,"Sniper",G10),0)</f>
        <v>72</v>
      </c>
      <c r="L10" s="34" t="n">
        <f aca="false">IFERROR(GETPIVOTDATA("Points",$R$2,"Snipee",G10),0)</f>
        <v>21</v>
      </c>
      <c r="M10" s="124" t="n">
        <f aca="false">IF(L10,K10/L10,K10)</f>
        <v>3.42857142857143</v>
      </c>
      <c r="N10" s="35" t="n">
        <f aca="false">IF(H10,K10/H10,0)</f>
        <v>1.67441860465116</v>
      </c>
      <c r="O10" s="35" t="n">
        <f aca="false">IF(I10,L10/I10,0)</f>
        <v>1.23529411764706</v>
      </c>
      <c r="P10" s="125" t="n">
        <f aca="false">IFERROR(VLOOKUP(G10,R:AG,16,FALSE())/12,0)</f>
        <v>0.833333333333333</v>
      </c>
      <c r="Q10" s="8"/>
      <c r="R10" s="129" t="s">
        <v>1154</v>
      </c>
      <c r="S10" s="105" t="n">
        <v>7</v>
      </c>
      <c r="T10" s="106" t="n">
        <v>3</v>
      </c>
      <c r="U10" s="106" t="n">
        <v>6</v>
      </c>
      <c r="V10" s="106" t="n">
        <v>2</v>
      </c>
      <c r="W10" s="106" t="n">
        <v>1</v>
      </c>
      <c r="X10" s="106"/>
      <c r="Y10" s="106" t="n">
        <v>2</v>
      </c>
      <c r="Z10" s="106"/>
      <c r="AA10" s="106" t="n">
        <v>2</v>
      </c>
      <c r="AB10" s="106" t="n">
        <v>3</v>
      </c>
      <c r="AC10" s="106"/>
      <c r="AD10" s="107" t="n">
        <v>2</v>
      </c>
      <c r="AE10" s="108" t="n">
        <v>28</v>
      </c>
      <c r="AG10" s="66" t="n">
        <f aca="false">IF(COUNT(S10:AF10)&lt;&gt;0,COUNT(S10:AF10)-1,"")</f>
        <v>9</v>
      </c>
      <c r="AK10" s="45" t="n">
        <f aca="false">COUNTIF(M3:M14,AM10)</f>
        <v>0</v>
      </c>
      <c r="AL10" s="51" t="str">
        <f aca="false">$Q$58</f>
        <v>Sam</v>
      </c>
      <c r="AM10" s="47" t="e">
        <f aca="false">maxine(M3:M14)</f>
        <v>#NAME?</v>
      </c>
      <c r="AN10" s="41" t="s">
        <v>74</v>
      </c>
      <c r="AO10" s="47" t="e">
        <f aca="false">maxine(M19:M22)</f>
        <v>#NAME?</v>
      </c>
      <c r="AP10" s="49" t="str">
        <f aca="false">$Q$99</f>
        <v>Baris</v>
      </c>
      <c r="AQ10" s="45" t="n">
        <f aca="false">COUNTIF(M19:M22,AO10)</f>
        <v>0</v>
      </c>
    </row>
    <row r="11" customFormat="false" ht="14.25" hidden="false" customHeight="true" outlineLevel="0" collapsed="false">
      <c r="A11" s="94" t="s">
        <v>30</v>
      </c>
      <c r="B11" s="95" t="n">
        <v>2</v>
      </c>
      <c r="C11" s="96" t="s">
        <v>35</v>
      </c>
      <c r="D11" s="17" t="s">
        <v>1456</v>
      </c>
      <c r="E11" s="6"/>
      <c r="F11" s="32"/>
      <c r="G11" s="33" t="s">
        <v>39</v>
      </c>
      <c r="H11" s="34" t="n">
        <f aca="false">COUNTIF($A:$A,G11)</f>
        <v>60</v>
      </c>
      <c r="I11" s="34" t="n">
        <f aca="false">COUNTIF($C:$C,G11)</f>
        <v>41</v>
      </c>
      <c r="J11" s="35" t="n">
        <f aca="false">IF(I11,H11/I11,H11)</f>
        <v>1.46341463414634</v>
      </c>
      <c r="K11" s="34" t="n">
        <f aca="false">IFERROR(GETPIVOTDATA("Points",$R$2,"Sniper",G11),0)</f>
        <v>91</v>
      </c>
      <c r="L11" s="34" t="n">
        <f aca="false">IFERROR(GETPIVOTDATA("Points",$R$2,"Snipee",G11),0)</f>
        <v>55</v>
      </c>
      <c r="M11" s="124" t="n">
        <f aca="false">IF(L11,K11/L11,K11)</f>
        <v>1.65454545454545</v>
      </c>
      <c r="N11" s="35" t="n">
        <f aca="false">IF(H11,K11/H11,0)</f>
        <v>1.51666666666667</v>
      </c>
      <c r="O11" s="35" t="n">
        <f aca="false">IF(I11,L11/I11,0)</f>
        <v>1.34146341463415</v>
      </c>
      <c r="P11" s="125" t="n">
        <f aca="false">IFERROR(VLOOKUP(G11,R:AG,16,FALSE())/12,0)</f>
        <v>0.833333333333333</v>
      </c>
      <c r="Q11" s="8"/>
      <c r="R11" s="129" t="s">
        <v>1443</v>
      </c>
      <c r="S11" s="105" t="n">
        <v>4</v>
      </c>
      <c r="T11" s="106" t="n">
        <v>10</v>
      </c>
      <c r="U11" s="106" t="n">
        <v>2</v>
      </c>
      <c r="V11" s="106" t="n">
        <v>1</v>
      </c>
      <c r="W11" s="106" t="n">
        <v>2</v>
      </c>
      <c r="X11" s="106"/>
      <c r="Y11" s="106" t="n">
        <v>1</v>
      </c>
      <c r="Z11" s="106"/>
      <c r="AA11" s="106" t="n">
        <v>4</v>
      </c>
      <c r="AB11" s="106"/>
      <c r="AC11" s="106"/>
      <c r="AD11" s="107" t="n">
        <v>3</v>
      </c>
      <c r="AE11" s="108" t="n">
        <v>27</v>
      </c>
      <c r="AG11" s="66" t="n">
        <f aca="false">IF(COUNT(S11:AF11)&lt;&gt;0,COUNT(S11:AF11)-1,"")</f>
        <v>8</v>
      </c>
      <c r="AK11" s="45" t="n">
        <f aca="false">COUNTIF(M3:M14,AM11)</f>
        <v>1</v>
      </c>
      <c r="AL11" s="51" t="str">
        <f aca="false">$Q$70</f>
        <v>Reuben</v>
      </c>
      <c r="AM11" s="47" t="n">
        <f aca="false">MIN(M3:M14)</f>
        <v>0</v>
      </c>
      <c r="AN11" s="41" t="s">
        <v>79</v>
      </c>
      <c r="AO11" s="47" t="n">
        <f aca="false">MIN(M19:M22)</f>
        <v>0.5</v>
      </c>
      <c r="AP11" s="49" t="str">
        <f aca="false">$Q$96</f>
        <v>Basses</v>
      </c>
      <c r="AQ11" s="45" t="n">
        <f aca="false">COUNTIF(M19:M22,AO11)</f>
        <v>1</v>
      </c>
    </row>
    <row r="12" customFormat="false" ht="14.25" hidden="false" customHeight="true" outlineLevel="0" collapsed="false">
      <c r="A12" s="94" t="s">
        <v>11</v>
      </c>
      <c r="B12" s="95" t="n">
        <v>2</v>
      </c>
      <c r="C12" s="96" t="s">
        <v>30</v>
      </c>
      <c r="D12" s="17" t="s">
        <v>1457</v>
      </c>
      <c r="E12" s="6" t="n">
        <v>0</v>
      </c>
      <c r="F12" s="32"/>
      <c r="G12" s="33" t="s">
        <v>43</v>
      </c>
      <c r="H12" s="34" t="n">
        <f aca="false">COUNTIF($A:$A,G12)</f>
        <v>10</v>
      </c>
      <c r="I12" s="34" t="n">
        <f aca="false">COUNTIF($C:$C,G12)</f>
        <v>12</v>
      </c>
      <c r="J12" s="35" t="n">
        <f aca="false">IF(I12,H12/I12,H12)</f>
        <v>0.833333333333333</v>
      </c>
      <c r="K12" s="34" t="n">
        <f aca="false">IFERROR(GETPIVOTDATA("Points",$R$2,"Sniper",G12),0)</f>
        <v>16</v>
      </c>
      <c r="L12" s="34" t="n">
        <f aca="false">IFERROR(GETPIVOTDATA("Points",$R$2,"Snipee",G12),0)</f>
        <v>22</v>
      </c>
      <c r="M12" s="124" t="n">
        <f aca="false">IF(L12,K12/L12,K12)</f>
        <v>0.727272727272727</v>
      </c>
      <c r="N12" s="35" t="n">
        <f aca="false">IF(H12,K12/H12,0)</f>
        <v>1.6</v>
      </c>
      <c r="O12" s="35" t="n">
        <f aca="false">IF(I12,L12/I12,0)</f>
        <v>1.83333333333333</v>
      </c>
      <c r="P12" s="125" t="n">
        <f aca="false">IFERROR(VLOOKUP(G12,R:AG,16,FALSE())/12,0)</f>
        <v>0.5</v>
      </c>
      <c r="Q12" s="8"/>
      <c r="R12" s="129" t="s">
        <v>42</v>
      </c>
      <c r="S12" s="105" t="n">
        <v>8</v>
      </c>
      <c r="T12" s="106" t="n">
        <v>3</v>
      </c>
      <c r="U12" s="106" t="n">
        <v>3</v>
      </c>
      <c r="V12" s="106" t="n">
        <v>1</v>
      </c>
      <c r="W12" s="106"/>
      <c r="X12" s="106" t="n">
        <v>5</v>
      </c>
      <c r="Y12" s="106"/>
      <c r="Z12" s="106" t="n">
        <v>2</v>
      </c>
      <c r="AA12" s="106"/>
      <c r="AB12" s="106" t="n">
        <v>3</v>
      </c>
      <c r="AC12" s="106" t="n">
        <v>1</v>
      </c>
      <c r="AD12" s="107"/>
      <c r="AE12" s="108" t="n">
        <v>26</v>
      </c>
      <c r="AG12" s="66" t="n">
        <f aca="false">IF(COUNT(S12:AF12)&lt;&gt;0,COUNT(S12:AF12)-1,"")</f>
        <v>8</v>
      </c>
    </row>
    <row r="13" customFormat="false" ht="14.25" hidden="false" customHeight="true" outlineLevel="0" collapsed="false">
      <c r="A13" s="94" t="s">
        <v>1154</v>
      </c>
      <c r="B13" s="95" t="n">
        <v>2</v>
      </c>
      <c r="C13" s="96" t="s">
        <v>41</v>
      </c>
      <c r="D13" s="17" t="s">
        <v>1458</v>
      </c>
      <c r="E13" s="6"/>
      <c r="F13" s="32"/>
      <c r="G13" s="33" t="s">
        <v>11</v>
      </c>
      <c r="H13" s="34" t="n">
        <f aca="false">COUNTIF($A:$A,G13)</f>
        <v>32</v>
      </c>
      <c r="I13" s="34" t="n">
        <f aca="false">COUNTIF($C:$C,G13)</f>
        <v>18</v>
      </c>
      <c r="J13" s="35" t="n">
        <f aca="false">IF(I13,H13/I13,H13)</f>
        <v>1.77777777777778</v>
      </c>
      <c r="K13" s="34" t="n">
        <f aca="false">IFERROR(GETPIVOTDATA("Points",$R$2,"Sniper",G13),0)</f>
        <v>53</v>
      </c>
      <c r="L13" s="34" t="n">
        <f aca="false">IFERROR(GETPIVOTDATA("Points",$R$2,"Snipee",G13),0)</f>
        <v>26</v>
      </c>
      <c r="M13" s="124" t="n">
        <f aca="false">IF(L13,K13/L13,K13)</f>
        <v>2.03846153846154</v>
      </c>
      <c r="N13" s="35" t="n">
        <f aca="false">IF(H13,K13/H13,0)</f>
        <v>1.65625</v>
      </c>
      <c r="O13" s="35" t="n">
        <f aca="false">IF(I13,L13/I13,0)</f>
        <v>1.44444444444444</v>
      </c>
      <c r="P13" s="125" t="n">
        <f aca="false">IFERROR(VLOOKUP(G13,R:AG,16,FALSE())/12,0)</f>
        <v>0.75</v>
      </c>
      <c r="Q13" s="8"/>
      <c r="R13" s="129" t="s">
        <v>43</v>
      </c>
      <c r="S13" s="105" t="n">
        <v>4</v>
      </c>
      <c r="T13" s="106" t="n">
        <v>3</v>
      </c>
      <c r="U13" s="106"/>
      <c r="V13" s="106"/>
      <c r="W13" s="106" t="n">
        <v>2</v>
      </c>
      <c r="X13" s="106" t="n">
        <v>3</v>
      </c>
      <c r="Y13" s="106"/>
      <c r="Z13" s="106" t="n">
        <v>2</v>
      </c>
      <c r="AA13" s="106"/>
      <c r="AB13" s="106"/>
      <c r="AC13" s="106" t="n">
        <v>2</v>
      </c>
      <c r="AD13" s="107"/>
      <c r="AE13" s="108" t="n">
        <v>16</v>
      </c>
      <c r="AG13" s="66" t="n">
        <f aca="false">IF(COUNT(S13:AF13)&lt;&gt;0,COUNT(S13:AF13)-1,"")</f>
        <v>6</v>
      </c>
      <c r="AI13" s="7" t="s">
        <v>85</v>
      </c>
      <c r="AJ13" s="7"/>
      <c r="AK13" s="7"/>
      <c r="AL13" s="7"/>
      <c r="AM13" s="7"/>
      <c r="AN13" s="7"/>
      <c r="AO13" s="7"/>
      <c r="AP13" s="7"/>
      <c r="AQ13" s="7"/>
      <c r="AR13" s="7"/>
    </row>
    <row r="14" customFormat="false" ht="14.25" hidden="false" customHeight="true" outlineLevel="0" collapsed="false">
      <c r="A14" s="94" t="s">
        <v>39</v>
      </c>
      <c r="B14" s="95" t="n">
        <v>1</v>
      </c>
      <c r="C14" s="96" t="s">
        <v>40</v>
      </c>
      <c r="D14" s="17" t="s">
        <v>1459</v>
      </c>
      <c r="E14" s="6"/>
      <c r="F14" s="32"/>
      <c r="G14" s="33" t="s">
        <v>1443</v>
      </c>
      <c r="H14" s="34" t="n">
        <f aca="false">COUNTIF($A:$A,G14)</f>
        <v>19</v>
      </c>
      <c r="I14" s="34" t="n">
        <f aca="false">COUNTIF($C:$C,G14)</f>
        <v>19</v>
      </c>
      <c r="J14" s="35" t="n">
        <f aca="false">IF(I14,H14/I14,H14)</f>
        <v>1</v>
      </c>
      <c r="K14" s="34" t="n">
        <f aca="false">IFERROR(GETPIVOTDATA("Points",$R$2,"Sniper",G14),0)</f>
        <v>27</v>
      </c>
      <c r="L14" s="34" t="n">
        <f aca="false">IFERROR(GETPIVOTDATA("Points",$R$2,"Snipee",G14),0)</f>
        <v>24</v>
      </c>
      <c r="M14" s="124" t="n">
        <f aca="false">IF(L14,K14/L14,K14)</f>
        <v>1.125</v>
      </c>
      <c r="N14" s="35" t="n">
        <f aca="false">IF(H14,K14/H14,0)</f>
        <v>1.42105263157895</v>
      </c>
      <c r="O14" s="35" t="n">
        <f aca="false">IF(I14,L14/I14,0)</f>
        <v>1.26315789473684</v>
      </c>
      <c r="P14" s="125" t="n">
        <f aca="false">IFERROR(VLOOKUP(G14,R:AG,16,FALSE())/12,0)</f>
        <v>0.666666666666667</v>
      </c>
      <c r="Q14" s="8"/>
      <c r="R14" s="129" t="s">
        <v>40</v>
      </c>
      <c r="S14" s="109"/>
      <c r="T14" s="110"/>
      <c r="U14" s="110"/>
      <c r="V14" s="110"/>
      <c r="W14" s="110"/>
      <c r="X14" s="110"/>
      <c r="Y14" s="110"/>
      <c r="Z14" s="110" t="n">
        <v>3</v>
      </c>
      <c r="AA14" s="110"/>
      <c r="AB14" s="110" t="n">
        <v>1</v>
      </c>
      <c r="AC14" s="110"/>
      <c r="AD14" s="111"/>
      <c r="AE14" s="112" t="n">
        <v>4</v>
      </c>
      <c r="AG14" s="66" t="n">
        <f aca="false">IF(COUNT(S14:AF14)&lt;&gt;0,COUNT(S14:AF14)-1,"")</f>
        <v>2</v>
      </c>
      <c r="AI14" s="52" t="s">
        <v>88</v>
      </c>
      <c r="AJ14" s="31" t="s">
        <v>16</v>
      </c>
      <c r="AK14" s="31" t="s">
        <v>17</v>
      </c>
      <c r="AL14" s="31" t="s">
        <v>18</v>
      </c>
      <c r="AM14" s="31" t="s">
        <v>19</v>
      </c>
      <c r="AN14" s="31" t="s">
        <v>20</v>
      </c>
      <c r="AO14" s="31" t="s">
        <v>21</v>
      </c>
      <c r="AP14" s="31" t="s">
        <v>22</v>
      </c>
      <c r="AQ14" s="31" t="s">
        <v>23</v>
      </c>
      <c r="AR14" s="53" t="s">
        <v>24</v>
      </c>
    </row>
    <row r="15" customFormat="false" ht="14.25" hidden="false" customHeight="true" outlineLevel="0" collapsed="false">
      <c r="A15" s="94" t="s">
        <v>30</v>
      </c>
      <c r="B15" s="95" t="n">
        <v>2</v>
      </c>
      <c r="C15" s="96" t="s">
        <v>35</v>
      </c>
      <c r="D15" s="17" t="s">
        <v>1460</v>
      </c>
      <c r="E15" s="6"/>
      <c r="F15" s="32"/>
      <c r="G15" s="33" t="s">
        <v>35</v>
      </c>
      <c r="H15" s="34" t="n">
        <f aca="false">COUNTIF($A:$A,G15)</f>
        <v>0</v>
      </c>
      <c r="I15" s="34" t="n">
        <f aca="false">COUNTIF($C:$C,G15)</f>
        <v>63</v>
      </c>
      <c r="J15" s="35" t="n">
        <f aca="false">IF(I15,H15/I15,H15)</f>
        <v>0</v>
      </c>
      <c r="K15" s="34" t="n">
        <f aca="false">IFERROR(GETPIVOTDATA("Points",$R$2,"Sniper",G15),0)</f>
        <v>0</v>
      </c>
      <c r="L15" s="34" t="n">
        <f aca="false">IFERROR(GETPIVOTDATA("Points",$R$2,"Snipee",G15),0)</f>
        <v>120</v>
      </c>
      <c r="M15" s="124" t="n">
        <f aca="false">IF(L15,K15/L15,K15)</f>
        <v>0</v>
      </c>
      <c r="N15" s="35" t="n">
        <f aca="false">IF(H15,K15/H15,0)</f>
        <v>0</v>
      </c>
      <c r="O15" s="35" t="n">
        <f aca="false">IF(I15,L15/I15,0)</f>
        <v>1.9047619047619</v>
      </c>
      <c r="P15" s="125" t="n">
        <f aca="false">IFERROR(VLOOKUP(G15,R:AG,16,FALSE())/12,0)</f>
        <v>0</v>
      </c>
      <c r="Q15" s="8"/>
      <c r="R15" s="63" t="s">
        <v>44</v>
      </c>
      <c r="S15" s="113" t="n">
        <v>120</v>
      </c>
      <c r="T15" s="114" t="n">
        <v>108</v>
      </c>
      <c r="U15" s="114" t="n">
        <v>55</v>
      </c>
      <c r="V15" s="114" t="n">
        <v>54</v>
      </c>
      <c r="W15" s="114" t="n">
        <v>54</v>
      </c>
      <c r="X15" s="114" t="n">
        <v>45</v>
      </c>
      <c r="Y15" s="114" t="n">
        <v>26</v>
      </c>
      <c r="Z15" s="114" t="n">
        <v>24</v>
      </c>
      <c r="AA15" s="114" t="n">
        <v>22</v>
      </c>
      <c r="AB15" s="114" t="n">
        <v>21</v>
      </c>
      <c r="AC15" s="114" t="n">
        <v>13</v>
      </c>
      <c r="AD15" s="115" t="n">
        <v>11</v>
      </c>
      <c r="AE15" s="65" t="n">
        <v>553</v>
      </c>
      <c r="AG15" s="66" t="n">
        <f aca="false">IF(COUNT(S15:AF15)&lt;&gt;0,COUNT(S15:AF15)-1,"")</f>
        <v>12</v>
      </c>
      <c r="AI15" s="54" t="s">
        <v>91</v>
      </c>
      <c r="AJ15" s="55" t="n">
        <v>7.5</v>
      </c>
      <c r="AK15" s="56" t="n">
        <v>-6</v>
      </c>
      <c r="AL15" s="56" t="n">
        <v>25</v>
      </c>
      <c r="AM15" s="56" t="n">
        <v>8.5</v>
      </c>
      <c r="AN15" s="56" t="n">
        <v>-6.5</v>
      </c>
      <c r="AO15" s="56" t="n">
        <v>25</v>
      </c>
      <c r="AP15" s="56" t="n">
        <v>20</v>
      </c>
      <c r="AQ15" s="56" t="n">
        <v>-20</v>
      </c>
      <c r="AR15" s="57" t="n">
        <v>250</v>
      </c>
      <c r="AS15" s="41" t="s">
        <v>92</v>
      </c>
    </row>
    <row r="16" customFormat="false" ht="14.25" hidden="false" customHeight="true" outlineLevel="0" collapsed="false">
      <c r="A16" s="94" t="s">
        <v>11</v>
      </c>
      <c r="B16" s="95" t="n">
        <v>2</v>
      </c>
      <c r="C16" s="96" t="s">
        <v>35</v>
      </c>
      <c r="D16" s="17" t="s">
        <v>1461</v>
      </c>
      <c r="E16" s="6"/>
      <c r="F16" s="32"/>
      <c r="Q16" s="58"/>
      <c r="AG16" s="66" t="str">
        <f aca="false">IF(COUNT(S16:AE16)&lt;&gt;0,COUNT(S16:AE16)-1,"")</f>
        <v/>
      </c>
      <c r="AI16" s="130" t="s">
        <v>30</v>
      </c>
      <c r="AJ16" s="34" t="n">
        <f aca="false">H3*$AJ$15</f>
        <v>412.5</v>
      </c>
      <c r="AK16" s="59" t="n">
        <f aca="false">I3*$AK$15</f>
        <v>-438</v>
      </c>
      <c r="AL16" s="60" t="n">
        <f aca="false">J3*$AL$15</f>
        <v>18.8356164383562</v>
      </c>
      <c r="AM16" s="131" t="n">
        <f aca="false">K3*$AM$15</f>
        <v>595</v>
      </c>
      <c r="AN16" s="131" t="n">
        <f aca="false">L3*$AN$15</f>
        <v>-702</v>
      </c>
      <c r="AO16" s="132" t="n">
        <f aca="false">M3*$AO$15</f>
        <v>16.2037037037037</v>
      </c>
      <c r="AP16" s="60" t="n">
        <f aca="false">N3*$AP$15</f>
        <v>25.4545454545455</v>
      </c>
      <c r="AQ16" s="60" t="n">
        <f aca="false">O3*$AQ$15</f>
        <v>-29.5890410958904</v>
      </c>
      <c r="AR16" s="133" t="n">
        <f aca="false">P3*$AR$15</f>
        <v>208.333333333333</v>
      </c>
      <c r="AS16" s="62" t="n">
        <f aca="false">SUM(AJ16:AR16)</f>
        <v>106.738157834048</v>
      </c>
    </row>
    <row r="17" customFormat="false" ht="14.25" hidden="false" customHeight="true" outlineLevel="0" collapsed="false">
      <c r="A17" s="94" t="s">
        <v>43</v>
      </c>
      <c r="B17" s="95" t="n">
        <v>1</v>
      </c>
      <c r="C17" s="96" t="s">
        <v>1443</v>
      </c>
      <c r="D17" s="17" t="s">
        <v>1462</v>
      </c>
      <c r="E17" s="6"/>
      <c r="F17" s="32"/>
      <c r="G17" s="7" t="s">
        <v>105</v>
      </c>
      <c r="H17" s="7"/>
      <c r="I17" s="7"/>
      <c r="J17" s="7"/>
      <c r="K17" s="7"/>
      <c r="L17" s="7"/>
      <c r="M17" s="7"/>
      <c r="N17" s="7"/>
      <c r="O17" s="7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 t="str">
        <f aca="false">IF(COUNT(S17:AE17)&lt;&gt;0,COUNT(S17:AE17)-1,"")</f>
        <v/>
      </c>
      <c r="AI17" s="33" t="s">
        <v>42</v>
      </c>
      <c r="AJ17" s="34" t="n">
        <f aca="false">H4*$AJ$15</f>
        <v>135</v>
      </c>
      <c r="AK17" s="59" t="n">
        <f aca="false">I4*$AK$15</f>
        <v>-234</v>
      </c>
      <c r="AL17" s="60" t="n">
        <f aca="false">J4*$AL$15</f>
        <v>11.5384615384615</v>
      </c>
      <c r="AM17" s="131" t="n">
        <f aca="false">K4*$AM$15</f>
        <v>221</v>
      </c>
      <c r="AN17" s="131" t="n">
        <f aca="false">L4*$AN$15</f>
        <v>-351</v>
      </c>
      <c r="AO17" s="132" t="n">
        <f aca="false">M4*$AO$15</f>
        <v>12.037037037037</v>
      </c>
      <c r="AP17" s="60" t="n">
        <f aca="false">N4*$AP$15</f>
        <v>28.8888888888889</v>
      </c>
      <c r="AQ17" s="60" t="n">
        <f aca="false">O4*$AQ$15</f>
        <v>-27.6923076923077</v>
      </c>
      <c r="AR17" s="133" t="n">
        <f aca="false">P4*$AR$15</f>
        <v>166.666666666667</v>
      </c>
      <c r="AS17" s="62" t="n">
        <f aca="false">SUM(AJ17:AR17)</f>
        <v>-37.5612535612536</v>
      </c>
    </row>
    <row r="18" customFormat="false" ht="14.25" hidden="false" customHeight="true" outlineLevel="0" collapsed="false">
      <c r="A18" s="94" t="s">
        <v>1443</v>
      </c>
      <c r="B18" s="95" t="n">
        <v>1</v>
      </c>
      <c r="C18" s="96" t="s">
        <v>43</v>
      </c>
      <c r="D18" s="17" t="s">
        <v>1463</v>
      </c>
      <c r="E18" s="6"/>
      <c r="F18" s="32"/>
      <c r="G18" s="52" t="s">
        <v>108</v>
      </c>
      <c r="H18" s="31" t="s">
        <v>16</v>
      </c>
      <c r="I18" s="31" t="s">
        <v>17</v>
      </c>
      <c r="J18" s="31" t="s">
        <v>18</v>
      </c>
      <c r="K18" s="31" t="s">
        <v>19</v>
      </c>
      <c r="L18" s="31" t="s">
        <v>20</v>
      </c>
      <c r="M18" s="31" t="s">
        <v>21</v>
      </c>
      <c r="N18" s="21" t="s">
        <v>22</v>
      </c>
      <c r="O18" s="31" t="s">
        <v>23</v>
      </c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 t="str">
        <f aca="false">IF(COUNT(S18:AE18)&lt;&gt;0,COUNT(S18:AE18)-1,"")</f>
        <v/>
      </c>
      <c r="AI18" s="33" t="s">
        <v>40</v>
      </c>
      <c r="AJ18" s="34" t="n">
        <f aca="false">H5*$AJ$15</f>
        <v>30</v>
      </c>
      <c r="AK18" s="59" t="n">
        <f aca="false">I5*$AK$15</f>
        <v>-48</v>
      </c>
      <c r="AL18" s="60" t="n">
        <f aca="false">J5*$AL$15</f>
        <v>12.5</v>
      </c>
      <c r="AM18" s="131" t="n">
        <f aca="false">K5*$AM$15</f>
        <v>34</v>
      </c>
      <c r="AN18" s="131" t="n">
        <f aca="false">L5*$AN$15</f>
        <v>-71.5</v>
      </c>
      <c r="AO18" s="132" t="n">
        <f aca="false">M5*$AO$15</f>
        <v>9.09090909090909</v>
      </c>
      <c r="AP18" s="60" t="n">
        <f aca="false">N5*$AP$15</f>
        <v>20</v>
      </c>
      <c r="AQ18" s="60" t="n">
        <f aca="false">O5*$AQ$15</f>
        <v>-27.5</v>
      </c>
      <c r="AR18" s="133" t="n">
        <f aca="false">P5*$AR$15</f>
        <v>41.6666666666667</v>
      </c>
      <c r="AS18" s="62" t="n">
        <f aca="false">SUM(AJ18:AR18)</f>
        <v>0.257575757575758</v>
      </c>
    </row>
    <row r="19" customFormat="false" ht="14.25" hidden="false" customHeight="true" outlineLevel="0" collapsed="false">
      <c r="A19" s="94" t="s">
        <v>41</v>
      </c>
      <c r="B19" s="95" t="n">
        <v>1</v>
      </c>
      <c r="C19" s="96" t="s">
        <v>42</v>
      </c>
      <c r="D19" s="17" t="s">
        <v>1464</v>
      </c>
      <c r="E19" s="6"/>
      <c r="F19" s="32"/>
      <c r="G19" s="33" t="s">
        <v>111</v>
      </c>
      <c r="H19" s="67" t="n">
        <f aca="false">SUM(H3:H4)/COUNT(H3:H4)</f>
        <v>36.5</v>
      </c>
      <c r="I19" s="67" t="n">
        <f aca="false">SUM(I3:I4)/COUNT(I3:I4)</f>
        <v>56</v>
      </c>
      <c r="J19" s="68" t="n">
        <f aca="false">IF(I19,H19/I19,H19)</f>
        <v>0.651785714285714</v>
      </c>
      <c r="K19" s="67" t="n">
        <f aca="false">SUM(K3:K4)/COUNT(K3:K4)</f>
        <v>48</v>
      </c>
      <c r="L19" s="67" t="n">
        <f aca="false">SUM(L3:L4)/COUNT(L3:L4)</f>
        <v>81</v>
      </c>
      <c r="M19" s="68" t="n">
        <f aca="false">IF(L19,K19/L19,K19)</f>
        <v>0.592592592592593</v>
      </c>
      <c r="N19" s="69" t="n">
        <f aca="false">IF(H19,K19/H19,0)</f>
        <v>1.31506849315068</v>
      </c>
      <c r="O19" s="70" t="n">
        <f aca="false">IF(I19,L19/I19,0)</f>
        <v>1.44642857142857</v>
      </c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 t="str">
        <f aca="false">IF(COUNT(S19:AE19)&lt;&gt;0,COUNT(S19:AE19)-1,"")</f>
        <v/>
      </c>
      <c r="AI19" s="33" t="s">
        <v>41</v>
      </c>
      <c r="AJ19" s="34" t="n">
        <f aca="false">H6*$AJ$15</f>
        <v>322.5</v>
      </c>
      <c r="AK19" s="59" t="n">
        <f aca="false">I6*$AK$15</f>
        <v>-186</v>
      </c>
      <c r="AL19" s="60" t="n">
        <f aca="false">J6*$AL$15</f>
        <v>34.6774193548387</v>
      </c>
      <c r="AM19" s="131" t="n">
        <f aca="false">K6*$AM$15</f>
        <v>0</v>
      </c>
      <c r="AN19" s="131" t="n">
        <f aca="false">L6*$AN$15</f>
        <v>-0</v>
      </c>
      <c r="AO19" s="132" t="n">
        <f aca="false">M6*$AO$15</f>
        <v>0</v>
      </c>
      <c r="AP19" s="60" t="n">
        <f aca="false">N6*$AP$15</f>
        <v>0</v>
      </c>
      <c r="AQ19" s="60" t="n">
        <f aca="false">O6*$AQ$15</f>
        <v>-0</v>
      </c>
      <c r="AR19" s="133" t="n">
        <f aca="false">P6*$AR$15</f>
        <v>0</v>
      </c>
      <c r="AS19" s="62" t="n">
        <f aca="false">SUM(AJ19:AR19)</f>
        <v>171.177419354839</v>
      </c>
    </row>
    <row r="20" customFormat="false" ht="14.25" hidden="false" customHeight="true" outlineLevel="0" collapsed="false">
      <c r="A20" s="94" t="s">
        <v>42</v>
      </c>
      <c r="B20" s="95" t="n">
        <v>1</v>
      </c>
      <c r="C20" s="96" t="s">
        <v>41</v>
      </c>
      <c r="D20" s="17" t="s">
        <v>1465</v>
      </c>
      <c r="E20" s="6"/>
      <c r="F20" s="32"/>
      <c r="G20" s="33" t="s">
        <v>114</v>
      </c>
      <c r="H20" s="67" t="n">
        <f aca="false">SUM(H5:H8)/COUNT(H5:H8)</f>
        <v>43</v>
      </c>
      <c r="I20" s="67" t="n">
        <f aca="false">SUM(I5:I8)/COUNT(I5:I8)</f>
        <v>33</v>
      </c>
      <c r="J20" s="68" t="n">
        <f aca="false">IF(I20,H20/I20,H20)</f>
        <v>1.3030303030303</v>
      </c>
      <c r="K20" s="67" t="n">
        <f aca="false">SUM(K5:K8)/COUNT(K5:K8)</f>
        <v>42.5</v>
      </c>
      <c r="L20" s="67" t="n">
        <f aca="false">SUM(L5:L8)/COUNT(L5:L8)</f>
        <v>27.5</v>
      </c>
      <c r="M20" s="68" t="n">
        <f aca="false">IF(L20,K20/L20,K20)</f>
        <v>1.54545454545455</v>
      </c>
      <c r="N20" s="69" t="n">
        <f aca="false">IF(H20,K20/H20,0)</f>
        <v>0.988372093023256</v>
      </c>
      <c r="O20" s="70" t="n">
        <f aca="false">IF(I20,L20/I20,0)</f>
        <v>0.833333333333333</v>
      </c>
      <c r="S20" s="66"/>
      <c r="T20" s="66"/>
      <c r="U20" s="66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 t="str">
        <f aca="false">IF(COUNT(S20:AE20)&lt;&gt;0,COUNT(S20:AE20)-1,"")</f>
        <v/>
      </c>
      <c r="AI20" s="33" t="s">
        <v>1151</v>
      </c>
      <c r="AJ20" s="34" t="n">
        <f aca="false">H7*$AJ$15</f>
        <v>652.5</v>
      </c>
      <c r="AK20" s="59" t="n">
        <f aca="false">I7*$AK$15</f>
        <v>-306</v>
      </c>
      <c r="AL20" s="60" t="n">
        <f aca="false">J7*$AL$15</f>
        <v>42.6470588235294</v>
      </c>
      <c r="AM20" s="131" t="n">
        <f aca="false">K7*$AM$15</f>
        <v>977.5</v>
      </c>
      <c r="AN20" s="131" t="n">
        <f aca="false">L7*$AN$15</f>
        <v>-292.5</v>
      </c>
      <c r="AO20" s="132" t="n">
        <f aca="false">M7*$AO$15</f>
        <v>63.8888888888889</v>
      </c>
      <c r="AP20" s="60" t="n">
        <f aca="false">N7*$AP$15</f>
        <v>26.4367816091954</v>
      </c>
      <c r="AQ20" s="60" t="n">
        <f aca="false">O7*$AQ$15</f>
        <v>-17.6470588235294</v>
      </c>
      <c r="AR20" s="133" t="n">
        <f aca="false">P7*$AR$15</f>
        <v>187.5</v>
      </c>
      <c r="AS20" s="62" t="n">
        <f aca="false">SUM(AJ20:AR20)</f>
        <v>1334.32567049808</v>
      </c>
    </row>
    <row r="21" customFormat="false" ht="14.25" hidden="false" customHeight="true" outlineLevel="0" collapsed="false">
      <c r="A21" s="94" t="s">
        <v>43</v>
      </c>
      <c r="B21" s="95" t="n">
        <v>2</v>
      </c>
      <c r="C21" s="96" t="s">
        <v>42</v>
      </c>
      <c r="D21" s="17" t="s">
        <v>1466</v>
      </c>
      <c r="E21" s="6"/>
      <c r="F21" s="32"/>
      <c r="G21" s="33" t="s">
        <v>117</v>
      </c>
      <c r="H21" s="67" t="n">
        <f aca="false">SUM(H9:H11)/COUNT(H9:H11)</f>
        <v>40</v>
      </c>
      <c r="I21" s="67" t="n">
        <f aca="false">SUM(I9:I11)/COUNT(I9:I11)</f>
        <v>23.3333333333333</v>
      </c>
      <c r="J21" s="68" t="n">
        <f aca="false">IF(I21,H21/I21,H21)</f>
        <v>1.71428571428571</v>
      </c>
      <c r="K21" s="67" t="n">
        <f aca="false">SUM(K9:K11)/COUNT(K9:K11)</f>
        <v>63.6666666666667</v>
      </c>
      <c r="L21" s="67" t="n">
        <f aca="false">SUM(L9:L11)/COUNT(L9:L11)</f>
        <v>29.6666666666667</v>
      </c>
      <c r="M21" s="68" t="n">
        <f aca="false">IF(L21,K21/L21,K21)</f>
        <v>2.14606741573034</v>
      </c>
      <c r="N21" s="69" t="n">
        <f aca="false">IF(H21,K21/H21,0)</f>
        <v>1.59166666666667</v>
      </c>
      <c r="O21" s="70" t="n">
        <f aca="false">IF(I21,L21/I21,0)</f>
        <v>1.27142857142857</v>
      </c>
      <c r="S21" s="66"/>
      <c r="T21" s="66"/>
      <c r="U21" s="66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 t="str">
        <f aca="false">IF(COUNT(S21:AE21)&lt;&gt;0,COUNT(S21:AE21)-1,"")</f>
        <v/>
      </c>
      <c r="AI21" s="33" t="s">
        <v>36</v>
      </c>
      <c r="AJ21" s="34" t="n">
        <f aca="false">H8*$AJ$15</f>
        <v>285</v>
      </c>
      <c r="AK21" s="59" t="n">
        <f aca="false">I8*$AK$15</f>
        <v>-252</v>
      </c>
      <c r="AL21" s="60" t="n">
        <f aca="false">J8*$AL$15</f>
        <v>22.6190476190476</v>
      </c>
      <c r="AM21" s="131" t="n">
        <f aca="false">K8*$AM$15</f>
        <v>433.5</v>
      </c>
      <c r="AN21" s="131" t="n">
        <f aca="false">L8*$AN$15</f>
        <v>-351</v>
      </c>
      <c r="AO21" s="132" t="n">
        <f aca="false">M8*$AO$15</f>
        <v>23.6111111111111</v>
      </c>
      <c r="AP21" s="60" t="n">
        <f aca="false">N8*$AP$15</f>
        <v>26.8421052631579</v>
      </c>
      <c r="AQ21" s="60" t="n">
        <f aca="false">O8*$AQ$15</f>
        <v>-25.7142857142857</v>
      </c>
      <c r="AR21" s="133" t="n">
        <f aca="false">P8*$AR$15</f>
        <v>187.5</v>
      </c>
      <c r="AS21" s="62" t="n">
        <f aca="false">SUM(AJ21:AR21)</f>
        <v>350.357978279031</v>
      </c>
    </row>
    <row r="22" customFormat="false" ht="14.25" hidden="false" customHeight="true" outlineLevel="0" collapsed="false">
      <c r="A22" s="94" t="s">
        <v>1151</v>
      </c>
      <c r="B22" s="95" t="n">
        <v>1</v>
      </c>
      <c r="C22" s="96" t="s">
        <v>30</v>
      </c>
      <c r="D22" s="17" t="s">
        <v>1467</v>
      </c>
      <c r="E22" s="6" t="n">
        <v>1</v>
      </c>
      <c r="F22" s="17"/>
      <c r="G22" s="33" t="s">
        <v>120</v>
      </c>
      <c r="H22" s="67" t="n">
        <f aca="false">SUM(H12:H15)/COUNT(H12:H15)</f>
        <v>15.25</v>
      </c>
      <c r="I22" s="67" t="n">
        <f aca="false">SUM(I12:I15)/COUNT(I12:I15)</f>
        <v>28</v>
      </c>
      <c r="J22" s="68" t="n">
        <f aca="false">IF(I22,H22/I22,H22)</f>
        <v>0.544642857142857</v>
      </c>
      <c r="K22" s="67" t="n">
        <f aca="false">SUM(K12:K15)/COUNT(K12:K15)</f>
        <v>24</v>
      </c>
      <c r="L22" s="67" t="n">
        <f aca="false">SUM(L12:L15)/COUNT(L12:L15)</f>
        <v>48</v>
      </c>
      <c r="M22" s="68" t="n">
        <f aca="false">IF(L22,K22/L22,K22)</f>
        <v>0.5</v>
      </c>
      <c r="N22" s="69" t="n">
        <f aca="false">IF(H22,K22/H22,0)</f>
        <v>1.57377049180328</v>
      </c>
      <c r="O22" s="70" t="n">
        <f aca="false">IF(I22,L22/I22,0)</f>
        <v>1.71428571428571</v>
      </c>
      <c r="Q22" s="71"/>
      <c r="R22" s="116" t="s">
        <v>30</v>
      </c>
      <c r="S22" s="40" t="s">
        <v>595</v>
      </c>
      <c r="T22" s="117" t="s">
        <v>596</v>
      </c>
      <c r="U22" s="118" t="s">
        <v>597</v>
      </c>
      <c r="V22" s="119" t="s">
        <v>598</v>
      </c>
      <c r="AG22" s="66" t="str">
        <f aca="false">IF(COUNT(S22:AE22)&lt;&gt;0,COUNT(S22:AE22)-1,"")</f>
        <v/>
      </c>
      <c r="AI22" s="33" t="s">
        <v>1154</v>
      </c>
      <c r="AJ22" s="34" t="n">
        <f aca="false">H9*$AJ$15</f>
        <v>127.5</v>
      </c>
      <c r="AK22" s="59" t="n">
        <f aca="false">I9*$AK$15</f>
        <v>-72</v>
      </c>
      <c r="AL22" s="60" t="n">
        <f aca="false">J9*$AL$15</f>
        <v>35.4166666666667</v>
      </c>
      <c r="AM22" s="131" t="n">
        <f aca="false">K9*$AM$15</f>
        <v>238</v>
      </c>
      <c r="AN22" s="131" t="n">
        <f aca="false">L9*$AN$15</f>
        <v>-84.5</v>
      </c>
      <c r="AO22" s="132" t="n">
        <f aca="false">M9*$AO$15</f>
        <v>53.8461538461539</v>
      </c>
      <c r="AP22" s="60" t="n">
        <f aca="false">N9*$AP$15</f>
        <v>32.9411764705882</v>
      </c>
      <c r="AQ22" s="60" t="n">
        <f aca="false">O9*$AQ$15</f>
        <v>-21.6666666666667</v>
      </c>
      <c r="AR22" s="133" t="n">
        <f aca="false">P9*$AR$15</f>
        <v>187.5</v>
      </c>
      <c r="AS22" s="62" t="n">
        <f aca="false">SUM(AJ22:AR22)</f>
        <v>497.037330316742</v>
      </c>
    </row>
    <row r="23" customFormat="false" ht="14.25" hidden="false" customHeight="true" outlineLevel="0" collapsed="false">
      <c r="A23" s="94" t="s">
        <v>30</v>
      </c>
      <c r="B23" s="95" t="n">
        <v>1</v>
      </c>
      <c r="C23" s="96" t="s">
        <v>1151</v>
      </c>
      <c r="D23" s="17" t="s">
        <v>1468</v>
      </c>
      <c r="E23" s="6"/>
      <c r="F23" s="32"/>
      <c r="G23" s="73" t="s">
        <v>123</v>
      </c>
      <c r="H23" s="67" t="n">
        <f aca="false">SUM(H12:H14)/COUNT(H12:H14)</f>
        <v>20.3333333333333</v>
      </c>
      <c r="I23" s="67" t="n">
        <f aca="false">SUM(I12:I14)/COUNT(I12:I14)</f>
        <v>16.3333333333333</v>
      </c>
      <c r="J23" s="68" t="n">
        <f aca="false">IF(I23,H23/I23,H23)</f>
        <v>1.24489795918367</v>
      </c>
      <c r="K23" s="67" t="n">
        <f aca="false">SUM(K12:K14)/COUNT(K12:K14)</f>
        <v>32</v>
      </c>
      <c r="L23" s="67" t="n">
        <f aca="false">SUM(L12:L14)/COUNT(L12:L14)</f>
        <v>24</v>
      </c>
      <c r="M23" s="68" t="n">
        <f aca="false">IF(L23,K23/L23,K23)</f>
        <v>1.33333333333333</v>
      </c>
      <c r="N23" s="69" t="n">
        <f aca="false">IF(H23,K23/H23,0)</f>
        <v>1.57377049180328</v>
      </c>
      <c r="O23" s="70" t="n">
        <f aca="false">IF(I23,L23/I23,0)</f>
        <v>1.46938775510204</v>
      </c>
      <c r="Q23" s="71"/>
      <c r="R23" s="46" t="s">
        <v>600</v>
      </c>
      <c r="S23" s="40" t="n">
        <f aca="false">COUNT(E:E)</f>
        <v>59</v>
      </c>
      <c r="T23" s="117" t="n">
        <f aca="false">COUNTIF(E:E,1)</f>
        <v>25</v>
      </c>
      <c r="U23" s="118" t="n">
        <f aca="false">S23-T23</f>
        <v>34</v>
      </c>
      <c r="V23" s="120" t="n">
        <f aca="false">IFERROR(T23/S23,0)</f>
        <v>0.423728813559322</v>
      </c>
      <c r="AI23" s="33" t="s">
        <v>1447</v>
      </c>
      <c r="AJ23" s="34" t="n">
        <f aca="false">H10*$AJ$15</f>
        <v>322.5</v>
      </c>
      <c r="AK23" s="59" t="n">
        <f aca="false">I10*$AK$15</f>
        <v>-102</v>
      </c>
      <c r="AL23" s="60" t="n">
        <f aca="false">J10*$AL$15</f>
        <v>63.2352941176471</v>
      </c>
      <c r="AM23" s="131" t="n">
        <f aca="false">K10*$AM$15</f>
        <v>612</v>
      </c>
      <c r="AN23" s="131" t="n">
        <f aca="false">L10*$AN$15</f>
        <v>-136.5</v>
      </c>
      <c r="AO23" s="132" t="n">
        <f aca="false">M10*$AO$15</f>
        <v>85.7142857142857</v>
      </c>
      <c r="AP23" s="60" t="n">
        <f aca="false">N10*$AP$15</f>
        <v>33.4883720930233</v>
      </c>
      <c r="AQ23" s="60" t="n">
        <f aca="false">O10*$AQ$15</f>
        <v>-24.7058823529412</v>
      </c>
      <c r="AR23" s="133" t="n">
        <f aca="false">P10*$AR$15</f>
        <v>208.333333333333</v>
      </c>
      <c r="AS23" s="62" t="n">
        <f aca="false">SUM(AJ23:AR23)</f>
        <v>1062.06540290535</v>
      </c>
    </row>
    <row r="24" customFormat="false" ht="14.25" hidden="false" customHeight="true" outlineLevel="0" collapsed="false">
      <c r="A24" s="94" t="s">
        <v>42</v>
      </c>
      <c r="B24" s="95" t="n">
        <v>2</v>
      </c>
      <c r="C24" s="96" t="s">
        <v>1447</v>
      </c>
      <c r="D24" s="17" t="s">
        <v>1469</v>
      </c>
      <c r="E24" s="6"/>
      <c r="F24" s="17"/>
      <c r="J24" s="72"/>
      <c r="K24" s="72"/>
      <c r="L24" s="72"/>
      <c r="M24" s="84"/>
      <c r="N24" s="84"/>
      <c r="O24" s="84"/>
      <c r="Q24" s="8"/>
      <c r="AD24" s="72"/>
      <c r="AI24" s="33" t="s">
        <v>39</v>
      </c>
      <c r="AJ24" s="34" t="n">
        <f aca="false">H11*$AJ$15</f>
        <v>450</v>
      </c>
      <c r="AK24" s="59" t="n">
        <f aca="false">I11*$AK$15</f>
        <v>-246</v>
      </c>
      <c r="AL24" s="60" t="n">
        <f aca="false">J11*$AL$15</f>
        <v>36.5853658536585</v>
      </c>
      <c r="AM24" s="131" t="n">
        <f aca="false">K11*$AM$15</f>
        <v>773.5</v>
      </c>
      <c r="AN24" s="131" t="n">
        <f aca="false">L11*$AN$15</f>
        <v>-357.5</v>
      </c>
      <c r="AO24" s="132" t="n">
        <f aca="false">M11*$AO$15</f>
        <v>41.3636363636364</v>
      </c>
      <c r="AP24" s="60" t="n">
        <f aca="false">N11*$AP$15</f>
        <v>30.3333333333333</v>
      </c>
      <c r="AQ24" s="60" t="n">
        <f aca="false">O11*$AQ$15</f>
        <v>-26.8292682926829</v>
      </c>
      <c r="AR24" s="133" t="n">
        <f aca="false">P11*$AR$15</f>
        <v>208.333333333333</v>
      </c>
      <c r="AS24" s="62" t="n">
        <f aca="false">SUM(AJ24:AR24)</f>
        <v>909.786400591279</v>
      </c>
    </row>
    <row r="25" customFormat="false" ht="14.25" hidden="false" customHeight="true" outlineLevel="0" collapsed="false">
      <c r="A25" s="94" t="s">
        <v>41</v>
      </c>
      <c r="B25" s="95" t="n">
        <v>1</v>
      </c>
      <c r="C25" s="96" t="s">
        <v>1443</v>
      </c>
      <c r="D25" s="17" t="s">
        <v>1470</v>
      </c>
      <c r="E25" s="6"/>
      <c r="F25" s="32"/>
      <c r="G25" s="33" t="s">
        <v>88</v>
      </c>
      <c r="H25" s="41" t="s">
        <v>16</v>
      </c>
      <c r="Q25" s="33" t="s">
        <v>88</v>
      </c>
      <c r="R25" s="41" t="s">
        <v>19</v>
      </c>
      <c r="AI25" s="33" t="s">
        <v>43</v>
      </c>
      <c r="AJ25" s="34" t="n">
        <f aca="false">H12*$AJ$15</f>
        <v>75</v>
      </c>
      <c r="AK25" s="59" t="n">
        <f aca="false">I12*$AK$15</f>
        <v>-72</v>
      </c>
      <c r="AL25" s="60" t="n">
        <f aca="false">J12*$AL$15</f>
        <v>20.8333333333333</v>
      </c>
      <c r="AM25" s="131" t="n">
        <f aca="false">K12*$AM$15</f>
        <v>136</v>
      </c>
      <c r="AN25" s="131" t="n">
        <f aca="false">L12*$AN$15</f>
        <v>-143</v>
      </c>
      <c r="AO25" s="132" t="n">
        <f aca="false">M12*$AO$15</f>
        <v>18.1818181818182</v>
      </c>
      <c r="AP25" s="60" t="n">
        <f aca="false">N12*$AP$15</f>
        <v>32</v>
      </c>
      <c r="AQ25" s="60" t="n">
        <f aca="false">O12*$AQ$15</f>
        <v>-36.6666666666667</v>
      </c>
      <c r="AR25" s="133" t="n">
        <f aca="false">P12*$AR$15</f>
        <v>125</v>
      </c>
      <c r="AS25" s="62" t="n">
        <f aca="false">SUM(AJ25:AR25)</f>
        <v>155.348484848485</v>
      </c>
    </row>
    <row r="26" customFormat="false" ht="14.25" hidden="false" customHeight="true" outlineLevel="0" collapsed="false">
      <c r="A26" s="94" t="s">
        <v>1443</v>
      </c>
      <c r="B26" s="95" t="n">
        <v>1</v>
      </c>
      <c r="C26" s="96" t="s">
        <v>41</v>
      </c>
      <c r="D26" s="17" t="s">
        <v>1471</v>
      </c>
      <c r="E26" s="6"/>
      <c r="F26" s="32"/>
      <c r="G26" s="33" t="s">
        <v>1151</v>
      </c>
      <c r="H26" s="34" t="n">
        <f aca="false">$H$7</f>
        <v>87</v>
      </c>
      <c r="Q26" s="33" t="s">
        <v>1151</v>
      </c>
      <c r="R26" s="34" t="n">
        <f aca="false">$K$7</f>
        <v>115</v>
      </c>
      <c r="AI26" s="33" t="s">
        <v>11</v>
      </c>
      <c r="AJ26" s="34" t="n">
        <f aca="false">H13*$AJ$15</f>
        <v>240</v>
      </c>
      <c r="AK26" s="59" t="n">
        <f aca="false">I13*$AK$15</f>
        <v>-108</v>
      </c>
      <c r="AL26" s="60" t="n">
        <f aca="false">J13*$AL$15</f>
        <v>44.4444444444444</v>
      </c>
      <c r="AM26" s="131" t="n">
        <f aca="false">K13*$AM$15</f>
        <v>450.5</v>
      </c>
      <c r="AN26" s="131" t="n">
        <f aca="false">L13*$AN$15</f>
        <v>-169</v>
      </c>
      <c r="AO26" s="132" t="n">
        <f aca="false">M13*$AO$15</f>
        <v>50.9615384615385</v>
      </c>
      <c r="AP26" s="60" t="n">
        <f aca="false">N13*$AP$15</f>
        <v>33.125</v>
      </c>
      <c r="AQ26" s="60" t="n">
        <f aca="false">O13*$AQ$15</f>
        <v>-28.8888888888889</v>
      </c>
      <c r="AR26" s="133" t="n">
        <f aca="false">P13*$AR$15</f>
        <v>187.5</v>
      </c>
      <c r="AS26" s="62" t="n">
        <f aca="false">SUM(AJ26:AR26)</f>
        <v>700.642094017094</v>
      </c>
    </row>
    <row r="27" customFormat="false" ht="14.25" hidden="false" customHeight="true" outlineLevel="0" collapsed="false">
      <c r="A27" s="94" t="s">
        <v>1151</v>
      </c>
      <c r="B27" s="95" t="n">
        <v>2</v>
      </c>
      <c r="C27" s="96" t="s">
        <v>35</v>
      </c>
      <c r="D27" s="17" t="s">
        <v>1472</v>
      </c>
      <c r="E27" s="6"/>
      <c r="F27" s="17"/>
      <c r="G27" s="33" t="s">
        <v>39</v>
      </c>
      <c r="H27" s="34" t="n">
        <f aca="false">$H$11</f>
        <v>60</v>
      </c>
      <c r="Q27" s="33" t="s">
        <v>39</v>
      </c>
      <c r="R27" s="34" t="n">
        <f aca="false">$K$11</f>
        <v>91</v>
      </c>
      <c r="AI27" s="33" t="s">
        <v>1443</v>
      </c>
      <c r="AJ27" s="34" t="n">
        <f aca="false">H14*$AJ$15</f>
        <v>142.5</v>
      </c>
      <c r="AK27" s="59" t="n">
        <f aca="false">I14*$AK$15</f>
        <v>-114</v>
      </c>
      <c r="AL27" s="60" t="n">
        <f aca="false">J14*$AL$15</f>
        <v>25</v>
      </c>
      <c r="AM27" s="131" t="n">
        <f aca="false">K14*$AM$15</f>
        <v>229.5</v>
      </c>
      <c r="AN27" s="131" t="n">
        <f aca="false">L14*$AN$15</f>
        <v>-156</v>
      </c>
      <c r="AO27" s="132" t="n">
        <f aca="false">M14*$AO$15</f>
        <v>28.125</v>
      </c>
      <c r="AP27" s="60" t="n">
        <f aca="false">N14*$AP$15</f>
        <v>28.4210526315789</v>
      </c>
      <c r="AQ27" s="60" t="n">
        <f aca="false">O14*$AQ$15</f>
        <v>-25.2631578947368</v>
      </c>
      <c r="AR27" s="133" t="n">
        <f aca="false">P14*$AR$15</f>
        <v>166.666666666667</v>
      </c>
      <c r="AS27" s="62" t="n">
        <f aca="false">SUM(AJ27:AR27)</f>
        <v>324.949561403509</v>
      </c>
    </row>
    <row r="28" customFormat="false" ht="14.25" hidden="false" customHeight="true" outlineLevel="0" collapsed="false">
      <c r="A28" s="94" t="s">
        <v>41</v>
      </c>
      <c r="B28" s="95" t="n">
        <v>2</v>
      </c>
      <c r="C28" s="96" t="s">
        <v>30</v>
      </c>
      <c r="D28" s="17" t="s">
        <v>1473</v>
      </c>
      <c r="E28" s="6" t="n">
        <v>0</v>
      </c>
      <c r="F28" s="32"/>
      <c r="G28" s="33" t="s">
        <v>30</v>
      </c>
      <c r="H28" s="34" t="n">
        <f aca="false">$H$3</f>
        <v>55</v>
      </c>
      <c r="Q28" s="33" t="s">
        <v>30</v>
      </c>
      <c r="R28" s="34" t="n">
        <f aca="false">$K$3</f>
        <v>70</v>
      </c>
      <c r="AI28" s="33" t="s">
        <v>35</v>
      </c>
      <c r="AJ28" s="34" t="n">
        <f aca="false">H15*$AJ$15</f>
        <v>0</v>
      </c>
      <c r="AK28" s="59" t="n">
        <f aca="false">I15*$AK$15</f>
        <v>-378</v>
      </c>
      <c r="AL28" s="60" t="n">
        <f aca="false">J15*$AL$15</f>
        <v>0</v>
      </c>
      <c r="AM28" s="131" t="n">
        <f aca="false">K15*$AM$15</f>
        <v>0</v>
      </c>
      <c r="AN28" s="131" t="n">
        <f aca="false">L15*$AN$15</f>
        <v>-780</v>
      </c>
      <c r="AO28" s="132" t="n">
        <f aca="false">M15*$AO$15</f>
        <v>0</v>
      </c>
      <c r="AP28" s="60" t="n">
        <f aca="false">N15*$AP$15</f>
        <v>0</v>
      </c>
      <c r="AQ28" s="60" t="n">
        <f aca="false">O15*$AQ$15</f>
        <v>-38.0952380952381</v>
      </c>
      <c r="AR28" s="133" t="n">
        <f aca="false">P15*$AR$15</f>
        <v>0</v>
      </c>
      <c r="AS28" s="62" t="n">
        <f aca="false">SUM(AJ28:AR28)</f>
        <v>-1196.09523809524</v>
      </c>
    </row>
    <row r="29" customFormat="false" ht="14.25" hidden="false" customHeight="true" outlineLevel="0" collapsed="false">
      <c r="A29" s="94" t="s">
        <v>1447</v>
      </c>
      <c r="B29" s="95" t="n">
        <v>2</v>
      </c>
      <c r="C29" s="96" t="s">
        <v>39</v>
      </c>
      <c r="D29" s="17" t="s">
        <v>1474</v>
      </c>
      <c r="E29" s="6"/>
      <c r="F29" s="17"/>
      <c r="G29" s="33" t="s">
        <v>1447</v>
      </c>
      <c r="H29" s="34" t="n">
        <f aca="false">$H$10</f>
        <v>43</v>
      </c>
      <c r="Q29" s="33" t="s">
        <v>1447</v>
      </c>
      <c r="R29" s="34" t="n">
        <f aca="false">$K$10</f>
        <v>72</v>
      </c>
    </row>
    <row r="30" customFormat="false" ht="14.25" hidden="false" customHeight="true" outlineLevel="0" collapsed="false">
      <c r="A30" s="94" t="s">
        <v>41</v>
      </c>
      <c r="B30" s="95" t="n">
        <v>2</v>
      </c>
      <c r="C30" s="96" t="s">
        <v>1447</v>
      </c>
      <c r="D30" s="17" t="s">
        <v>1475</v>
      </c>
      <c r="E30" s="6"/>
      <c r="F30" s="32"/>
      <c r="G30" s="33" t="s">
        <v>41</v>
      </c>
      <c r="H30" s="34" t="n">
        <f aca="false">$H$6</f>
        <v>43</v>
      </c>
      <c r="Q30" s="33" t="s">
        <v>41</v>
      </c>
      <c r="R30" s="34" t="n">
        <f aca="false">$K$6</f>
        <v>0</v>
      </c>
    </row>
    <row r="31" customFormat="false" ht="14.25" hidden="false" customHeight="true" outlineLevel="0" collapsed="false">
      <c r="A31" s="94" t="s">
        <v>41</v>
      </c>
      <c r="B31" s="95" t="n">
        <v>2</v>
      </c>
      <c r="C31" s="96" t="s">
        <v>42</v>
      </c>
      <c r="D31" s="17" t="s">
        <v>1476</v>
      </c>
      <c r="E31" s="6"/>
      <c r="F31" s="32"/>
      <c r="G31" s="33" t="s">
        <v>36</v>
      </c>
      <c r="H31" s="34" t="n">
        <f aca="false">$H$8</f>
        <v>38</v>
      </c>
      <c r="Q31" s="33" t="s">
        <v>36</v>
      </c>
      <c r="R31" s="34" t="n">
        <f aca="false">$K$8</f>
        <v>51</v>
      </c>
    </row>
    <row r="32" customFormat="false" ht="14.25" hidden="false" customHeight="true" outlineLevel="0" collapsed="false">
      <c r="A32" s="94" t="s">
        <v>42</v>
      </c>
      <c r="B32" s="95" t="n">
        <v>1</v>
      </c>
      <c r="C32" s="96" t="s">
        <v>41</v>
      </c>
      <c r="D32" s="17" t="s">
        <v>1477</v>
      </c>
      <c r="E32" s="6"/>
      <c r="F32" s="32"/>
      <c r="G32" s="33" t="s">
        <v>11</v>
      </c>
      <c r="H32" s="34" t="n">
        <f aca="false">$H$13</f>
        <v>32</v>
      </c>
      <c r="Q32" s="33" t="s">
        <v>11</v>
      </c>
      <c r="R32" s="34" t="n">
        <f aca="false">$K$13</f>
        <v>53</v>
      </c>
      <c r="AI32" s="72"/>
      <c r="AJ32" s="72"/>
      <c r="AK32" s="72"/>
    </row>
    <row r="33" customFormat="false" ht="14.25" hidden="false" customHeight="true" outlineLevel="0" collapsed="false">
      <c r="A33" s="94" t="s">
        <v>1154</v>
      </c>
      <c r="B33" s="95" t="n">
        <v>2</v>
      </c>
      <c r="C33" s="96" t="s">
        <v>1447</v>
      </c>
      <c r="D33" s="17" t="s">
        <v>1478</v>
      </c>
      <c r="E33" s="6"/>
      <c r="F33" s="32"/>
      <c r="G33" s="33" t="s">
        <v>1443</v>
      </c>
      <c r="H33" s="34" t="n">
        <f aca="false">$H$14</f>
        <v>19</v>
      </c>
      <c r="Q33" s="33" t="s">
        <v>1154</v>
      </c>
      <c r="R33" s="34" t="n">
        <f aca="false">$K$9</f>
        <v>28</v>
      </c>
      <c r="AI33" s="74" t="s">
        <v>88</v>
      </c>
      <c r="AJ33" s="75" t="s">
        <v>143</v>
      </c>
      <c r="AK33" s="75" t="s">
        <v>144</v>
      </c>
      <c r="AL33" s="72"/>
    </row>
    <row r="34" customFormat="false" ht="14.25" hidden="false" customHeight="true" outlineLevel="0" collapsed="false">
      <c r="A34" s="94" t="s">
        <v>1447</v>
      </c>
      <c r="B34" s="95" t="n">
        <v>1</v>
      </c>
      <c r="C34" s="96" t="s">
        <v>1154</v>
      </c>
      <c r="D34" s="17" t="s">
        <v>1479</v>
      </c>
      <c r="E34" s="6"/>
      <c r="F34" s="32"/>
      <c r="G34" s="33" t="s">
        <v>42</v>
      </c>
      <c r="H34" s="34" t="n">
        <f aca="false">$H$4</f>
        <v>18</v>
      </c>
      <c r="Q34" s="33" t="s">
        <v>1443</v>
      </c>
      <c r="R34" s="34" t="n">
        <f aca="false">$K$14</f>
        <v>27</v>
      </c>
      <c r="AI34" s="130" t="s">
        <v>1151</v>
      </c>
      <c r="AJ34" s="62" t="n">
        <f aca="false">$AS$20</f>
        <v>1334.32567049808</v>
      </c>
      <c r="AK34" s="77" t="n">
        <f aca="false">AJ34-$AJ$46</f>
        <v>2530.42090859332</v>
      </c>
      <c r="AL34" s="6" t="n">
        <v>1</v>
      </c>
    </row>
    <row r="35" customFormat="false" ht="14.25" hidden="false" customHeight="true" outlineLevel="0" collapsed="false">
      <c r="A35" s="94" t="s">
        <v>30</v>
      </c>
      <c r="B35" s="95" t="n">
        <v>1</v>
      </c>
      <c r="C35" s="96" t="s">
        <v>1151</v>
      </c>
      <c r="D35" s="17" t="s">
        <v>1480</v>
      </c>
      <c r="E35" s="6"/>
      <c r="F35" s="17"/>
      <c r="G35" s="33" t="s">
        <v>1154</v>
      </c>
      <c r="H35" s="34" t="n">
        <f aca="false">$H$9</f>
        <v>17</v>
      </c>
      <c r="Q35" s="33" t="s">
        <v>42</v>
      </c>
      <c r="R35" s="34" t="n">
        <f aca="false">$K$4</f>
        <v>26</v>
      </c>
      <c r="AI35" s="33" t="s">
        <v>1447</v>
      </c>
      <c r="AJ35" s="62" t="n">
        <f aca="false">$AS$23</f>
        <v>1062.06540290535</v>
      </c>
      <c r="AK35" s="77" t="n">
        <f aca="false">AJ35-$AJ$46</f>
        <v>2258.16064100059</v>
      </c>
      <c r="AL35" s="6" t="n">
        <v>2</v>
      </c>
    </row>
    <row r="36" customFormat="false" ht="14.25" hidden="false" customHeight="true" outlineLevel="0" collapsed="false">
      <c r="A36" s="94" t="s">
        <v>1151</v>
      </c>
      <c r="B36" s="95" t="n">
        <v>1</v>
      </c>
      <c r="C36" s="96" t="s">
        <v>30</v>
      </c>
      <c r="D36" s="17" t="s">
        <v>1481</v>
      </c>
      <c r="E36" s="6" t="n">
        <v>0</v>
      </c>
      <c r="F36" s="32"/>
      <c r="G36" s="33" t="s">
        <v>43</v>
      </c>
      <c r="H36" s="34" t="n">
        <f aca="false">$H$12</f>
        <v>10</v>
      </c>
      <c r="Q36" s="33" t="s">
        <v>43</v>
      </c>
      <c r="R36" s="34" t="n">
        <f aca="false">$K$12</f>
        <v>16</v>
      </c>
      <c r="AI36" s="33" t="s">
        <v>39</v>
      </c>
      <c r="AJ36" s="62" t="n">
        <f aca="false">$AS$24</f>
        <v>909.786400591279</v>
      </c>
      <c r="AK36" s="77" t="n">
        <f aca="false">AJ36-$AJ$46</f>
        <v>2105.88163868652</v>
      </c>
      <c r="AL36" s="6" t="n">
        <v>3</v>
      </c>
    </row>
    <row r="37" customFormat="false" ht="14.25" hidden="false" customHeight="true" outlineLevel="0" collapsed="false">
      <c r="A37" s="94" t="s">
        <v>1443</v>
      </c>
      <c r="B37" s="95" t="n">
        <v>2</v>
      </c>
      <c r="C37" s="96" t="s">
        <v>41</v>
      </c>
      <c r="D37" s="17" t="s">
        <v>1482</v>
      </c>
      <c r="E37" s="6"/>
      <c r="F37" s="17"/>
      <c r="G37" s="33" t="s">
        <v>40</v>
      </c>
      <c r="H37" s="34" t="n">
        <f aca="false">$H$5</f>
        <v>4</v>
      </c>
      <c r="Q37" s="33" t="s">
        <v>40</v>
      </c>
      <c r="R37" s="34" t="n">
        <f aca="false">$K$5</f>
        <v>4</v>
      </c>
      <c r="AI37" s="33" t="s">
        <v>11</v>
      </c>
      <c r="AJ37" s="62" t="n">
        <f aca="false">$AS$26</f>
        <v>700.642094017094</v>
      </c>
      <c r="AK37" s="77" t="n">
        <f aca="false">AJ37-$AJ$46</f>
        <v>1896.73733211233</v>
      </c>
      <c r="AL37" s="6" t="n">
        <v>4</v>
      </c>
    </row>
    <row r="38" customFormat="false" ht="14.25" hidden="false" customHeight="true" outlineLevel="0" collapsed="false">
      <c r="A38" s="94" t="s">
        <v>41</v>
      </c>
      <c r="B38" s="95" t="n">
        <v>1</v>
      </c>
      <c r="C38" s="96" t="s">
        <v>1443</v>
      </c>
      <c r="D38" s="17" t="s">
        <v>1483</v>
      </c>
      <c r="E38" s="6"/>
      <c r="F38" s="32"/>
      <c r="G38" s="33" t="s">
        <v>35</v>
      </c>
      <c r="H38" s="34" t="n">
        <f aca="false">$H$15</f>
        <v>0</v>
      </c>
      <c r="Q38" s="33" t="s">
        <v>35</v>
      </c>
      <c r="R38" s="34" t="n">
        <f aca="false">$K$15</f>
        <v>0</v>
      </c>
      <c r="AI38" s="33" t="s">
        <v>41</v>
      </c>
      <c r="AJ38" s="62" t="n">
        <f aca="false">$AS$19</f>
        <v>171.177419354839</v>
      </c>
      <c r="AK38" s="77" t="n">
        <f aca="false">AJ38-$AJ$46</f>
        <v>1367.27265745008</v>
      </c>
      <c r="AL38" s="6" t="n">
        <v>5</v>
      </c>
    </row>
    <row r="39" customFormat="false" ht="14.25" hidden="false" customHeight="true" outlineLevel="0" collapsed="false">
      <c r="A39" s="94" t="s">
        <v>1151</v>
      </c>
      <c r="B39" s="95" t="n">
        <v>1</v>
      </c>
      <c r="C39" s="96" t="s">
        <v>41</v>
      </c>
      <c r="D39" s="17" t="s">
        <v>1484</v>
      </c>
      <c r="E39" s="6"/>
      <c r="F39" s="32"/>
      <c r="AI39" s="33" t="s">
        <v>1154</v>
      </c>
      <c r="AJ39" s="62" t="n">
        <f aca="false">$AS$22</f>
        <v>497.037330316742</v>
      </c>
      <c r="AK39" s="77" t="n">
        <f aca="false">AJ39-$AJ$46</f>
        <v>1693.13256841198</v>
      </c>
      <c r="AL39" s="6" t="n">
        <v>6</v>
      </c>
    </row>
    <row r="40" customFormat="false" ht="14.25" hidden="false" customHeight="true" outlineLevel="0" collapsed="false">
      <c r="A40" s="94" t="s">
        <v>41</v>
      </c>
      <c r="B40" s="95" t="n">
        <v>1</v>
      </c>
      <c r="C40" s="96" t="s">
        <v>1151</v>
      </c>
      <c r="D40" s="17" t="s">
        <v>1485</v>
      </c>
      <c r="E40" s="6"/>
      <c r="F40" s="32"/>
      <c r="AI40" s="33" t="s">
        <v>1443</v>
      </c>
      <c r="AJ40" s="62" t="n">
        <f aca="false">$AS$27</f>
        <v>324.949561403509</v>
      </c>
      <c r="AK40" s="77" t="n">
        <f aca="false">AJ40-$AJ$46</f>
        <v>1521.04479949875</v>
      </c>
      <c r="AL40" s="6" t="n">
        <v>7</v>
      </c>
    </row>
    <row r="41" customFormat="false" ht="14.25" hidden="false" customHeight="true" outlineLevel="0" collapsed="false">
      <c r="A41" s="94" t="s">
        <v>39</v>
      </c>
      <c r="B41" s="95" t="n">
        <v>2</v>
      </c>
      <c r="C41" s="96" t="s">
        <v>36</v>
      </c>
      <c r="D41" s="17" t="s">
        <v>1486</v>
      </c>
      <c r="E41" s="6"/>
      <c r="F41" s="17"/>
      <c r="G41" s="33" t="s">
        <v>88</v>
      </c>
      <c r="H41" s="41" t="s">
        <v>17</v>
      </c>
      <c r="Q41" s="33" t="s">
        <v>88</v>
      </c>
      <c r="R41" s="41" t="s">
        <v>20</v>
      </c>
      <c r="AI41" s="33" t="s">
        <v>36</v>
      </c>
      <c r="AJ41" s="62" t="n">
        <f aca="false">$AS$21</f>
        <v>350.357978279031</v>
      </c>
      <c r="AK41" s="77" t="n">
        <f aca="false">AJ41-$AJ$46</f>
        <v>1546.45321637427</v>
      </c>
      <c r="AL41" s="6" t="n">
        <v>8</v>
      </c>
    </row>
    <row r="42" customFormat="false" ht="14.25" hidden="false" customHeight="true" outlineLevel="0" collapsed="false">
      <c r="A42" s="94" t="s">
        <v>39</v>
      </c>
      <c r="B42" s="95" t="n">
        <v>1</v>
      </c>
      <c r="C42" s="96" t="s">
        <v>30</v>
      </c>
      <c r="D42" s="17" t="s">
        <v>1487</v>
      </c>
      <c r="E42" s="6" t="n">
        <v>0</v>
      </c>
      <c r="F42" s="32"/>
      <c r="G42" s="33" t="s">
        <v>30</v>
      </c>
      <c r="H42" s="34" t="n">
        <f aca="false">$I$3</f>
        <v>73</v>
      </c>
      <c r="Q42" s="33" t="s">
        <v>35</v>
      </c>
      <c r="R42" s="34" t="n">
        <f aca="false">$L$15</f>
        <v>120</v>
      </c>
      <c r="AI42" s="33" t="s">
        <v>43</v>
      </c>
      <c r="AJ42" s="62" t="n">
        <f aca="false">$AS$25</f>
        <v>155.348484848485</v>
      </c>
      <c r="AK42" s="77" t="n">
        <f aca="false">AJ42-$AJ$46</f>
        <v>1351.44372294372</v>
      </c>
      <c r="AL42" s="6" t="n">
        <v>9</v>
      </c>
    </row>
    <row r="43" customFormat="false" ht="14.25" hidden="false" customHeight="true" outlineLevel="0" collapsed="false">
      <c r="A43" s="94" t="s">
        <v>30</v>
      </c>
      <c r="B43" s="95" t="n">
        <v>1</v>
      </c>
      <c r="C43" s="96" t="s">
        <v>39</v>
      </c>
      <c r="D43" s="17" t="s">
        <v>1488</v>
      </c>
      <c r="E43" s="6"/>
      <c r="F43" s="32"/>
      <c r="G43" s="33" t="s">
        <v>35</v>
      </c>
      <c r="H43" s="34" t="n">
        <f aca="false">$I$15</f>
        <v>63</v>
      </c>
      <c r="Q43" s="33" t="s">
        <v>30</v>
      </c>
      <c r="R43" s="34" t="n">
        <f aca="false">$L$3</f>
        <v>108</v>
      </c>
      <c r="AI43" s="33" t="s">
        <v>30</v>
      </c>
      <c r="AJ43" s="62" t="n">
        <f aca="false">$AS$16</f>
        <v>106.738157834048</v>
      </c>
      <c r="AK43" s="77" t="n">
        <f aca="false">AJ43-$AJ$46</f>
        <v>1302.83339592929</v>
      </c>
      <c r="AL43" s="6" t="n">
        <v>10</v>
      </c>
    </row>
    <row r="44" customFormat="false" ht="14.25" hidden="false" customHeight="true" outlineLevel="0" collapsed="false">
      <c r="A44" s="94" t="s">
        <v>1154</v>
      </c>
      <c r="B44" s="95" t="n">
        <v>2</v>
      </c>
      <c r="C44" s="96" t="s">
        <v>35</v>
      </c>
      <c r="D44" s="17" t="s">
        <v>1489</v>
      </c>
      <c r="E44" s="6"/>
      <c r="F44" s="32"/>
      <c r="G44" s="33" t="s">
        <v>1151</v>
      </c>
      <c r="H44" s="34" t="n">
        <f aca="false">$I$7</f>
        <v>51</v>
      </c>
      <c r="Q44" s="33" t="s">
        <v>36</v>
      </c>
      <c r="R44" s="34" t="n">
        <f aca="false">$L$8</f>
        <v>54</v>
      </c>
      <c r="AI44" s="33" t="s">
        <v>40</v>
      </c>
      <c r="AJ44" s="62" t="n">
        <f aca="false">$AS$18</f>
        <v>0.257575757575758</v>
      </c>
      <c r="AK44" s="77" t="n">
        <f aca="false">AJ44-$AJ$46</f>
        <v>1196.35281385281</v>
      </c>
      <c r="AL44" s="6" t="n">
        <v>11</v>
      </c>
    </row>
    <row r="45" customFormat="false" ht="14.25" hidden="false" customHeight="true" outlineLevel="0" collapsed="false">
      <c r="A45" s="94" t="s">
        <v>39</v>
      </c>
      <c r="B45" s="95" t="n">
        <v>1</v>
      </c>
      <c r="C45" s="96" t="s">
        <v>1443</v>
      </c>
      <c r="D45" s="17" t="s">
        <v>1490</v>
      </c>
      <c r="E45" s="6"/>
      <c r="F45" s="17"/>
      <c r="G45" s="33" t="s">
        <v>36</v>
      </c>
      <c r="H45" s="34" t="n">
        <f aca="false">$I$8</f>
        <v>42</v>
      </c>
      <c r="Q45" s="33" t="s">
        <v>42</v>
      </c>
      <c r="R45" s="34" t="n">
        <f aca="false">$L$4</f>
        <v>54</v>
      </c>
      <c r="AI45" s="33" t="s">
        <v>42</v>
      </c>
      <c r="AJ45" s="62" t="n">
        <f aca="false">$AS$17</f>
        <v>-37.5612535612536</v>
      </c>
      <c r="AK45" s="77" t="n">
        <f aca="false">AJ45-$AJ$46</f>
        <v>1158.53398453398</v>
      </c>
      <c r="AL45" s="6" t="n">
        <v>12</v>
      </c>
    </row>
    <row r="46" customFormat="false" ht="14.25" hidden="false" customHeight="true" outlineLevel="0" collapsed="false">
      <c r="A46" s="94" t="s">
        <v>42</v>
      </c>
      <c r="B46" s="95" t="n">
        <v>2</v>
      </c>
      <c r="C46" s="96" t="s">
        <v>1443</v>
      </c>
      <c r="D46" s="17" t="s">
        <v>1491</v>
      </c>
      <c r="E46" s="6"/>
      <c r="F46" s="32"/>
      <c r="G46" s="33" t="s">
        <v>39</v>
      </c>
      <c r="H46" s="34" t="n">
        <f aca="false">$I$11</f>
        <v>41</v>
      </c>
      <c r="Q46" s="33" t="s">
        <v>39</v>
      </c>
      <c r="R46" s="34" t="n">
        <f aca="false">$L$11</f>
        <v>55</v>
      </c>
      <c r="AI46" s="33" t="s">
        <v>35</v>
      </c>
      <c r="AJ46" s="62" t="n">
        <f aca="false">$AS$28</f>
        <v>-1196.09523809524</v>
      </c>
      <c r="AK46" s="77" t="n">
        <f aca="false">AJ46-$AJ$46</f>
        <v>0</v>
      </c>
      <c r="AL46" s="6" t="n">
        <v>13</v>
      </c>
    </row>
    <row r="47" customFormat="false" ht="14.25" hidden="false" customHeight="true" outlineLevel="0" collapsed="false">
      <c r="A47" s="94" t="s">
        <v>30</v>
      </c>
      <c r="B47" s="95" t="n">
        <v>2</v>
      </c>
      <c r="C47" s="96" t="s">
        <v>1443</v>
      </c>
      <c r="D47" s="17" t="s">
        <v>1492</v>
      </c>
      <c r="E47" s="6"/>
      <c r="F47" s="32"/>
      <c r="G47" s="33" t="s">
        <v>42</v>
      </c>
      <c r="H47" s="34" t="n">
        <f aca="false">$I$4</f>
        <v>39</v>
      </c>
      <c r="Q47" s="33" t="s">
        <v>1151</v>
      </c>
      <c r="R47" s="34" t="n">
        <f aca="false">$L$7</f>
        <v>45</v>
      </c>
      <c r="AI47" s="72"/>
      <c r="AJ47" s="72"/>
      <c r="AK47" s="72"/>
    </row>
    <row r="48" customFormat="false" ht="14.25" hidden="false" customHeight="true" outlineLevel="0" collapsed="false">
      <c r="A48" s="94" t="s">
        <v>30</v>
      </c>
      <c r="B48" s="95" t="n">
        <v>2</v>
      </c>
      <c r="C48" s="96" t="s">
        <v>35</v>
      </c>
      <c r="D48" s="17" t="s">
        <v>1493</v>
      </c>
      <c r="E48" s="6"/>
      <c r="F48" s="32"/>
      <c r="G48" s="33" t="s">
        <v>41</v>
      </c>
      <c r="H48" s="34" t="n">
        <f aca="false">$I$6</f>
        <v>31</v>
      </c>
      <c r="Q48" s="33" t="s">
        <v>41</v>
      </c>
      <c r="R48" s="34" t="n">
        <f aca="false">$L$6</f>
        <v>0</v>
      </c>
      <c r="AI48" s="72"/>
      <c r="AJ48" s="72"/>
      <c r="AK48" s="72"/>
    </row>
    <row r="49" customFormat="false" ht="14.25" hidden="false" customHeight="true" outlineLevel="0" collapsed="false">
      <c r="A49" s="94" t="s">
        <v>1447</v>
      </c>
      <c r="B49" s="95" t="n">
        <v>2</v>
      </c>
      <c r="C49" s="96" t="s">
        <v>11</v>
      </c>
      <c r="D49" s="17" t="s">
        <v>1494</v>
      </c>
      <c r="E49" s="6"/>
      <c r="F49" s="32"/>
      <c r="G49" s="33" t="s">
        <v>1443</v>
      </c>
      <c r="H49" s="34" t="n">
        <f aca="false">$I$14</f>
        <v>19</v>
      </c>
      <c r="Q49" s="33" t="s">
        <v>11</v>
      </c>
      <c r="R49" s="34" t="n">
        <f aca="false">$L$13</f>
        <v>26</v>
      </c>
      <c r="AI49" s="72"/>
      <c r="AJ49" s="72"/>
      <c r="AK49" s="72"/>
    </row>
    <row r="50" customFormat="false" ht="14.25" hidden="false" customHeight="true" outlineLevel="0" collapsed="false">
      <c r="A50" s="94" t="s">
        <v>1443</v>
      </c>
      <c r="B50" s="95" t="n">
        <v>2</v>
      </c>
      <c r="C50" s="96" t="s">
        <v>35</v>
      </c>
      <c r="D50" s="17" t="s">
        <v>1495</v>
      </c>
      <c r="E50" s="6"/>
      <c r="F50" s="32"/>
      <c r="G50" s="33" t="s">
        <v>11</v>
      </c>
      <c r="H50" s="34" t="n">
        <f aca="false">$I$13</f>
        <v>18</v>
      </c>
      <c r="Q50" s="33" t="s">
        <v>1443</v>
      </c>
      <c r="R50" s="34" t="n">
        <f aca="false">$L$14</f>
        <v>24</v>
      </c>
      <c r="AI50" s="72"/>
      <c r="AJ50" s="72"/>
      <c r="AK50" s="72"/>
    </row>
    <row r="51" customFormat="false" ht="14.25" hidden="false" customHeight="true" outlineLevel="0" collapsed="false">
      <c r="A51" s="94" t="s">
        <v>36</v>
      </c>
      <c r="B51" s="95" t="n">
        <v>2</v>
      </c>
      <c r="C51" s="96" t="s">
        <v>35</v>
      </c>
      <c r="D51" s="17" t="s">
        <v>1496</v>
      </c>
      <c r="E51" s="6"/>
      <c r="F51" s="32"/>
      <c r="G51" s="33" t="s">
        <v>1447</v>
      </c>
      <c r="H51" s="34" t="n">
        <f aca="false">$I$10</f>
        <v>17</v>
      </c>
      <c r="Q51" s="33" t="s">
        <v>1447</v>
      </c>
      <c r="R51" s="34" t="n">
        <f aca="false">$L$10</f>
        <v>21</v>
      </c>
      <c r="AI51" s="7" t="s">
        <v>191</v>
      </c>
      <c r="AJ51" s="7"/>
      <c r="AK51" s="7"/>
      <c r="AL51" s="7"/>
      <c r="AM51" s="7"/>
      <c r="AN51" s="7"/>
      <c r="AO51" s="7"/>
      <c r="AP51" s="7"/>
      <c r="AQ51" s="7"/>
    </row>
    <row r="52" customFormat="false" ht="14.25" hidden="false" customHeight="true" outlineLevel="0" collapsed="false">
      <c r="A52" s="94" t="s">
        <v>1151</v>
      </c>
      <c r="B52" s="95" t="n">
        <v>2</v>
      </c>
      <c r="C52" s="96" t="s">
        <v>30</v>
      </c>
      <c r="D52" s="17" t="s">
        <v>1497</v>
      </c>
      <c r="E52" s="6" t="n">
        <v>0</v>
      </c>
      <c r="F52" s="32"/>
      <c r="G52" s="33" t="s">
        <v>43</v>
      </c>
      <c r="H52" s="34" t="n">
        <f aca="false">$I$12</f>
        <v>12</v>
      </c>
      <c r="Q52" s="33" t="s">
        <v>43</v>
      </c>
      <c r="R52" s="34" t="n">
        <f aca="false">$L$12</f>
        <v>22</v>
      </c>
      <c r="AI52" s="78" t="s">
        <v>194</v>
      </c>
      <c r="AJ52" s="79" t="s">
        <v>16</v>
      </c>
      <c r="AK52" s="79" t="s">
        <v>17</v>
      </c>
      <c r="AL52" s="79" t="s">
        <v>18</v>
      </c>
      <c r="AM52" s="79" t="s">
        <v>19</v>
      </c>
      <c r="AN52" s="79" t="s">
        <v>20</v>
      </c>
      <c r="AO52" s="79" t="s">
        <v>21</v>
      </c>
      <c r="AP52" s="79" t="s">
        <v>22</v>
      </c>
      <c r="AQ52" s="79" t="s">
        <v>23</v>
      </c>
    </row>
    <row r="53" customFormat="false" ht="14.25" hidden="false" customHeight="true" outlineLevel="0" collapsed="false">
      <c r="A53" s="94" t="s">
        <v>42</v>
      </c>
      <c r="B53" s="95" t="n">
        <v>2</v>
      </c>
      <c r="C53" s="96" t="s">
        <v>35</v>
      </c>
      <c r="D53" s="17" t="s">
        <v>1498</v>
      </c>
      <c r="E53" s="6"/>
      <c r="F53" s="32"/>
      <c r="G53" s="33" t="s">
        <v>1154</v>
      </c>
      <c r="H53" s="34" t="n">
        <f aca="false">$I$9</f>
        <v>12</v>
      </c>
      <c r="Q53" s="33" t="s">
        <v>1154</v>
      </c>
      <c r="R53" s="34" t="n">
        <f aca="false">$L$9</f>
        <v>13</v>
      </c>
      <c r="AI53" s="33" t="s">
        <v>91</v>
      </c>
      <c r="AJ53" s="55" t="n">
        <v>7.5</v>
      </c>
      <c r="AK53" s="56" t="n">
        <v>-6</v>
      </c>
      <c r="AL53" s="56" t="n">
        <v>25</v>
      </c>
      <c r="AM53" s="56" t="n">
        <v>8.5</v>
      </c>
      <c r="AN53" s="56" t="n">
        <v>-6.5</v>
      </c>
      <c r="AO53" s="56" t="n">
        <v>25</v>
      </c>
      <c r="AP53" s="56" t="n">
        <v>20</v>
      </c>
      <c r="AQ53" s="56" t="n">
        <v>-20</v>
      </c>
      <c r="AR53" s="41" t="s">
        <v>92</v>
      </c>
    </row>
    <row r="54" customFormat="false" ht="14.25" hidden="false" customHeight="true" outlineLevel="0" collapsed="false">
      <c r="A54" s="94" t="s">
        <v>1151</v>
      </c>
      <c r="B54" s="95" t="n">
        <v>2</v>
      </c>
      <c r="C54" s="96" t="s">
        <v>35</v>
      </c>
      <c r="D54" s="17" t="s">
        <v>1499</v>
      </c>
      <c r="E54" s="6"/>
      <c r="F54" s="32"/>
      <c r="G54" s="33" t="s">
        <v>40</v>
      </c>
      <c r="H54" s="34" t="n">
        <f aca="false">$I$5</f>
        <v>8</v>
      </c>
      <c r="Q54" s="33" t="s">
        <v>40</v>
      </c>
      <c r="R54" s="34" t="n">
        <f aca="false">$L$5</f>
        <v>11</v>
      </c>
      <c r="AI54" s="52" t="s">
        <v>111</v>
      </c>
      <c r="AJ54" s="35" t="n">
        <f aca="false">H19*$AJ$53</f>
        <v>273.75</v>
      </c>
      <c r="AK54" s="35" t="n">
        <f aca="false">I19*$AK$53</f>
        <v>-336</v>
      </c>
      <c r="AL54" s="35" t="n">
        <f aca="false">J19*$AL$53</f>
        <v>16.2946428571429</v>
      </c>
      <c r="AM54" s="35" t="n">
        <f aca="false">K19*$AM$53</f>
        <v>408</v>
      </c>
      <c r="AN54" s="35" t="n">
        <f aca="false">L19*$AN$53</f>
        <v>-526.5</v>
      </c>
      <c r="AO54" s="35" t="n">
        <f aca="false">M19*$AO$53</f>
        <v>14.8148148148148</v>
      </c>
      <c r="AP54" s="35" t="n">
        <f aca="false">N19*$AP$53</f>
        <v>26.3013698630137</v>
      </c>
      <c r="AQ54" s="35" t="n">
        <f aca="false">O19*$AQ$53</f>
        <v>-28.9285714285714</v>
      </c>
      <c r="AR54" s="35" t="n">
        <f aca="false">SUM(AJ54:AQ54)</f>
        <v>-152.2677438936</v>
      </c>
    </row>
    <row r="55" customFormat="false" ht="14.25" hidden="false" customHeight="true" outlineLevel="0" collapsed="false">
      <c r="A55" s="94" t="s">
        <v>1151</v>
      </c>
      <c r="B55" s="95" t="n">
        <v>2</v>
      </c>
      <c r="C55" s="96" t="s">
        <v>35</v>
      </c>
      <c r="D55" s="17" t="s">
        <v>1500</v>
      </c>
      <c r="E55" s="6"/>
      <c r="F55" s="32"/>
      <c r="AI55" s="33" t="s">
        <v>114</v>
      </c>
      <c r="AJ55" s="35" t="n">
        <f aca="false">H20*$AJ$53</f>
        <v>322.5</v>
      </c>
      <c r="AK55" s="35" t="n">
        <f aca="false">I20*$AK$53</f>
        <v>-198</v>
      </c>
      <c r="AL55" s="35" t="n">
        <f aca="false">J20*$AL$53</f>
        <v>32.5757575757576</v>
      </c>
      <c r="AM55" s="35" t="n">
        <f aca="false">K20*$AM$53</f>
        <v>361.25</v>
      </c>
      <c r="AN55" s="35" t="n">
        <f aca="false">L20*$AN$53</f>
        <v>-178.75</v>
      </c>
      <c r="AO55" s="35" t="n">
        <f aca="false">M20*$AO$53</f>
        <v>38.6363636363636</v>
      </c>
      <c r="AP55" s="35" t="n">
        <f aca="false">N20*$AP$53</f>
        <v>19.7674418604651</v>
      </c>
      <c r="AQ55" s="35" t="n">
        <f aca="false">O20*$AQ$53</f>
        <v>-16.6666666666667</v>
      </c>
      <c r="AR55" s="35" t="n">
        <f aca="false">SUM(AJ55:AQ55)</f>
        <v>381.31289640592</v>
      </c>
    </row>
    <row r="56" customFormat="false" ht="14.25" hidden="false" customHeight="true" outlineLevel="0" collapsed="false">
      <c r="A56" s="94" t="s">
        <v>1447</v>
      </c>
      <c r="B56" s="95" t="n">
        <v>2</v>
      </c>
      <c r="C56" s="96" t="s">
        <v>11</v>
      </c>
      <c r="D56" s="17" t="s">
        <v>1501</v>
      </c>
      <c r="E56" s="6"/>
      <c r="F56" s="32"/>
      <c r="AI56" s="33" t="s">
        <v>117</v>
      </c>
      <c r="AJ56" s="35" t="n">
        <f aca="false">H21*$AJ$53</f>
        <v>300</v>
      </c>
      <c r="AK56" s="35" t="n">
        <f aca="false">I21*$AK$53</f>
        <v>-140</v>
      </c>
      <c r="AL56" s="35" t="n">
        <f aca="false">J21*$AL$53</f>
        <v>42.8571428571429</v>
      </c>
      <c r="AM56" s="35" t="n">
        <f aca="false">K21*$AM$53</f>
        <v>541.166666666667</v>
      </c>
      <c r="AN56" s="35" t="n">
        <f aca="false">L21*$AN$53</f>
        <v>-192.833333333333</v>
      </c>
      <c r="AO56" s="35" t="n">
        <f aca="false">M21*$AO$53</f>
        <v>53.6516853932584</v>
      </c>
      <c r="AP56" s="35" t="n">
        <f aca="false">N21*$AP$53</f>
        <v>31.8333333333333</v>
      </c>
      <c r="AQ56" s="35" t="n">
        <f aca="false">O21*$AQ$53</f>
        <v>-25.4285714285714</v>
      </c>
      <c r="AR56" s="35" t="n">
        <f aca="false">SUM(AJ56:AQ56)</f>
        <v>611.246923488497</v>
      </c>
    </row>
    <row r="57" customFormat="false" ht="14.25" hidden="false" customHeight="true" outlineLevel="0" collapsed="false">
      <c r="A57" s="94" t="s">
        <v>1154</v>
      </c>
      <c r="B57" s="95" t="n">
        <v>2</v>
      </c>
      <c r="C57" s="96" t="s">
        <v>11</v>
      </c>
      <c r="D57" s="17" t="s">
        <v>1502</v>
      </c>
      <c r="E57" s="6"/>
      <c r="F57" s="32"/>
      <c r="G57" s="33" t="s">
        <v>88</v>
      </c>
      <c r="H57" s="41" t="s">
        <v>18</v>
      </c>
      <c r="Q57" s="33" t="s">
        <v>88</v>
      </c>
      <c r="R57" s="41" t="s">
        <v>21</v>
      </c>
      <c r="AI57" s="33" t="s">
        <v>120</v>
      </c>
      <c r="AJ57" s="35" t="n">
        <f aca="false">H22*$AJ$53</f>
        <v>114.375</v>
      </c>
      <c r="AK57" s="35" t="n">
        <f aca="false">I22*$AK$53</f>
        <v>-168</v>
      </c>
      <c r="AL57" s="35" t="n">
        <f aca="false">J22*$AL$53</f>
        <v>13.6160714285714</v>
      </c>
      <c r="AM57" s="35" t="n">
        <f aca="false">K22*$AM$53</f>
        <v>204</v>
      </c>
      <c r="AN57" s="35" t="n">
        <f aca="false">L22*$AN$53</f>
        <v>-312</v>
      </c>
      <c r="AO57" s="35" t="n">
        <f aca="false">M22*$AO$53</f>
        <v>12.5</v>
      </c>
      <c r="AP57" s="35" t="n">
        <f aca="false">N22*$AP$53</f>
        <v>31.4754098360656</v>
      </c>
      <c r="AQ57" s="35" t="n">
        <f aca="false">O22*$AQ$53</f>
        <v>-34.2857142857143</v>
      </c>
      <c r="AR57" s="35" t="n">
        <f aca="false">SUM(AJ57:AQ57)</f>
        <v>-138.319233021077</v>
      </c>
    </row>
    <row r="58" customFormat="false" ht="14.25" hidden="false" customHeight="true" outlineLevel="0" collapsed="false">
      <c r="A58" s="94" t="s">
        <v>11</v>
      </c>
      <c r="B58" s="95" t="n">
        <v>1</v>
      </c>
      <c r="C58" s="96" t="s">
        <v>1154</v>
      </c>
      <c r="D58" s="17" t="s">
        <v>1503</v>
      </c>
      <c r="E58" s="6"/>
      <c r="F58" s="32"/>
      <c r="G58" s="33" t="s">
        <v>1447</v>
      </c>
      <c r="H58" s="35" t="n">
        <f aca="false">$J$10</f>
        <v>2.52941176470588</v>
      </c>
      <c r="Q58" s="33" t="s">
        <v>1447</v>
      </c>
      <c r="R58" s="35" t="n">
        <f aca="false">$M$10</f>
        <v>3.42857142857143</v>
      </c>
      <c r="AI58" s="73" t="s">
        <v>123</v>
      </c>
      <c r="AJ58" s="35" t="n">
        <f aca="false">H23*$AJ$53</f>
        <v>152.5</v>
      </c>
      <c r="AK58" s="35" t="n">
        <f aca="false">I23*$AK$53</f>
        <v>-98</v>
      </c>
      <c r="AL58" s="35" t="n">
        <f aca="false">J23*$AL$53</f>
        <v>31.1224489795918</v>
      </c>
      <c r="AM58" s="35" t="n">
        <f aca="false">K23*$AM$53</f>
        <v>272</v>
      </c>
      <c r="AN58" s="35" t="n">
        <f aca="false">L23*$AN$53</f>
        <v>-156</v>
      </c>
      <c r="AO58" s="35" t="n">
        <f aca="false">M23*$AO$53</f>
        <v>33.3333333333333</v>
      </c>
      <c r="AP58" s="35" t="n">
        <f aca="false">N23*$AP$53</f>
        <v>31.4754098360656</v>
      </c>
      <c r="AQ58" s="35" t="n">
        <f aca="false">O23*$AQ$53</f>
        <v>-29.3877551020408</v>
      </c>
      <c r="AR58" s="35" t="n">
        <f aca="false">SUM(AJ58:AQ58)</f>
        <v>237.04343704695</v>
      </c>
    </row>
    <row r="59" customFormat="false" ht="14.25" hidden="false" customHeight="true" outlineLevel="0" collapsed="false">
      <c r="A59" s="94" t="s">
        <v>1154</v>
      </c>
      <c r="B59" s="95" t="n">
        <v>2</v>
      </c>
      <c r="C59" s="96" t="s">
        <v>35</v>
      </c>
      <c r="D59" s="17" t="s">
        <v>1504</v>
      </c>
      <c r="E59" s="6"/>
      <c r="F59" s="32"/>
      <c r="G59" s="33" t="s">
        <v>11</v>
      </c>
      <c r="H59" s="35" t="n">
        <f aca="false">$J$13</f>
        <v>1.77777777777778</v>
      </c>
      <c r="Q59" s="33" t="s">
        <v>1151</v>
      </c>
      <c r="R59" s="35" t="n">
        <f aca="false">$M$7</f>
        <v>2.55555555555556</v>
      </c>
    </row>
    <row r="60" customFormat="false" ht="14.25" hidden="false" customHeight="true" outlineLevel="0" collapsed="false">
      <c r="A60" s="94" t="s">
        <v>1154</v>
      </c>
      <c r="B60" s="95" t="n">
        <v>2</v>
      </c>
      <c r="C60" s="96" t="s">
        <v>36</v>
      </c>
      <c r="D60" s="17" t="s">
        <v>1505</v>
      </c>
      <c r="E60" s="6"/>
      <c r="F60" s="32"/>
      <c r="G60" s="33" t="s">
        <v>1151</v>
      </c>
      <c r="H60" s="35" t="n">
        <f aca="false">$J$7</f>
        <v>1.70588235294118</v>
      </c>
      <c r="Q60" s="33" t="s">
        <v>11</v>
      </c>
      <c r="R60" s="35" t="n">
        <f aca="false">$M$13</f>
        <v>2.03846153846154</v>
      </c>
      <c r="AI60" s="74" t="s">
        <v>10</v>
      </c>
      <c r="AJ60" s="75" t="s">
        <v>143</v>
      </c>
      <c r="AK60" s="75" t="s">
        <v>144</v>
      </c>
    </row>
    <row r="61" customFormat="false" ht="14.25" hidden="false" customHeight="true" outlineLevel="0" collapsed="false">
      <c r="A61" s="94" t="s">
        <v>1151</v>
      </c>
      <c r="B61" s="95" t="n">
        <v>1</v>
      </c>
      <c r="C61" s="96" t="s">
        <v>11</v>
      </c>
      <c r="D61" s="17" t="s">
        <v>1506</v>
      </c>
      <c r="E61" s="6"/>
      <c r="F61" s="17"/>
      <c r="G61" s="33" t="s">
        <v>39</v>
      </c>
      <c r="H61" s="35" t="n">
        <f aca="false">$J$11</f>
        <v>1.46341463414634</v>
      </c>
      <c r="Q61" s="33" t="s">
        <v>1154</v>
      </c>
      <c r="R61" s="35" t="n">
        <f aca="false">$M$9</f>
        <v>2.15384615384615</v>
      </c>
      <c r="AI61" s="52" t="s">
        <v>117</v>
      </c>
      <c r="AJ61" s="77" t="n">
        <f aca="false">$AR$56</f>
        <v>611.246923488497</v>
      </c>
      <c r="AK61" s="77" t="n">
        <f aca="false">AJ61-($AJ$65)</f>
        <v>763.514667382097</v>
      </c>
    </row>
    <row r="62" customFormat="false" ht="14.25" hidden="false" customHeight="true" outlineLevel="0" collapsed="false">
      <c r="A62" s="94" t="s">
        <v>11</v>
      </c>
      <c r="B62" s="95" t="n">
        <v>1</v>
      </c>
      <c r="C62" s="96" t="s">
        <v>1151</v>
      </c>
      <c r="D62" s="17" t="s">
        <v>1507</v>
      </c>
      <c r="E62" s="6"/>
      <c r="F62" s="32"/>
      <c r="G62" s="33" t="s">
        <v>1154</v>
      </c>
      <c r="H62" s="35" t="n">
        <f aca="false">$J$9</f>
        <v>1.41666666666667</v>
      </c>
      <c r="Q62" s="33" t="s">
        <v>39</v>
      </c>
      <c r="R62" s="35" t="n">
        <f aca="false">$M$11</f>
        <v>1.65454545454545</v>
      </c>
      <c r="AI62" s="33" t="s">
        <v>114</v>
      </c>
      <c r="AJ62" s="77" t="n">
        <f aca="false">$AR$55</f>
        <v>381.31289640592</v>
      </c>
      <c r="AK62" s="77" t="n">
        <f aca="false">AJ62-($AJ$65)</f>
        <v>533.58064029952</v>
      </c>
    </row>
    <row r="63" customFormat="false" ht="14.25" hidden="false" customHeight="true" outlineLevel="0" collapsed="false">
      <c r="A63" s="94" t="s">
        <v>1447</v>
      </c>
      <c r="B63" s="95" t="n">
        <v>2</v>
      </c>
      <c r="C63" s="96" t="s">
        <v>35</v>
      </c>
      <c r="D63" s="17" t="s">
        <v>1508</v>
      </c>
      <c r="E63" s="6"/>
      <c r="F63" s="32"/>
      <c r="G63" s="33" t="s">
        <v>41</v>
      </c>
      <c r="H63" s="35" t="n">
        <f aca="false">$J$6</f>
        <v>1.38709677419355</v>
      </c>
      <c r="Q63" s="33" t="s">
        <v>41</v>
      </c>
      <c r="R63" s="35" t="n">
        <f aca="false">$M$6</f>
        <v>0</v>
      </c>
      <c r="AI63" s="73" t="s">
        <v>123</v>
      </c>
      <c r="AJ63" s="77" t="n">
        <f aca="false">$AR$58</f>
        <v>237.04343704695</v>
      </c>
      <c r="AK63" s="77" t="n">
        <f aca="false">AJ63-($AJ$65)</f>
        <v>389.31118094055</v>
      </c>
    </row>
    <row r="64" customFormat="false" ht="14.25" hidden="false" customHeight="true" outlineLevel="0" collapsed="false">
      <c r="A64" s="94" t="s">
        <v>11</v>
      </c>
      <c r="B64" s="95" t="n">
        <v>2</v>
      </c>
      <c r="C64" s="96" t="s">
        <v>35</v>
      </c>
      <c r="D64" s="17" t="s">
        <v>1509</v>
      </c>
      <c r="E64" s="6"/>
      <c r="F64" s="32"/>
      <c r="G64" s="33" t="s">
        <v>1443</v>
      </c>
      <c r="H64" s="35" t="n">
        <f aca="false">$J$14</f>
        <v>1</v>
      </c>
      <c r="Q64" s="33" t="s">
        <v>1443</v>
      </c>
      <c r="R64" s="35" t="n">
        <f aca="false">$M$14</f>
        <v>1.125</v>
      </c>
      <c r="AI64" s="33" t="s">
        <v>120</v>
      </c>
      <c r="AJ64" s="77" t="n">
        <f aca="false">$AR$57</f>
        <v>-138.319233021077</v>
      </c>
      <c r="AK64" s="77" t="n">
        <f aca="false">AJ64-($AJ$65)</f>
        <v>13.9485108725228</v>
      </c>
    </row>
    <row r="65" customFormat="false" ht="14.25" hidden="false" customHeight="true" outlineLevel="0" collapsed="false">
      <c r="A65" s="94" t="s">
        <v>1447</v>
      </c>
      <c r="B65" s="95" t="n">
        <v>1</v>
      </c>
      <c r="C65" s="96" t="s">
        <v>42</v>
      </c>
      <c r="D65" s="17" t="s">
        <v>1510</v>
      </c>
      <c r="E65" s="6"/>
      <c r="F65" s="32"/>
      <c r="G65" s="33" t="s">
        <v>36</v>
      </c>
      <c r="H65" s="35" t="n">
        <f aca="false">$J$8</f>
        <v>0.904761904761905</v>
      </c>
      <c r="Q65" s="33" t="s">
        <v>36</v>
      </c>
      <c r="R65" s="35" t="n">
        <f aca="false">$M$8</f>
        <v>0.944444444444444</v>
      </c>
      <c r="AI65" s="33" t="s">
        <v>111</v>
      </c>
      <c r="AJ65" s="135" t="n">
        <f aca="false">$AR$54</f>
        <v>-152.2677438936</v>
      </c>
      <c r="AK65" s="77" t="n">
        <f aca="false">AJ65-($AJ$65)</f>
        <v>0</v>
      </c>
    </row>
    <row r="66" customFormat="false" ht="14.25" hidden="false" customHeight="true" outlineLevel="0" collapsed="false">
      <c r="A66" s="94" t="s">
        <v>42</v>
      </c>
      <c r="B66" s="95" t="n">
        <v>1</v>
      </c>
      <c r="C66" s="96" t="s">
        <v>1447</v>
      </c>
      <c r="D66" s="17" t="s">
        <v>1511</v>
      </c>
      <c r="E66" s="6"/>
      <c r="F66" s="32"/>
      <c r="G66" s="33" t="s">
        <v>43</v>
      </c>
      <c r="H66" s="35" t="n">
        <f aca="false">$J$12</f>
        <v>0.833333333333333</v>
      </c>
      <c r="Q66" s="33" t="s">
        <v>43</v>
      </c>
      <c r="R66" s="35" t="n">
        <f aca="false">$M$12</f>
        <v>0.727272727272727</v>
      </c>
    </row>
    <row r="67" customFormat="false" ht="14.25" hidden="false" customHeight="true" outlineLevel="0" collapsed="false">
      <c r="A67" s="94" t="s">
        <v>1151</v>
      </c>
      <c r="B67" s="95" t="n">
        <v>2</v>
      </c>
      <c r="C67" s="96" t="s">
        <v>35</v>
      </c>
      <c r="D67" s="17" t="s">
        <v>1512</v>
      </c>
      <c r="E67" s="6"/>
      <c r="F67" s="32"/>
      <c r="G67" s="33" t="s">
        <v>30</v>
      </c>
      <c r="H67" s="35" t="n">
        <f aca="false">$J$3</f>
        <v>0.753424657534247</v>
      </c>
      <c r="Q67" s="33" t="s">
        <v>30</v>
      </c>
      <c r="R67" s="35" t="n">
        <f aca="false">$M$3</f>
        <v>0.648148148148148</v>
      </c>
    </row>
    <row r="68" customFormat="false" ht="14.25" hidden="false" customHeight="true" outlineLevel="0" collapsed="false">
      <c r="A68" s="94" t="s">
        <v>1151</v>
      </c>
      <c r="B68" s="95" t="n">
        <v>1</v>
      </c>
      <c r="C68" s="96" t="s">
        <v>30</v>
      </c>
      <c r="D68" s="17" t="s">
        <v>1513</v>
      </c>
      <c r="E68" s="6" t="n">
        <v>1</v>
      </c>
      <c r="F68" s="32"/>
      <c r="G68" s="33" t="s">
        <v>40</v>
      </c>
      <c r="H68" s="35" t="n">
        <f aca="false">$J$5</f>
        <v>0.5</v>
      </c>
      <c r="Q68" s="33" t="s">
        <v>42</v>
      </c>
      <c r="R68" s="35" t="n">
        <f aca="false">$M$4</f>
        <v>0.481481481481481</v>
      </c>
    </row>
    <row r="69" customFormat="false" ht="14.25" hidden="false" customHeight="true" outlineLevel="0" collapsed="false">
      <c r="A69" s="94" t="s">
        <v>30</v>
      </c>
      <c r="B69" s="95" t="n">
        <v>1</v>
      </c>
      <c r="C69" s="96" t="s">
        <v>1151</v>
      </c>
      <c r="D69" s="17" t="s">
        <v>1514</v>
      </c>
      <c r="E69" s="6"/>
      <c r="F69" s="32"/>
      <c r="G69" s="33" t="s">
        <v>42</v>
      </c>
      <c r="H69" s="35" t="n">
        <f aca="false">$J$4</f>
        <v>0.461538461538462</v>
      </c>
      <c r="Q69" s="33" t="s">
        <v>40</v>
      </c>
      <c r="R69" s="35" t="n">
        <f aca="false">$M$5</f>
        <v>0.363636363636364</v>
      </c>
      <c r="AI69" s="72"/>
      <c r="AJ69" s="72"/>
      <c r="AK69" s="72"/>
    </row>
    <row r="70" customFormat="false" ht="14.25" hidden="false" customHeight="true" outlineLevel="0" collapsed="false">
      <c r="A70" s="94" t="s">
        <v>1447</v>
      </c>
      <c r="B70" s="95" t="n">
        <v>2</v>
      </c>
      <c r="C70" s="96" t="s">
        <v>30</v>
      </c>
      <c r="D70" s="17" t="s">
        <v>1515</v>
      </c>
      <c r="E70" s="6" t="n">
        <v>0</v>
      </c>
      <c r="F70" s="32"/>
      <c r="G70" s="33" t="s">
        <v>35</v>
      </c>
      <c r="H70" s="35" t="n">
        <f aca="false">$J$15</f>
        <v>0</v>
      </c>
      <c r="Q70" s="33" t="s">
        <v>35</v>
      </c>
      <c r="R70" s="35" t="n">
        <f aca="false">$M$15</f>
        <v>0</v>
      </c>
      <c r="AI70" s="72"/>
      <c r="AJ70" s="72"/>
      <c r="AK70" s="72"/>
    </row>
    <row r="71" customFormat="false" ht="14.25" hidden="false" customHeight="true" outlineLevel="0" collapsed="false">
      <c r="A71" s="94" t="s">
        <v>1447</v>
      </c>
      <c r="B71" s="95" t="n">
        <v>2</v>
      </c>
      <c r="C71" s="96" t="s">
        <v>30</v>
      </c>
      <c r="D71" s="17" t="s">
        <v>1516</v>
      </c>
      <c r="E71" s="6" t="n">
        <v>0</v>
      </c>
      <c r="F71" s="17"/>
      <c r="AI71" s="72"/>
      <c r="AJ71" s="72"/>
      <c r="AK71" s="72"/>
    </row>
    <row r="72" customFormat="false" ht="14.25" hidden="false" customHeight="true" outlineLevel="0" collapsed="false">
      <c r="A72" s="94" t="s">
        <v>41</v>
      </c>
      <c r="B72" s="95" t="n">
        <v>1</v>
      </c>
      <c r="C72" s="96" t="s">
        <v>39</v>
      </c>
      <c r="D72" s="17" t="s">
        <v>1517</v>
      </c>
      <c r="E72" s="6"/>
      <c r="F72" s="32"/>
      <c r="AI72" s="72"/>
      <c r="AJ72" s="72"/>
      <c r="AK72" s="72"/>
    </row>
    <row r="73" customFormat="false" ht="14.25" hidden="false" customHeight="true" outlineLevel="0" collapsed="false">
      <c r="A73" s="94" t="s">
        <v>39</v>
      </c>
      <c r="B73" s="95" t="n">
        <v>1</v>
      </c>
      <c r="C73" s="96" t="s">
        <v>41</v>
      </c>
      <c r="D73" s="17" t="s">
        <v>1518</v>
      </c>
      <c r="E73" s="6"/>
      <c r="F73" s="32"/>
      <c r="G73" s="33" t="s">
        <v>108</v>
      </c>
      <c r="H73" s="41" t="s">
        <v>16</v>
      </c>
      <c r="Q73" s="33" t="s">
        <v>108</v>
      </c>
      <c r="R73" s="41" t="s">
        <v>19</v>
      </c>
      <c r="AJ73" s="72"/>
      <c r="AK73" s="72"/>
    </row>
    <row r="74" customFormat="false" ht="14.25" hidden="false" customHeight="true" outlineLevel="0" collapsed="false">
      <c r="A74" s="94" t="s">
        <v>1151</v>
      </c>
      <c r="B74" s="95" t="n">
        <v>2</v>
      </c>
      <c r="C74" s="96" t="s">
        <v>35</v>
      </c>
      <c r="D74" s="17" t="s">
        <v>1519</v>
      </c>
      <c r="E74" s="6"/>
      <c r="F74" s="32"/>
      <c r="G74" s="52" t="s">
        <v>120</v>
      </c>
      <c r="H74" s="67" t="n">
        <f aca="false">$H$22</f>
        <v>15.25</v>
      </c>
      <c r="Q74" s="52" t="s">
        <v>120</v>
      </c>
      <c r="R74" s="67" t="n">
        <f aca="false">$K$22</f>
        <v>24</v>
      </c>
      <c r="AG74" s="72"/>
      <c r="AH74" s="72"/>
      <c r="AI74" s="72"/>
      <c r="AJ74" s="72"/>
      <c r="AK74" s="72"/>
    </row>
    <row r="75" customFormat="false" ht="14.25" hidden="false" customHeight="true" outlineLevel="0" collapsed="false">
      <c r="A75" s="94" t="s">
        <v>1151</v>
      </c>
      <c r="B75" s="95" t="n">
        <v>2</v>
      </c>
      <c r="C75" s="96" t="s">
        <v>30</v>
      </c>
      <c r="D75" s="17" t="s">
        <v>1520</v>
      </c>
      <c r="E75" s="6" t="n">
        <v>1</v>
      </c>
      <c r="F75" s="32"/>
      <c r="G75" s="33" t="s">
        <v>111</v>
      </c>
      <c r="H75" s="67" t="n">
        <f aca="false">$H$19</f>
        <v>36.5</v>
      </c>
      <c r="Q75" s="33" t="s">
        <v>111</v>
      </c>
      <c r="R75" s="67" t="n">
        <f aca="false">$K$19</f>
        <v>48</v>
      </c>
      <c r="AE75" s="72"/>
      <c r="AF75" s="72"/>
      <c r="AG75" s="72"/>
    </row>
    <row r="76" customFormat="false" ht="14.25" hidden="false" customHeight="true" outlineLevel="0" collapsed="false">
      <c r="A76" s="94" t="s">
        <v>1447</v>
      </c>
      <c r="B76" s="95" t="n">
        <v>2</v>
      </c>
      <c r="C76" s="96" t="s">
        <v>35</v>
      </c>
      <c r="D76" s="17" t="s">
        <v>1521</v>
      </c>
      <c r="E76" s="6"/>
      <c r="F76" s="32"/>
      <c r="G76" s="33" t="s">
        <v>117</v>
      </c>
      <c r="H76" s="67" t="n">
        <f aca="false">$H$21</f>
        <v>40</v>
      </c>
      <c r="Q76" s="33" t="s">
        <v>117</v>
      </c>
      <c r="R76" s="67" t="n">
        <f aca="false">$K$21</f>
        <v>63.6666666666667</v>
      </c>
    </row>
    <row r="77" customFormat="false" ht="14.25" hidden="false" customHeight="true" outlineLevel="0" collapsed="false">
      <c r="A77" s="94" t="s">
        <v>30</v>
      </c>
      <c r="B77" s="95" t="n">
        <v>2</v>
      </c>
      <c r="C77" s="96" t="s">
        <v>1447</v>
      </c>
      <c r="D77" s="17" t="s">
        <v>1522</v>
      </c>
      <c r="E77" s="6"/>
      <c r="F77" s="32"/>
      <c r="G77" s="33" t="s">
        <v>114</v>
      </c>
      <c r="H77" s="67" t="n">
        <f aca="false">$H$20</f>
        <v>43</v>
      </c>
      <c r="Q77" s="33" t="s">
        <v>114</v>
      </c>
      <c r="R77" s="67" t="n">
        <f aca="false">$K$20</f>
        <v>42.5</v>
      </c>
    </row>
    <row r="78" customFormat="false" ht="14.25" hidden="false" customHeight="true" outlineLevel="0" collapsed="false">
      <c r="A78" s="94" t="s">
        <v>1447</v>
      </c>
      <c r="B78" s="95" t="n">
        <v>1</v>
      </c>
      <c r="C78" s="96" t="s">
        <v>30</v>
      </c>
      <c r="D78" s="17" t="s">
        <v>1523</v>
      </c>
      <c r="E78" s="6" t="n">
        <v>1</v>
      </c>
      <c r="F78" s="32"/>
    </row>
    <row r="79" customFormat="false" ht="14.25" hidden="false" customHeight="true" outlineLevel="0" collapsed="false">
      <c r="A79" s="94" t="s">
        <v>1447</v>
      </c>
      <c r="B79" s="95" t="n">
        <v>2</v>
      </c>
      <c r="C79" s="96" t="s">
        <v>11</v>
      </c>
      <c r="D79" s="17" t="s">
        <v>1524</v>
      </c>
      <c r="E79" s="6"/>
      <c r="F79" s="32"/>
    </row>
    <row r="80" customFormat="false" ht="14.25" hidden="false" customHeight="true" outlineLevel="0" collapsed="false">
      <c r="A80" s="94" t="s">
        <v>11</v>
      </c>
      <c r="B80" s="95" t="n">
        <v>2</v>
      </c>
      <c r="C80" s="96" t="s">
        <v>30</v>
      </c>
      <c r="D80" s="17" t="s">
        <v>1525</v>
      </c>
      <c r="E80" s="6" t="n">
        <v>1</v>
      </c>
      <c r="F80" s="32"/>
    </row>
    <row r="81" customFormat="false" ht="14.25" hidden="false" customHeight="true" outlineLevel="0" collapsed="false">
      <c r="A81" s="94" t="s">
        <v>1151</v>
      </c>
      <c r="B81" s="95" t="n">
        <v>2</v>
      </c>
      <c r="C81" s="96" t="s">
        <v>11</v>
      </c>
      <c r="D81" s="17" t="s">
        <v>1526</v>
      </c>
      <c r="E81" s="6"/>
      <c r="F81" s="17"/>
    </row>
    <row r="82" customFormat="false" ht="14.25" hidden="false" customHeight="true" outlineLevel="0" collapsed="false">
      <c r="A82" s="94" t="s">
        <v>30</v>
      </c>
      <c r="B82" s="95" t="n">
        <v>1</v>
      </c>
      <c r="C82" s="96" t="s">
        <v>11</v>
      </c>
      <c r="D82" s="17" t="s">
        <v>1527</v>
      </c>
      <c r="E82" s="6"/>
      <c r="F82" s="32"/>
    </row>
    <row r="83" customFormat="false" ht="14.25" hidden="false" customHeight="true" outlineLevel="0" collapsed="false">
      <c r="A83" s="94" t="s">
        <v>1447</v>
      </c>
      <c r="B83" s="95" t="n">
        <v>2</v>
      </c>
      <c r="C83" s="96" t="s">
        <v>42</v>
      </c>
      <c r="D83" s="17" t="s">
        <v>1528</v>
      </c>
      <c r="E83" s="6"/>
      <c r="F83" s="32"/>
    </row>
    <row r="84" customFormat="false" ht="14.25" hidden="false" customHeight="true" outlineLevel="0" collapsed="false">
      <c r="A84" s="94" t="s">
        <v>1447</v>
      </c>
      <c r="B84" s="95" t="n">
        <v>2</v>
      </c>
      <c r="C84" s="96" t="s">
        <v>30</v>
      </c>
      <c r="D84" s="17" t="s">
        <v>1529</v>
      </c>
      <c r="E84" s="6" t="n">
        <v>1</v>
      </c>
      <c r="F84" s="32"/>
      <c r="G84" s="33" t="s">
        <v>108</v>
      </c>
      <c r="H84" s="41" t="s">
        <v>17</v>
      </c>
      <c r="Q84" s="33" t="s">
        <v>108</v>
      </c>
      <c r="R84" s="41" t="s">
        <v>20</v>
      </c>
    </row>
    <row r="85" customFormat="false" ht="14.25" hidden="false" customHeight="true" outlineLevel="0" collapsed="false">
      <c r="A85" s="94" t="s">
        <v>30</v>
      </c>
      <c r="B85" s="95" t="n">
        <v>1</v>
      </c>
      <c r="C85" s="96" t="s">
        <v>1447</v>
      </c>
      <c r="D85" s="17" t="s">
        <v>1530</v>
      </c>
      <c r="E85" s="6"/>
      <c r="F85" s="32"/>
      <c r="G85" s="33" t="s">
        <v>117</v>
      </c>
      <c r="H85" s="69" t="n">
        <f aca="false">$I$21</f>
        <v>23.3333333333333</v>
      </c>
      <c r="Q85" s="33" t="s">
        <v>117</v>
      </c>
      <c r="R85" s="69" t="n">
        <f aca="false">$L$21</f>
        <v>29.6666666666667</v>
      </c>
    </row>
    <row r="86" customFormat="false" ht="14.25" hidden="false" customHeight="true" outlineLevel="0" collapsed="false">
      <c r="A86" s="94" t="s">
        <v>1151</v>
      </c>
      <c r="B86" s="95" t="n">
        <v>1</v>
      </c>
      <c r="C86" s="96" t="s">
        <v>30</v>
      </c>
      <c r="D86" s="17" t="s">
        <v>1531</v>
      </c>
      <c r="E86" s="6" t="n">
        <v>1</v>
      </c>
      <c r="F86" s="32"/>
      <c r="G86" s="33" t="s">
        <v>120</v>
      </c>
      <c r="H86" s="69" t="n">
        <f aca="false">$I$22</f>
        <v>28</v>
      </c>
      <c r="Q86" s="33" t="s">
        <v>114</v>
      </c>
      <c r="R86" s="69" t="n">
        <f aca="false">$L$20</f>
        <v>27.5</v>
      </c>
    </row>
    <row r="87" customFormat="false" ht="14.25" hidden="false" customHeight="true" outlineLevel="0" collapsed="false">
      <c r="A87" s="94" t="s">
        <v>30</v>
      </c>
      <c r="B87" s="95" t="n">
        <v>1</v>
      </c>
      <c r="C87" s="96" t="s">
        <v>1151</v>
      </c>
      <c r="D87" s="17" t="s">
        <v>1532</v>
      </c>
      <c r="E87" s="6"/>
      <c r="F87" s="32"/>
      <c r="G87" s="33" t="s">
        <v>114</v>
      </c>
      <c r="H87" s="69" t="n">
        <f aca="false">$I$20</f>
        <v>33</v>
      </c>
      <c r="Q87" s="33" t="s">
        <v>120</v>
      </c>
      <c r="R87" s="69" t="n">
        <f aca="false">$L$22</f>
        <v>48</v>
      </c>
    </row>
    <row r="88" customFormat="false" ht="14.25" hidden="false" customHeight="true" outlineLevel="0" collapsed="false">
      <c r="A88" s="94" t="s">
        <v>1151</v>
      </c>
      <c r="B88" s="95" t="n">
        <v>2</v>
      </c>
      <c r="C88" s="96" t="s">
        <v>30</v>
      </c>
      <c r="D88" s="17" t="s">
        <v>1533</v>
      </c>
      <c r="E88" s="6" t="n">
        <v>0</v>
      </c>
      <c r="F88" s="32"/>
      <c r="G88" s="33" t="s">
        <v>111</v>
      </c>
      <c r="H88" s="69" t="n">
        <f aca="false">$I$19</f>
        <v>56</v>
      </c>
      <c r="Q88" s="33" t="s">
        <v>111</v>
      </c>
      <c r="R88" s="69" t="n">
        <f aca="false">$L$19</f>
        <v>81</v>
      </c>
    </row>
    <row r="89" customFormat="false" ht="14.25" hidden="false" customHeight="true" outlineLevel="0" collapsed="false">
      <c r="A89" s="94" t="s">
        <v>11</v>
      </c>
      <c r="B89" s="95" t="n">
        <v>1</v>
      </c>
      <c r="C89" s="96" t="s">
        <v>1151</v>
      </c>
      <c r="D89" s="17" t="s">
        <v>1534</v>
      </c>
      <c r="E89" s="6"/>
      <c r="F89" s="32"/>
      <c r="AJ89" s="72"/>
      <c r="AK89" s="84"/>
    </row>
    <row r="90" customFormat="false" ht="14.25" hidden="false" customHeight="true" outlineLevel="0" collapsed="false">
      <c r="A90" s="94" t="s">
        <v>1154</v>
      </c>
      <c r="B90" s="95" t="n">
        <v>2</v>
      </c>
      <c r="C90" s="96" t="s">
        <v>39</v>
      </c>
      <c r="D90" s="17" t="s">
        <v>1535</v>
      </c>
      <c r="E90" s="6"/>
      <c r="F90" s="32"/>
      <c r="AJ90" s="72"/>
      <c r="AK90" s="84"/>
    </row>
    <row r="91" customFormat="false" ht="14.25" hidden="false" customHeight="true" outlineLevel="0" collapsed="false">
      <c r="A91" s="94" t="s">
        <v>42</v>
      </c>
      <c r="B91" s="95" t="n">
        <v>2</v>
      </c>
      <c r="C91" s="96" t="s">
        <v>30</v>
      </c>
      <c r="D91" s="17" t="s">
        <v>1536</v>
      </c>
      <c r="E91" s="6" t="n">
        <v>0</v>
      </c>
      <c r="F91" s="32"/>
      <c r="AJ91" s="72"/>
      <c r="AK91" s="84"/>
    </row>
    <row r="92" customFormat="false" ht="14.25" hidden="false" customHeight="true" outlineLevel="0" collapsed="false">
      <c r="A92" s="94" t="s">
        <v>39</v>
      </c>
      <c r="B92" s="95" t="n">
        <v>1</v>
      </c>
      <c r="C92" s="96" t="s">
        <v>1154</v>
      </c>
      <c r="D92" s="17" t="s">
        <v>1537</v>
      </c>
      <c r="E92" s="6"/>
      <c r="F92" s="32"/>
      <c r="AJ92" s="72"/>
      <c r="AK92" s="84"/>
    </row>
    <row r="93" customFormat="false" ht="14.25" hidden="false" customHeight="true" outlineLevel="0" collapsed="false">
      <c r="A93" s="94" t="s">
        <v>42</v>
      </c>
      <c r="B93" s="95" t="n">
        <v>2</v>
      </c>
      <c r="C93" s="96" t="s">
        <v>1151</v>
      </c>
      <c r="D93" s="17" t="s">
        <v>1538</v>
      </c>
      <c r="E93" s="6"/>
      <c r="F93" s="32"/>
      <c r="AJ93" s="72"/>
      <c r="AK93" s="84"/>
    </row>
    <row r="94" customFormat="false" ht="14.25" hidden="false" customHeight="true" outlineLevel="0" collapsed="false">
      <c r="A94" s="94" t="s">
        <v>11</v>
      </c>
      <c r="B94" s="95" t="n">
        <v>2</v>
      </c>
      <c r="C94" s="96" t="s">
        <v>30</v>
      </c>
      <c r="D94" s="17" t="s">
        <v>1539</v>
      </c>
      <c r="E94" s="6" t="n">
        <v>0</v>
      </c>
      <c r="F94" s="32"/>
      <c r="J94" s="72"/>
      <c r="K94" s="72"/>
      <c r="L94" s="72"/>
      <c r="M94" s="84"/>
      <c r="N94" s="84"/>
      <c r="O94" s="84"/>
      <c r="P94" s="84"/>
      <c r="Q94" s="8"/>
      <c r="T94" s="72"/>
      <c r="U94" s="72"/>
      <c r="V94" s="72"/>
      <c r="W94" s="72"/>
      <c r="X94" s="72"/>
      <c r="Y94" s="72"/>
      <c r="Z94" s="72"/>
      <c r="AA94" s="72"/>
      <c r="AB94" s="72"/>
      <c r="AC94" s="72"/>
      <c r="AD94" s="72"/>
      <c r="AG94" s="72"/>
      <c r="AJ94" s="72"/>
      <c r="AK94" s="84"/>
    </row>
    <row r="95" customFormat="false" ht="14.25" hidden="false" customHeight="true" outlineLevel="0" collapsed="false">
      <c r="A95" s="94" t="s">
        <v>11</v>
      </c>
      <c r="B95" s="95" t="n">
        <v>2</v>
      </c>
      <c r="C95" s="96" t="s">
        <v>1151</v>
      </c>
      <c r="D95" s="17" t="s">
        <v>1540</v>
      </c>
      <c r="E95" s="6"/>
      <c r="F95" s="32"/>
      <c r="G95" s="33" t="s">
        <v>108</v>
      </c>
      <c r="H95" s="41" t="s">
        <v>18</v>
      </c>
      <c r="J95" s="72"/>
      <c r="K95" s="72"/>
      <c r="L95" s="72"/>
      <c r="M95" s="84"/>
      <c r="N95" s="84"/>
      <c r="O95" s="84"/>
      <c r="P95" s="84"/>
      <c r="Q95" s="33" t="s">
        <v>108</v>
      </c>
      <c r="R95" s="41" t="s">
        <v>21</v>
      </c>
      <c r="T95" s="72"/>
      <c r="U95" s="72"/>
      <c r="V95" s="72"/>
      <c r="W95" s="72"/>
      <c r="X95" s="72"/>
      <c r="Y95" s="72"/>
      <c r="Z95" s="72"/>
      <c r="AA95" s="72"/>
      <c r="AB95" s="72"/>
      <c r="AC95" s="72"/>
      <c r="AD95" s="72"/>
      <c r="AG95" s="72"/>
      <c r="AJ95" s="72"/>
      <c r="AK95" s="84"/>
    </row>
    <row r="96" customFormat="false" ht="14.25" hidden="false" customHeight="true" outlineLevel="0" collapsed="false">
      <c r="A96" s="94" t="s">
        <v>41</v>
      </c>
      <c r="B96" s="95" t="n">
        <v>2</v>
      </c>
      <c r="C96" s="96" t="s">
        <v>36</v>
      </c>
      <c r="D96" s="17" t="s">
        <v>1541</v>
      </c>
      <c r="E96" s="6"/>
      <c r="F96" s="32"/>
      <c r="G96" s="52" t="s">
        <v>120</v>
      </c>
      <c r="H96" s="68" t="n">
        <f aca="false">$J$22</f>
        <v>0.544642857142857</v>
      </c>
      <c r="J96" s="72"/>
      <c r="K96" s="72"/>
      <c r="L96" s="72"/>
      <c r="M96" s="84"/>
      <c r="N96" s="84"/>
      <c r="O96" s="84"/>
      <c r="P96" s="84"/>
      <c r="Q96" s="52" t="s">
        <v>120</v>
      </c>
      <c r="R96" s="68" t="n">
        <f aca="false">$M$22</f>
        <v>0.5</v>
      </c>
      <c r="T96" s="72"/>
      <c r="U96" s="72"/>
      <c r="V96" s="72"/>
      <c r="W96" s="72"/>
      <c r="X96" s="72"/>
      <c r="Y96" s="72"/>
      <c r="Z96" s="72"/>
      <c r="AA96" s="72"/>
      <c r="AB96" s="72"/>
      <c r="AC96" s="72"/>
      <c r="AD96" s="72"/>
      <c r="AG96" s="72"/>
      <c r="AJ96" s="72"/>
      <c r="AK96" s="84"/>
    </row>
    <row r="97" customFormat="false" ht="14.25" hidden="false" customHeight="true" outlineLevel="0" collapsed="false">
      <c r="A97" s="94" t="s">
        <v>41</v>
      </c>
      <c r="B97" s="95" t="n">
        <v>2</v>
      </c>
      <c r="C97" s="96" t="s">
        <v>42</v>
      </c>
      <c r="D97" s="17" t="s">
        <v>1542</v>
      </c>
      <c r="E97" s="6"/>
      <c r="F97" s="32"/>
      <c r="G97" s="33" t="s">
        <v>111</v>
      </c>
      <c r="H97" s="68" t="n">
        <f aca="false">$J$19</f>
        <v>0.651785714285714</v>
      </c>
      <c r="J97" s="72"/>
      <c r="K97" s="72"/>
      <c r="L97" s="72"/>
      <c r="M97" s="84"/>
      <c r="N97" s="84"/>
      <c r="O97" s="84"/>
      <c r="P97" s="84"/>
      <c r="Q97" s="33" t="s">
        <v>111</v>
      </c>
      <c r="R97" s="68" t="n">
        <f aca="false">$M$19</f>
        <v>0.592592592592593</v>
      </c>
      <c r="T97" s="72"/>
      <c r="U97" s="72"/>
      <c r="V97" s="72"/>
      <c r="W97" s="72"/>
      <c r="X97" s="72"/>
      <c r="Y97" s="72"/>
      <c r="Z97" s="72"/>
      <c r="AA97" s="72"/>
      <c r="AB97" s="72"/>
      <c r="AC97" s="72"/>
      <c r="AD97" s="72"/>
      <c r="AG97" s="72"/>
      <c r="AJ97" s="72"/>
      <c r="AK97" s="84"/>
    </row>
    <row r="98" customFormat="false" ht="14.25" hidden="false" customHeight="true" outlineLevel="0" collapsed="false">
      <c r="A98" s="94" t="s">
        <v>39</v>
      </c>
      <c r="B98" s="95" t="n">
        <v>2</v>
      </c>
      <c r="C98" s="96" t="s">
        <v>1151</v>
      </c>
      <c r="D98" s="17" t="s">
        <v>1543</v>
      </c>
      <c r="E98" s="6"/>
      <c r="F98" s="32"/>
      <c r="G98" s="33" t="s">
        <v>114</v>
      </c>
      <c r="H98" s="68" t="n">
        <f aca="false">$J$20</f>
        <v>1.3030303030303</v>
      </c>
      <c r="J98" s="72"/>
      <c r="K98" s="72"/>
      <c r="L98" s="72"/>
      <c r="M98" s="84"/>
      <c r="N98" s="84"/>
      <c r="O98" s="84"/>
      <c r="P98" s="84"/>
      <c r="Q98" s="33" t="s">
        <v>114</v>
      </c>
      <c r="R98" s="68" t="n">
        <f aca="false">$M$20</f>
        <v>1.54545454545455</v>
      </c>
      <c r="T98" s="72"/>
      <c r="U98" s="72"/>
      <c r="V98" s="72"/>
      <c r="W98" s="72"/>
      <c r="X98" s="72"/>
      <c r="Y98" s="72"/>
      <c r="Z98" s="72"/>
      <c r="AA98" s="72"/>
      <c r="AB98" s="72"/>
      <c r="AC98" s="72"/>
      <c r="AD98" s="72"/>
      <c r="AG98" s="72"/>
      <c r="AJ98" s="72"/>
      <c r="AK98" s="84"/>
    </row>
    <row r="99" customFormat="false" ht="14.25" hidden="false" customHeight="true" outlineLevel="0" collapsed="false">
      <c r="A99" s="94" t="s">
        <v>1447</v>
      </c>
      <c r="B99" s="95" t="n">
        <v>2</v>
      </c>
      <c r="C99" s="96" t="s">
        <v>36</v>
      </c>
      <c r="D99" s="17" t="s">
        <v>1544</v>
      </c>
      <c r="E99" s="6"/>
      <c r="F99" s="32"/>
      <c r="G99" s="33" t="s">
        <v>117</v>
      </c>
      <c r="H99" s="68" t="n">
        <f aca="false">$J$21</f>
        <v>1.71428571428571</v>
      </c>
      <c r="J99" s="72"/>
      <c r="K99" s="72"/>
      <c r="L99" s="72"/>
      <c r="M99" s="84"/>
      <c r="N99" s="84"/>
      <c r="O99" s="84"/>
      <c r="P99" s="84"/>
      <c r="Q99" s="33" t="s">
        <v>117</v>
      </c>
      <c r="R99" s="68" t="n">
        <f aca="false">$M$21</f>
        <v>2.14606741573034</v>
      </c>
      <c r="T99" s="72"/>
      <c r="U99" s="72"/>
      <c r="V99" s="72"/>
      <c r="W99" s="72"/>
      <c r="X99" s="72"/>
      <c r="Y99" s="72"/>
      <c r="Z99" s="72"/>
      <c r="AA99" s="72"/>
      <c r="AB99" s="72"/>
      <c r="AC99" s="72"/>
      <c r="AD99" s="72"/>
      <c r="AG99" s="72"/>
      <c r="AJ99" s="72"/>
      <c r="AK99" s="84"/>
    </row>
    <row r="100" customFormat="false" ht="14.25" hidden="false" customHeight="true" outlineLevel="0" collapsed="false">
      <c r="A100" s="94" t="s">
        <v>41</v>
      </c>
      <c r="B100" s="95" t="n">
        <v>1</v>
      </c>
      <c r="C100" s="96" t="s">
        <v>30</v>
      </c>
      <c r="D100" s="17" t="s">
        <v>1545</v>
      </c>
      <c r="E100" s="6" t="n">
        <v>1</v>
      </c>
      <c r="F100" s="32"/>
      <c r="J100" s="72"/>
      <c r="K100" s="72"/>
      <c r="L100" s="72"/>
      <c r="M100" s="84"/>
      <c r="N100" s="84"/>
      <c r="O100" s="84"/>
      <c r="P100" s="84"/>
      <c r="Q100" s="8"/>
      <c r="T100" s="72"/>
      <c r="U100" s="72"/>
      <c r="V100" s="72"/>
      <c r="W100" s="72"/>
      <c r="X100" s="72"/>
      <c r="Y100" s="72"/>
      <c r="Z100" s="72"/>
      <c r="AA100" s="72"/>
      <c r="AB100" s="72"/>
      <c r="AC100" s="72"/>
      <c r="AD100" s="72"/>
      <c r="AG100" s="72"/>
      <c r="AJ100" s="72"/>
      <c r="AK100" s="84"/>
    </row>
    <row r="101" customFormat="false" ht="14.25" hidden="false" customHeight="true" outlineLevel="0" collapsed="false">
      <c r="A101" s="94" t="s">
        <v>30</v>
      </c>
      <c r="B101" s="95" t="n">
        <v>1</v>
      </c>
      <c r="C101" s="96" t="s">
        <v>41</v>
      </c>
      <c r="D101" s="17" t="s">
        <v>1546</v>
      </c>
      <c r="E101" s="6"/>
      <c r="F101" s="32"/>
      <c r="J101" s="72"/>
      <c r="K101" s="72"/>
      <c r="L101" s="72"/>
      <c r="M101" s="84"/>
      <c r="N101" s="84"/>
      <c r="O101" s="84"/>
      <c r="P101" s="84"/>
      <c r="Q101" s="8"/>
      <c r="T101" s="72"/>
      <c r="U101" s="72"/>
      <c r="V101" s="72"/>
      <c r="W101" s="72"/>
      <c r="X101" s="72"/>
      <c r="Y101" s="72"/>
      <c r="Z101" s="72"/>
      <c r="AA101" s="72"/>
      <c r="AB101" s="72"/>
      <c r="AC101" s="72"/>
      <c r="AD101" s="72"/>
      <c r="AG101" s="72"/>
      <c r="AJ101" s="72"/>
      <c r="AK101" s="84"/>
    </row>
    <row r="102" customFormat="false" ht="14.25" hidden="false" customHeight="true" outlineLevel="0" collapsed="false">
      <c r="A102" s="94" t="s">
        <v>1151</v>
      </c>
      <c r="B102" s="95" t="n">
        <v>2</v>
      </c>
      <c r="C102" s="96" t="s">
        <v>36</v>
      </c>
      <c r="D102" s="17" t="s">
        <v>1547</v>
      </c>
      <c r="E102" s="6"/>
      <c r="F102" s="32"/>
      <c r="J102" s="72"/>
      <c r="K102" s="72"/>
      <c r="L102" s="72"/>
      <c r="M102" s="84"/>
      <c r="N102" s="84"/>
      <c r="O102" s="84"/>
      <c r="P102" s="84"/>
      <c r="Q102" s="8"/>
      <c r="T102" s="72"/>
      <c r="U102" s="72"/>
      <c r="V102" s="72"/>
      <c r="W102" s="72"/>
      <c r="X102" s="72"/>
      <c r="Y102" s="72"/>
      <c r="Z102" s="72"/>
      <c r="AA102" s="72"/>
      <c r="AB102" s="72"/>
      <c r="AC102" s="72"/>
      <c r="AD102" s="72"/>
      <c r="AG102" s="72"/>
      <c r="AJ102" s="72"/>
      <c r="AK102" s="84"/>
    </row>
    <row r="103" customFormat="false" ht="14.25" hidden="false" customHeight="true" outlineLevel="0" collapsed="false">
      <c r="A103" s="94" t="s">
        <v>39</v>
      </c>
      <c r="B103" s="95" t="n">
        <v>1</v>
      </c>
      <c r="C103" s="96" t="s">
        <v>36</v>
      </c>
      <c r="D103" s="17" t="s">
        <v>1548</v>
      </c>
      <c r="E103" s="6"/>
      <c r="F103" s="32"/>
      <c r="J103" s="72"/>
      <c r="K103" s="72"/>
      <c r="L103" s="72"/>
      <c r="M103" s="84"/>
      <c r="N103" s="84"/>
      <c r="O103" s="84"/>
      <c r="P103" s="84"/>
      <c r="Q103" s="8"/>
      <c r="T103" s="72"/>
      <c r="U103" s="72"/>
      <c r="V103" s="72"/>
      <c r="W103" s="72"/>
      <c r="X103" s="72"/>
      <c r="Y103" s="72"/>
      <c r="Z103" s="72"/>
      <c r="AA103" s="72"/>
      <c r="AB103" s="72"/>
      <c r="AC103" s="72"/>
      <c r="AD103" s="72"/>
      <c r="AG103" s="72"/>
      <c r="AJ103" s="72"/>
      <c r="AK103" s="84"/>
    </row>
    <row r="104" customFormat="false" ht="14.25" hidden="false" customHeight="true" outlineLevel="0" collapsed="false">
      <c r="A104" s="94" t="s">
        <v>36</v>
      </c>
      <c r="B104" s="95" t="n">
        <v>1</v>
      </c>
      <c r="C104" s="96" t="s">
        <v>39</v>
      </c>
      <c r="D104" s="17" t="s">
        <v>1549</v>
      </c>
      <c r="E104" s="6"/>
      <c r="F104" s="32"/>
      <c r="J104" s="72"/>
      <c r="K104" s="72"/>
      <c r="L104" s="72"/>
      <c r="M104" s="84"/>
      <c r="N104" s="84"/>
      <c r="O104" s="84"/>
      <c r="P104" s="84"/>
      <c r="Q104" s="8"/>
      <c r="T104" s="72"/>
      <c r="U104" s="72"/>
      <c r="V104" s="72"/>
      <c r="W104" s="72"/>
      <c r="X104" s="72"/>
      <c r="Y104" s="72"/>
      <c r="Z104" s="72"/>
      <c r="AA104" s="72"/>
      <c r="AB104" s="72"/>
      <c r="AC104" s="72"/>
      <c r="AD104" s="72"/>
      <c r="AG104" s="72"/>
      <c r="AJ104" s="72"/>
      <c r="AK104" s="84"/>
    </row>
    <row r="105" customFormat="false" ht="14.25" hidden="false" customHeight="true" outlineLevel="0" collapsed="false">
      <c r="A105" s="94" t="s">
        <v>1447</v>
      </c>
      <c r="B105" s="95" t="n">
        <v>1</v>
      </c>
      <c r="C105" s="96" t="s">
        <v>30</v>
      </c>
      <c r="D105" s="17" t="s">
        <v>1550</v>
      </c>
      <c r="E105" s="6" t="n">
        <v>0</v>
      </c>
      <c r="F105" s="32"/>
      <c r="J105" s="72"/>
      <c r="K105" s="72"/>
      <c r="L105" s="72"/>
      <c r="M105" s="84"/>
      <c r="N105" s="84"/>
      <c r="O105" s="84"/>
      <c r="P105" s="84"/>
      <c r="Q105" s="8"/>
      <c r="T105" s="72"/>
      <c r="U105" s="72"/>
      <c r="V105" s="72"/>
      <c r="W105" s="72"/>
      <c r="X105" s="72"/>
      <c r="Y105" s="72"/>
      <c r="Z105" s="72"/>
      <c r="AA105" s="72"/>
      <c r="AB105" s="72"/>
      <c r="AC105" s="72"/>
      <c r="AD105" s="72"/>
      <c r="AG105" s="72"/>
      <c r="AJ105" s="72"/>
      <c r="AK105" s="84"/>
    </row>
    <row r="106" customFormat="false" ht="14.25" hidden="false" customHeight="true" outlineLevel="0" collapsed="false">
      <c r="A106" s="94" t="s">
        <v>30</v>
      </c>
      <c r="B106" s="95" t="n">
        <v>1</v>
      </c>
      <c r="C106" s="96" t="s">
        <v>1447</v>
      </c>
      <c r="D106" s="17" t="s">
        <v>1551</v>
      </c>
      <c r="E106" s="6"/>
      <c r="F106" s="32"/>
      <c r="J106" s="72"/>
      <c r="K106" s="72"/>
      <c r="L106" s="72"/>
      <c r="M106" s="84"/>
      <c r="N106" s="84"/>
      <c r="O106" s="84"/>
      <c r="P106" s="84"/>
      <c r="Q106" s="8"/>
      <c r="T106" s="72"/>
      <c r="U106" s="72"/>
      <c r="V106" s="72"/>
      <c r="W106" s="72"/>
      <c r="X106" s="72"/>
      <c r="Y106" s="72"/>
      <c r="Z106" s="72"/>
      <c r="AA106" s="72"/>
      <c r="AB106" s="72"/>
      <c r="AC106" s="72"/>
      <c r="AD106" s="72"/>
      <c r="AG106" s="72"/>
      <c r="AJ106" s="72"/>
      <c r="AK106" s="84"/>
    </row>
    <row r="107" customFormat="false" ht="14.25" hidden="false" customHeight="true" outlineLevel="0" collapsed="false">
      <c r="A107" s="94" t="s">
        <v>1151</v>
      </c>
      <c r="B107" s="95" t="n">
        <v>2</v>
      </c>
      <c r="C107" s="96" t="s">
        <v>30</v>
      </c>
      <c r="D107" s="17" t="s">
        <v>1552</v>
      </c>
      <c r="E107" s="6" t="n">
        <v>0</v>
      </c>
      <c r="F107" s="32"/>
      <c r="J107" s="72"/>
      <c r="K107" s="72"/>
      <c r="L107" s="72"/>
      <c r="M107" s="84"/>
      <c r="N107" s="84"/>
      <c r="O107" s="84"/>
      <c r="P107" s="84"/>
      <c r="Q107" s="8"/>
      <c r="T107" s="72"/>
      <c r="U107" s="72"/>
      <c r="V107" s="72"/>
      <c r="W107" s="72"/>
      <c r="X107" s="72"/>
      <c r="Y107" s="72"/>
      <c r="Z107" s="72"/>
      <c r="AA107" s="72"/>
      <c r="AB107" s="72"/>
      <c r="AC107" s="72"/>
      <c r="AD107" s="72"/>
      <c r="AG107" s="72"/>
      <c r="AJ107" s="72"/>
      <c r="AK107" s="84"/>
    </row>
    <row r="108" customFormat="false" ht="14.25" hidden="false" customHeight="true" outlineLevel="0" collapsed="false">
      <c r="A108" s="94" t="s">
        <v>41</v>
      </c>
      <c r="B108" s="95" t="n">
        <v>2</v>
      </c>
      <c r="C108" s="96" t="s">
        <v>30</v>
      </c>
      <c r="D108" s="17" t="s">
        <v>1553</v>
      </c>
      <c r="E108" s="6" t="n">
        <v>0</v>
      </c>
      <c r="F108" s="32"/>
      <c r="J108" s="72"/>
      <c r="K108" s="72"/>
      <c r="L108" s="72"/>
      <c r="M108" s="84"/>
      <c r="N108" s="84"/>
      <c r="O108" s="84"/>
      <c r="P108" s="84"/>
      <c r="Q108" s="8"/>
      <c r="T108" s="72"/>
      <c r="U108" s="72"/>
      <c r="V108" s="72"/>
      <c r="W108" s="72"/>
      <c r="X108" s="72"/>
      <c r="Y108" s="72"/>
      <c r="Z108" s="72"/>
      <c r="AA108" s="72"/>
      <c r="AB108" s="72"/>
      <c r="AC108" s="72"/>
      <c r="AD108" s="72"/>
      <c r="AG108" s="72"/>
      <c r="AJ108" s="72"/>
      <c r="AK108" s="84"/>
    </row>
    <row r="109" customFormat="false" ht="14.25" hidden="false" customHeight="true" outlineLevel="0" collapsed="false">
      <c r="A109" s="94" t="s">
        <v>1151</v>
      </c>
      <c r="B109" s="95" t="n">
        <v>1</v>
      </c>
      <c r="C109" s="96" t="s">
        <v>11</v>
      </c>
      <c r="D109" s="17" t="s">
        <v>1554</v>
      </c>
      <c r="E109" s="6"/>
      <c r="F109" s="32"/>
      <c r="J109" s="72"/>
      <c r="K109" s="72"/>
      <c r="L109" s="72"/>
      <c r="M109" s="84"/>
      <c r="N109" s="84"/>
      <c r="O109" s="84"/>
      <c r="P109" s="84"/>
      <c r="Q109" s="8"/>
      <c r="T109" s="72"/>
      <c r="U109" s="72"/>
      <c r="V109" s="72"/>
      <c r="W109" s="72"/>
      <c r="X109" s="72"/>
      <c r="Y109" s="72"/>
      <c r="Z109" s="72"/>
      <c r="AA109" s="72"/>
      <c r="AB109" s="72"/>
      <c r="AC109" s="72"/>
      <c r="AD109" s="72"/>
      <c r="AE109" s="72"/>
      <c r="AF109" s="72"/>
      <c r="AG109" s="72"/>
      <c r="AJ109" s="72"/>
      <c r="AK109" s="84"/>
    </row>
    <row r="110" customFormat="false" ht="14.25" hidden="false" customHeight="true" outlineLevel="0" collapsed="false">
      <c r="A110" s="94" t="s">
        <v>11</v>
      </c>
      <c r="B110" s="95" t="n">
        <v>1</v>
      </c>
      <c r="C110" s="96" t="s">
        <v>1151</v>
      </c>
      <c r="D110" s="17" t="s">
        <v>1555</v>
      </c>
      <c r="E110" s="6"/>
      <c r="F110" s="32"/>
      <c r="J110" s="72"/>
      <c r="K110" s="72"/>
      <c r="L110" s="72"/>
      <c r="M110" s="84"/>
      <c r="N110" s="84"/>
      <c r="O110" s="84"/>
      <c r="P110" s="84"/>
      <c r="Q110" s="8"/>
      <c r="T110" s="72"/>
      <c r="U110" s="72"/>
      <c r="V110" s="72"/>
      <c r="W110" s="72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  <c r="AJ110" s="72"/>
      <c r="AK110" s="84"/>
    </row>
    <row r="111" customFormat="false" ht="14.25" hidden="false" customHeight="true" outlineLevel="0" collapsed="false">
      <c r="A111" s="94" t="s">
        <v>30</v>
      </c>
      <c r="B111" s="95" t="n">
        <v>1</v>
      </c>
      <c r="C111" s="96" t="s">
        <v>11</v>
      </c>
      <c r="D111" s="17" t="s">
        <v>1556</v>
      </c>
      <c r="E111" s="6"/>
      <c r="F111" s="32"/>
      <c r="J111" s="72"/>
      <c r="K111" s="72"/>
      <c r="L111" s="72"/>
      <c r="M111" s="84"/>
      <c r="N111" s="84"/>
      <c r="O111" s="84"/>
      <c r="P111" s="84"/>
      <c r="Q111" s="8"/>
      <c r="T111" s="72"/>
      <c r="U111" s="72"/>
      <c r="V111" s="72"/>
      <c r="W111" s="72"/>
      <c r="X111" s="72"/>
      <c r="Y111" s="72"/>
      <c r="Z111" s="72"/>
      <c r="AA111" s="72"/>
      <c r="AB111" s="72"/>
      <c r="AC111" s="72"/>
      <c r="AD111" s="72"/>
      <c r="AE111" s="72"/>
      <c r="AF111" s="72"/>
      <c r="AG111" s="72"/>
      <c r="AJ111" s="72"/>
      <c r="AK111" s="84"/>
    </row>
    <row r="112" customFormat="false" ht="14.25" hidden="false" customHeight="true" outlineLevel="0" collapsed="false">
      <c r="A112" s="94" t="s">
        <v>36</v>
      </c>
      <c r="B112" s="95" t="n">
        <v>2</v>
      </c>
      <c r="C112" s="96" t="s">
        <v>35</v>
      </c>
      <c r="D112" s="17" t="s">
        <v>1557</v>
      </c>
      <c r="E112" s="6"/>
      <c r="F112" s="32"/>
      <c r="J112" s="72"/>
      <c r="K112" s="72"/>
      <c r="L112" s="72"/>
      <c r="M112" s="84"/>
      <c r="N112" s="84"/>
      <c r="O112" s="84"/>
      <c r="P112" s="84"/>
      <c r="Q112" s="8"/>
      <c r="T112" s="72"/>
      <c r="U112" s="72"/>
      <c r="V112" s="72"/>
      <c r="W112" s="72"/>
      <c r="X112" s="72"/>
      <c r="Y112" s="72"/>
      <c r="Z112" s="72"/>
      <c r="AA112" s="72"/>
      <c r="AB112" s="72"/>
      <c r="AC112" s="72"/>
      <c r="AD112" s="72"/>
      <c r="AE112" s="72"/>
      <c r="AF112" s="72"/>
      <c r="AG112" s="72"/>
      <c r="AJ112" s="72"/>
      <c r="AK112" s="84"/>
    </row>
    <row r="113" customFormat="false" ht="14.25" hidden="false" customHeight="true" outlineLevel="0" collapsed="false">
      <c r="A113" s="94" t="s">
        <v>11</v>
      </c>
      <c r="B113" s="95" t="n">
        <v>2</v>
      </c>
      <c r="C113" s="96" t="s">
        <v>42</v>
      </c>
      <c r="D113" s="17" t="s">
        <v>1558</v>
      </c>
      <c r="E113" s="6"/>
      <c r="F113" s="32"/>
      <c r="J113" s="72"/>
      <c r="K113" s="72"/>
      <c r="L113" s="72"/>
      <c r="M113" s="84"/>
      <c r="N113" s="84"/>
      <c r="O113" s="84"/>
      <c r="P113" s="84"/>
      <c r="Q113" s="8"/>
      <c r="T113" s="72"/>
      <c r="U113" s="72"/>
      <c r="V113" s="72"/>
      <c r="W113" s="72"/>
      <c r="X113" s="72"/>
      <c r="Y113" s="72"/>
      <c r="Z113" s="72"/>
      <c r="AA113" s="72"/>
      <c r="AB113" s="72"/>
      <c r="AC113" s="72"/>
      <c r="AD113" s="72"/>
      <c r="AE113" s="72"/>
      <c r="AF113" s="72"/>
      <c r="AG113" s="72"/>
      <c r="AJ113" s="72"/>
      <c r="AK113" s="84"/>
    </row>
    <row r="114" customFormat="false" ht="14.25" hidden="false" customHeight="true" outlineLevel="0" collapsed="false">
      <c r="A114" s="94" t="s">
        <v>43</v>
      </c>
      <c r="B114" s="95" t="n">
        <v>2</v>
      </c>
      <c r="C114" s="96" t="s">
        <v>1151</v>
      </c>
      <c r="D114" s="17" t="s">
        <v>1559</v>
      </c>
      <c r="E114" s="6"/>
      <c r="F114" s="32"/>
      <c r="J114" s="72"/>
      <c r="K114" s="72"/>
      <c r="L114" s="72"/>
      <c r="M114" s="84"/>
      <c r="N114" s="84"/>
      <c r="O114" s="84"/>
      <c r="P114" s="84"/>
      <c r="Q114" s="8"/>
      <c r="T114" s="72"/>
      <c r="U114" s="72"/>
      <c r="V114" s="72"/>
      <c r="W114" s="72"/>
      <c r="X114" s="72"/>
      <c r="Y114" s="72"/>
      <c r="Z114" s="72"/>
      <c r="AA114" s="72"/>
      <c r="AB114" s="72"/>
      <c r="AC114" s="72"/>
      <c r="AD114" s="72"/>
      <c r="AE114" s="72"/>
      <c r="AF114" s="72"/>
      <c r="AG114" s="72"/>
      <c r="AJ114" s="72"/>
      <c r="AK114" s="84"/>
    </row>
    <row r="115" customFormat="false" ht="14.25" hidden="false" customHeight="true" outlineLevel="0" collapsed="false">
      <c r="A115" s="94" t="s">
        <v>1447</v>
      </c>
      <c r="B115" s="95" t="n">
        <v>2</v>
      </c>
      <c r="C115" s="96" t="s">
        <v>43</v>
      </c>
      <c r="D115" s="17" t="s">
        <v>1560</v>
      </c>
      <c r="E115" s="6"/>
      <c r="F115" s="32"/>
      <c r="J115" s="72"/>
      <c r="K115" s="72"/>
      <c r="L115" s="72"/>
      <c r="M115" s="84"/>
      <c r="N115" s="84"/>
      <c r="O115" s="84"/>
      <c r="P115" s="84"/>
      <c r="Q115" s="8"/>
      <c r="T115" s="72"/>
      <c r="U115" s="72"/>
      <c r="V115" s="72"/>
      <c r="W115" s="72"/>
      <c r="X115" s="72"/>
      <c r="Y115" s="72"/>
      <c r="Z115" s="72"/>
      <c r="AA115" s="72"/>
      <c r="AB115" s="72"/>
      <c r="AC115" s="72"/>
      <c r="AD115" s="72"/>
      <c r="AE115" s="72"/>
      <c r="AF115" s="72"/>
      <c r="AG115" s="72"/>
      <c r="AJ115" s="72"/>
      <c r="AK115" s="84"/>
    </row>
    <row r="116" customFormat="false" ht="14.25" hidden="false" customHeight="true" outlineLevel="0" collapsed="false">
      <c r="A116" s="94" t="s">
        <v>1151</v>
      </c>
      <c r="B116" s="95" t="n">
        <v>2</v>
      </c>
      <c r="C116" s="96" t="s">
        <v>43</v>
      </c>
      <c r="D116" s="17" t="s">
        <v>1561</v>
      </c>
      <c r="E116" s="6"/>
      <c r="F116" s="32"/>
      <c r="J116" s="72"/>
      <c r="K116" s="72"/>
      <c r="L116" s="72"/>
      <c r="M116" s="84"/>
      <c r="N116" s="84"/>
      <c r="O116" s="84"/>
      <c r="P116" s="84"/>
      <c r="Q116" s="8"/>
      <c r="T116" s="72"/>
      <c r="U116" s="72"/>
      <c r="V116" s="72"/>
      <c r="W116" s="72"/>
      <c r="X116" s="72"/>
      <c r="Y116" s="72"/>
      <c r="Z116" s="72"/>
      <c r="AA116" s="72"/>
      <c r="AB116" s="72"/>
      <c r="AC116" s="72"/>
      <c r="AD116" s="72"/>
      <c r="AE116" s="72"/>
      <c r="AF116" s="72"/>
      <c r="AG116" s="72"/>
      <c r="AJ116" s="72"/>
      <c r="AK116" s="84"/>
    </row>
    <row r="117" customFormat="false" ht="14.25" hidden="false" customHeight="true" outlineLevel="0" collapsed="false">
      <c r="A117" s="94" t="s">
        <v>1151</v>
      </c>
      <c r="B117" s="95" t="n">
        <v>2</v>
      </c>
      <c r="C117" s="96" t="s">
        <v>41</v>
      </c>
      <c r="D117" s="17" t="s">
        <v>1562</v>
      </c>
      <c r="E117" s="6"/>
      <c r="F117" s="32"/>
      <c r="J117" s="72"/>
      <c r="K117" s="72"/>
      <c r="L117" s="72"/>
      <c r="M117" s="84"/>
      <c r="N117" s="84"/>
      <c r="O117" s="84"/>
      <c r="P117" s="84"/>
      <c r="Q117" s="8"/>
      <c r="T117" s="72"/>
      <c r="U117" s="72"/>
      <c r="V117" s="72"/>
      <c r="W117" s="72"/>
      <c r="X117" s="72"/>
      <c r="Y117" s="72"/>
      <c r="Z117" s="72"/>
      <c r="AA117" s="72"/>
      <c r="AB117" s="72"/>
      <c r="AC117" s="72"/>
      <c r="AD117" s="72"/>
      <c r="AE117" s="72"/>
      <c r="AF117" s="72"/>
      <c r="AG117" s="72"/>
      <c r="AJ117" s="72"/>
      <c r="AK117" s="84"/>
    </row>
    <row r="118" customFormat="false" ht="14.25" hidden="false" customHeight="true" outlineLevel="0" collapsed="false">
      <c r="A118" s="94" t="s">
        <v>41</v>
      </c>
      <c r="B118" s="95" t="n">
        <v>1</v>
      </c>
      <c r="C118" s="96" t="s">
        <v>1151</v>
      </c>
      <c r="D118" s="17" t="s">
        <v>1563</v>
      </c>
      <c r="E118" s="6"/>
      <c r="F118" s="32"/>
      <c r="J118" s="72"/>
      <c r="K118" s="72"/>
      <c r="L118" s="72"/>
      <c r="M118" s="84"/>
      <c r="N118" s="84"/>
      <c r="O118" s="84"/>
      <c r="P118" s="84"/>
      <c r="Q118" s="8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J118" s="72"/>
      <c r="AK118" s="84"/>
    </row>
    <row r="119" customFormat="false" ht="14.25" hidden="false" customHeight="true" outlineLevel="0" collapsed="false">
      <c r="A119" s="94" t="s">
        <v>43</v>
      </c>
      <c r="B119" s="95" t="n">
        <v>1</v>
      </c>
      <c r="C119" s="96" t="s">
        <v>1443</v>
      </c>
      <c r="D119" s="17" t="s">
        <v>1564</v>
      </c>
      <c r="E119" s="6"/>
      <c r="F119" s="32"/>
      <c r="J119" s="72"/>
      <c r="K119" s="72"/>
      <c r="L119" s="72"/>
      <c r="M119" s="84"/>
      <c r="N119" s="84"/>
      <c r="O119" s="84"/>
      <c r="P119" s="84"/>
      <c r="Q119" s="8"/>
      <c r="T119" s="72"/>
      <c r="U119" s="72"/>
      <c r="V119" s="72"/>
      <c r="W119" s="72"/>
      <c r="X119" s="72"/>
      <c r="Y119" s="72"/>
      <c r="Z119" s="72"/>
      <c r="AA119" s="72"/>
      <c r="AB119" s="72"/>
      <c r="AC119" s="72"/>
      <c r="AD119" s="72"/>
      <c r="AE119" s="72"/>
      <c r="AF119" s="72"/>
      <c r="AG119" s="72"/>
      <c r="AJ119" s="72"/>
      <c r="AK119" s="84"/>
    </row>
    <row r="120" customFormat="false" ht="14.25" hidden="false" customHeight="true" outlineLevel="0" collapsed="false">
      <c r="A120" s="94" t="s">
        <v>1443</v>
      </c>
      <c r="B120" s="95" t="n">
        <v>1</v>
      </c>
      <c r="C120" s="96" t="s">
        <v>43</v>
      </c>
      <c r="D120" s="17" t="s">
        <v>1565</v>
      </c>
      <c r="E120" s="6"/>
      <c r="F120" s="32"/>
      <c r="J120" s="72"/>
      <c r="K120" s="72"/>
      <c r="L120" s="72"/>
      <c r="M120" s="84"/>
      <c r="N120" s="84"/>
      <c r="O120" s="84"/>
      <c r="P120" s="84"/>
      <c r="Q120" s="8"/>
      <c r="T120" s="72"/>
      <c r="U120" s="72"/>
      <c r="V120" s="72"/>
      <c r="W120" s="72"/>
      <c r="X120" s="72"/>
      <c r="Y120" s="72"/>
      <c r="Z120" s="72"/>
      <c r="AA120" s="72"/>
      <c r="AB120" s="72"/>
      <c r="AC120" s="72"/>
      <c r="AD120" s="72"/>
      <c r="AE120" s="72"/>
      <c r="AF120" s="72"/>
      <c r="AG120" s="72"/>
      <c r="AJ120" s="72"/>
      <c r="AK120" s="84"/>
    </row>
    <row r="121" customFormat="false" ht="14.25" hidden="false" customHeight="true" outlineLevel="0" collapsed="false">
      <c r="A121" s="94" t="s">
        <v>11</v>
      </c>
      <c r="B121" s="95" t="n">
        <v>2</v>
      </c>
      <c r="C121" s="96" t="s">
        <v>35</v>
      </c>
      <c r="D121" s="17" t="s">
        <v>1566</v>
      </c>
      <c r="E121" s="6"/>
      <c r="F121" s="32"/>
      <c r="J121" s="72"/>
      <c r="K121" s="72"/>
      <c r="L121" s="72"/>
      <c r="M121" s="84"/>
      <c r="N121" s="84"/>
      <c r="O121" s="84"/>
      <c r="P121" s="84"/>
      <c r="Q121" s="8"/>
      <c r="T121" s="72"/>
      <c r="U121" s="72"/>
      <c r="V121" s="72"/>
      <c r="W121" s="72"/>
      <c r="X121" s="72"/>
      <c r="Y121" s="72"/>
      <c r="Z121" s="72"/>
      <c r="AA121" s="72"/>
      <c r="AB121" s="72"/>
      <c r="AC121" s="72"/>
      <c r="AD121" s="72"/>
      <c r="AE121" s="72"/>
      <c r="AF121" s="72"/>
      <c r="AG121" s="72"/>
      <c r="AJ121" s="72"/>
      <c r="AK121" s="84"/>
    </row>
    <row r="122" customFormat="false" ht="14.25" hidden="false" customHeight="true" outlineLevel="0" collapsed="false">
      <c r="A122" s="94" t="s">
        <v>1151</v>
      </c>
      <c r="B122" s="95" t="n">
        <v>2</v>
      </c>
      <c r="C122" s="96" t="s">
        <v>35</v>
      </c>
      <c r="D122" s="17" t="s">
        <v>1567</v>
      </c>
      <c r="E122" s="6"/>
      <c r="F122" s="32"/>
      <c r="J122" s="72"/>
      <c r="K122" s="72"/>
      <c r="L122" s="72"/>
      <c r="M122" s="84"/>
      <c r="N122" s="84"/>
      <c r="O122" s="84"/>
      <c r="P122" s="84"/>
      <c r="Q122" s="8"/>
      <c r="T122" s="72"/>
      <c r="U122" s="72"/>
      <c r="V122" s="72"/>
      <c r="W122" s="72"/>
      <c r="X122" s="72"/>
      <c r="Y122" s="72"/>
      <c r="Z122" s="72"/>
      <c r="AA122" s="72"/>
      <c r="AB122" s="72"/>
      <c r="AC122" s="72"/>
      <c r="AD122" s="72"/>
      <c r="AE122" s="72"/>
      <c r="AF122" s="72"/>
      <c r="AG122" s="72"/>
      <c r="AJ122" s="72"/>
      <c r="AK122" s="84"/>
    </row>
    <row r="123" customFormat="false" ht="14.25" hidden="false" customHeight="true" outlineLevel="0" collapsed="false">
      <c r="A123" s="94" t="s">
        <v>1151</v>
      </c>
      <c r="B123" s="95" t="n">
        <v>2</v>
      </c>
      <c r="C123" s="96" t="s">
        <v>30</v>
      </c>
      <c r="D123" s="17" t="s">
        <v>1568</v>
      </c>
      <c r="E123" s="6" t="n">
        <v>1</v>
      </c>
      <c r="F123" s="32"/>
      <c r="J123" s="72"/>
      <c r="K123" s="72"/>
      <c r="L123" s="72"/>
      <c r="M123" s="84"/>
      <c r="N123" s="84"/>
      <c r="O123" s="84"/>
      <c r="P123" s="84"/>
      <c r="Q123" s="8"/>
      <c r="T123" s="72"/>
      <c r="U123" s="72"/>
      <c r="V123" s="72"/>
      <c r="W123" s="72"/>
      <c r="X123" s="72"/>
      <c r="Y123" s="72"/>
      <c r="Z123" s="72"/>
      <c r="AA123" s="72"/>
      <c r="AB123" s="72"/>
      <c r="AC123" s="72"/>
      <c r="AD123" s="72"/>
      <c r="AE123" s="72"/>
      <c r="AF123" s="72"/>
      <c r="AG123" s="72"/>
      <c r="AJ123" s="72"/>
      <c r="AK123" s="84"/>
    </row>
    <row r="124" customFormat="false" ht="14.25" hidden="false" customHeight="true" outlineLevel="0" collapsed="false">
      <c r="A124" s="94" t="s">
        <v>42</v>
      </c>
      <c r="B124" s="95" t="n">
        <v>2</v>
      </c>
      <c r="C124" s="96" t="s">
        <v>39</v>
      </c>
      <c r="D124" s="17" t="s">
        <v>1569</v>
      </c>
      <c r="E124" s="6"/>
      <c r="F124" s="32"/>
      <c r="J124" s="72"/>
      <c r="K124" s="72"/>
      <c r="L124" s="72"/>
      <c r="M124" s="84"/>
      <c r="N124" s="84"/>
      <c r="O124" s="84"/>
      <c r="P124" s="84"/>
      <c r="Q124" s="8"/>
      <c r="T124" s="72"/>
      <c r="U124" s="72"/>
      <c r="V124" s="72"/>
      <c r="W124" s="72"/>
      <c r="X124" s="72"/>
      <c r="Y124" s="72"/>
      <c r="Z124" s="72"/>
      <c r="AA124" s="72"/>
      <c r="AB124" s="72"/>
      <c r="AC124" s="72"/>
      <c r="AD124" s="72"/>
      <c r="AE124" s="72"/>
      <c r="AF124" s="72"/>
      <c r="AG124" s="72"/>
      <c r="AJ124" s="72"/>
      <c r="AK124" s="84"/>
    </row>
    <row r="125" customFormat="false" ht="14.25" hidden="false" customHeight="true" outlineLevel="0" collapsed="false">
      <c r="A125" s="94" t="s">
        <v>1447</v>
      </c>
      <c r="B125" s="95" t="n">
        <v>1</v>
      </c>
      <c r="C125" s="96" t="s">
        <v>1443</v>
      </c>
      <c r="D125" s="17" t="s">
        <v>1570</v>
      </c>
      <c r="E125" s="6"/>
      <c r="F125" s="32"/>
      <c r="J125" s="72"/>
      <c r="K125" s="72"/>
      <c r="L125" s="72"/>
      <c r="M125" s="84"/>
      <c r="N125" s="84"/>
      <c r="O125" s="84"/>
      <c r="P125" s="84"/>
      <c r="Q125" s="8"/>
      <c r="T125" s="72"/>
      <c r="U125" s="72"/>
      <c r="V125" s="72"/>
      <c r="W125" s="72"/>
      <c r="X125" s="72"/>
      <c r="Y125" s="72"/>
      <c r="Z125" s="72"/>
      <c r="AA125" s="72"/>
      <c r="AB125" s="72"/>
      <c r="AC125" s="72"/>
      <c r="AD125" s="72"/>
      <c r="AE125" s="72"/>
      <c r="AF125" s="72"/>
      <c r="AG125" s="72"/>
      <c r="AJ125" s="72"/>
      <c r="AK125" s="84"/>
    </row>
    <row r="126" customFormat="false" ht="14.25" hidden="false" customHeight="true" outlineLevel="0" collapsed="false">
      <c r="A126" s="94" t="s">
        <v>36</v>
      </c>
      <c r="B126" s="95" t="n">
        <v>1</v>
      </c>
      <c r="C126" s="121" t="s">
        <v>42</v>
      </c>
      <c r="D126" s="17" t="s">
        <v>1571</v>
      </c>
      <c r="E126" s="6"/>
      <c r="F126" s="32"/>
    </row>
    <row r="127" customFormat="false" ht="14.25" hidden="false" customHeight="true" outlineLevel="0" collapsed="false">
      <c r="A127" s="94" t="s">
        <v>42</v>
      </c>
      <c r="B127" s="95" t="n">
        <v>1</v>
      </c>
      <c r="C127" s="121" t="s">
        <v>36</v>
      </c>
      <c r="D127" s="17" t="s">
        <v>1572</v>
      </c>
      <c r="E127" s="6"/>
      <c r="F127" s="32"/>
    </row>
    <row r="128" customFormat="false" ht="14.25" hidden="false" customHeight="true" outlineLevel="0" collapsed="false">
      <c r="A128" s="94" t="s">
        <v>1151</v>
      </c>
      <c r="B128" s="95" t="n">
        <v>1</v>
      </c>
      <c r="C128" s="121" t="s">
        <v>30</v>
      </c>
      <c r="D128" s="17" t="s">
        <v>1573</v>
      </c>
      <c r="E128" s="6" t="n">
        <v>1</v>
      </c>
      <c r="F128" s="32"/>
    </row>
    <row r="129" customFormat="false" ht="14.25" hidden="false" customHeight="true" outlineLevel="0" collapsed="false">
      <c r="A129" s="94" t="s">
        <v>30</v>
      </c>
      <c r="B129" s="95" t="n">
        <v>1</v>
      </c>
      <c r="C129" s="121" t="s">
        <v>1151</v>
      </c>
      <c r="D129" s="17" t="s">
        <v>1574</v>
      </c>
      <c r="E129" s="6"/>
      <c r="F129" s="32"/>
    </row>
    <row r="130" customFormat="false" ht="14.25" hidden="false" customHeight="true" outlineLevel="0" collapsed="false">
      <c r="A130" s="94" t="s">
        <v>36</v>
      </c>
      <c r="B130" s="95" t="n">
        <v>1</v>
      </c>
      <c r="C130" s="96" t="s">
        <v>39</v>
      </c>
      <c r="D130" s="17" t="s">
        <v>1575</v>
      </c>
      <c r="E130" s="6"/>
      <c r="F130" s="32"/>
    </row>
    <row r="131" customFormat="false" ht="14.25" hidden="false" customHeight="true" outlineLevel="0" collapsed="false">
      <c r="A131" s="94" t="s">
        <v>30</v>
      </c>
      <c r="B131" s="95" t="n">
        <v>1</v>
      </c>
      <c r="C131" s="96" t="s">
        <v>1151</v>
      </c>
      <c r="D131" s="17" t="s">
        <v>1576</v>
      </c>
      <c r="E131" s="6"/>
      <c r="F131" s="32"/>
    </row>
    <row r="132" customFormat="false" ht="14.25" hidden="false" customHeight="true" outlineLevel="0" collapsed="false">
      <c r="A132" s="94" t="s">
        <v>1151</v>
      </c>
      <c r="B132" s="95" t="n">
        <v>1</v>
      </c>
      <c r="C132" s="96" t="s">
        <v>30</v>
      </c>
      <c r="D132" s="17" t="s">
        <v>1577</v>
      </c>
      <c r="E132" s="6" t="n">
        <v>0</v>
      </c>
      <c r="F132" s="32"/>
    </row>
    <row r="133" customFormat="false" ht="14.25" hidden="false" customHeight="true" outlineLevel="0" collapsed="false">
      <c r="A133" s="94" t="s">
        <v>30</v>
      </c>
      <c r="B133" s="95" t="n">
        <v>1</v>
      </c>
      <c r="C133" s="96" t="s">
        <v>11</v>
      </c>
      <c r="D133" s="17" t="s">
        <v>1578</v>
      </c>
      <c r="E133" s="6"/>
      <c r="F133" s="32"/>
    </row>
    <row r="134" customFormat="false" ht="14.25" hidden="false" customHeight="true" outlineLevel="0" collapsed="false">
      <c r="A134" s="94" t="s">
        <v>11</v>
      </c>
      <c r="B134" s="95" t="n">
        <v>1</v>
      </c>
      <c r="C134" s="96" t="s">
        <v>30</v>
      </c>
      <c r="D134" s="17" t="s">
        <v>1579</v>
      </c>
      <c r="E134" s="6" t="n">
        <v>0</v>
      </c>
      <c r="F134" s="32"/>
    </row>
    <row r="135" customFormat="false" ht="14.25" hidden="false" customHeight="true" outlineLevel="0" collapsed="false">
      <c r="A135" s="94" t="s">
        <v>41</v>
      </c>
      <c r="B135" s="95" t="n">
        <v>1</v>
      </c>
      <c r="C135" s="96" t="s">
        <v>39</v>
      </c>
      <c r="D135" s="17" t="s">
        <v>1580</v>
      </c>
      <c r="E135" s="6"/>
      <c r="F135" s="32"/>
    </row>
    <row r="136" customFormat="false" ht="14.25" hidden="false" customHeight="true" outlineLevel="0" collapsed="false">
      <c r="A136" s="94" t="s">
        <v>39</v>
      </c>
      <c r="B136" s="95" t="n">
        <v>1</v>
      </c>
      <c r="C136" s="96" t="s">
        <v>41</v>
      </c>
      <c r="D136" s="17" t="s">
        <v>1581</v>
      </c>
      <c r="E136" s="6"/>
      <c r="F136" s="32"/>
    </row>
    <row r="137" customFormat="false" ht="14.25" hidden="false" customHeight="true" outlineLevel="0" collapsed="false">
      <c r="A137" s="94" t="s">
        <v>41</v>
      </c>
      <c r="B137" s="95" t="n">
        <v>2</v>
      </c>
      <c r="C137" s="96" t="s">
        <v>36</v>
      </c>
      <c r="D137" s="17" t="s">
        <v>1582</v>
      </c>
      <c r="E137" s="6"/>
      <c r="F137" s="32"/>
    </row>
    <row r="138" customFormat="false" ht="14.25" hidden="false" customHeight="true" outlineLevel="0" collapsed="false">
      <c r="A138" s="94" t="s">
        <v>1151</v>
      </c>
      <c r="B138" s="95" t="n">
        <v>1</v>
      </c>
      <c r="C138" s="96" t="s">
        <v>41</v>
      </c>
      <c r="D138" s="17" t="s">
        <v>1583</v>
      </c>
      <c r="E138" s="6"/>
      <c r="F138" s="32"/>
    </row>
    <row r="139" customFormat="false" ht="14.25" hidden="false" customHeight="true" outlineLevel="0" collapsed="false">
      <c r="A139" s="94" t="s">
        <v>41</v>
      </c>
      <c r="B139" s="95" t="n">
        <v>1</v>
      </c>
      <c r="C139" s="96" t="s">
        <v>1151</v>
      </c>
      <c r="D139" s="17" t="s">
        <v>1584</v>
      </c>
      <c r="E139" s="6"/>
      <c r="F139" s="32"/>
    </row>
    <row r="140" customFormat="false" ht="14.25" hidden="false" customHeight="true" outlineLevel="0" collapsed="false">
      <c r="A140" s="94" t="s">
        <v>1443</v>
      </c>
      <c r="B140" s="95" t="n">
        <v>2</v>
      </c>
      <c r="C140" s="96" t="s">
        <v>30</v>
      </c>
      <c r="D140" s="17" t="s">
        <v>1585</v>
      </c>
      <c r="E140" s="6" t="n">
        <v>1</v>
      </c>
      <c r="F140" s="32"/>
    </row>
    <row r="141" customFormat="false" ht="14.25" hidden="false" customHeight="true" outlineLevel="0" collapsed="false">
      <c r="A141" s="94" t="s">
        <v>30</v>
      </c>
      <c r="B141" s="95" t="n">
        <v>1</v>
      </c>
      <c r="C141" s="96" t="s">
        <v>1447</v>
      </c>
      <c r="D141" s="17" t="s">
        <v>1586</v>
      </c>
      <c r="E141" s="6"/>
      <c r="F141" s="32"/>
    </row>
    <row r="142" customFormat="false" ht="14.25" hidden="false" customHeight="true" outlineLevel="0" collapsed="false">
      <c r="A142" s="94" t="s">
        <v>1154</v>
      </c>
      <c r="B142" s="95" t="n">
        <v>2</v>
      </c>
      <c r="C142" s="96" t="s">
        <v>35</v>
      </c>
      <c r="D142" s="17" t="s">
        <v>1587</v>
      </c>
      <c r="E142" s="6"/>
      <c r="F142" s="32"/>
    </row>
    <row r="143" customFormat="false" ht="14.25" hidden="false" customHeight="true" outlineLevel="0" collapsed="false">
      <c r="A143" s="94" t="s">
        <v>39</v>
      </c>
      <c r="B143" s="95" t="n">
        <v>2</v>
      </c>
      <c r="C143" s="96" t="s">
        <v>30</v>
      </c>
      <c r="D143" s="17" t="s">
        <v>1588</v>
      </c>
      <c r="E143" s="6" t="n">
        <v>0</v>
      </c>
      <c r="F143" s="32"/>
    </row>
    <row r="144" customFormat="false" ht="14.25" hidden="false" customHeight="true" outlineLevel="0" collapsed="false">
      <c r="A144" s="94" t="s">
        <v>30</v>
      </c>
      <c r="B144" s="95" t="n">
        <v>1</v>
      </c>
      <c r="C144" s="96" t="s">
        <v>39</v>
      </c>
      <c r="D144" s="17" t="s">
        <v>1589</v>
      </c>
      <c r="E144" s="6"/>
      <c r="F144" s="32"/>
    </row>
    <row r="145" customFormat="false" ht="14.25" hidden="false" customHeight="true" outlineLevel="0" collapsed="false">
      <c r="A145" s="94" t="s">
        <v>39</v>
      </c>
      <c r="B145" s="95" t="n">
        <v>1</v>
      </c>
      <c r="C145" s="96" t="s">
        <v>30</v>
      </c>
      <c r="D145" s="17" t="s">
        <v>1590</v>
      </c>
      <c r="E145" s="6" t="n">
        <v>0</v>
      </c>
      <c r="F145" s="32"/>
    </row>
    <row r="146" customFormat="false" ht="14.25" hidden="false" customHeight="true" outlineLevel="0" collapsed="false">
      <c r="A146" s="94" t="s">
        <v>11</v>
      </c>
      <c r="B146" s="95" t="n">
        <v>1</v>
      </c>
      <c r="C146" s="96" t="s">
        <v>39</v>
      </c>
      <c r="D146" s="17" t="s">
        <v>1591</v>
      </c>
      <c r="E146" s="6"/>
      <c r="F146" s="32"/>
    </row>
    <row r="147" customFormat="false" ht="14.25" hidden="false" customHeight="true" outlineLevel="0" collapsed="false">
      <c r="A147" s="94" t="s">
        <v>39</v>
      </c>
      <c r="B147" s="95" t="n">
        <v>1</v>
      </c>
      <c r="C147" s="96" t="s">
        <v>11</v>
      </c>
      <c r="D147" s="17" t="s">
        <v>1592</v>
      </c>
      <c r="E147" s="6"/>
      <c r="F147" s="32"/>
    </row>
    <row r="148" customFormat="false" ht="14.25" hidden="false" customHeight="true" outlineLevel="0" collapsed="false">
      <c r="A148" s="94" t="s">
        <v>1151</v>
      </c>
      <c r="B148" s="95" t="n">
        <v>2</v>
      </c>
      <c r="C148" s="96" t="s">
        <v>39</v>
      </c>
      <c r="D148" s="17" t="s">
        <v>1593</v>
      </c>
      <c r="E148" s="6"/>
      <c r="F148" s="32"/>
    </row>
    <row r="149" customFormat="false" ht="14.25" hidden="false" customHeight="true" outlineLevel="0" collapsed="false">
      <c r="A149" s="94" t="s">
        <v>1151</v>
      </c>
      <c r="B149" s="95" t="n">
        <v>2</v>
      </c>
      <c r="C149" s="96" t="s">
        <v>35</v>
      </c>
      <c r="D149" s="17" t="s">
        <v>1594</v>
      </c>
      <c r="E149" s="6"/>
      <c r="F149" s="32"/>
    </row>
    <row r="150" customFormat="false" ht="14.25" hidden="false" customHeight="true" outlineLevel="0" collapsed="false">
      <c r="A150" s="94" t="s">
        <v>1151</v>
      </c>
      <c r="B150" s="95" t="n">
        <v>2</v>
      </c>
      <c r="C150" s="96" t="s">
        <v>30</v>
      </c>
      <c r="D150" s="17" t="s">
        <v>1595</v>
      </c>
      <c r="E150" s="6" t="n">
        <v>1</v>
      </c>
      <c r="F150" s="32"/>
    </row>
    <row r="151" customFormat="false" ht="14.25" hidden="false" customHeight="true" outlineLevel="0" collapsed="false">
      <c r="A151" s="94" t="s">
        <v>36</v>
      </c>
      <c r="B151" s="95" t="n">
        <v>2</v>
      </c>
      <c r="C151" s="96" t="s">
        <v>43</v>
      </c>
      <c r="D151" s="17" t="s">
        <v>1596</v>
      </c>
      <c r="E151" s="6"/>
      <c r="F151" s="32"/>
    </row>
    <row r="152" customFormat="false" ht="14.25" hidden="false" customHeight="true" outlineLevel="0" collapsed="false">
      <c r="A152" s="94" t="s">
        <v>1151</v>
      </c>
      <c r="B152" s="95" t="n">
        <v>2</v>
      </c>
      <c r="C152" s="96" t="s">
        <v>43</v>
      </c>
      <c r="D152" s="17" t="s">
        <v>1597</v>
      </c>
      <c r="E152" s="6"/>
      <c r="F152" s="32"/>
    </row>
    <row r="153" customFormat="false" ht="14.25" hidden="false" customHeight="true" outlineLevel="0" collapsed="false">
      <c r="A153" s="94" t="s">
        <v>11</v>
      </c>
      <c r="B153" s="95" t="n">
        <v>2</v>
      </c>
      <c r="C153" s="96" t="s">
        <v>42</v>
      </c>
      <c r="D153" s="17" t="s">
        <v>1598</v>
      </c>
      <c r="E153" s="6"/>
      <c r="F153" s="32"/>
    </row>
    <row r="154" customFormat="false" ht="14.25" hidden="false" customHeight="true" outlineLevel="0" collapsed="false">
      <c r="A154" s="94" t="s">
        <v>11</v>
      </c>
      <c r="B154" s="95" t="n">
        <v>1</v>
      </c>
      <c r="C154" s="96" t="s">
        <v>42</v>
      </c>
      <c r="D154" s="17" t="s">
        <v>1599</v>
      </c>
      <c r="E154" s="6"/>
      <c r="F154" s="32"/>
    </row>
    <row r="155" customFormat="false" ht="14.25" hidden="false" customHeight="true" outlineLevel="0" collapsed="false">
      <c r="A155" s="94" t="s">
        <v>1151</v>
      </c>
      <c r="B155" s="95" t="n">
        <v>1</v>
      </c>
      <c r="C155" s="96" t="s">
        <v>30</v>
      </c>
      <c r="D155" s="17" t="s">
        <v>1600</v>
      </c>
      <c r="E155" s="6" t="n">
        <v>1</v>
      </c>
      <c r="F155" s="32"/>
    </row>
    <row r="156" customFormat="false" ht="14.25" hidden="false" customHeight="true" outlineLevel="0" collapsed="false">
      <c r="A156" s="94" t="s">
        <v>30</v>
      </c>
      <c r="B156" s="95" t="n">
        <v>1</v>
      </c>
      <c r="C156" s="96" t="s">
        <v>1151</v>
      </c>
      <c r="D156" s="17" t="s">
        <v>1601</v>
      </c>
      <c r="E156" s="6"/>
      <c r="F156" s="32"/>
    </row>
    <row r="157" customFormat="false" ht="14.25" hidden="false" customHeight="true" outlineLevel="0" collapsed="false">
      <c r="A157" s="94" t="s">
        <v>42</v>
      </c>
      <c r="B157" s="95" t="n">
        <v>1</v>
      </c>
      <c r="C157" s="96" t="s">
        <v>39</v>
      </c>
      <c r="D157" s="17" t="s">
        <v>1602</v>
      </c>
      <c r="E157" s="6"/>
      <c r="F157" s="32"/>
    </row>
    <row r="158" customFormat="false" ht="14.25" hidden="false" customHeight="true" outlineLevel="0" collapsed="false">
      <c r="A158" s="94" t="s">
        <v>11</v>
      </c>
      <c r="B158" s="95" t="n">
        <v>2</v>
      </c>
      <c r="C158" s="96" t="s">
        <v>42</v>
      </c>
      <c r="D158" s="17" t="s">
        <v>1603</v>
      </c>
      <c r="E158" s="6"/>
      <c r="F158" s="32"/>
    </row>
    <row r="159" customFormat="false" ht="14.25" hidden="false" customHeight="true" outlineLevel="0" collapsed="false">
      <c r="A159" s="94" t="s">
        <v>39</v>
      </c>
      <c r="B159" s="95" t="n">
        <v>2</v>
      </c>
      <c r="C159" s="96" t="s">
        <v>30</v>
      </c>
      <c r="D159" s="17" t="s">
        <v>1604</v>
      </c>
      <c r="E159" s="6" t="n">
        <v>1</v>
      </c>
      <c r="F159" s="32"/>
    </row>
    <row r="160" customFormat="false" ht="14.25" hidden="false" customHeight="true" outlineLevel="0" collapsed="false">
      <c r="A160" s="94" t="s">
        <v>11</v>
      </c>
      <c r="B160" s="95" t="n">
        <v>1</v>
      </c>
      <c r="C160" s="96" t="s">
        <v>30</v>
      </c>
      <c r="D160" s="17" t="s">
        <v>1605</v>
      </c>
      <c r="E160" s="6" t="n">
        <v>0</v>
      </c>
    </row>
    <row r="161" customFormat="false" ht="14.25" hidden="false" customHeight="true" outlineLevel="0" collapsed="false">
      <c r="A161" s="94" t="s">
        <v>30</v>
      </c>
      <c r="B161" s="95" t="n">
        <v>2</v>
      </c>
      <c r="C161" s="96" t="s">
        <v>11</v>
      </c>
      <c r="D161" s="17" t="s">
        <v>1606</v>
      </c>
      <c r="E161" s="6"/>
    </row>
    <row r="162" customFormat="false" ht="14.25" hidden="false" customHeight="true" outlineLevel="0" collapsed="false">
      <c r="A162" s="94" t="s">
        <v>1151</v>
      </c>
      <c r="B162" s="95" t="n">
        <v>1</v>
      </c>
      <c r="C162" s="96" t="s">
        <v>41</v>
      </c>
      <c r="D162" s="17" t="s">
        <v>1607</v>
      </c>
      <c r="E162" s="6"/>
    </row>
    <row r="163" customFormat="false" ht="14.25" hidden="false" customHeight="true" outlineLevel="0" collapsed="false">
      <c r="A163" s="94" t="s">
        <v>41</v>
      </c>
      <c r="B163" s="95" t="n">
        <v>1</v>
      </c>
      <c r="C163" s="96" t="s">
        <v>1151</v>
      </c>
      <c r="D163" s="17" t="s">
        <v>1608</v>
      </c>
      <c r="E163" s="6"/>
    </row>
    <row r="164" customFormat="false" ht="14.25" hidden="false" customHeight="true" outlineLevel="0" collapsed="false">
      <c r="A164" s="94" t="s">
        <v>1151</v>
      </c>
      <c r="B164" s="95" t="n">
        <v>2</v>
      </c>
      <c r="C164" s="96" t="s">
        <v>41</v>
      </c>
      <c r="D164" s="17" t="s">
        <v>1609</v>
      </c>
      <c r="E164" s="6"/>
    </row>
    <row r="165" customFormat="false" ht="14.25" hidden="false" customHeight="true" outlineLevel="0" collapsed="false">
      <c r="A165" s="94" t="s">
        <v>41</v>
      </c>
      <c r="B165" s="95" t="n">
        <v>1</v>
      </c>
      <c r="C165" s="96" t="s">
        <v>1151</v>
      </c>
      <c r="D165" s="17" t="s">
        <v>1610</v>
      </c>
      <c r="E165" s="6"/>
    </row>
    <row r="166" customFormat="false" ht="14.25" hidden="false" customHeight="true" outlineLevel="0" collapsed="false">
      <c r="A166" s="94" t="s">
        <v>1151</v>
      </c>
      <c r="B166" s="95" t="n">
        <v>1</v>
      </c>
      <c r="C166" s="96" t="s">
        <v>30</v>
      </c>
      <c r="D166" s="17" t="s">
        <v>1611</v>
      </c>
      <c r="E166" s="6" t="n">
        <v>1</v>
      </c>
    </row>
    <row r="167" customFormat="false" ht="14.25" hidden="false" customHeight="true" outlineLevel="0" collapsed="false">
      <c r="A167" s="94" t="s">
        <v>30</v>
      </c>
      <c r="B167" s="95" t="n">
        <v>1</v>
      </c>
      <c r="C167" s="96" t="s">
        <v>39</v>
      </c>
      <c r="D167" s="17" t="s">
        <v>1612</v>
      </c>
      <c r="E167" s="6"/>
    </row>
    <row r="168" customFormat="false" ht="14.25" hidden="false" customHeight="true" outlineLevel="0" collapsed="false">
      <c r="A168" s="94" t="s">
        <v>39</v>
      </c>
      <c r="B168" s="95" t="n">
        <v>1</v>
      </c>
      <c r="C168" s="96" t="s">
        <v>30</v>
      </c>
      <c r="D168" s="17" t="s">
        <v>1613</v>
      </c>
      <c r="E168" s="6" t="n">
        <v>1</v>
      </c>
    </row>
    <row r="169" customFormat="false" ht="14.25" hidden="false" customHeight="true" outlineLevel="0" collapsed="false">
      <c r="A169" s="94" t="s">
        <v>30</v>
      </c>
      <c r="B169" s="95" t="n">
        <v>2</v>
      </c>
      <c r="C169" s="96" t="s">
        <v>36</v>
      </c>
      <c r="D169" s="17" t="s">
        <v>1614</v>
      </c>
      <c r="E169" s="6"/>
    </row>
    <row r="170" customFormat="false" ht="14.25" hidden="false" customHeight="true" outlineLevel="0" collapsed="false">
      <c r="A170" s="94" t="s">
        <v>30</v>
      </c>
      <c r="B170" s="95" t="n">
        <v>1</v>
      </c>
      <c r="C170" s="96" t="s">
        <v>42</v>
      </c>
      <c r="D170" s="17" t="s">
        <v>1615</v>
      </c>
      <c r="E170" s="6"/>
    </row>
    <row r="171" customFormat="false" ht="14.25" hidden="false" customHeight="true" outlineLevel="0" collapsed="false">
      <c r="A171" s="94" t="s">
        <v>42</v>
      </c>
      <c r="B171" s="95" t="n">
        <v>1</v>
      </c>
      <c r="C171" s="96" t="s">
        <v>30</v>
      </c>
      <c r="D171" s="17" t="s">
        <v>1616</v>
      </c>
      <c r="E171" s="6" t="n">
        <v>0</v>
      </c>
    </row>
    <row r="172" customFormat="false" ht="14.25" hidden="false" customHeight="true" outlineLevel="0" collapsed="false">
      <c r="A172" s="94" t="s">
        <v>39</v>
      </c>
      <c r="B172" s="95" t="n">
        <v>2</v>
      </c>
      <c r="C172" s="96" t="s">
        <v>42</v>
      </c>
      <c r="D172" s="17" t="s">
        <v>1617</v>
      </c>
      <c r="E172" s="6"/>
    </row>
    <row r="173" customFormat="false" ht="14.25" hidden="false" customHeight="true" outlineLevel="0" collapsed="false">
      <c r="A173" s="94" t="s">
        <v>30</v>
      </c>
      <c r="B173" s="95" t="n">
        <v>2</v>
      </c>
      <c r="C173" s="96" t="s">
        <v>43</v>
      </c>
      <c r="D173" s="17" t="s">
        <v>1618</v>
      </c>
      <c r="E173" s="6"/>
    </row>
    <row r="174" customFormat="false" ht="14.25" hidden="false" customHeight="true" outlineLevel="0" collapsed="false">
      <c r="A174" s="94" t="s">
        <v>43</v>
      </c>
      <c r="B174" s="95" t="n">
        <v>2</v>
      </c>
      <c r="C174" s="96" t="s">
        <v>30</v>
      </c>
      <c r="D174" s="17" t="s">
        <v>1619</v>
      </c>
      <c r="E174" s="6" t="n">
        <v>0</v>
      </c>
    </row>
    <row r="175" customFormat="false" ht="14.25" hidden="false" customHeight="true" outlineLevel="0" collapsed="false">
      <c r="A175" s="94" t="s">
        <v>42</v>
      </c>
      <c r="B175" s="95" t="n">
        <v>2</v>
      </c>
      <c r="C175" s="96" t="s">
        <v>1151</v>
      </c>
      <c r="D175" s="17" t="s">
        <v>1620</v>
      </c>
      <c r="E175" s="6"/>
    </row>
    <row r="176" customFormat="false" ht="14.25" hidden="false" customHeight="true" outlineLevel="0" collapsed="false">
      <c r="A176" s="94" t="s">
        <v>1151</v>
      </c>
      <c r="B176" s="95" t="n">
        <v>1</v>
      </c>
      <c r="C176" s="96" t="s">
        <v>42</v>
      </c>
      <c r="D176" s="17" t="s">
        <v>1621</v>
      </c>
      <c r="E176" s="6"/>
    </row>
    <row r="177" customFormat="false" ht="14.25" hidden="false" customHeight="true" outlineLevel="0" collapsed="false">
      <c r="A177" s="94" t="s">
        <v>1151</v>
      </c>
      <c r="B177" s="95" t="n">
        <v>2</v>
      </c>
      <c r="C177" s="96" t="s">
        <v>30</v>
      </c>
      <c r="D177" s="17" t="s">
        <v>1622</v>
      </c>
      <c r="E177" s="6" t="n">
        <v>1</v>
      </c>
    </row>
    <row r="178" customFormat="false" ht="14.25" hidden="false" customHeight="true" outlineLevel="0" collapsed="false">
      <c r="A178" s="94" t="s">
        <v>1447</v>
      </c>
      <c r="B178" s="95" t="n">
        <v>2</v>
      </c>
      <c r="C178" s="96" t="s">
        <v>42</v>
      </c>
      <c r="D178" s="17" t="s">
        <v>1623</v>
      </c>
      <c r="E178" s="6"/>
    </row>
    <row r="179" customFormat="false" ht="14.25" hidden="false" customHeight="true" outlineLevel="0" collapsed="false">
      <c r="A179" s="94" t="s">
        <v>36</v>
      </c>
      <c r="B179" s="95" t="n">
        <v>2</v>
      </c>
      <c r="C179" s="96" t="s">
        <v>30</v>
      </c>
      <c r="D179" s="17" t="s">
        <v>1624</v>
      </c>
      <c r="E179" s="6" t="n">
        <v>1</v>
      </c>
    </row>
    <row r="180" customFormat="false" ht="14.25" hidden="false" customHeight="true" outlineLevel="0" collapsed="false">
      <c r="A180" s="94" t="s">
        <v>30</v>
      </c>
      <c r="B180" s="95" t="n">
        <v>1</v>
      </c>
      <c r="C180" s="96" t="s">
        <v>36</v>
      </c>
      <c r="D180" s="17" t="s">
        <v>1625</v>
      </c>
      <c r="E180" s="6"/>
    </row>
    <row r="181" customFormat="false" ht="14.25" hidden="false" customHeight="true" outlineLevel="0" collapsed="false">
      <c r="A181" s="94" t="s">
        <v>1151</v>
      </c>
      <c r="B181" s="95" t="n">
        <v>2</v>
      </c>
      <c r="C181" s="96" t="s">
        <v>42</v>
      </c>
      <c r="D181" s="17" t="s">
        <v>1626</v>
      </c>
      <c r="E181" s="6"/>
    </row>
    <row r="182" customFormat="false" ht="14.25" hidden="false" customHeight="true" outlineLevel="0" collapsed="false">
      <c r="A182" s="94" t="s">
        <v>42</v>
      </c>
      <c r="B182" s="95" t="n">
        <v>1</v>
      </c>
      <c r="C182" s="96" t="s">
        <v>1151</v>
      </c>
      <c r="D182" s="17" t="s">
        <v>1627</v>
      </c>
      <c r="E182" s="6"/>
    </row>
    <row r="183" customFormat="false" ht="14.25" hidden="false" customHeight="true" outlineLevel="0" collapsed="false">
      <c r="A183" s="94" t="s">
        <v>1151</v>
      </c>
      <c r="B183" s="95" t="n">
        <v>2</v>
      </c>
      <c r="C183" s="96" t="s">
        <v>30</v>
      </c>
      <c r="D183" s="17" t="s">
        <v>1628</v>
      </c>
      <c r="E183" s="6" t="n">
        <v>1</v>
      </c>
    </row>
    <row r="184" customFormat="false" ht="14.25" hidden="false" customHeight="true" outlineLevel="0" collapsed="false">
      <c r="A184" s="94" t="s">
        <v>41</v>
      </c>
      <c r="B184" s="95" t="n">
        <v>2</v>
      </c>
      <c r="C184" s="96" t="s">
        <v>36</v>
      </c>
      <c r="D184" s="17" t="s">
        <v>1629</v>
      </c>
      <c r="E184" s="6"/>
    </row>
    <row r="185" customFormat="false" ht="14.25" hidden="false" customHeight="true" outlineLevel="0" collapsed="false">
      <c r="A185" s="94" t="s">
        <v>1151</v>
      </c>
      <c r="B185" s="95" t="n">
        <v>2</v>
      </c>
      <c r="C185" s="96" t="s">
        <v>36</v>
      </c>
      <c r="D185" s="17" t="s">
        <v>1630</v>
      </c>
      <c r="E185" s="6"/>
    </row>
    <row r="186" customFormat="false" ht="14.25" hidden="false" customHeight="true" outlineLevel="0" collapsed="false">
      <c r="A186" s="94" t="s">
        <v>1151</v>
      </c>
      <c r="B186" s="95" t="n">
        <v>1</v>
      </c>
      <c r="C186" s="96" t="s">
        <v>41</v>
      </c>
      <c r="D186" s="17" t="s">
        <v>1631</v>
      </c>
      <c r="E186" s="6"/>
    </row>
    <row r="187" customFormat="false" ht="14.25" hidden="false" customHeight="true" outlineLevel="0" collapsed="false">
      <c r="A187" s="94" t="s">
        <v>41</v>
      </c>
      <c r="B187" s="95" t="n">
        <v>1</v>
      </c>
      <c r="C187" s="96" t="s">
        <v>1151</v>
      </c>
      <c r="D187" s="17" t="s">
        <v>1632</v>
      </c>
      <c r="E187" s="6"/>
    </row>
    <row r="188" customFormat="false" ht="14.25" hidden="false" customHeight="true" outlineLevel="0" collapsed="false">
      <c r="A188" s="94" t="s">
        <v>1151</v>
      </c>
      <c r="B188" s="95" t="n">
        <v>2</v>
      </c>
      <c r="C188" s="96" t="s">
        <v>41</v>
      </c>
      <c r="D188" s="17" t="s">
        <v>1633</v>
      </c>
      <c r="E188" s="6"/>
    </row>
    <row r="189" customFormat="false" ht="14.25" hidden="false" customHeight="true" outlineLevel="0" collapsed="false">
      <c r="A189" s="94" t="s">
        <v>1151</v>
      </c>
      <c r="B189" s="95" t="n">
        <v>2</v>
      </c>
      <c r="C189" s="96" t="s">
        <v>39</v>
      </c>
      <c r="D189" s="17" t="s">
        <v>1634</v>
      </c>
      <c r="E189" s="6"/>
    </row>
    <row r="190" customFormat="false" ht="14.25" hidden="false" customHeight="true" outlineLevel="0" collapsed="false">
      <c r="A190" s="94" t="s">
        <v>39</v>
      </c>
      <c r="B190" s="95" t="n">
        <v>1</v>
      </c>
      <c r="C190" s="96" t="s">
        <v>1151</v>
      </c>
      <c r="D190" s="17" t="s">
        <v>1635</v>
      </c>
      <c r="E190" s="6"/>
    </row>
    <row r="191" customFormat="false" ht="14.25" hidden="false" customHeight="true" outlineLevel="0" collapsed="false">
      <c r="A191" s="94" t="s">
        <v>39</v>
      </c>
      <c r="B191" s="95" t="n">
        <v>1</v>
      </c>
      <c r="C191" s="96" t="s">
        <v>36</v>
      </c>
      <c r="D191" s="17" t="s">
        <v>1636</v>
      </c>
      <c r="E191" s="6"/>
    </row>
    <row r="192" customFormat="false" ht="14.25" hidden="false" customHeight="true" outlineLevel="0" collapsed="false">
      <c r="A192" s="94" t="s">
        <v>36</v>
      </c>
      <c r="B192" s="95" t="n">
        <v>1</v>
      </c>
      <c r="C192" s="96" t="s">
        <v>39</v>
      </c>
      <c r="D192" s="17" t="s">
        <v>1637</v>
      </c>
      <c r="E192" s="6"/>
    </row>
    <row r="193" customFormat="false" ht="14.25" hidden="false" customHeight="true" outlineLevel="0" collapsed="false">
      <c r="A193" s="94" t="s">
        <v>30</v>
      </c>
      <c r="B193" s="95" t="n">
        <v>1</v>
      </c>
      <c r="C193" s="96" t="s">
        <v>1154</v>
      </c>
      <c r="D193" s="17" t="s">
        <v>1638</v>
      </c>
      <c r="E193" s="6"/>
    </row>
    <row r="194" customFormat="false" ht="14.25" hidden="false" customHeight="true" outlineLevel="0" collapsed="false">
      <c r="A194" s="94" t="s">
        <v>1154</v>
      </c>
      <c r="B194" s="95" t="n">
        <v>2</v>
      </c>
      <c r="C194" s="96" t="s">
        <v>30</v>
      </c>
      <c r="D194" s="17" t="s">
        <v>1639</v>
      </c>
      <c r="E194" s="6" t="n">
        <v>0</v>
      </c>
    </row>
    <row r="195" customFormat="false" ht="14.25" hidden="false" customHeight="true" outlineLevel="0" collapsed="false">
      <c r="A195" s="94" t="s">
        <v>1154</v>
      </c>
      <c r="B195" s="95" t="n">
        <v>1</v>
      </c>
      <c r="C195" s="96" t="s">
        <v>35</v>
      </c>
      <c r="D195" s="17" t="s">
        <v>1640</v>
      </c>
      <c r="E195" s="6"/>
    </row>
    <row r="196" customFormat="false" ht="14.25" hidden="false" customHeight="true" outlineLevel="0" collapsed="false">
      <c r="A196" s="94" t="s">
        <v>39</v>
      </c>
      <c r="B196" s="95" t="n">
        <v>2</v>
      </c>
      <c r="C196" s="96" t="s">
        <v>35</v>
      </c>
      <c r="D196" s="17" t="s">
        <v>1641</v>
      </c>
      <c r="E196" s="6"/>
    </row>
    <row r="197" customFormat="false" ht="14.25" hidden="false" customHeight="true" outlineLevel="0" collapsed="false">
      <c r="A197" s="94" t="s">
        <v>39</v>
      </c>
      <c r="B197" s="95" t="n">
        <v>2</v>
      </c>
      <c r="C197" s="96" t="s">
        <v>35</v>
      </c>
      <c r="D197" s="17" t="s">
        <v>1642</v>
      </c>
      <c r="E197" s="6"/>
    </row>
    <row r="198" customFormat="false" ht="14.25" hidden="false" customHeight="true" outlineLevel="0" collapsed="false">
      <c r="A198" s="94" t="s">
        <v>1151</v>
      </c>
      <c r="B198" s="95" t="n">
        <v>2</v>
      </c>
      <c r="C198" s="96" t="s">
        <v>41</v>
      </c>
      <c r="D198" s="17" t="s">
        <v>1643</v>
      </c>
      <c r="E198" s="6"/>
    </row>
    <row r="199" customFormat="false" ht="14.25" hidden="false" customHeight="true" outlineLevel="0" collapsed="false">
      <c r="A199" s="94" t="s">
        <v>41</v>
      </c>
      <c r="B199" s="95" t="n">
        <v>1</v>
      </c>
      <c r="C199" s="96" t="s">
        <v>1151</v>
      </c>
      <c r="D199" s="17" t="s">
        <v>1644</v>
      </c>
      <c r="E199" s="6"/>
    </row>
    <row r="200" customFormat="false" ht="14.25" hidden="false" customHeight="true" outlineLevel="0" collapsed="false">
      <c r="A200" s="94" t="s">
        <v>41</v>
      </c>
      <c r="B200" s="95" t="n">
        <v>2</v>
      </c>
      <c r="C200" s="96" t="s">
        <v>42</v>
      </c>
      <c r="D200" s="17" t="s">
        <v>1645</v>
      </c>
      <c r="E200" s="6"/>
    </row>
    <row r="201" customFormat="false" ht="14.25" hidden="false" customHeight="true" outlineLevel="0" collapsed="false">
      <c r="A201" s="94" t="s">
        <v>1151</v>
      </c>
      <c r="B201" s="95" t="n">
        <v>2</v>
      </c>
      <c r="C201" s="96" t="s">
        <v>42</v>
      </c>
      <c r="D201" s="17" t="s">
        <v>1646</v>
      </c>
      <c r="E201" s="6"/>
    </row>
    <row r="202" customFormat="false" ht="14.25" hidden="false" customHeight="true" outlineLevel="0" collapsed="false">
      <c r="A202" s="94" t="s">
        <v>1447</v>
      </c>
      <c r="B202" s="95" t="n">
        <v>2</v>
      </c>
      <c r="C202" s="96" t="s">
        <v>42</v>
      </c>
      <c r="D202" s="17" t="s">
        <v>1647</v>
      </c>
      <c r="E202" s="6"/>
    </row>
    <row r="203" customFormat="false" ht="14.25" hidden="false" customHeight="true" outlineLevel="0" collapsed="false">
      <c r="A203" s="94" t="s">
        <v>11</v>
      </c>
      <c r="B203" s="95" t="n">
        <v>2</v>
      </c>
      <c r="C203" s="96" t="s">
        <v>36</v>
      </c>
      <c r="D203" s="17" t="s">
        <v>1648</v>
      </c>
      <c r="E203" s="6"/>
    </row>
    <row r="204" customFormat="false" ht="14.25" hidden="false" customHeight="true" outlineLevel="0" collapsed="false">
      <c r="A204" s="94" t="s">
        <v>1154</v>
      </c>
      <c r="B204" s="95" t="n">
        <v>2</v>
      </c>
      <c r="C204" s="96" t="s">
        <v>43</v>
      </c>
      <c r="D204" s="6" t="s">
        <v>1649</v>
      </c>
      <c r="E204" s="6"/>
    </row>
    <row r="205" customFormat="false" ht="14.25" hidden="false" customHeight="true" outlineLevel="0" collapsed="false">
      <c r="A205" s="94" t="s">
        <v>39</v>
      </c>
      <c r="B205" s="95" t="n">
        <v>2</v>
      </c>
      <c r="C205" s="96" t="s">
        <v>35</v>
      </c>
      <c r="D205" s="6" t="s">
        <v>1650</v>
      </c>
      <c r="E205" s="6"/>
    </row>
    <row r="206" customFormat="false" ht="14.25" hidden="false" customHeight="true" outlineLevel="0" collapsed="false">
      <c r="A206" s="94" t="s">
        <v>36</v>
      </c>
      <c r="B206" s="95" t="n">
        <v>2</v>
      </c>
      <c r="C206" s="96" t="s">
        <v>42</v>
      </c>
      <c r="D206" s="6" t="s">
        <v>1651</v>
      </c>
      <c r="E206" s="6"/>
    </row>
    <row r="207" customFormat="false" ht="14.25" hidden="false" customHeight="true" outlineLevel="0" collapsed="false">
      <c r="A207" s="94" t="s">
        <v>36</v>
      </c>
      <c r="B207" s="95" t="n">
        <v>1</v>
      </c>
      <c r="C207" s="96" t="s">
        <v>41</v>
      </c>
      <c r="D207" s="17" t="s">
        <v>1652</v>
      </c>
      <c r="E207" s="6"/>
    </row>
    <row r="208" customFormat="false" ht="14.25" hidden="false" customHeight="true" outlineLevel="0" collapsed="false">
      <c r="A208" s="94" t="s">
        <v>41</v>
      </c>
      <c r="B208" s="95" t="n">
        <v>1</v>
      </c>
      <c r="C208" s="96" t="s">
        <v>36</v>
      </c>
      <c r="D208" s="6" t="s">
        <v>1653</v>
      </c>
      <c r="E208" s="6"/>
    </row>
    <row r="209" customFormat="false" ht="14.25" hidden="false" customHeight="true" outlineLevel="0" collapsed="false">
      <c r="A209" s="94" t="s">
        <v>1151</v>
      </c>
      <c r="B209" s="95" t="n">
        <v>2</v>
      </c>
      <c r="C209" s="96" t="s">
        <v>39</v>
      </c>
      <c r="D209" s="6" t="s">
        <v>1654</v>
      </c>
      <c r="E209" s="6"/>
    </row>
    <row r="210" customFormat="false" ht="14.25" hidden="false" customHeight="true" outlineLevel="0" collapsed="false">
      <c r="A210" s="94" t="s">
        <v>41</v>
      </c>
      <c r="B210" s="95" t="n">
        <v>2</v>
      </c>
      <c r="C210" s="96" t="s">
        <v>39</v>
      </c>
      <c r="D210" s="6" t="s">
        <v>1655</v>
      </c>
      <c r="E210" s="6"/>
    </row>
    <row r="211" customFormat="false" ht="14.25" hidden="false" customHeight="true" outlineLevel="0" collapsed="false">
      <c r="A211" s="94" t="s">
        <v>1447</v>
      </c>
      <c r="B211" s="95" t="n">
        <v>1</v>
      </c>
      <c r="C211" s="96" t="s">
        <v>35</v>
      </c>
      <c r="D211" s="6" t="s">
        <v>1656</v>
      </c>
      <c r="E211" s="6"/>
    </row>
    <row r="212" customFormat="false" ht="14.25" hidden="false" customHeight="true" outlineLevel="0" collapsed="false">
      <c r="A212" s="94" t="s">
        <v>39</v>
      </c>
      <c r="B212" s="95" t="n">
        <v>2</v>
      </c>
      <c r="C212" s="96" t="s">
        <v>35</v>
      </c>
      <c r="D212" s="6" t="s">
        <v>1657</v>
      </c>
      <c r="E212" s="6"/>
    </row>
    <row r="213" customFormat="false" ht="14.25" hidden="false" customHeight="true" outlineLevel="0" collapsed="false">
      <c r="A213" s="94" t="s">
        <v>43</v>
      </c>
      <c r="B213" s="95" t="n">
        <v>2</v>
      </c>
      <c r="C213" s="96" t="s">
        <v>35</v>
      </c>
      <c r="D213" s="6" t="s">
        <v>1658</v>
      </c>
      <c r="E213" s="6"/>
    </row>
    <row r="214" customFormat="false" ht="14.25" hidden="false" customHeight="true" outlineLevel="0" collapsed="false">
      <c r="A214" s="94" t="s">
        <v>43</v>
      </c>
      <c r="B214" s="95" t="n">
        <v>2</v>
      </c>
      <c r="C214" s="96" t="s">
        <v>1154</v>
      </c>
      <c r="D214" s="6" t="s">
        <v>1658</v>
      </c>
      <c r="E214" s="6"/>
    </row>
    <row r="215" customFormat="false" ht="14.25" hidden="false" customHeight="true" outlineLevel="0" collapsed="false">
      <c r="A215" s="94" t="s">
        <v>39</v>
      </c>
      <c r="B215" s="95" t="n">
        <v>2</v>
      </c>
      <c r="C215" s="96" t="s">
        <v>35</v>
      </c>
      <c r="D215" s="6" t="s">
        <v>1659</v>
      </c>
      <c r="E215" s="6"/>
    </row>
    <row r="216" customFormat="false" ht="14.25" hidden="false" customHeight="true" outlineLevel="0" collapsed="false">
      <c r="A216" s="94" t="s">
        <v>30</v>
      </c>
      <c r="B216" s="95" t="n">
        <v>2</v>
      </c>
      <c r="C216" s="96" t="s">
        <v>35</v>
      </c>
      <c r="D216" s="6" t="s">
        <v>1660</v>
      </c>
      <c r="E216" s="6"/>
    </row>
    <row r="217" customFormat="false" ht="14.25" hidden="false" customHeight="true" outlineLevel="0" collapsed="false">
      <c r="A217" s="94" t="s">
        <v>1151</v>
      </c>
      <c r="B217" s="95" t="n">
        <v>2</v>
      </c>
      <c r="C217" s="96" t="s">
        <v>30</v>
      </c>
      <c r="D217" s="6" t="s">
        <v>1661</v>
      </c>
      <c r="E217" s="6" t="n">
        <v>0</v>
      </c>
    </row>
    <row r="218" customFormat="false" ht="14.25" hidden="false" customHeight="true" outlineLevel="0" collapsed="false">
      <c r="A218" s="94" t="s">
        <v>30</v>
      </c>
      <c r="B218" s="95" t="n">
        <v>1</v>
      </c>
      <c r="C218" s="96" t="s">
        <v>1151</v>
      </c>
      <c r="D218" s="6" t="s">
        <v>1662</v>
      </c>
    </row>
    <row r="219" customFormat="false" ht="14.25" hidden="false" customHeight="true" outlineLevel="0" collapsed="false">
      <c r="A219" s="94" t="s">
        <v>36</v>
      </c>
      <c r="B219" s="95" t="n">
        <v>2</v>
      </c>
      <c r="C219" s="96" t="s">
        <v>42</v>
      </c>
      <c r="D219" s="6" t="s">
        <v>1663</v>
      </c>
    </row>
    <row r="220" customFormat="false" ht="14.25" hidden="false" customHeight="true" outlineLevel="0" collapsed="false">
      <c r="A220" s="94" t="s">
        <v>11</v>
      </c>
      <c r="B220" s="95" t="n">
        <v>2</v>
      </c>
      <c r="C220" s="96" t="s">
        <v>35</v>
      </c>
      <c r="D220" s="6" t="s">
        <v>1664</v>
      </c>
    </row>
    <row r="221" customFormat="false" ht="14.25" hidden="false" customHeight="true" outlineLevel="0" collapsed="false">
      <c r="A221" s="94" t="s">
        <v>1151</v>
      </c>
      <c r="B221" s="95" t="n">
        <v>1</v>
      </c>
      <c r="C221" s="96" t="s">
        <v>30</v>
      </c>
      <c r="D221" s="6" t="s">
        <v>1665</v>
      </c>
      <c r="E221" s="6" t="n">
        <v>1</v>
      </c>
    </row>
    <row r="222" customFormat="false" ht="14.25" hidden="false" customHeight="true" outlineLevel="0" collapsed="false">
      <c r="A222" s="94" t="s">
        <v>30</v>
      </c>
      <c r="B222" s="95" t="n">
        <v>1</v>
      </c>
      <c r="C222" s="96" t="s">
        <v>1151</v>
      </c>
      <c r="D222" s="6" t="s">
        <v>1666</v>
      </c>
    </row>
    <row r="223" customFormat="false" ht="14.25" hidden="false" customHeight="true" outlineLevel="0" collapsed="false">
      <c r="A223" s="94" t="s">
        <v>39</v>
      </c>
      <c r="B223" s="95" t="n">
        <v>2</v>
      </c>
      <c r="C223" s="96" t="s">
        <v>42</v>
      </c>
      <c r="D223" s="6" t="s">
        <v>1667</v>
      </c>
    </row>
    <row r="224" customFormat="false" ht="14.25" hidden="false" customHeight="true" outlineLevel="0" collapsed="false">
      <c r="A224" s="94" t="s">
        <v>42</v>
      </c>
      <c r="B224" s="95" t="n">
        <v>2</v>
      </c>
      <c r="C224" s="96" t="s">
        <v>35</v>
      </c>
      <c r="D224" s="17" t="s">
        <v>1668</v>
      </c>
    </row>
    <row r="225" customFormat="false" ht="14.25" hidden="false" customHeight="true" outlineLevel="0" collapsed="false">
      <c r="A225" s="94" t="s">
        <v>1447</v>
      </c>
      <c r="B225" s="95" t="n">
        <v>2</v>
      </c>
      <c r="C225" s="96" t="s">
        <v>42</v>
      </c>
      <c r="D225" s="6" t="s">
        <v>1669</v>
      </c>
    </row>
    <row r="226" customFormat="false" ht="14.25" hidden="false" customHeight="true" outlineLevel="0" collapsed="false">
      <c r="A226" s="94" t="s">
        <v>39</v>
      </c>
      <c r="B226" s="95" t="n">
        <v>1</v>
      </c>
      <c r="C226" s="96" t="s">
        <v>35</v>
      </c>
      <c r="D226" s="6" t="s">
        <v>1670</v>
      </c>
    </row>
    <row r="227" customFormat="false" ht="14.25" hidden="false" customHeight="true" outlineLevel="0" collapsed="false">
      <c r="A227" s="94" t="s">
        <v>39</v>
      </c>
      <c r="B227" s="95" t="n">
        <v>1</v>
      </c>
      <c r="C227" s="96" t="s">
        <v>36</v>
      </c>
      <c r="D227" s="6" t="s">
        <v>1671</v>
      </c>
    </row>
    <row r="228" customFormat="false" ht="14.25" hidden="false" customHeight="true" outlineLevel="0" collapsed="false">
      <c r="A228" s="94" t="s">
        <v>36</v>
      </c>
      <c r="B228" s="95" t="n">
        <v>1</v>
      </c>
      <c r="C228" s="96" t="s">
        <v>39</v>
      </c>
      <c r="D228" s="6" t="s">
        <v>1672</v>
      </c>
    </row>
    <row r="229" customFormat="false" ht="14.25" hidden="false" customHeight="true" outlineLevel="0" collapsed="false">
      <c r="A229" s="94" t="s">
        <v>11</v>
      </c>
      <c r="B229" s="95" t="n">
        <v>2</v>
      </c>
      <c r="C229" s="96" t="s">
        <v>35</v>
      </c>
      <c r="D229" s="6" t="s">
        <v>1673</v>
      </c>
    </row>
    <row r="230" customFormat="false" ht="14.25" hidden="false" customHeight="true" outlineLevel="0" collapsed="false">
      <c r="A230" s="94" t="s">
        <v>1151</v>
      </c>
      <c r="B230" s="95" t="n">
        <v>2</v>
      </c>
      <c r="C230" s="96" t="s">
        <v>41</v>
      </c>
      <c r="D230" s="6" t="s">
        <v>1674</v>
      </c>
    </row>
    <row r="231" customFormat="false" ht="14.25" hidden="false" customHeight="true" outlineLevel="0" collapsed="false">
      <c r="A231" s="94" t="s">
        <v>41</v>
      </c>
      <c r="B231" s="95" t="n">
        <v>1</v>
      </c>
      <c r="C231" s="96" t="s">
        <v>1151</v>
      </c>
      <c r="D231" s="6" t="s">
        <v>1675</v>
      </c>
    </row>
    <row r="232" customFormat="false" ht="14.25" hidden="false" customHeight="true" outlineLevel="0" collapsed="false">
      <c r="A232" s="94" t="s">
        <v>11</v>
      </c>
      <c r="B232" s="95" t="n">
        <v>2</v>
      </c>
      <c r="C232" s="96" t="s">
        <v>35</v>
      </c>
      <c r="D232" s="6" t="s">
        <v>1676</v>
      </c>
    </row>
    <row r="233" customFormat="false" ht="14.25" hidden="false" customHeight="true" outlineLevel="0" collapsed="false">
      <c r="A233" s="94" t="s">
        <v>1151</v>
      </c>
      <c r="B233" s="95" t="n">
        <v>2</v>
      </c>
      <c r="C233" s="96" t="s">
        <v>39</v>
      </c>
      <c r="D233" s="6" t="s">
        <v>1677</v>
      </c>
    </row>
    <row r="234" customFormat="false" ht="14.25" hidden="false" customHeight="true" outlineLevel="0" collapsed="false">
      <c r="A234" s="94" t="s">
        <v>1151</v>
      </c>
      <c r="B234" s="95" t="n">
        <v>1</v>
      </c>
      <c r="C234" s="96" t="s">
        <v>30</v>
      </c>
      <c r="D234" s="6" t="s">
        <v>1678</v>
      </c>
      <c r="E234" s="6" t="n">
        <v>0</v>
      </c>
    </row>
    <row r="235" customFormat="false" ht="14.25" hidden="false" customHeight="true" outlineLevel="0" collapsed="false">
      <c r="A235" s="94" t="s">
        <v>30</v>
      </c>
      <c r="B235" s="95" t="n">
        <v>1</v>
      </c>
      <c r="C235" s="96" t="s">
        <v>1151</v>
      </c>
      <c r="D235" s="6" t="s">
        <v>1679</v>
      </c>
    </row>
    <row r="236" customFormat="false" ht="14.25" hidden="false" customHeight="true" outlineLevel="0" collapsed="false">
      <c r="A236" s="94" t="s">
        <v>1447</v>
      </c>
      <c r="B236" s="95" t="n">
        <v>1</v>
      </c>
      <c r="C236" s="96" t="s">
        <v>40</v>
      </c>
      <c r="D236" s="6" t="s">
        <v>1680</v>
      </c>
    </row>
    <row r="237" customFormat="false" ht="14.25" hidden="false" customHeight="true" outlineLevel="0" collapsed="false">
      <c r="A237" s="94" t="s">
        <v>40</v>
      </c>
      <c r="B237" s="95" t="n">
        <v>1</v>
      </c>
      <c r="C237" s="96" t="s">
        <v>1447</v>
      </c>
      <c r="D237" s="6" t="s">
        <v>1681</v>
      </c>
    </row>
    <row r="238" customFormat="false" ht="14.25" hidden="false" customHeight="true" outlineLevel="0" collapsed="false">
      <c r="A238" s="94" t="s">
        <v>36</v>
      </c>
      <c r="B238" s="95" t="n">
        <v>2</v>
      </c>
      <c r="C238" s="96" t="s">
        <v>39</v>
      </c>
      <c r="D238" s="6" t="s">
        <v>1682</v>
      </c>
    </row>
    <row r="239" customFormat="false" ht="14.25" hidden="false" customHeight="true" outlineLevel="0" collapsed="false">
      <c r="A239" s="94" t="s">
        <v>1151</v>
      </c>
      <c r="B239" s="95" t="n">
        <v>1</v>
      </c>
      <c r="C239" s="96" t="s">
        <v>11</v>
      </c>
      <c r="D239" s="6" t="s">
        <v>1683</v>
      </c>
    </row>
    <row r="240" customFormat="false" ht="14.25" hidden="false" customHeight="true" outlineLevel="0" collapsed="false">
      <c r="A240" s="94" t="s">
        <v>11</v>
      </c>
      <c r="B240" s="95" t="n">
        <v>1</v>
      </c>
      <c r="C240" s="96" t="s">
        <v>1151</v>
      </c>
      <c r="D240" s="6" t="s">
        <v>1684</v>
      </c>
    </row>
    <row r="241" customFormat="false" ht="14.25" hidden="false" customHeight="true" outlineLevel="0" collapsed="false">
      <c r="A241" s="94" t="s">
        <v>30</v>
      </c>
      <c r="B241" s="95" t="n">
        <v>2</v>
      </c>
      <c r="C241" s="96" t="s">
        <v>35</v>
      </c>
      <c r="D241" s="6" t="s">
        <v>1685</v>
      </c>
    </row>
    <row r="242" customFormat="false" ht="14.25" hidden="false" customHeight="true" outlineLevel="0" collapsed="false">
      <c r="A242" s="94" t="s">
        <v>1151</v>
      </c>
      <c r="B242" s="95" t="n">
        <v>2</v>
      </c>
      <c r="C242" s="96" t="s">
        <v>35</v>
      </c>
      <c r="D242" s="6" t="s">
        <v>1686</v>
      </c>
    </row>
    <row r="243" customFormat="false" ht="14.25" hidden="false" customHeight="true" outlineLevel="0" collapsed="false">
      <c r="A243" s="94" t="s">
        <v>36</v>
      </c>
      <c r="B243" s="95" t="n">
        <v>1</v>
      </c>
      <c r="C243" s="96" t="s">
        <v>39</v>
      </c>
      <c r="D243" s="6" t="s">
        <v>1687</v>
      </c>
    </row>
    <row r="244" customFormat="false" ht="14.25" hidden="false" customHeight="true" outlineLevel="0" collapsed="false">
      <c r="A244" s="94" t="s">
        <v>39</v>
      </c>
      <c r="B244" s="95" t="n">
        <v>1</v>
      </c>
      <c r="C244" s="96" t="s">
        <v>36</v>
      </c>
      <c r="D244" s="6" t="s">
        <v>1688</v>
      </c>
    </row>
    <row r="245" customFormat="false" ht="14.25" hidden="false" customHeight="true" outlineLevel="0" collapsed="false">
      <c r="A245" s="94" t="s">
        <v>1151</v>
      </c>
      <c r="B245" s="95" t="n">
        <v>2</v>
      </c>
      <c r="C245" s="96" t="s">
        <v>36</v>
      </c>
      <c r="D245" s="6" t="s">
        <v>1689</v>
      </c>
    </row>
    <row r="246" customFormat="false" ht="14.25" hidden="false" customHeight="true" outlineLevel="0" collapsed="false">
      <c r="A246" s="94" t="s">
        <v>1151</v>
      </c>
      <c r="B246" s="95" t="n">
        <v>1</v>
      </c>
      <c r="C246" s="96" t="s">
        <v>30</v>
      </c>
      <c r="D246" s="6" t="s">
        <v>1690</v>
      </c>
      <c r="E246" s="6" t="n">
        <v>0</v>
      </c>
    </row>
    <row r="247" customFormat="false" ht="14.25" hidden="false" customHeight="true" outlineLevel="0" collapsed="false">
      <c r="A247" s="94" t="s">
        <v>30</v>
      </c>
      <c r="B247" s="95" t="n">
        <v>1</v>
      </c>
      <c r="C247" s="96" t="s">
        <v>1151</v>
      </c>
      <c r="D247" s="6" t="s">
        <v>1691</v>
      </c>
    </row>
    <row r="248" customFormat="false" ht="14.25" hidden="false" customHeight="true" outlineLevel="0" collapsed="false">
      <c r="A248" s="94" t="s">
        <v>1151</v>
      </c>
      <c r="B248" s="95" t="n">
        <v>1</v>
      </c>
      <c r="C248" s="96" t="s">
        <v>42</v>
      </c>
      <c r="D248" s="6" t="s">
        <v>1692</v>
      </c>
    </row>
    <row r="249" customFormat="false" ht="14.25" hidden="false" customHeight="true" outlineLevel="0" collapsed="false">
      <c r="A249" s="94" t="s">
        <v>1154</v>
      </c>
      <c r="B249" s="95" t="n">
        <v>2</v>
      </c>
      <c r="C249" s="96" t="s">
        <v>40</v>
      </c>
      <c r="D249" s="6" t="s">
        <v>1693</v>
      </c>
    </row>
    <row r="250" customFormat="false" ht="14.25" hidden="false" customHeight="true" outlineLevel="0" collapsed="false">
      <c r="A250" s="94" t="s">
        <v>30</v>
      </c>
      <c r="B250" s="95" t="n">
        <v>1</v>
      </c>
      <c r="C250" s="96" t="s">
        <v>1154</v>
      </c>
      <c r="D250" s="6" t="s">
        <v>1694</v>
      </c>
    </row>
    <row r="251" customFormat="false" ht="14.25" hidden="false" customHeight="true" outlineLevel="0" collapsed="false">
      <c r="A251" s="94" t="s">
        <v>1154</v>
      </c>
      <c r="B251" s="95" t="n">
        <v>1</v>
      </c>
      <c r="C251" s="96" t="s">
        <v>30</v>
      </c>
      <c r="D251" s="6" t="s">
        <v>1695</v>
      </c>
      <c r="E251" s="6" t="n">
        <v>1</v>
      </c>
    </row>
    <row r="252" customFormat="false" ht="14.25" hidden="false" customHeight="true" outlineLevel="0" collapsed="false">
      <c r="A252" s="94" t="s">
        <v>1151</v>
      </c>
      <c r="B252" s="95" t="n">
        <v>2</v>
      </c>
      <c r="C252" s="96" t="s">
        <v>1154</v>
      </c>
      <c r="D252" s="6" t="s">
        <v>1696</v>
      </c>
    </row>
    <row r="253" customFormat="false" ht="14.25" hidden="false" customHeight="true" outlineLevel="0" collapsed="false">
      <c r="A253" s="94" t="s">
        <v>1447</v>
      </c>
      <c r="B253" s="95" t="n">
        <v>1</v>
      </c>
      <c r="C253" s="96" t="s">
        <v>11</v>
      </c>
      <c r="D253" s="6" t="s">
        <v>1697</v>
      </c>
    </row>
    <row r="254" customFormat="false" ht="14.25" hidden="false" customHeight="true" outlineLevel="0" collapsed="false">
      <c r="A254" s="94" t="s">
        <v>11</v>
      </c>
      <c r="B254" s="95" t="n">
        <v>1</v>
      </c>
      <c r="C254" s="96" t="s">
        <v>1447</v>
      </c>
      <c r="D254" s="6" t="s">
        <v>1698</v>
      </c>
    </row>
    <row r="255" customFormat="false" ht="14.25" hidden="false" customHeight="true" outlineLevel="0" collapsed="false">
      <c r="A255" s="94" t="s">
        <v>42</v>
      </c>
      <c r="B255" s="95" t="n">
        <v>2</v>
      </c>
      <c r="C255" s="96" t="s">
        <v>35</v>
      </c>
      <c r="D255" s="6" t="s">
        <v>1699</v>
      </c>
    </row>
    <row r="256" customFormat="false" ht="14.25" hidden="false" customHeight="true" outlineLevel="0" collapsed="false">
      <c r="A256" s="94" t="s">
        <v>36</v>
      </c>
      <c r="B256" s="95" t="n">
        <v>2</v>
      </c>
      <c r="C256" s="96" t="s">
        <v>42</v>
      </c>
      <c r="D256" s="6" t="s">
        <v>1700</v>
      </c>
    </row>
    <row r="257" customFormat="false" ht="14.25" hidden="false" customHeight="true" outlineLevel="0" collapsed="false">
      <c r="A257" s="94" t="s">
        <v>11</v>
      </c>
      <c r="B257" s="95" t="n">
        <v>2</v>
      </c>
      <c r="C257" s="96" t="s">
        <v>35</v>
      </c>
      <c r="D257" s="6" t="s">
        <v>1701</v>
      </c>
    </row>
    <row r="258" customFormat="false" ht="14.25" hidden="false" customHeight="true" outlineLevel="0" collapsed="false">
      <c r="A258" s="94" t="s">
        <v>1443</v>
      </c>
      <c r="B258" s="95" t="n">
        <v>2</v>
      </c>
      <c r="C258" s="96" t="s">
        <v>30</v>
      </c>
      <c r="D258" s="6" t="s">
        <v>1702</v>
      </c>
    </row>
    <row r="259" customFormat="false" ht="14.25" hidden="false" customHeight="true" outlineLevel="0" collapsed="false">
      <c r="A259" s="94" t="s">
        <v>1151</v>
      </c>
      <c r="B259" s="95" t="n">
        <v>2</v>
      </c>
      <c r="C259" s="96" t="s">
        <v>39</v>
      </c>
      <c r="D259" s="6" t="s">
        <v>1703</v>
      </c>
    </row>
    <row r="260" customFormat="false" ht="14.25" hidden="false" customHeight="true" outlineLevel="0" collapsed="false">
      <c r="A260" s="94" t="s">
        <v>36</v>
      </c>
      <c r="B260" s="95" t="n">
        <v>1</v>
      </c>
      <c r="C260" s="96" t="s">
        <v>1447</v>
      </c>
      <c r="D260" s="6" t="s">
        <v>1704</v>
      </c>
    </row>
    <row r="261" customFormat="false" ht="14.25" hidden="false" customHeight="true" outlineLevel="0" collapsed="false">
      <c r="A261" s="94" t="s">
        <v>1447</v>
      </c>
      <c r="B261" s="95" t="n">
        <v>1</v>
      </c>
      <c r="C261" s="96" t="s">
        <v>36</v>
      </c>
      <c r="D261" s="6" t="s">
        <v>1705</v>
      </c>
    </row>
    <row r="262" customFormat="false" ht="14.25" hidden="false" customHeight="true" outlineLevel="0" collapsed="false">
      <c r="A262" s="94" t="s">
        <v>36</v>
      </c>
      <c r="B262" s="95" t="n">
        <v>1</v>
      </c>
      <c r="C262" s="96" t="s">
        <v>1151</v>
      </c>
      <c r="D262" s="6" t="s">
        <v>1706</v>
      </c>
    </row>
    <row r="263" customFormat="false" ht="14.25" hidden="false" customHeight="true" outlineLevel="0" collapsed="false">
      <c r="A263" s="94" t="s">
        <v>1151</v>
      </c>
      <c r="B263" s="95" t="n">
        <v>1</v>
      </c>
      <c r="C263" s="96" t="s">
        <v>36</v>
      </c>
      <c r="D263" s="6" t="s">
        <v>1707</v>
      </c>
    </row>
    <row r="264" customFormat="false" ht="14.25" hidden="false" customHeight="true" outlineLevel="0" collapsed="false">
      <c r="A264" s="94" t="s">
        <v>36</v>
      </c>
      <c r="B264" s="95" t="n">
        <v>2</v>
      </c>
      <c r="C264" s="96" t="s">
        <v>35</v>
      </c>
      <c r="D264" s="6" t="s">
        <v>1708</v>
      </c>
    </row>
    <row r="265" customFormat="false" ht="14.25" hidden="false" customHeight="true" outlineLevel="0" collapsed="false">
      <c r="A265" s="94" t="s">
        <v>36</v>
      </c>
      <c r="B265" s="95" t="n">
        <v>1</v>
      </c>
      <c r="C265" s="96" t="s">
        <v>39</v>
      </c>
      <c r="D265" s="6" t="s">
        <v>1709</v>
      </c>
    </row>
    <row r="266" customFormat="false" ht="14.25" hidden="false" customHeight="true" outlineLevel="0" collapsed="false">
      <c r="A266" s="94" t="s">
        <v>39</v>
      </c>
      <c r="B266" s="95" t="n">
        <v>1</v>
      </c>
      <c r="C266" s="96" t="s">
        <v>36</v>
      </c>
      <c r="D266" s="6" t="s">
        <v>1710</v>
      </c>
    </row>
    <row r="267" customFormat="false" ht="14.25" hidden="false" customHeight="true" outlineLevel="0" collapsed="false">
      <c r="A267" s="94" t="s">
        <v>39</v>
      </c>
      <c r="B267" s="95" t="n">
        <v>2</v>
      </c>
      <c r="C267" s="96" t="s">
        <v>35</v>
      </c>
      <c r="D267" s="6" t="s">
        <v>1711</v>
      </c>
    </row>
    <row r="268" customFormat="false" ht="14.25" hidden="false" customHeight="true" outlineLevel="0" collapsed="false">
      <c r="A268" s="94" t="s">
        <v>30</v>
      </c>
      <c r="B268" s="95" t="n">
        <v>2</v>
      </c>
      <c r="C268" s="96" t="s">
        <v>36</v>
      </c>
      <c r="D268" s="6" t="s">
        <v>1712</v>
      </c>
    </row>
    <row r="269" customFormat="false" ht="14.25" hidden="false" customHeight="true" outlineLevel="0" collapsed="false">
      <c r="A269" s="94" t="s">
        <v>39</v>
      </c>
      <c r="B269" s="95" t="n">
        <v>2</v>
      </c>
      <c r="C269" s="96" t="s">
        <v>35</v>
      </c>
      <c r="D269" s="6" t="s">
        <v>1713</v>
      </c>
    </row>
    <row r="270" customFormat="false" ht="14.25" hidden="false" customHeight="true" outlineLevel="0" collapsed="false">
      <c r="A270" s="94" t="s">
        <v>36</v>
      </c>
      <c r="B270" s="95" t="n">
        <v>2</v>
      </c>
      <c r="C270" s="96" t="s">
        <v>35</v>
      </c>
      <c r="D270" s="6" t="s">
        <v>1714</v>
      </c>
    </row>
    <row r="271" customFormat="false" ht="14.25" hidden="false" customHeight="true" outlineLevel="0" collapsed="false">
      <c r="A271" s="94" t="s">
        <v>41</v>
      </c>
      <c r="B271" s="95" t="n">
        <v>1</v>
      </c>
      <c r="C271" s="96" t="s">
        <v>36</v>
      </c>
      <c r="D271" s="6" t="s">
        <v>1715</v>
      </c>
    </row>
    <row r="272" customFormat="false" ht="14.25" hidden="false" customHeight="true" outlineLevel="0" collapsed="false">
      <c r="A272" s="94" t="s">
        <v>36</v>
      </c>
      <c r="B272" s="95" t="n">
        <v>1</v>
      </c>
      <c r="C272" s="96" t="s">
        <v>41</v>
      </c>
      <c r="D272" s="6" t="s">
        <v>1716</v>
      </c>
    </row>
    <row r="273" customFormat="false" ht="14.25" hidden="false" customHeight="true" outlineLevel="0" collapsed="false">
      <c r="A273" s="94" t="s">
        <v>41</v>
      </c>
      <c r="B273" s="95" t="n">
        <v>1</v>
      </c>
      <c r="C273" s="96" t="s">
        <v>42</v>
      </c>
      <c r="D273" s="6" t="s">
        <v>1717</v>
      </c>
    </row>
    <row r="274" customFormat="false" ht="14.25" hidden="false" customHeight="true" outlineLevel="0" collapsed="false">
      <c r="A274" s="94" t="s">
        <v>1447</v>
      </c>
      <c r="B274" s="95" t="n">
        <v>2</v>
      </c>
      <c r="C274" s="96" t="s">
        <v>42</v>
      </c>
      <c r="D274" s="6" t="s">
        <v>1718</v>
      </c>
    </row>
    <row r="275" customFormat="false" ht="14.25" hidden="false" customHeight="true" outlineLevel="0" collapsed="false">
      <c r="A275" s="94" t="s">
        <v>30</v>
      </c>
      <c r="B275" s="95" t="n">
        <v>2</v>
      </c>
      <c r="C275" s="96" t="s">
        <v>1447</v>
      </c>
      <c r="D275" s="6" t="s">
        <v>1719</v>
      </c>
    </row>
    <row r="276" customFormat="false" ht="14.25" hidden="false" customHeight="true" outlineLevel="0" collapsed="false">
      <c r="A276" s="94" t="s">
        <v>1447</v>
      </c>
      <c r="B276" s="95" t="n">
        <v>1</v>
      </c>
      <c r="C276" s="96" t="s">
        <v>11</v>
      </c>
      <c r="D276" s="6" t="s">
        <v>1720</v>
      </c>
    </row>
    <row r="277" customFormat="false" ht="14.25" hidden="false" customHeight="true" outlineLevel="0" collapsed="false">
      <c r="A277" s="94" t="s">
        <v>11</v>
      </c>
      <c r="B277" s="95" t="n">
        <v>1</v>
      </c>
      <c r="C277" s="96" t="s">
        <v>1447</v>
      </c>
      <c r="D277" s="6" t="s">
        <v>1721</v>
      </c>
    </row>
    <row r="278" customFormat="false" ht="14.25" hidden="false" customHeight="true" outlineLevel="0" collapsed="false">
      <c r="A278" s="94" t="s">
        <v>11</v>
      </c>
      <c r="B278" s="95" t="n">
        <v>2</v>
      </c>
      <c r="C278" s="96" t="s">
        <v>42</v>
      </c>
      <c r="D278" s="6" t="s">
        <v>1721</v>
      </c>
    </row>
    <row r="279" customFormat="false" ht="14.25" hidden="false" customHeight="true" outlineLevel="0" collapsed="false">
      <c r="A279" s="94" t="s">
        <v>30</v>
      </c>
      <c r="B279" s="95" t="n">
        <v>1</v>
      </c>
      <c r="C279" s="96" t="s">
        <v>35</v>
      </c>
      <c r="D279" s="6" t="s">
        <v>1722</v>
      </c>
    </row>
    <row r="280" customFormat="false" ht="14.25" hidden="false" customHeight="true" outlineLevel="0" collapsed="false">
      <c r="A280" s="94" t="s">
        <v>36</v>
      </c>
      <c r="B280" s="95" t="n">
        <v>1</v>
      </c>
      <c r="C280" s="96" t="s">
        <v>41</v>
      </c>
      <c r="D280" s="6" t="s">
        <v>1723</v>
      </c>
    </row>
    <row r="281" customFormat="false" ht="14.25" hidden="false" customHeight="true" outlineLevel="0" collapsed="false">
      <c r="A281" s="94" t="s">
        <v>41</v>
      </c>
      <c r="B281" s="95" t="n">
        <v>2</v>
      </c>
      <c r="C281" s="96" t="s">
        <v>36</v>
      </c>
      <c r="D281" s="6" t="s">
        <v>1724</v>
      </c>
    </row>
    <row r="282" customFormat="false" ht="14.25" hidden="false" customHeight="true" outlineLevel="0" collapsed="false">
      <c r="A282" s="94" t="s">
        <v>41</v>
      </c>
      <c r="B282" s="95" t="n">
        <v>2</v>
      </c>
      <c r="C282" s="96" t="s">
        <v>42</v>
      </c>
      <c r="D282" s="6" t="s">
        <v>1725</v>
      </c>
    </row>
    <row r="283" customFormat="false" ht="14.25" hidden="false" customHeight="true" outlineLevel="0" collapsed="false">
      <c r="A283" s="94" t="s">
        <v>1151</v>
      </c>
      <c r="B283" s="95" t="n">
        <v>2</v>
      </c>
      <c r="C283" s="96" t="s">
        <v>41</v>
      </c>
      <c r="D283" s="6" t="s">
        <v>1726</v>
      </c>
    </row>
    <row r="284" customFormat="false" ht="14.25" hidden="false" customHeight="true" outlineLevel="0" collapsed="false">
      <c r="A284" s="94" t="s">
        <v>1447</v>
      </c>
      <c r="B284" s="95" t="n">
        <v>2</v>
      </c>
      <c r="C284" s="96" t="s">
        <v>30</v>
      </c>
      <c r="D284" s="6" t="s">
        <v>1727</v>
      </c>
      <c r="E284" s="6" t="n">
        <v>0</v>
      </c>
    </row>
    <row r="285" customFormat="false" ht="14.25" hidden="false" customHeight="true" outlineLevel="0" collapsed="false">
      <c r="A285" s="94" t="s">
        <v>39</v>
      </c>
      <c r="B285" s="95" t="n">
        <v>2</v>
      </c>
      <c r="C285" s="96" t="s">
        <v>35</v>
      </c>
      <c r="D285" s="6" t="s">
        <v>1728</v>
      </c>
    </row>
    <row r="286" customFormat="false" ht="14.25" hidden="false" customHeight="true" outlineLevel="0" collapsed="false">
      <c r="A286" s="94" t="s">
        <v>11</v>
      </c>
      <c r="B286" s="95" t="n">
        <v>2</v>
      </c>
      <c r="C286" s="96" t="s">
        <v>30</v>
      </c>
      <c r="D286" s="6" t="s">
        <v>1729</v>
      </c>
      <c r="E286" s="6" t="n">
        <v>0</v>
      </c>
    </row>
    <row r="287" customFormat="false" ht="14.25" hidden="false" customHeight="true" outlineLevel="0" collapsed="false">
      <c r="A287" s="94" t="s">
        <v>1443</v>
      </c>
      <c r="B287" s="95" t="n">
        <v>1</v>
      </c>
      <c r="C287" s="96" t="s">
        <v>11</v>
      </c>
      <c r="D287" s="6" t="s">
        <v>1730</v>
      </c>
    </row>
    <row r="288" customFormat="false" ht="14.25" hidden="false" customHeight="true" outlineLevel="0" collapsed="false">
      <c r="A288" s="94" t="s">
        <v>11</v>
      </c>
      <c r="B288" s="95" t="n">
        <v>2</v>
      </c>
      <c r="C288" s="96" t="s">
        <v>1443</v>
      </c>
      <c r="D288" s="6" t="s">
        <v>1731</v>
      </c>
    </row>
    <row r="289" customFormat="false" ht="14.25" hidden="false" customHeight="true" outlineLevel="0" collapsed="false">
      <c r="A289" s="94" t="s">
        <v>41</v>
      </c>
      <c r="B289" s="95" t="n">
        <v>1</v>
      </c>
      <c r="C289" s="96" t="s">
        <v>30</v>
      </c>
      <c r="D289" s="6" t="s">
        <v>1732</v>
      </c>
      <c r="E289" s="6" t="n">
        <v>0</v>
      </c>
    </row>
    <row r="290" customFormat="false" ht="14.25" hidden="false" customHeight="true" outlineLevel="0" collapsed="false">
      <c r="A290" s="94" t="s">
        <v>30</v>
      </c>
      <c r="B290" s="95" t="n">
        <v>1</v>
      </c>
      <c r="C290" s="96" t="s">
        <v>41</v>
      </c>
      <c r="D290" s="6" t="s">
        <v>1733</v>
      </c>
    </row>
    <row r="291" customFormat="false" ht="14.25" hidden="false" customHeight="true" outlineLevel="0" collapsed="false">
      <c r="A291" s="94" t="s">
        <v>36</v>
      </c>
      <c r="B291" s="95" t="n">
        <v>2</v>
      </c>
      <c r="C291" s="96" t="s">
        <v>35</v>
      </c>
      <c r="D291" s="6" t="s">
        <v>1734</v>
      </c>
    </row>
    <row r="292" customFormat="false" ht="14.25" hidden="false" customHeight="true" outlineLevel="0" collapsed="false">
      <c r="A292" s="94" t="s">
        <v>1443</v>
      </c>
      <c r="B292" s="95" t="n">
        <v>2</v>
      </c>
      <c r="C292" s="96" t="s">
        <v>30</v>
      </c>
      <c r="D292" s="6" t="s">
        <v>1735</v>
      </c>
      <c r="E292" s="6" t="n">
        <v>0</v>
      </c>
    </row>
    <row r="293" customFormat="false" ht="14.25" hidden="false" customHeight="true" outlineLevel="0" collapsed="false">
      <c r="A293" s="94" t="s">
        <v>1443</v>
      </c>
      <c r="B293" s="95" t="n">
        <v>2</v>
      </c>
      <c r="C293" s="96" t="s">
        <v>43</v>
      </c>
      <c r="D293" s="6" t="s">
        <v>1736</v>
      </c>
    </row>
    <row r="294" customFormat="false" ht="14.25" hidden="false" customHeight="true" outlineLevel="0" collapsed="false">
      <c r="A294" s="94" t="s">
        <v>1447</v>
      </c>
      <c r="B294" s="95" t="n">
        <v>2</v>
      </c>
      <c r="C294" s="96" t="s">
        <v>30</v>
      </c>
      <c r="D294" s="6" t="s">
        <v>1737</v>
      </c>
      <c r="E294" s="6" t="n">
        <v>0</v>
      </c>
    </row>
    <row r="295" customFormat="false" ht="14.25" hidden="false" customHeight="true" outlineLevel="0" collapsed="false">
      <c r="A295" s="94" t="s">
        <v>39</v>
      </c>
      <c r="B295" s="95" t="n">
        <v>1</v>
      </c>
      <c r="C295" s="96" t="s">
        <v>30</v>
      </c>
      <c r="D295" s="6" t="s">
        <v>1738</v>
      </c>
      <c r="E295" s="6" t="n">
        <v>0</v>
      </c>
    </row>
    <row r="296" customFormat="false" ht="14.25" hidden="false" customHeight="true" outlineLevel="0" collapsed="false">
      <c r="A296" s="94" t="s">
        <v>30</v>
      </c>
      <c r="B296" s="95" t="n">
        <v>1</v>
      </c>
      <c r="C296" s="96" t="s">
        <v>39</v>
      </c>
      <c r="D296" s="6" t="s">
        <v>1739</v>
      </c>
    </row>
    <row r="297" customFormat="false" ht="14.25" hidden="false" customHeight="true" outlineLevel="0" collapsed="false">
      <c r="A297" s="94" t="s">
        <v>1443</v>
      </c>
      <c r="B297" s="95" t="n">
        <v>2</v>
      </c>
      <c r="C297" s="96" t="s">
        <v>39</v>
      </c>
      <c r="D297" s="6" t="s">
        <v>1740</v>
      </c>
    </row>
    <row r="298" customFormat="false" ht="14.25" hidden="false" customHeight="true" outlineLevel="0" collapsed="false">
      <c r="A298" s="94" t="s">
        <v>39</v>
      </c>
      <c r="B298" s="95" t="n">
        <v>1</v>
      </c>
      <c r="C298" s="96" t="s">
        <v>1443</v>
      </c>
      <c r="D298" s="6" t="s">
        <v>1741</v>
      </c>
    </row>
    <row r="299" customFormat="false" ht="14.25" hidden="false" customHeight="true" outlineLevel="0" collapsed="false">
      <c r="A299" s="94" t="s">
        <v>39</v>
      </c>
      <c r="B299" s="95" t="n">
        <v>2</v>
      </c>
      <c r="C299" s="96" t="s">
        <v>35</v>
      </c>
      <c r="D299" s="6" t="s">
        <v>1742</v>
      </c>
    </row>
    <row r="300" customFormat="false" ht="14.25" hidden="false" customHeight="true" outlineLevel="0" collapsed="false">
      <c r="A300" s="94" t="s">
        <v>36</v>
      </c>
      <c r="B300" s="95" t="n">
        <v>2</v>
      </c>
      <c r="C300" s="96" t="s">
        <v>40</v>
      </c>
      <c r="D300" s="6" t="s">
        <v>1743</v>
      </c>
    </row>
    <row r="301" customFormat="false" ht="14.25" hidden="false" customHeight="true" outlineLevel="0" collapsed="false">
      <c r="A301" s="94" t="s">
        <v>39</v>
      </c>
      <c r="B301" s="95" t="n">
        <v>2</v>
      </c>
      <c r="C301" s="96" t="s">
        <v>36</v>
      </c>
      <c r="D301" s="6" t="s">
        <v>1744</v>
      </c>
    </row>
    <row r="302" customFormat="false" ht="14.25" hidden="false" customHeight="true" outlineLevel="0" collapsed="false">
      <c r="A302" s="94" t="s">
        <v>36</v>
      </c>
      <c r="B302" s="95" t="n">
        <v>2</v>
      </c>
      <c r="C302" s="96" t="s">
        <v>39</v>
      </c>
      <c r="D302" s="6" t="s">
        <v>1745</v>
      </c>
    </row>
    <row r="303" customFormat="false" ht="14.25" hidden="false" customHeight="true" outlineLevel="0" collapsed="false">
      <c r="A303" s="94" t="s">
        <v>1151</v>
      </c>
      <c r="B303" s="95" t="n">
        <v>2</v>
      </c>
      <c r="C303" s="96" t="s">
        <v>39</v>
      </c>
      <c r="D303" s="6" t="s">
        <v>1746</v>
      </c>
    </row>
    <row r="304" customFormat="false" ht="14.25" hidden="false" customHeight="true" outlineLevel="0" collapsed="false">
      <c r="A304" s="94" t="s">
        <v>39</v>
      </c>
      <c r="B304" s="95" t="n">
        <v>1</v>
      </c>
      <c r="C304" s="96" t="s">
        <v>1151</v>
      </c>
      <c r="D304" s="6" t="s">
        <v>1747</v>
      </c>
    </row>
    <row r="305" customFormat="false" ht="14.25" hidden="false" customHeight="true" outlineLevel="0" collapsed="false">
      <c r="A305" s="94" t="s">
        <v>36</v>
      </c>
      <c r="B305" s="95" t="n">
        <v>2</v>
      </c>
      <c r="C305" s="96" t="s">
        <v>35</v>
      </c>
      <c r="D305" s="6" t="s">
        <v>1748</v>
      </c>
    </row>
    <row r="306" customFormat="false" ht="14.25" hidden="false" customHeight="true" outlineLevel="0" collapsed="false">
      <c r="A306" s="94" t="s">
        <v>1151</v>
      </c>
      <c r="B306" s="95" t="n">
        <v>2</v>
      </c>
      <c r="C306" s="96" t="s">
        <v>42</v>
      </c>
      <c r="D306" s="6" t="s">
        <v>1749</v>
      </c>
    </row>
    <row r="307" customFormat="false" ht="14.25" hidden="false" customHeight="true" outlineLevel="0" collapsed="false">
      <c r="A307" s="94" t="s">
        <v>1447</v>
      </c>
      <c r="B307" s="95" t="n">
        <v>2</v>
      </c>
      <c r="C307" s="96" t="s">
        <v>30</v>
      </c>
      <c r="D307" s="6" t="s">
        <v>1750</v>
      </c>
      <c r="E307" s="6" t="n">
        <v>0</v>
      </c>
    </row>
    <row r="308" customFormat="false" ht="14.25" hidden="false" customHeight="true" outlineLevel="0" collapsed="false">
      <c r="A308" s="94" t="s">
        <v>36</v>
      </c>
      <c r="B308" s="95" t="n">
        <v>2</v>
      </c>
      <c r="C308" s="96" t="s">
        <v>35</v>
      </c>
      <c r="D308" s="17" t="s">
        <v>1751</v>
      </c>
    </row>
    <row r="309" customFormat="false" ht="14.25" hidden="false" customHeight="true" outlineLevel="0" collapsed="false">
      <c r="A309" s="94" t="s">
        <v>41</v>
      </c>
      <c r="B309" s="95" t="n">
        <v>1</v>
      </c>
      <c r="C309" s="96" t="s">
        <v>35</v>
      </c>
      <c r="D309" s="6" t="s">
        <v>1752</v>
      </c>
    </row>
    <row r="310" customFormat="false" ht="14.25" hidden="false" customHeight="true" outlineLevel="0" collapsed="false">
      <c r="A310" s="94" t="s">
        <v>36</v>
      </c>
      <c r="B310" s="95" t="n">
        <v>1</v>
      </c>
      <c r="C310" s="96" t="s">
        <v>42</v>
      </c>
      <c r="D310" s="6" t="s">
        <v>1753</v>
      </c>
    </row>
    <row r="311" customFormat="false" ht="14.25" hidden="false" customHeight="true" outlineLevel="0" collapsed="false">
      <c r="A311" s="94" t="s">
        <v>1151</v>
      </c>
      <c r="B311" s="95" t="n">
        <v>1</v>
      </c>
      <c r="C311" s="96" t="s">
        <v>39</v>
      </c>
      <c r="D311" s="6" t="s">
        <v>1754</v>
      </c>
    </row>
    <row r="312" customFormat="false" ht="14.25" hidden="false" customHeight="true" outlineLevel="0" collapsed="false">
      <c r="A312" s="94" t="s">
        <v>39</v>
      </c>
      <c r="B312" s="95" t="n">
        <v>1</v>
      </c>
      <c r="C312" s="96" t="s">
        <v>1151</v>
      </c>
      <c r="D312" s="6" t="s">
        <v>1755</v>
      </c>
    </row>
    <row r="313" customFormat="false" ht="14.25" hidden="false" customHeight="true" outlineLevel="0" collapsed="false">
      <c r="A313" s="94" t="s">
        <v>1154</v>
      </c>
      <c r="B313" s="95" t="n">
        <v>1</v>
      </c>
      <c r="C313" s="96" t="s">
        <v>1447</v>
      </c>
      <c r="D313" s="6" t="s">
        <v>1756</v>
      </c>
    </row>
    <row r="314" customFormat="false" ht="14.25" hidden="false" customHeight="true" outlineLevel="0" collapsed="false">
      <c r="A314" s="94" t="s">
        <v>1447</v>
      </c>
      <c r="B314" s="95" t="n">
        <v>1</v>
      </c>
      <c r="C314" s="96" t="s">
        <v>1154</v>
      </c>
      <c r="D314" s="6" t="s">
        <v>1757</v>
      </c>
    </row>
    <row r="315" customFormat="false" ht="14.25" hidden="false" customHeight="true" outlineLevel="0" collapsed="false">
      <c r="A315" s="94" t="s">
        <v>1154</v>
      </c>
      <c r="B315" s="95" t="n">
        <v>2</v>
      </c>
      <c r="C315" s="96" t="s">
        <v>39</v>
      </c>
      <c r="D315" s="6" t="s">
        <v>1758</v>
      </c>
    </row>
    <row r="316" customFormat="false" ht="14.25" hidden="false" customHeight="true" outlineLevel="0" collapsed="false">
      <c r="A316" s="94" t="s">
        <v>11</v>
      </c>
      <c r="B316" s="95" t="n">
        <v>2</v>
      </c>
      <c r="C316" s="96" t="s">
        <v>30</v>
      </c>
      <c r="D316" s="6" t="s">
        <v>1759</v>
      </c>
      <c r="E316" s="6" t="n">
        <v>0</v>
      </c>
    </row>
    <row r="317" customFormat="false" ht="14.25" hidden="false" customHeight="true" outlineLevel="0" collapsed="false">
      <c r="A317" s="94" t="s">
        <v>39</v>
      </c>
      <c r="B317" s="95" t="n">
        <v>2</v>
      </c>
      <c r="C317" s="96" t="s">
        <v>30</v>
      </c>
      <c r="D317" s="6" t="s">
        <v>1760</v>
      </c>
      <c r="E317" s="6" t="n">
        <v>1</v>
      </c>
    </row>
    <row r="318" customFormat="false" ht="14.25" hidden="false" customHeight="true" outlineLevel="0" collapsed="false">
      <c r="A318" s="94" t="s">
        <v>1443</v>
      </c>
      <c r="B318" s="95" t="n">
        <v>2</v>
      </c>
      <c r="C318" s="96" t="s">
        <v>30</v>
      </c>
      <c r="D318" s="6" t="s">
        <v>1761</v>
      </c>
      <c r="E318" s="6" t="n">
        <v>1</v>
      </c>
    </row>
    <row r="319" customFormat="false" ht="14.25" hidden="false" customHeight="true" outlineLevel="0" collapsed="false">
      <c r="A319" s="94" t="s">
        <v>1447</v>
      </c>
      <c r="B319" s="95" t="n">
        <v>2</v>
      </c>
      <c r="C319" s="96" t="s">
        <v>43</v>
      </c>
      <c r="D319" s="6" t="s">
        <v>1762</v>
      </c>
    </row>
    <row r="320" customFormat="false" ht="14.25" hidden="false" customHeight="true" outlineLevel="0" collapsed="false">
      <c r="A320" s="94" t="s">
        <v>1447</v>
      </c>
      <c r="B320" s="95" t="n">
        <v>2</v>
      </c>
      <c r="C320" s="96" t="s">
        <v>1443</v>
      </c>
      <c r="D320" s="6" t="s">
        <v>1763</v>
      </c>
    </row>
    <row r="321" customFormat="false" ht="14.25" hidden="false" customHeight="true" outlineLevel="0" collapsed="false">
      <c r="A321" s="94" t="s">
        <v>36</v>
      </c>
      <c r="B321" s="95" t="n">
        <v>2</v>
      </c>
      <c r="C321" s="96" t="s">
        <v>35</v>
      </c>
      <c r="D321" s="6" t="s">
        <v>1764</v>
      </c>
    </row>
    <row r="322" customFormat="false" ht="14.25" hidden="false" customHeight="true" outlineLevel="0" collapsed="false">
      <c r="A322" s="94" t="s">
        <v>39</v>
      </c>
      <c r="B322" s="95" t="n">
        <v>1</v>
      </c>
      <c r="C322" s="96" t="s">
        <v>30</v>
      </c>
      <c r="D322" s="6" t="s">
        <v>1765</v>
      </c>
      <c r="E322" s="6" t="n">
        <v>0</v>
      </c>
    </row>
    <row r="323" customFormat="false" ht="14.25" hidden="false" customHeight="true" outlineLevel="0" collapsed="false">
      <c r="A323" s="94" t="s">
        <v>30</v>
      </c>
      <c r="B323" s="95" t="n">
        <v>1</v>
      </c>
      <c r="C323" s="96" t="s">
        <v>39</v>
      </c>
      <c r="D323" s="6" t="s">
        <v>1765</v>
      </c>
    </row>
    <row r="324" customFormat="false" ht="14.25" hidden="false" customHeight="true" outlineLevel="0" collapsed="false">
      <c r="A324" s="94" t="s">
        <v>39</v>
      </c>
      <c r="B324" s="95" t="n">
        <v>2</v>
      </c>
      <c r="C324" s="96" t="s">
        <v>35</v>
      </c>
      <c r="D324" s="6" t="s">
        <v>1766</v>
      </c>
    </row>
    <row r="325" customFormat="false" ht="14.25" hidden="false" customHeight="true" outlineLevel="0" collapsed="false">
      <c r="A325" s="94" t="s">
        <v>1151</v>
      </c>
      <c r="B325" s="95" t="n">
        <v>1</v>
      </c>
      <c r="C325" s="96" t="s">
        <v>36</v>
      </c>
      <c r="D325" s="6" t="s">
        <v>1767</v>
      </c>
    </row>
    <row r="326" customFormat="false" ht="14.25" hidden="false" customHeight="true" outlineLevel="0" collapsed="false">
      <c r="A326" s="94" t="s">
        <v>36</v>
      </c>
      <c r="B326" s="95" t="n">
        <v>1</v>
      </c>
      <c r="C326" s="96" t="s">
        <v>1151</v>
      </c>
      <c r="D326" s="6" t="s">
        <v>1768</v>
      </c>
    </row>
    <row r="327" customFormat="false" ht="14.25" hidden="false" customHeight="true" outlineLevel="0" collapsed="false">
      <c r="A327" s="94" t="s">
        <v>42</v>
      </c>
      <c r="B327" s="95" t="n">
        <v>1</v>
      </c>
      <c r="C327" s="96" t="s">
        <v>1154</v>
      </c>
      <c r="D327" s="6" t="s">
        <v>1769</v>
      </c>
    </row>
    <row r="328" customFormat="false" ht="14.25" hidden="false" customHeight="true" outlineLevel="0" collapsed="false">
      <c r="A328" s="94" t="s">
        <v>1154</v>
      </c>
      <c r="B328" s="95" t="n">
        <v>1</v>
      </c>
      <c r="C328" s="96" t="s">
        <v>42</v>
      </c>
      <c r="D328" s="6" t="s">
        <v>1770</v>
      </c>
    </row>
    <row r="329" customFormat="false" ht="14.25" hidden="false" customHeight="true" outlineLevel="0" collapsed="false">
      <c r="A329" s="94" t="s">
        <v>1447</v>
      </c>
      <c r="B329" s="95" t="n">
        <v>2</v>
      </c>
      <c r="C329" s="96" t="s">
        <v>42</v>
      </c>
      <c r="D329" s="6" t="s">
        <v>1771</v>
      </c>
    </row>
    <row r="330" customFormat="false" ht="14.25" hidden="false" customHeight="true" outlineLevel="0" collapsed="false">
      <c r="A330" s="94" t="s">
        <v>1151</v>
      </c>
      <c r="B330" s="95" t="n">
        <v>2</v>
      </c>
      <c r="C330" s="96" t="s">
        <v>30</v>
      </c>
      <c r="D330" s="6" t="s">
        <v>1772</v>
      </c>
      <c r="E330" s="6" t="n">
        <v>1</v>
      </c>
    </row>
    <row r="331" customFormat="false" ht="14.25" hidden="false" customHeight="true" outlineLevel="0" collapsed="false">
      <c r="A331" s="94" t="s">
        <v>36</v>
      </c>
      <c r="B331" s="95" t="n">
        <v>1</v>
      </c>
      <c r="C331" s="96" t="s">
        <v>39</v>
      </c>
      <c r="D331" s="6" t="s">
        <v>1773</v>
      </c>
    </row>
    <row r="332" customFormat="false" ht="14.25" hidden="false" customHeight="true" outlineLevel="0" collapsed="false">
      <c r="A332" s="94" t="s">
        <v>39</v>
      </c>
      <c r="B332" s="95" t="n">
        <v>1</v>
      </c>
      <c r="C332" s="96" t="s">
        <v>36</v>
      </c>
      <c r="D332" s="6" t="s">
        <v>1774</v>
      </c>
    </row>
    <row r="333" customFormat="false" ht="14.25" hidden="false" customHeight="true" outlineLevel="0" collapsed="false">
      <c r="A333" s="94" t="s">
        <v>1151</v>
      </c>
      <c r="B333" s="95" t="n">
        <v>1</v>
      </c>
      <c r="C333" s="96" t="s">
        <v>41</v>
      </c>
      <c r="D333" s="6" t="s">
        <v>1775</v>
      </c>
    </row>
    <row r="334" customFormat="false" ht="14.25" hidden="false" customHeight="true" outlineLevel="0" collapsed="false">
      <c r="A334" s="94" t="s">
        <v>41</v>
      </c>
      <c r="B334" s="95" t="n">
        <v>1</v>
      </c>
      <c r="C334" s="96" t="s">
        <v>1151</v>
      </c>
      <c r="D334" s="6" t="s">
        <v>1776</v>
      </c>
    </row>
    <row r="335" customFormat="false" ht="14.25" hidden="false" customHeight="true" outlineLevel="0" collapsed="false">
      <c r="A335" s="94" t="s">
        <v>1447</v>
      </c>
      <c r="B335" s="95" t="n">
        <v>2</v>
      </c>
      <c r="C335" s="96" t="s">
        <v>43</v>
      </c>
      <c r="D335" s="6" t="s">
        <v>1777</v>
      </c>
    </row>
    <row r="336" customFormat="false" ht="14.25" hidden="false" customHeight="true" outlineLevel="0" collapsed="false">
      <c r="A336" s="94" t="s">
        <v>41</v>
      </c>
      <c r="B336" s="95" t="n">
        <v>1</v>
      </c>
      <c r="C336" s="96" t="s">
        <v>36</v>
      </c>
      <c r="D336" s="6" t="s">
        <v>1778</v>
      </c>
    </row>
    <row r="337" customFormat="false" ht="14.25" hidden="false" customHeight="true" outlineLevel="0" collapsed="false">
      <c r="A337" s="94" t="s">
        <v>36</v>
      </c>
      <c r="B337" s="95" t="n">
        <v>1</v>
      </c>
      <c r="C337" s="96" t="s">
        <v>41</v>
      </c>
      <c r="D337" s="6" t="s">
        <v>1779</v>
      </c>
    </row>
    <row r="338" customFormat="false" ht="14.25" hidden="false" customHeight="true" outlineLevel="0" collapsed="false">
      <c r="A338" s="94" t="s">
        <v>1151</v>
      </c>
      <c r="B338" s="95" t="n">
        <v>1</v>
      </c>
      <c r="C338" s="96" t="s">
        <v>30</v>
      </c>
      <c r="D338" s="6" t="s">
        <v>1780</v>
      </c>
    </row>
    <row r="339" customFormat="false" ht="14.25" hidden="false" customHeight="true" outlineLevel="0" collapsed="false">
      <c r="A339" s="94" t="s">
        <v>11</v>
      </c>
      <c r="B339" s="95" t="n">
        <v>2</v>
      </c>
      <c r="C339" s="96" t="s">
        <v>42</v>
      </c>
      <c r="D339" s="6" t="s">
        <v>1781</v>
      </c>
    </row>
    <row r="340" customFormat="false" ht="14.25" hidden="false" customHeight="true" outlineLevel="0" collapsed="false">
      <c r="A340" s="94" t="s">
        <v>30</v>
      </c>
      <c r="B340" s="95" t="n">
        <v>2</v>
      </c>
      <c r="C340" s="96" t="s">
        <v>1151</v>
      </c>
      <c r="D340" s="6" t="s">
        <v>1782</v>
      </c>
    </row>
    <row r="341" customFormat="false" ht="14.25" hidden="false" customHeight="true" outlineLevel="0" collapsed="false">
      <c r="A341" s="94" t="s">
        <v>30</v>
      </c>
      <c r="B341" s="95" t="n">
        <v>2</v>
      </c>
      <c r="C341" s="96" t="s">
        <v>43</v>
      </c>
      <c r="D341" s="6" t="s">
        <v>1783</v>
      </c>
    </row>
    <row r="342" customFormat="false" ht="14.25" hidden="false" customHeight="true" outlineLevel="0" collapsed="false">
      <c r="A342" s="94" t="s">
        <v>1151</v>
      </c>
      <c r="B342" s="95" t="n">
        <v>2</v>
      </c>
      <c r="C342" s="96" t="s">
        <v>30</v>
      </c>
      <c r="D342" s="6" t="s">
        <v>1784</v>
      </c>
      <c r="E342" s="6" t="n">
        <v>0</v>
      </c>
    </row>
    <row r="343" customFormat="false" ht="14.25" hidden="false" customHeight="true" outlineLevel="0" collapsed="false">
      <c r="A343" s="94" t="s">
        <v>43</v>
      </c>
      <c r="B343" s="95" t="n">
        <v>1</v>
      </c>
      <c r="C343" s="96" t="s">
        <v>1151</v>
      </c>
      <c r="D343" s="6" t="s">
        <v>1785</v>
      </c>
    </row>
    <row r="344" customFormat="false" ht="14.25" hidden="false" customHeight="true" outlineLevel="0" collapsed="false">
      <c r="A344" s="94" t="s">
        <v>43</v>
      </c>
      <c r="B344" s="95" t="n">
        <v>1</v>
      </c>
      <c r="C344" s="96" t="s">
        <v>30</v>
      </c>
      <c r="D344" s="6" t="s">
        <v>1785</v>
      </c>
    </row>
    <row r="345" customFormat="false" ht="14.25" hidden="false" customHeight="true" outlineLevel="0" collapsed="false">
      <c r="A345" s="94" t="s">
        <v>42</v>
      </c>
      <c r="B345" s="95" t="n">
        <v>2</v>
      </c>
      <c r="C345" s="96" t="s">
        <v>35</v>
      </c>
      <c r="D345" s="17" t="s">
        <v>1786</v>
      </c>
    </row>
    <row r="346" customFormat="false" ht="14.25" hidden="false" customHeight="true" outlineLevel="0" collapsed="false">
      <c r="A346" s="94" t="s">
        <v>41</v>
      </c>
      <c r="B346" s="95" t="n">
        <v>2</v>
      </c>
      <c r="C346" s="96" t="s">
        <v>42</v>
      </c>
      <c r="D346" s="6" t="s">
        <v>1787</v>
      </c>
    </row>
    <row r="347" customFormat="false" ht="14.25" hidden="false" customHeight="true" outlineLevel="0" collapsed="false">
      <c r="A347" s="94" t="s">
        <v>1151</v>
      </c>
      <c r="B347" s="95" t="n">
        <v>1</v>
      </c>
      <c r="C347" s="96" t="s">
        <v>42</v>
      </c>
      <c r="D347" s="6" t="s">
        <v>1788</v>
      </c>
    </row>
    <row r="348" customFormat="false" ht="14.25" hidden="false" customHeight="true" outlineLevel="0" collapsed="false">
      <c r="A348" s="94" t="s">
        <v>1151</v>
      </c>
      <c r="B348" s="95" t="n">
        <v>1</v>
      </c>
      <c r="C348" s="96" t="s">
        <v>41</v>
      </c>
      <c r="D348" s="6" t="s">
        <v>1789</v>
      </c>
    </row>
    <row r="349" customFormat="false" ht="14.25" hidden="false" customHeight="true" outlineLevel="0" collapsed="false">
      <c r="A349" s="94" t="s">
        <v>41</v>
      </c>
      <c r="B349" s="95" t="n">
        <v>1</v>
      </c>
      <c r="C349" s="96" t="s">
        <v>1151</v>
      </c>
      <c r="D349" s="6" t="s">
        <v>1790</v>
      </c>
    </row>
    <row r="350" customFormat="false" ht="14.25" hidden="false" customHeight="true" outlineLevel="0" collapsed="false">
      <c r="A350" s="94" t="s">
        <v>1151</v>
      </c>
      <c r="B350" s="95" t="n">
        <v>2</v>
      </c>
      <c r="C350" s="96" t="s">
        <v>41</v>
      </c>
      <c r="D350" s="6" t="s">
        <v>1791</v>
      </c>
    </row>
    <row r="351" customFormat="false" ht="14.25" hidden="false" customHeight="true" outlineLevel="0" collapsed="false">
      <c r="A351" s="94" t="s">
        <v>41</v>
      </c>
      <c r="B351" s="95" t="n">
        <v>1</v>
      </c>
      <c r="C351" s="96" t="s">
        <v>1151</v>
      </c>
      <c r="D351" s="6" t="s">
        <v>1792</v>
      </c>
    </row>
    <row r="352" customFormat="false" ht="14.25" hidden="false" customHeight="true" outlineLevel="0" collapsed="false">
      <c r="A352" s="94" t="s">
        <v>39</v>
      </c>
      <c r="B352" s="95" t="n">
        <v>2</v>
      </c>
      <c r="C352" s="96" t="s">
        <v>36</v>
      </c>
      <c r="D352" s="6" t="s">
        <v>1793</v>
      </c>
    </row>
    <row r="353" customFormat="false" ht="14.25" hidden="false" customHeight="true" outlineLevel="0" collapsed="false">
      <c r="A353" s="94" t="s">
        <v>39</v>
      </c>
      <c r="B353" s="95" t="n">
        <v>2</v>
      </c>
      <c r="C353" s="96" t="s">
        <v>1447</v>
      </c>
      <c r="D353" s="6" t="s">
        <v>1794</v>
      </c>
    </row>
    <row r="354" customFormat="false" ht="14.25" hidden="false" customHeight="true" outlineLevel="0" collapsed="false">
      <c r="A354" s="94" t="s">
        <v>1447</v>
      </c>
      <c r="B354" s="95" t="n">
        <v>1</v>
      </c>
      <c r="C354" s="96" t="s">
        <v>39</v>
      </c>
      <c r="D354" s="6" t="s">
        <v>1795</v>
      </c>
    </row>
    <row r="355" customFormat="false" ht="14.25" hidden="false" customHeight="true" outlineLevel="0" collapsed="false">
      <c r="A355" s="94" t="s">
        <v>1151</v>
      </c>
      <c r="B355" s="95" t="n">
        <v>2</v>
      </c>
      <c r="C355" s="96" t="s">
        <v>1443</v>
      </c>
      <c r="D355" s="6" t="s">
        <v>1796</v>
      </c>
    </row>
    <row r="356" customFormat="false" ht="14.25" hidden="false" customHeight="true" outlineLevel="0" collapsed="false">
      <c r="A356" s="94" t="s">
        <v>40</v>
      </c>
      <c r="B356" s="95" t="n">
        <v>1</v>
      </c>
      <c r="C356" s="96" t="s">
        <v>1443</v>
      </c>
      <c r="D356" s="6" t="s">
        <v>1797</v>
      </c>
    </row>
    <row r="357" customFormat="false" ht="14.25" hidden="false" customHeight="true" outlineLevel="0" collapsed="false">
      <c r="A357" s="94" t="s">
        <v>39</v>
      </c>
      <c r="B357" s="95" t="n">
        <v>2</v>
      </c>
      <c r="C357" s="96" t="s">
        <v>36</v>
      </c>
      <c r="D357" s="6" t="s">
        <v>1798</v>
      </c>
    </row>
    <row r="358" customFormat="false" ht="14.25" hidden="false" customHeight="true" outlineLevel="0" collapsed="false">
      <c r="A358" s="94" t="s">
        <v>36</v>
      </c>
      <c r="B358" s="95" t="n">
        <v>1</v>
      </c>
      <c r="C358" s="96" t="s">
        <v>39</v>
      </c>
      <c r="D358" s="6" t="s">
        <v>1799</v>
      </c>
    </row>
    <row r="359" customFormat="false" ht="14.25" hidden="false" customHeight="true" outlineLevel="0" collapsed="false">
      <c r="A359" s="94" t="s">
        <v>36</v>
      </c>
      <c r="B359" s="95" t="n">
        <v>2</v>
      </c>
      <c r="C359" s="96" t="s">
        <v>30</v>
      </c>
      <c r="D359" s="6" t="s">
        <v>1800</v>
      </c>
    </row>
    <row r="360" customFormat="false" ht="14.25" hidden="false" customHeight="true" outlineLevel="0" collapsed="false">
      <c r="A360" s="94" t="s">
        <v>30</v>
      </c>
      <c r="B360" s="95" t="n">
        <v>1</v>
      </c>
      <c r="C360" s="96" t="s">
        <v>36</v>
      </c>
      <c r="D360" s="6" t="s">
        <v>1801</v>
      </c>
    </row>
    <row r="361" customFormat="false" ht="14.25" hidden="false" customHeight="true" outlineLevel="0" collapsed="false">
      <c r="A361" s="94" t="s">
        <v>39</v>
      </c>
      <c r="B361" s="95" t="n">
        <v>2</v>
      </c>
      <c r="C361" s="96" t="s">
        <v>36</v>
      </c>
      <c r="D361" s="6" t="s">
        <v>1802</v>
      </c>
    </row>
    <row r="362" customFormat="false" ht="14.25" hidden="false" customHeight="true" outlineLevel="0" collapsed="false">
      <c r="A362" s="94" t="s">
        <v>30</v>
      </c>
      <c r="B362" s="95" t="n">
        <v>2</v>
      </c>
      <c r="C362" s="96" t="s">
        <v>36</v>
      </c>
      <c r="D362" s="6" t="s">
        <v>1803</v>
      </c>
    </row>
    <row r="363" customFormat="false" ht="14.25" hidden="false" customHeight="true" outlineLevel="0" collapsed="false">
      <c r="A363" s="94" t="s">
        <v>11</v>
      </c>
      <c r="B363" s="95" t="n">
        <v>2</v>
      </c>
      <c r="C363" s="96" t="s">
        <v>42</v>
      </c>
      <c r="D363" s="6" t="s">
        <v>1804</v>
      </c>
    </row>
    <row r="364" customFormat="false" ht="14.25" hidden="false" customHeight="true" outlineLevel="0" collapsed="false">
      <c r="A364" s="94" t="s">
        <v>39</v>
      </c>
      <c r="B364" s="95" t="n">
        <v>2</v>
      </c>
      <c r="C364" s="96" t="s">
        <v>36</v>
      </c>
      <c r="D364" s="6" t="s">
        <v>1805</v>
      </c>
    </row>
    <row r="365" customFormat="false" ht="14.25" hidden="false" customHeight="true" outlineLevel="0" collapsed="false">
      <c r="A365" s="94" t="s">
        <v>1443</v>
      </c>
      <c r="B365" s="95" t="n">
        <v>1</v>
      </c>
      <c r="C365" s="96" t="s">
        <v>40</v>
      </c>
      <c r="D365" s="6" t="s">
        <v>1806</v>
      </c>
    </row>
    <row r="366" customFormat="false" ht="14.25" hidden="false" customHeight="true" outlineLevel="0" collapsed="false">
      <c r="A366" s="94" t="s">
        <v>40</v>
      </c>
      <c r="B366" s="95" t="n">
        <v>1</v>
      </c>
      <c r="C366" s="96" t="s">
        <v>1443</v>
      </c>
      <c r="D366" s="6" t="s">
        <v>1807</v>
      </c>
    </row>
    <row r="367" customFormat="false" ht="14.25" hidden="false" customHeight="true" outlineLevel="0" collapsed="false">
      <c r="A367" s="94" t="s">
        <v>1447</v>
      </c>
      <c r="B367" s="95" t="n">
        <v>2</v>
      </c>
      <c r="C367" s="96" t="s">
        <v>40</v>
      </c>
      <c r="D367" s="6" t="s">
        <v>1808</v>
      </c>
    </row>
    <row r="368" customFormat="false" ht="14.25" hidden="false" customHeight="true" outlineLevel="0" collapsed="false">
      <c r="A368" s="94" t="s">
        <v>36</v>
      </c>
      <c r="B368" s="95" t="n">
        <v>1</v>
      </c>
      <c r="C368" s="96" t="s">
        <v>41</v>
      </c>
      <c r="D368" s="6" t="s">
        <v>1809</v>
      </c>
    </row>
    <row r="369" customFormat="false" ht="14.25" hidden="false" customHeight="true" outlineLevel="0" collapsed="false">
      <c r="A369" s="94" t="s">
        <v>41</v>
      </c>
      <c r="B369" s="95" t="n">
        <v>2</v>
      </c>
      <c r="C369" s="96" t="s">
        <v>36</v>
      </c>
      <c r="D369" s="6" t="s">
        <v>1810</v>
      </c>
    </row>
    <row r="370" customFormat="false" ht="14.25" hidden="false" customHeight="true" outlineLevel="0" collapsed="false">
      <c r="A370" s="94" t="s">
        <v>1443</v>
      </c>
      <c r="B370" s="95" t="n">
        <v>1</v>
      </c>
      <c r="C370" s="96" t="s">
        <v>40</v>
      </c>
      <c r="D370" s="6" t="s">
        <v>1811</v>
      </c>
    </row>
    <row r="371" customFormat="false" ht="14.25" hidden="false" customHeight="true" outlineLevel="0" collapsed="false">
      <c r="A371" s="94" t="s">
        <v>1443</v>
      </c>
      <c r="B371" s="95" t="n">
        <v>2</v>
      </c>
      <c r="C371" s="96" t="s">
        <v>42</v>
      </c>
      <c r="D371" s="6" t="s">
        <v>1812</v>
      </c>
    </row>
    <row r="372" customFormat="false" ht="14.25" hidden="false" customHeight="true" outlineLevel="0" collapsed="false">
      <c r="A372" s="94" t="s">
        <v>39</v>
      </c>
      <c r="B372" s="95" t="n">
        <v>2</v>
      </c>
      <c r="C372" s="96" t="s">
        <v>35</v>
      </c>
      <c r="D372" s="6" t="s">
        <v>1813</v>
      </c>
    </row>
    <row r="373" customFormat="false" ht="14.25" hidden="false" customHeight="true" outlineLevel="0" collapsed="false">
      <c r="A373" s="94" t="s">
        <v>39</v>
      </c>
      <c r="B373" s="95" t="n">
        <v>2</v>
      </c>
      <c r="C373" s="96" t="s">
        <v>35</v>
      </c>
      <c r="D373" s="6" t="s">
        <v>1814</v>
      </c>
    </row>
    <row r="374" customFormat="false" ht="14.25" hidden="false" customHeight="true" outlineLevel="0" collapsed="false">
      <c r="A374" s="94" t="s">
        <v>1151</v>
      </c>
      <c r="B374" s="95" t="n">
        <v>1</v>
      </c>
      <c r="C374" s="96" t="s">
        <v>41</v>
      </c>
      <c r="D374" s="6" t="s">
        <v>1815</v>
      </c>
    </row>
    <row r="375" customFormat="false" ht="14.25" hidden="false" customHeight="true" outlineLevel="0" collapsed="false">
      <c r="A375" s="94" t="s">
        <v>41</v>
      </c>
      <c r="B375" s="95" t="n">
        <v>1</v>
      </c>
      <c r="C375" s="96" t="s">
        <v>1151</v>
      </c>
      <c r="D375" s="6" t="s">
        <v>1816</v>
      </c>
    </row>
    <row r="376" customFormat="false" ht="14.25" hidden="false" customHeight="true" outlineLevel="0" collapsed="false">
      <c r="A376" s="94" t="s">
        <v>39</v>
      </c>
      <c r="B376" s="95" t="n">
        <v>2</v>
      </c>
      <c r="C376" s="96" t="s">
        <v>35</v>
      </c>
      <c r="D376" s="6" t="s">
        <v>1817</v>
      </c>
    </row>
    <row r="377" customFormat="false" ht="14.25" hidden="false" customHeight="true" outlineLevel="0" collapsed="false">
      <c r="A377" s="94" t="s">
        <v>30</v>
      </c>
      <c r="B377" s="95" t="n">
        <v>2</v>
      </c>
      <c r="C377" s="96" t="s">
        <v>1154</v>
      </c>
      <c r="D377" s="6" t="s">
        <v>1818</v>
      </c>
    </row>
    <row r="378" customFormat="false" ht="14.25" hidden="false" customHeight="true" outlineLevel="0" collapsed="false">
      <c r="A378" s="94" t="s">
        <v>30</v>
      </c>
      <c r="B378" s="95" t="n">
        <v>2</v>
      </c>
      <c r="C378" s="96" t="s">
        <v>1443</v>
      </c>
      <c r="D378" s="6" t="s">
        <v>1819</v>
      </c>
    </row>
    <row r="379" customFormat="false" ht="14.25" hidden="false" customHeight="true" outlineLevel="0" collapsed="false">
      <c r="A379" s="94" t="s">
        <v>1443</v>
      </c>
      <c r="B379" s="95" t="n">
        <v>2</v>
      </c>
      <c r="C379" s="96" t="s">
        <v>30</v>
      </c>
      <c r="D379" s="6" t="s">
        <v>1820</v>
      </c>
    </row>
    <row r="380" customFormat="false" ht="14.25" hidden="false" customHeight="true" outlineLevel="0" collapsed="false">
      <c r="A380" s="94" t="s">
        <v>30</v>
      </c>
      <c r="B380" s="95" t="n">
        <v>2</v>
      </c>
      <c r="C380" s="96" t="s">
        <v>1151</v>
      </c>
      <c r="D380" s="6" t="s">
        <v>1821</v>
      </c>
    </row>
    <row r="381" customFormat="false" ht="14.25" hidden="false" customHeight="true" outlineLevel="0" collapsed="false">
      <c r="A381" s="94" t="s">
        <v>1151</v>
      </c>
      <c r="B381" s="95" t="n">
        <v>1</v>
      </c>
      <c r="C381" s="96" t="s">
        <v>30</v>
      </c>
      <c r="D381" s="6" t="s">
        <v>1822</v>
      </c>
    </row>
    <row r="382" customFormat="false" ht="14.25" hidden="false" customHeight="true" outlineLevel="0" collapsed="false">
      <c r="A382" s="94" t="s">
        <v>1443</v>
      </c>
      <c r="B382" s="95" t="n">
        <v>1</v>
      </c>
      <c r="C382" s="96" t="s">
        <v>40</v>
      </c>
      <c r="D382" s="6" t="s">
        <v>1823</v>
      </c>
    </row>
    <row r="383" customFormat="false" ht="14.25" hidden="false" customHeight="true" outlineLevel="0" collapsed="false">
      <c r="A383" s="94" t="s">
        <v>1151</v>
      </c>
      <c r="B383" s="95" t="n">
        <v>2</v>
      </c>
      <c r="C383" s="96" t="s">
        <v>30</v>
      </c>
      <c r="D383" s="6" t="s">
        <v>1824</v>
      </c>
    </row>
    <row r="384" customFormat="false" ht="14.25" hidden="false" customHeight="true" outlineLevel="0" collapsed="false">
      <c r="A384" s="94" t="s">
        <v>30</v>
      </c>
      <c r="B384" s="95" t="n">
        <v>1</v>
      </c>
      <c r="C384" s="96" t="s">
        <v>1151</v>
      </c>
      <c r="D384" s="6" t="s">
        <v>1825</v>
      </c>
    </row>
    <row r="385" customFormat="false" ht="14.25" hidden="false" customHeight="true" outlineLevel="0" collapsed="false">
      <c r="A385" s="94" t="s">
        <v>39</v>
      </c>
      <c r="B385" s="95" t="n">
        <v>2</v>
      </c>
      <c r="C385" s="96" t="s">
        <v>35</v>
      </c>
      <c r="D385" s="6" t="s">
        <v>1826</v>
      </c>
    </row>
    <row r="386" customFormat="false" ht="14.25" hidden="false" customHeight="true" outlineLevel="0" collapsed="false">
      <c r="A386" s="94" t="s">
        <v>30</v>
      </c>
      <c r="B386" s="95" t="n">
        <v>1</v>
      </c>
      <c r="C386" s="96" t="s">
        <v>1447</v>
      </c>
      <c r="D386" s="6" t="s">
        <v>1827</v>
      </c>
    </row>
    <row r="387" customFormat="false" ht="14.25" hidden="false" customHeight="true" outlineLevel="0" collapsed="false">
      <c r="A387" s="94" t="s">
        <v>1447</v>
      </c>
      <c r="B387" s="95" t="n">
        <v>1</v>
      </c>
      <c r="C387" s="96" t="s">
        <v>30</v>
      </c>
      <c r="D387" s="6" t="s">
        <v>1828</v>
      </c>
    </row>
    <row r="388" customFormat="false" ht="14.25" hidden="false" customHeight="true" outlineLevel="0" collapsed="false">
      <c r="A388" s="94" t="s">
        <v>1151</v>
      </c>
      <c r="B388" s="95" t="n">
        <v>2</v>
      </c>
      <c r="C388" s="96" t="s">
        <v>30</v>
      </c>
      <c r="D388" s="6" t="s">
        <v>1829</v>
      </c>
    </row>
    <row r="389" customFormat="false" ht="14.25" hidden="false" customHeight="true" outlineLevel="0" collapsed="false">
      <c r="A389" s="94" t="s">
        <v>30</v>
      </c>
      <c r="B389" s="95" t="n">
        <v>1</v>
      </c>
      <c r="C389" s="96" t="s">
        <v>1151</v>
      </c>
      <c r="D389" s="6" t="s">
        <v>1830</v>
      </c>
    </row>
    <row r="390" customFormat="false" ht="14.25" hidden="false" customHeight="true" outlineLevel="0" collapsed="false">
      <c r="A390" s="94" t="s">
        <v>1151</v>
      </c>
      <c r="B390" s="95" t="n">
        <v>1</v>
      </c>
      <c r="C390" s="96" t="s">
        <v>41</v>
      </c>
      <c r="D390" s="6" t="s">
        <v>1831</v>
      </c>
    </row>
    <row r="391" customFormat="false" ht="14.25" hidden="false" customHeight="true" outlineLevel="0" collapsed="false">
      <c r="A391" s="94" t="s">
        <v>41</v>
      </c>
      <c r="B391" s="95" t="n">
        <v>1</v>
      </c>
      <c r="C391" s="96" t="s">
        <v>1151</v>
      </c>
      <c r="D391" s="6" t="s">
        <v>1832</v>
      </c>
    </row>
    <row r="392" customFormat="false" ht="14.25" hidden="false" customHeight="true" outlineLevel="0" collapsed="false">
      <c r="A392" s="94" t="s">
        <v>41</v>
      </c>
      <c r="B392" s="95" t="n">
        <v>1</v>
      </c>
      <c r="C392" s="96" t="s">
        <v>30</v>
      </c>
      <c r="D392" s="6" t="s">
        <v>1832</v>
      </c>
    </row>
    <row r="393" customFormat="false" ht="14.25" hidden="false" customHeight="true" outlineLevel="0" collapsed="false">
      <c r="A393" s="94" t="s">
        <v>30</v>
      </c>
      <c r="B393" s="95" t="n">
        <v>1</v>
      </c>
      <c r="C393" s="96" t="s">
        <v>41</v>
      </c>
      <c r="D393" s="6" t="s">
        <v>1833</v>
      </c>
    </row>
    <row r="394" customFormat="false" ht="14.25" hidden="false" customHeight="true" outlineLevel="0" collapsed="false">
      <c r="A394" s="94" t="s">
        <v>1447</v>
      </c>
      <c r="B394" s="95" t="n">
        <v>2</v>
      </c>
      <c r="C394" s="96" t="s">
        <v>36</v>
      </c>
      <c r="D394" s="6" t="s">
        <v>1834</v>
      </c>
    </row>
    <row r="395" customFormat="false" ht="14.25" hidden="false" customHeight="true" outlineLevel="0" collapsed="false">
      <c r="A395" s="94" t="s">
        <v>43</v>
      </c>
      <c r="B395" s="95" t="n">
        <v>2</v>
      </c>
      <c r="C395" s="96" t="s">
        <v>35</v>
      </c>
      <c r="D395" s="6" t="s">
        <v>1835</v>
      </c>
    </row>
    <row r="396" customFormat="false" ht="14.25" hidden="false" customHeight="true" outlineLevel="0" collapsed="false">
      <c r="A396" s="94" t="s">
        <v>39</v>
      </c>
      <c r="B396" s="95" t="n">
        <v>2</v>
      </c>
      <c r="C396" s="96" t="s">
        <v>36</v>
      </c>
      <c r="D396" s="6" t="s">
        <v>1836</v>
      </c>
    </row>
    <row r="397" customFormat="false" ht="14.25" hidden="false" customHeight="true" outlineLevel="0" collapsed="false">
      <c r="A397" s="94" t="s">
        <v>1151</v>
      </c>
      <c r="B397" s="95" t="n">
        <v>2</v>
      </c>
      <c r="C397" s="96" t="s">
        <v>36</v>
      </c>
      <c r="D397" s="6" t="s">
        <v>1837</v>
      </c>
    </row>
    <row r="398" customFormat="false" ht="14.25" hidden="false" customHeight="true" outlineLevel="0" collapsed="false">
      <c r="A398" s="94" t="s">
        <v>1443</v>
      </c>
      <c r="B398" s="95" t="n">
        <v>1</v>
      </c>
      <c r="C398" s="96" t="s">
        <v>36</v>
      </c>
      <c r="D398" s="6" t="s">
        <v>1838</v>
      </c>
    </row>
    <row r="399" customFormat="false" ht="14.25" hidden="false" customHeight="true" outlineLevel="0" collapsed="false">
      <c r="A399" s="94" t="s">
        <v>36</v>
      </c>
      <c r="B399" s="95" t="n">
        <v>1</v>
      </c>
      <c r="C399" s="96" t="s">
        <v>1443</v>
      </c>
      <c r="D399" s="6" t="s">
        <v>1839</v>
      </c>
    </row>
    <row r="400" customFormat="false" ht="14.25" hidden="false" customHeight="true" outlineLevel="0" collapsed="false">
      <c r="A400" s="94" t="s">
        <v>39</v>
      </c>
      <c r="B400" s="95" t="n">
        <v>2</v>
      </c>
      <c r="C400" s="96" t="s">
        <v>11</v>
      </c>
      <c r="D400" s="6" t="s">
        <v>1840</v>
      </c>
    </row>
    <row r="401" customFormat="false" ht="14.25" hidden="false" customHeight="true" outlineLevel="0" collapsed="false">
      <c r="A401" s="94" t="s">
        <v>39</v>
      </c>
      <c r="B401" s="95" t="n">
        <v>2</v>
      </c>
      <c r="C401" s="96" t="s">
        <v>36</v>
      </c>
      <c r="D401" s="6" t="s">
        <v>1841</v>
      </c>
    </row>
    <row r="402" customFormat="false" ht="14.25" hidden="false" customHeight="true" outlineLevel="0" collapsed="false">
      <c r="A402" s="94" t="s">
        <v>1151</v>
      </c>
      <c r="B402" s="95" t="n">
        <v>1</v>
      </c>
      <c r="C402" s="96" t="s">
        <v>39</v>
      </c>
      <c r="D402" s="6" t="s">
        <v>1842</v>
      </c>
    </row>
    <row r="403" customFormat="false" ht="14.25" hidden="false" customHeight="true" outlineLevel="0" collapsed="false">
      <c r="A403" s="94" t="s">
        <v>39</v>
      </c>
      <c r="B403" s="95" t="n">
        <v>1</v>
      </c>
      <c r="C403" s="96" t="s">
        <v>1151</v>
      </c>
      <c r="D403" s="6" t="s">
        <v>1843</v>
      </c>
    </row>
    <row r="404" customFormat="false" ht="14.25" hidden="false" customHeight="true" outlineLevel="0" collapsed="false">
      <c r="A404" s="94" t="s">
        <v>1151</v>
      </c>
      <c r="B404" s="95" t="n">
        <v>2</v>
      </c>
      <c r="C404" s="96" t="s">
        <v>35</v>
      </c>
      <c r="D404" s="6" t="s">
        <v>1844</v>
      </c>
    </row>
    <row r="405" customFormat="false" ht="14.25" hidden="false" customHeight="true" outlineLevel="0" collapsed="false">
      <c r="A405" s="94" t="s">
        <v>1151</v>
      </c>
      <c r="B405" s="95" t="n">
        <v>2</v>
      </c>
      <c r="C405" s="96" t="s">
        <v>30</v>
      </c>
      <c r="D405" s="6" t="s">
        <v>1845</v>
      </c>
    </row>
    <row r="406" customFormat="false" ht="14.25" hidden="false" customHeight="true" outlineLevel="0" collapsed="false">
      <c r="A406" s="94" t="s">
        <v>1151</v>
      </c>
      <c r="B406" s="95" t="n">
        <v>2</v>
      </c>
      <c r="C406" s="96" t="s">
        <v>30</v>
      </c>
      <c r="D406" s="6" t="s">
        <v>1846</v>
      </c>
    </row>
    <row r="407" customFormat="false" ht="14.25" hidden="false" customHeight="true" outlineLevel="0" collapsed="false">
      <c r="A407" s="94" t="s">
        <v>30</v>
      </c>
      <c r="B407" s="95" t="n">
        <v>1</v>
      </c>
      <c r="C407" s="96" t="s">
        <v>1151</v>
      </c>
      <c r="D407" s="6" t="s">
        <v>1847</v>
      </c>
    </row>
    <row r="408" customFormat="false" ht="14.25" hidden="false" customHeight="true" outlineLevel="0" collapsed="false">
      <c r="A408" s="94" t="s">
        <v>1151</v>
      </c>
      <c r="B408" s="95" t="n">
        <v>1</v>
      </c>
      <c r="C408" s="96" t="s">
        <v>39</v>
      </c>
      <c r="D408" s="6" t="s">
        <v>1848</v>
      </c>
    </row>
    <row r="409" customFormat="false" ht="14.25" hidden="false" customHeight="true" outlineLevel="0" collapsed="false">
      <c r="A409" s="94" t="s">
        <v>39</v>
      </c>
      <c r="B409" s="95" t="n">
        <v>2</v>
      </c>
      <c r="C409" s="96" t="s">
        <v>1151</v>
      </c>
      <c r="D409" s="6" t="s">
        <v>1849</v>
      </c>
    </row>
    <row r="410" customFormat="false" ht="14.25" hidden="false" customHeight="true" outlineLevel="0" collapsed="false">
      <c r="A410" s="94" t="s">
        <v>36</v>
      </c>
      <c r="B410" s="95" t="n">
        <v>2</v>
      </c>
      <c r="C410" s="96" t="s">
        <v>39</v>
      </c>
      <c r="D410" s="6" t="s">
        <v>1850</v>
      </c>
    </row>
    <row r="411" customFormat="false" ht="14.25" hidden="false" customHeight="true" outlineLevel="0" collapsed="false">
      <c r="A411" s="94" t="s">
        <v>39</v>
      </c>
      <c r="B411" s="95" t="n">
        <v>1</v>
      </c>
      <c r="C411" s="96" t="s">
        <v>36</v>
      </c>
      <c r="D411" s="6" t="s">
        <v>1851</v>
      </c>
    </row>
    <row r="412" customFormat="false" ht="14.25" hidden="false" customHeight="true" outlineLevel="0" collapsed="false">
      <c r="A412" s="94" t="s">
        <v>1151</v>
      </c>
      <c r="B412" s="95" t="n">
        <v>1</v>
      </c>
      <c r="C412" s="96" t="s">
        <v>42</v>
      </c>
      <c r="D412" s="6" t="s">
        <v>1852</v>
      </c>
    </row>
    <row r="413" customFormat="false" ht="14.25" hidden="false" customHeight="true" outlineLevel="0" collapsed="false">
      <c r="A413" s="94" t="s">
        <v>1447</v>
      </c>
      <c r="B413" s="95" t="n">
        <v>2</v>
      </c>
      <c r="C413" s="96" t="s">
        <v>35</v>
      </c>
      <c r="D413" s="6" t="s">
        <v>1853</v>
      </c>
    </row>
    <row r="414" customFormat="false" ht="14.25" hidden="false" customHeight="true" outlineLevel="0" collapsed="false">
      <c r="A414" s="94" t="s">
        <v>1151</v>
      </c>
      <c r="B414" s="95" t="n">
        <v>2</v>
      </c>
      <c r="C414" s="96" t="s">
        <v>36</v>
      </c>
      <c r="D414" s="6" t="s">
        <v>1854</v>
      </c>
    </row>
    <row r="415" customFormat="false" ht="14.25" hidden="false" customHeight="true" outlineLevel="0" collapsed="false">
      <c r="A415" s="94" t="s">
        <v>36</v>
      </c>
      <c r="B415" s="95" t="n">
        <v>1</v>
      </c>
      <c r="C415" s="96" t="s">
        <v>1151</v>
      </c>
      <c r="D415" s="6" t="s">
        <v>1855</v>
      </c>
    </row>
    <row r="416" customFormat="false" ht="14.25" hidden="false" customHeight="true" outlineLevel="0" collapsed="false">
      <c r="A416" s="94" t="s">
        <v>1151</v>
      </c>
      <c r="B416" s="95" t="n">
        <v>1</v>
      </c>
      <c r="C416" s="96" t="s">
        <v>39</v>
      </c>
      <c r="D416" s="6" t="s">
        <v>1856</v>
      </c>
    </row>
    <row r="417" customFormat="false" ht="14.25" hidden="false" customHeight="true" outlineLevel="0" collapsed="false">
      <c r="A417" s="94" t="s">
        <v>39</v>
      </c>
      <c r="B417" s="95" t="n">
        <v>1</v>
      </c>
      <c r="C417" s="96" t="s">
        <v>1151</v>
      </c>
      <c r="D417" s="6" t="s">
        <v>1857</v>
      </c>
    </row>
    <row r="418" customFormat="false" ht="14.25" hidden="false" customHeight="true" outlineLevel="0" collapsed="false">
      <c r="A418" s="94" t="s">
        <v>1151</v>
      </c>
      <c r="B418" s="95" t="n">
        <v>2</v>
      </c>
      <c r="C418" s="96" t="s">
        <v>41</v>
      </c>
      <c r="D418" s="6" t="s">
        <v>1858</v>
      </c>
    </row>
    <row r="419" customFormat="false" ht="14.25" hidden="false" customHeight="true" outlineLevel="0" collapsed="false">
      <c r="A419" s="94" t="s">
        <v>41</v>
      </c>
      <c r="B419" s="95" t="n">
        <v>1</v>
      </c>
      <c r="C419" s="96" t="s">
        <v>1154</v>
      </c>
      <c r="D419" s="6" t="s">
        <v>1859</v>
      </c>
    </row>
    <row r="420" customFormat="false" ht="14.25" hidden="false" customHeight="true" outlineLevel="0" collapsed="false">
      <c r="A420" s="94" t="s">
        <v>41</v>
      </c>
      <c r="B420" s="95" t="n">
        <v>1</v>
      </c>
      <c r="C420" s="96" t="s">
        <v>1151</v>
      </c>
      <c r="D420" s="6" t="s">
        <v>1860</v>
      </c>
    </row>
    <row r="421" customFormat="false" ht="14.25" hidden="false" customHeight="true" outlineLevel="0" collapsed="false">
      <c r="A421" s="94" t="s">
        <v>39</v>
      </c>
      <c r="B421" s="95" t="n">
        <v>2</v>
      </c>
      <c r="C421" s="96" t="s">
        <v>30</v>
      </c>
      <c r="D421" s="6" t="s">
        <v>1861</v>
      </c>
    </row>
    <row r="422" customFormat="false" ht="14.25" hidden="false" customHeight="true" outlineLevel="0" collapsed="false">
      <c r="A422" s="94" t="s">
        <v>30</v>
      </c>
      <c r="B422" s="95" t="n">
        <v>1</v>
      </c>
      <c r="C422" s="96" t="s">
        <v>39</v>
      </c>
      <c r="D422" s="6" t="s">
        <v>1862</v>
      </c>
    </row>
    <row r="423" customFormat="false" ht="14.25" hidden="false" customHeight="true" outlineLevel="0" collapsed="false">
      <c r="A423" s="94" t="s">
        <v>39</v>
      </c>
      <c r="B423" s="95" t="n">
        <v>1</v>
      </c>
      <c r="C423" s="96" t="s">
        <v>30</v>
      </c>
      <c r="D423" s="6" t="s">
        <v>1863</v>
      </c>
    </row>
    <row r="424" customFormat="false" ht="14.25" hidden="false" customHeight="true" outlineLevel="0" collapsed="false">
      <c r="A424" s="94" t="s">
        <v>1447</v>
      </c>
      <c r="B424" s="95" t="n">
        <v>2</v>
      </c>
      <c r="C424" s="96" t="s">
        <v>39</v>
      </c>
      <c r="D424" s="6" t="s">
        <v>1864</v>
      </c>
    </row>
    <row r="425" customFormat="false" ht="14.25" hidden="false" customHeight="true" outlineLevel="0" collapsed="false">
      <c r="A425" s="94" t="s">
        <v>39</v>
      </c>
      <c r="B425" s="95" t="n">
        <v>1</v>
      </c>
      <c r="C425" s="96" t="s">
        <v>1447</v>
      </c>
      <c r="D425" s="6" t="s">
        <v>1865</v>
      </c>
    </row>
    <row r="426" customFormat="false" ht="14.25" hidden="false" customHeight="true" outlineLevel="0" collapsed="false">
      <c r="A426" s="94" t="s">
        <v>1151</v>
      </c>
      <c r="B426" s="95" t="n">
        <v>2</v>
      </c>
      <c r="C426" s="96" t="s">
        <v>35</v>
      </c>
      <c r="D426" s="6" t="s">
        <v>1866</v>
      </c>
    </row>
    <row r="427" customFormat="false" ht="14.25" hidden="false" customHeight="true" outlineLevel="0" collapsed="false">
      <c r="A427" s="94" t="s">
        <v>1154</v>
      </c>
      <c r="B427" s="95" t="n">
        <v>2</v>
      </c>
      <c r="C427" s="96" t="s">
        <v>39</v>
      </c>
      <c r="D427" s="6" t="s">
        <v>1867</v>
      </c>
    </row>
    <row r="428" customFormat="false" ht="14.25" hidden="false" customHeight="true" outlineLevel="0" collapsed="false">
      <c r="A428" s="94"/>
      <c r="B428" s="95"/>
      <c r="C428" s="96"/>
    </row>
    <row r="429" customFormat="false" ht="14.25" hidden="false" customHeight="true" outlineLevel="0" collapsed="false">
      <c r="A429" s="94"/>
      <c r="B429" s="95"/>
      <c r="C429" s="96"/>
    </row>
    <row r="430" customFormat="false" ht="14.25" hidden="false" customHeight="true" outlineLevel="0" collapsed="false">
      <c r="A430" s="94"/>
      <c r="B430" s="95"/>
      <c r="C430" s="96"/>
    </row>
    <row r="431" customFormat="false" ht="14.25" hidden="false" customHeight="true" outlineLevel="0" collapsed="false">
      <c r="A431" s="94"/>
      <c r="B431" s="95"/>
      <c r="C431" s="96"/>
    </row>
    <row r="432" customFormat="false" ht="14.25" hidden="false" customHeight="true" outlineLevel="0" collapsed="false">
      <c r="A432" s="94"/>
      <c r="B432" s="95"/>
      <c r="C432" s="96"/>
    </row>
    <row r="433" customFormat="false" ht="14.25" hidden="false" customHeight="true" outlineLevel="0" collapsed="false">
      <c r="A433" s="94"/>
      <c r="B433" s="95"/>
      <c r="C433" s="96"/>
    </row>
    <row r="434" customFormat="false" ht="14.25" hidden="false" customHeight="true" outlineLevel="0" collapsed="false">
      <c r="A434" s="94"/>
      <c r="B434" s="95"/>
      <c r="C434" s="96"/>
    </row>
    <row r="435" customFormat="false" ht="14.25" hidden="false" customHeight="true" outlineLevel="0" collapsed="false">
      <c r="A435" s="94"/>
      <c r="B435" s="95"/>
      <c r="C435" s="96"/>
    </row>
    <row r="436" customFormat="false" ht="14.25" hidden="false" customHeight="true" outlineLevel="0" collapsed="false">
      <c r="A436" s="94"/>
      <c r="B436" s="95"/>
      <c r="C436" s="96"/>
    </row>
    <row r="437" customFormat="false" ht="14.25" hidden="false" customHeight="true" outlineLevel="0" collapsed="false">
      <c r="A437" s="94"/>
      <c r="B437" s="95"/>
      <c r="C437" s="96"/>
    </row>
    <row r="438" customFormat="false" ht="14.25" hidden="false" customHeight="true" outlineLevel="0" collapsed="false">
      <c r="A438" s="94"/>
      <c r="B438" s="95"/>
      <c r="C438" s="96"/>
    </row>
    <row r="439" customFormat="false" ht="14.25" hidden="false" customHeight="true" outlineLevel="0" collapsed="false">
      <c r="A439" s="94"/>
      <c r="B439" s="95"/>
      <c r="C439" s="96"/>
    </row>
    <row r="440" customFormat="false" ht="14.25" hidden="false" customHeight="true" outlineLevel="0" collapsed="false">
      <c r="A440" s="94"/>
      <c r="B440" s="95"/>
      <c r="C440" s="96"/>
    </row>
    <row r="441" customFormat="false" ht="14.25" hidden="false" customHeight="true" outlineLevel="0" collapsed="false">
      <c r="A441" s="94"/>
      <c r="B441" s="95"/>
      <c r="C441" s="96"/>
    </row>
    <row r="442" customFormat="false" ht="14.25" hidden="false" customHeight="true" outlineLevel="0" collapsed="false">
      <c r="A442" s="94"/>
      <c r="B442" s="95"/>
      <c r="C442" s="96"/>
    </row>
    <row r="443" customFormat="false" ht="14.25" hidden="false" customHeight="true" outlineLevel="0" collapsed="false">
      <c r="A443" s="94"/>
      <c r="B443" s="95"/>
      <c r="C443" s="96"/>
    </row>
    <row r="444" customFormat="false" ht="14.25" hidden="false" customHeight="true" outlineLevel="0" collapsed="false">
      <c r="A444" s="94"/>
      <c r="B444" s="95"/>
      <c r="C444" s="96"/>
    </row>
    <row r="445" customFormat="false" ht="14.25" hidden="false" customHeight="true" outlineLevel="0" collapsed="false">
      <c r="A445" s="94"/>
      <c r="B445" s="95"/>
      <c r="C445" s="96"/>
    </row>
    <row r="446" customFormat="false" ht="14.25" hidden="false" customHeight="true" outlineLevel="0" collapsed="false">
      <c r="A446" s="94"/>
      <c r="B446" s="95"/>
      <c r="C446" s="96"/>
    </row>
    <row r="447" customFormat="false" ht="14.25" hidden="false" customHeight="true" outlineLevel="0" collapsed="false">
      <c r="A447" s="94"/>
      <c r="B447" s="95"/>
      <c r="C447" s="96"/>
    </row>
    <row r="448" customFormat="false" ht="14.25" hidden="false" customHeight="true" outlineLevel="0" collapsed="false">
      <c r="A448" s="94"/>
      <c r="B448" s="95"/>
      <c r="C448" s="96"/>
    </row>
    <row r="449" customFormat="false" ht="14.25" hidden="false" customHeight="true" outlineLevel="0" collapsed="false">
      <c r="A449" s="94"/>
      <c r="B449" s="95"/>
      <c r="C449" s="96"/>
    </row>
    <row r="450" customFormat="false" ht="14.25" hidden="false" customHeight="true" outlineLevel="0" collapsed="false">
      <c r="A450" s="94"/>
      <c r="B450" s="95"/>
      <c r="C450" s="96"/>
    </row>
    <row r="451" customFormat="false" ht="14.25" hidden="false" customHeight="true" outlineLevel="0" collapsed="false">
      <c r="A451" s="94"/>
      <c r="B451" s="95"/>
      <c r="C451" s="96"/>
    </row>
    <row r="452" customFormat="false" ht="14.25" hidden="false" customHeight="true" outlineLevel="0" collapsed="false">
      <c r="A452" s="94"/>
      <c r="B452" s="95"/>
      <c r="C452" s="96"/>
    </row>
    <row r="453" customFormat="false" ht="14.25" hidden="false" customHeight="true" outlineLevel="0" collapsed="false">
      <c r="A453" s="94"/>
      <c r="B453" s="95"/>
      <c r="C453" s="96"/>
    </row>
    <row r="454" customFormat="false" ht="14.25" hidden="false" customHeight="true" outlineLevel="0" collapsed="false">
      <c r="A454" s="94"/>
      <c r="B454" s="95"/>
      <c r="C454" s="96"/>
    </row>
    <row r="455" customFormat="false" ht="14.25" hidden="false" customHeight="true" outlineLevel="0" collapsed="false">
      <c r="A455" s="94"/>
      <c r="B455" s="95"/>
      <c r="C455" s="96"/>
    </row>
    <row r="456" customFormat="false" ht="14.25" hidden="false" customHeight="true" outlineLevel="0" collapsed="false">
      <c r="A456" s="94"/>
      <c r="B456" s="95"/>
      <c r="C456" s="96"/>
    </row>
    <row r="457" customFormat="false" ht="14.25" hidden="false" customHeight="true" outlineLevel="0" collapsed="false">
      <c r="A457" s="94"/>
      <c r="B457" s="95"/>
      <c r="C457" s="96"/>
    </row>
    <row r="458" customFormat="false" ht="14.25" hidden="false" customHeight="true" outlineLevel="0" collapsed="false">
      <c r="A458" s="94"/>
      <c r="B458" s="95"/>
      <c r="C458" s="96"/>
    </row>
    <row r="459" customFormat="false" ht="14.25" hidden="false" customHeight="true" outlineLevel="0" collapsed="false">
      <c r="A459" s="94"/>
      <c r="B459" s="95"/>
      <c r="C459" s="96"/>
    </row>
    <row r="460" customFormat="false" ht="14.25" hidden="false" customHeight="true" outlineLevel="0" collapsed="false">
      <c r="A460" s="94"/>
      <c r="B460" s="95"/>
      <c r="C460" s="96"/>
    </row>
    <row r="461" customFormat="false" ht="14.25" hidden="false" customHeight="true" outlineLevel="0" collapsed="false">
      <c r="A461" s="94"/>
      <c r="B461" s="95"/>
      <c r="C461" s="96"/>
    </row>
    <row r="462" customFormat="false" ht="14.25" hidden="false" customHeight="true" outlineLevel="0" collapsed="false">
      <c r="A462" s="94"/>
      <c r="B462" s="95"/>
      <c r="C462" s="96"/>
    </row>
    <row r="463" customFormat="false" ht="14.25" hidden="false" customHeight="true" outlineLevel="0" collapsed="false">
      <c r="A463" s="94"/>
      <c r="B463" s="95"/>
      <c r="C463" s="96"/>
    </row>
    <row r="464" customFormat="false" ht="14.25" hidden="false" customHeight="true" outlineLevel="0" collapsed="false">
      <c r="A464" s="94"/>
      <c r="B464" s="95"/>
      <c r="C464" s="96"/>
    </row>
    <row r="465" customFormat="false" ht="14.25" hidden="false" customHeight="true" outlineLevel="0" collapsed="false">
      <c r="A465" s="94"/>
      <c r="B465" s="95"/>
      <c r="C465" s="96"/>
    </row>
    <row r="466" customFormat="false" ht="14.25" hidden="false" customHeight="true" outlineLevel="0" collapsed="false">
      <c r="A466" s="94"/>
      <c r="B466" s="95"/>
      <c r="C466" s="96"/>
    </row>
    <row r="467" customFormat="false" ht="14.25" hidden="false" customHeight="true" outlineLevel="0" collapsed="false">
      <c r="A467" s="94"/>
      <c r="B467" s="95"/>
      <c r="C467" s="96"/>
    </row>
    <row r="468" customFormat="false" ht="14.25" hidden="false" customHeight="true" outlineLevel="0" collapsed="false">
      <c r="A468" s="94"/>
      <c r="B468" s="95"/>
      <c r="C468" s="96"/>
    </row>
    <row r="469" customFormat="false" ht="14.25" hidden="false" customHeight="true" outlineLevel="0" collapsed="false">
      <c r="A469" s="94"/>
      <c r="B469" s="95"/>
      <c r="C469" s="96"/>
    </row>
    <row r="470" customFormat="false" ht="14.25" hidden="false" customHeight="true" outlineLevel="0" collapsed="false">
      <c r="A470" s="94"/>
      <c r="B470" s="95"/>
      <c r="C470" s="96"/>
    </row>
    <row r="471" customFormat="false" ht="14.25" hidden="false" customHeight="true" outlineLevel="0" collapsed="false">
      <c r="A471" s="94"/>
      <c r="B471" s="95"/>
      <c r="C471" s="96"/>
    </row>
    <row r="472" customFormat="false" ht="14.25" hidden="false" customHeight="true" outlineLevel="0" collapsed="false">
      <c r="A472" s="94"/>
      <c r="B472" s="95"/>
      <c r="C472" s="96"/>
    </row>
    <row r="473" customFormat="false" ht="14.25" hidden="false" customHeight="true" outlineLevel="0" collapsed="false">
      <c r="A473" s="94"/>
      <c r="B473" s="95"/>
      <c r="C473" s="96"/>
    </row>
    <row r="474" customFormat="false" ht="14.25" hidden="false" customHeight="true" outlineLevel="0" collapsed="false">
      <c r="A474" s="94"/>
      <c r="B474" s="95"/>
      <c r="C474" s="96"/>
    </row>
    <row r="475" customFormat="false" ht="14.25" hidden="false" customHeight="true" outlineLevel="0" collapsed="false">
      <c r="A475" s="94"/>
      <c r="B475" s="95"/>
      <c r="C475" s="96"/>
    </row>
    <row r="476" customFormat="false" ht="14.25" hidden="false" customHeight="true" outlineLevel="0" collapsed="false">
      <c r="A476" s="94"/>
      <c r="B476" s="95"/>
      <c r="C476" s="96"/>
    </row>
    <row r="477" customFormat="false" ht="14.25" hidden="false" customHeight="true" outlineLevel="0" collapsed="false">
      <c r="A477" s="94"/>
      <c r="B477" s="95"/>
      <c r="C477" s="96"/>
    </row>
    <row r="478" customFormat="false" ht="14.25" hidden="false" customHeight="true" outlineLevel="0" collapsed="false">
      <c r="A478" s="94"/>
      <c r="B478" s="95"/>
      <c r="C478" s="96"/>
    </row>
    <row r="479" customFormat="false" ht="14.25" hidden="false" customHeight="true" outlineLevel="0" collapsed="false">
      <c r="A479" s="94"/>
      <c r="B479" s="95"/>
      <c r="C479" s="96"/>
    </row>
    <row r="480" customFormat="false" ht="14.25" hidden="false" customHeight="true" outlineLevel="0" collapsed="false">
      <c r="A480" s="94"/>
      <c r="B480" s="95"/>
      <c r="C480" s="96"/>
    </row>
    <row r="481" customFormat="false" ht="14.25" hidden="false" customHeight="true" outlineLevel="0" collapsed="false">
      <c r="A481" s="94"/>
      <c r="B481" s="95"/>
      <c r="C481" s="96"/>
    </row>
    <row r="482" customFormat="false" ht="14.25" hidden="false" customHeight="true" outlineLevel="0" collapsed="false">
      <c r="A482" s="94"/>
      <c r="B482" s="95"/>
      <c r="C482" s="96"/>
    </row>
    <row r="483" customFormat="false" ht="14.25" hidden="false" customHeight="true" outlineLevel="0" collapsed="false">
      <c r="A483" s="94"/>
      <c r="B483" s="95"/>
      <c r="C483" s="96"/>
    </row>
    <row r="484" customFormat="false" ht="14.25" hidden="false" customHeight="true" outlineLevel="0" collapsed="false">
      <c r="A484" s="94"/>
      <c r="B484" s="95"/>
      <c r="C484" s="96"/>
    </row>
    <row r="485" customFormat="false" ht="14.25" hidden="false" customHeight="true" outlineLevel="0" collapsed="false">
      <c r="A485" s="94"/>
      <c r="B485" s="95"/>
      <c r="C485" s="96"/>
    </row>
    <row r="486" customFormat="false" ht="14.25" hidden="false" customHeight="true" outlineLevel="0" collapsed="false">
      <c r="A486" s="94"/>
      <c r="B486" s="95"/>
      <c r="C486" s="96"/>
    </row>
    <row r="487" customFormat="false" ht="14.25" hidden="false" customHeight="true" outlineLevel="0" collapsed="false">
      <c r="A487" s="94"/>
      <c r="B487" s="95"/>
      <c r="C487" s="96"/>
    </row>
    <row r="488" customFormat="false" ht="14.25" hidden="false" customHeight="true" outlineLevel="0" collapsed="false">
      <c r="A488" s="94"/>
      <c r="B488" s="95"/>
      <c r="C488" s="96"/>
    </row>
    <row r="489" customFormat="false" ht="14.25" hidden="false" customHeight="true" outlineLevel="0" collapsed="false">
      <c r="A489" s="94"/>
      <c r="B489" s="95"/>
      <c r="C489" s="96"/>
    </row>
    <row r="490" customFormat="false" ht="14.25" hidden="false" customHeight="true" outlineLevel="0" collapsed="false">
      <c r="A490" s="94"/>
      <c r="B490" s="95"/>
      <c r="C490" s="96"/>
    </row>
    <row r="491" customFormat="false" ht="14.25" hidden="false" customHeight="true" outlineLevel="0" collapsed="false">
      <c r="A491" s="94"/>
      <c r="B491" s="95"/>
      <c r="C491" s="96"/>
    </row>
    <row r="492" customFormat="false" ht="14.25" hidden="false" customHeight="true" outlineLevel="0" collapsed="false">
      <c r="A492" s="94"/>
      <c r="B492" s="95"/>
      <c r="C492" s="96"/>
    </row>
    <row r="493" customFormat="false" ht="14.25" hidden="false" customHeight="true" outlineLevel="0" collapsed="false">
      <c r="A493" s="94"/>
      <c r="B493" s="95"/>
      <c r="C493" s="96"/>
    </row>
    <row r="494" customFormat="false" ht="14.25" hidden="false" customHeight="true" outlineLevel="0" collapsed="false">
      <c r="A494" s="94"/>
      <c r="B494" s="95"/>
      <c r="C494" s="96"/>
    </row>
    <row r="495" customFormat="false" ht="14.25" hidden="false" customHeight="true" outlineLevel="0" collapsed="false">
      <c r="A495" s="94"/>
      <c r="B495" s="95"/>
      <c r="C495" s="96"/>
    </row>
    <row r="496" customFormat="false" ht="14.25" hidden="false" customHeight="true" outlineLevel="0" collapsed="false">
      <c r="A496" s="94"/>
      <c r="B496" s="95"/>
      <c r="C496" s="96"/>
    </row>
    <row r="497" customFormat="false" ht="14.25" hidden="false" customHeight="true" outlineLevel="0" collapsed="false">
      <c r="A497" s="94"/>
      <c r="B497" s="95"/>
      <c r="C497" s="96"/>
    </row>
    <row r="498" customFormat="false" ht="14.25" hidden="false" customHeight="true" outlineLevel="0" collapsed="false">
      <c r="A498" s="94"/>
      <c r="B498" s="95"/>
      <c r="C498" s="96"/>
    </row>
    <row r="499" customFormat="false" ht="14.25" hidden="false" customHeight="true" outlineLevel="0" collapsed="false">
      <c r="A499" s="94"/>
      <c r="B499" s="95"/>
      <c r="C499" s="96"/>
    </row>
    <row r="500" customFormat="false" ht="14.25" hidden="false" customHeight="true" outlineLevel="0" collapsed="false">
      <c r="A500" s="94"/>
      <c r="B500" s="95"/>
      <c r="C500" s="96"/>
    </row>
    <row r="501" customFormat="false" ht="14.25" hidden="false" customHeight="true" outlineLevel="0" collapsed="false">
      <c r="A501" s="94"/>
      <c r="B501" s="95"/>
      <c r="C501" s="96"/>
    </row>
    <row r="502" customFormat="false" ht="14.25" hidden="false" customHeight="true" outlineLevel="0" collapsed="false">
      <c r="A502" s="94"/>
      <c r="B502" s="95"/>
      <c r="C502" s="96"/>
    </row>
    <row r="503" customFormat="false" ht="14.25" hidden="false" customHeight="true" outlineLevel="0" collapsed="false">
      <c r="A503" s="94"/>
      <c r="B503" s="95"/>
      <c r="C503" s="96"/>
    </row>
    <row r="504" customFormat="false" ht="14.25" hidden="false" customHeight="true" outlineLevel="0" collapsed="false">
      <c r="A504" s="94"/>
      <c r="B504" s="95"/>
      <c r="C504" s="96"/>
    </row>
    <row r="505" customFormat="false" ht="14.25" hidden="false" customHeight="true" outlineLevel="0" collapsed="false">
      <c r="A505" s="94"/>
      <c r="B505" s="95"/>
      <c r="C505" s="96"/>
    </row>
    <row r="506" customFormat="false" ht="14.25" hidden="false" customHeight="true" outlineLevel="0" collapsed="false">
      <c r="A506" s="94"/>
      <c r="B506" s="95"/>
      <c r="C506" s="96"/>
    </row>
    <row r="507" customFormat="false" ht="14.25" hidden="false" customHeight="true" outlineLevel="0" collapsed="false">
      <c r="A507" s="94"/>
      <c r="B507" s="95"/>
      <c r="C507" s="96"/>
    </row>
    <row r="508" customFormat="false" ht="14.25" hidden="false" customHeight="true" outlineLevel="0" collapsed="false">
      <c r="A508" s="94"/>
      <c r="B508" s="95"/>
      <c r="C508" s="96"/>
    </row>
    <row r="509" customFormat="false" ht="14.25" hidden="false" customHeight="true" outlineLevel="0" collapsed="false">
      <c r="A509" s="94"/>
      <c r="B509" s="95"/>
      <c r="C509" s="96"/>
    </row>
    <row r="510" customFormat="false" ht="14.25" hidden="false" customHeight="true" outlineLevel="0" collapsed="false">
      <c r="A510" s="94"/>
      <c r="B510" s="95"/>
      <c r="C510" s="96"/>
    </row>
    <row r="511" customFormat="false" ht="14.25" hidden="false" customHeight="true" outlineLevel="0" collapsed="false">
      <c r="A511" s="94"/>
      <c r="B511" s="95"/>
      <c r="C511" s="96"/>
    </row>
    <row r="512" customFormat="false" ht="14.25" hidden="false" customHeight="true" outlineLevel="0" collapsed="false">
      <c r="A512" s="94"/>
      <c r="B512" s="95"/>
      <c r="C512" s="96"/>
    </row>
    <row r="513" customFormat="false" ht="14.25" hidden="false" customHeight="true" outlineLevel="0" collapsed="false">
      <c r="A513" s="94"/>
      <c r="B513" s="95"/>
      <c r="C513" s="96"/>
    </row>
    <row r="514" customFormat="false" ht="14.25" hidden="false" customHeight="true" outlineLevel="0" collapsed="false">
      <c r="A514" s="94"/>
      <c r="B514" s="95"/>
      <c r="C514" s="96"/>
    </row>
    <row r="515" customFormat="false" ht="14.25" hidden="false" customHeight="true" outlineLevel="0" collapsed="false">
      <c r="A515" s="94"/>
      <c r="B515" s="95"/>
      <c r="C515" s="96"/>
    </row>
    <row r="516" customFormat="false" ht="14.25" hidden="false" customHeight="true" outlineLevel="0" collapsed="false">
      <c r="A516" s="94"/>
      <c r="B516" s="95"/>
      <c r="C516" s="96"/>
    </row>
    <row r="517" customFormat="false" ht="14.25" hidden="false" customHeight="true" outlineLevel="0" collapsed="false">
      <c r="A517" s="94"/>
      <c r="B517" s="95"/>
      <c r="C517" s="96"/>
    </row>
    <row r="518" customFormat="false" ht="14.25" hidden="false" customHeight="true" outlineLevel="0" collapsed="false">
      <c r="A518" s="94"/>
      <c r="B518" s="95"/>
      <c r="C518" s="96"/>
    </row>
    <row r="519" customFormat="false" ht="14.25" hidden="false" customHeight="true" outlineLevel="0" collapsed="false">
      <c r="A519" s="94"/>
      <c r="B519" s="95"/>
      <c r="C519" s="96"/>
    </row>
    <row r="520" customFormat="false" ht="14.25" hidden="false" customHeight="true" outlineLevel="0" collapsed="false">
      <c r="A520" s="94"/>
      <c r="B520" s="95"/>
      <c r="C520" s="96"/>
    </row>
    <row r="521" customFormat="false" ht="14.25" hidden="false" customHeight="true" outlineLevel="0" collapsed="false">
      <c r="A521" s="94"/>
      <c r="B521" s="95"/>
      <c r="C521" s="96"/>
    </row>
    <row r="522" customFormat="false" ht="14.25" hidden="false" customHeight="true" outlineLevel="0" collapsed="false">
      <c r="A522" s="94"/>
      <c r="B522" s="95"/>
      <c r="C522" s="96"/>
    </row>
    <row r="523" customFormat="false" ht="14.25" hidden="false" customHeight="true" outlineLevel="0" collapsed="false">
      <c r="A523" s="94"/>
      <c r="B523" s="95"/>
      <c r="C523" s="96"/>
    </row>
    <row r="524" customFormat="false" ht="14.25" hidden="false" customHeight="true" outlineLevel="0" collapsed="false">
      <c r="A524" s="94"/>
      <c r="B524" s="95"/>
      <c r="C524" s="96"/>
    </row>
    <row r="525" customFormat="false" ht="14.25" hidden="false" customHeight="true" outlineLevel="0" collapsed="false">
      <c r="A525" s="94"/>
      <c r="B525" s="95"/>
      <c r="C525" s="96"/>
    </row>
    <row r="526" customFormat="false" ht="14.25" hidden="false" customHeight="true" outlineLevel="0" collapsed="false">
      <c r="A526" s="94"/>
      <c r="B526" s="95"/>
      <c r="C526" s="96"/>
    </row>
    <row r="527" customFormat="false" ht="14.25" hidden="false" customHeight="true" outlineLevel="0" collapsed="false">
      <c r="A527" s="94"/>
      <c r="B527" s="95"/>
      <c r="C527" s="96"/>
    </row>
    <row r="528" customFormat="false" ht="14.25" hidden="false" customHeight="true" outlineLevel="0" collapsed="false">
      <c r="A528" s="94"/>
      <c r="B528" s="95"/>
      <c r="C528" s="96"/>
    </row>
    <row r="529" customFormat="false" ht="14.25" hidden="false" customHeight="true" outlineLevel="0" collapsed="false">
      <c r="A529" s="94"/>
      <c r="B529" s="95"/>
      <c r="C529" s="96"/>
    </row>
    <row r="530" customFormat="false" ht="14.25" hidden="false" customHeight="true" outlineLevel="0" collapsed="false">
      <c r="A530" s="94"/>
      <c r="B530" s="95"/>
      <c r="C530" s="96"/>
    </row>
    <row r="531" customFormat="false" ht="14.25" hidden="false" customHeight="true" outlineLevel="0" collapsed="false">
      <c r="A531" s="94"/>
      <c r="B531" s="95"/>
      <c r="C531" s="96"/>
    </row>
    <row r="532" customFormat="false" ht="14.25" hidden="false" customHeight="true" outlineLevel="0" collapsed="false">
      <c r="A532" s="94"/>
      <c r="B532" s="95"/>
      <c r="C532" s="96"/>
    </row>
    <row r="533" customFormat="false" ht="14.25" hidden="false" customHeight="true" outlineLevel="0" collapsed="false">
      <c r="A533" s="94"/>
      <c r="B533" s="95"/>
      <c r="C533" s="96"/>
    </row>
    <row r="534" customFormat="false" ht="14.25" hidden="false" customHeight="true" outlineLevel="0" collapsed="false">
      <c r="A534" s="94"/>
      <c r="B534" s="95"/>
      <c r="C534" s="96"/>
    </row>
    <row r="535" customFormat="false" ht="14.25" hidden="false" customHeight="true" outlineLevel="0" collapsed="false">
      <c r="A535" s="94"/>
      <c r="B535" s="95"/>
      <c r="C535" s="96"/>
    </row>
    <row r="536" customFormat="false" ht="14.25" hidden="false" customHeight="true" outlineLevel="0" collapsed="false">
      <c r="A536" s="94"/>
      <c r="B536" s="95"/>
      <c r="C536" s="96"/>
    </row>
    <row r="537" customFormat="false" ht="14.25" hidden="false" customHeight="true" outlineLevel="0" collapsed="false">
      <c r="A537" s="94"/>
      <c r="B537" s="95"/>
      <c r="C537" s="96"/>
    </row>
    <row r="538" customFormat="false" ht="14.25" hidden="false" customHeight="true" outlineLevel="0" collapsed="false">
      <c r="A538" s="94"/>
      <c r="B538" s="95"/>
      <c r="C538" s="96"/>
    </row>
    <row r="539" customFormat="false" ht="14.25" hidden="false" customHeight="true" outlineLevel="0" collapsed="false">
      <c r="A539" s="94"/>
      <c r="B539" s="95"/>
      <c r="C539" s="96"/>
    </row>
    <row r="540" customFormat="false" ht="14.25" hidden="false" customHeight="true" outlineLevel="0" collapsed="false">
      <c r="A540" s="94"/>
      <c r="B540" s="95"/>
      <c r="C540" s="96"/>
    </row>
    <row r="541" customFormat="false" ht="14.25" hidden="false" customHeight="true" outlineLevel="0" collapsed="false">
      <c r="A541" s="94"/>
      <c r="B541" s="95"/>
      <c r="C541" s="96"/>
    </row>
    <row r="542" customFormat="false" ht="14.25" hidden="false" customHeight="true" outlineLevel="0" collapsed="false">
      <c r="A542" s="94"/>
      <c r="B542" s="95"/>
      <c r="C542" s="96"/>
    </row>
    <row r="543" customFormat="false" ht="14.25" hidden="false" customHeight="true" outlineLevel="0" collapsed="false">
      <c r="A543" s="94"/>
      <c r="B543" s="95"/>
      <c r="C543" s="96"/>
    </row>
    <row r="544" customFormat="false" ht="14.25" hidden="false" customHeight="true" outlineLevel="0" collapsed="false">
      <c r="A544" s="94"/>
      <c r="B544" s="95"/>
      <c r="C544" s="96"/>
    </row>
    <row r="545" customFormat="false" ht="14.25" hidden="false" customHeight="true" outlineLevel="0" collapsed="false">
      <c r="A545" s="94"/>
      <c r="B545" s="95"/>
      <c r="C545" s="96"/>
    </row>
    <row r="546" customFormat="false" ht="14.25" hidden="false" customHeight="true" outlineLevel="0" collapsed="false">
      <c r="A546" s="94"/>
      <c r="B546" s="95"/>
      <c r="C546" s="96"/>
    </row>
    <row r="547" customFormat="false" ht="14.25" hidden="false" customHeight="true" outlineLevel="0" collapsed="false">
      <c r="A547" s="94"/>
      <c r="B547" s="95"/>
      <c r="C547" s="96"/>
    </row>
    <row r="548" customFormat="false" ht="14.25" hidden="false" customHeight="true" outlineLevel="0" collapsed="false">
      <c r="A548" s="94"/>
      <c r="B548" s="95"/>
      <c r="C548" s="96"/>
    </row>
    <row r="549" customFormat="false" ht="14.25" hidden="false" customHeight="true" outlineLevel="0" collapsed="false">
      <c r="A549" s="94"/>
      <c r="B549" s="95"/>
      <c r="C549" s="96"/>
    </row>
    <row r="550" customFormat="false" ht="14.25" hidden="false" customHeight="true" outlineLevel="0" collapsed="false">
      <c r="A550" s="94"/>
      <c r="B550" s="95"/>
      <c r="C550" s="96"/>
    </row>
    <row r="551" customFormat="false" ht="14.25" hidden="false" customHeight="true" outlineLevel="0" collapsed="false">
      <c r="A551" s="94"/>
      <c r="B551" s="95"/>
      <c r="C551" s="96"/>
    </row>
    <row r="552" customFormat="false" ht="14.25" hidden="false" customHeight="true" outlineLevel="0" collapsed="false">
      <c r="A552" s="94"/>
      <c r="B552" s="95"/>
      <c r="C552" s="96"/>
    </row>
    <row r="553" customFormat="false" ht="14.25" hidden="false" customHeight="true" outlineLevel="0" collapsed="false">
      <c r="A553" s="94"/>
      <c r="B553" s="95"/>
      <c r="C553" s="96"/>
    </row>
    <row r="554" customFormat="false" ht="14.25" hidden="false" customHeight="true" outlineLevel="0" collapsed="false">
      <c r="A554" s="94"/>
      <c r="B554" s="95"/>
      <c r="C554" s="96"/>
    </row>
    <row r="555" customFormat="false" ht="14.25" hidden="false" customHeight="true" outlineLevel="0" collapsed="false">
      <c r="A555" s="94"/>
      <c r="B555" s="95"/>
      <c r="C555" s="96"/>
    </row>
    <row r="556" customFormat="false" ht="14.25" hidden="false" customHeight="true" outlineLevel="0" collapsed="false">
      <c r="A556" s="94"/>
      <c r="B556" s="95"/>
      <c r="C556" s="96"/>
    </row>
    <row r="557" customFormat="false" ht="14.25" hidden="false" customHeight="true" outlineLevel="0" collapsed="false">
      <c r="A557" s="94"/>
      <c r="B557" s="95"/>
      <c r="C557" s="96"/>
    </row>
    <row r="558" customFormat="false" ht="14.25" hidden="false" customHeight="true" outlineLevel="0" collapsed="false">
      <c r="A558" s="94"/>
      <c r="B558" s="95"/>
      <c r="C558" s="96"/>
    </row>
    <row r="559" customFormat="false" ht="14.25" hidden="false" customHeight="true" outlineLevel="0" collapsed="false">
      <c r="A559" s="94"/>
      <c r="B559" s="95"/>
      <c r="C559" s="96"/>
    </row>
    <row r="560" customFormat="false" ht="14.25" hidden="false" customHeight="true" outlineLevel="0" collapsed="false">
      <c r="A560" s="94"/>
      <c r="B560" s="95"/>
      <c r="C560" s="96"/>
    </row>
    <row r="561" customFormat="false" ht="14.25" hidden="false" customHeight="true" outlineLevel="0" collapsed="false">
      <c r="A561" s="94"/>
      <c r="B561" s="95"/>
      <c r="C561" s="96"/>
    </row>
    <row r="562" customFormat="false" ht="14.25" hidden="false" customHeight="true" outlineLevel="0" collapsed="false">
      <c r="A562" s="94"/>
      <c r="B562" s="95"/>
      <c r="C562" s="96"/>
    </row>
    <row r="563" customFormat="false" ht="14.25" hidden="false" customHeight="true" outlineLevel="0" collapsed="false">
      <c r="A563" s="94"/>
      <c r="B563" s="95"/>
      <c r="C563" s="96"/>
    </row>
    <row r="564" customFormat="false" ht="14.25" hidden="false" customHeight="true" outlineLevel="0" collapsed="false">
      <c r="A564" s="94"/>
      <c r="B564" s="95"/>
      <c r="C564" s="96"/>
    </row>
    <row r="565" customFormat="false" ht="14.25" hidden="false" customHeight="true" outlineLevel="0" collapsed="false">
      <c r="A565" s="94"/>
      <c r="B565" s="95"/>
      <c r="C565" s="96"/>
    </row>
    <row r="566" customFormat="false" ht="14.25" hidden="false" customHeight="true" outlineLevel="0" collapsed="false">
      <c r="A566" s="94"/>
      <c r="B566" s="95"/>
      <c r="C566" s="96"/>
    </row>
    <row r="567" customFormat="false" ht="14.25" hidden="false" customHeight="true" outlineLevel="0" collapsed="false">
      <c r="A567" s="94"/>
      <c r="B567" s="95"/>
      <c r="C567" s="96"/>
    </row>
    <row r="568" customFormat="false" ht="14.25" hidden="false" customHeight="true" outlineLevel="0" collapsed="false">
      <c r="A568" s="94"/>
      <c r="B568" s="95"/>
      <c r="C568" s="96"/>
    </row>
    <row r="569" customFormat="false" ht="14.25" hidden="false" customHeight="true" outlineLevel="0" collapsed="false">
      <c r="A569" s="94"/>
      <c r="B569" s="95"/>
      <c r="C569" s="96"/>
    </row>
    <row r="570" customFormat="false" ht="14.25" hidden="false" customHeight="true" outlineLevel="0" collapsed="false">
      <c r="A570" s="94"/>
      <c r="B570" s="95"/>
      <c r="C570" s="96"/>
    </row>
    <row r="571" customFormat="false" ht="14.25" hidden="false" customHeight="true" outlineLevel="0" collapsed="false">
      <c r="A571" s="94"/>
      <c r="B571" s="95"/>
      <c r="C571" s="96"/>
    </row>
    <row r="572" customFormat="false" ht="14.25" hidden="false" customHeight="true" outlineLevel="0" collapsed="false">
      <c r="A572" s="94"/>
      <c r="B572" s="95"/>
      <c r="C572" s="96"/>
    </row>
    <row r="573" customFormat="false" ht="14.25" hidden="false" customHeight="true" outlineLevel="0" collapsed="false">
      <c r="A573" s="94"/>
      <c r="B573" s="95"/>
      <c r="C573" s="96"/>
    </row>
    <row r="574" customFormat="false" ht="14.25" hidden="false" customHeight="true" outlineLevel="0" collapsed="false">
      <c r="A574" s="94"/>
      <c r="B574" s="95"/>
      <c r="C574" s="96"/>
    </row>
    <row r="575" customFormat="false" ht="14.25" hidden="false" customHeight="true" outlineLevel="0" collapsed="false">
      <c r="A575" s="94"/>
      <c r="B575" s="95"/>
      <c r="C575" s="96"/>
    </row>
    <row r="576" customFormat="false" ht="14.25" hidden="false" customHeight="true" outlineLevel="0" collapsed="false">
      <c r="A576" s="94"/>
      <c r="B576" s="95"/>
      <c r="C576" s="96"/>
    </row>
    <row r="577" customFormat="false" ht="14.25" hidden="false" customHeight="true" outlineLevel="0" collapsed="false">
      <c r="A577" s="94"/>
      <c r="B577" s="95"/>
      <c r="C577" s="96"/>
    </row>
    <row r="578" customFormat="false" ht="14.25" hidden="false" customHeight="true" outlineLevel="0" collapsed="false">
      <c r="A578" s="94"/>
      <c r="B578" s="95"/>
      <c r="C578" s="96"/>
    </row>
    <row r="579" customFormat="false" ht="14.25" hidden="false" customHeight="true" outlineLevel="0" collapsed="false">
      <c r="A579" s="94"/>
      <c r="B579" s="95"/>
      <c r="C579" s="96"/>
    </row>
    <row r="580" customFormat="false" ht="14.25" hidden="false" customHeight="true" outlineLevel="0" collapsed="false">
      <c r="A580" s="94"/>
      <c r="B580" s="95"/>
      <c r="C580" s="96"/>
    </row>
    <row r="581" customFormat="false" ht="14.25" hidden="false" customHeight="true" outlineLevel="0" collapsed="false">
      <c r="A581" s="94"/>
      <c r="B581" s="95"/>
      <c r="C581" s="96"/>
    </row>
    <row r="582" customFormat="false" ht="14.25" hidden="false" customHeight="true" outlineLevel="0" collapsed="false">
      <c r="A582" s="94"/>
      <c r="B582" s="95"/>
      <c r="C582" s="96"/>
    </row>
    <row r="583" customFormat="false" ht="14.25" hidden="false" customHeight="true" outlineLevel="0" collapsed="false">
      <c r="A583" s="94"/>
      <c r="B583" s="95"/>
      <c r="C583" s="96"/>
    </row>
    <row r="584" customFormat="false" ht="14.25" hidden="false" customHeight="true" outlineLevel="0" collapsed="false">
      <c r="A584" s="94"/>
      <c r="B584" s="95"/>
      <c r="C584" s="96"/>
    </row>
    <row r="585" customFormat="false" ht="14.25" hidden="false" customHeight="true" outlineLevel="0" collapsed="false">
      <c r="A585" s="94"/>
      <c r="B585" s="95"/>
      <c r="C585" s="96"/>
    </row>
    <row r="586" customFormat="false" ht="14.25" hidden="false" customHeight="true" outlineLevel="0" collapsed="false">
      <c r="A586" s="94"/>
      <c r="B586" s="95"/>
      <c r="C586" s="96"/>
    </row>
    <row r="587" customFormat="false" ht="14.25" hidden="false" customHeight="true" outlineLevel="0" collapsed="false">
      <c r="A587" s="94"/>
      <c r="B587" s="95"/>
      <c r="C587" s="96"/>
    </row>
    <row r="588" customFormat="false" ht="14.25" hidden="false" customHeight="true" outlineLevel="0" collapsed="false">
      <c r="A588" s="94"/>
      <c r="B588" s="95"/>
      <c r="C588" s="96"/>
    </row>
    <row r="589" customFormat="false" ht="14.25" hidden="false" customHeight="true" outlineLevel="0" collapsed="false">
      <c r="A589" s="94"/>
      <c r="B589" s="95"/>
      <c r="C589" s="96"/>
    </row>
    <row r="590" customFormat="false" ht="14.25" hidden="false" customHeight="true" outlineLevel="0" collapsed="false">
      <c r="A590" s="94"/>
      <c r="B590" s="95"/>
      <c r="C590" s="96"/>
    </row>
    <row r="591" customFormat="false" ht="14.25" hidden="false" customHeight="true" outlineLevel="0" collapsed="false">
      <c r="A591" s="94"/>
      <c r="B591" s="95"/>
      <c r="C591" s="96"/>
    </row>
    <row r="592" customFormat="false" ht="14.25" hidden="false" customHeight="true" outlineLevel="0" collapsed="false">
      <c r="A592" s="94"/>
      <c r="B592" s="95"/>
      <c r="C592" s="96"/>
    </row>
    <row r="593" customFormat="false" ht="14.25" hidden="false" customHeight="true" outlineLevel="0" collapsed="false">
      <c r="A593" s="94"/>
      <c r="B593" s="95"/>
      <c r="C593" s="96"/>
    </row>
    <row r="594" customFormat="false" ht="14.25" hidden="false" customHeight="true" outlineLevel="0" collapsed="false">
      <c r="A594" s="94"/>
      <c r="B594" s="95"/>
      <c r="C594" s="96"/>
    </row>
    <row r="595" customFormat="false" ht="14.25" hidden="false" customHeight="true" outlineLevel="0" collapsed="false">
      <c r="A595" s="94"/>
      <c r="B595" s="95"/>
      <c r="C595" s="96"/>
    </row>
    <row r="596" customFormat="false" ht="14.25" hidden="false" customHeight="true" outlineLevel="0" collapsed="false">
      <c r="A596" s="94"/>
      <c r="B596" s="95"/>
      <c r="C596" s="96"/>
    </row>
    <row r="597" customFormat="false" ht="14.25" hidden="false" customHeight="true" outlineLevel="0" collapsed="false">
      <c r="A597" s="94"/>
      <c r="B597" s="95"/>
      <c r="C597" s="96"/>
    </row>
    <row r="598" customFormat="false" ht="14.25" hidden="false" customHeight="true" outlineLevel="0" collapsed="false">
      <c r="A598" s="94"/>
      <c r="B598" s="95"/>
      <c r="C598" s="96"/>
    </row>
    <row r="599" customFormat="false" ht="14.25" hidden="false" customHeight="true" outlineLevel="0" collapsed="false">
      <c r="A599" s="94"/>
      <c r="B599" s="95"/>
      <c r="C599" s="96"/>
    </row>
    <row r="600" customFormat="false" ht="14.25" hidden="false" customHeight="true" outlineLevel="0" collapsed="false">
      <c r="A600" s="94"/>
      <c r="B600" s="95"/>
      <c r="C600" s="96"/>
    </row>
    <row r="601" customFormat="false" ht="14.25" hidden="false" customHeight="true" outlineLevel="0" collapsed="false">
      <c r="A601" s="94"/>
      <c r="B601" s="95"/>
      <c r="C601" s="96"/>
    </row>
    <row r="602" customFormat="false" ht="14.25" hidden="false" customHeight="true" outlineLevel="0" collapsed="false">
      <c r="A602" s="94"/>
      <c r="B602" s="95"/>
      <c r="C602" s="96"/>
    </row>
    <row r="603" customFormat="false" ht="14.25" hidden="false" customHeight="true" outlineLevel="0" collapsed="false">
      <c r="A603" s="94"/>
      <c r="B603" s="95"/>
      <c r="C603" s="96"/>
    </row>
    <row r="604" customFormat="false" ht="14.25" hidden="false" customHeight="true" outlineLevel="0" collapsed="false">
      <c r="A604" s="94"/>
      <c r="B604" s="95"/>
      <c r="C604" s="96"/>
    </row>
    <row r="605" customFormat="false" ht="14.25" hidden="false" customHeight="true" outlineLevel="0" collapsed="false">
      <c r="A605" s="94"/>
      <c r="B605" s="95"/>
      <c r="C605" s="96"/>
    </row>
    <row r="606" customFormat="false" ht="14.25" hidden="false" customHeight="true" outlineLevel="0" collapsed="false">
      <c r="A606" s="94"/>
      <c r="B606" s="95"/>
      <c r="C606" s="96"/>
    </row>
    <row r="607" customFormat="false" ht="14.25" hidden="false" customHeight="true" outlineLevel="0" collapsed="false">
      <c r="A607" s="94"/>
      <c r="B607" s="95"/>
      <c r="C607" s="96"/>
    </row>
    <row r="608" customFormat="false" ht="14.25" hidden="false" customHeight="true" outlineLevel="0" collapsed="false">
      <c r="A608" s="94"/>
      <c r="B608" s="95"/>
      <c r="C608" s="96"/>
    </row>
    <row r="609" customFormat="false" ht="14.25" hidden="false" customHeight="true" outlineLevel="0" collapsed="false">
      <c r="A609" s="94"/>
      <c r="B609" s="95"/>
      <c r="C609" s="96"/>
    </row>
    <row r="610" customFormat="false" ht="14.25" hidden="false" customHeight="true" outlineLevel="0" collapsed="false">
      <c r="A610" s="94"/>
      <c r="B610" s="95"/>
      <c r="C610" s="96"/>
    </row>
    <row r="611" customFormat="false" ht="14.25" hidden="false" customHeight="true" outlineLevel="0" collapsed="false">
      <c r="A611" s="94"/>
      <c r="B611" s="95"/>
      <c r="C611" s="96"/>
    </row>
    <row r="612" customFormat="false" ht="14.25" hidden="false" customHeight="true" outlineLevel="0" collapsed="false">
      <c r="A612" s="94"/>
      <c r="B612" s="95"/>
      <c r="C612" s="96"/>
    </row>
    <row r="613" customFormat="false" ht="14.25" hidden="false" customHeight="true" outlineLevel="0" collapsed="false">
      <c r="A613" s="94"/>
      <c r="B613" s="95"/>
      <c r="C613" s="96"/>
    </row>
    <row r="614" customFormat="false" ht="14.25" hidden="false" customHeight="true" outlineLevel="0" collapsed="false">
      <c r="A614" s="94"/>
      <c r="B614" s="95"/>
      <c r="C614" s="96"/>
    </row>
    <row r="615" customFormat="false" ht="14.25" hidden="false" customHeight="true" outlineLevel="0" collapsed="false">
      <c r="A615" s="94"/>
      <c r="B615" s="95"/>
      <c r="C615" s="96"/>
    </row>
    <row r="616" customFormat="false" ht="14.25" hidden="false" customHeight="true" outlineLevel="0" collapsed="false">
      <c r="A616" s="94"/>
      <c r="B616" s="95"/>
      <c r="C616" s="96"/>
    </row>
    <row r="617" customFormat="false" ht="14.25" hidden="false" customHeight="true" outlineLevel="0" collapsed="false">
      <c r="A617" s="94"/>
      <c r="B617" s="95"/>
      <c r="C617" s="96"/>
    </row>
    <row r="618" customFormat="false" ht="14.25" hidden="false" customHeight="true" outlineLevel="0" collapsed="false">
      <c r="A618" s="94"/>
      <c r="B618" s="95"/>
      <c r="C618" s="96"/>
    </row>
    <row r="619" customFormat="false" ht="14.25" hidden="false" customHeight="true" outlineLevel="0" collapsed="false">
      <c r="A619" s="94"/>
      <c r="B619" s="95"/>
      <c r="C619" s="96"/>
    </row>
    <row r="620" customFormat="false" ht="14.25" hidden="false" customHeight="true" outlineLevel="0" collapsed="false">
      <c r="A620" s="94"/>
      <c r="B620" s="95"/>
      <c r="C620" s="96"/>
    </row>
    <row r="621" customFormat="false" ht="14.25" hidden="false" customHeight="true" outlineLevel="0" collapsed="false">
      <c r="A621" s="94"/>
      <c r="B621" s="95"/>
      <c r="C621" s="96"/>
    </row>
    <row r="622" customFormat="false" ht="14.25" hidden="false" customHeight="true" outlineLevel="0" collapsed="false">
      <c r="A622" s="94"/>
      <c r="B622" s="95"/>
      <c r="C622" s="96"/>
    </row>
    <row r="623" customFormat="false" ht="14.25" hidden="false" customHeight="true" outlineLevel="0" collapsed="false">
      <c r="A623" s="94"/>
      <c r="B623" s="95"/>
      <c r="C623" s="96"/>
    </row>
    <row r="624" customFormat="false" ht="14.25" hidden="false" customHeight="true" outlineLevel="0" collapsed="false">
      <c r="A624" s="94"/>
      <c r="B624" s="95"/>
      <c r="C624" s="96"/>
    </row>
    <row r="625" customFormat="false" ht="14.25" hidden="false" customHeight="true" outlineLevel="0" collapsed="false">
      <c r="A625" s="94"/>
      <c r="B625" s="95"/>
      <c r="C625" s="96"/>
    </row>
    <row r="626" customFormat="false" ht="14.25" hidden="false" customHeight="true" outlineLevel="0" collapsed="false">
      <c r="A626" s="94"/>
      <c r="B626" s="95"/>
      <c r="C626" s="96"/>
    </row>
    <row r="627" customFormat="false" ht="14.25" hidden="false" customHeight="true" outlineLevel="0" collapsed="false">
      <c r="A627" s="94"/>
      <c r="B627" s="95"/>
      <c r="C627" s="96"/>
    </row>
  </sheetData>
  <mergeCells count="5">
    <mergeCell ref="G1:P1"/>
    <mergeCell ref="R1:AF1"/>
    <mergeCell ref="AI13:AR13"/>
    <mergeCell ref="G17:O17"/>
    <mergeCell ref="AI51:AQ51"/>
  </mergeCells>
  <conditionalFormatting sqref="H19:I23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19:J2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19:L2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M19:M2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19:N2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19:O23">
    <cfRule type="colorScale" priority="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J33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K34:AK46">
    <cfRule type="colorScale" priority="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54:AQ58"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1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R54:AR58">
    <cfRule type="colorScale" priority="1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61:AJ64">
    <cfRule type="colorScale" priority="1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K61:AK65">
    <cfRule type="colorScale" priority="1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19:I23">
    <cfRule type="colorScale" priority="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L19:L23">
    <cfRule type="colorScale" priority="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K4:AK11 AQ4:AQ11">
    <cfRule type="cellIs" priority="17" operator="greaterThan" aboveAverage="0" equalAverage="0" bottom="0" percent="0" rank="0" text="" dxfId="4">
      <formula>1</formula>
    </cfRule>
  </conditionalFormatting>
  <conditionalFormatting sqref="H3:H15">
    <cfRule type="colorScale" priority="1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3:I15">
    <cfRule type="colorScale" priority="1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3:J15">
    <cfRule type="colorScale" priority="2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3:K15">
    <cfRule type="colorScale" priority="2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3:L15">
    <cfRule type="colorScale" priority="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:M15">
    <cfRule type="colorScale" priority="2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3:N15">
    <cfRule type="colorScale" priority="2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3:O15">
    <cfRule type="colorScale" priority="2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P3:P15">
    <cfRule type="colorScale" priority="2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6:H38">
    <cfRule type="colorScale" priority="2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42:H54">
    <cfRule type="colorScale" priority="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H58:H70">
    <cfRule type="colorScale" priority="2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26:R38">
    <cfRule type="colorScale" priority="3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42:R54">
    <cfRule type="colorScale" priority="3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R58:R70">
    <cfRule type="colorScale" priority="3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16:AJ28">
    <cfRule type="colorScale" priority="3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K16:AK28">
    <cfRule type="colorScale" priority="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L16:AL28">
    <cfRule type="colorScale" priority="3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M16:AM28">
    <cfRule type="colorScale" priority="3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N16:AN28">
    <cfRule type="colorScale" priority="3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O16:AO28">
    <cfRule type="colorScale" priority="3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P16:AP28">
    <cfRule type="colorScale" priority="3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Q16:AQ28">
    <cfRule type="colorScale" priority="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R16:AR28">
    <cfRule type="colorScale" priority="4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16:AR28">
    <cfRule type="colorScale" priority="4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S16:AS28">
    <cfRule type="colorScale" priority="4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34:AJ46">
    <cfRule type="colorScale" priority="4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74:H77">
    <cfRule type="colorScale" priority="4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74:R77">
    <cfRule type="colorScale" priority="4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85:H88">
    <cfRule type="colorScale" priority="47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R85:R88">
    <cfRule type="colorScale" priority="49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H96:H99">
    <cfRule type="colorScale" priority="5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96:R99">
    <cfRule type="colorScale" priority="5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61:AJ65">
    <cfRule type="colorScale" priority="5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hyperlinks>
    <hyperlink ref="D224" r:id="rId1" display="https://discord.com/channels/191975109500731392/1212839710439776287/1298696788643020852"/>
    <hyperlink ref="D345" r:id="rId2" display="https://discord.com/channels/191975109500731392/1212839710439776287/1306325863213830194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54296875" defaultRowHeight="15" customHeight="true" zeroHeight="false" outlineLevelRow="0" outlineLevelCol="0"/>
  <cols>
    <col collapsed="false" customWidth="true" hidden="false" outlineLevel="0" max="1" min="1" style="0" width="6.27"/>
    <col collapsed="false" customWidth="true" hidden="false" outlineLevel="0" max="2" min="2" style="0" width="6.18"/>
    <col collapsed="false" customWidth="true" hidden="false" outlineLevel="0" max="3" min="3" style="0" width="6.73"/>
    <col collapsed="false" customWidth="true" hidden="false" outlineLevel="0" max="4" min="4" style="0" width="6"/>
    <col collapsed="false" customWidth="true" hidden="false" outlineLevel="0" max="5" min="5" style="0" width="1.82"/>
    <col collapsed="false" customWidth="true" hidden="true" outlineLevel="0" max="6" min="6" style="0" width="4.82"/>
    <col collapsed="false" customWidth="true" hidden="false" outlineLevel="0" max="7" min="7" style="0" width="7.18"/>
    <col collapsed="false" customWidth="true" hidden="false" outlineLevel="0" max="9" min="8" style="0" width="6.73"/>
    <col collapsed="false" customWidth="true" hidden="false" outlineLevel="0" max="10" min="10" style="0" width="4.45"/>
    <col collapsed="false" customWidth="true" hidden="false" outlineLevel="0" max="11" min="11" style="0" width="9.18"/>
    <col collapsed="false" customWidth="true" hidden="false" outlineLevel="0" max="12" min="12" style="0" width="11.45"/>
    <col collapsed="false" customWidth="true" hidden="false" outlineLevel="0" max="13" min="13" style="0" width="6.45"/>
    <col collapsed="false" customWidth="true" hidden="false" outlineLevel="0" max="14" min="14" style="0" width="8"/>
    <col collapsed="false" customWidth="true" hidden="false" outlineLevel="0" max="15" min="15" style="0" width="10.45"/>
    <col collapsed="false" customWidth="true" hidden="false" outlineLevel="0" max="16" min="16" style="0" width="11.82"/>
    <col collapsed="false" customWidth="true" hidden="false" outlineLevel="0" max="17" min="17" style="0" width="7.18"/>
    <col collapsed="false" customWidth="true" hidden="false" outlineLevel="0" max="18" min="18" style="0" width="12.27"/>
    <col collapsed="false" customWidth="true" hidden="false" outlineLevel="0" max="19" min="19" style="0" width="6.45"/>
    <col collapsed="false" customWidth="true" hidden="false" outlineLevel="0" max="20" min="20" style="0" width="3.45"/>
    <col collapsed="false" customWidth="true" hidden="false" outlineLevel="0" max="21" min="21" style="0" width="5.73"/>
    <col collapsed="false" customWidth="true" hidden="false" outlineLevel="0" max="22" min="22" style="0" width="7.18"/>
    <col collapsed="false" customWidth="true" hidden="false" outlineLevel="0" max="23" min="23" style="0" width="4.45"/>
    <col collapsed="false" customWidth="true" hidden="false" outlineLevel="0" max="24" min="24" style="0" width="5"/>
    <col collapsed="false" customWidth="true" hidden="false" outlineLevel="0" max="25" min="25" style="0" width="4.82"/>
    <col collapsed="false" customWidth="true" hidden="false" outlineLevel="0" max="26" min="26" style="0" width="5.18"/>
    <col collapsed="false" customWidth="true" hidden="false" outlineLevel="0" max="27" min="27" style="0" width="6.82"/>
    <col collapsed="false" customWidth="true" hidden="false" outlineLevel="0" max="28" min="28" style="0" width="10.45"/>
    <col collapsed="false" customWidth="true" hidden="false" outlineLevel="0" max="29" min="29" style="0" width="6"/>
    <col collapsed="false" customWidth="true" hidden="false" outlineLevel="0" max="30" min="30" style="0" width="6.45"/>
    <col collapsed="false" customWidth="true" hidden="false" outlineLevel="0" max="31" min="31" style="0" width="10.73"/>
    <col collapsed="false" customWidth="true" hidden="false" outlineLevel="0" max="32" min="32" style="0" width="7.18"/>
    <col collapsed="false" customWidth="true" hidden="false" outlineLevel="0" max="33" min="33" style="0" width="7"/>
    <col collapsed="false" customWidth="true" hidden="false" outlineLevel="0" max="34" min="34" style="0" width="8.27"/>
    <col collapsed="false" customWidth="true" hidden="false" outlineLevel="0" max="35" min="35" style="0" width="6.45"/>
    <col collapsed="false" customWidth="true" hidden="false" outlineLevel="0" max="36" min="36" style="0" width="9.18"/>
    <col collapsed="false" customWidth="true" hidden="false" outlineLevel="0" max="37" min="37" style="0" width="13.27"/>
    <col collapsed="false" customWidth="true" hidden="false" outlineLevel="0" max="38" min="38" style="0" width="6.45"/>
    <col collapsed="false" customWidth="true" hidden="false" outlineLevel="0" max="39" min="39" style="0" width="8"/>
    <col collapsed="false" customWidth="true" hidden="false" outlineLevel="0" max="40" min="40" style="0" width="10.45"/>
    <col collapsed="false" customWidth="true" hidden="false" outlineLevel="0" max="41" min="41" style="0" width="11.82"/>
    <col collapsed="false" customWidth="true" hidden="false" outlineLevel="0" max="42" min="42" style="0" width="11.18"/>
    <col collapsed="false" customWidth="true" hidden="false" outlineLevel="0" max="43" min="43" style="0" width="7"/>
    <col collapsed="false" customWidth="true" hidden="false" outlineLevel="0" max="44" min="44" style="0" width="6.45"/>
  </cols>
  <sheetData>
    <row r="1" customFormat="false" ht="14.25" hidden="false" customHeight="true" outlineLevel="0" collapsed="false">
      <c r="A1" s="89" t="s">
        <v>0</v>
      </c>
      <c r="B1" s="90" t="s">
        <v>1</v>
      </c>
      <c r="C1" s="91" t="s">
        <v>2</v>
      </c>
      <c r="D1" s="6" t="s">
        <v>3</v>
      </c>
      <c r="G1" s="7" t="s">
        <v>4</v>
      </c>
      <c r="H1" s="7"/>
      <c r="I1" s="7"/>
      <c r="J1" s="7"/>
      <c r="K1" s="7"/>
      <c r="L1" s="7"/>
      <c r="M1" s="7"/>
      <c r="N1" s="7"/>
      <c r="O1" s="7"/>
      <c r="P1" s="7"/>
      <c r="Q1" s="8"/>
      <c r="R1" s="136" t="s">
        <v>5</v>
      </c>
      <c r="S1" s="136"/>
      <c r="T1" s="136"/>
      <c r="U1" s="136"/>
      <c r="V1" s="136"/>
      <c r="W1" s="136"/>
      <c r="X1" s="136"/>
      <c r="Y1" s="136"/>
      <c r="Z1" s="136"/>
      <c r="AA1" s="136"/>
      <c r="AB1" s="136"/>
      <c r="AD1" s="66" t="s">
        <v>26</v>
      </c>
      <c r="AH1" s="7" t="s">
        <v>6</v>
      </c>
      <c r="AI1" s="10" t="s">
        <v>7</v>
      </c>
      <c r="AJ1" s="11" t="s">
        <v>8</v>
      </c>
      <c r="AK1" s="12" t="s">
        <v>9</v>
      </c>
      <c r="AL1" s="13" t="s">
        <v>8</v>
      </c>
      <c r="AM1" s="10" t="s">
        <v>10</v>
      </c>
      <c r="AN1" s="7" t="s">
        <v>6</v>
      </c>
    </row>
    <row r="2" customFormat="false" ht="14.25" hidden="false" customHeight="true" outlineLevel="0" collapsed="false">
      <c r="A2" s="94" t="s">
        <v>1447</v>
      </c>
      <c r="B2" s="95" t="n">
        <v>2</v>
      </c>
      <c r="C2" s="96" t="s">
        <v>43</v>
      </c>
      <c r="D2" s="17" t="s">
        <v>1868</v>
      </c>
      <c r="E2" s="6"/>
      <c r="F2" s="19"/>
      <c r="G2" s="52" t="s">
        <v>88</v>
      </c>
      <c r="H2" s="31" t="s">
        <v>16</v>
      </c>
      <c r="I2" s="31" t="s">
        <v>17</v>
      </c>
      <c r="J2" s="31" t="s">
        <v>18</v>
      </c>
      <c r="K2" s="31" t="s">
        <v>19</v>
      </c>
      <c r="L2" s="31" t="s">
        <v>20</v>
      </c>
      <c r="M2" s="31" t="s">
        <v>21</v>
      </c>
      <c r="N2" s="21" t="s">
        <v>22</v>
      </c>
      <c r="O2" s="21" t="s">
        <v>23</v>
      </c>
      <c r="P2" s="53" t="s">
        <v>24</v>
      </c>
      <c r="Q2" s="8"/>
      <c r="R2" s="23" t="s">
        <v>25</v>
      </c>
      <c r="S2" s="24" t="s">
        <v>2</v>
      </c>
      <c r="T2" s="25"/>
      <c r="U2" s="25"/>
      <c r="V2" s="25"/>
      <c r="W2" s="25"/>
      <c r="X2" s="25"/>
      <c r="Y2" s="25"/>
      <c r="Z2" s="25"/>
      <c r="AA2" s="25"/>
      <c r="AB2" s="26"/>
      <c r="AD2" s="66" t="s">
        <v>1445</v>
      </c>
      <c r="AF2" s="66"/>
      <c r="AH2" s="28"/>
      <c r="AI2" s="29"/>
      <c r="AJ2" s="30" t="n">
        <f aca="false">COUNT(B$1:B$159)</f>
        <v>48</v>
      </c>
      <c r="AK2" s="31" t="s">
        <v>27</v>
      </c>
      <c r="AL2" s="30" t="n">
        <f aca="false">COUNT(B$1:B$159)</f>
        <v>48</v>
      </c>
      <c r="AM2" s="28"/>
      <c r="AN2" s="28"/>
    </row>
    <row r="3" customFormat="false" ht="14.25" hidden="false" customHeight="true" outlineLevel="0" collapsed="false">
      <c r="A3" s="94" t="s">
        <v>1447</v>
      </c>
      <c r="B3" s="95" t="n">
        <v>2</v>
      </c>
      <c r="C3" s="96" t="s">
        <v>42</v>
      </c>
      <c r="D3" s="17" t="s">
        <v>1869</v>
      </c>
      <c r="E3" s="6"/>
      <c r="F3" s="32"/>
      <c r="G3" s="33" t="s">
        <v>30</v>
      </c>
      <c r="H3" s="34" t="n">
        <f aca="false">COUNTIF($A:$A,G3)</f>
        <v>8</v>
      </c>
      <c r="I3" s="34" t="n">
        <f aca="false">COUNTIF($C:$C,G3)</f>
        <v>12</v>
      </c>
      <c r="J3" s="35" t="n">
        <f aca="false">IF(I3,H3/I3,H3)</f>
        <v>0.666666666666667</v>
      </c>
      <c r="K3" s="34" t="n">
        <f aca="false">IFERROR(GETPIVOTDATA("Points",$R$2,"Sniper",G3),0)</f>
        <v>12</v>
      </c>
      <c r="L3" s="34" t="n">
        <f aca="false">IFERROR(GETPIVOTDATA("Points",$R$2,"Snipee",G3),0)</f>
        <v>16</v>
      </c>
      <c r="M3" s="124" t="n">
        <f aca="false">IF(L3,K3/L3,K3)</f>
        <v>0.75</v>
      </c>
      <c r="N3" s="35" t="n">
        <f aca="false">IF(H3,K3/H3,0)</f>
        <v>1.5</v>
      </c>
      <c r="O3" s="35" t="n">
        <f aca="false">IF(I3,L3/I3,0)</f>
        <v>1.33333333333333</v>
      </c>
      <c r="P3" s="125" t="n">
        <f aca="false">IFERROR(VLOOKUP(G3,R:AD,13,FALSE())/9,0)</f>
        <v>0.333333333333333</v>
      </c>
      <c r="Q3" s="8"/>
      <c r="R3" s="37" t="s">
        <v>0</v>
      </c>
      <c r="S3" s="126" t="s">
        <v>30</v>
      </c>
      <c r="T3" s="127" t="s">
        <v>42</v>
      </c>
      <c r="U3" s="127" t="s">
        <v>1443</v>
      </c>
      <c r="V3" s="127" t="s">
        <v>1151</v>
      </c>
      <c r="W3" s="127" t="s">
        <v>1447</v>
      </c>
      <c r="X3" s="127" t="s">
        <v>1154</v>
      </c>
      <c r="Y3" s="127" t="s">
        <v>40</v>
      </c>
      <c r="Z3" s="127" t="s">
        <v>43</v>
      </c>
      <c r="AA3" s="127" t="s">
        <v>11</v>
      </c>
      <c r="AB3" s="39" t="s">
        <v>44</v>
      </c>
      <c r="AD3" s="66" t="s">
        <v>1448</v>
      </c>
      <c r="AF3" s="66"/>
      <c r="AH3" s="28"/>
      <c r="AI3" s="28"/>
      <c r="AJ3" s="40" t="n">
        <f aca="false">GETPIVOTDATA("Points",$R$2)</f>
        <v>68</v>
      </c>
      <c r="AK3" s="41" t="s">
        <v>45</v>
      </c>
      <c r="AL3" s="40" t="n">
        <f aca="false">GETPIVOTDATA("Points",$R$2)</f>
        <v>68</v>
      </c>
      <c r="AM3" s="28"/>
      <c r="AN3" s="28"/>
    </row>
    <row r="4" customFormat="false" ht="14.25" hidden="false" customHeight="true" outlineLevel="0" collapsed="false">
      <c r="A4" s="94" t="s">
        <v>1151</v>
      </c>
      <c r="B4" s="95" t="n">
        <v>1</v>
      </c>
      <c r="C4" s="96" t="s">
        <v>30</v>
      </c>
      <c r="D4" s="17" t="s">
        <v>1870</v>
      </c>
      <c r="E4" s="6" t="n">
        <v>1</v>
      </c>
      <c r="F4" s="32"/>
      <c r="G4" s="33" t="s">
        <v>42</v>
      </c>
      <c r="H4" s="34" t="n">
        <f aca="false">COUNTIF($A:$A,G4)</f>
        <v>1</v>
      </c>
      <c r="I4" s="34" t="n">
        <f aca="false">COUNTIF($C:$C,G4)</f>
        <v>6</v>
      </c>
      <c r="J4" s="35" t="n">
        <f aca="false">IF(I4,H4/I4,H4)</f>
        <v>0.166666666666667</v>
      </c>
      <c r="K4" s="34" t="n">
        <f aca="false">IFERROR(GETPIVOTDATA("Points",$R$2,"Sniper",G4),0)</f>
        <v>1</v>
      </c>
      <c r="L4" s="34" t="n">
        <f aca="false">IFERROR(GETPIVOTDATA("Points",$R$2,"Snipee",G4),0)</f>
        <v>12</v>
      </c>
      <c r="M4" s="124" t="n">
        <f aca="false">IF(L4,K4/L4,K4)</f>
        <v>0.0833333333333333</v>
      </c>
      <c r="N4" s="35" t="n">
        <f aca="false">IF(H4,K4/H4,0)</f>
        <v>1</v>
      </c>
      <c r="O4" s="35" t="n">
        <f aca="false">IF(I4,L4/I4,0)</f>
        <v>2</v>
      </c>
      <c r="P4" s="125" t="n">
        <f aca="false">IFERROR(VLOOKUP(G4,R:AD,13,FALSE())/9,0)</f>
        <v>0.111111111111111</v>
      </c>
      <c r="Q4" s="8"/>
      <c r="R4" s="128" t="s">
        <v>1447</v>
      </c>
      <c r="S4" s="100" t="n">
        <v>2</v>
      </c>
      <c r="T4" s="101" t="n">
        <v>8</v>
      </c>
      <c r="U4" s="101" t="n">
        <v>6</v>
      </c>
      <c r="V4" s="101"/>
      <c r="W4" s="101"/>
      <c r="X4" s="101" t="n">
        <v>2</v>
      </c>
      <c r="Y4" s="101"/>
      <c r="Z4" s="101" t="n">
        <v>3</v>
      </c>
      <c r="AA4" s="102" t="n">
        <v>2</v>
      </c>
      <c r="AB4" s="103" t="n">
        <v>23</v>
      </c>
      <c r="AD4" s="66" t="n">
        <f aca="false">COUNT(S4:AC4)-1</f>
        <v>6</v>
      </c>
      <c r="AF4" s="66"/>
      <c r="AH4" s="45" t="n">
        <f aca="false">COUNTIF(H3:H12,AJ4)</f>
        <v>0</v>
      </c>
      <c r="AI4" s="46" t="str">
        <f aca="false">$G$23</f>
        <v>David</v>
      </c>
      <c r="AJ4" s="40" t="e">
        <f aca="false">maxine(H3:H12)</f>
        <v>#NAME?</v>
      </c>
      <c r="AK4" s="41" t="s">
        <v>49</v>
      </c>
      <c r="AL4" s="47" t="e">
        <f aca="false">maxine(H15:H18)</f>
        <v>#NAME?</v>
      </c>
      <c r="AM4" s="48" t="str">
        <f aca="false">$G$68</f>
        <v>Leads</v>
      </c>
      <c r="AN4" s="45" t="n">
        <f aca="false">COUNTIF(H15:H18,AL4)</f>
        <v>0</v>
      </c>
    </row>
    <row r="5" customFormat="false" ht="14.25" hidden="false" customHeight="true" outlineLevel="0" collapsed="false">
      <c r="A5" s="94" t="s">
        <v>1447</v>
      </c>
      <c r="B5" s="95" t="n">
        <v>2</v>
      </c>
      <c r="C5" s="96" t="s">
        <v>30</v>
      </c>
      <c r="D5" s="17" t="s">
        <v>1871</v>
      </c>
      <c r="E5" s="6" t="n">
        <v>1</v>
      </c>
      <c r="F5" s="32"/>
      <c r="G5" s="33" t="s">
        <v>40</v>
      </c>
      <c r="H5" s="34" t="n">
        <f aca="false">COUNTIF($A:$A,G5)</f>
        <v>0</v>
      </c>
      <c r="I5" s="34" t="n">
        <f aca="false">COUNTIF($C:$C,G5)</f>
        <v>2</v>
      </c>
      <c r="J5" s="35" t="n">
        <f aca="false">IF(I5,H5/I5,H5)</f>
        <v>0</v>
      </c>
      <c r="K5" s="34" t="n">
        <f aca="false">IFERROR(GETPIVOTDATA("Points",$R$2,"Sniper",G5),0)</f>
        <v>0</v>
      </c>
      <c r="L5" s="34" t="n">
        <f aca="false">IFERROR(GETPIVOTDATA("Points",$R$2,"Snipee",G5),0)</f>
        <v>3</v>
      </c>
      <c r="M5" s="124" t="n">
        <f aca="false">IF(L5,K5/L5,K5)</f>
        <v>0</v>
      </c>
      <c r="N5" s="35" t="n">
        <f aca="false">IF(H5,K5/H5,0)</f>
        <v>0</v>
      </c>
      <c r="O5" s="35" t="n">
        <f aca="false">IF(I5,L5/I5,0)</f>
        <v>1.5</v>
      </c>
      <c r="P5" s="125" t="n">
        <f aca="false">IFERROR(VLOOKUP(G5,R:AD,13,FALSE())/9,0)</f>
        <v>0</v>
      </c>
      <c r="Q5" s="8"/>
      <c r="R5" s="129" t="s">
        <v>1151</v>
      </c>
      <c r="S5" s="105" t="n">
        <v>9</v>
      </c>
      <c r="T5" s="106" t="n">
        <v>2</v>
      </c>
      <c r="U5" s="106" t="n">
        <v>4</v>
      </c>
      <c r="V5" s="106"/>
      <c r="W5" s="106"/>
      <c r="X5" s="106"/>
      <c r="Y5" s="106" t="n">
        <v>1</v>
      </c>
      <c r="Z5" s="106"/>
      <c r="AA5" s="107"/>
      <c r="AB5" s="108" t="n">
        <v>16</v>
      </c>
      <c r="AD5" s="66" t="n">
        <f aca="false">COUNT(S5:AC5)-1</f>
        <v>4</v>
      </c>
      <c r="AF5" s="66"/>
      <c r="AH5" s="45" t="n">
        <f aca="false">COUNTIF(I3:I12,AJ5)</f>
        <v>0</v>
      </c>
      <c r="AI5" s="46" t="str">
        <f aca="false">$G$37</f>
        <v>Carter</v>
      </c>
      <c r="AJ5" s="40" t="e">
        <f aca="false">maxine(I3:I12)</f>
        <v>#NAME?</v>
      </c>
      <c r="AK5" s="41" t="s">
        <v>54</v>
      </c>
      <c r="AL5" s="47" t="e">
        <f aca="false">maxine(I15:I18)</f>
        <v>#NAME?</v>
      </c>
      <c r="AM5" s="48" t="str">
        <f aca="false">$G$77</f>
        <v>Tenors</v>
      </c>
      <c r="AN5" s="45" t="n">
        <f aca="false">COUNTIF(I15:I18,AL5)</f>
        <v>0</v>
      </c>
    </row>
    <row r="6" customFormat="false" ht="14.25" hidden="false" customHeight="true" outlineLevel="0" collapsed="false">
      <c r="A6" s="94" t="s">
        <v>42</v>
      </c>
      <c r="B6" s="95" t="n">
        <v>1</v>
      </c>
      <c r="C6" s="96" t="s">
        <v>1447</v>
      </c>
      <c r="D6" s="17" t="s">
        <v>1872</v>
      </c>
      <c r="E6" s="6"/>
      <c r="F6" s="32"/>
      <c r="G6" s="33" t="s">
        <v>41</v>
      </c>
      <c r="H6" s="34" t="n">
        <f aca="false">COUNTIF($A:$A,G6)</f>
        <v>5</v>
      </c>
      <c r="I6" s="34" t="n">
        <f aca="false">COUNTIF($C:$C,G6)</f>
        <v>0</v>
      </c>
      <c r="J6" s="35" t="n">
        <f aca="false">IF(I6,H6/I6,H6)</f>
        <v>5</v>
      </c>
      <c r="K6" s="34" t="n">
        <f aca="false">IFERROR(GETPIVOTDATA("Points",$R$2,"Sniper",G6),0)</f>
        <v>0</v>
      </c>
      <c r="L6" s="34" t="n">
        <f aca="false">IFERROR(GETPIVOTDATA("Points",$R$2,"Snipee",G6),0)</f>
        <v>0</v>
      </c>
      <c r="M6" s="124" t="n">
        <f aca="false">IF(L6,K6/L6,K6)</f>
        <v>0</v>
      </c>
      <c r="N6" s="35" t="n">
        <f aca="false">IF(H6,K6/H6,0)</f>
        <v>0</v>
      </c>
      <c r="O6" s="35" t="n">
        <f aca="false">IF(I6,L6/I6,0)</f>
        <v>0</v>
      </c>
      <c r="P6" s="125" t="n">
        <f aca="false">IFERROR(VLOOKUP(G6,R:AD,13,FALSE())/9,0)</f>
        <v>0</v>
      </c>
      <c r="Q6" s="8"/>
      <c r="R6" s="129" t="s">
        <v>30</v>
      </c>
      <c r="S6" s="105"/>
      <c r="T6" s="106"/>
      <c r="U6" s="106" t="n">
        <v>2</v>
      </c>
      <c r="V6" s="106" t="n">
        <v>8</v>
      </c>
      <c r="W6" s="106" t="n">
        <v>2</v>
      </c>
      <c r="X6" s="106"/>
      <c r="Y6" s="106"/>
      <c r="Z6" s="106"/>
      <c r="AA6" s="107"/>
      <c r="AB6" s="108" t="n">
        <v>12</v>
      </c>
      <c r="AD6" s="66" t="n">
        <f aca="false">COUNT(S6:AC6)-1</f>
        <v>3</v>
      </c>
      <c r="AF6" s="66"/>
      <c r="AH6" s="45" t="n">
        <f aca="false">COUNTIF(K3:K12,AJ6)</f>
        <v>0</v>
      </c>
      <c r="AI6" s="46" t="str">
        <f aca="false">$Q$23</f>
        <v>Sam</v>
      </c>
      <c r="AJ6" s="40" t="e">
        <f aca="false">maxine(K3:K12)</f>
        <v>#NAME?</v>
      </c>
      <c r="AK6" s="41" t="s">
        <v>59</v>
      </c>
      <c r="AL6" s="47" t="e">
        <f aca="false">maxine(K15:K18)</f>
        <v>#NAME?</v>
      </c>
      <c r="AM6" s="48" t="str">
        <f aca="false">$Q$68</f>
        <v>Baris</v>
      </c>
      <c r="AN6" s="45" t="n">
        <f aca="false">COUNTIF(K15:K18,AL6)</f>
        <v>0</v>
      </c>
    </row>
    <row r="7" customFormat="false" ht="14.25" hidden="false" customHeight="true" outlineLevel="0" collapsed="false">
      <c r="A7" s="94" t="s">
        <v>30</v>
      </c>
      <c r="B7" s="95" t="n">
        <v>2</v>
      </c>
      <c r="C7" s="96" t="s">
        <v>1151</v>
      </c>
      <c r="D7" s="17" t="s">
        <v>1873</v>
      </c>
      <c r="E7" s="6"/>
      <c r="F7" s="32"/>
      <c r="G7" s="33" t="s">
        <v>1151</v>
      </c>
      <c r="H7" s="34" t="n">
        <f aca="false">COUNTIF($A:$A,G7)</f>
        <v>13</v>
      </c>
      <c r="I7" s="34" t="n">
        <f aca="false">COUNTIF($C:$C,G7)</f>
        <v>7</v>
      </c>
      <c r="J7" s="35" t="n">
        <f aca="false">IF(I7,H7/I7,H7)</f>
        <v>1.85714285714286</v>
      </c>
      <c r="K7" s="34" t="n">
        <f aca="false">IFERROR(GETPIVOTDATA("Points",$R$2,"Sniper",G7),0)</f>
        <v>16</v>
      </c>
      <c r="L7" s="34" t="n">
        <f aca="false">IFERROR(GETPIVOTDATA("Points",$R$2,"Snipee",G7),0)</f>
        <v>10</v>
      </c>
      <c r="M7" s="124" t="n">
        <f aca="false">IF(L7,K7/L7,K7)</f>
        <v>1.6</v>
      </c>
      <c r="N7" s="35" t="n">
        <f aca="false">IF(H7,K7/H7,0)</f>
        <v>1.23076923076923</v>
      </c>
      <c r="O7" s="35" t="n">
        <f aca="false">IF(I7,L7/I7,0)</f>
        <v>1.42857142857143</v>
      </c>
      <c r="P7" s="125" t="n">
        <f aca="false">IFERROR(VLOOKUP(G7,R:AD,13,FALSE())/9,0)</f>
        <v>0.444444444444444</v>
      </c>
      <c r="Q7" s="8"/>
      <c r="R7" s="129" t="s">
        <v>11</v>
      </c>
      <c r="S7" s="105" t="n">
        <v>4</v>
      </c>
      <c r="T7" s="106" t="n">
        <v>2</v>
      </c>
      <c r="U7" s="106"/>
      <c r="V7" s="106"/>
      <c r="W7" s="106" t="n">
        <v>2</v>
      </c>
      <c r="X7" s="106" t="n">
        <v>2</v>
      </c>
      <c r="Y7" s="106"/>
      <c r="Z7" s="106"/>
      <c r="AA7" s="107"/>
      <c r="AB7" s="108" t="n">
        <v>10</v>
      </c>
      <c r="AD7" s="66" t="n">
        <f aca="false">COUNT(S7:AC7)-1</f>
        <v>4</v>
      </c>
      <c r="AF7" s="66"/>
      <c r="AH7" s="45" t="n">
        <f aca="false">COUNTIF(L3:L12,AJ7)</f>
        <v>0</v>
      </c>
      <c r="AI7" s="46" t="str">
        <f aca="false">$Q$37</f>
        <v>Jon</v>
      </c>
      <c r="AJ7" s="40" t="e">
        <f aca="false">maxine(L3:L12)</f>
        <v>#NAME?</v>
      </c>
      <c r="AK7" s="41" t="s">
        <v>63</v>
      </c>
      <c r="AL7" s="47" t="e">
        <f aca="false">maxine(L15:L18)</f>
        <v>#NAME?</v>
      </c>
      <c r="AM7" s="48" t="str">
        <f aca="false">$Q$77</f>
        <v>Tenors</v>
      </c>
      <c r="AN7" s="45" t="n">
        <f aca="false">COUNTIF(L15:L18,AL7)</f>
        <v>0</v>
      </c>
    </row>
    <row r="8" customFormat="false" ht="14.25" hidden="false" customHeight="true" outlineLevel="0" collapsed="false">
      <c r="A8" s="94" t="s">
        <v>1151</v>
      </c>
      <c r="B8" s="95" t="n">
        <v>1</v>
      </c>
      <c r="C8" s="96" t="s">
        <v>30</v>
      </c>
      <c r="D8" s="17" t="s">
        <v>1874</v>
      </c>
      <c r="E8" s="6" t="n">
        <v>1</v>
      </c>
      <c r="F8" s="32"/>
      <c r="G8" s="33" t="s">
        <v>1154</v>
      </c>
      <c r="H8" s="34" t="n">
        <f aca="false">COUNTIF($A:$A,G8)</f>
        <v>0</v>
      </c>
      <c r="I8" s="34" t="n">
        <f aca="false">COUNTIF($C:$C,G8)</f>
        <v>2</v>
      </c>
      <c r="J8" s="35" t="n">
        <f aca="false">IF(I8,H8/I8,H8)</f>
        <v>0</v>
      </c>
      <c r="K8" s="34" t="n">
        <f aca="false">IFERROR(GETPIVOTDATA("Points",$R$2,"Sniper",G8),0)</f>
        <v>0</v>
      </c>
      <c r="L8" s="34" t="n">
        <f aca="false">IFERROR(GETPIVOTDATA("Points",$R$2,"Snipee",G8),0)</f>
        <v>4</v>
      </c>
      <c r="M8" s="124" t="n">
        <f aca="false">IF(L8,K8/L8,K8)</f>
        <v>0</v>
      </c>
      <c r="N8" s="35" t="n">
        <f aca="false">IF(H8,K8/H8,0)</f>
        <v>0</v>
      </c>
      <c r="O8" s="35" t="n">
        <f aca="false">IF(I8,L8/I8,0)</f>
        <v>2</v>
      </c>
      <c r="P8" s="125" t="n">
        <f aca="false">IFERROR(VLOOKUP(G8,R:AD,13,FALSE())/9,0)</f>
        <v>0</v>
      </c>
      <c r="Q8" s="8"/>
      <c r="R8" s="129" t="s">
        <v>43</v>
      </c>
      <c r="S8" s="105"/>
      <c r="T8" s="106"/>
      <c r="U8" s="106"/>
      <c r="V8" s="106"/>
      <c r="W8" s="106" t="n">
        <v>1</v>
      </c>
      <c r="X8" s="106"/>
      <c r="Y8" s="106" t="n">
        <v>2</v>
      </c>
      <c r="Z8" s="106"/>
      <c r="AA8" s="107"/>
      <c r="AB8" s="108" t="n">
        <v>3</v>
      </c>
      <c r="AD8" s="66" t="n">
        <f aca="false">COUNT(S8:AC8)-1</f>
        <v>2</v>
      </c>
      <c r="AF8" s="66"/>
      <c r="AH8" s="45" t="n">
        <f aca="false">COUNTIF(J3:J12,AJ8)</f>
        <v>0</v>
      </c>
      <c r="AI8" s="51" t="str">
        <f aca="false">$G$51</f>
        <v>Maxine</v>
      </c>
      <c r="AJ8" s="47" t="e">
        <f aca="false">maxine(J3:J12)</f>
        <v>#NAME?</v>
      </c>
      <c r="AK8" s="41" t="s">
        <v>67</v>
      </c>
      <c r="AL8" s="47" t="e">
        <f aca="false">maxine(J15:J18)</f>
        <v>#NAME?</v>
      </c>
      <c r="AM8" s="48" t="str">
        <f aca="false">$G$86</f>
        <v>Leads</v>
      </c>
      <c r="AN8" s="45" t="n">
        <f aca="false">COUNTIF(J15:J18,AL8)</f>
        <v>0</v>
      </c>
    </row>
    <row r="9" customFormat="false" ht="14.25" hidden="false" customHeight="true" outlineLevel="0" collapsed="false">
      <c r="A9" s="94" t="s">
        <v>1151</v>
      </c>
      <c r="B9" s="95" t="n">
        <v>1</v>
      </c>
      <c r="C9" s="96" t="s">
        <v>40</v>
      </c>
      <c r="D9" s="17" t="s">
        <v>1875</v>
      </c>
      <c r="E9" s="6"/>
      <c r="F9" s="17"/>
      <c r="G9" s="33" t="s">
        <v>1447</v>
      </c>
      <c r="H9" s="34" t="n">
        <f aca="false">COUNTIF($A:$A,G9)</f>
        <v>12</v>
      </c>
      <c r="I9" s="34" t="n">
        <f aca="false">COUNTIF($C:$C,G9)</f>
        <v>4</v>
      </c>
      <c r="J9" s="35" t="n">
        <f aca="false">IF(I9,H9/I9,H9)</f>
        <v>3</v>
      </c>
      <c r="K9" s="34" t="n">
        <f aca="false">IFERROR(GETPIVOTDATA("Points",$R$2,"Sniper",G9),0)</f>
        <v>23</v>
      </c>
      <c r="L9" s="34" t="n">
        <f aca="false">IFERROR(GETPIVOTDATA("Points",$R$2,"Snipee",G9),0)</f>
        <v>6</v>
      </c>
      <c r="M9" s="124" t="n">
        <f aca="false">IF(L9,K9/L9,K9)</f>
        <v>3.83333333333333</v>
      </c>
      <c r="N9" s="35" t="n">
        <f aca="false">IF(H9,K9/H9,0)</f>
        <v>1.91666666666667</v>
      </c>
      <c r="O9" s="35" t="n">
        <f aca="false">IF(I9,L9/I9,0)</f>
        <v>1.5</v>
      </c>
      <c r="P9" s="125" t="n">
        <f aca="false">IFERROR(VLOOKUP(G9,R:AD,13,FALSE())/9,0)</f>
        <v>0.666666666666667</v>
      </c>
      <c r="Q9" s="8"/>
      <c r="R9" s="129" t="s">
        <v>1443</v>
      </c>
      <c r="S9" s="105" t="n">
        <v>1</v>
      </c>
      <c r="T9" s="106"/>
      <c r="U9" s="106"/>
      <c r="V9" s="106" t="n">
        <v>2</v>
      </c>
      <c r="W9" s="106"/>
      <c r="X9" s="106"/>
      <c r="Y9" s="106"/>
      <c r="Z9" s="106"/>
      <c r="AA9" s="107"/>
      <c r="AB9" s="108" t="n">
        <v>3</v>
      </c>
      <c r="AD9" s="66" t="n">
        <f aca="false">COUNT(S9:AC9)-1</f>
        <v>2</v>
      </c>
      <c r="AF9" s="66"/>
      <c r="AH9" s="45" t="n">
        <f aca="false">COUNTIF(J3:J12,AJ9)</f>
        <v>2</v>
      </c>
      <c r="AI9" s="51" t="str">
        <f aca="false">$G$60</f>
        <v>Tyler</v>
      </c>
      <c r="AJ9" s="47" t="n">
        <f aca="false">MIN(J3:J12)</f>
        <v>0</v>
      </c>
      <c r="AK9" s="41" t="s">
        <v>71</v>
      </c>
      <c r="AL9" s="47" t="n">
        <f aca="false">MIN(J15:J18)</f>
        <v>0.5</v>
      </c>
      <c r="AM9" s="48" t="str">
        <f aca="false">$G$83</f>
        <v>Tenors</v>
      </c>
      <c r="AN9" s="45" t="n">
        <f aca="false">COUNTIF(J15:J18,AL9)</f>
        <v>1</v>
      </c>
    </row>
    <row r="10" customFormat="false" ht="14.25" hidden="false" customHeight="true" outlineLevel="0" collapsed="false">
      <c r="A10" s="94" t="s">
        <v>1151</v>
      </c>
      <c r="B10" s="95" t="n">
        <v>2</v>
      </c>
      <c r="C10" s="96" t="s">
        <v>42</v>
      </c>
      <c r="D10" s="17" t="s">
        <v>1876</v>
      </c>
      <c r="E10" s="6"/>
      <c r="F10" s="17"/>
      <c r="G10" s="33" t="s">
        <v>43</v>
      </c>
      <c r="H10" s="34" t="n">
        <f aca="false">COUNTIF($A:$A,G10)</f>
        <v>2</v>
      </c>
      <c r="I10" s="34" t="n">
        <f aca="false">COUNTIF($C:$C,G10)</f>
        <v>3</v>
      </c>
      <c r="J10" s="35" t="n">
        <f aca="false">IF(I10,H10/I10,H10)</f>
        <v>0.666666666666667</v>
      </c>
      <c r="K10" s="34" t="n">
        <f aca="false">IFERROR(GETPIVOTDATA("Points",$R$2,"Sniper",G10),0)</f>
        <v>3</v>
      </c>
      <c r="L10" s="34" t="n">
        <f aca="false">IFERROR(GETPIVOTDATA("Points",$R$2,"Snipee",G10),0)</f>
        <v>3</v>
      </c>
      <c r="M10" s="124" t="n">
        <f aca="false">IF(L10,K10/L10,K10)</f>
        <v>1</v>
      </c>
      <c r="N10" s="35" t="n">
        <f aca="false">IF(H10,K10/H10,0)</f>
        <v>1.5</v>
      </c>
      <c r="O10" s="35" t="n">
        <f aca="false">IF(I10,L10/I10,0)</f>
        <v>1</v>
      </c>
      <c r="P10" s="125" t="n">
        <f aca="false">IFERROR(VLOOKUP(G10,R:AD,13,FALSE())/9,0)</f>
        <v>0.222222222222222</v>
      </c>
      <c r="Q10" s="8"/>
      <c r="R10" s="129" t="s">
        <v>42</v>
      </c>
      <c r="S10" s="109"/>
      <c r="T10" s="110"/>
      <c r="U10" s="110"/>
      <c r="V10" s="110"/>
      <c r="W10" s="110" t="n">
        <v>1</v>
      </c>
      <c r="X10" s="110"/>
      <c r="Y10" s="110"/>
      <c r="Z10" s="110"/>
      <c r="AA10" s="111"/>
      <c r="AB10" s="112" t="n">
        <v>1</v>
      </c>
      <c r="AD10" s="66" t="n">
        <f aca="false">COUNT(S10:AC10)-1</f>
        <v>1</v>
      </c>
      <c r="AF10" s="66"/>
      <c r="AH10" s="45" t="n">
        <f aca="false">COUNTIF(M3:M12,AJ10)</f>
        <v>0</v>
      </c>
      <c r="AI10" s="51" t="str">
        <f aca="false">$Q$51</f>
        <v>Maxine</v>
      </c>
      <c r="AJ10" s="47" t="e">
        <f aca="false">maxine(M3:M12)</f>
        <v>#NAME?</v>
      </c>
      <c r="AK10" s="41" t="s">
        <v>74</v>
      </c>
      <c r="AL10" s="47" t="e">
        <f aca="false">maxine(M15:M18)</f>
        <v>#NAME?</v>
      </c>
      <c r="AM10" s="48" t="str">
        <f aca="false">$Q$86</f>
        <v>Baris</v>
      </c>
      <c r="AN10" s="45" t="n">
        <f aca="false">COUNTIF(M15:M18,AL10)</f>
        <v>0</v>
      </c>
    </row>
    <row r="11" customFormat="false" ht="14.25" hidden="false" customHeight="true" outlineLevel="0" collapsed="false">
      <c r="A11" s="94" t="s">
        <v>1151</v>
      </c>
      <c r="B11" s="95" t="n">
        <v>2</v>
      </c>
      <c r="C11" s="96" t="s">
        <v>1443</v>
      </c>
      <c r="D11" s="17" t="s">
        <v>1877</v>
      </c>
      <c r="E11" s="6"/>
      <c r="F11" s="32"/>
      <c r="G11" s="33" t="s">
        <v>11</v>
      </c>
      <c r="H11" s="34" t="n">
        <f aca="false">COUNTIF($A:$A,G11)</f>
        <v>5</v>
      </c>
      <c r="I11" s="34" t="n">
        <f aca="false">COUNTIF($C:$C,G11)</f>
        <v>2</v>
      </c>
      <c r="J11" s="35" t="n">
        <f aca="false">IF(I11,H11/I11,H11)</f>
        <v>2.5</v>
      </c>
      <c r="K11" s="34" t="n">
        <f aca="false">IFERROR(GETPIVOTDATA("Points",$R$2,"Sniper",G11),0)</f>
        <v>10</v>
      </c>
      <c r="L11" s="34" t="n">
        <f aca="false">IFERROR(GETPIVOTDATA("Points",$R$2,"Snipee",G11),0)</f>
        <v>2</v>
      </c>
      <c r="M11" s="124" t="n">
        <f aca="false">IF(L11,K11/L11,K11)</f>
        <v>5</v>
      </c>
      <c r="N11" s="35" t="n">
        <f aca="false">IF(H11,K11/H11,0)</f>
        <v>2</v>
      </c>
      <c r="O11" s="35" t="n">
        <f aca="false">IF(I11,L11/I11,0)</f>
        <v>1</v>
      </c>
      <c r="P11" s="125" t="n">
        <f aca="false">IFERROR(VLOOKUP(G11,R:AD,13,FALSE())/9,0)</f>
        <v>0.444444444444444</v>
      </c>
      <c r="Q11" s="8"/>
      <c r="R11" s="63" t="s">
        <v>44</v>
      </c>
      <c r="S11" s="113" t="n">
        <v>16</v>
      </c>
      <c r="T11" s="114" t="n">
        <v>12</v>
      </c>
      <c r="U11" s="114" t="n">
        <v>12</v>
      </c>
      <c r="V11" s="114" t="n">
        <v>10</v>
      </c>
      <c r="W11" s="114" t="n">
        <v>6</v>
      </c>
      <c r="X11" s="114" t="n">
        <v>4</v>
      </c>
      <c r="Y11" s="114" t="n">
        <v>3</v>
      </c>
      <c r="Z11" s="114" t="n">
        <v>3</v>
      </c>
      <c r="AA11" s="115" t="n">
        <v>2</v>
      </c>
      <c r="AB11" s="65" t="n">
        <v>68</v>
      </c>
      <c r="AD11" s="66" t="n">
        <f aca="false">COUNT(S11:AC11)-1</f>
        <v>9</v>
      </c>
      <c r="AF11" s="66"/>
      <c r="AH11" s="45" t="n">
        <f aca="false">COUNTIF(M3:M12,AJ11)-1</f>
        <v>2</v>
      </c>
      <c r="AI11" s="51" t="str">
        <f aca="false">$Q$60</f>
        <v>Tyler</v>
      </c>
      <c r="AJ11" s="47" t="n">
        <f aca="false">MIN(M3:M12)</f>
        <v>0</v>
      </c>
      <c r="AK11" s="41" t="s">
        <v>79</v>
      </c>
      <c r="AL11" s="47" t="n">
        <f aca="false">MIN(M15:M18)</f>
        <v>0.464285714285714</v>
      </c>
      <c r="AM11" s="48" t="str">
        <f aca="false">$Q$83</f>
        <v>Tenors</v>
      </c>
      <c r="AN11" s="45" t="n">
        <f aca="false">COUNTIF(M15:M18,AL11)</f>
        <v>1</v>
      </c>
    </row>
    <row r="12" customFormat="false" ht="14.25" hidden="false" customHeight="true" outlineLevel="0" collapsed="false">
      <c r="A12" s="94" t="s">
        <v>41</v>
      </c>
      <c r="B12" s="95" t="n">
        <v>1</v>
      </c>
      <c r="C12" s="96" t="s">
        <v>1443</v>
      </c>
      <c r="D12" s="17" t="s">
        <v>1878</v>
      </c>
      <c r="E12" s="6"/>
      <c r="F12" s="32"/>
      <c r="G12" s="137" t="s">
        <v>1443</v>
      </c>
      <c r="H12" s="34" t="n">
        <f aca="false">COUNTIF($A:$A,G12)</f>
        <v>2</v>
      </c>
      <c r="I12" s="34" t="n">
        <f aca="false">COUNTIF($C:$C,G12)</f>
        <v>10</v>
      </c>
      <c r="J12" s="35" t="n">
        <f aca="false">IF(I12,H12/I12,H12)</f>
        <v>0.2</v>
      </c>
      <c r="K12" s="34" t="n">
        <f aca="false">IFERROR(GETPIVOTDATA("Points",$R$2,"Sniper",G12),0)</f>
        <v>3</v>
      </c>
      <c r="L12" s="34" t="n">
        <f aca="false">IFERROR(GETPIVOTDATA("Points",$R$2,"Snipee",G12),0)</f>
        <v>12</v>
      </c>
      <c r="M12" s="124" t="n">
        <f aca="false">IF(L12,K12/L12,K12)</f>
        <v>0.25</v>
      </c>
      <c r="N12" s="35" t="n">
        <f aca="false">IF(H12,K12/H12,0)</f>
        <v>1.5</v>
      </c>
      <c r="O12" s="35" t="n">
        <f aca="false">IF(I12,L12/I12,0)</f>
        <v>1.2</v>
      </c>
      <c r="P12" s="125" t="n">
        <f aca="false">IFERROR(VLOOKUP(G12,R:AD,13,FALSE())/9,0)</f>
        <v>0.222222222222222</v>
      </c>
      <c r="Q12" s="8"/>
      <c r="AD12" s="66" t="n">
        <f aca="false">COUNT(S12:AC12)-1</f>
        <v>-1</v>
      </c>
      <c r="AF12" s="66"/>
      <c r="AG12" s="72"/>
    </row>
    <row r="13" customFormat="false" ht="14.25" hidden="false" customHeight="true" outlineLevel="0" collapsed="false">
      <c r="A13" s="94" t="s">
        <v>1447</v>
      </c>
      <c r="B13" s="95" t="n">
        <v>1</v>
      </c>
      <c r="C13" s="96" t="s">
        <v>43</v>
      </c>
      <c r="D13" s="17" t="s">
        <v>1879</v>
      </c>
      <c r="E13" s="6"/>
      <c r="F13" s="32"/>
      <c r="G13" s="7" t="s">
        <v>105</v>
      </c>
      <c r="H13" s="7"/>
      <c r="I13" s="7"/>
      <c r="J13" s="7"/>
      <c r="K13" s="7"/>
      <c r="L13" s="7"/>
      <c r="M13" s="7"/>
      <c r="N13" s="7"/>
      <c r="O13" s="7"/>
      <c r="Q13" s="8"/>
      <c r="AD13" s="66" t="n">
        <f aca="false">COUNT(S13:AC13)-1</f>
        <v>-1</v>
      </c>
      <c r="AF13" s="66"/>
      <c r="AG13" s="72"/>
    </row>
    <row r="14" customFormat="false" ht="14.25" hidden="false" customHeight="true" outlineLevel="0" collapsed="false">
      <c r="A14" s="94" t="s">
        <v>43</v>
      </c>
      <c r="B14" s="95" t="n">
        <v>1</v>
      </c>
      <c r="C14" s="96" t="s">
        <v>1447</v>
      </c>
      <c r="D14" s="17" t="s">
        <v>1880</v>
      </c>
      <c r="E14" s="6"/>
      <c r="F14" s="32"/>
      <c r="G14" s="52" t="s">
        <v>108</v>
      </c>
      <c r="H14" s="31" t="s">
        <v>16</v>
      </c>
      <c r="I14" s="31" t="s">
        <v>17</v>
      </c>
      <c r="J14" s="31" t="s">
        <v>18</v>
      </c>
      <c r="K14" s="31" t="s">
        <v>19</v>
      </c>
      <c r="L14" s="31" t="s">
        <v>20</v>
      </c>
      <c r="M14" s="31" t="s">
        <v>21</v>
      </c>
      <c r="N14" s="21" t="s">
        <v>22</v>
      </c>
      <c r="O14" s="31" t="s">
        <v>23</v>
      </c>
      <c r="Q14" s="8"/>
      <c r="AG14" s="72"/>
    </row>
    <row r="15" customFormat="false" ht="14.25" hidden="false" customHeight="true" outlineLevel="0" collapsed="false">
      <c r="A15" s="94" t="s">
        <v>1447</v>
      </c>
      <c r="B15" s="95" t="n">
        <v>2</v>
      </c>
      <c r="C15" s="96" t="s">
        <v>11</v>
      </c>
      <c r="D15" s="17" t="s">
        <v>1881</v>
      </c>
      <c r="E15" s="6"/>
      <c r="F15" s="32"/>
      <c r="G15" s="33" t="s">
        <v>111</v>
      </c>
      <c r="H15" s="67" t="n">
        <f aca="false">SUM(H3:H4)/COUNT(H3:H4)</f>
        <v>4.5</v>
      </c>
      <c r="I15" s="67" t="n">
        <f aca="false">SUM(I3:I4)/COUNT(I3:I4)</f>
        <v>9</v>
      </c>
      <c r="J15" s="68" t="n">
        <f aca="false">IF(I15,H15/I15,H15)</f>
        <v>0.5</v>
      </c>
      <c r="K15" s="67" t="n">
        <f aca="false">SUM(K3:K4)/COUNT(K3:K4)</f>
        <v>6.5</v>
      </c>
      <c r="L15" s="67" t="n">
        <f aca="false">SUM(L3:L4)/COUNT(L3:L4)</f>
        <v>14</v>
      </c>
      <c r="M15" s="68" t="n">
        <f aca="false">IF(L15,K15/L15,K15)</f>
        <v>0.464285714285714</v>
      </c>
      <c r="N15" s="69" t="n">
        <f aca="false">IF(H15,K15/H15,0)</f>
        <v>1.44444444444444</v>
      </c>
      <c r="O15" s="70" t="n">
        <f aca="false">IF(I15,L15/I15,0)</f>
        <v>1.55555555555556</v>
      </c>
      <c r="Q15" s="8"/>
      <c r="AG15" s="138"/>
    </row>
    <row r="16" customFormat="false" ht="14.25" hidden="false" customHeight="true" outlineLevel="0" collapsed="false">
      <c r="A16" s="94" t="s">
        <v>1447</v>
      </c>
      <c r="B16" s="95" t="n">
        <v>2</v>
      </c>
      <c r="C16" s="96" t="s">
        <v>1154</v>
      </c>
      <c r="D16" s="17" t="s">
        <v>1881</v>
      </c>
      <c r="E16" s="6"/>
      <c r="F16" s="32"/>
      <c r="G16" s="33" t="s">
        <v>114</v>
      </c>
      <c r="H16" s="67" t="n">
        <f aca="false">SUM(H5:H7)/COUNT(H5:H7)</f>
        <v>6</v>
      </c>
      <c r="I16" s="67" t="n">
        <f aca="false">SUM(I5:I7)/COUNT(I5:I7)</f>
        <v>3</v>
      </c>
      <c r="J16" s="68" t="n">
        <f aca="false">IF(I16,H16/I16,H16)</f>
        <v>2</v>
      </c>
      <c r="K16" s="67" t="n">
        <f aca="false">SUM(K5:K7)/COUNT(K5:K7)</f>
        <v>5.33333333333333</v>
      </c>
      <c r="L16" s="67" t="n">
        <f aca="false">SUM(L5:L7)/COUNT(L5:L7)</f>
        <v>4.33333333333333</v>
      </c>
      <c r="M16" s="68" t="n">
        <f aca="false">IF(L16,K16/L16,K16)</f>
        <v>1.23076923076923</v>
      </c>
      <c r="N16" s="69" t="n">
        <f aca="false">IF(H16,K16/H16,0)</f>
        <v>0.888888888888889</v>
      </c>
      <c r="O16" s="70" t="n">
        <f aca="false">IF(I16,L16/I16,0)</f>
        <v>1.44444444444444</v>
      </c>
      <c r="Q16" s="58"/>
      <c r="AG16" s="72"/>
      <c r="AK16" s="84"/>
    </row>
    <row r="17" customFormat="false" ht="14.25" hidden="false" customHeight="true" outlineLevel="0" collapsed="false">
      <c r="A17" s="94" t="s">
        <v>11</v>
      </c>
      <c r="B17" s="95" t="n">
        <v>2</v>
      </c>
      <c r="C17" s="96" t="s">
        <v>1154</v>
      </c>
      <c r="D17" s="17" t="s">
        <v>1882</v>
      </c>
      <c r="E17" s="6"/>
      <c r="F17" s="32"/>
      <c r="G17" s="33" t="s">
        <v>117</v>
      </c>
      <c r="H17" s="67" t="n">
        <f aca="false">SUM(H8:H9)/COUNT(H8:H9)</f>
        <v>6</v>
      </c>
      <c r="I17" s="67" t="n">
        <f aca="false">SUM(I8:I9)/COUNT(I8:I9)</f>
        <v>3</v>
      </c>
      <c r="J17" s="68" t="n">
        <f aca="false">IF(I17,H17/I17,H17)</f>
        <v>2</v>
      </c>
      <c r="K17" s="67" t="n">
        <f aca="false">SUM(K8:K9)/COUNT(K8:K9)</f>
        <v>11.5</v>
      </c>
      <c r="L17" s="67" t="n">
        <f aca="false">SUM(L8:L9)/COUNT(L8:L9)</f>
        <v>5</v>
      </c>
      <c r="M17" s="68" t="n">
        <f aca="false">IF(L17,K17/L17,K17)</f>
        <v>2.3</v>
      </c>
      <c r="N17" s="69" t="n">
        <f aca="false">IF(H17,K17/H17,0)</f>
        <v>1.91666666666667</v>
      </c>
      <c r="O17" s="70" t="n">
        <f aca="false">IF(I17,L17/I17,0)</f>
        <v>1.66666666666667</v>
      </c>
      <c r="R17" s="17"/>
      <c r="S17" s="71"/>
    </row>
    <row r="18" customFormat="false" ht="14.25" hidden="false" customHeight="true" outlineLevel="0" collapsed="false">
      <c r="A18" s="94" t="s">
        <v>30</v>
      </c>
      <c r="B18" s="95" t="n">
        <v>1</v>
      </c>
      <c r="C18" s="96" t="s">
        <v>1151</v>
      </c>
      <c r="D18" s="17" t="s">
        <v>1883</v>
      </c>
      <c r="E18" s="6"/>
      <c r="F18" s="32"/>
      <c r="G18" s="33" t="s">
        <v>120</v>
      </c>
      <c r="H18" s="67" t="n">
        <f aca="false">SUM(H10:H12)/COUNT(H10:H12)</f>
        <v>3</v>
      </c>
      <c r="I18" s="67" t="n">
        <f aca="false">SUM(I10:I12)/COUNT(I10:I12)</f>
        <v>5</v>
      </c>
      <c r="J18" s="68" t="n">
        <f aca="false">IF(I18,H18/I18,H18)</f>
        <v>0.6</v>
      </c>
      <c r="K18" s="67" t="n">
        <f aca="false">SUM(K10:K12)/COUNT(K10:K12)</f>
        <v>5.33333333333333</v>
      </c>
      <c r="L18" s="67" t="n">
        <f aca="false">SUM(L10:L12)/COUNT(L10:L12)</f>
        <v>5.66666666666667</v>
      </c>
      <c r="M18" s="68" t="n">
        <f aca="false">IF(L18,K18/L18,K18)</f>
        <v>0.941176470588235</v>
      </c>
      <c r="N18" s="69" t="n">
        <f aca="false">IF(H18,K18/H18,0)</f>
        <v>1.77777777777778</v>
      </c>
      <c r="O18" s="70" t="n">
        <f aca="false">IF(I18,L18/I18,0)</f>
        <v>1.13333333333333</v>
      </c>
      <c r="S18" s="71"/>
      <c r="AF18" s="139" t="s">
        <v>194</v>
      </c>
      <c r="AG18" s="140" t="s">
        <v>16</v>
      </c>
      <c r="AH18" s="140" t="s">
        <v>17</v>
      </c>
      <c r="AI18" s="140" t="s">
        <v>18</v>
      </c>
      <c r="AJ18" s="140" t="s">
        <v>19</v>
      </c>
      <c r="AK18" s="140" t="s">
        <v>20</v>
      </c>
      <c r="AL18" s="140" t="s">
        <v>21</v>
      </c>
      <c r="AM18" s="140" t="s">
        <v>22</v>
      </c>
      <c r="AN18" s="140" t="s">
        <v>23</v>
      </c>
      <c r="AO18" s="140" t="s">
        <v>24</v>
      </c>
      <c r="AP18" s="140" t="s">
        <v>1884</v>
      </c>
    </row>
    <row r="19" customFormat="false" ht="14.25" hidden="false" customHeight="true" outlineLevel="0" collapsed="false">
      <c r="A19" s="94" t="s">
        <v>1151</v>
      </c>
      <c r="B19" s="95" t="n">
        <v>1</v>
      </c>
      <c r="C19" s="96" t="s">
        <v>30</v>
      </c>
      <c r="D19" s="17" t="s">
        <v>1885</v>
      </c>
      <c r="E19" s="6" t="n">
        <v>0</v>
      </c>
      <c r="F19" s="32"/>
      <c r="Q19" s="71"/>
      <c r="R19" s="116" t="s">
        <v>30</v>
      </c>
      <c r="S19" s="40" t="s">
        <v>595</v>
      </c>
      <c r="T19" s="117" t="s">
        <v>596</v>
      </c>
      <c r="U19" s="118" t="s">
        <v>597</v>
      </c>
      <c r="V19" s="119" t="s">
        <v>598</v>
      </c>
      <c r="AF19" s="141" t="s">
        <v>91</v>
      </c>
      <c r="AG19" s="55" t="n">
        <v>7.5</v>
      </c>
      <c r="AH19" s="56" t="n">
        <v>-6</v>
      </c>
      <c r="AI19" s="56" t="n">
        <v>25</v>
      </c>
      <c r="AJ19" s="56" t="n">
        <v>8.5</v>
      </c>
      <c r="AK19" s="56" t="n">
        <v>-6.5</v>
      </c>
      <c r="AL19" s="56" t="n">
        <v>25</v>
      </c>
      <c r="AM19" s="56" t="n">
        <v>20</v>
      </c>
      <c r="AN19" s="56" t="n">
        <v>-20</v>
      </c>
      <c r="AO19" s="31" t="n">
        <v>100</v>
      </c>
      <c r="AP19" s="56" t="n">
        <v>4</v>
      </c>
      <c r="AQ19" s="45" t="s">
        <v>92</v>
      </c>
      <c r="AR19" s="142" t="s">
        <v>1185</v>
      </c>
    </row>
    <row r="20" customFormat="false" ht="14.25" hidden="false" customHeight="true" outlineLevel="0" collapsed="false">
      <c r="A20" s="94" t="s">
        <v>1447</v>
      </c>
      <c r="B20" s="95" t="n">
        <v>2</v>
      </c>
      <c r="C20" s="96" t="s">
        <v>42</v>
      </c>
      <c r="D20" s="17" t="s">
        <v>1886</v>
      </c>
      <c r="E20" s="6"/>
      <c r="F20" s="32"/>
      <c r="Q20" s="71"/>
      <c r="R20" s="46" t="s">
        <v>600</v>
      </c>
      <c r="S20" s="40" t="n">
        <f aca="false">COUNT(E:E)</f>
        <v>12</v>
      </c>
      <c r="T20" s="117" t="n">
        <f aca="false">COUNTIF(E:E,1)</f>
        <v>9</v>
      </c>
      <c r="U20" s="118" t="n">
        <f aca="false">S20-T20</f>
        <v>3</v>
      </c>
      <c r="V20" s="120" t="n">
        <f aca="false">T20/S20</f>
        <v>0.75</v>
      </c>
      <c r="AF20" s="141" t="s">
        <v>30</v>
      </c>
      <c r="AG20" s="35" t="n">
        <f aca="false">H3*$AG$19</f>
        <v>60</v>
      </c>
      <c r="AH20" s="35" t="n">
        <f aca="false">I3*$AH$19</f>
        <v>-72</v>
      </c>
      <c r="AI20" s="35" t="n">
        <f aca="false">J3*$AI$19</f>
        <v>16.6666666666667</v>
      </c>
      <c r="AJ20" s="35" t="n">
        <f aca="false">K3*$AJ$19</f>
        <v>102</v>
      </c>
      <c r="AK20" s="35" t="n">
        <f aca="false">L3*$AK$19</f>
        <v>-104</v>
      </c>
      <c r="AL20" s="35" t="n">
        <f aca="false">M3*$AL$19</f>
        <v>18.75</v>
      </c>
      <c r="AM20" s="35" t="n">
        <f aca="false">N3*$AM$19</f>
        <v>30</v>
      </c>
      <c r="AN20" s="35" t="n">
        <f aca="false">O3*$AN$19</f>
        <v>-26.6666666666667</v>
      </c>
      <c r="AO20" s="143" t="n">
        <f aca="false">P3*100</f>
        <v>33.3333333333333</v>
      </c>
      <c r="AP20" s="35" t="n">
        <f aca="false">SUM(H3:I3)*$AP$19</f>
        <v>80</v>
      </c>
      <c r="AQ20" s="77" t="n">
        <f aca="false">SUM(AG20:AP20)</f>
        <v>138.083333333333</v>
      </c>
      <c r="AR20" s="142"/>
    </row>
    <row r="21" customFormat="false" ht="14.25" hidden="false" customHeight="true" outlineLevel="0" collapsed="false">
      <c r="A21" s="94" t="s">
        <v>41</v>
      </c>
      <c r="B21" s="95" t="n">
        <v>2</v>
      </c>
      <c r="C21" s="96" t="s">
        <v>1443</v>
      </c>
      <c r="D21" s="17" t="s">
        <v>1887</v>
      </c>
      <c r="E21" s="6"/>
      <c r="F21" s="32"/>
      <c r="J21" s="72"/>
      <c r="K21" s="72"/>
      <c r="L21" s="72"/>
      <c r="M21" s="84"/>
      <c r="N21" s="84"/>
      <c r="O21" s="84"/>
      <c r="P21" s="84"/>
      <c r="Q21" s="8"/>
      <c r="AF21" s="141" t="s">
        <v>42</v>
      </c>
      <c r="AG21" s="35" t="n">
        <f aca="false">H4*$AG$19</f>
        <v>7.5</v>
      </c>
      <c r="AH21" s="35" t="n">
        <f aca="false">I4*$AH$19</f>
        <v>-36</v>
      </c>
      <c r="AI21" s="35" t="n">
        <f aca="false">J4*$AI$19</f>
        <v>4.16666666666667</v>
      </c>
      <c r="AJ21" s="35" t="n">
        <f aca="false">K4*$AJ$19</f>
        <v>8.5</v>
      </c>
      <c r="AK21" s="35" t="n">
        <f aca="false">L4*$AK$19</f>
        <v>-78</v>
      </c>
      <c r="AL21" s="35" t="n">
        <f aca="false">M4*$AL$19</f>
        <v>2.08333333333333</v>
      </c>
      <c r="AM21" s="35" t="n">
        <f aca="false">N4*$AM$19</f>
        <v>20</v>
      </c>
      <c r="AN21" s="35" t="n">
        <f aca="false">O4*$AN$19</f>
        <v>-40</v>
      </c>
      <c r="AO21" s="143" t="n">
        <f aca="false">P4*100</f>
        <v>11.1111111111111</v>
      </c>
      <c r="AP21" s="35" t="n">
        <f aca="false">SUM(H4:I4)*$AP$19</f>
        <v>28</v>
      </c>
      <c r="AQ21" s="77" t="n">
        <f aca="false">SUM(AG21:AP21)</f>
        <v>-72.6388888888889</v>
      </c>
      <c r="AR21" s="142"/>
    </row>
    <row r="22" customFormat="false" ht="14.25" hidden="false" customHeight="true" outlineLevel="0" collapsed="false">
      <c r="A22" s="94" t="s">
        <v>41</v>
      </c>
      <c r="B22" s="95" t="n">
        <v>2</v>
      </c>
      <c r="C22" s="96" t="s">
        <v>11</v>
      </c>
      <c r="D22" s="17" t="s">
        <v>1888</v>
      </c>
      <c r="E22" s="6"/>
      <c r="F22" s="17"/>
      <c r="G22" s="141" t="s">
        <v>88</v>
      </c>
      <c r="H22" s="41" t="s">
        <v>16</v>
      </c>
      <c r="J22" s="72"/>
      <c r="K22" s="72"/>
      <c r="L22" s="72"/>
      <c r="M22" s="84"/>
      <c r="N22" s="84"/>
      <c r="O22" s="84"/>
      <c r="Q22" s="141" t="s">
        <v>88</v>
      </c>
      <c r="R22" s="41" t="s">
        <v>19</v>
      </c>
      <c r="AF22" s="141" t="s">
        <v>40</v>
      </c>
      <c r="AG22" s="35" t="n">
        <f aca="false">H5*$AG$19</f>
        <v>0</v>
      </c>
      <c r="AH22" s="35" t="n">
        <f aca="false">I5*$AH$19</f>
        <v>-12</v>
      </c>
      <c r="AI22" s="35" t="n">
        <f aca="false">J5*$AI$19</f>
        <v>0</v>
      </c>
      <c r="AJ22" s="35" t="n">
        <f aca="false">K5*$AJ$19</f>
        <v>0</v>
      </c>
      <c r="AK22" s="35" t="n">
        <f aca="false">L5*$AK$19</f>
        <v>-19.5</v>
      </c>
      <c r="AL22" s="35" t="n">
        <f aca="false">M5*$AL$19</f>
        <v>0</v>
      </c>
      <c r="AM22" s="35" t="n">
        <f aca="false">N5*$AM$19</f>
        <v>0</v>
      </c>
      <c r="AN22" s="35" t="n">
        <f aca="false">O5*$AN$19</f>
        <v>-30</v>
      </c>
      <c r="AO22" s="143" t="n">
        <f aca="false">P5*100</f>
        <v>0</v>
      </c>
      <c r="AP22" s="35" t="n">
        <f aca="false">SUM(H5:I5)*$AP$19</f>
        <v>8</v>
      </c>
      <c r="AQ22" s="77" t="n">
        <f aca="false">SUM(AG22:AP22)</f>
        <v>-53.5</v>
      </c>
      <c r="AR22" s="142"/>
    </row>
    <row r="23" customFormat="false" ht="14.25" hidden="false" customHeight="true" outlineLevel="0" collapsed="false">
      <c r="A23" s="94" t="s">
        <v>41</v>
      </c>
      <c r="B23" s="95" t="n">
        <v>2</v>
      </c>
      <c r="C23" s="96" t="s">
        <v>43</v>
      </c>
      <c r="D23" s="17" t="s">
        <v>1889</v>
      </c>
      <c r="E23" s="6"/>
      <c r="F23" s="32"/>
      <c r="G23" s="141" t="s">
        <v>1151</v>
      </c>
      <c r="H23" s="144" t="n">
        <f aca="false">$H$7</f>
        <v>13</v>
      </c>
      <c r="J23" s="72"/>
      <c r="K23" s="72"/>
      <c r="L23" s="72"/>
      <c r="M23" s="84"/>
      <c r="N23" s="84"/>
      <c r="O23" s="84"/>
      <c r="Q23" s="141" t="s">
        <v>1447</v>
      </c>
      <c r="R23" s="117" t="n">
        <f aca="false">$K$9</f>
        <v>23</v>
      </c>
      <c r="AF23" s="141" t="s">
        <v>41</v>
      </c>
      <c r="AG23" s="35" t="n">
        <f aca="false">H6*$AG$19</f>
        <v>37.5</v>
      </c>
      <c r="AH23" s="35" t="n">
        <f aca="false">I6*$AH$19</f>
        <v>-0</v>
      </c>
      <c r="AI23" s="35" t="n">
        <f aca="false">J6*$AI$19</f>
        <v>125</v>
      </c>
      <c r="AJ23" s="35" t="n">
        <f aca="false">K6*$AJ$19</f>
        <v>0</v>
      </c>
      <c r="AK23" s="35" t="n">
        <f aca="false">L6*$AK$19</f>
        <v>-0</v>
      </c>
      <c r="AL23" s="35" t="n">
        <f aca="false">M6*$AL$19</f>
        <v>0</v>
      </c>
      <c r="AM23" s="35" t="n">
        <f aca="false">N6*$AM$19</f>
        <v>0</v>
      </c>
      <c r="AN23" s="35" t="n">
        <f aca="false">O6*$AN$19</f>
        <v>-0</v>
      </c>
      <c r="AO23" s="143" t="n">
        <f aca="false">P6*100</f>
        <v>0</v>
      </c>
      <c r="AP23" s="35" t="n">
        <f aca="false">SUM(H6:I6)*$AP$19</f>
        <v>20</v>
      </c>
      <c r="AQ23" s="77" t="n">
        <f aca="false">SUM(AG23:AP23)</f>
        <v>182.5</v>
      </c>
      <c r="AR23" s="142"/>
    </row>
    <row r="24" customFormat="false" ht="14.25" hidden="false" customHeight="true" outlineLevel="0" collapsed="false">
      <c r="A24" s="94" t="s">
        <v>30</v>
      </c>
      <c r="B24" s="95" t="n">
        <v>2</v>
      </c>
      <c r="C24" s="96" t="s">
        <v>1151</v>
      </c>
      <c r="D24" s="17" t="s">
        <v>1890</v>
      </c>
      <c r="E24" s="6"/>
      <c r="F24" s="17"/>
      <c r="G24" s="141" t="s">
        <v>1447</v>
      </c>
      <c r="H24" s="144" t="n">
        <f aca="false">$H$9</f>
        <v>12</v>
      </c>
      <c r="J24" s="72"/>
      <c r="K24" s="72"/>
      <c r="L24" s="72"/>
      <c r="M24" s="84"/>
      <c r="N24" s="84"/>
      <c r="O24" s="84"/>
      <c r="Q24" s="141" t="s">
        <v>1151</v>
      </c>
      <c r="R24" s="117" t="n">
        <f aca="false">$K$7</f>
        <v>16</v>
      </c>
      <c r="T24" s="72"/>
      <c r="U24" s="72"/>
      <c r="V24" s="72"/>
      <c r="W24" s="72"/>
      <c r="X24" s="72"/>
      <c r="Y24" s="72"/>
      <c r="Z24" s="72"/>
      <c r="AA24" s="72"/>
      <c r="AB24" s="72"/>
      <c r="AC24" s="72"/>
      <c r="AD24" s="72"/>
      <c r="AF24" s="141" t="s">
        <v>1151</v>
      </c>
      <c r="AG24" s="35" t="n">
        <f aca="false">H7*$AG$19</f>
        <v>97.5</v>
      </c>
      <c r="AH24" s="35" t="n">
        <f aca="false">I7*$AH$19</f>
        <v>-42</v>
      </c>
      <c r="AI24" s="35" t="n">
        <f aca="false">J7*$AI$19</f>
        <v>46.4285714285714</v>
      </c>
      <c r="AJ24" s="35" t="n">
        <f aca="false">K7*$AJ$19</f>
        <v>136</v>
      </c>
      <c r="AK24" s="35" t="n">
        <f aca="false">L7*$AK$19</f>
        <v>-65</v>
      </c>
      <c r="AL24" s="35" t="n">
        <f aca="false">M7*$AL$19</f>
        <v>40</v>
      </c>
      <c r="AM24" s="35" t="n">
        <f aca="false">N7*$AM$19</f>
        <v>24.6153846153846</v>
      </c>
      <c r="AN24" s="35" t="n">
        <f aca="false">O7*$AN$19</f>
        <v>-28.5714285714286</v>
      </c>
      <c r="AO24" s="143" t="n">
        <f aca="false">P7*100</f>
        <v>44.4444444444444</v>
      </c>
      <c r="AP24" s="35" t="n">
        <f aca="false">SUM(H7:I7)*$AP$19</f>
        <v>80</v>
      </c>
      <c r="AQ24" s="77" t="n">
        <f aca="false">SUM(AG24:AP24)</f>
        <v>333.416971916972</v>
      </c>
      <c r="AR24" s="142"/>
    </row>
    <row r="25" customFormat="false" ht="14.25" hidden="false" customHeight="true" outlineLevel="0" collapsed="false">
      <c r="A25" s="94" t="s">
        <v>1447</v>
      </c>
      <c r="B25" s="95" t="n">
        <v>2</v>
      </c>
      <c r="C25" s="96" t="s">
        <v>1443</v>
      </c>
      <c r="D25" s="17" t="s">
        <v>1891</v>
      </c>
      <c r="E25" s="6"/>
      <c r="F25" s="32"/>
      <c r="G25" s="141" t="s">
        <v>30</v>
      </c>
      <c r="H25" s="144" t="n">
        <f aca="false">$H$3</f>
        <v>8</v>
      </c>
      <c r="J25" s="72"/>
      <c r="K25" s="72"/>
      <c r="L25" s="72"/>
      <c r="M25" s="84"/>
      <c r="N25" s="84"/>
      <c r="O25" s="84"/>
      <c r="Q25" s="141" t="s">
        <v>30</v>
      </c>
      <c r="R25" s="117" t="n">
        <f aca="false">$K$3</f>
        <v>12</v>
      </c>
      <c r="T25" s="72"/>
      <c r="U25" s="72"/>
      <c r="V25" s="72"/>
      <c r="W25" s="72"/>
      <c r="X25" s="72"/>
      <c r="Y25" s="72"/>
      <c r="Z25" s="72"/>
      <c r="AA25" s="72"/>
      <c r="AB25" s="72"/>
      <c r="AC25" s="72"/>
      <c r="AD25" s="72"/>
      <c r="AF25" s="141" t="s">
        <v>1154</v>
      </c>
      <c r="AG25" s="35" t="n">
        <f aca="false">H8*$AG$19</f>
        <v>0</v>
      </c>
      <c r="AH25" s="35" t="n">
        <f aca="false">I8*$AH$19</f>
        <v>-12</v>
      </c>
      <c r="AI25" s="35" t="n">
        <f aca="false">J8*$AI$19</f>
        <v>0</v>
      </c>
      <c r="AJ25" s="35" t="n">
        <f aca="false">K8*$AJ$19</f>
        <v>0</v>
      </c>
      <c r="AK25" s="35" t="n">
        <f aca="false">L8*$AK$19</f>
        <v>-26</v>
      </c>
      <c r="AL25" s="35" t="n">
        <f aca="false">M8*$AL$19</f>
        <v>0</v>
      </c>
      <c r="AM25" s="35" t="n">
        <f aca="false">N8*$AM$19</f>
        <v>0</v>
      </c>
      <c r="AN25" s="35" t="n">
        <f aca="false">O8*$AN$19</f>
        <v>-40</v>
      </c>
      <c r="AO25" s="143" t="n">
        <f aca="false">P8*100</f>
        <v>0</v>
      </c>
      <c r="AP25" s="35" t="n">
        <f aca="false">SUM(H8:I8)*$AP$19</f>
        <v>8</v>
      </c>
      <c r="AQ25" s="77" t="n">
        <f aca="false">SUM(AG25:AP25)</f>
        <v>-70</v>
      </c>
      <c r="AR25" s="142"/>
    </row>
    <row r="26" customFormat="false" ht="14.25" hidden="false" customHeight="true" outlineLevel="0" collapsed="false">
      <c r="A26" s="94" t="s">
        <v>1447</v>
      </c>
      <c r="B26" s="95" t="n">
        <v>2</v>
      </c>
      <c r="C26" s="96" t="s">
        <v>1443</v>
      </c>
      <c r="D26" s="17" t="s">
        <v>1892</v>
      </c>
      <c r="E26" s="6"/>
      <c r="F26" s="32"/>
      <c r="G26" s="141" t="s">
        <v>41</v>
      </c>
      <c r="H26" s="144" t="n">
        <f aca="false">$H$6</f>
        <v>5</v>
      </c>
      <c r="J26" s="72"/>
      <c r="K26" s="72"/>
      <c r="L26" s="72"/>
      <c r="M26" s="84"/>
      <c r="N26" s="84"/>
      <c r="O26" s="84"/>
      <c r="Q26" s="141" t="s">
        <v>11</v>
      </c>
      <c r="R26" s="117" t="n">
        <f aca="false">$K$11</f>
        <v>10</v>
      </c>
      <c r="T26" s="72"/>
      <c r="U26" s="72"/>
      <c r="V26" s="72"/>
      <c r="W26" s="72"/>
      <c r="X26" s="72"/>
      <c r="Y26" s="72"/>
      <c r="Z26" s="72"/>
      <c r="AA26" s="72"/>
      <c r="AB26" s="72"/>
      <c r="AC26" s="72"/>
      <c r="AD26" s="72"/>
      <c r="AF26" s="141" t="s">
        <v>1447</v>
      </c>
      <c r="AG26" s="35" t="n">
        <f aca="false">H9*$AG$19</f>
        <v>90</v>
      </c>
      <c r="AH26" s="35" t="n">
        <f aca="false">I9*$AH$19</f>
        <v>-24</v>
      </c>
      <c r="AI26" s="35" t="n">
        <f aca="false">J9*$AI$19</f>
        <v>75</v>
      </c>
      <c r="AJ26" s="35" t="n">
        <f aca="false">K9*$AJ$19</f>
        <v>195.5</v>
      </c>
      <c r="AK26" s="35" t="n">
        <f aca="false">L9*$AK$19</f>
        <v>-39</v>
      </c>
      <c r="AL26" s="35" t="n">
        <f aca="false">M9*$AL$19</f>
        <v>95.8333333333333</v>
      </c>
      <c r="AM26" s="35" t="n">
        <f aca="false">N9*$AM$19</f>
        <v>38.3333333333333</v>
      </c>
      <c r="AN26" s="35" t="n">
        <f aca="false">O9*$AN$19</f>
        <v>-30</v>
      </c>
      <c r="AO26" s="143" t="n">
        <f aca="false">P9*100</f>
        <v>66.6666666666667</v>
      </c>
      <c r="AP26" s="35" t="n">
        <f aca="false">SUM(H9:I9)*$AP$19</f>
        <v>64</v>
      </c>
      <c r="AQ26" s="77" t="n">
        <f aca="false">SUM(AG26:AP26)</f>
        <v>532.333333333333</v>
      </c>
      <c r="AR26" s="142"/>
    </row>
    <row r="27" customFormat="false" ht="14.25" hidden="false" customHeight="true" outlineLevel="0" collapsed="false">
      <c r="A27" s="94" t="s">
        <v>11</v>
      </c>
      <c r="B27" s="95" t="n">
        <v>2</v>
      </c>
      <c r="C27" s="96" t="s">
        <v>30</v>
      </c>
      <c r="D27" s="17" t="s">
        <v>1893</v>
      </c>
      <c r="E27" s="6" t="n">
        <v>1</v>
      </c>
      <c r="F27" s="17"/>
      <c r="G27" s="141" t="s">
        <v>11</v>
      </c>
      <c r="H27" s="144" t="n">
        <f aca="false">$H$11</f>
        <v>5</v>
      </c>
      <c r="J27" s="72"/>
      <c r="K27" s="72"/>
      <c r="L27" s="72"/>
      <c r="M27" s="84"/>
      <c r="N27" s="84"/>
      <c r="O27" s="84"/>
      <c r="Q27" s="141" t="s">
        <v>41</v>
      </c>
      <c r="R27" s="117" t="n">
        <f aca="false">$K$6</f>
        <v>0</v>
      </c>
      <c r="T27" s="72"/>
      <c r="U27" s="72"/>
      <c r="V27" s="72"/>
      <c r="W27" s="72"/>
      <c r="X27" s="72"/>
      <c r="Y27" s="72"/>
      <c r="Z27" s="72"/>
      <c r="AA27" s="72"/>
      <c r="AB27" s="72"/>
      <c r="AC27" s="72"/>
      <c r="AD27" s="72"/>
      <c r="AF27" s="141" t="s">
        <v>43</v>
      </c>
      <c r="AG27" s="35" t="n">
        <f aca="false">H10*$AG$19</f>
        <v>15</v>
      </c>
      <c r="AH27" s="35" t="n">
        <f aca="false">I10*$AH$19</f>
        <v>-18</v>
      </c>
      <c r="AI27" s="35" t="n">
        <f aca="false">J10*$AI$19</f>
        <v>16.6666666666667</v>
      </c>
      <c r="AJ27" s="35" t="n">
        <f aca="false">K10*$AJ$19</f>
        <v>25.5</v>
      </c>
      <c r="AK27" s="35" t="n">
        <f aca="false">L10*$AK$19</f>
        <v>-19.5</v>
      </c>
      <c r="AL27" s="35" t="n">
        <f aca="false">M10*$AL$19</f>
        <v>25</v>
      </c>
      <c r="AM27" s="35" t="n">
        <f aca="false">N10*$AM$19</f>
        <v>30</v>
      </c>
      <c r="AN27" s="35" t="n">
        <f aca="false">O10*$AN$19</f>
        <v>-20</v>
      </c>
      <c r="AO27" s="143" t="n">
        <f aca="false">P10*100</f>
        <v>22.2222222222222</v>
      </c>
      <c r="AP27" s="35" t="n">
        <f aca="false">SUM(H10:I10)*$AP$19</f>
        <v>20</v>
      </c>
      <c r="AQ27" s="77" t="n">
        <f aca="false">SUM(AG27:AP27)</f>
        <v>96.8888888888889</v>
      </c>
      <c r="AR27" s="142"/>
    </row>
    <row r="28" customFormat="false" ht="14.25" hidden="false" customHeight="true" outlineLevel="0" collapsed="false">
      <c r="A28" s="94" t="s">
        <v>43</v>
      </c>
      <c r="B28" s="95" t="n">
        <v>2</v>
      </c>
      <c r="C28" s="96" t="s">
        <v>40</v>
      </c>
      <c r="D28" s="17" t="s">
        <v>1894</v>
      </c>
      <c r="E28" s="6"/>
      <c r="F28" s="32"/>
      <c r="G28" s="141" t="s">
        <v>43</v>
      </c>
      <c r="H28" s="144" t="n">
        <f aca="false">$H$10</f>
        <v>2</v>
      </c>
      <c r="J28" s="72"/>
      <c r="K28" s="72"/>
      <c r="L28" s="72"/>
      <c r="M28" s="84"/>
      <c r="N28" s="84"/>
      <c r="O28" s="84"/>
      <c r="Q28" s="141" t="s">
        <v>43</v>
      </c>
      <c r="R28" s="117" t="n">
        <f aca="false">$K$10</f>
        <v>3</v>
      </c>
      <c r="T28" s="72"/>
      <c r="U28" s="72"/>
      <c r="V28" s="72"/>
      <c r="W28" s="72"/>
      <c r="X28" s="72"/>
      <c r="Y28" s="72"/>
      <c r="Z28" s="72"/>
      <c r="AA28" s="72"/>
      <c r="AB28" s="72"/>
      <c r="AC28" s="72"/>
      <c r="AD28" s="72"/>
      <c r="AF28" s="141" t="s">
        <v>11</v>
      </c>
      <c r="AG28" s="35" t="n">
        <f aca="false">H11*$AG$19</f>
        <v>37.5</v>
      </c>
      <c r="AH28" s="35" t="n">
        <f aca="false">I11*$AH$19</f>
        <v>-12</v>
      </c>
      <c r="AI28" s="35" t="n">
        <f aca="false">J11*$AI$19</f>
        <v>62.5</v>
      </c>
      <c r="AJ28" s="35" t="n">
        <f aca="false">K11*$AJ$19</f>
        <v>85</v>
      </c>
      <c r="AK28" s="35" t="n">
        <f aca="false">L11*$AK$19</f>
        <v>-13</v>
      </c>
      <c r="AL28" s="35" t="n">
        <f aca="false">M11*$AL$19</f>
        <v>125</v>
      </c>
      <c r="AM28" s="35" t="n">
        <f aca="false">N11*$AM$19</f>
        <v>40</v>
      </c>
      <c r="AN28" s="35" t="n">
        <f aca="false">O11*$AN$19</f>
        <v>-20</v>
      </c>
      <c r="AO28" s="143" t="n">
        <f aca="false">P11*100</f>
        <v>44.4444444444444</v>
      </c>
      <c r="AP28" s="35" t="n">
        <f aca="false">SUM(H11:I11)*$AP$19</f>
        <v>28</v>
      </c>
      <c r="AQ28" s="77" t="n">
        <f aca="false">SUM(AG28:AP28)</f>
        <v>377.444444444444</v>
      </c>
      <c r="AR28" s="142"/>
    </row>
    <row r="29" customFormat="false" ht="14.25" hidden="false" customHeight="true" outlineLevel="0" collapsed="false">
      <c r="A29" s="94" t="s">
        <v>11</v>
      </c>
      <c r="B29" s="95" t="n">
        <v>2</v>
      </c>
      <c r="C29" s="96" t="s">
        <v>1447</v>
      </c>
      <c r="D29" s="17" t="s">
        <v>1895</v>
      </c>
      <c r="E29" s="6"/>
      <c r="F29" s="17"/>
      <c r="G29" s="141" t="s">
        <v>1443</v>
      </c>
      <c r="H29" s="144" t="n">
        <f aca="false">$H$12</f>
        <v>2</v>
      </c>
      <c r="J29" s="72"/>
      <c r="K29" s="72"/>
      <c r="L29" s="72"/>
      <c r="M29" s="84"/>
      <c r="N29" s="84"/>
      <c r="O29" s="84"/>
      <c r="Q29" s="141" t="s">
        <v>1443</v>
      </c>
      <c r="R29" s="117" t="n">
        <f aca="false">$K$12</f>
        <v>3</v>
      </c>
      <c r="T29" s="72"/>
      <c r="U29" s="72"/>
      <c r="V29" s="72"/>
      <c r="W29" s="72"/>
      <c r="X29" s="72"/>
      <c r="Y29" s="72"/>
      <c r="Z29" s="72"/>
      <c r="AA29" s="72"/>
      <c r="AB29" s="72"/>
      <c r="AC29" s="72"/>
      <c r="AD29" s="72"/>
      <c r="AF29" s="141" t="s">
        <v>1443</v>
      </c>
      <c r="AG29" s="35" t="n">
        <f aca="false">H12*$AG$19</f>
        <v>15</v>
      </c>
      <c r="AH29" s="35" t="n">
        <f aca="false">I12*$AH$19</f>
        <v>-60</v>
      </c>
      <c r="AI29" s="35" t="n">
        <f aca="false">J12*$AI$19</f>
        <v>5</v>
      </c>
      <c r="AJ29" s="35" t="n">
        <f aca="false">K12*$AJ$19</f>
        <v>25.5</v>
      </c>
      <c r="AK29" s="35" t="n">
        <f aca="false">L12*$AK$19</f>
        <v>-78</v>
      </c>
      <c r="AL29" s="35" t="n">
        <f aca="false">M12*$AL$19</f>
        <v>6.25</v>
      </c>
      <c r="AM29" s="35" t="n">
        <f aca="false">N12*$AM$19</f>
        <v>30</v>
      </c>
      <c r="AN29" s="35" t="n">
        <f aca="false">O12*$AN$19</f>
        <v>-24</v>
      </c>
      <c r="AO29" s="143" t="n">
        <f aca="false">P12*100</f>
        <v>22.2222222222222</v>
      </c>
      <c r="AP29" s="35" t="n">
        <f aca="false">SUM(H12:I12)*$AP$19</f>
        <v>48</v>
      </c>
      <c r="AQ29" s="77" t="n">
        <f aca="false">SUM(AG29:AP29)</f>
        <v>-10.0277777777778</v>
      </c>
      <c r="AR29" s="142"/>
    </row>
    <row r="30" customFormat="false" ht="14.25" hidden="false" customHeight="true" outlineLevel="0" collapsed="false">
      <c r="A30" s="94" t="s">
        <v>1447</v>
      </c>
      <c r="B30" s="95" t="n">
        <v>2</v>
      </c>
      <c r="C30" s="96" t="s">
        <v>42</v>
      </c>
      <c r="D30" s="17" t="s">
        <v>1896</v>
      </c>
      <c r="E30" s="6"/>
      <c r="F30" s="32"/>
      <c r="G30" s="141" t="s">
        <v>42</v>
      </c>
      <c r="H30" s="144" t="n">
        <f aca="false">$H$4</f>
        <v>1</v>
      </c>
      <c r="J30" s="72"/>
      <c r="K30" s="72"/>
      <c r="L30" s="72"/>
      <c r="M30" s="84"/>
      <c r="N30" s="84"/>
      <c r="O30" s="84"/>
      <c r="Q30" s="141" t="s">
        <v>42</v>
      </c>
      <c r="R30" s="117" t="n">
        <f aca="false">$K$4</f>
        <v>1</v>
      </c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72"/>
    </row>
    <row r="31" customFormat="false" ht="14.25" hidden="false" customHeight="true" outlineLevel="0" collapsed="false">
      <c r="A31" s="94" t="s">
        <v>30</v>
      </c>
      <c r="B31" s="95" t="n">
        <v>1</v>
      </c>
      <c r="C31" s="96" t="s">
        <v>1151</v>
      </c>
      <c r="D31" s="17" t="s">
        <v>1897</v>
      </c>
      <c r="E31" s="6"/>
      <c r="F31" s="32"/>
      <c r="G31" s="141" t="s">
        <v>40</v>
      </c>
      <c r="H31" s="144" t="n">
        <f aca="false">$H$5</f>
        <v>0</v>
      </c>
      <c r="J31" s="72"/>
      <c r="K31" s="72"/>
      <c r="L31" s="72"/>
      <c r="M31" s="84"/>
      <c r="N31" s="84"/>
      <c r="O31" s="84"/>
      <c r="Q31" s="141" t="s">
        <v>1154</v>
      </c>
      <c r="R31" s="117" t="n">
        <f aca="false">$K$8</f>
        <v>0</v>
      </c>
      <c r="T31" s="72"/>
      <c r="U31" s="72"/>
      <c r="V31" s="72"/>
      <c r="W31" s="72"/>
      <c r="X31" s="72"/>
      <c r="Y31" s="72"/>
      <c r="Z31" s="72"/>
      <c r="AA31" s="72"/>
      <c r="AB31" s="72"/>
      <c r="AC31" s="72"/>
    </row>
    <row r="32" customFormat="false" ht="14.25" hidden="false" customHeight="true" outlineLevel="0" collapsed="false">
      <c r="A32" s="94" t="s">
        <v>1151</v>
      </c>
      <c r="B32" s="95" t="n">
        <v>1</v>
      </c>
      <c r="C32" s="96" t="s">
        <v>30</v>
      </c>
      <c r="D32" s="17" t="s">
        <v>1898</v>
      </c>
      <c r="E32" s="6" t="n">
        <v>1</v>
      </c>
      <c r="F32" s="32"/>
      <c r="G32" s="141" t="s">
        <v>1154</v>
      </c>
      <c r="H32" s="144" t="n">
        <f aca="false">$H$8</f>
        <v>0</v>
      </c>
      <c r="J32" s="72"/>
      <c r="K32" s="72"/>
      <c r="L32" s="72"/>
      <c r="M32" s="84"/>
      <c r="N32" s="84"/>
      <c r="O32" s="84"/>
      <c r="Q32" s="141" t="s">
        <v>40</v>
      </c>
      <c r="R32" s="117" t="n">
        <f aca="false">$K$5</f>
        <v>0</v>
      </c>
      <c r="T32" s="72"/>
      <c r="U32" s="72"/>
      <c r="V32" s="72"/>
      <c r="W32" s="72"/>
      <c r="X32" s="72"/>
      <c r="Y32" s="72"/>
      <c r="Z32" s="72"/>
      <c r="AA32" s="72"/>
      <c r="AB32" s="72"/>
      <c r="AC32" s="72"/>
      <c r="AD32" s="72"/>
      <c r="AF32" s="72"/>
      <c r="AG32" s="72"/>
      <c r="AH32" s="72"/>
    </row>
    <row r="33" customFormat="false" ht="14.25" hidden="false" customHeight="true" outlineLevel="0" collapsed="false">
      <c r="A33" s="94" t="s">
        <v>1151</v>
      </c>
      <c r="B33" s="95" t="n">
        <v>1</v>
      </c>
      <c r="C33" s="96" t="s">
        <v>1443</v>
      </c>
      <c r="D33" s="17" t="s">
        <v>1899</v>
      </c>
      <c r="E33" s="6"/>
      <c r="F33" s="32"/>
      <c r="J33" s="72"/>
      <c r="K33" s="72"/>
      <c r="L33" s="72"/>
      <c r="M33" s="84"/>
      <c r="N33" s="84"/>
      <c r="O33" s="84"/>
      <c r="T33" s="72"/>
      <c r="U33" s="72"/>
      <c r="V33" s="72"/>
      <c r="W33" s="72"/>
      <c r="X33" s="72"/>
      <c r="Y33" s="72"/>
      <c r="Z33" s="72"/>
      <c r="AA33" s="72"/>
      <c r="AB33" s="72"/>
      <c r="AC33" s="72"/>
      <c r="AD33" s="72"/>
      <c r="AF33" s="74" t="s">
        <v>7</v>
      </c>
      <c r="AG33" s="75" t="s">
        <v>143</v>
      </c>
      <c r="AH33" s="75" t="s">
        <v>144</v>
      </c>
      <c r="AI33" s="72"/>
    </row>
    <row r="34" customFormat="false" ht="14.25" hidden="false" customHeight="true" outlineLevel="0" collapsed="false">
      <c r="A34" s="94" t="s">
        <v>41</v>
      </c>
      <c r="B34" s="95" t="n">
        <v>2</v>
      </c>
      <c r="C34" s="96" t="s">
        <v>1443</v>
      </c>
      <c r="D34" s="17" t="s">
        <v>1900</v>
      </c>
      <c r="E34" s="6"/>
      <c r="F34" s="32"/>
      <c r="J34" s="72"/>
      <c r="K34" s="72"/>
      <c r="L34" s="72"/>
      <c r="M34" s="84"/>
      <c r="N34" s="84"/>
      <c r="O34" s="84"/>
      <c r="T34" s="72"/>
      <c r="U34" s="72"/>
      <c r="V34" s="72"/>
      <c r="W34" s="72"/>
      <c r="X34" s="72"/>
      <c r="Y34" s="72"/>
      <c r="Z34" s="72"/>
      <c r="AA34" s="72"/>
      <c r="AB34" s="72"/>
      <c r="AC34" s="72"/>
      <c r="AD34" s="72"/>
      <c r="AF34" s="141" t="s">
        <v>41</v>
      </c>
      <c r="AG34" s="77" t="n">
        <f aca="false">$AQ$23</f>
        <v>182.5</v>
      </c>
      <c r="AH34" s="77" t="n">
        <f aca="false">AG34-($AG$43)</f>
        <v>255.138888888889</v>
      </c>
      <c r="AI34" s="6" t="n">
        <v>1</v>
      </c>
    </row>
    <row r="35" customFormat="false" ht="14.25" hidden="false" customHeight="true" outlineLevel="0" collapsed="false">
      <c r="A35" s="94" t="s">
        <v>1151</v>
      </c>
      <c r="B35" s="95" t="n">
        <v>1</v>
      </c>
      <c r="C35" s="96" t="s">
        <v>30</v>
      </c>
      <c r="D35" s="17" t="s">
        <v>1901</v>
      </c>
      <c r="E35" s="6" t="n">
        <v>1</v>
      </c>
      <c r="F35" s="17"/>
      <c r="J35" s="72"/>
      <c r="K35" s="72"/>
      <c r="L35" s="72"/>
      <c r="M35" s="84"/>
      <c r="N35" s="84"/>
      <c r="O35" s="84"/>
      <c r="P35" s="84"/>
      <c r="Q35" s="8"/>
      <c r="T35" s="72"/>
      <c r="U35" s="72"/>
      <c r="V35" s="72"/>
      <c r="W35" s="72"/>
      <c r="X35" s="72"/>
      <c r="Y35" s="72"/>
      <c r="Z35" s="72"/>
      <c r="AA35" s="72"/>
      <c r="AB35" s="72"/>
      <c r="AC35" s="72"/>
      <c r="AD35" s="72"/>
      <c r="AF35" s="141" t="s">
        <v>1447</v>
      </c>
      <c r="AG35" s="77" t="n">
        <f aca="false">$AQ$26</f>
        <v>532.333333333333</v>
      </c>
      <c r="AH35" s="77" t="n">
        <f aca="false">AG35-($AG$43)</f>
        <v>604.972222222222</v>
      </c>
      <c r="AI35" s="6" t="n">
        <v>2</v>
      </c>
    </row>
    <row r="36" customFormat="false" ht="14.25" hidden="false" customHeight="true" outlineLevel="0" collapsed="false">
      <c r="A36" s="94" t="s">
        <v>11</v>
      </c>
      <c r="B36" s="95" t="n">
        <v>2</v>
      </c>
      <c r="C36" s="96" t="s">
        <v>42</v>
      </c>
      <c r="D36" s="17" t="s">
        <v>1902</v>
      </c>
      <c r="E36" s="6"/>
      <c r="F36" s="32"/>
      <c r="G36" s="141" t="s">
        <v>88</v>
      </c>
      <c r="H36" s="41" t="s">
        <v>17</v>
      </c>
      <c r="J36" s="72"/>
      <c r="K36" s="72"/>
      <c r="L36" s="72"/>
      <c r="M36" s="84"/>
      <c r="N36" s="84"/>
      <c r="O36" s="84"/>
      <c r="Q36" s="141" t="s">
        <v>88</v>
      </c>
      <c r="R36" s="41" t="s">
        <v>20</v>
      </c>
      <c r="T36" s="72"/>
      <c r="U36" s="72"/>
      <c r="V36" s="72"/>
      <c r="W36" s="72"/>
      <c r="X36" s="72"/>
      <c r="Y36" s="72"/>
      <c r="Z36" s="72"/>
      <c r="AA36" s="72"/>
      <c r="AB36" s="72"/>
      <c r="AC36" s="72"/>
      <c r="AD36" s="72"/>
      <c r="AF36" s="141" t="s">
        <v>1151</v>
      </c>
      <c r="AG36" s="77" t="n">
        <f aca="false">$AQ$24</f>
        <v>333.416971916972</v>
      </c>
      <c r="AH36" s="77" t="n">
        <f aca="false">AG36-($AG$43)</f>
        <v>406.055860805861</v>
      </c>
      <c r="AI36" s="6" t="n">
        <v>3</v>
      </c>
    </row>
    <row r="37" customFormat="false" ht="14.25" hidden="false" customHeight="true" outlineLevel="0" collapsed="false">
      <c r="A37" s="94" t="s">
        <v>1447</v>
      </c>
      <c r="B37" s="95" t="n">
        <v>2</v>
      </c>
      <c r="C37" s="96" t="s">
        <v>42</v>
      </c>
      <c r="D37" s="17" t="s">
        <v>1903</v>
      </c>
      <c r="E37" s="6"/>
      <c r="F37" s="17"/>
      <c r="G37" s="141" t="s">
        <v>30</v>
      </c>
      <c r="H37" s="118" t="n">
        <f aca="false">$I$3</f>
        <v>12</v>
      </c>
      <c r="J37" s="72"/>
      <c r="K37" s="72"/>
      <c r="L37" s="72"/>
      <c r="M37" s="84"/>
      <c r="N37" s="84"/>
      <c r="O37" s="84"/>
      <c r="Q37" s="141" t="s">
        <v>1443</v>
      </c>
      <c r="R37" s="118" t="n">
        <f aca="false">$L$12</f>
        <v>12</v>
      </c>
      <c r="T37" s="72"/>
      <c r="U37" s="72"/>
      <c r="V37" s="72"/>
      <c r="W37" s="72"/>
      <c r="X37" s="72"/>
      <c r="Y37" s="72"/>
      <c r="Z37" s="72"/>
      <c r="AA37" s="72"/>
      <c r="AB37" s="72"/>
      <c r="AC37" s="72"/>
      <c r="AD37" s="72"/>
      <c r="AF37" s="141" t="s">
        <v>11</v>
      </c>
      <c r="AG37" s="77" t="n">
        <f aca="false">$AQ$28</f>
        <v>377.444444444444</v>
      </c>
      <c r="AH37" s="77" t="n">
        <f aca="false">AG37-($AG$43)</f>
        <v>450.083333333333</v>
      </c>
      <c r="AI37" s="6" t="n">
        <v>4</v>
      </c>
    </row>
    <row r="38" customFormat="false" ht="14.25" hidden="false" customHeight="true" outlineLevel="0" collapsed="false">
      <c r="A38" s="94" t="s">
        <v>30</v>
      </c>
      <c r="B38" s="95" t="n">
        <v>2</v>
      </c>
      <c r="C38" s="96" t="s">
        <v>1447</v>
      </c>
      <c r="D38" s="17" t="s">
        <v>1904</v>
      </c>
      <c r="E38" s="6"/>
      <c r="F38" s="32"/>
      <c r="G38" s="141" t="s">
        <v>1443</v>
      </c>
      <c r="H38" s="118" t="n">
        <f aca="false">$I$12</f>
        <v>10</v>
      </c>
      <c r="J38" s="72"/>
      <c r="K38" s="72"/>
      <c r="L38" s="72"/>
      <c r="M38" s="84"/>
      <c r="N38" s="84"/>
      <c r="O38" s="84"/>
      <c r="Q38" s="141" t="s">
        <v>30</v>
      </c>
      <c r="R38" s="118" t="n">
        <f aca="false">$L$3</f>
        <v>16</v>
      </c>
      <c r="T38" s="72"/>
      <c r="U38" s="72"/>
      <c r="V38" s="72"/>
      <c r="W38" s="72"/>
      <c r="X38" s="72"/>
      <c r="Y38" s="72"/>
      <c r="Z38" s="72"/>
      <c r="AA38" s="72"/>
      <c r="AB38" s="72"/>
      <c r="AC38" s="72"/>
      <c r="AD38" s="72"/>
      <c r="AF38" s="141" t="s">
        <v>30</v>
      </c>
      <c r="AG38" s="77" t="n">
        <f aca="false">$AQ$20</f>
        <v>138.083333333333</v>
      </c>
      <c r="AH38" s="77" t="n">
        <f aca="false">AG38-($AG$43)</f>
        <v>210.722222222222</v>
      </c>
      <c r="AI38" s="6" t="n">
        <v>5</v>
      </c>
    </row>
    <row r="39" customFormat="false" ht="14.25" hidden="false" customHeight="true" outlineLevel="0" collapsed="false">
      <c r="A39" s="94" t="s">
        <v>1443</v>
      </c>
      <c r="B39" s="95" t="n">
        <v>2</v>
      </c>
      <c r="C39" s="96" t="s">
        <v>1151</v>
      </c>
      <c r="D39" s="17" t="s">
        <v>1905</v>
      </c>
      <c r="E39" s="6"/>
      <c r="F39" s="32"/>
      <c r="G39" s="141" t="s">
        <v>1151</v>
      </c>
      <c r="H39" s="118" t="n">
        <f aca="false">$I$7</f>
        <v>7</v>
      </c>
      <c r="J39" s="72"/>
      <c r="K39" s="72"/>
      <c r="L39" s="72"/>
      <c r="M39" s="84"/>
      <c r="N39" s="84"/>
      <c r="O39" s="84"/>
      <c r="Q39" s="141" t="s">
        <v>42</v>
      </c>
      <c r="R39" s="118" t="n">
        <f aca="false">$L$4</f>
        <v>12</v>
      </c>
      <c r="T39" s="72"/>
      <c r="U39" s="72"/>
      <c r="V39" s="72"/>
      <c r="W39" s="72"/>
      <c r="X39" s="72"/>
      <c r="Y39" s="72"/>
      <c r="Z39" s="72"/>
      <c r="AA39" s="72"/>
      <c r="AB39" s="72"/>
      <c r="AC39" s="72"/>
      <c r="AD39" s="72"/>
      <c r="AF39" s="141" t="s">
        <v>43</v>
      </c>
      <c r="AG39" s="77" t="n">
        <f aca="false">$AQ$27</f>
        <v>96.8888888888889</v>
      </c>
      <c r="AH39" s="77" t="n">
        <f aca="false">AG39-($AG$43)</f>
        <v>169.527777777778</v>
      </c>
      <c r="AI39" s="6" t="n">
        <v>6</v>
      </c>
    </row>
    <row r="40" customFormat="false" ht="14.25" hidden="false" customHeight="true" outlineLevel="0" collapsed="false">
      <c r="A40" s="94" t="s">
        <v>1151</v>
      </c>
      <c r="B40" s="95" t="n">
        <v>1</v>
      </c>
      <c r="C40" s="96" t="s">
        <v>1443</v>
      </c>
      <c r="D40" s="17" t="s">
        <v>1906</v>
      </c>
      <c r="E40" s="6"/>
      <c r="F40" s="32"/>
      <c r="G40" s="141" t="s">
        <v>42</v>
      </c>
      <c r="H40" s="118" t="n">
        <f aca="false">$I$4</f>
        <v>6</v>
      </c>
      <c r="J40" s="72"/>
      <c r="K40" s="72"/>
      <c r="L40" s="72"/>
      <c r="M40" s="84"/>
      <c r="N40" s="84"/>
      <c r="O40" s="84"/>
      <c r="Q40" s="141" t="s">
        <v>1151</v>
      </c>
      <c r="R40" s="118" t="n">
        <f aca="false">$L$7</f>
        <v>10</v>
      </c>
      <c r="T40" s="72"/>
      <c r="U40" s="72"/>
      <c r="V40" s="72"/>
      <c r="W40" s="72"/>
      <c r="X40" s="72"/>
      <c r="Y40" s="72"/>
      <c r="Z40" s="72"/>
      <c r="AA40" s="72"/>
      <c r="AB40" s="72"/>
      <c r="AC40" s="72"/>
      <c r="AD40" s="72"/>
      <c r="AF40" s="141" t="s">
        <v>40</v>
      </c>
      <c r="AG40" s="77" t="n">
        <f aca="false">$AQ$22</f>
        <v>-53.5</v>
      </c>
      <c r="AH40" s="77" t="n">
        <f aca="false">AG40-($AG$43)</f>
        <v>19.1388888888889</v>
      </c>
      <c r="AI40" s="6" t="n">
        <v>7</v>
      </c>
    </row>
    <row r="41" customFormat="false" ht="14.25" hidden="false" customHeight="true" outlineLevel="0" collapsed="false">
      <c r="A41" s="94" t="s">
        <v>1151</v>
      </c>
      <c r="B41" s="95" t="n">
        <v>2</v>
      </c>
      <c r="C41" s="96" t="s">
        <v>30</v>
      </c>
      <c r="D41" s="17" t="s">
        <v>1907</v>
      </c>
      <c r="E41" s="6" t="n">
        <v>1</v>
      </c>
      <c r="F41" s="17"/>
      <c r="G41" s="141" t="s">
        <v>1447</v>
      </c>
      <c r="H41" s="118" t="n">
        <f aca="false">$I$9</f>
        <v>4</v>
      </c>
      <c r="J41" s="72"/>
      <c r="K41" s="72"/>
      <c r="L41" s="72"/>
      <c r="M41" s="84"/>
      <c r="N41" s="84"/>
      <c r="O41" s="84"/>
      <c r="Q41" s="141" t="s">
        <v>1447</v>
      </c>
      <c r="R41" s="118" t="n">
        <f aca="false">$L$9</f>
        <v>6</v>
      </c>
      <c r="T41" s="72"/>
      <c r="U41" s="72"/>
      <c r="V41" s="72"/>
      <c r="W41" s="72"/>
      <c r="X41" s="72"/>
      <c r="Y41" s="72"/>
      <c r="Z41" s="72"/>
      <c r="AA41" s="72"/>
      <c r="AB41" s="72"/>
      <c r="AC41" s="72"/>
      <c r="AD41" s="72"/>
      <c r="AF41" s="141" t="s">
        <v>1443</v>
      </c>
      <c r="AG41" s="77" t="n">
        <f aca="false">$AQ$29</f>
        <v>-10.0277777777778</v>
      </c>
      <c r="AH41" s="77" t="n">
        <f aca="false">AG41-($AG$43)</f>
        <v>62.6111111111111</v>
      </c>
      <c r="AI41" s="6" t="n">
        <v>8</v>
      </c>
    </row>
    <row r="42" customFormat="false" ht="14.25" hidden="false" customHeight="true" outlineLevel="0" collapsed="false">
      <c r="A42" s="94" t="s">
        <v>11</v>
      </c>
      <c r="B42" s="95" t="n">
        <v>2</v>
      </c>
      <c r="C42" s="96" t="s">
        <v>30</v>
      </c>
      <c r="D42" s="17" t="s">
        <v>1908</v>
      </c>
      <c r="E42" s="6" t="n">
        <v>1</v>
      </c>
      <c r="F42" s="32"/>
      <c r="G42" s="141" t="s">
        <v>43</v>
      </c>
      <c r="H42" s="118" t="n">
        <f aca="false">$I$10</f>
        <v>3</v>
      </c>
      <c r="J42" s="72"/>
      <c r="K42" s="72"/>
      <c r="L42" s="72"/>
      <c r="M42" s="84"/>
      <c r="N42" s="84"/>
      <c r="O42" s="84"/>
      <c r="Q42" s="141" t="s">
        <v>43</v>
      </c>
      <c r="R42" s="118" t="n">
        <f aca="false">$L$10</f>
        <v>3</v>
      </c>
      <c r="T42" s="72"/>
      <c r="U42" s="72"/>
      <c r="V42" s="72"/>
      <c r="W42" s="72"/>
      <c r="X42" s="72"/>
      <c r="Y42" s="72"/>
      <c r="Z42" s="72"/>
      <c r="AA42" s="72"/>
      <c r="AB42" s="72"/>
      <c r="AC42" s="72"/>
      <c r="AD42" s="72"/>
      <c r="AF42" s="141" t="s">
        <v>1154</v>
      </c>
      <c r="AG42" s="77" t="n">
        <f aca="false">$AQ$25</f>
        <v>-70</v>
      </c>
      <c r="AH42" s="77" t="n">
        <f aca="false">AG42-($AG$43)</f>
        <v>2.6388888888889</v>
      </c>
      <c r="AI42" s="6" t="n">
        <v>9</v>
      </c>
    </row>
    <row r="43" customFormat="false" ht="14.25" hidden="false" customHeight="true" outlineLevel="0" collapsed="false">
      <c r="A43" s="94" t="s">
        <v>1151</v>
      </c>
      <c r="B43" s="95" t="n">
        <v>1</v>
      </c>
      <c r="C43" s="96" t="s">
        <v>30</v>
      </c>
      <c r="D43" s="17" t="s">
        <v>1909</v>
      </c>
      <c r="E43" s="6" t="n">
        <v>1</v>
      </c>
      <c r="F43" s="32"/>
      <c r="G43" s="141" t="s">
        <v>1154</v>
      </c>
      <c r="H43" s="118" t="n">
        <f aca="false">$I$8</f>
        <v>2</v>
      </c>
      <c r="J43" s="72"/>
      <c r="K43" s="72"/>
      <c r="L43" s="72"/>
      <c r="M43" s="84"/>
      <c r="N43" s="84"/>
      <c r="O43" s="84"/>
      <c r="Q43" s="141" t="s">
        <v>1154</v>
      </c>
      <c r="R43" s="118" t="n">
        <f aca="false">$L$8</f>
        <v>4</v>
      </c>
      <c r="T43" s="72"/>
      <c r="U43" s="72"/>
      <c r="V43" s="72"/>
      <c r="W43" s="72"/>
      <c r="X43" s="72"/>
      <c r="Y43" s="72"/>
      <c r="Z43" s="72"/>
      <c r="AA43" s="72"/>
      <c r="AB43" s="72"/>
      <c r="AC43" s="72"/>
      <c r="AD43" s="72"/>
      <c r="AF43" s="141" t="s">
        <v>42</v>
      </c>
      <c r="AG43" s="77" t="n">
        <f aca="false">$AQ$21</f>
        <v>-72.6388888888889</v>
      </c>
      <c r="AH43" s="77" t="n">
        <f aca="false">AG43-($AG$43)</f>
        <v>0</v>
      </c>
      <c r="AI43" s="6" t="n">
        <v>10</v>
      </c>
    </row>
    <row r="44" customFormat="false" ht="14.25" hidden="false" customHeight="true" outlineLevel="0" collapsed="false">
      <c r="A44" s="94" t="s">
        <v>30</v>
      </c>
      <c r="B44" s="95" t="n">
        <v>1</v>
      </c>
      <c r="C44" s="96" t="s">
        <v>1151</v>
      </c>
      <c r="D44" s="17" t="s">
        <v>1910</v>
      </c>
      <c r="E44" s="6"/>
      <c r="F44" s="32"/>
      <c r="G44" s="141" t="s">
        <v>11</v>
      </c>
      <c r="H44" s="118" t="n">
        <f aca="false">$I$11</f>
        <v>2</v>
      </c>
      <c r="J44" s="72"/>
      <c r="K44" s="72"/>
      <c r="L44" s="72"/>
      <c r="M44" s="84"/>
      <c r="N44" s="84"/>
      <c r="O44" s="84"/>
      <c r="Q44" s="141" t="s">
        <v>11</v>
      </c>
      <c r="R44" s="118" t="n">
        <f aca="false">$L$11</f>
        <v>2</v>
      </c>
      <c r="T44" s="72"/>
      <c r="U44" s="72"/>
      <c r="V44" s="72"/>
      <c r="W44" s="72"/>
      <c r="X44" s="72"/>
      <c r="Y44" s="72"/>
      <c r="Z44" s="72"/>
      <c r="AA44" s="72"/>
      <c r="AB44" s="72"/>
      <c r="AC44" s="72"/>
      <c r="AD44" s="72"/>
    </row>
    <row r="45" customFormat="false" ht="14.25" hidden="false" customHeight="true" outlineLevel="0" collapsed="false">
      <c r="A45" s="94" t="s">
        <v>30</v>
      </c>
      <c r="B45" s="95" t="n">
        <v>2</v>
      </c>
      <c r="C45" s="96" t="s">
        <v>1443</v>
      </c>
      <c r="D45" s="17" t="s">
        <v>1911</v>
      </c>
      <c r="E45" s="6"/>
      <c r="F45" s="17"/>
      <c r="G45" s="141" t="s">
        <v>40</v>
      </c>
      <c r="H45" s="118" t="n">
        <f aca="false">$I$5</f>
        <v>2</v>
      </c>
      <c r="J45" s="72"/>
      <c r="K45" s="72"/>
      <c r="L45" s="72"/>
      <c r="M45" s="84"/>
      <c r="N45" s="84"/>
      <c r="O45" s="84"/>
      <c r="Q45" s="141" t="s">
        <v>40</v>
      </c>
      <c r="R45" s="118" t="n">
        <f aca="false">$L$5</f>
        <v>3</v>
      </c>
      <c r="T45" s="72"/>
      <c r="U45" s="72"/>
      <c r="V45" s="72"/>
      <c r="W45" s="72"/>
      <c r="X45" s="72"/>
      <c r="Y45" s="72"/>
      <c r="Z45" s="72"/>
      <c r="AA45" s="72"/>
      <c r="AB45" s="72"/>
      <c r="AC45" s="72"/>
      <c r="AD45" s="72"/>
    </row>
    <row r="46" customFormat="false" ht="14.25" hidden="false" customHeight="true" outlineLevel="0" collapsed="false">
      <c r="A46" s="94" t="s">
        <v>1443</v>
      </c>
      <c r="B46" s="95" t="n">
        <v>1</v>
      </c>
      <c r="C46" s="96" t="s">
        <v>30</v>
      </c>
      <c r="D46" s="17" t="s">
        <v>1912</v>
      </c>
      <c r="E46" s="6" t="n">
        <v>0</v>
      </c>
      <c r="F46" s="32"/>
      <c r="G46" s="141" t="s">
        <v>41</v>
      </c>
      <c r="H46" s="118" t="n">
        <f aca="false">$I$6</f>
        <v>0</v>
      </c>
      <c r="J46" s="72"/>
      <c r="K46" s="72"/>
      <c r="L46" s="72"/>
      <c r="M46" s="84"/>
      <c r="N46" s="84"/>
      <c r="O46" s="84"/>
      <c r="Q46" s="141" t="s">
        <v>41</v>
      </c>
      <c r="R46" s="118" t="n">
        <f aca="false">$L$6</f>
        <v>0</v>
      </c>
      <c r="T46" s="72"/>
      <c r="U46" s="72"/>
      <c r="V46" s="72"/>
      <c r="W46" s="72"/>
      <c r="X46" s="72"/>
      <c r="Y46" s="72"/>
      <c r="Z46" s="72"/>
      <c r="AA46" s="72"/>
      <c r="AB46" s="72"/>
      <c r="AC46" s="72"/>
      <c r="AD46" s="72"/>
      <c r="AF46" s="72"/>
      <c r="AG46" s="72"/>
      <c r="AH46" s="72"/>
    </row>
    <row r="47" customFormat="false" ht="14.25" hidden="false" customHeight="true" outlineLevel="0" collapsed="false">
      <c r="A47" s="94" t="s">
        <v>1151</v>
      </c>
      <c r="B47" s="95" t="n">
        <v>1</v>
      </c>
      <c r="C47" s="96" t="s">
        <v>30</v>
      </c>
      <c r="D47" s="17" t="s">
        <v>1913</v>
      </c>
      <c r="E47" s="6" t="n">
        <v>0</v>
      </c>
      <c r="F47" s="32"/>
      <c r="J47" s="72"/>
      <c r="K47" s="72"/>
      <c r="L47" s="72"/>
      <c r="M47" s="84"/>
      <c r="N47" s="84"/>
      <c r="O47" s="84"/>
      <c r="T47" s="72"/>
      <c r="U47" s="72"/>
      <c r="V47" s="72"/>
      <c r="W47" s="72"/>
      <c r="X47" s="72"/>
      <c r="Y47" s="72"/>
      <c r="Z47" s="72"/>
      <c r="AA47" s="72"/>
      <c r="AB47" s="72"/>
      <c r="AC47" s="72"/>
      <c r="AD47" s="72"/>
      <c r="AF47" s="72"/>
      <c r="AG47" s="72"/>
      <c r="AH47" s="72"/>
    </row>
    <row r="48" customFormat="false" ht="14.25" hidden="false" customHeight="true" outlineLevel="0" collapsed="false">
      <c r="A48" s="94" t="s">
        <v>30</v>
      </c>
      <c r="B48" s="95" t="n">
        <v>1</v>
      </c>
      <c r="C48" s="96" t="s">
        <v>1151</v>
      </c>
      <c r="D48" s="17" t="s">
        <v>1914</v>
      </c>
      <c r="E48" s="6"/>
      <c r="F48" s="32"/>
      <c r="J48" s="72"/>
      <c r="K48" s="72"/>
      <c r="L48" s="72"/>
      <c r="M48" s="84"/>
      <c r="N48" s="84"/>
      <c r="O48" s="84"/>
      <c r="T48" s="72"/>
      <c r="U48" s="72"/>
      <c r="V48" s="72"/>
      <c r="W48" s="72"/>
      <c r="X48" s="72"/>
      <c r="Y48" s="72"/>
      <c r="Z48" s="72"/>
      <c r="AA48" s="72"/>
      <c r="AB48" s="72"/>
      <c r="AC48" s="72"/>
      <c r="AD48" s="72"/>
      <c r="AF48" s="72"/>
      <c r="AG48" s="72"/>
      <c r="AH48" s="72"/>
    </row>
    <row r="49" customFormat="false" ht="14.25" hidden="false" customHeight="true" outlineLevel="0" collapsed="false">
      <c r="A49" s="94" t="s">
        <v>1447</v>
      </c>
      <c r="B49" s="95" t="n">
        <v>2</v>
      </c>
      <c r="C49" s="96" t="s">
        <v>1443</v>
      </c>
      <c r="D49" s="17" t="s">
        <v>1915</v>
      </c>
      <c r="E49" s="6"/>
      <c r="F49" s="32"/>
      <c r="J49" s="72"/>
      <c r="K49" s="72"/>
      <c r="L49" s="72"/>
      <c r="M49" s="84"/>
      <c r="N49" s="84"/>
      <c r="O49" s="84"/>
      <c r="P49" s="84"/>
      <c r="Q49" s="8"/>
      <c r="T49" s="72"/>
      <c r="U49" s="72"/>
      <c r="V49" s="72"/>
      <c r="W49" s="72"/>
      <c r="X49" s="72"/>
      <c r="Y49" s="72"/>
      <c r="Z49" s="72"/>
      <c r="AA49" s="72"/>
      <c r="AB49" s="72"/>
      <c r="AC49" s="72"/>
      <c r="AD49" s="72"/>
      <c r="AF49" s="72"/>
      <c r="AG49" s="72"/>
      <c r="AH49" s="72"/>
    </row>
    <row r="50" customFormat="false" ht="14.25" hidden="false" customHeight="true" outlineLevel="0" collapsed="false">
      <c r="D50" s="17"/>
      <c r="E50" s="6"/>
      <c r="F50" s="32"/>
      <c r="G50" s="141" t="s">
        <v>88</v>
      </c>
      <c r="H50" s="41" t="s">
        <v>18</v>
      </c>
      <c r="J50" s="72"/>
      <c r="K50" s="72"/>
      <c r="L50" s="72"/>
      <c r="M50" s="84"/>
      <c r="N50" s="84"/>
      <c r="O50" s="84"/>
      <c r="Q50" s="141" t="s">
        <v>88</v>
      </c>
      <c r="R50" s="41" t="s">
        <v>21</v>
      </c>
      <c r="T50" s="72"/>
      <c r="U50" s="72"/>
      <c r="V50" s="72"/>
      <c r="W50" s="72"/>
      <c r="X50" s="72"/>
      <c r="Y50" s="72"/>
      <c r="Z50" s="72"/>
      <c r="AA50" s="72"/>
      <c r="AB50" s="72"/>
      <c r="AC50" s="72"/>
      <c r="AD50" s="72"/>
      <c r="AF50" s="72"/>
      <c r="AG50" s="72"/>
      <c r="AH50" s="72"/>
    </row>
    <row r="51" customFormat="false" ht="14.25" hidden="false" customHeight="true" outlineLevel="0" collapsed="false">
      <c r="D51" s="17"/>
      <c r="E51" s="6"/>
      <c r="F51" s="32"/>
      <c r="G51" s="141" t="s">
        <v>41</v>
      </c>
      <c r="H51" s="145" t="n">
        <f aca="false">$J$6</f>
        <v>5</v>
      </c>
      <c r="J51" s="72"/>
      <c r="K51" s="72"/>
      <c r="L51" s="72"/>
      <c r="M51" s="84"/>
      <c r="N51" s="84"/>
      <c r="O51" s="84"/>
      <c r="Q51" s="141" t="s">
        <v>41</v>
      </c>
      <c r="R51" s="145" t="n">
        <f aca="false">$M$6</f>
        <v>0</v>
      </c>
      <c r="T51" s="72"/>
      <c r="U51" s="72"/>
      <c r="V51" s="72"/>
      <c r="W51" s="72"/>
      <c r="X51" s="72"/>
      <c r="Y51" s="72"/>
      <c r="Z51" s="72"/>
      <c r="AA51" s="72"/>
      <c r="AB51" s="72"/>
      <c r="AC51" s="72"/>
      <c r="AD51" s="72"/>
      <c r="AF51" s="72"/>
      <c r="AG51" s="72"/>
      <c r="AH51" s="72"/>
    </row>
    <row r="52" customFormat="false" ht="14.25" hidden="false" customHeight="true" outlineLevel="0" collapsed="false">
      <c r="F52" s="32"/>
      <c r="G52" s="141" t="s">
        <v>1447</v>
      </c>
      <c r="H52" s="145" t="n">
        <f aca="false">$J$9</f>
        <v>3</v>
      </c>
      <c r="J52" s="72"/>
      <c r="K52" s="72"/>
      <c r="L52" s="72"/>
      <c r="M52" s="84"/>
      <c r="N52" s="84"/>
      <c r="O52" s="84"/>
      <c r="Q52" s="141" t="s">
        <v>1447</v>
      </c>
      <c r="R52" s="145" t="n">
        <f aca="false">$M$9</f>
        <v>3.83333333333333</v>
      </c>
      <c r="T52" s="72"/>
      <c r="U52" s="72"/>
      <c r="V52" s="72"/>
      <c r="W52" s="72"/>
      <c r="X52" s="72"/>
      <c r="Y52" s="72"/>
      <c r="Z52" s="72"/>
      <c r="AA52" s="72"/>
      <c r="AB52" s="72"/>
      <c r="AC52" s="72"/>
      <c r="AD52" s="72"/>
      <c r="AF52" s="45" t="s">
        <v>194</v>
      </c>
      <c r="AG52" s="140" t="s">
        <v>16</v>
      </c>
      <c r="AH52" s="140" t="s">
        <v>17</v>
      </c>
      <c r="AI52" s="140" t="s">
        <v>18</v>
      </c>
      <c r="AJ52" s="140" t="s">
        <v>19</v>
      </c>
      <c r="AK52" s="140" t="s">
        <v>20</v>
      </c>
      <c r="AL52" s="140" t="s">
        <v>21</v>
      </c>
      <c r="AM52" s="140" t="s">
        <v>22</v>
      </c>
      <c r="AN52" s="140" t="s">
        <v>23</v>
      </c>
      <c r="AO52" s="140" t="s">
        <v>1884</v>
      </c>
    </row>
    <row r="53" customFormat="false" ht="14.25" hidden="false" customHeight="true" outlineLevel="0" collapsed="false">
      <c r="F53" s="32"/>
      <c r="G53" s="141" t="s">
        <v>11</v>
      </c>
      <c r="H53" s="145" t="n">
        <f aca="false">$J$11</f>
        <v>2.5</v>
      </c>
      <c r="J53" s="72"/>
      <c r="K53" s="72"/>
      <c r="L53" s="72"/>
      <c r="M53" s="84"/>
      <c r="N53" s="84"/>
      <c r="O53" s="84"/>
      <c r="Q53" s="141" t="s">
        <v>11</v>
      </c>
      <c r="R53" s="145" t="n">
        <f aca="false">$M$11</f>
        <v>5</v>
      </c>
      <c r="T53" s="72"/>
      <c r="U53" s="72"/>
      <c r="V53" s="72"/>
      <c r="W53" s="72"/>
      <c r="X53" s="72"/>
      <c r="Y53" s="72"/>
      <c r="Z53" s="72"/>
      <c r="AA53" s="72"/>
      <c r="AB53" s="72"/>
      <c r="AC53" s="72"/>
      <c r="AD53" s="72"/>
      <c r="AF53" s="33" t="s">
        <v>91</v>
      </c>
      <c r="AG53" s="56" t="n">
        <f aca="false">(20+18+16+4+5+6)/9</f>
        <v>7.66666666666667</v>
      </c>
      <c r="AH53" s="56" t="n">
        <f aca="false">-(9+5+6+7+8+9+10)/9</f>
        <v>-6</v>
      </c>
      <c r="AI53" s="56" t="n">
        <f aca="false">4*(3+15+6+14+9+10)/9</f>
        <v>25.3333333333333</v>
      </c>
      <c r="AJ53" s="56" t="n">
        <f aca="false">(30+9+24+7+1)/9</f>
        <v>7.88888888888889</v>
      </c>
      <c r="AK53" s="56" t="n">
        <f aca="false">-(3+15+14+8+18)/9</f>
        <v>-6.44444444444445</v>
      </c>
      <c r="AL53" s="56" t="n">
        <f aca="false">4*(10+18+8+12+6)/9</f>
        <v>24</v>
      </c>
      <c r="AM53" s="56" t="n">
        <f aca="false">5*(35+14)/9</f>
        <v>27.2222222222222</v>
      </c>
      <c r="AN53" s="56" t="n">
        <f aca="false">-5*(1+4+3+4+10+7+9)/9</f>
        <v>-21.1111111111111</v>
      </c>
      <c r="AO53" s="56" t="n">
        <v>4</v>
      </c>
      <c r="AP53" s="45" t="s">
        <v>1916</v>
      </c>
    </row>
    <row r="54" customFormat="false" ht="14.25" hidden="false" customHeight="true" outlineLevel="0" collapsed="false">
      <c r="F54" s="32"/>
      <c r="G54" s="141" t="s">
        <v>1151</v>
      </c>
      <c r="H54" s="145" t="n">
        <f aca="false">$J$7</f>
        <v>1.85714285714286</v>
      </c>
      <c r="J54" s="72"/>
      <c r="K54" s="72"/>
      <c r="L54" s="72"/>
      <c r="M54" s="84"/>
      <c r="N54" s="84"/>
      <c r="O54" s="84"/>
      <c r="Q54" s="141" t="s">
        <v>1151</v>
      </c>
      <c r="R54" s="145" t="n">
        <f aca="false">$M$7</f>
        <v>1.6</v>
      </c>
      <c r="T54" s="72"/>
      <c r="U54" s="72"/>
      <c r="V54" s="72"/>
      <c r="W54" s="72"/>
      <c r="X54" s="72"/>
      <c r="Y54" s="72"/>
      <c r="Z54" s="72"/>
      <c r="AA54" s="72"/>
      <c r="AB54" s="72"/>
      <c r="AC54" s="72"/>
      <c r="AD54" s="72"/>
      <c r="AF54" s="52" t="s">
        <v>111</v>
      </c>
      <c r="AG54" s="35" t="n">
        <f aca="false">$AG$53*H15</f>
        <v>34.5</v>
      </c>
      <c r="AH54" s="35" t="n">
        <f aca="false">$AH$53*I15</f>
        <v>-54</v>
      </c>
      <c r="AI54" s="35" t="n">
        <f aca="false">$AI$53*J15</f>
        <v>12.6666666666667</v>
      </c>
      <c r="AJ54" s="35" t="n">
        <f aca="false">$AJ$53*K15</f>
        <v>51.2777777777778</v>
      </c>
      <c r="AK54" s="35" t="n">
        <f aca="false">$AK$53*L15</f>
        <v>-90.2222222222222</v>
      </c>
      <c r="AL54" s="35" t="n">
        <f aca="false">$AL$53*M15</f>
        <v>11.1428571428571</v>
      </c>
      <c r="AM54" s="35" t="n">
        <f aca="false">$AM$53*N15</f>
        <v>39.320987654321</v>
      </c>
      <c r="AN54" s="35" t="n">
        <f aca="false">$AN$53*O15</f>
        <v>-32.8395061728395</v>
      </c>
      <c r="AO54" s="35" t="n">
        <f aca="false">SUM(H15:I15)*$AO$53</f>
        <v>54</v>
      </c>
      <c r="AP54" s="35" t="n">
        <f aca="false">SUM(AG54:AO54)</f>
        <v>25.8465608465608</v>
      </c>
    </row>
    <row r="55" customFormat="false" ht="14.25" hidden="false" customHeight="true" outlineLevel="0" collapsed="false">
      <c r="F55" s="32"/>
      <c r="G55" s="141" t="s">
        <v>43</v>
      </c>
      <c r="H55" s="145" t="n">
        <f aca="false">$J$10</f>
        <v>0.666666666666667</v>
      </c>
      <c r="J55" s="72"/>
      <c r="K55" s="72"/>
      <c r="L55" s="72"/>
      <c r="M55" s="84"/>
      <c r="N55" s="84"/>
      <c r="O55" s="84"/>
      <c r="Q55" s="141" t="s">
        <v>30</v>
      </c>
      <c r="R55" s="145" t="n">
        <f aca="false">$M$3</f>
        <v>0.75</v>
      </c>
      <c r="T55" s="72"/>
      <c r="U55" s="72"/>
      <c r="V55" s="72"/>
      <c r="W55" s="72"/>
      <c r="X55" s="72"/>
      <c r="Y55" s="72"/>
      <c r="Z55" s="72"/>
      <c r="AA55" s="72"/>
      <c r="AB55" s="72"/>
      <c r="AC55" s="72"/>
      <c r="AD55" s="72"/>
      <c r="AF55" s="33" t="s">
        <v>114</v>
      </c>
      <c r="AG55" s="35" t="n">
        <f aca="false">$AG$53*H16</f>
        <v>46</v>
      </c>
      <c r="AH55" s="35" t="n">
        <f aca="false">$AH$53*I16</f>
        <v>-18</v>
      </c>
      <c r="AI55" s="35" t="n">
        <f aca="false">$AI$53*J16</f>
        <v>50.6666666666667</v>
      </c>
      <c r="AJ55" s="35" t="n">
        <f aca="false">$AJ$53*K16</f>
        <v>42.0740740740741</v>
      </c>
      <c r="AK55" s="35" t="n">
        <f aca="false">$AK$53*L16</f>
        <v>-27.9259259259259</v>
      </c>
      <c r="AL55" s="35" t="n">
        <f aca="false">$AL$53*M16</f>
        <v>29.5384615384615</v>
      </c>
      <c r="AM55" s="35" t="n">
        <f aca="false">$AM$53*N16</f>
        <v>24.1975308641975</v>
      </c>
      <c r="AN55" s="35" t="n">
        <f aca="false">$AN$53*O16</f>
        <v>-30.4938271604938</v>
      </c>
      <c r="AO55" s="35" t="n">
        <f aca="false">SUM(H16:I16)*$AO$53</f>
        <v>36</v>
      </c>
      <c r="AP55" s="35" t="n">
        <f aca="false">SUM(AG55:AO55)</f>
        <v>152.05698005698</v>
      </c>
    </row>
    <row r="56" customFormat="false" ht="14.25" hidden="false" customHeight="true" outlineLevel="0" collapsed="false">
      <c r="F56" s="32"/>
      <c r="G56" s="141" t="s">
        <v>30</v>
      </c>
      <c r="H56" s="145" t="n">
        <f aca="false">$J$3</f>
        <v>0.666666666666667</v>
      </c>
      <c r="J56" s="72"/>
      <c r="K56" s="72"/>
      <c r="L56" s="72"/>
      <c r="M56" s="84"/>
      <c r="N56" s="84"/>
      <c r="O56" s="84"/>
      <c r="Q56" s="141" t="s">
        <v>43</v>
      </c>
      <c r="R56" s="145" t="n">
        <f aca="false">$M$10</f>
        <v>1</v>
      </c>
      <c r="T56" s="72"/>
      <c r="U56" s="72"/>
      <c r="V56" s="72"/>
      <c r="W56" s="72"/>
      <c r="X56" s="72"/>
      <c r="Y56" s="72"/>
      <c r="Z56" s="72"/>
      <c r="AA56" s="72"/>
      <c r="AB56" s="72"/>
      <c r="AC56" s="72"/>
      <c r="AD56" s="72"/>
      <c r="AF56" s="33" t="s">
        <v>117</v>
      </c>
      <c r="AG56" s="35" t="n">
        <f aca="false">$AG$53*H17</f>
        <v>46</v>
      </c>
      <c r="AH56" s="35" t="n">
        <f aca="false">$AH$53*I17</f>
        <v>-18</v>
      </c>
      <c r="AI56" s="35" t="n">
        <f aca="false">$AI$53*J17</f>
        <v>50.6666666666667</v>
      </c>
      <c r="AJ56" s="35" t="n">
        <f aca="false">$AJ$53*K17</f>
        <v>90.7222222222222</v>
      </c>
      <c r="AK56" s="35" t="n">
        <f aca="false">$AK$53*L17</f>
        <v>-32.2222222222222</v>
      </c>
      <c r="AL56" s="35" t="n">
        <f aca="false">$AL$53*M17</f>
        <v>55.2</v>
      </c>
      <c r="AM56" s="35" t="n">
        <f aca="false">$AM$53*N17</f>
        <v>52.1759259259259</v>
      </c>
      <c r="AN56" s="35" t="n">
        <f aca="false">$AN$53*O17</f>
        <v>-35.1851851851852</v>
      </c>
      <c r="AO56" s="35" t="n">
        <f aca="false">SUM(H17:I17)*$AO$53</f>
        <v>36</v>
      </c>
      <c r="AP56" s="35" t="n">
        <f aca="false">SUM(AG56:AO56)</f>
        <v>245.357407407407</v>
      </c>
    </row>
    <row r="57" customFormat="false" ht="14.25" hidden="false" customHeight="true" outlineLevel="0" collapsed="false">
      <c r="F57" s="32"/>
      <c r="G57" s="141" t="s">
        <v>1443</v>
      </c>
      <c r="H57" s="145" t="n">
        <f aca="false">$J$12</f>
        <v>0.2</v>
      </c>
      <c r="J57" s="72"/>
      <c r="K57" s="72"/>
      <c r="L57" s="72"/>
      <c r="M57" s="84"/>
      <c r="N57" s="84"/>
      <c r="O57" s="84"/>
      <c r="Q57" s="141" t="s">
        <v>1443</v>
      </c>
      <c r="R57" s="145" t="n">
        <f aca="false">$M$12</f>
        <v>0.25</v>
      </c>
      <c r="T57" s="72"/>
      <c r="U57" s="72"/>
      <c r="V57" s="72"/>
      <c r="W57" s="72"/>
      <c r="X57" s="72"/>
      <c r="Y57" s="72"/>
      <c r="Z57" s="72"/>
      <c r="AA57" s="72"/>
      <c r="AB57" s="72"/>
      <c r="AC57" s="72"/>
      <c r="AD57" s="72"/>
      <c r="AF57" s="33" t="s">
        <v>120</v>
      </c>
      <c r="AG57" s="35" t="n">
        <f aca="false">$AG$53*H18</f>
        <v>23</v>
      </c>
      <c r="AH57" s="35" t="n">
        <f aca="false">$AH$53*I18</f>
        <v>-30</v>
      </c>
      <c r="AI57" s="35" t="n">
        <f aca="false">$AI$53*J18</f>
        <v>15.2</v>
      </c>
      <c r="AJ57" s="35" t="n">
        <f aca="false">$AJ$53*K18</f>
        <v>42.0740740740741</v>
      </c>
      <c r="AK57" s="35" t="n">
        <f aca="false">$AK$53*L18</f>
        <v>-36.5185185185185</v>
      </c>
      <c r="AL57" s="35" t="n">
        <f aca="false">$AL$53*M18</f>
        <v>22.5882352941176</v>
      </c>
      <c r="AM57" s="35" t="n">
        <f aca="false">$AM$53*N18</f>
        <v>48.3950617283951</v>
      </c>
      <c r="AN57" s="35" t="n">
        <f aca="false">$AN$53*O18</f>
        <v>-23.9259259259259</v>
      </c>
      <c r="AO57" s="35" t="n">
        <f aca="false">SUM(H18:I18)*$AO$53</f>
        <v>32</v>
      </c>
      <c r="AP57" s="35" t="n">
        <f aca="false">SUM(AG57:AO57)</f>
        <v>92.8129266521423</v>
      </c>
    </row>
    <row r="58" customFormat="false" ht="14.25" hidden="false" customHeight="true" outlineLevel="0" collapsed="false">
      <c r="F58" s="32"/>
      <c r="G58" s="141" t="s">
        <v>42</v>
      </c>
      <c r="H58" s="145" t="n">
        <f aca="false">$J$4</f>
        <v>0.166666666666667</v>
      </c>
      <c r="J58" s="72"/>
      <c r="K58" s="72"/>
      <c r="L58" s="72"/>
      <c r="M58" s="84"/>
      <c r="N58" s="84"/>
      <c r="O58" s="84"/>
      <c r="Q58" s="141" t="s">
        <v>42</v>
      </c>
      <c r="R58" s="145" t="n">
        <f aca="false">$M$4</f>
        <v>0.0833333333333333</v>
      </c>
      <c r="T58" s="72"/>
      <c r="U58" s="72"/>
      <c r="V58" s="72"/>
      <c r="W58" s="72"/>
      <c r="X58" s="72"/>
      <c r="Y58" s="72"/>
      <c r="Z58" s="72"/>
      <c r="AA58" s="72"/>
      <c r="AB58" s="72"/>
      <c r="AC58" s="72"/>
      <c r="AD58" s="72"/>
    </row>
    <row r="59" customFormat="false" ht="14.25" hidden="false" customHeight="true" outlineLevel="0" collapsed="false">
      <c r="F59" s="32"/>
      <c r="G59" s="141" t="s">
        <v>40</v>
      </c>
      <c r="H59" s="145" t="n">
        <f aca="false">$J$5</f>
        <v>0</v>
      </c>
      <c r="J59" s="72"/>
      <c r="K59" s="72"/>
      <c r="L59" s="72"/>
      <c r="M59" s="84"/>
      <c r="N59" s="84"/>
      <c r="O59" s="84"/>
      <c r="Q59" s="141" t="s">
        <v>40</v>
      </c>
      <c r="R59" s="145" t="n">
        <f aca="false">$M$5</f>
        <v>0</v>
      </c>
      <c r="T59" s="72"/>
      <c r="U59" s="72"/>
      <c r="V59" s="72"/>
      <c r="W59" s="72"/>
      <c r="X59" s="72"/>
      <c r="Y59" s="72"/>
      <c r="Z59" s="72"/>
      <c r="AA59" s="72"/>
      <c r="AB59" s="72"/>
      <c r="AC59" s="72"/>
      <c r="AD59" s="72"/>
      <c r="AF59" s="74" t="s">
        <v>10</v>
      </c>
      <c r="AG59" s="75" t="s">
        <v>143</v>
      </c>
      <c r="AH59" s="75" t="s">
        <v>144</v>
      </c>
    </row>
    <row r="60" customFormat="false" ht="14.25" hidden="false" customHeight="true" outlineLevel="0" collapsed="false">
      <c r="F60" s="32"/>
      <c r="G60" s="141" t="s">
        <v>1154</v>
      </c>
      <c r="H60" s="145" t="n">
        <f aca="false">$J$8</f>
        <v>0</v>
      </c>
      <c r="J60" s="72"/>
      <c r="K60" s="72"/>
      <c r="L60" s="72"/>
      <c r="M60" s="84"/>
      <c r="N60" s="84"/>
      <c r="O60" s="84"/>
      <c r="Q60" s="141" t="s">
        <v>1154</v>
      </c>
      <c r="R60" s="145" t="n">
        <f aca="false">$M$8</f>
        <v>0</v>
      </c>
      <c r="T60" s="72"/>
      <c r="U60" s="72"/>
      <c r="V60" s="72"/>
      <c r="W60" s="72"/>
      <c r="X60" s="72"/>
      <c r="Y60" s="72"/>
      <c r="Z60" s="72"/>
      <c r="AA60" s="72"/>
      <c r="AB60" s="72"/>
      <c r="AC60" s="72"/>
      <c r="AD60" s="72"/>
      <c r="AF60" s="52" t="s">
        <v>117</v>
      </c>
      <c r="AG60" s="77" t="n">
        <f aca="false">$AP$56</f>
        <v>245.357407407407</v>
      </c>
      <c r="AH60" s="77" t="n">
        <f aca="false">AG60-($AG$63)</f>
        <v>219.510846560847</v>
      </c>
    </row>
    <row r="61" customFormat="false" ht="14.25" hidden="false" customHeight="true" outlineLevel="0" collapsed="false">
      <c r="F61" s="17"/>
      <c r="J61" s="72"/>
      <c r="K61" s="72"/>
      <c r="L61" s="72"/>
      <c r="M61" s="84"/>
      <c r="N61" s="84"/>
      <c r="O61" s="84"/>
      <c r="T61" s="72"/>
      <c r="U61" s="72"/>
      <c r="V61" s="72"/>
      <c r="W61" s="72"/>
      <c r="X61" s="72"/>
      <c r="Y61" s="72"/>
      <c r="Z61" s="72"/>
      <c r="AA61" s="72"/>
      <c r="AB61" s="72"/>
      <c r="AC61" s="72"/>
      <c r="AD61" s="72"/>
      <c r="AF61" s="33" t="s">
        <v>114</v>
      </c>
      <c r="AG61" s="77" t="n">
        <f aca="false">$AP$55</f>
        <v>152.05698005698</v>
      </c>
      <c r="AH61" s="77" t="n">
        <f aca="false">AG61-($AG$63)</f>
        <v>126.210419210419</v>
      </c>
    </row>
    <row r="62" customFormat="false" ht="14.25" hidden="false" customHeight="true" outlineLevel="0" collapsed="false">
      <c r="F62" s="32"/>
      <c r="J62" s="72"/>
      <c r="K62" s="72"/>
      <c r="L62" s="72"/>
      <c r="M62" s="84"/>
      <c r="N62" s="84"/>
      <c r="O62" s="84"/>
      <c r="T62" s="72"/>
      <c r="U62" s="72"/>
      <c r="V62" s="72"/>
      <c r="W62" s="72"/>
      <c r="X62" s="72"/>
      <c r="Y62" s="72"/>
      <c r="Z62" s="72"/>
      <c r="AA62" s="72"/>
      <c r="AB62" s="72"/>
      <c r="AC62" s="72"/>
      <c r="AD62" s="72"/>
      <c r="AF62" s="33" t="s">
        <v>120</v>
      </c>
      <c r="AG62" s="77" t="n">
        <f aca="false">$AP$57</f>
        <v>92.8129266521423</v>
      </c>
      <c r="AH62" s="77" t="n">
        <f aca="false">AG62-($AG$63)</f>
        <v>66.9663658055815</v>
      </c>
    </row>
    <row r="63" customFormat="false" ht="14.25" hidden="false" customHeight="true" outlineLevel="0" collapsed="false">
      <c r="F63" s="32"/>
      <c r="J63" s="72"/>
      <c r="K63" s="72"/>
      <c r="L63" s="72"/>
      <c r="M63" s="84"/>
      <c r="N63" s="84"/>
      <c r="O63" s="84"/>
      <c r="P63" s="84"/>
      <c r="Q63" s="8"/>
      <c r="T63" s="72"/>
      <c r="U63" s="72"/>
      <c r="V63" s="72"/>
      <c r="W63" s="72"/>
      <c r="X63" s="72"/>
      <c r="Y63" s="72"/>
      <c r="Z63" s="72"/>
      <c r="AA63" s="72"/>
      <c r="AB63" s="72"/>
      <c r="AC63" s="72"/>
      <c r="AD63" s="72"/>
      <c r="AF63" s="33" t="s">
        <v>111</v>
      </c>
      <c r="AG63" s="77" t="n">
        <f aca="false">$AP$54</f>
        <v>25.8465608465608</v>
      </c>
      <c r="AH63" s="77" t="n">
        <f aca="false">AG63-($AG$63)</f>
        <v>0</v>
      </c>
    </row>
    <row r="64" customFormat="false" ht="14.25" hidden="false" customHeight="true" outlineLevel="0" collapsed="false">
      <c r="F64" s="32"/>
      <c r="G64" s="141" t="s">
        <v>108</v>
      </c>
      <c r="H64" s="41" t="s">
        <v>16</v>
      </c>
      <c r="J64" s="72"/>
      <c r="K64" s="72"/>
      <c r="L64" s="72"/>
      <c r="M64" s="84"/>
      <c r="N64" s="84"/>
      <c r="O64" s="84"/>
      <c r="Q64" s="141" t="s">
        <v>108</v>
      </c>
      <c r="R64" s="41" t="s">
        <v>19</v>
      </c>
      <c r="T64" s="72"/>
      <c r="U64" s="72"/>
      <c r="V64" s="72"/>
      <c r="W64" s="72"/>
      <c r="X64" s="72"/>
      <c r="Y64" s="72"/>
      <c r="Z64" s="72"/>
      <c r="AA64" s="72"/>
      <c r="AB64" s="72"/>
      <c r="AC64" s="72"/>
      <c r="AD64" s="72"/>
    </row>
    <row r="65" customFormat="false" ht="14.25" hidden="false" customHeight="true" outlineLevel="0" collapsed="false">
      <c r="F65" s="32"/>
      <c r="G65" s="141" t="s">
        <v>120</v>
      </c>
      <c r="H65" s="69" t="n">
        <f aca="false">$H$18</f>
        <v>3</v>
      </c>
      <c r="J65" s="72"/>
      <c r="K65" s="72"/>
      <c r="L65" s="72"/>
      <c r="M65" s="84"/>
      <c r="N65" s="84"/>
      <c r="O65" s="84"/>
      <c r="Q65" s="141" t="s">
        <v>120</v>
      </c>
      <c r="R65" s="146" t="n">
        <f aca="false">$K$18</f>
        <v>5.33333333333333</v>
      </c>
      <c r="T65" s="72"/>
      <c r="U65" s="72"/>
      <c r="V65" s="72"/>
      <c r="W65" s="72"/>
      <c r="X65" s="72"/>
      <c r="Y65" s="72"/>
      <c r="Z65" s="72"/>
      <c r="AA65" s="72"/>
      <c r="AB65" s="72"/>
      <c r="AC65" s="72"/>
      <c r="AD65" s="72"/>
    </row>
    <row r="66" customFormat="false" ht="14.25" hidden="false" customHeight="true" outlineLevel="0" collapsed="false">
      <c r="F66" s="32"/>
      <c r="G66" s="141" t="s">
        <v>111</v>
      </c>
      <c r="H66" s="69" t="n">
        <f aca="false">$H$15</f>
        <v>4.5</v>
      </c>
      <c r="J66" s="72"/>
      <c r="K66" s="72"/>
      <c r="L66" s="72"/>
      <c r="M66" s="84"/>
      <c r="N66" s="84"/>
      <c r="O66" s="84"/>
      <c r="Q66" s="141" t="s">
        <v>111</v>
      </c>
      <c r="R66" s="146" t="n">
        <f aca="false">$K$15</f>
        <v>6.5</v>
      </c>
      <c r="T66" s="72"/>
      <c r="U66" s="72"/>
      <c r="V66" s="72"/>
      <c r="W66" s="72"/>
      <c r="X66" s="72"/>
      <c r="Y66" s="72"/>
      <c r="Z66" s="72"/>
      <c r="AA66" s="72"/>
      <c r="AB66" s="72"/>
      <c r="AC66" s="72"/>
      <c r="AD66" s="72"/>
    </row>
    <row r="67" customFormat="false" ht="14.25" hidden="false" customHeight="true" outlineLevel="0" collapsed="false">
      <c r="F67" s="32"/>
      <c r="G67" s="141" t="s">
        <v>117</v>
      </c>
      <c r="H67" s="69" t="n">
        <f aca="false">$H$17</f>
        <v>6</v>
      </c>
      <c r="J67" s="72"/>
      <c r="K67" s="72"/>
      <c r="L67" s="72"/>
      <c r="M67" s="84"/>
      <c r="N67" s="84"/>
      <c r="O67" s="84"/>
      <c r="Q67" s="141" t="s">
        <v>114</v>
      </c>
      <c r="R67" s="146" t="n">
        <f aca="false">$K$16</f>
        <v>5.33333333333333</v>
      </c>
      <c r="T67" s="72"/>
      <c r="U67" s="72"/>
      <c r="V67" s="72"/>
      <c r="W67" s="72"/>
      <c r="X67" s="72"/>
      <c r="Y67" s="72"/>
      <c r="Z67" s="72"/>
      <c r="AA67" s="72"/>
      <c r="AB67" s="72"/>
      <c r="AC67" s="72"/>
      <c r="AD67" s="72"/>
    </row>
    <row r="68" customFormat="false" ht="14.25" hidden="false" customHeight="true" outlineLevel="0" collapsed="false">
      <c r="F68" s="32"/>
      <c r="G68" s="141" t="s">
        <v>114</v>
      </c>
      <c r="H68" s="69" t="n">
        <f aca="false">$H$16</f>
        <v>6</v>
      </c>
      <c r="J68" s="72"/>
      <c r="K68" s="72"/>
      <c r="L68" s="72"/>
      <c r="M68" s="84"/>
      <c r="N68" s="84"/>
      <c r="O68" s="84"/>
      <c r="Q68" s="141" t="s">
        <v>117</v>
      </c>
      <c r="R68" s="146" t="n">
        <f aca="false">$K$17</f>
        <v>11.5</v>
      </c>
      <c r="T68" s="72"/>
      <c r="U68" s="72"/>
      <c r="V68" s="72"/>
      <c r="W68" s="72"/>
      <c r="X68" s="72"/>
      <c r="Y68" s="72"/>
      <c r="Z68" s="72"/>
      <c r="AA68" s="72"/>
      <c r="AB68" s="72"/>
      <c r="AC68" s="72"/>
      <c r="AD68" s="72"/>
      <c r="AF68" s="72"/>
      <c r="AG68" s="72"/>
      <c r="AH68" s="72"/>
    </row>
    <row r="69" customFormat="false" ht="14.25" hidden="false" customHeight="true" outlineLevel="0" collapsed="false">
      <c r="F69" s="32"/>
      <c r="J69" s="72"/>
      <c r="K69" s="72"/>
      <c r="L69" s="72"/>
      <c r="M69" s="84"/>
      <c r="N69" s="84"/>
      <c r="O69" s="84"/>
      <c r="P69" s="84"/>
      <c r="Q69" s="8"/>
      <c r="T69" s="72"/>
      <c r="U69" s="72"/>
      <c r="V69" s="72"/>
      <c r="W69" s="72"/>
      <c r="X69" s="72"/>
      <c r="Y69" s="72"/>
      <c r="Z69" s="72"/>
      <c r="AA69" s="72"/>
      <c r="AB69" s="72"/>
      <c r="AC69" s="72"/>
      <c r="AD69" s="72"/>
      <c r="AF69" s="72"/>
      <c r="AG69" s="72"/>
      <c r="AH69" s="72"/>
    </row>
    <row r="70" customFormat="false" ht="14.25" hidden="false" customHeight="true" outlineLevel="0" collapsed="false">
      <c r="F70" s="32"/>
      <c r="J70" s="72"/>
      <c r="K70" s="72"/>
      <c r="L70" s="72"/>
      <c r="M70" s="84"/>
      <c r="N70" s="84"/>
      <c r="O70" s="84"/>
      <c r="P70" s="84"/>
      <c r="Q70" s="8"/>
      <c r="T70" s="72"/>
      <c r="U70" s="72"/>
      <c r="V70" s="72"/>
      <c r="W70" s="72"/>
      <c r="X70" s="72"/>
      <c r="Y70" s="72"/>
      <c r="Z70" s="72"/>
      <c r="AA70" s="72"/>
      <c r="AB70" s="72"/>
      <c r="AC70" s="72"/>
      <c r="AD70" s="72"/>
      <c r="AF70" s="72"/>
      <c r="AG70" s="72"/>
      <c r="AH70" s="72"/>
    </row>
    <row r="71" customFormat="false" ht="14.25" hidden="false" customHeight="true" outlineLevel="0" collapsed="false">
      <c r="F71" s="17"/>
      <c r="J71" s="72"/>
      <c r="K71" s="72"/>
      <c r="L71" s="72"/>
      <c r="M71" s="84"/>
      <c r="N71" s="84"/>
      <c r="O71" s="84"/>
      <c r="P71" s="84"/>
      <c r="Q71" s="8"/>
      <c r="T71" s="72"/>
      <c r="U71" s="72"/>
      <c r="V71" s="72"/>
      <c r="W71" s="72"/>
      <c r="X71" s="72"/>
      <c r="Y71" s="72"/>
      <c r="Z71" s="72"/>
      <c r="AA71" s="72"/>
      <c r="AB71" s="72"/>
      <c r="AC71" s="72"/>
      <c r="AD71" s="72"/>
      <c r="AF71" s="72"/>
      <c r="AG71" s="72"/>
      <c r="AH71" s="72"/>
    </row>
    <row r="72" customFormat="false" ht="14.25" hidden="false" customHeight="true" outlineLevel="0" collapsed="false">
      <c r="F72" s="32"/>
      <c r="J72" s="72"/>
      <c r="K72" s="72"/>
      <c r="L72" s="72"/>
      <c r="M72" s="84"/>
      <c r="N72" s="84"/>
      <c r="O72" s="84"/>
      <c r="P72" s="84"/>
      <c r="Q72" s="8"/>
      <c r="T72" s="72"/>
      <c r="U72" s="72"/>
      <c r="V72" s="72"/>
      <c r="W72" s="72"/>
      <c r="X72" s="72"/>
      <c r="Y72" s="72"/>
      <c r="Z72" s="72"/>
      <c r="AA72" s="72"/>
      <c r="AB72" s="72"/>
      <c r="AC72" s="72"/>
      <c r="AD72" s="72"/>
      <c r="AG72" s="72"/>
      <c r="AH72" s="72"/>
    </row>
    <row r="73" customFormat="false" ht="14.25" hidden="false" customHeight="true" outlineLevel="0" collapsed="false">
      <c r="F73" s="32"/>
      <c r="G73" s="141" t="s">
        <v>108</v>
      </c>
      <c r="H73" s="41" t="s">
        <v>17</v>
      </c>
      <c r="J73" s="72"/>
      <c r="K73" s="72"/>
      <c r="L73" s="72"/>
      <c r="M73" s="84"/>
      <c r="N73" s="84"/>
      <c r="O73" s="84"/>
      <c r="Q73" s="141" t="s">
        <v>108</v>
      </c>
      <c r="R73" s="41" t="s">
        <v>20</v>
      </c>
      <c r="T73" s="72"/>
      <c r="U73" s="72"/>
      <c r="V73" s="72"/>
      <c r="W73" s="72"/>
      <c r="X73" s="72"/>
      <c r="Y73" s="72"/>
      <c r="Z73" s="72"/>
      <c r="AA73" s="72"/>
      <c r="AB73" s="72"/>
      <c r="AC73" s="72"/>
      <c r="AD73" s="72"/>
      <c r="AF73" s="72"/>
      <c r="AG73" s="72"/>
      <c r="AH73" s="72"/>
    </row>
    <row r="74" customFormat="false" ht="14.25" hidden="false" customHeight="true" outlineLevel="0" collapsed="false">
      <c r="F74" s="32"/>
      <c r="G74" s="141" t="s">
        <v>114</v>
      </c>
      <c r="H74" s="70" t="n">
        <f aca="false">$I$16</f>
        <v>3</v>
      </c>
      <c r="J74" s="72"/>
      <c r="K74" s="72"/>
      <c r="L74" s="72"/>
      <c r="M74" s="84"/>
      <c r="N74" s="84"/>
      <c r="O74" s="84"/>
      <c r="Q74" s="141" t="s">
        <v>114</v>
      </c>
      <c r="R74" s="70" t="n">
        <f aca="false">$L$16</f>
        <v>4.33333333333333</v>
      </c>
      <c r="T74" s="72"/>
      <c r="U74" s="72"/>
      <c r="V74" s="72"/>
      <c r="W74" s="72"/>
      <c r="X74" s="72"/>
      <c r="Y74" s="72"/>
      <c r="Z74" s="72"/>
      <c r="AA74" s="72"/>
      <c r="AB74" s="72"/>
      <c r="AC74" s="72"/>
      <c r="AD74" s="72"/>
      <c r="AE74" s="72"/>
      <c r="AF74" s="72"/>
      <c r="AG74" s="72"/>
      <c r="AH74" s="72"/>
    </row>
    <row r="75" customFormat="false" ht="14.25" hidden="false" customHeight="true" outlineLevel="0" collapsed="false">
      <c r="F75" s="32"/>
      <c r="G75" s="141" t="s">
        <v>117</v>
      </c>
      <c r="H75" s="70" t="n">
        <f aca="false">$I$17</f>
        <v>3</v>
      </c>
      <c r="J75" s="72"/>
      <c r="K75" s="72"/>
      <c r="L75" s="72"/>
      <c r="M75" s="84"/>
      <c r="N75" s="84"/>
      <c r="O75" s="84"/>
      <c r="Q75" s="141" t="s">
        <v>117</v>
      </c>
      <c r="R75" s="70" t="n">
        <f aca="false">$L$17</f>
        <v>5</v>
      </c>
      <c r="T75" s="72"/>
      <c r="U75" s="72"/>
      <c r="V75" s="72"/>
      <c r="W75" s="72"/>
      <c r="X75" s="72"/>
      <c r="Y75" s="72"/>
      <c r="Z75" s="72"/>
      <c r="AA75" s="72"/>
      <c r="AB75" s="72"/>
      <c r="AC75" s="72"/>
      <c r="AD75" s="72"/>
      <c r="AE75" s="72"/>
      <c r="AF75" s="72"/>
      <c r="AG75" s="72"/>
    </row>
    <row r="76" customFormat="false" ht="14.25" hidden="false" customHeight="true" outlineLevel="0" collapsed="false">
      <c r="F76" s="32"/>
      <c r="G76" s="141" t="s">
        <v>120</v>
      </c>
      <c r="H76" s="70" t="n">
        <f aca="false">$I$18</f>
        <v>5</v>
      </c>
      <c r="J76" s="72"/>
      <c r="K76" s="72"/>
      <c r="L76" s="72"/>
      <c r="M76" s="84"/>
      <c r="N76" s="84"/>
      <c r="O76" s="84"/>
      <c r="Q76" s="141" t="s">
        <v>120</v>
      </c>
      <c r="R76" s="70" t="n">
        <f aca="false">$L$18</f>
        <v>5.66666666666667</v>
      </c>
      <c r="T76" s="72"/>
      <c r="U76" s="72"/>
      <c r="V76" s="72"/>
      <c r="W76" s="72"/>
      <c r="X76" s="72"/>
      <c r="Y76" s="72"/>
      <c r="Z76" s="72"/>
      <c r="AA76" s="72"/>
      <c r="AB76" s="72"/>
      <c r="AC76" s="72"/>
      <c r="AD76" s="72"/>
      <c r="AE76" s="72"/>
      <c r="AF76" s="72"/>
      <c r="AG76" s="72"/>
    </row>
    <row r="77" customFormat="false" ht="14.25" hidden="false" customHeight="true" outlineLevel="0" collapsed="false">
      <c r="F77" s="32"/>
      <c r="G77" s="141" t="s">
        <v>111</v>
      </c>
      <c r="H77" s="70" t="n">
        <f aca="false">$I$15</f>
        <v>9</v>
      </c>
      <c r="J77" s="72"/>
      <c r="K77" s="72"/>
      <c r="L77" s="72"/>
      <c r="M77" s="84"/>
      <c r="N77" s="84"/>
      <c r="O77" s="84"/>
      <c r="Q77" s="141" t="s">
        <v>111</v>
      </c>
      <c r="R77" s="70" t="n">
        <f aca="false">$L$15</f>
        <v>14</v>
      </c>
      <c r="T77" s="72"/>
      <c r="U77" s="72"/>
      <c r="V77" s="72"/>
      <c r="W77" s="72"/>
      <c r="X77" s="72"/>
      <c r="Y77" s="72"/>
      <c r="Z77" s="72"/>
      <c r="AA77" s="72"/>
      <c r="AB77" s="72"/>
      <c r="AC77" s="72"/>
      <c r="AD77" s="72"/>
      <c r="AE77" s="72"/>
      <c r="AF77" s="72"/>
      <c r="AG77" s="72"/>
    </row>
    <row r="78" customFormat="false" ht="14.25" hidden="false" customHeight="true" outlineLevel="0" collapsed="false">
      <c r="F78" s="32"/>
      <c r="J78" s="72"/>
      <c r="K78" s="72"/>
      <c r="L78" s="72"/>
      <c r="M78" s="84"/>
      <c r="N78" s="84"/>
      <c r="O78" s="84"/>
      <c r="P78" s="84"/>
      <c r="Q78" s="8"/>
      <c r="T78" s="72"/>
      <c r="U78" s="72"/>
      <c r="V78" s="72"/>
      <c r="W78" s="72"/>
      <c r="X78" s="72"/>
      <c r="Y78" s="72"/>
      <c r="Z78" s="72"/>
      <c r="AA78" s="72"/>
      <c r="AB78" s="72"/>
      <c r="AC78" s="72"/>
      <c r="AD78" s="72"/>
      <c r="AE78" s="72"/>
      <c r="AF78" s="72"/>
      <c r="AG78" s="72"/>
    </row>
    <row r="79" customFormat="false" ht="14.25" hidden="false" customHeight="true" outlineLevel="0" collapsed="false">
      <c r="F79" s="32"/>
      <c r="J79" s="72"/>
      <c r="K79" s="72"/>
      <c r="L79" s="72"/>
      <c r="M79" s="84"/>
      <c r="N79" s="84"/>
      <c r="O79" s="84"/>
      <c r="P79" s="84"/>
      <c r="Q79" s="8"/>
      <c r="T79" s="72"/>
      <c r="U79" s="72"/>
      <c r="V79" s="72"/>
      <c r="W79" s="72"/>
      <c r="X79" s="72"/>
      <c r="Y79" s="72"/>
      <c r="Z79" s="72"/>
      <c r="AA79" s="72"/>
      <c r="AB79" s="72"/>
      <c r="AC79" s="72"/>
      <c r="AD79" s="72"/>
      <c r="AE79" s="72"/>
      <c r="AF79" s="72"/>
      <c r="AG79" s="72"/>
    </row>
    <row r="80" customFormat="false" ht="14.25" hidden="false" customHeight="true" outlineLevel="0" collapsed="false">
      <c r="F80" s="32"/>
      <c r="J80" s="72"/>
      <c r="K80" s="72"/>
      <c r="L80" s="72"/>
      <c r="M80" s="84"/>
      <c r="N80" s="84"/>
      <c r="O80" s="84"/>
      <c r="P80" s="84"/>
      <c r="Q80" s="8"/>
      <c r="T80" s="72"/>
      <c r="U80" s="72"/>
      <c r="V80" s="72"/>
      <c r="W80" s="72"/>
      <c r="X80" s="72"/>
      <c r="Y80" s="72"/>
      <c r="Z80" s="72"/>
      <c r="AA80" s="72"/>
      <c r="AB80" s="72"/>
      <c r="AC80" s="72"/>
      <c r="AD80" s="72"/>
      <c r="AE80" s="72"/>
      <c r="AF80" s="72"/>
      <c r="AG80" s="72"/>
    </row>
    <row r="81" customFormat="false" ht="14.25" hidden="false" customHeight="true" outlineLevel="0" collapsed="false">
      <c r="F81" s="17"/>
      <c r="J81" s="72"/>
      <c r="K81" s="72"/>
      <c r="L81" s="72"/>
      <c r="M81" s="84"/>
      <c r="N81" s="84"/>
      <c r="O81" s="84"/>
      <c r="P81" s="84"/>
      <c r="Q81" s="8"/>
      <c r="T81" s="72"/>
      <c r="U81" s="72"/>
      <c r="V81" s="72"/>
      <c r="W81" s="72"/>
      <c r="X81" s="72"/>
      <c r="Y81" s="72"/>
      <c r="Z81" s="72"/>
      <c r="AA81" s="72"/>
      <c r="AB81" s="72"/>
      <c r="AC81" s="72"/>
      <c r="AD81" s="72"/>
      <c r="AE81" s="72"/>
      <c r="AF81" s="72"/>
      <c r="AG81" s="72"/>
    </row>
    <row r="82" customFormat="false" ht="14.25" hidden="false" customHeight="true" outlineLevel="0" collapsed="false">
      <c r="F82" s="32"/>
      <c r="G82" s="141" t="s">
        <v>108</v>
      </c>
      <c r="H82" s="41" t="s">
        <v>18</v>
      </c>
      <c r="J82" s="72"/>
      <c r="K82" s="72"/>
      <c r="L82" s="72"/>
      <c r="M82" s="84"/>
      <c r="N82" s="84"/>
      <c r="O82" s="84"/>
      <c r="Q82" s="141" t="s">
        <v>108</v>
      </c>
      <c r="R82" s="41" t="s">
        <v>21</v>
      </c>
      <c r="T82" s="72"/>
      <c r="U82" s="72"/>
      <c r="V82" s="72"/>
      <c r="W82" s="72"/>
      <c r="X82" s="72"/>
      <c r="Y82" s="72"/>
      <c r="Z82" s="72"/>
      <c r="AA82" s="72"/>
      <c r="AB82" s="72"/>
      <c r="AC82" s="72"/>
      <c r="AD82" s="72"/>
      <c r="AE82" s="72"/>
      <c r="AF82" s="72"/>
      <c r="AG82" s="72"/>
    </row>
    <row r="83" customFormat="false" ht="14.25" hidden="false" customHeight="true" outlineLevel="0" collapsed="false">
      <c r="F83" s="32"/>
      <c r="G83" s="141" t="s">
        <v>111</v>
      </c>
      <c r="H83" s="145" t="n">
        <f aca="false">$J$15</f>
        <v>0.5</v>
      </c>
      <c r="J83" s="72"/>
      <c r="K83" s="72"/>
      <c r="L83" s="72"/>
      <c r="M83" s="84"/>
      <c r="N83" s="84"/>
      <c r="O83" s="84"/>
      <c r="Q83" s="141" t="s">
        <v>111</v>
      </c>
      <c r="R83" s="145" t="n">
        <f aca="false">$M$15</f>
        <v>0.464285714285714</v>
      </c>
      <c r="T83" s="72"/>
      <c r="U83" s="72"/>
      <c r="V83" s="72"/>
      <c r="W83" s="72"/>
      <c r="X83" s="72"/>
      <c r="Y83" s="72"/>
      <c r="Z83" s="72"/>
      <c r="AA83" s="72"/>
      <c r="AB83" s="72"/>
      <c r="AC83" s="72"/>
      <c r="AD83" s="72"/>
      <c r="AE83" s="72"/>
      <c r="AF83" s="72"/>
      <c r="AG83" s="72"/>
    </row>
    <row r="84" customFormat="false" ht="14.25" hidden="false" customHeight="true" outlineLevel="0" collapsed="false">
      <c r="F84" s="32"/>
      <c r="G84" s="141" t="s">
        <v>120</v>
      </c>
      <c r="H84" s="145" t="n">
        <f aca="false">$J$18</f>
        <v>0.6</v>
      </c>
      <c r="J84" s="72"/>
      <c r="K84" s="72"/>
      <c r="L84" s="72"/>
      <c r="M84" s="84"/>
      <c r="N84" s="84"/>
      <c r="O84" s="84"/>
      <c r="Q84" s="141" t="s">
        <v>120</v>
      </c>
      <c r="R84" s="145" t="n">
        <f aca="false">$M$18</f>
        <v>0.941176470588235</v>
      </c>
      <c r="T84" s="72"/>
      <c r="U84" s="72"/>
      <c r="V84" s="72"/>
      <c r="W84" s="72"/>
      <c r="X84" s="72"/>
      <c r="Y84" s="72"/>
      <c r="Z84" s="72"/>
      <c r="AA84" s="72"/>
      <c r="AB84" s="72"/>
      <c r="AC84" s="72"/>
      <c r="AD84" s="72"/>
      <c r="AE84" s="72"/>
      <c r="AF84" s="72"/>
      <c r="AG84" s="72"/>
    </row>
    <row r="85" customFormat="false" ht="14.25" hidden="false" customHeight="true" outlineLevel="0" collapsed="false">
      <c r="F85" s="32"/>
      <c r="G85" s="141" t="s">
        <v>117</v>
      </c>
      <c r="H85" s="145" t="n">
        <f aca="false">$J$17</f>
        <v>2</v>
      </c>
      <c r="J85" s="72"/>
      <c r="K85" s="72"/>
      <c r="L85" s="72"/>
      <c r="M85" s="84"/>
      <c r="N85" s="84"/>
      <c r="O85" s="84"/>
      <c r="Q85" s="141" t="s">
        <v>114</v>
      </c>
      <c r="R85" s="145" t="n">
        <f aca="false">$M$16</f>
        <v>1.23076923076923</v>
      </c>
      <c r="T85" s="72"/>
      <c r="U85" s="72"/>
      <c r="V85" s="72"/>
      <c r="W85" s="72"/>
      <c r="X85" s="72"/>
      <c r="Y85" s="72"/>
      <c r="Z85" s="72"/>
      <c r="AA85" s="72"/>
      <c r="AB85" s="72"/>
      <c r="AC85" s="72"/>
      <c r="AD85" s="72"/>
      <c r="AE85" s="72"/>
      <c r="AF85" s="72"/>
      <c r="AG85" s="72"/>
      <c r="AJ85" s="72"/>
      <c r="AK85" s="84"/>
    </row>
    <row r="86" customFormat="false" ht="14.25" hidden="false" customHeight="true" outlineLevel="0" collapsed="false">
      <c r="F86" s="32"/>
      <c r="G86" s="141" t="s">
        <v>114</v>
      </c>
      <c r="H86" s="145" t="n">
        <f aca="false">$J$16</f>
        <v>2</v>
      </c>
      <c r="J86" s="72"/>
      <c r="K86" s="72"/>
      <c r="L86" s="72"/>
      <c r="M86" s="84"/>
      <c r="N86" s="84"/>
      <c r="O86" s="84"/>
      <c r="Q86" s="141" t="s">
        <v>117</v>
      </c>
      <c r="R86" s="145" t="n">
        <f aca="false">$M$17</f>
        <v>2.3</v>
      </c>
      <c r="T86" s="72"/>
      <c r="U86" s="72"/>
      <c r="V86" s="72"/>
      <c r="W86" s="72"/>
      <c r="X86" s="72"/>
      <c r="Y86" s="72"/>
      <c r="Z86" s="72"/>
      <c r="AA86" s="72"/>
      <c r="AB86" s="72"/>
      <c r="AC86" s="72"/>
      <c r="AD86" s="72"/>
      <c r="AE86" s="72"/>
      <c r="AF86" s="72"/>
      <c r="AG86" s="72"/>
      <c r="AJ86" s="72"/>
      <c r="AK86" s="84"/>
    </row>
    <row r="87" customFormat="false" ht="14.25" hidden="false" customHeight="true" outlineLevel="0" collapsed="false">
      <c r="F87" s="32"/>
      <c r="J87" s="72"/>
      <c r="K87" s="72"/>
      <c r="L87" s="72"/>
      <c r="M87" s="84"/>
      <c r="N87" s="84"/>
      <c r="O87" s="84"/>
      <c r="P87" s="84"/>
      <c r="Q87" s="8"/>
      <c r="T87" s="72"/>
      <c r="U87" s="72"/>
      <c r="V87" s="72"/>
      <c r="W87" s="72"/>
      <c r="X87" s="72"/>
      <c r="Y87" s="72"/>
      <c r="Z87" s="72"/>
      <c r="AA87" s="72"/>
      <c r="AB87" s="72"/>
      <c r="AC87" s="72"/>
      <c r="AD87" s="72"/>
      <c r="AE87" s="72"/>
      <c r="AF87" s="72"/>
      <c r="AG87" s="72"/>
      <c r="AJ87" s="72"/>
      <c r="AK87" s="84"/>
    </row>
    <row r="88" customFormat="false" ht="14.25" hidden="false" customHeight="true" outlineLevel="0" collapsed="false">
      <c r="F88" s="32"/>
      <c r="J88" s="72"/>
      <c r="K88" s="72"/>
      <c r="L88" s="72"/>
      <c r="M88" s="84"/>
      <c r="N88" s="84"/>
      <c r="O88" s="84"/>
      <c r="P88" s="84"/>
      <c r="Q88" s="8"/>
      <c r="T88" s="72"/>
      <c r="U88" s="72"/>
      <c r="V88" s="72"/>
      <c r="W88" s="72"/>
      <c r="X88" s="72"/>
      <c r="Y88" s="72"/>
      <c r="Z88" s="72"/>
      <c r="AA88" s="72"/>
      <c r="AB88" s="72"/>
      <c r="AC88" s="72"/>
      <c r="AD88" s="72"/>
      <c r="AE88" s="72"/>
      <c r="AF88" s="72"/>
      <c r="AG88" s="72"/>
      <c r="AJ88" s="72"/>
      <c r="AK88" s="84"/>
    </row>
    <row r="89" customFormat="false" ht="14.25" hidden="false" customHeight="true" outlineLevel="0" collapsed="false">
      <c r="F89" s="32"/>
      <c r="J89" s="72"/>
      <c r="K89" s="72"/>
      <c r="L89" s="72"/>
      <c r="M89" s="84"/>
      <c r="N89" s="84"/>
      <c r="O89" s="84"/>
      <c r="P89" s="84"/>
      <c r="Q89" s="8"/>
      <c r="T89" s="72"/>
      <c r="U89" s="72"/>
      <c r="V89" s="72"/>
      <c r="W89" s="72"/>
      <c r="X89" s="72"/>
      <c r="Y89" s="72"/>
      <c r="Z89" s="72"/>
      <c r="AA89" s="72"/>
      <c r="AB89" s="72"/>
      <c r="AC89" s="72"/>
      <c r="AD89" s="72"/>
      <c r="AE89" s="72"/>
      <c r="AF89" s="72"/>
      <c r="AG89" s="72"/>
      <c r="AJ89" s="72"/>
      <c r="AK89" s="84"/>
    </row>
    <row r="90" customFormat="false" ht="14.25" hidden="false" customHeight="true" outlineLevel="0" collapsed="false">
      <c r="F90" s="32"/>
      <c r="J90" s="72"/>
      <c r="K90" s="72"/>
      <c r="L90" s="72"/>
      <c r="M90" s="84"/>
      <c r="N90" s="84"/>
      <c r="O90" s="84"/>
      <c r="P90" s="84"/>
      <c r="Q90" s="8"/>
      <c r="T90" s="72"/>
      <c r="U90" s="72"/>
      <c r="V90" s="72"/>
      <c r="W90" s="72"/>
      <c r="X90" s="72"/>
      <c r="Y90" s="72"/>
      <c r="Z90" s="72"/>
      <c r="AA90" s="72"/>
      <c r="AB90" s="72"/>
      <c r="AC90" s="72"/>
      <c r="AD90" s="72"/>
      <c r="AE90" s="72"/>
      <c r="AF90" s="72"/>
      <c r="AG90" s="72"/>
      <c r="AJ90" s="72"/>
      <c r="AK90" s="84"/>
    </row>
    <row r="91" customFormat="false" ht="14.25" hidden="false" customHeight="true" outlineLevel="0" collapsed="false">
      <c r="F91" s="32"/>
      <c r="J91" s="72"/>
      <c r="K91" s="72"/>
      <c r="L91" s="72"/>
      <c r="M91" s="84"/>
      <c r="N91" s="84"/>
      <c r="O91" s="84"/>
      <c r="P91" s="84"/>
      <c r="Q91" s="8"/>
      <c r="T91" s="72"/>
      <c r="U91" s="72"/>
      <c r="V91" s="72"/>
      <c r="W91" s="72"/>
      <c r="X91" s="72"/>
      <c r="Y91" s="72"/>
      <c r="Z91" s="72"/>
      <c r="AA91" s="72"/>
      <c r="AB91" s="72"/>
      <c r="AC91" s="72"/>
      <c r="AD91" s="72"/>
      <c r="AE91" s="72"/>
      <c r="AF91" s="72"/>
      <c r="AG91" s="72"/>
      <c r="AJ91" s="72"/>
      <c r="AK91" s="84"/>
    </row>
    <row r="92" customFormat="false" ht="14.25" hidden="false" customHeight="true" outlineLevel="0" collapsed="false">
      <c r="F92" s="32"/>
      <c r="J92" s="72"/>
      <c r="K92" s="72"/>
      <c r="L92" s="72"/>
      <c r="M92" s="84"/>
      <c r="N92" s="84"/>
      <c r="O92" s="84"/>
      <c r="P92" s="84"/>
      <c r="Q92" s="8"/>
      <c r="T92" s="72"/>
      <c r="U92" s="72"/>
      <c r="V92" s="72"/>
      <c r="W92" s="72"/>
      <c r="X92" s="72"/>
      <c r="Y92" s="72"/>
      <c r="Z92" s="72"/>
      <c r="AA92" s="72"/>
      <c r="AB92" s="72"/>
      <c r="AC92" s="72"/>
      <c r="AD92" s="72"/>
      <c r="AE92" s="72"/>
      <c r="AF92" s="72"/>
      <c r="AG92" s="72"/>
      <c r="AJ92" s="72"/>
      <c r="AK92" s="84"/>
    </row>
    <row r="93" customFormat="false" ht="14.25" hidden="false" customHeight="true" outlineLevel="0" collapsed="false">
      <c r="F93" s="32"/>
      <c r="J93" s="72"/>
      <c r="K93" s="72"/>
      <c r="L93" s="72"/>
      <c r="M93" s="84"/>
      <c r="N93" s="84"/>
      <c r="O93" s="84"/>
      <c r="P93" s="84"/>
      <c r="Q93" s="8"/>
      <c r="T93" s="72"/>
      <c r="U93" s="72"/>
      <c r="V93" s="72"/>
      <c r="W93" s="72"/>
      <c r="X93" s="72"/>
      <c r="Y93" s="72"/>
      <c r="Z93" s="72"/>
      <c r="AA93" s="72"/>
      <c r="AB93" s="72"/>
      <c r="AC93" s="72"/>
      <c r="AD93" s="72"/>
      <c r="AE93" s="72"/>
      <c r="AF93" s="72"/>
      <c r="AG93" s="72"/>
      <c r="AJ93" s="72"/>
      <c r="AK93" s="84"/>
    </row>
    <row r="94" customFormat="false" ht="14.25" hidden="false" customHeight="true" outlineLevel="0" collapsed="false">
      <c r="F94" s="32"/>
      <c r="J94" s="72"/>
      <c r="K94" s="72"/>
      <c r="L94" s="72"/>
      <c r="M94" s="84"/>
      <c r="N94" s="84"/>
      <c r="O94" s="84"/>
      <c r="P94" s="84"/>
      <c r="Q94" s="8"/>
      <c r="T94" s="72"/>
      <c r="U94" s="72"/>
      <c r="V94" s="72"/>
      <c r="W94" s="72"/>
      <c r="X94" s="72"/>
      <c r="Y94" s="72"/>
      <c r="Z94" s="72"/>
      <c r="AA94" s="72"/>
      <c r="AB94" s="72"/>
      <c r="AC94" s="72"/>
      <c r="AD94" s="72"/>
      <c r="AE94" s="72"/>
      <c r="AF94" s="72"/>
      <c r="AG94" s="72"/>
      <c r="AJ94" s="72"/>
      <c r="AK94" s="84"/>
    </row>
    <row r="95" customFormat="false" ht="14.25" hidden="false" customHeight="true" outlineLevel="0" collapsed="false">
      <c r="F95" s="32"/>
      <c r="J95" s="72"/>
      <c r="K95" s="72"/>
      <c r="L95" s="72"/>
      <c r="M95" s="84"/>
      <c r="N95" s="84"/>
      <c r="O95" s="84"/>
      <c r="P95" s="84"/>
      <c r="Q95" s="8"/>
      <c r="T95" s="72"/>
      <c r="U95" s="72"/>
      <c r="V95" s="72"/>
      <c r="W95" s="72"/>
      <c r="X95" s="72"/>
      <c r="Y95" s="72"/>
      <c r="Z95" s="72"/>
      <c r="AA95" s="72"/>
      <c r="AB95" s="72"/>
      <c r="AC95" s="72"/>
      <c r="AD95" s="72"/>
      <c r="AE95" s="72"/>
      <c r="AF95" s="72"/>
      <c r="AG95" s="72"/>
      <c r="AJ95" s="72"/>
      <c r="AK95" s="84"/>
    </row>
    <row r="96" customFormat="false" ht="14.25" hidden="false" customHeight="true" outlineLevel="0" collapsed="false">
      <c r="F96" s="32"/>
      <c r="J96" s="72"/>
      <c r="K96" s="72"/>
      <c r="L96" s="72"/>
      <c r="M96" s="84"/>
      <c r="N96" s="84"/>
      <c r="O96" s="84"/>
      <c r="P96" s="84"/>
      <c r="Q96" s="8"/>
      <c r="T96" s="72"/>
      <c r="U96" s="72"/>
      <c r="V96" s="72"/>
      <c r="W96" s="72"/>
      <c r="X96" s="72"/>
      <c r="Y96" s="72"/>
      <c r="Z96" s="72"/>
      <c r="AA96" s="72"/>
      <c r="AB96" s="72"/>
      <c r="AC96" s="72"/>
      <c r="AD96" s="72"/>
      <c r="AE96" s="72"/>
      <c r="AF96" s="72"/>
      <c r="AG96" s="72"/>
      <c r="AJ96" s="72"/>
      <c r="AK96" s="84"/>
    </row>
    <row r="97" customFormat="false" ht="14.25" hidden="false" customHeight="true" outlineLevel="0" collapsed="false">
      <c r="F97" s="32"/>
      <c r="J97" s="72"/>
      <c r="K97" s="72"/>
      <c r="L97" s="72"/>
      <c r="M97" s="84"/>
      <c r="N97" s="84"/>
      <c r="O97" s="84"/>
      <c r="P97" s="84"/>
      <c r="Q97" s="8"/>
      <c r="T97" s="72"/>
      <c r="U97" s="72"/>
      <c r="V97" s="72"/>
      <c r="W97" s="72"/>
      <c r="X97" s="72"/>
      <c r="Y97" s="72"/>
      <c r="Z97" s="72"/>
      <c r="AA97" s="72"/>
      <c r="AB97" s="72"/>
      <c r="AC97" s="72"/>
      <c r="AD97" s="72"/>
      <c r="AE97" s="72"/>
      <c r="AF97" s="72"/>
      <c r="AG97" s="72"/>
      <c r="AJ97" s="72"/>
      <c r="AK97" s="84"/>
    </row>
    <row r="98" customFormat="false" ht="14.25" hidden="false" customHeight="true" outlineLevel="0" collapsed="false">
      <c r="F98" s="32"/>
      <c r="J98" s="72"/>
      <c r="K98" s="72"/>
      <c r="L98" s="72"/>
      <c r="M98" s="84"/>
      <c r="N98" s="84"/>
      <c r="O98" s="84"/>
      <c r="P98" s="84"/>
      <c r="Q98" s="8"/>
      <c r="T98" s="72"/>
      <c r="U98" s="72"/>
      <c r="V98" s="72"/>
      <c r="W98" s="72"/>
      <c r="X98" s="72"/>
      <c r="Y98" s="72"/>
      <c r="Z98" s="72"/>
      <c r="AA98" s="72"/>
      <c r="AB98" s="72"/>
      <c r="AC98" s="72"/>
      <c r="AD98" s="72"/>
      <c r="AE98" s="72"/>
      <c r="AF98" s="72"/>
      <c r="AG98" s="72"/>
      <c r="AJ98" s="72"/>
      <c r="AK98" s="84"/>
    </row>
    <row r="99" customFormat="false" ht="14.25" hidden="false" customHeight="true" outlineLevel="0" collapsed="false">
      <c r="F99" s="32"/>
      <c r="J99" s="72"/>
      <c r="K99" s="72"/>
      <c r="L99" s="72"/>
      <c r="M99" s="84"/>
      <c r="N99" s="84"/>
      <c r="O99" s="84"/>
      <c r="P99" s="84"/>
      <c r="Q99" s="8"/>
      <c r="T99" s="72"/>
      <c r="U99" s="72"/>
      <c r="V99" s="72"/>
      <c r="W99" s="72"/>
      <c r="X99" s="72"/>
      <c r="Y99" s="72"/>
      <c r="Z99" s="72"/>
      <c r="AA99" s="72"/>
      <c r="AB99" s="72"/>
      <c r="AC99" s="72"/>
      <c r="AD99" s="72"/>
      <c r="AE99" s="72"/>
      <c r="AF99" s="72"/>
      <c r="AG99" s="72"/>
      <c r="AJ99" s="72"/>
      <c r="AK99" s="84"/>
    </row>
    <row r="100" customFormat="false" ht="14.25" hidden="false" customHeight="true" outlineLevel="0" collapsed="false">
      <c r="F100" s="32"/>
      <c r="J100" s="72"/>
      <c r="K100" s="72"/>
      <c r="L100" s="72"/>
      <c r="M100" s="84"/>
      <c r="N100" s="84"/>
      <c r="O100" s="84"/>
      <c r="P100" s="84"/>
      <c r="Q100" s="8"/>
      <c r="T100" s="72"/>
      <c r="U100" s="72"/>
      <c r="V100" s="72"/>
      <c r="W100" s="72"/>
      <c r="X100" s="72"/>
      <c r="Y100" s="72"/>
      <c r="Z100" s="72"/>
      <c r="AA100" s="72"/>
      <c r="AB100" s="72"/>
      <c r="AC100" s="72"/>
      <c r="AD100" s="72"/>
      <c r="AE100" s="72"/>
      <c r="AF100" s="72"/>
      <c r="AG100" s="72"/>
      <c r="AJ100" s="72"/>
      <c r="AK100" s="84"/>
    </row>
    <row r="101" customFormat="false" ht="14.25" hidden="false" customHeight="true" outlineLevel="0" collapsed="false">
      <c r="F101" s="32"/>
      <c r="J101" s="72"/>
      <c r="K101" s="72"/>
      <c r="L101" s="72"/>
      <c r="M101" s="84"/>
      <c r="N101" s="84"/>
      <c r="O101" s="84"/>
      <c r="P101" s="84"/>
      <c r="Q101" s="8"/>
      <c r="T101" s="72"/>
      <c r="U101" s="72"/>
      <c r="V101" s="72"/>
      <c r="W101" s="72"/>
      <c r="X101" s="72"/>
      <c r="Y101" s="72"/>
      <c r="Z101" s="72"/>
      <c r="AA101" s="72"/>
      <c r="AB101" s="72"/>
      <c r="AC101" s="72"/>
      <c r="AD101" s="72"/>
      <c r="AE101" s="72"/>
      <c r="AF101" s="72"/>
      <c r="AG101" s="72"/>
      <c r="AJ101" s="72"/>
      <c r="AK101" s="84"/>
    </row>
    <row r="102" customFormat="false" ht="14.25" hidden="false" customHeight="true" outlineLevel="0" collapsed="false">
      <c r="F102" s="32"/>
      <c r="J102" s="72"/>
      <c r="K102" s="72"/>
      <c r="L102" s="72"/>
      <c r="M102" s="84"/>
      <c r="N102" s="84"/>
      <c r="O102" s="84"/>
      <c r="P102" s="84"/>
      <c r="Q102" s="8"/>
      <c r="T102" s="72"/>
      <c r="U102" s="72"/>
      <c r="V102" s="72"/>
      <c r="W102" s="72"/>
      <c r="X102" s="72"/>
      <c r="Y102" s="72"/>
      <c r="Z102" s="72"/>
      <c r="AA102" s="72"/>
      <c r="AB102" s="72"/>
      <c r="AC102" s="72"/>
      <c r="AD102" s="72"/>
      <c r="AE102" s="72"/>
      <c r="AF102" s="72"/>
      <c r="AG102" s="72"/>
      <c r="AJ102" s="72"/>
      <c r="AK102" s="84"/>
    </row>
    <row r="103" customFormat="false" ht="14.25" hidden="false" customHeight="true" outlineLevel="0" collapsed="false">
      <c r="F103" s="32"/>
      <c r="J103" s="72"/>
      <c r="K103" s="72"/>
      <c r="L103" s="72"/>
      <c r="M103" s="84"/>
      <c r="N103" s="84"/>
      <c r="O103" s="84"/>
      <c r="P103" s="84"/>
      <c r="Q103" s="8"/>
      <c r="T103" s="72"/>
      <c r="U103" s="72"/>
      <c r="V103" s="72"/>
      <c r="W103" s="72"/>
      <c r="X103" s="72"/>
      <c r="Y103" s="72"/>
      <c r="Z103" s="72"/>
      <c r="AA103" s="72"/>
      <c r="AB103" s="72"/>
      <c r="AC103" s="72"/>
      <c r="AD103" s="72"/>
      <c r="AE103" s="72"/>
      <c r="AF103" s="72"/>
      <c r="AG103" s="72"/>
      <c r="AJ103" s="72"/>
      <c r="AK103" s="84"/>
    </row>
    <row r="104" customFormat="false" ht="14.25" hidden="false" customHeight="true" outlineLevel="0" collapsed="false">
      <c r="F104" s="32"/>
      <c r="J104" s="72"/>
      <c r="K104" s="72"/>
      <c r="L104" s="72"/>
      <c r="M104" s="84"/>
      <c r="N104" s="84"/>
      <c r="O104" s="84"/>
      <c r="P104" s="84"/>
      <c r="Q104" s="8"/>
      <c r="T104" s="72"/>
      <c r="U104" s="72"/>
      <c r="V104" s="72"/>
      <c r="W104" s="72"/>
      <c r="X104" s="72"/>
      <c r="Y104" s="72"/>
      <c r="Z104" s="72"/>
      <c r="AA104" s="72"/>
      <c r="AB104" s="72"/>
      <c r="AC104" s="72"/>
      <c r="AD104" s="72"/>
      <c r="AE104" s="72"/>
      <c r="AF104" s="72"/>
      <c r="AG104" s="72"/>
      <c r="AJ104" s="72"/>
      <c r="AK104" s="84"/>
    </row>
    <row r="105" customFormat="false" ht="14.25" hidden="false" customHeight="true" outlineLevel="0" collapsed="false">
      <c r="F105" s="32"/>
      <c r="J105" s="72"/>
      <c r="K105" s="72"/>
      <c r="L105" s="72"/>
      <c r="M105" s="84"/>
      <c r="N105" s="84"/>
      <c r="O105" s="84"/>
      <c r="P105" s="84"/>
      <c r="Q105" s="8"/>
      <c r="T105" s="72"/>
      <c r="U105" s="72"/>
      <c r="V105" s="72"/>
      <c r="W105" s="72"/>
      <c r="X105" s="72"/>
      <c r="Y105" s="72"/>
      <c r="Z105" s="72"/>
      <c r="AA105" s="72"/>
      <c r="AB105" s="72"/>
      <c r="AC105" s="72"/>
      <c r="AD105" s="72"/>
      <c r="AE105" s="72"/>
      <c r="AF105" s="72"/>
      <c r="AG105" s="72"/>
      <c r="AJ105" s="72"/>
      <c r="AK105" s="84"/>
    </row>
    <row r="106" customFormat="false" ht="14.25" hidden="false" customHeight="true" outlineLevel="0" collapsed="false">
      <c r="F106" s="32"/>
      <c r="J106" s="72"/>
      <c r="K106" s="72"/>
      <c r="L106" s="72"/>
      <c r="M106" s="84"/>
      <c r="N106" s="84"/>
      <c r="O106" s="84"/>
      <c r="P106" s="84"/>
      <c r="Q106" s="8"/>
      <c r="T106" s="72"/>
      <c r="U106" s="72"/>
      <c r="V106" s="72"/>
      <c r="W106" s="72"/>
      <c r="X106" s="72"/>
      <c r="Y106" s="72"/>
      <c r="Z106" s="72"/>
      <c r="AA106" s="72"/>
      <c r="AB106" s="72"/>
      <c r="AC106" s="72"/>
      <c r="AD106" s="72"/>
      <c r="AE106" s="72"/>
      <c r="AF106" s="72"/>
      <c r="AG106" s="72"/>
      <c r="AJ106" s="72"/>
      <c r="AK106" s="84"/>
    </row>
    <row r="107" customFormat="false" ht="14.25" hidden="false" customHeight="true" outlineLevel="0" collapsed="false">
      <c r="F107" s="32"/>
      <c r="J107" s="72"/>
      <c r="K107" s="72"/>
      <c r="L107" s="72"/>
      <c r="M107" s="84"/>
      <c r="N107" s="84"/>
      <c r="O107" s="84"/>
      <c r="P107" s="84"/>
      <c r="Q107" s="8"/>
      <c r="T107" s="72"/>
      <c r="U107" s="72"/>
      <c r="V107" s="72"/>
      <c r="W107" s="72"/>
      <c r="X107" s="72"/>
      <c r="Y107" s="72"/>
      <c r="Z107" s="72"/>
      <c r="AA107" s="72"/>
      <c r="AB107" s="72"/>
      <c r="AC107" s="72"/>
      <c r="AD107" s="72"/>
      <c r="AE107" s="72"/>
      <c r="AF107" s="72"/>
      <c r="AG107" s="72"/>
      <c r="AJ107" s="72"/>
      <c r="AK107" s="84"/>
    </row>
    <row r="108" customFormat="false" ht="14.25" hidden="false" customHeight="true" outlineLevel="0" collapsed="false">
      <c r="F108" s="32"/>
      <c r="J108" s="72"/>
      <c r="K108" s="72"/>
      <c r="L108" s="72"/>
      <c r="M108" s="84"/>
      <c r="N108" s="84"/>
      <c r="O108" s="84"/>
      <c r="P108" s="84"/>
      <c r="Q108" s="8"/>
      <c r="T108" s="72"/>
      <c r="U108" s="72"/>
      <c r="V108" s="72"/>
      <c r="W108" s="72"/>
      <c r="X108" s="72"/>
      <c r="Y108" s="72"/>
      <c r="Z108" s="72"/>
      <c r="AA108" s="72"/>
      <c r="AB108" s="72"/>
      <c r="AC108" s="72"/>
      <c r="AD108" s="72"/>
      <c r="AE108" s="72"/>
      <c r="AF108" s="72"/>
      <c r="AG108" s="72"/>
      <c r="AJ108" s="72"/>
      <c r="AK108" s="84"/>
    </row>
    <row r="109" customFormat="false" ht="14.25" hidden="false" customHeight="true" outlineLevel="0" collapsed="false">
      <c r="F109" s="32"/>
      <c r="J109" s="72"/>
      <c r="K109" s="72"/>
      <c r="L109" s="72"/>
      <c r="M109" s="84"/>
      <c r="N109" s="84"/>
      <c r="O109" s="84"/>
      <c r="P109" s="84"/>
      <c r="Q109" s="8"/>
      <c r="T109" s="72"/>
      <c r="U109" s="72"/>
      <c r="V109" s="72"/>
      <c r="W109" s="72"/>
      <c r="X109" s="72"/>
      <c r="Y109" s="72"/>
      <c r="Z109" s="72"/>
      <c r="AA109" s="72"/>
      <c r="AB109" s="72"/>
      <c r="AC109" s="72"/>
      <c r="AD109" s="72"/>
      <c r="AE109" s="72"/>
      <c r="AF109" s="72"/>
      <c r="AG109" s="72"/>
      <c r="AJ109" s="72"/>
      <c r="AK109" s="84"/>
    </row>
    <row r="110" customFormat="false" ht="14.25" hidden="false" customHeight="true" outlineLevel="0" collapsed="false">
      <c r="F110" s="32"/>
      <c r="J110" s="72"/>
      <c r="K110" s="72"/>
      <c r="L110" s="72"/>
      <c r="M110" s="84"/>
      <c r="N110" s="84"/>
      <c r="O110" s="84"/>
      <c r="P110" s="84"/>
      <c r="Q110" s="8"/>
      <c r="T110" s="72"/>
      <c r="U110" s="72"/>
      <c r="V110" s="72"/>
      <c r="W110" s="72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  <c r="AJ110" s="72"/>
      <c r="AK110" s="84"/>
    </row>
    <row r="111" customFormat="false" ht="14.25" hidden="false" customHeight="true" outlineLevel="0" collapsed="false">
      <c r="F111" s="32"/>
      <c r="J111" s="72"/>
      <c r="K111" s="72"/>
      <c r="L111" s="72"/>
      <c r="M111" s="84"/>
      <c r="N111" s="84"/>
      <c r="O111" s="84"/>
      <c r="P111" s="84"/>
      <c r="Q111" s="8"/>
      <c r="T111" s="72"/>
      <c r="U111" s="72"/>
      <c r="V111" s="72"/>
      <c r="W111" s="72"/>
      <c r="X111" s="72"/>
      <c r="Y111" s="72"/>
      <c r="Z111" s="72"/>
      <c r="AA111" s="72"/>
      <c r="AB111" s="72"/>
      <c r="AC111" s="72"/>
      <c r="AD111" s="72"/>
      <c r="AE111" s="72"/>
      <c r="AF111" s="72"/>
      <c r="AG111" s="72"/>
      <c r="AJ111" s="72"/>
      <c r="AK111" s="84"/>
    </row>
    <row r="112" customFormat="false" ht="14.25" hidden="false" customHeight="true" outlineLevel="0" collapsed="false">
      <c r="F112" s="32"/>
      <c r="J112" s="72"/>
      <c r="K112" s="72"/>
      <c r="L112" s="72"/>
      <c r="M112" s="84"/>
      <c r="N112" s="84"/>
      <c r="O112" s="84"/>
      <c r="P112" s="84"/>
      <c r="Q112" s="8"/>
      <c r="T112" s="72"/>
      <c r="U112" s="72"/>
      <c r="V112" s="72"/>
      <c r="W112" s="72"/>
      <c r="X112" s="72"/>
      <c r="Y112" s="72"/>
      <c r="Z112" s="72"/>
      <c r="AA112" s="72"/>
      <c r="AB112" s="72"/>
      <c r="AC112" s="72"/>
      <c r="AD112" s="72"/>
      <c r="AE112" s="72"/>
      <c r="AF112" s="72"/>
      <c r="AG112" s="72"/>
      <c r="AJ112" s="72"/>
      <c r="AK112" s="84"/>
    </row>
    <row r="113" customFormat="false" ht="14.25" hidden="false" customHeight="true" outlineLevel="0" collapsed="false">
      <c r="F113" s="32"/>
      <c r="J113" s="72"/>
      <c r="K113" s="72"/>
      <c r="L113" s="72"/>
      <c r="M113" s="84"/>
      <c r="N113" s="84"/>
      <c r="O113" s="84"/>
      <c r="P113" s="84"/>
      <c r="Q113" s="8"/>
      <c r="T113" s="72"/>
      <c r="U113" s="72"/>
      <c r="V113" s="72"/>
      <c r="W113" s="72"/>
      <c r="X113" s="72"/>
      <c r="Y113" s="72"/>
      <c r="Z113" s="72"/>
      <c r="AA113" s="72"/>
      <c r="AB113" s="72"/>
      <c r="AC113" s="72"/>
      <c r="AD113" s="72"/>
      <c r="AE113" s="72"/>
      <c r="AF113" s="72"/>
      <c r="AG113" s="72"/>
      <c r="AJ113" s="72"/>
      <c r="AK113" s="84"/>
    </row>
    <row r="114" customFormat="false" ht="14.25" hidden="false" customHeight="true" outlineLevel="0" collapsed="false">
      <c r="F114" s="32"/>
      <c r="J114" s="72"/>
      <c r="K114" s="72"/>
      <c r="L114" s="72"/>
      <c r="M114" s="84"/>
      <c r="N114" s="84"/>
      <c r="O114" s="84"/>
      <c r="P114" s="84"/>
      <c r="Q114" s="8"/>
      <c r="T114" s="72"/>
      <c r="U114" s="72"/>
      <c r="V114" s="72"/>
      <c r="W114" s="72"/>
      <c r="X114" s="72"/>
      <c r="Y114" s="72"/>
      <c r="Z114" s="72"/>
      <c r="AA114" s="72"/>
      <c r="AB114" s="72"/>
      <c r="AC114" s="72"/>
      <c r="AD114" s="72"/>
      <c r="AE114" s="72"/>
      <c r="AF114" s="72"/>
      <c r="AG114" s="72"/>
      <c r="AJ114" s="72"/>
      <c r="AK114" s="84"/>
    </row>
    <row r="115" customFormat="false" ht="14.25" hidden="false" customHeight="true" outlineLevel="0" collapsed="false">
      <c r="F115" s="32"/>
      <c r="J115" s="72"/>
      <c r="K115" s="72"/>
      <c r="L115" s="72"/>
      <c r="M115" s="84"/>
      <c r="N115" s="84"/>
      <c r="O115" s="84"/>
      <c r="P115" s="84"/>
      <c r="Q115" s="8"/>
      <c r="T115" s="72"/>
      <c r="U115" s="72"/>
      <c r="V115" s="72"/>
      <c r="W115" s="72"/>
      <c r="X115" s="72"/>
      <c r="Y115" s="72"/>
      <c r="Z115" s="72"/>
      <c r="AA115" s="72"/>
      <c r="AB115" s="72"/>
      <c r="AC115" s="72"/>
      <c r="AD115" s="72"/>
      <c r="AE115" s="72"/>
      <c r="AF115" s="72"/>
      <c r="AG115" s="72"/>
      <c r="AJ115" s="72"/>
      <c r="AK115" s="84"/>
    </row>
    <row r="116" customFormat="false" ht="14.25" hidden="false" customHeight="true" outlineLevel="0" collapsed="false">
      <c r="F116" s="32"/>
      <c r="J116" s="72"/>
      <c r="K116" s="72"/>
      <c r="L116" s="72"/>
      <c r="M116" s="84"/>
      <c r="N116" s="84"/>
      <c r="O116" s="84"/>
      <c r="P116" s="84"/>
      <c r="Q116" s="8"/>
      <c r="T116" s="72"/>
      <c r="U116" s="72"/>
      <c r="V116" s="72"/>
      <c r="W116" s="72"/>
      <c r="X116" s="72"/>
      <c r="Y116" s="72"/>
      <c r="Z116" s="72"/>
      <c r="AA116" s="72"/>
      <c r="AB116" s="72"/>
      <c r="AC116" s="72"/>
      <c r="AD116" s="72"/>
      <c r="AE116" s="72"/>
      <c r="AF116" s="72"/>
      <c r="AG116" s="72"/>
      <c r="AJ116" s="72"/>
      <c r="AK116" s="84"/>
    </row>
    <row r="117" customFormat="false" ht="14.25" hidden="false" customHeight="true" outlineLevel="0" collapsed="false">
      <c r="F117" s="32"/>
      <c r="J117" s="72"/>
      <c r="K117" s="72"/>
      <c r="L117" s="72"/>
      <c r="M117" s="84"/>
      <c r="N117" s="84"/>
      <c r="O117" s="84"/>
      <c r="P117" s="84"/>
      <c r="Q117" s="8"/>
      <c r="T117" s="72"/>
      <c r="U117" s="72"/>
      <c r="V117" s="72"/>
      <c r="W117" s="72"/>
      <c r="X117" s="72"/>
      <c r="Y117" s="72"/>
      <c r="Z117" s="72"/>
      <c r="AA117" s="72"/>
      <c r="AB117" s="72"/>
      <c r="AC117" s="72"/>
      <c r="AD117" s="72"/>
      <c r="AE117" s="72"/>
      <c r="AF117" s="72"/>
      <c r="AG117" s="72"/>
      <c r="AJ117" s="72"/>
      <c r="AK117" s="84"/>
    </row>
    <row r="118" customFormat="false" ht="14.25" hidden="false" customHeight="true" outlineLevel="0" collapsed="false">
      <c r="F118" s="32"/>
      <c r="J118" s="72"/>
      <c r="K118" s="72"/>
      <c r="L118" s="72"/>
      <c r="M118" s="84"/>
      <c r="N118" s="84"/>
      <c r="O118" s="84"/>
      <c r="P118" s="84"/>
      <c r="Q118" s="8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J118" s="72"/>
      <c r="AK118" s="84"/>
    </row>
    <row r="119" customFormat="false" ht="14.25" hidden="false" customHeight="true" outlineLevel="0" collapsed="false">
      <c r="F119" s="32"/>
      <c r="J119" s="72"/>
      <c r="K119" s="72"/>
      <c r="L119" s="72"/>
      <c r="M119" s="84"/>
      <c r="N119" s="84"/>
      <c r="O119" s="84"/>
      <c r="P119" s="84"/>
      <c r="Q119" s="8"/>
      <c r="T119" s="72"/>
      <c r="U119" s="72"/>
      <c r="V119" s="72"/>
      <c r="W119" s="72"/>
      <c r="X119" s="72"/>
      <c r="Y119" s="72"/>
      <c r="Z119" s="72"/>
      <c r="AA119" s="72"/>
      <c r="AB119" s="72"/>
      <c r="AC119" s="72"/>
      <c r="AD119" s="72"/>
      <c r="AE119" s="72"/>
      <c r="AF119" s="72"/>
      <c r="AG119" s="72"/>
      <c r="AJ119" s="72"/>
      <c r="AK119" s="84"/>
    </row>
    <row r="120" customFormat="false" ht="14.25" hidden="false" customHeight="true" outlineLevel="0" collapsed="false">
      <c r="F120" s="32"/>
      <c r="J120" s="72"/>
      <c r="K120" s="72"/>
      <c r="L120" s="72"/>
      <c r="M120" s="84"/>
      <c r="N120" s="84"/>
      <c r="O120" s="84"/>
      <c r="P120" s="84"/>
      <c r="Q120" s="8"/>
      <c r="T120" s="72"/>
      <c r="U120" s="72"/>
      <c r="V120" s="72"/>
      <c r="W120" s="72"/>
      <c r="X120" s="72"/>
      <c r="Y120" s="72"/>
      <c r="Z120" s="72"/>
      <c r="AA120" s="72"/>
      <c r="AB120" s="72"/>
      <c r="AC120" s="72"/>
      <c r="AD120" s="72"/>
      <c r="AE120" s="72"/>
      <c r="AF120" s="72"/>
      <c r="AG120" s="72"/>
      <c r="AJ120" s="72"/>
      <c r="AK120" s="84"/>
    </row>
    <row r="121" customFormat="false" ht="14.25" hidden="false" customHeight="true" outlineLevel="0" collapsed="false">
      <c r="F121" s="32"/>
      <c r="J121" s="72"/>
      <c r="K121" s="72"/>
      <c r="L121" s="72"/>
      <c r="M121" s="84"/>
      <c r="N121" s="84"/>
      <c r="O121" s="84"/>
      <c r="P121" s="84"/>
      <c r="Q121" s="8"/>
      <c r="T121" s="72"/>
      <c r="U121" s="72"/>
      <c r="V121" s="72"/>
      <c r="W121" s="72"/>
      <c r="X121" s="72"/>
      <c r="Y121" s="72"/>
      <c r="Z121" s="72"/>
      <c r="AA121" s="72"/>
      <c r="AB121" s="72"/>
      <c r="AC121" s="72"/>
      <c r="AD121" s="72"/>
      <c r="AE121" s="72"/>
      <c r="AF121" s="72"/>
      <c r="AG121" s="72"/>
      <c r="AJ121" s="72"/>
      <c r="AK121" s="84"/>
    </row>
    <row r="122" customFormat="false" ht="14.25" hidden="false" customHeight="true" outlineLevel="0" collapsed="false">
      <c r="F122" s="32"/>
      <c r="J122" s="72"/>
      <c r="K122" s="72"/>
      <c r="L122" s="72"/>
      <c r="M122" s="84"/>
      <c r="N122" s="84"/>
      <c r="O122" s="84"/>
      <c r="P122" s="84"/>
      <c r="Q122" s="8"/>
      <c r="T122" s="72"/>
      <c r="U122" s="72"/>
      <c r="V122" s="72"/>
      <c r="W122" s="72"/>
      <c r="X122" s="72"/>
      <c r="Y122" s="72"/>
      <c r="Z122" s="72"/>
      <c r="AA122" s="72"/>
      <c r="AB122" s="72"/>
      <c r="AC122" s="72"/>
      <c r="AD122" s="72"/>
      <c r="AE122" s="72"/>
      <c r="AF122" s="72"/>
      <c r="AG122" s="72"/>
      <c r="AJ122" s="72"/>
      <c r="AK122" s="84"/>
    </row>
    <row r="123" customFormat="false" ht="14.25" hidden="false" customHeight="true" outlineLevel="0" collapsed="false">
      <c r="F123" s="32"/>
      <c r="J123" s="72"/>
      <c r="K123" s="72"/>
      <c r="L123" s="72"/>
      <c r="M123" s="84"/>
      <c r="N123" s="84"/>
      <c r="O123" s="84"/>
      <c r="P123" s="84"/>
      <c r="Q123" s="8"/>
      <c r="T123" s="72"/>
      <c r="U123" s="72"/>
      <c r="V123" s="72"/>
      <c r="W123" s="72"/>
      <c r="X123" s="72"/>
      <c r="Y123" s="72"/>
      <c r="Z123" s="72"/>
      <c r="AA123" s="72"/>
      <c r="AB123" s="72"/>
      <c r="AC123" s="72"/>
      <c r="AD123" s="72"/>
      <c r="AE123" s="72"/>
      <c r="AF123" s="72"/>
      <c r="AG123" s="72"/>
      <c r="AJ123" s="72"/>
      <c r="AK123" s="84"/>
    </row>
    <row r="124" customFormat="false" ht="14.25" hidden="false" customHeight="true" outlineLevel="0" collapsed="false">
      <c r="F124" s="32"/>
      <c r="J124" s="72"/>
      <c r="K124" s="72"/>
      <c r="L124" s="72"/>
      <c r="M124" s="84"/>
      <c r="N124" s="84"/>
      <c r="O124" s="84"/>
      <c r="P124" s="84"/>
      <c r="Q124" s="8"/>
      <c r="T124" s="72"/>
      <c r="U124" s="72"/>
      <c r="V124" s="72"/>
      <c r="W124" s="72"/>
      <c r="X124" s="72"/>
      <c r="Y124" s="72"/>
      <c r="Z124" s="72"/>
      <c r="AA124" s="72"/>
      <c r="AB124" s="72"/>
      <c r="AC124" s="72"/>
      <c r="AD124" s="72"/>
      <c r="AE124" s="72"/>
      <c r="AF124" s="72"/>
      <c r="AG124" s="72"/>
      <c r="AJ124" s="72"/>
      <c r="AK124" s="84"/>
    </row>
    <row r="125" customFormat="false" ht="14.25" hidden="false" customHeight="true" outlineLevel="0" collapsed="false">
      <c r="F125" s="32"/>
      <c r="J125" s="72"/>
      <c r="K125" s="72"/>
      <c r="L125" s="72"/>
      <c r="M125" s="84"/>
      <c r="N125" s="84"/>
      <c r="O125" s="84"/>
      <c r="P125" s="84"/>
      <c r="Q125" s="8"/>
      <c r="T125" s="72"/>
      <c r="U125" s="72"/>
      <c r="V125" s="72"/>
      <c r="W125" s="72"/>
      <c r="X125" s="72"/>
      <c r="Y125" s="72"/>
      <c r="Z125" s="72"/>
      <c r="AA125" s="72"/>
      <c r="AB125" s="72"/>
      <c r="AC125" s="72"/>
      <c r="AD125" s="72"/>
      <c r="AE125" s="72"/>
      <c r="AF125" s="72"/>
      <c r="AG125" s="72"/>
      <c r="AJ125" s="72"/>
      <c r="AK125" s="84"/>
    </row>
    <row r="126" customFormat="false" ht="14.25" hidden="false" customHeight="true" outlineLevel="0" collapsed="false">
      <c r="F126" s="32"/>
    </row>
    <row r="127" customFormat="false" ht="14.25" hidden="false" customHeight="true" outlineLevel="0" collapsed="false">
      <c r="F127" s="32"/>
    </row>
    <row r="128" customFormat="false" ht="14.25" hidden="false" customHeight="true" outlineLevel="0" collapsed="false">
      <c r="F128" s="32"/>
    </row>
    <row r="129" customFormat="false" ht="14.25" hidden="false" customHeight="true" outlineLevel="0" collapsed="false">
      <c r="F129" s="32"/>
    </row>
    <row r="130" customFormat="false" ht="14.25" hidden="false" customHeight="true" outlineLevel="0" collapsed="false">
      <c r="F130" s="32"/>
    </row>
    <row r="131" customFormat="false" ht="14.25" hidden="false" customHeight="true" outlineLevel="0" collapsed="false">
      <c r="F131" s="32"/>
    </row>
    <row r="132" customFormat="false" ht="14.25" hidden="false" customHeight="true" outlineLevel="0" collapsed="false">
      <c r="F132" s="32"/>
    </row>
    <row r="133" customFormat="false" ht="14.25" hidden="false" customHeight="true" outlineLevel="0" collapsed="false">
      <c r="F133" s="32"/>
    </row>
    <row r="134" customFormat="false" ht="14.25" hidden="false" customHeight="true" outlineLevel="0" collapsed="false">
      <c r="F134" s="32"/>
    </row>
    <row r="135" customFormat="false" ht="14.25" hidden="false" customHeight="true" outlineLevel="0" collapsed="false">
      <c r="F135" s="32"/>
    </row>
    <row r="136" customFormat="false" ht="14.25" hidden="false" customHeight="true" outlineLevel="0" collapsed="false">
      <c r="F136" s="32"/>
    </row>
    <row r="137" customFormat="false" ht="14.25" hidden="false" customHeight="true" outlineLevel="0" collapsed="false">
      <c r="F137" s="32"/>
    </row>
    <row r="138" customFormat="false" ht="14.25" hidden="false" customHeight="true" outlineLevel="0" collapsed="false">
      <c r="F138" s="32"/>
    </row>
    <row r="139" customFormat="false" ht="14.25" hidden="false" customHeight="true" outlineLevel="0" collapsed="false">
      <c r="F139" s="32"/>
    </row>
    <row r="140" customFormat="false" ht="14.25" hidden="false" customHeight="true" outlineLevel="0" collapsed="false">
      <c r="F140" s="32"/>
    </row>
    <row r="141" customFormat="false" ht="14.25" hidden="false" customHeight="true" outlineLevel="0" collapsed="false">
      <c r="F141" s="32"/>
    </row>
    <row r="142" customFormat="false" ht="14.25" hidden="false" customHeight="true" outlineLevel="0" collapsed="false">
      <c r="F142" s="32"/>
    </row>
    <row r="143" customFormat="false" ht="14.25" hidden="false" customHeight="true" outlineLevel="0" collapsed="false">
      <c r="F143" s="32"/>
    </row>
    <row r="144" customFormat="false" ht="14.25" hidden="false" customHeight="true" outlineLevel="0" collapsed="false">
      <c r="F144" s="32"/>
    </row>
    <row r="145" customFormat="false" ht="14.25" hidden="false" customHeight="true" outlineLevel="0" collapsed="false">
      <c r="F145" s="32"/>
    </row>
    <row r="146" customFormat="false" ht="14.25" hidden="false" customHeight="true" outlineLevel="0" collapsed="false">
      <c r="F146" s="32"/>
    </row>
    <row r="147" customFormat="false" ht="14.25" hidden="false" customHeight="true" outlineLevel="0" collapsed="false">
      <c r="F147" s="32"/>
    </row>
    <row r="148" customFormat="false" ht="14.25" hidden="false" customHeight="true" outlineLevel="0" collapsed="false">
      <c r="F148" s="32"/>
    </row>
    <row r="149" customFormat="false" ht="14.25" hidden="false" customHeight="true" outlineLevel="0" collapsed="false">
      <c r="F149" s="32"/>
    </row>
    <row r="150" customFormat="false" ht="14.25" hidden="false" customHeight="true" outlineLevel="0" collapsed="false">
      <c r="F150" s="32"/>
    </row>
    <row r="151" customFormat="false" ht="14.25" hidden="false" customHeight="true" outlineLevel="0" collapsed="false">
      <c r="F151" s="32"/>
    </row>
    <row r="152" customFormat="false" ht="14.25" hidden="false" customHeight="true" outlineLevel="0" collapsed="false">
      <c r="F152" s="32"/>
    </row>
    <row r="153" customFormat="false" ht="14.25" hidden="false" customHeight="true" outlineLevel="0" collapsed="false">
      <c r="F153" s="32"/>
    </row>
    <row r="154" customFormat="false" ht="14.25" hidden="false" customHeight="true" outlineLevel="0" collapsed="false">
      <c r="F154" s="32"/>
    </row>
    <row r="155" customFormat="false" ht="14.25" hidden="false" customHeight="true" outlineLevel="0" collapsed="false">
      <c r="F155" s="32"/>
    </row>
    <row r="156" customFormat="false" ht="14.25" hidden="false" customHeight="true" outlineLevel="0" collapsed="false">
      <c r="F156" s="32"/>
    </row>
    <row r="157" customFormat="false" ht="14.25" hidden="false" customHeight="true" outlineLevel="0" collapsed="false">
      <c r="F157" s="32"/>
    </row>
    <row r="158" customFormat="false" ht="14.25" hidden="false" customHeight="true" outlineLevel="0" collapsed="false">
      <c r="F158" s="32"/>
    </row>
    <row r="159" customFormat="false" ht="14.25" hidden="false" customHeight="true" outlineLevel="0" collapsed="false">
      <c r="F159" s="32"/>
    </row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3">
    <mergeCell ref="G1:P1"/>
    <mergeCell ref="R1:AB1"/>
    <mergeCell ref="G13:O13"/>
  </mergeCells>
  <conditionalFormatting sqref="H3:H12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3:I12">
    <cfRule type="colorScale" priority="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3:J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3:K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3:L12">
    <cfRule type="colorScale" priority="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:M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3:N12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3:O12">
    <cfRule type="colorScale" priority="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P3:P12"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15:I18">
    <cfRule type="colorScale" priority="1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15:J18">
    <cfRule type="colorScale" priority="1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15:L18">
    <cfRule type="colorScale" priority="1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M15:M18">
    <cfRule type="colorScale" priority="1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15:N18">
    <cfRule type="colorScale" priority="1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15:O18">
    <cfRule type="colorScale" priority="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G33:AG36 AG38:AG43">
    <cfRule type="colorScale" priority="1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H34:AH43">
    <cfRule type="colorScale" priority="1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3:H32">
    <cfRule type="colorScale" priority="1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23:R32">
    <cfRule type="colorScale" priority="2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37:H46">
    <cfRule type="colorScale" priority="2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R37:R46">
    <cfRule type="colorScale" priority="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H51:H60">
    <cfRule type="colorScale" priority="2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1:R60">
    <cfRule type="colorScale" priority="2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65:H68">
    <cfRule type="colorScale" priority="2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65:R68">
    <cfRule type="colorScale" priority="2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74:H77">
    <cfRule type="colorScale" priority="2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R74:R77">
    <cfRule type="colorScale" priority="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H83:H86">
    <cfRule type="colorScale" priority="2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83:R86">
    <cfRule type="colorScale" priority="3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G54:AN57">
    <cfRule type="colorScale" priority="3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P54:AP57">
    <cfRule type="colorScale" priority="3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G60:AG63">
    <cfRule type="colorScale" priority="3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H60:AH63">
    <cfRule type="colorScale" priority="3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O54:AO57">
    <cfRule type="colorScale" priority="3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G54:AO57">
    <cfRule type="colorScale" priority="3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G34:AG43">
    <cfRule type="colorScale" priority="3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15:I18">
    <cfRule type="colorScale" priority="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L15:L18">
    <cfRule type="colorScale" priority="3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Q20:AQ29">
    <cfRule type="colorScale" priority="4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H4:AH11 AN4:AN11">
    <cfRule type="cellIs" priority="41" operator="greaterThan" aboveAverage="0" equalAverage="0" bottom="0" percent="0" rank="0" text="" dxfId="5">
      <formula>1</formula>
    </cfRule>
  </conditionalFormatting>
  <conditionalFormatting sqref="AG20:AP29">
    <cfRule type="colorScale" priority="4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hyperlinks>
    <hyperlink ref="D2" r:id="rId1" display="https://media.discordapp.net/attachments/1212839710439776287/1277352689910677635/IMG_9684.jpg?ex=66d8b865&amp;is=66d766e5&amp;hm=1f04f119402691c1c7c379953474404873dbc457ad84821a86985cf0d3239f08&amp;=&amp;format=webp&amp;width=657&amp;height=876"/>
    <hyperlink ref="D18" r:id="rId2" display="https://media.discordapp.net/attachments/1212839710439776287/1280904760328982630/image.jpg?ex=66d9c704&amp;is=66d87584&amp;hm=cba73453ebae8a9e51455943096591d0274c7f4f90193e0bbbc93150b6d3fe3b&amp;=&amp;format=webp&amp;width=657&amp;height=876"/>
    <hyperlink ref="D19" r:id="rId3" display="https://media.discordapp.net/attachments/1212839710439776287/1280904799382011994/IMG_0888.jpg?ex=66d9c70e&amp;is=66d8758e&amp;hm=af14c120eff3cd3fd3d7bcdedc4fb4dac0ebd45a4b5f26e2b96cc091f4bf7a46&amp;=&amp;format=webp&amp;width=657&amp;height=876"/>
    <hyperlink ref="D20" r:id="rId4" display="https://media.discordapp.net/attachments/1212839710439776287/1280906666250076182/IMG_9755.jpg?ex=66d9c8cb&amp;is=66d8774b&amp;hm=e94195946302b35c2eaead8e00f8cb09510aea8175389518142a979a265556dd&amp;=&amp;format=webp&amp;width=657&amp;height=876"/>
    <hyperlink ref="D21" r:id="rId5" display="https://media.discordapp.net/attachments/1212839710439776287/1280916301723865118/IMG_0024.jpg?ex=66d9d1c4&amp;is=66d88044&amp;hm=b75ac0c4a302721e8e3a8ce2eda33b33fc7232283ce9ff9b0fd16a87dd2159c9&amp;=&amp;format=webp&amp;width=657&amp;height=876"/>
    <hyperlink ref="D22" r:id="rId6" display="https://media.discordapp.net/attachments/1212839710439776287/1280949676497174639/IMG_0029.jpg?ex=66d9f0d9&amp;is=66d89f59&amp;hm=9536c6c2071867f78706d4a44cc19e60cbbe0145ca9d73d99bad928264e9fbd8&amp;=&amp;format=webp&amp;width=657&amp;height=876"/>
    <hyperlink ref="D23" r:id="rId7" display="https://media.discordapp.net/attachments/1212839710439776287/1280949677205880893/IMG_0031.jpg?ex=66d9f0d9&amp;is=66d89f59&amp;hm=95c63ae3123fbba409cf3f1b3a39e042671a7883f86273b1d968360625784a42&amp;=&amp;format=webp&amp;width=657&amp;height=876"/>
    <hyperlink ref="D24" r:id="rId8" display="https://media.discordapp.net/attachments/1212839710439776287/1281017660481601622/6011E0D7-56D7-4C16-996D-1C335FB7A821.jpg?ex=66e01eea&amp;is=66decd6a&amp;hm=498f8d5c3c9633d3e8adefdae6800e3e2d5dff02d55f615022603c1567f25c98&amp;=&amp;format=webp&amp;width=657&amp;height=876"/>
    <hyperlink ref="D25" r:id="rId9" display="https://media.discordapp.net/attachments/1212839710439776287/1281021962260451339/IMG_9758.jpg?ex=66e022ec&amp;is=66ded16c&amp;hm=83a7b63cf6146f6c88438bf3ac2642b7b5f29a7e5c3fbb847082bb49173c4728&amp;=&amp;format=webp&amp;width=657&amp;height=876"/>
    <hyperlink ref="D26" r:id="rId10" display="https://media.discordapp.net/attachments/1212839710439776287/1281273353717551214/IMG_9761.jpg?ex=66e0644c&amp;is=66df12cc&amp;hm=3810ed2172daec7b4e2c440c4a5aa966b61380497260b406c63c1a10f29f3e67&amp;=&amp;format=webp&amp;width=657&amp;height=876"/>
    <hyperlink ref="D27" r:id="rId11" display="https://media.discordapp.net/attachments/1212839710439776287/1281288238845399141/PXL_20240905_162109539.jpg?ex=66e07229&amp;is=66df20a9&amp;hm=8470c5ab0bb304c517e2106c13f83ce51bdb512f8ab42580251b97e9160ab88d&amp;=&amp;format=webp&amp;width=492&amp;height=874"/>
    <hyperlink ref="D28" r:id="rId12" display="https://media.discordapp.net/attachments/1212839710439776287/1282083076163240027/IMG_6245.jpg?ex=66e00aa9&amp;is=66deb929&amp;hm=d42a28dacaac4c05bf07b794186f748d300585ac2c95495f0911166ab4d84212&amp;=&amp;format=webp&amp;width=657&amp;height=876"/>
    <hyperlink ref="D29" r:id="rId13" display="https://media.discordapp.net/attachments/1212839710439776287/1282720914332582031/PXL_20240909_1513352522.jpg?ex=66e06271&amp;is=66df10f1&amp;hm=b2cdb44f4395a96d4ec22a541140c9ce28dcff9e81adca04046511c7b9ee6b36&amp;=&amp;format=webp&amp;width=492&amp;height=874"/>
    <hyperlink ref="D30" r:id="rId14" display="https://media.discordapp.net/attachments/1212839710439776287/1282745595345240207/IMG_9781.jpg?ex=66e0796e&amp;is=66df27ee&amp;hm=da964e0128b0e77eb97a447f18ab5f856ca93640a489e27eb8e73a35362471b4&amp;=&amp;format=webp&amp;width=657&amp;height=876"/>
    <hyperlink ref="D31" r:id="rId15" display="https://media.discordapp.net/attachments/1212839710439776287/1282747756225630288/image.jpg?ex=66e07b71&amp;is=66df29f1&amp;hm=a0f96c6e96335b4f9dd4ef4c06a359f8d87ecf605692ec41487652c6c43b02f3&amp;=&amp;format=webp&amp;width=657&amp;height=876"/>
    <hyperlink ref="D32" r:id="rId16" display="https://media.discordapp.net/attachments/1212839710439776287/1282747813091872940/IMG_0906.jpg?ex=66e07b7e&amp;is=66df29fe&amp;hm=737ee5eb3d8d7b01f28adbf80d3b8a9df356ff9434cc8946f46a379b12b2d942&amp;=&amp;format=webp&amp;width=657&amp;height=876"/>
    <hyperlink ref="D33" r:id="rId17" display="https://media.discordapp.net/attachments/1212839710439776287/1282754419263406183/IMG_0907.jpg?ex=66e081a5&amp;is=66df3025&amp;hm=a0a27f4c773019c06cc5ab5e52950030f825b859e7772789925650e143b6d742&amp;=&amp;format=webp&amp;width=657&amp;height=876"/>
    <hyperlink ref="D34" r:id="rId18" display="https://media.discordapp.net/attachments/1212839710439776287/1282755803501170879/IMG_0113.jpg?ex=66e082f0&amp;is=66df3170&amp;hm=737ce410b7fc698a1fefd89455bc95977f51bc4e762e62fec4bc68b4b213e69a&amp;=&amp;format=webp&amp;width=657&amp;height=876"/>
    <hyperlink ref="D35" r:id="rId19" display="https://media.discordapp.net/attachments/1212839710439776287/1282762630439899228/IMG_0908.jpg?ex=66e47dcb&amp;is=66e32c4b&amp;hm=32bb1b8402c99cffc01a9ef7653a61c4c9c606cee5e840213f50c96e9ee701f1&amp;=&amp;format=webp&amp;width=657&amp;height=876"/>
    <hyperlink ref="D36" r:id="rId20" display="https://media.discordapp.net/attachments/1212839710439776287/1283455781148164116/PXL_20240911_155058535.jpg?ex=66e46057&amp;is=66e30ed7&amp;hm=c12f6d3a7fa965997c1b541cad7094438b4e8242923061cb93237db352647687&amp;=&amp;format=webp&amp;width=492&amp;height=874"/>
    <hyperlink ref="D37" r:id="rId21" display="https://media.discordapp.net/attachments/1212839710439776287/1283501454258212944/IMG_9785.jpg?ex=66e48ae0&amp;is=66e33960&amp;hm=5e8339fe8485b1cf6dfe92e5cbbb183baa739119fedf006cd8231f0982b0c370&amp;=&amp;format=webp&amp;width=657&amp;height=876"/>
    <hyperlink ref="D38" r:id="rId22" display="https://media.discordapp.net/attachments/1212839710439776287/1283533540964958279/IMG_5655.jpg?ex=66e40003&amp;is=66e2ae83&amp;hm=95cb63f6908820d9dc759eed0fb808a4fe869461a7b5ca615c5ae9364fd96d1b&amp;=&amp;format=webp&amp;width=657&amp;height=876"/>
    <hyperlink ref="D39" r:id="rId23" display="https://media.discordapp.net/attachments/1212839710439776287/1283843454975348737/20240912_133453.jpg?ex=66e477e4&amp;is=66e32664&amp;hm=13384f356856b2409880f16f0181add6cb98a76ab905dd9cb41408f2c2bed0a6&amp;=&amp;format=webp&amp;width=1168&amp;height=876"/>
    <hyperlink ref="D40" r:id="rId24" display="https://media.discordapp.net/attachments/1212839710439776287/1283843643538411561/IMG_0920.jpg?ex=66e47811&amp;is=66e32691&amp;hm=882424e9b8565bd98315bed01491f7b281fedfcf70cf99281bd834cf41cd9878&amp;=&amp;format=webp&amp;width=657&amp;height=876"/>
    <hyperlink ref="D41" r:id="rId25" display="https://media.discordapp.net/attachments/1212839710439776287/1283849948168847391/IMG_0921.jpg?ex=66e47df0&amp;is=66e32c70&amp;hm=27e1226a7895f63b4242f14df4106adb90ac201eff723823d32441119d155966&amp;=&amp;format=webp&amp;width=657&amp;height=876"/>
    <hyperlink ref="D42" r:id="rId26" display="https://media.discordapp.net/attachments/1212839710439776287/1283852063020810250/PXL_20240912_180905725.jpg?ex=66e47fe8&amp;is=66e32e68&amp;hm=9ac3c0083feed6ddf85d299bb5bb457c8988c3790da62d9403d173c148227141&amp;=&amp;format=webp&amp;width=492&amp;height=874"/>
    <hyperlink ref="D43" r:id="rId27" display="https://media.discordapp.net/attachments/1212839710439776287/1283872800414892108/IMG_0922.jpg?ex=66e49338&amp;is=66e341b8&amp;hm=90f1579e96845b0ad80d2b76d88a3681b25d295d378e3b5f3f2247c7f0aa55ba&amp;=&amp;format=webp&amp;width=1168&amp;height=876"/>
    <hyperlink ref="D44" r:id="rId28" display="https://media.discordapp.net/attachments/1212839710439776287/1283872916475215912/65EB0CCE-33C6-48A6-AE5E-E6DACDD833EF.jpg?ex=66e49354&amp;is=66e341d4&amp;hm=5bae8bdd199e9770d26eac89b84157813bef5ee5af3a0f2d9aed68f15577b522&amp;=&amp;format=webp&amp;width=657&amp;height=876"/>
    <hyperlink ref="D45" r:id="rId29" display="https://media.discordapp.net/attachments/1212839710439776287/1284206593042419743/IMG_5671.jpg?ex=66e5ca17&amp;is=66e47897&amp;hm=ee7c1ead33ea9fa6b6fbfb33ee7588c647f14217b54b00179195b531ddf50dd4&amp;=&amp;format=webp&amp;width=657&amp;height=876"/>
    <hyperlink ref="D46" r:id="rId30" display="https://media.discordapp.net/attachments/1212839710439776287/1284206473274069073/20240913_133733.jpg?ex=66e5c9fa&amp;is=66e4787a&amp;hm=e34ca0a1a2ca5462fb5519f08ac1ede1271d39c37c6447530dae553098ad3526&amp;=&amp;format=webp&amp;width=657&amp;height=876"/>
    <hyperlink ref="D47" r:id="rId31" display="https://media.discordapp.net/attachments/1212839710439776287/1284208928892125194/IMG_0927.jpg?ex=66e5cc44&amp;is=66e47ac4&amp;hm=6f87c1bc770c0ada4da7320aad068279bcc24330dd0e774325a20c4bd87fa4bf&amp;=&amp;format=webp&amp;width=394&amp;height=525"/>
    <hyperlink ref="D48" r:id="rId32" display="https://media.discordapp.net/attachments/1212839710439776287/1284209185575276574/F47ECE56-F318-4BFF-B7EE-F580DE7EC85B.jpg?ex=66e5cc81&amp;is=66e47b01&amp;hm=f34f017c4bac363c0048aa122eec58f7c091106b40811f5fbe17e7f0ab3de082&amp;=&amp;format=webp&amp;width=394&amp;height=525"/>
    <hyperlink ref="D49" r:id="rId33" display="https://media.discordapp.net/attachments/1212839710439776287/1284245010111271014/IMG_9792.jpg?ex=66e9399e&amp;is=66e7e81e&amp;hm=e50e875a4769266af805aff5336b77f9d79bf01d466de121021e9280de1b64f7&amp;=&amp;format=webp&amp;width=657&amp;height=876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4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Q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54296875" defaultRowHeight="15" customHeight="true" zeroHeight="false" outlineLevelRow="0" outlineLevelCol="0"/>
  <cols>
    <col collapsed="false" customWidth="true" hidden="false" outlineLevel="0" max="1" min="1" style="0" width="7.82"/>
    <col collapsed="false" customWidth="true" hidden="false" outlineLevel="0" max="2" min="2" style="0" width="5.82"/>
    <col collapsed="false" customWidth="true" hidden="false" outlineLevel="0" max="3" min="3" style="0" width="7.82"/>
    <col collapsed="false" customWidth="true" hidden="false" outlineLevel="0" max="4" min="4" style="0" width="7.27"/>
    <col collapsed="false" customWidth="true" hidden="false" outlineLevel="0" max="5" min="5" style="0" width="1.82"/>
    <col collapsed="false" customWidth="true" hidden="true" outlineLevel="0" max="6" min="6" style="0" width="9.27"/>
    <col collapsed="false" customWidth="true" hidden="false" outlineLevel="0" max="7" min="7" style="0" width="7.73"/>
    <col collapsed="false" customWidth="true" hidden="false" outlineLevel="0" max="9" min="8" style="0" width="6.73"/>
    <col collapsed="false" customWidth="true" hidden="false" outlineLevel="0" max="10" min="10" style="0" width="7.45"/>
    <col collapsed="false" customWidth="true" hidden="false" outlineLevel="0" max="11" min="11" style="0" width="9.18"/>
    <col collapsed="false" customWidth="true" hidden="false" outlineLevel="0" max="12" min="12" style="0" width="11.45"/>
    <col collapsed="false" customWidth="true" hidden="false" outlineLevel="0" max="13" min="13" style="0" width="7.18"/>
    <col collapsed="false" customWidth="true" hidden="false" outlineLevel="0" max="14" min="14" style="0" width="8"/>
    <col collapsed="false" customWidth="true" hidden="false" outlineLevel="0" max="15" min="15" style="0" width="10.45"/>
    <col collapsed="false" customWidth="true" hidden="false" outlineLevel="0" max="16" min="16" style="0" width="11.82"/>
    <col collapsed="false" customWidth="true" hidden="false" outlineLevel="0" max="17" min="17" style="0" width="7.82"/>
    <col collapsed="false" customWidth="true" hidden="false" outlineLevel="0" max="18" min="18" style="0" width="10.45"/>
    <col collapsed="false" customWidth="true" hidden="false" outlineLevel="0" max="19" min="19" style="0" width="6.18"/>
    <col collapsed="false" customWidth="true" hidden="false" outlineLevel="0" max="20" min="20" style="0" width="5.18"/>
    <col collapsed="false" customWidth="true" hidden="false" outlineLevel="0" max="21" min="21" style="0" width="5"/>
    <col collapsed="false" customWidth="true" hidden="false" outlineLevel="0" max="22" min="22" style="0" width="7.27"/>
    <col collapsed="false" customWidth="true" hidden="false" outlineLevel="0" max="23" min="23" style="0" width="4.82"/>
    <col collapsed="false" customWidth="true" hidden="false" outlineLevel="0" max="24" min="24" style="0" width="5.73"/>
    <col collapsed="false" customWidth="true" hidden="false" outlineLevel="0" max="26" min="25" style="0" width="5.45"/>
    <col collapsed="false" customWidth="true" hidden="false" outlineLevel="0" max="27" min="27" style="0" width="7.82"/>
    <col collapsed="false" customWidth="true" hidden="false" outlineLevel="0" max="28" min="28" style="0" width="7.18"/>
    <col collapsed="false" customWidth="true" hidden="false" outlineLevel="0" max="29" min="29" style="0" width="4.27"/>
    <col collapsed="false" customWidth="true" hidden="false" outlineLevel="0" max="30" min="30" style="0" width="3.73"/>
    <col collapsed="false" customWidth="true" hidden="false" outlineLevel="0" max="31" min="31" style="0" width="10.45"/>
    <col collapsed="false" customWidth="true" hidden="false" outlineLevel="0" max="32" min="32" style="0" width="7.45"/>
    <col collapsed="false" customWidth="true" hidden="false" outlineLevel="0" max="33" min="33" style="0" width="8.27"/>
    <col collapsed="false" customWidth="true" hidden="false" outlineLevel="0" max="34" min="34" style="0" width="7.82"/>
    <col collapsed="false" customWidth="true" hidden="false" outlineLevel="0" max="35" min="35" style="0" width="9.18"/>
    <col collapsed="false" customWidth="true" hidden="false" outlineLevel="0" max="36" min="36" style="0" width="13.82"/>
    <col collapsed="false" customWidth="true" hidden="false" outlineLevel="0" max="37" min="37" style="0" width="6.82"/>
    <col collapsed="false" customWidth="true" hidden="false" outlineLevel="0" max="38" min="38" style="0" width="8"/>
    <col collapsed="false" customWidth="true" hidden="false" outlineLevel="0" max="39" min="39" style="0" width="10.45"/>
    <col collapsed="false" customWidth="true" hidden="false" outlineLevel="0" max="40" min="40" style="0" width="11.82"/>
    <col collapsed="false" customWidth="true" hidden="false" outlineLevel="0" max="41" min="41" style="0" width="11.45"/>
    <col collapsed="false" customWidth="true" hidden="false" outlineLevel="0" max="42" min="42" style="0" width="7.45"/>
    <col collapsed="false" customWidth="true" hidden="false" outlineLevel="0" max="43" min="43" style="0" width="8.45"/>
    <col collapsed="false" customWidth="true" hidden="false" outlineLevel="0" max="44" min="44" style="0" width="12.45"/>
  </cols>
  <sheetData>
    <row r="1" customFormat="false" ht="14.25" hidden="false" customHeight="true" outlineLevel="0" collapsed="false">
      <c r="A1" s="144" t="s">
        <v>0</v>
      </c>
      <c r="B1" s="95" t="s">
        <v>1</v>
      </c>
      <c r="C1" s="118" t="s">
        <v>2</v>
      </c>
      <c r="D1" s="6" t="s">
        <v>3</v>
      </c>
      <c r="F1" s="6"/>
      <c r="G1" s="7" t="s">
        <v>4</v>
      </c>
      <c r="H1" s="7"/>
      <c r="I1" s="7"/>
      <c r="J1" s="7"/>
      <c r="K1" s="7"/>
      <c r="L1" s="7"/>
      <c r="M1" s="7"/>
      <c r="N1" s="7"/>
      <c r="O1" s="7"/>
      <c r="P1" s="7"/>
      <c r="Q1" s="8"/>
      <c r="R1" s="147" t="s">
        <v>5</v>
      </c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47"/>
      <c r="AE1" s="147"/>
      <c r="AF1" s="72"/>
      <c r="AG1" s="7" t="s">
        <v>6</v>
      </c>
      <c r="AH1" s="10" t="s">
        <v>7</v>
      </c>
      <c r="AI1" s="11" t="s">
        <v>8</v>
      </c>
      <c r="AJ1" s="12" t="s">
        <v>9</v>
      </c>
      <c r="AK1" s="13" t="s">
        <v>8</v>
      </c>
      <c r="AL1" s="10" t="s">
        <v>10</v>
      </c>
      <c r="AM1" s="7" t="s">
        <v>6</v>
      </c>
      <c r="AN1" s="148"/>
      <c r="AO1" s="148"/>
    </row>
    <row r="2" customFormat="false" ht="14.25" hidden="false" customHeight="true" outlineLevel="0" collapsed="false">
      <c r="A2" s="94" t="s">
        <v>33</v>
      </c>
      <c r="B2" s="95" t="n">
        <v>2</v>
      </c>
      <c r="C2" s="96" t="s">
        <v>42</v>
      </c>
      <c r="D2" s="17" t="str">
        <f aca="false">HYPERLINK("https://discord.com/channels/191975109500731392/1212839710439776287/1227290995746672661","Discord")</f>
        <v>Discord</v>
      </c>
      <c r="F2" s="17"/>
      <c r="G2" s="52" t="s">
        <v>88</v>
      </c>
      <c r="H2" s="31" t="s">
        <v>16</v>
      </c>
      <c r="I2" s="31" t="s">
        <v>17</v>
      </c>
      <c r="J2" s="31" t="s">
        <v>18</v>
      </c>
      <c r="K2" s="31" t="s">
        <v>19</v>
      </c>
      <c r="L2" s="31" t="s">
        <v>20</v>
      </c>
      <c r="M2" s="31" t="s">
        <v>21</v>
      </c>
      <c r="N2" s="21" t="s">
        <v>22</v>
      </c>
      <c r="O2" s="21" t="s">
        <v>23</v>
      </c>
      <c r="P2" s="53" t="s">
        <v>24</v>
      </c>
      <c r="Q2" s="149"/>
      <c r="R2" s="23" t="s">
        <v>25</v>
      </c>
      <c r="S2" s="24" t="s">
        <v>2</v>
      </c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6"/>
      <c r="AF2" s="72"/>
      <c r="AG2" s="150"/>
      <c r="AH2" s="29"/>
      <c r="AI2" s="30" t="n">
        <f aca="false">COUNT($B:$B)</f>
        <v>104</v>
      </c>
      <c r="AJ2" s="31" t="s">
        <v>1917</v>
      </c>
      <c r="AK2" s="30" t="n">
        <f aca="false">COUNT($B:$B)</f>
        <v>104</v>
      </c>
      <c r="AL2" s="28"/>
      <c r="AM2" s="150"/>
      <c r="AN2" s="72"/>
      <c r="AO2" s="72"/>
    </row>
    <row r="3" customFormat="false" ht="14.25" hidden="false" customHeight="true" outlineLevel="0" collapsed="false">
      <c r="A3" s="94" t="s">
        <v>11</v>
      </c>
      <c r="B3" s="95" t="n">
        <v>1</v>
      </c>
      <c r="C3" s="96" t="s">
        <v>1154</v>
      </c>
      <c r="D3" s="17" t="s">
        <v>1918</v>
      </c>
      <c r="F3" s="17"/>
      <c r="G3" s="33" t="s">
        <v>30</v>
      </c>
      <c r="H3" s="34" t="n">
        <f aca="false">COUNTIF($A:$A,G3)</f>
        <v>22</v>
      </c>
      <c r="I3" s="34" t="n">
        <f aca="false">COUNTIF($C:$C,G3)</f>
        <v>21</v>
      </c>
      <c r="J3" s="35" t="n">
        <f aca="false">H3/I3</f>
        <v>1.04761904761905</v>
      </c>
      <c r="K3" s="34" t="n">
        <f aca="false">GETPIVOTDATA("Points",$R$2,"Sniper",G3)</f>
        <v>27</v>
      </c>
      <c r="L3" s="34" t="n">
        <f aca="false">GETPIVOTDATA("Points",$R$2,"Snipee",G3)</f>
        <v>30</v>
      </c>
      <c r="M3" s="124" t="n">
        <f aca="false">K3/L3</f>
        <v>0.9</v>
      </c>
      <c r="N3" s="35" t="n">
        <f aca="false">K3/H3</f>
        <v>1.22727272727273</v>
      </c>
      <c r="O3" s="35" t="n">
        <f aca="false">L3/I3</f>
        <v>1.42857142857143</v>
      </c>
      <c r="P3" s="143" t="n">
        <f aca="false">COUNT(S5:AD5)/11</f>
        <v>0.636363636363636</v>
      </c>
      <c r="Q3" s="149"/>
      <c r="R3" s="37" t="s">
        <v>0</v>
      </c>
      <c r="S3" s="126" t="s">
        <v>30</v>
      </c>
      <c r="T3" s="127" t="s">
        <v>43</v>
      </c>
      <c r="U3" s="127" t="s">
        <v>1154</v>
      </c>
      <c r="V3" s="127" t="s">
        <v>1447</v>
      </c>
      <c r="W3" s="127" t="s">
        <v>1919</v>
      </c>
      <c r="X3" s="127" t="s">
        <v>42</v>
      </c>
      <c r="Y3" s="127" t="s">
        <v>11</v>
      </c>
      <c r="Z3" s="127" t="s">
        <v>1151</v>
      </c>
      <c r="AA3" s="127" t="s">
        <v>33</v>
      </c>
      <c r="AB3" s="127" t="s">
        <v>40</v>
      </c>
      <c r="AC3" s="127" t="s">
        <v>41</v>
      </c>
      <c r="AD3" s="127" t="s">
        <v>1443</v>
      </c>
      <c r="AE3" s="39" t="s">
        <v>44</v>
      </c>
      <c r="AF3" s="72"/>
      <c r="AG3" s="151"/>
      <c r="AH3" s="28"/>
      <c r="AI3" s="40" t="n">
        <f aca="false">GETPIVOTDATA("Points",$R$2)</f>
        <v>158</v>
      </c>
      <c r="AJ3" s="41" t="s">
        <v>1920</v>
      </c>
      <c r="AK3" s="40" t="n">
        <f aca="false">GETPIVOTDATA("Points",$R$2)</f>
        <v>158</v>
      </c>
      <c r="AL3" s="28"/>
      <c r="AM3" s="151"/>
      <c r="AN3" s="72"/>
      <c r="AO3" s="72"/>
    </row>
    <row r="4" customFormat="false" ht="14.25" hidden="false" customHeight="true" outlineLevel="0" collapsed="false">
      <c r="A4" s="94" t="s">
        <v>41</v>
      </c>
      <c r="B4" s="95" t="n">
        <v>2</v>
      </c>
      <c r="C4" s="96" t="s">
        <v>42</v>
      </c>
      <c r="D4" s="17" t="s">
        <v>1918</v>
      </c>
      <c r="F4" s="17"/>
      <c r="G4" s="33" t="s">
        <v>42</v>
      </c>
      <c r="H4" s="34" t="n">
        <f aca="false">COUNTIF($A:$A,G4)</f>
        <v>3</v>
      </c>
      <c r="I4" s="34" t="n">
        <f aca="false">COUNTIF($C:$C,G4)</f>
        <v>7</v>
      </c>
      <c r="J4" s="35" t="n">
        <f aca="false">H4/I4</f>
        <v>0.428571428571429</v>
      </c>
      <c r="K4" s="34" t="n">
        <f aca="false">GETPIVOTDATA("Points",$R$2,"Sniper",G4)</f>
        <v>5</v>
      </c>
      <c r="L4" s="34" t="n">
        <f aca="false">GETPIVOTDATA("Points",$R$2,"Snipee",G4)</f>
        <v>13</v>
      </c>
      <c r="M4" s="124" t="n">
        <f aca="false">K4/L4</f>
        <v>0.384615384615385</v>
      </c>
      <c r="N4" s="35" t="n">
        <f aca="false">K4/H4</f>
        <v>1.66666666666667</v>
      </c>
      <c r="O4" s="35" t="n">
        <f aca="false">L4/I4</f>
        <v>1.85714285714286</v>
      </c>
      <c r="P4" s="143" t="n">
        <f aca="false">COUNT(S12:AD12)/11</f>
        <v>0.181818181818182</v>
      </c>
      <c r="Q4" s="149"/>
      <c r="R4" s="128" t="s">
        <v>1447</v>
      </c>
      <c r="S4" s="100" t="n">
        <v>12</v>
      </c>
      <c r="T4" s="101" t="n">
        <v>7</v>
      </c>
      <c r="U4" s="101" t="n">
        <v>6</v>
      </c>
      <c r="V4" s="101"/>
      <c r="W4" s="101" t="n">
        <v>8</v>
      </c>
      <c r="X4" s="101"/>
      <c r="Y4" s="101" t="n">
        <v>1</v>
      </c>
      <c r="Z4" s="101"/>
      <c r="AA4" s="101" t="n">
        <v>2</v>
      </c>
      <c r="AB4" s="101" t="n">
        <v>2</v>
      </c>
      <c r="AC4" s="101"/>
      <c r="AD4" s="102"/>
      <c r="AE4" s="103" t="n">
        <v>38</v>
      </c>
      <c r="AF4" s="72"/>
      <c r="AG4" s="45" t="n">
        <f aca="false">COUNTIF(H23:H34,AI4)-1</f>
        <v>-1</v>
      </c>
      <c r="AH4" s="46" t="str">
        <f aca="false">$G$23</f>
        <v>Carter</v>
      </c>
      <c r="AI4" s="40" t="e">
        <f aca="false">maxine(H3:H14)</f>
        <v>#NAME?</v>
      </c>
      <c r="AJ4" s="41" t="s">
        <v>1921</v>
      </c>
      <c r="AK4" s="40" t="e">
        <f aca="false">maxine(H17:H20)</f>
        <v>#NAME?</v>
      </c>
      <c r="AL4" s="48" t="str">
        <f aca="false">$G$65</f>
        <v>Baris</v>
      </c>
      <c r="AM4" s="45" t="n">
        <f aca="false">COUNTIF(H17:H20,AK4)-1</f>
        <v>-1</v>
      </c>
      <c r="AN4" s="148"/>
      <c r="AO4" s="148"/>
    </row>
    <row r="5" customFormat="false" ht="14.25" hidden="false" customHeight="true" outlineLevel="0" collapsed="false">
      <c r="A5" s="94" t="s">
        <v>11</v>
      </c>
      <c r="B5" s="95" t="n">
        <v>2</v>
      </c>
      <c r="C5" s="96" t="s">
        <v>43</v>
      </c>
      <c r="D5" s="17" t="s">
        <v>1918</v>
      </c>
      <c r="F5" s="17"/>
      <c r="G5" s="33" t="s">
        <v>1919</v>
      </c>
      <c r="H5" s="34" t="n">
        <f aca="false">COUNTIF($A:$A,G5)</f>
        <v>0</v>
      </c>
      <c r="I5" s="34" t="n">
        <f aca="false">COUNTIF($C:$C,G5)</f>
        <v>7</v>
      </c>
      <c r="J5" s="35" t="n">
        <f aca="false">H5/I5</f>
        <v>0</v>
      </c>
      <c r="K5" s="34"/>
      <c r="L5" s="34" t="n">
        <f aca="false">GETPIVOTDATA("Points",$R$2,"Snipee",G5)</f>
        <v>14</v>
      </c>
      <c r="M5" s="124"/>
      <c r="N5" s="35"/>
      <c r="O5" s="35" t="n">
        <f aca="false">L5/I5</f>
        <v>2</v>
      </c>
      <c r="P5" s="143" t="n">
        <v>0</v>
      </c>
      <c r="Q5" s="149"/>
      <c r="R5" s="129" t="s">
        <v>30</v>
      </c>
      <c r="S5" s="105"/>
      <c r="T5" s="106" t="n">
        <v>9</v>
      </c>
      <c r="U5" s="106" t="n">
        <v>1</v>
      </c>
      <c r="V5" s="106" t="n">
        <v>5</v>
      </c>
      <c r="W5" s="106"/>
      <c r="X5" s="106"/>
      <c r="Y5" s="106" t="n">
        <v>7</v>
      </c>
      <c r="Z5" s="106" t="n">
        <v>3</v>
      </c>
      <c r="AA5" s="106" t="n">
        <v>1</v>
      </c>
      <c r="AB5" s="106" t="n">
        <v>1</v>
      </c>
      <c r="AC5" s="106"/>
      <c r="AD5" s="107"/>
      <c r="AE5" s="108" t="n">
        <v>27</v>
      </c>
      <c r="AF5" s="72"/>
      <c r="AG5" s="45" t="n">
        <f aca="false">COUNTIF(H37:H48,AI5)-1</f>
        <v>-1</v>
      </c>
      <c r="AH5" s="46" t="str">
        <f aca="false">$G$37</f>
        <v>Carter</v>
      </c>
      <c r="AI5" s="40" t="e">
        <f aca="false">maxine(I3:I14)</f>
        <v>#NAME?</v>
      </c>
      <c r="AJ5" s="41" t="s">
        <v>1922</v>
      </c>
      <c r="AK5" s="40" t="e">
        <f aca="false">maxine(I17:I20)</f>
        <v>#NAME?</v>
      </c>
      <c r="AL5" s="48" t="str">
        <f aca="false">$G$74</f>
        <v>Tenors</v>
      </c>
      <c r="AM5" s="45" t="n">
        <f aca="false">COUNTIF(I17:I20,AK5)-1</f>
        <v>-1</v>
      </c>
      <c r="AN5" s="148"/>
      <c r="AO5" s="148"/>
    </row>
    <row r="6" customFormat="false" ht="14.25" hidden="false" customHeight="true" outlineLevel="0" collapsed="false">
      <c r="A6" s="94" t="s">
        <v>42</v>
      </c>
      <c r="B6" s="95" t="n">
        <v>1</v>
      </c>
      <c r="C6" s="96" t="s">
        <v>41</v>
      </c>
      <c r="D6" s="17" t="s">
        <v>1918</v>
      </c>
      <c r="F6" s="17"/>
      <c r="G6" s="33" t="s">
        <v>40</v>
      </c>
      <c r="H6" s="34" t="n">
        <f aca="false">COUNTIF($A:$A,G6)</f>
        <v>3</v>
      </c>
      <c r="I6" s="34" t="n">
        <f aca="false">COUNTIF($C:$C,G6)</f>
        <v>5</v>
      </c>
      <c r="J6" s="35" t="n">
        <f aca="false">H6/I6</f>
        <v>0.6</v>
      </c>
      <c r="K6" s="34" t="n">
        <f aca="false">GETPIVOTDATA("Points",$R$2,"Sniper",G6)</f>
        <v>4</v>
      </c>
      <c r="L6" s="34" t="n">
        <f aca="false">GETPIVOTDATA("Points",$R$2,"Snipee",G6)</f>
        <v>9</v>
      </c>
      <c r="M6" s="124" t="n">
        <f aca="false">K6/L6</f>
        <v>0.444444444444444</v>
      </c>
      <c r="N6" s="35" t="n">
        <f aca="false">K6/H6</f>
        <v>1.33333333333333</v>
      </c>
      <c r="O6" s="35" t="n">
        <f aca="false">L6/I6</f>
        <v>1.8</v>
      </c>
      <c r="P6" s="143" t="n">
        <f aca="false">COUNT(S13:AD13)/11</f>
        <v>0.272727272727273</v>
      </c>
      <c r="Q6" s="149"/>
      <c r="R6" s="129" t="s">
        <v>11</v>
      </c>
      <c r="S6" s="105" t="n">
        <v>6</v>
      </c>
      <c r="T6" s="106" t="n">
        <v>2</v>
      </c>
      <c r="U6" s="106" t="n">
        <v>1</v>
      </c>
      <c r="V6" s="106" t="n">
        <v>2</v>
      </c>
      <c r="W6" s="106" t="n">
        <v>4</v>
      </c>
      <c r="X6" s="106"/>
      <c r="Y6" s="106"/>
      <c r="Z6" s="106" t="n">
        <v>3</v>
      </c>
      <c r="AA6" s="106" t="n">
        <v>4</v>
      </c>
      <c r="AB6" s="106" t="n">
        <v>2</v>
      </c>
      <c r="AC6" s="106"/>
      <c r="AD6" s="107" t="n">
        <v>2</v>
      </c>
      <c r="AE6" s="108" t="n">
        <v>26</v>
      </c>
      <c r="AF6" s="72"/>
      <c r="AG6" s="45" t="n">
        <f aca="false">COUNTIF(R23:R34,AI6)-1</f>
        <v>-1</v>
      </c>
      <c r="AH6" s="46" t="str">
        <f aca="false">$Q$23</f>
        <v>Sam</v>
      </c>
      <c r="AI6" s="40" t="e">
        <f aca="false">maxine(K3:K14)</f>
        <v>#NAME?</v>
      </c>
      <c r="AJ6" s="41" t="s">
        <v>1923</v>
      </c>
      <c r="AK6" s="40" t="e">
        <f aca="false">maxine(K17:K20)</f>
        <v>#NAME?</v>
      </c>
      <c r="AL6" s="48" t="str">
        <f aca="false">$Q$65</f>
        <v>Baris</v>
      </c>
      <c r="AM6" s="45" t="n">
        <f aca="false">COUNTIF(K17:K20,AK6)-1</f>
        <v>-1</v>
      </c>
      <c r="AN6" s="148"/>
      <c r="AO6" s="148"/>
    </row>
    <row r="7" customFormat="false" ht="14.25" hidden="false" customHeight="true" outlineLevel="0" collapsed="false">
      <c r="A7" s="94" t="s">
        <v>30</v>
      </c>
      <c r="B7" s="95" t="n">
        <v>1</v>
      </c>
      <c r="C7" s="96" t="s">
        <v>11</v>
      </c>
      <c r="D7" s="17" t="s">
        <v>1918</v>
      </c>
      <c r="F7" s="17"/>
      <c r="G7" s="33" t="s">
        <v>41</v>
      </c>
      <c r="H7" s="34" t="n">
        <f aca="false">COUNTIF($A:$A,G7)</f>
        <v>2</v>
      </c>
      <c r="I7" s="34" t="n">
        <f aca="false">COUNTIF($C:$C,G7)</f>
        <v>2</v>
      </c>
      <c r="J7" s="35" t="n">
        <f aca="false">H7/I7</f>
        <v>1</v>
      </c>
      <c r="K7" s="34" t="n">
        <f aca="false">GETPIVOTDATA("Points",$R$2,"Sniper",G7)</f>
        <v>4</v>
      </c>
      <c r="L7" s="34" t="n">
        <f aca="false">GETPIVOTDATA("Points",$R$2,"Snipee",G7)</f>
        <v>3</v>
      </c>
      <c r="M7" s="124" t="n">
        <f aca="false">K7/L7</f>
        <v>1.33333333333333</v>
      </c>
      <c r="N7" s="35" t="n">
        <f aca="false">K7/H7</f>
        <v>2</v>
      </c>
      <c r="O7" s="35" t="n">
        <f aca="false">L7/I7</f>
        <v>1.5</v>
      </c>
      <c r="P7" s="143" t="n">
        <f aca="false">COUNT(S14:AD14)/11</f>
        <v>0.181818181818182</v>
      </c>
      <c r="Q7" s="149"/>
      <c r="R7" s="129" t="s">
        <v>43</v>
      </c>
      <c r="S7" s="105" t="n">
        <v>8</v>
      </c>
      <c r="T7" s="106"/>
      <c r="U7" s="106"/>
      <c r="V7" s="106" t="n">
        <v>4</v>
      </c>
      <c r="W7" s="106"/>
      <c r="X7" s="106" t="n">
        <v>1</v>
      </c>
      <c r="Y7" s="106"/>
      <c r="Z7" s="106" t="n">
        <v>1</v>
      </c>
      <c r="AA7" s="106"/>
      <c r="AB7" s="106"/>
      <c r="AC7" s="106"/>
      <c r="AD7" s="107"/>
      <c r="AE7" s="108" t="n">
        <v>14</v>
      </c>
      <c r="AF7" s="72"/>
      <c r="AG7" s="45" t="n">
        <f aca="false">COUNTIF(R37:R48,AI7)-1</f>
        <v>-1</v>
      </c>
      <c r="AH7" s="46" t="str">
        <f aca="false">$Q$37</f>
        <v>Carter</v>
      </c>
      <c r="AI7" s="40" t="e">
        <f aca="false">maxine(L3:L14)</f>
        <v>#NAME?</v>
      </c>
      <c r="AJ7" s="41" t="s">
        <v>1924</v>
      </c>
      <c r="AK7" s="40" t="e">
        <f aca="false">maxine(L17:L20)</f>
        <v>#NAME?</v>
      </c>
      <c r="AL7" s="48" t="str">
        <f aca="false">$Q$74</f>
        <v>Tenors</v>
      </c>
      <c r="AM7" s="45" t="n">
        <f aca="false">COUNTIF(L17:L20,AK7)-1</f>
        <v>-1</v>
      </c>
      <c r="AN7" s="148"/>
      <c r="AO7" s="148"/>
    </row>
    <row r="8" customFormat="false" ht="14.25" hidden="false" customHeight="true" outlineLevel="0" collapsed="false">
      <c r="A8" s="94" t="s">
        <v>11</v>
      </c>
      <c r="B8" s="95" t="n">
        <v>2</v>
      </c>
      <c r="C8" s="96" t="s">
        <v>30</v>
      </c>
      <c r="D8" s="17" t="s">
        <v>1918</v>
      </c>
      <c r="E8" s="6" t="n">
        <v>0</v>
      </c>
      <c r="F8" s="17"/>
      <c r="G8" s="33" t="s">
        <v>1151</v>
      </c>
      <c r="H8" s="34" t="n">
        <f aca="false">COUNTIF($A:$A,G8)</f>
        <v>7</v>
      </c>
      <c r="I8" s="34" t="n">
        <f aca="false">COUNTIF($C:$C,G8)</f>
        <v>8</v>
      </c>
      <c r="J8" s="35" t="n">
        <f aca="false">H8/I8</f>
        <v>0.875</v>
      </c>
      <c r="K8" s="34" t="n">
        <f aca="false">GETPIVOTDATA("Points",$R$2,"Sniper",G8)</f>
        <v>11</v>
      </c>
      <c r="L8" s="34" t="n">
        <f aca="false">GETPIVOTDATA("Points",$R$2,"Snipee",G8)</f>
        <v>11</v>
      </c>
      <c r="M8" s="124" t="n">
        <f aca="false">K8/L8</f>
        <v>1</v>
      </c>
      <c r="N8" s="35" t="n">
        <f aca="false">K8/H8</f>
        <v>1.57142857142857</v>
      </c>
      <c r="O8" s="35" t="n">
        <f aca="false">L8/I8</f>
        <v>1.375</v>
      </c>
      <c r="P8" s="143" t="n">
        <f aca="false">COUNT(S9:AD9)/11</f>
        <v>0.454545454545455</v>
      </c>
      <c r="Q8" s="149"/>
      <c r="R8" s="129" t="s">
        <v>33</v>
      </c>
      <c r="S8" s="105" t="n">
        <v>1</v>
      </c>
      <c r="T8" s="106"/>
      <c r="U8" s="106" t="n">
        <v>3</v>
      </c>
      <c r="V8" s="106" t="n">
        <v>2</v>
      </c>
      <c r="W8" s="106"/>
      <c r="X8" s="106" t="n">
        <v>2</v>
      </c>
      <c r="Y8" s="106"/>
      <c r="Z8" s="106" t="n">
        <v>2</v>
      </c>
      <c r="AA8" s="106"/>
      <c r="AB8" s="106" t="n">
        <v>2</v>
      </c>
      <c r="AC8" s="106"/>
      <c r="AD8" s="107"/>
      <c r="AE8" s="108" t="n">
        <v>12</v>
      </c>
      <c r="AF8" s="72"/>
      <c r="AG8" s="45" t="n">
        <f aca="false">COUNTIF(H51:H62,AI8)-1</f>
        <v>-1</v>
      </c>
      <c r="AH8" s="51" t="str">
        <f aca="false">$G$51</f>
        <v>Jon</v>
      </c>
      <c r="AI8" s="47" t="e">
        <f aca="false">maxine(J3:J14)</f>
        <v>#NAME?</v>
      </c>
      <c r="AJ8" s="41" t="s">
        <v>1925</v>
      </c>
      <c r="AK8" s="47" t="e">
        <f aca="false">maxine(J17:J20)</f>
        <v>#NAME?</v>
      </c>
      <c r="AL8" s="48" t="str">
        <f aca="false">$G$83</f>
        <v>Basses</v>
      </c>
      <c r="AM8" s="45" t="n">
        <f aca="false">COUNTIF(J17:J20,AK8)-1</f>
        <v>-1</v>
      </c>
      <c r="AN8" s="148"/>
      <c r="AO8" s="148"/>
    </row>
    <row r="9" customFormat="false" ht="14.25" hidden="false" customHeight="true" outlineLevel="0" collapsed="false">
      <c r="A9" s="94" t="s">
        <v>1447</v>
      </c>
      <c r="B9" s="95" t="n">
        <v>1</v>
      </c>
      <c r="C9" s="96" t="s">
        <v>43</v>
      </c>
      <c r="D9" s="17" t="s">
        <v>1918</v>
      </c>
      <c r="F9" s="17"/>
      <c r="G9" s="33" t="s">
        <v>1154</v>
      </c>
      <c r="H9" s="34" t="n">
        <f aca="false">COUNTIF($A:$A,G9)</f>
        <v>6</v>
      </c>
      <c r="I9" s="34" t="n">
        <f aca="false">COUNTIF($C:$C,G9)</f>
        <v>10</v>
      </c>
      <c r="J9" s="35" t="n">
        <f aca="false">H9/I9</f>
        <v>0.6</v>
      </c>
      <c r="K9" s="34" t="n">
        <f aca="false">GETPIVOTDATA("Points",$R$2,"Sniper",G9)</f>
        <v>9</v>
      </c>
      <c r="L9" s="34" t="n">
        <f aca="false">GETPIVOTDATA("Points",$R$2,"Snipee",G9)</f>
        <v>16</v>
      </c>
      <c r="M9" s="124" t="n">
        <f aca="false">K9/L9</f>
        <v>0.5625</v>
      </c>
      <c r="N9" s="35" t="n">
        <f aca="false">K9/H9</f>
        <v>1.5</v>
      </c>
      <c r="O9" s="35" t="n">
        <f aca="false">L9/I9</f>
        <v>1.6</v>
      </c>
      <c r="P9" s="143" t="n">
        <f aca="false">COUNT(S10:AD10)/11</f>
        <v>0.545454545454545</v>
      </c>
      <c r="Q9" s="149"/>
      <c r="R9" s="129" t="s">
        <v>1151</v>
      </c>
      <c r="S9" s="105" t="n">
        <v>1</v>
      </c>
      <c r="T9" s="106" t="n">
        <v>3</v>
      </c>
      <c r="U9" s="106" t="n">
        <v>1</v>
      </c>
      <c r="V9" s="106"/>
      <c r="W9" s="106"/>
      <c r="X9" s="106" t="n">
        <v>2</v>
      </c>
      <c r="Y9" s="106" t="n">
        <v>4</v>
      </c>
      <c r="Z9" s="106"/>
      <c r="AA9" s="106"/>
      <c r="AB9" s="106"/>
      <c r="AC9" s="106"/>
      <c r="AD9" s="107"/>
      <c r="AE9" s="108" t="n">
        <v>11</v>
      </c>
      <c r="AF9" s="72"/>
      <c r="AG9" s="45" t="n">
        <f aca="false">COUNTIF(R51:R62,AI9)-1</f>
        <v>-1</v>
      </c>
      <c r="AH9" s="51" t="str">
        <f aca="false">$Q$51</f>
        <v>Jon</v>
      </c>
      <c r="AI9" s="47" t="e">
        <f aca="false">maxine(M3:M14)</f>
        <v>#NAME?</v>
      </c>
      <c r="AJ9" s="41" t="s">
        <v>1926</v>
      </c>
      <c r="AK9" s="47" t="e">
        <f aca="false">maxine(M16:M19)</f>
        <v>#NAME?</v>
      </c>
      <c r="AL9" s="48" t="str">
        <f aca="false">$Q$83</f>
        <v>Baris</v>
      </c>
      <c r="AM9" s="45" t="n">
        <f aca="false">COUNTIF(M16:M19,AK9)-1</f>
        <v>-1</v>
      </c>
      <c r="AN9" s="148"/>
      <c r="AO9" s="148"/>
    </row>
    <row r="10" customFormat="false" ht="14.25" hidden="false" customHeight="true" outlineLevel="0" collapsed="false">
      <c r="A10" s="94" t="s">
        <v>30</v>
      </c>
      <c r="B10" s="95" t="n">
        <v>1</v>
      </c>
      <c r="C10" s="96" t="s">
        <v>1447</v>
      </c>
      <c r="D10" s="17" t="s">
        <v>1918</v>
      </c>
      <c r="F10" s="17"/>
      <c r="G10" s="33" t="s">
        <v>33</v>
      </c>
      <c r="H10" s="34" t="n">
        <f aca="false">COUNTIF($A:$A,G10)</f>
        <v>8</v>
      </c>
      <c r="I10" s="34" t="n">
        <f aca="false">COUNTIF($C:$C,G10)</f>
        <v>7</v>
      </c>
      <c r="J10" s="35" t="n">
        <f aca="false">H10/I10</f>
        <v>1.14285714285714</v>
      </c>
      <c r="K10" s="34" t="n">
        <f aca="false">GETPIVOTDATA("Points",$R$2,"Sniper",G10)</f>
        <v>12</v>
      </c>
      <c r="L10" s="34" t="n">
        <f aca="false">GETPIVOTDATA("Points",$R$2,"Snipee",G10)</f>
        <v>10</v>
      </c>
      <c r="M10" s="124" t="n">
        <f aca="false">K10/L10</f>
        <v>1.2</v>
      </c>
      <c r="N10" s="35" t="n">
        <f aca="false">K10/H10</f>
        <v>1.5</v>
      </c>
      <c r="O10" s="35" t="n">
        <f aca="false">L10/I10</f>
        <v>1.42857142857143</v>
      </c>
      <c r="P10" s="143" t="n">
        <f aca="false">COUNT(S8:AD8)/11</f>
        <v>0.545454545454545</v>
      </c>
      <c r="Q10" s="149"/>
      <c r="R10" s="129" t="s">
        <v>1154</v>
      </c>
      <c r="S10" s="105" t="n">
        <v>1</v>
      </c>
      <c r="T10" s="106"/>
      <c r="U10" s="106"/>
      <c r="V10" s="106"/>
      <c r="W10" s="106" t="n">
        <v>2</v>
      </c>
      <c r="X10" s="106" t="n">
        <v>2</v>
      </c>
      <c r="Y10" s="106"/>
      <c r="Z10" s="106" t="n">
        <v>1</v>
      </c>
      <c r="AA10" s="106" t="n">
        <v>1</v>
      </c>
      <c r="AB10" s="106" t="n">
        <v>2</v>
      </c>
      <c r="AC10" s="106"/>
      <c r="AD10" s="107"/>
      <c r="AE10" s="108" t="n">
        <v>9</v>
      </c>
      <c r="AF10" s="72"/>
    </row>
    <row r="11" customFormat="false" ht="14.25" hidden="false" customHeight="true" outlineLevel="0" collapsed="false">
      <c r="A11" s="94" t="s">
        <v>1447</v>
      </c>
      <c r="B11" s="95" t="n">
        <v>1</v>
      </c>
      <c r="C11" s="96" t="s">
        <v>30</v>
      </c>
      <c r="D11" s="17" t="s">
        <v>1918</v>
      </c>
      <c r="E11" s="6" t="n">
        <v>0</v>
      </c>
      <c r="F11" s="17"/>
      <c r="G11" s="33" t="s">
        <v>1447</v>
      </c>
      <c r="H11" s="34" t="n">
        <f aca="false">COUNTIF($A:$A,G11)</f>
        <v>22</v>
      </c>
      <c r="I11" s="34" t="n">
        <f aca="false">COUNTIF($C:$C,G11)</f>
        <v>13</v>
      </c>
      <c r="J11" s="35" t="n">
        <f aca="false">H11/I11</f>
        <v>1.69230769230769</v>
      </c>
      <c r="K11" s="34" t="n">
        <f aca="false">GETPIVOTDATA("Points",$R$2,"Sniper",G11)</f>
        <v>38</v>
      </c>
      <c r="L11" s="34" t="n">
        <f aca="false">GETPIVOTDATA("Points",$R$2,"Snipee",G11)</f>
        <v>15</v>
      </c>
      <c r="M11" s="124" t="n">
        <f aca="false">K11/L11</f>
        <v>2.53333333333333</v>
      </c>
      <c r="N11" s="35" t="n">
        <f aca="false">K11/H11</f>
        <v>1.72727272727273</v>
      </c>
      <c r="O11" s="35" t="n">
        <f aca="false">L11/I11</f>
        <v>1.15384615384615</v>
      </c>
      <c r="P11" s="143" t="n">
        <f aca="false">COUNT(S4:AD4)/11</f>
        <v>0.636363636363636</v>
      </c>
      <c r="Q11" s="149"/>
      <c r="R11" s="129" t="s">
        <v>1443</v>
      </c>
      <c r="S11" s="105"/>
      <c r="T11" s="106" t="n">
        <v>2</v>
      </c>
      <c r="U11" s="106"/>
      <c r="V11" s="106"/>
      <c r="W11" s="106"/>
      <c r="X11" s="106" t="n">
        <v>4</v>
      </c>
      <c r="Y11" s="106"/>
      <c r="Z11" s="106"/>
      <c r="AA11" s="106" t="n">
        <v>2</v>
      </c>
      <c r="AB11" s="106"/>
      <c r="AC11" s="106"/>
      <c r="AD11" s="107"/>
      <c r="AE11" s="108" t="n">
        <v>8</v>
      </c>
      <c r="AF11" s="72"/>
    </row>
    <row r="12" customFormat="false" ht="14.25" hidden="false" customHeight="true" outlineLevel="0" collapsed="false">
      <c r="A12" s="94" t="s">
        <v>1447</v>
      </c>
      <c r="B12" s="95" t="n">
        <v>1</v>
      </c>
      <c r="C12" s="96" t="s">
        <v>30</v>
      </c>
      <c r="D12" s="17" t="s">
        <v>1918</v>
      </c>
      <c r="E12" s="6" t="n">
        <v>0</v>
      </c>
      <c r="F12" s="17"/>
      <c r="G12" s="33" t="s">
        <v>43</v>
      </c>
      <c r="H12" s="34" t="n">
        <f aca="false">COUNTIF($A:$A,G12)</f>
        <v>10</v>
      </c>
      <c r="I12" s="34" t="n">
        <f aca="false">COUNTIF($C:$C,G12)</f>
        <v>14</v>
      </c>
      <c r="J12" s="35" t="n">
        <f aca="false">H12/I12</f>
        <v>0.714285714285714</v>
      </c>
      <c r="K12" s="34" t="n">
        <f aca="false">GETPIVOTDATA("Points",$R$2,"Sniper",G12)</f>
        <v>14</v>
      </c>
      <c r="L12" s="34" t="n">
        <f aca="false">GETPIVOTDATA("Points",$R$2,"Snipee",G12)</f>
        <v>23</v>
      </c>
      <c r="M12" s="124" t="n">
        <f aca="false">K12/L12</f>
        <v>0.608695652173913</v>
      </c>
      <c r="N12" s="35" t="n">
        <f aca="false">K12/H12</f>
        <v>1.4</v>
      </c>
      <c r="O12" s="35" t="n">
        <f aca="false">L12/I12</f>
        <v>1.64285714285714</v>
      </c>
      <c r="P12" s="143" t="n">
        <f aca="false">COUNT(S7:AD7)/11</f>
        <v>0.363636363636364</v>
      </c>
      <c r="Q12" s="149"/>
      <c r="R12" s="129" t="s">
        <v>42</v>
      </c>
      <c r="S12" s="105"/>
      <c r="T12" s="106"/>
      <c r="U12" s="106" t="n">
        <v>2</v>
      </c>
      <c r="V12" s="106"/>
      <c r="W12" s="106"/>
      <c r="X12" s="106"/>
      <c r="Y12" s="106"/>
      <c r="Z12" s="106"/>
      <c r="AA12" s="106"/>
      <c r="AB12" s="106"/>
      <c r="AC12" s="106" t="n">
        <v>3</v>
      </c>
      <c r="AD12" s="107"/>
      <c r="AE12" s="108" t="n">
        <v>5</v>
      </c>
      <c r="AF12" s="72"/>
      <c r="AG12" s="72"/>
    </row>
    <row r="13" customFormat="false" ht="14.25" hidden="false" customHeight="true" outlineLevel="0" collapsed="false">
      <c r="A13" s="94" t="s">
        <v>30</v>
      </c>
      <c r="B13" s="95" t="n">
        <v>1</v>
      </c>
      <c r="C13" s="96" t="s">
        <v>1447</v>
      </c>
      <c r="D13" s="17" t="s">
        <v>1918</v>
      </c>
      <c r="F13" s="17"/>
      <c r="G13" s="33" t="s">
        <v>11</v>
      </c>
      <c r="H13" s="34" t="n">
        <f aca="false">COUNTIF($A:$A,G13)</f>
        <v>17</v>
      </c>
      <c r="I13" s="34" t="n">
        <f aca="false">COUNTIF($C:$C,G13)</f>
        <v>9</v>
      </c>
      <c r="J13" s="35" t="n">
        <f aca="false">H13/I13</f>
        <v>1.88888888888889</v>
      </c>
      <c r="K13" s="34" t="n">
        <f aca="false">GETPIVOTDATA("Points",$R$2,"Sniper",G13)</f>
        <v>26</v>
      </c>
      <c r="L13" s="34" t="n">
        <f aca="false">GETPIVOTDATA("Points",$R$2,"Snipee",G13)</f>
        <v>12</v>
      </c>
      <c r="M13" s="124" t="n">
        <f aca="false">K13/L13</f>
        <v>2.16666666666667</v>
      </c>
      <c r="N13" s="35" t="n">
        <f aca="false">K13/H13</f>
        <v>1.52941176470588</v>
      </c>
      <c r="O13" s="35" t="n">
        <f aca="false">L13/I13</f>
        <v>1.33333333333333</v>
      </c>
      <c r="P13" s="143" t="n">
        <f aca="false">COUNT(S6:AD6)/11</f>
        <v>0.818181818181818</v>
      </c>
      <c r="Q13" s="149"/>
      <c r="R13" s="129" t="s">
        <v>40</v>
      </c>
      <c r="S13" s="105" t="n">
        <v>1</v>
      </c>
      <c r="T13" s="106"/>
      <c r="U13" s="106"/>
      <c r="V13" s="106" t="n">
        <v>2</v>
      </c>
      <c r="W13" s="106"/>
      <c r="X13" s="106"/>
      <c r="Y13" s="106"/>
      <c r="Z13" s="106" t="n">
        <v>1</v>
      </c>
      <c r="AA13" s="106"/>
      <c r="AB13" s="106"/>
      <c r="AC13" s="106"/>
      <c r="AD13" s="107"/>
      <c r="AE13" s="108" t="n">
        <v>4</v>
      </c>
      <c r="AF13" s="72"/>
      <c r="AG13" s="72"/>
    </row>
    <row r="14" customFormat="false" ht="14.25" hidden="false" customHeight="true" outlineLevel="0" collapsed="false">
      <c r="A14" s="94" t="s">
        <v>1447</v>
      </c>
      <c r="B14" s="95" t="n">
        <v>2</v>
      </c>
      <c r="C14" s="96" t="s">
        <v>1154</v>
      </c>
      <c r="D14" s="17" t="s">
        <v>1918</v>
      </c>
      <c r="F14" s="17"/>
      <c r="G14" s="137" t="s">
        <v>1443</v>
      </c>
      <c r="H14" s="34" t="n">
        <f aca="false">COUNTIF($A:$A,G14)</f>
        <v>4</v>
      </c>
      <c r="I14" s="34" t="n">
        <f aca="false">COUNTIF($C:$C,G14)</f>
        <v>1</v>
      </c>
      <c r="J14" s="35" t="n">
        <f aca="false">H14/I14</f>
        <v>4</v>
      </c>
      <c r="K14" s="34" t="n">
        <f aca="false">GETPIVOTDATA("Points",$R$2,"Sniper",G14)</f>
        <v>8</v>
      </c>
      <c r="L14" s="34" t="n">
        <f aca="false">GETPIVOTDATA("Points",$R$2,"Snipee",G14)</f>
        <v>2</v>
      </c>
      <c r="M14" s="124" t="n">
        <f aca="false">K14/L14</f>
        <v>4</v>
      </c>
      <c r="N14" s="35" t="n">
        <f aca="false">K14/H14</f>
        <v>2</v>
      </c>
      <c r="O14" s="35" t="n">
        <f aca="false">L14/I14</f>
        <v>2</v>
      </c>
      <c r="P14" s="143" t="n">
        <f aca="false">COUNT(S11:AD11)/11</f>
        <v>0.272727272727273</v>
      </c>
      <c r="Q14" s="149"/>
      <c r="R14" s="129" t="s">
        <v>41</v>
      </c>
      <c r="S14" s="109"/>
      <c r="T14" s="110"/>
      <c r="U14" s="110" t="n">
        <v>2</v>
      </c>
      <c r="V14" s="110"/>
      <c r="W14" s="110"/>
      <c r="X14" s="110" t="n">
        <v>2</v>
      </c>
      <c r="Y14" s="110"/>
      <c r="Z14" s="110"/>
      <c r="AA14" s="110"/>
      <c r="AB14" s="110"/>
      <c r="AC14" s="110"/>
      <c r="AD14" s="111"/>
      <c r="AE14" s="112" t="n">
        <v>4</v>
      </c>
      <c r="AF14" s="72"/>
      <c r="AG14" s="72"/>
    </row>
    <row r="15" customFormat="false" ht="14.25" hidden="false" customHeight="true" outlineLevel="0" collapsed="false">
      <c r="A15" s="94" t="s">
        <v>1154</v>
      </c>
      <c r="B15" s="95" t="n">
        <v>2</v>
      </c>
      <c r="C15" s="96" t="s">
        <v>40</v>
      </c>
      <c r="D15" s="17" t="s">
        <v>1918</v>
      </c>
      <c r="F15" s="17"/>
      <c r="G15" s="7" t="s">
        <v>1927</v>
      </c>
      <c r="H15" s="7"/>
      <c r="I15" s="7"/>
      <c r="J15" s="7"/>
      <c r="K15" s="7"/>
      <c r="L15" s="7"/>
      <c r="M15" s="7"/>
      <c r="N15" s="7"/>
      <c r="O15" s="7"/>
      <c r="Q15" s="8"/>
      <c r="R15" s="63" t="s">
        <v>44</v>
      </c>
      <c r="S15" s="113" t="n">
        <v>30</v>
      </c>
      <c r="T15" s="114" t="n">
        <v>23</v>
      </c>
      <c r="U15" s="114" t="n">
        <v>16</v>
      </c>
      <c r="V15" s="114" t="n">
        <v>15</v>
      </c>
      <c r="W15" s="114" t="n">
        <v>14</v>
      </c>
      <c r="X15" s="114" t="n">
        <v>13</v>
      </c>
      <c r="Y15" s="114" t="n">
        <v>12</v>
      </c>
      <c r="Z15" s="114" t="n">
        <v>11</v>
      </c>
      <c r="AA15" s="114" t="n">
        <v>10</v>
      </c>
      <c r="AB15" s="114" t="n">
        <v>9</v>
      </c>
      <c r="AC15" s="114" t="n">
        <v>3</v>
      </c>
      <c r="AD15" s="115" t="n">
        <v>2</v>
      </c>
      <c r="AE15" s="65" t="n">
        <v>158</v>
      </c>
      <c r="AG15" s="138"/>
    </row>
    <row r="16" customFormat="false" ht="14.25" hidden="false" customHeight="true" outlineLevel="0" collapsed="false">
      <c r="A16" s="94" t="s">
        <v>1151</v>
      </c>
      <c r="B16" s="95" t="n">
        <v>2</v>
      </c>
      <c r="C16" s="96" t="s">
        <v>11</v>
      </c>
      <c r="D16" s="17" t="s">
        <v>1918</v>
      </c>
      <c r="F16" s="17"/>
      <c r="G16" s="52" t="s">
        <v>108</v>
      </c>
      <c r="H16" s="21" t="s">
        <v>16</v>
      </c>
      <c r="I16" s="21" t="s">
        <v>17</v>
      </c>
      <c r="J16" s="21" t="s">
        <v>18</v>
      </c>
      <c r="K16" s="21" t="s">
        <v>19</v>
      </c>
      <c r="L16" s="21" t="s">
        <v>20</v>
      </c>
      <c r="M16" s="21" t="s">
        <v>21</v>
      </c>
      <c r="N16" s="21" t="s">
        <v>22</v>
      </c>
      <c r="O16" s="21" t="s">
        <v>23</v>
      </c>
      <c r="Q16" s="58"/>
      <c r="AG16" s="72"/>
      <c r="AK16" s="84"/>
    </row>
    <row r="17" customFormat="false" ht="14.25" hidden="false" customHeight="true" outlineLevel="0" collapsed="false">
      <c r="A17" s="94" t="s">
        <v>30</v>
      </c>
      <c r="B17" s="95" t="n">
        <v>2</v>
      </c>
      <c r="C17" s="96" t="s">
        <v>11</v>
      </c>
      <c r="D17" s="17" t="s">
        <v>1918</v>
      </c>
      <c r="F17" s="17"/>
      <c r="G17" s="33" t="s">
        <v>111</v>
      </c>
      <c r="H17" s="34" t="n">
        <f aca="false">SUM(H3:H5)</f>
        <v>25</v>
      </c>
      <c r="I17" s="34" t="n">
        <f aca="false">SUM(I3:I5)</f>
        <v>35</v>
      </c>
      <c r="J17" s="35" t="n">
        <f aca="false">H17/I17</f>
        <v>0.714285714285714</v>
      </c>
      <c r="K17" s="34" t="n">
        <f aca="false">SUM(K3:K5)</f>
        <v>32</v>
      </c>
      <c r="L17" s="34" t="n">
        <f aca="false">SUM(L3:L5)</f>
        <v>57</v>
      </c>
      <c r="M17" s="35" t="n">
        <f aca="false">K17/L17</f>
        <v>0.56140350877193</v>
      </c>
      <c r="N17" s="35" t="n">
        <f aca="false">K17/H17</f>
        <v>1.28</v>
      </c>
      <c r="O17" s="35" t="n">
        <f aca="false">L17/I17</f>
        <v>1.62857142857143</v>
      </c>
      <c r="Q17" s="17"/>
      <c r="AE17" s="139" t="s">
        <v>194</v>
      </c>
      <c r="AF17" s="140" t="s">
        <v>16</v>
      </c>
      <c r="AG17" s="140" t="s">
        <v>17</v>
      </c>
      <c r="AH17" s="140" t="s">
        <v>18</v>
      </c>
      <c r="AI17" s="140" t="s">
        <v>19</v>
      </c>
      <c r="AJ17" s="140" t="s">
        <v>20</v>
      </c>
      <c r="AK17" s="140" t="s">
        <v>21</v>
      </c>
      <c r="AL17" s="140" t="s">
        <v>22</v>
      </c>
      <c r="AM17" s="140" t="s">
        <v>23</v>
      </c>
      <c r="AN17" s="140" t="s">
        <v>24</v>
      </c>
      <c r="AO17" s="140" t="s">
        <v>1884</v>
      </c>
    </row>
    <row r="18" customFormat="false" ht="14.25" hidden="false" customHeight="true" outlineLevel="0" collapsed="false">
      <c r="A18" s="94" t="s">
        <v>1447</v>
      </c>
      <c r="B18" s="95" t="n">
        <v>2</v>
      </c>
      <c r="C18" s="96" t="s">
        <v>1919</v>
      </c>
      <c r="D18" s="17" t="s">
        <v>1918</v>
      </c>
      <c r="F18" s="17"/>
      <c r="G18" s="33" t="s">
        <v>114</v>
      </c>
      <c r="H18" s="34" t="n">
        <f aca="false">SUM(H6:H8)</f>
        <v>12</v>
      </c>
      <c r="I18" s="34" t="n">
        <f aca="false">SUM(I6:I8)</f>
        <v>15</v>
      </c>
      <c r="J18" s="35" t="n">
        <f aca="false">H18/I18</f>
        <v>0.8</v>
      </c>
      <c r="K18" s="34" t="n">
        <f aca="false">SUM(K6:K8)</f>
        <v>19</v>
      </c>
      <c r="L18" s="34" t="n">
        <f aca="false">SUM(L6:L8)</f>
        <v>23</v>
      </c>
      <c r="M18" s="35" t="n">
        <f aca="false">K18/L18</f>
        <v>0.826086956521739</v>
      </c>
      <c r="N18" s="35" t="n">
        <f aca="false">K18/H18</f>
        <v>1.58333333333333</v>
      </c>
      <c r="O18" s="35" t="n">
        <f aca="false">L18/I18</f>
        <v>1.53333333333333</v>
      </c>
      <c r="AE18" s="141" t="s">
        <v>91</v>
      </c>
      <c r="AF18" s="55" t="n">
        <v>7.5</v>
      </c>
      <c r="AG18" s="56" t="n">
        <v>-6</v>
      </c>
      <c r="AH18" s="56" t="n">
        <v>25</v>
      </c>
      <c r="AI18" s="56" t="n">
        <v>8.5</v>
      </c>
      <c r="AJ18" s="56" t="n">
        <v>-6.5</v>
      </c>
      <c r="AK18" s="56" t="n">
        <v>25</v>
      </c>
      <c r="AL18" s="56" t="n">
        <v>20</v>
      </c>
      <c r="AM18" s="56" t="n">
        <v>-20</v>
      </c>
      <c r="AN18" s="31" t="n">
        <v>100</v>
      </c>
      <c r="AO18" s="56" t="n">
        <v>4</v>
      </c>
      <c r="AP18" s="45" t="s">
        <v>92</v>
      </c>
      <c r="AQ18" s="142" t="s">
        <v>1185</v>
      </c>
    </row>
    <row r="19" customFormat="false" ht="14.25" hidden="false" customHeight="true" outlineLevel="0" collapsed="false">
      <c r="A19" s="94" t="s">
        <v>1447</v>
      </c>
      <c r="B19" s="95" t="n">
        <v>2</v>
      </c>
      <c r="C19" s="96" t="s">
        <v>40</v>
      </c>
      <c r="D19" s="17" t="s">
        <v>1918</v>
      </c>
      <c r="F19" s="17"/>
      <c r="G19" s="33" t="s">
        <v>117</v>
      </c>
      <c r="H19" s="34" t="n">
        <f aca="false">SUM(H9:H11)</f>
        <v>36</v>
      </c>
      <c r="I19" s="34" t="n">
        <f aca="false">SUM(I9:I11)</f>
        <v>30</v>
      </c>
      <c r="J19" s="35" t="n">
        <f aca="false">H19/I19</f>
        <v>1.2</v>
      </c>
      <c r="K19" s="34" t="n">
        <f aca="false">SUM(K9:K11)</f>
        <v>59</v>
      </c>
      <c r="L19" s="34" t="n">
        <f aca="false">SUM(L9:L11)</f>
        <v>41</v>
      </c>
      <c r="M19" s="35" t="n">
        <f aca="false">K19/L19</f>
        <v>1.4390243902439</v>
      </c>
      <c r="N19" s="35" t="n">
        <f aca="false">K19/H19</f>
        <v>1.63888888888889</v>
      </c>
      <c r="O19" s="35" t="n">
        <f aca="false">L19/I19</f>
        <v>1.36666666666667</v>
      </c>
      <c r="Q19" s="71"/>
      <c r="R19" s="116" t="s">
        <v>30</v>
      </c>
      <c r="S19" s="40" t="s">
        <v>595</v>
      </c>
      <c r="T19" s="117" t="s">
        <v>596</v>
      </c>
      <c r="U19" s="118" t="s">
        <v>597</v>
      </c>
      <c r="V19" s="119" t="s">
        <v>598</v>
      </c>
      <c r="AE19" s="141" t="s">
        <v>30</v>
      </c>
      <c r="AF19" s="35" t="n">
        <f aca="false">H3*$AF$18</f>
        <v>165</v>
      </c>
      <c r="AG19" s="35" t="n">
        <f aca="false">I3*$AG$18</f>
        <v>-126</v>
      </c>
      <c r="AH19" s="35" t="n">
        <f aca="false">J3*$AH$18</f>
        <v>26.1904761904762</v>
      </c>
      <c r="AI19" s="35" t="n">
        <f aca="false">K3*$AI$18</f>
        <v>229.5</v>
      </c>
      <c r="AJ19" s="35" t="n">
        <f aca="false">L3*$AJ$18</f>
        <v>-195</v>
      </c>
      <c r="AK19" s="35" t="n">
        <f aca="false">M3*$AK$18</f>
        <v>22.5</v>
      </c>
      <c r="AL19" s="35" t="n">
        <f aca="false">N3*$AL$18</f>
        <v>24.5454545454545</v>
      </c>
      <c r="AM19" s="35" t="n">
        <f aca="false">O3*$AM$18</f>
        <v>-28.5714285714286</v>
      </c>
      <c r="AN19" s="143" t="n">
        <f aca="false">P3*$AN$18</f>
        <v>63.6363636363636</v>
      </c>
      <c r="AO19" s="35" t="n">
        <f aca="false">SUM(H3:I3)*$AO$18</f>
        <v>172</v>
      </c>
      <c r="AP19" s="77" t="n">
        <f aca="false">SUM(AF19:AO19)</f>
        <v>353.800865800866</v>
      </c>
      <c r="AQ19" s="142"/>
    </row>
    <row r="20" customFormat="false" ht="14.25" hidden="false" customHeight="true" outlineLevel="0" collapsed="false">
      <c r="A20" s="94" t="s">
        <v>1151</v>
      </c>
      <c r="B20" s="95" t="n">
        <v>2</v>
      </c>
      <c r="C20" s="96" t="s">
        <v>43</v>
      </c>
      <c r="D20" s="17" t="s">
        <v>1918</v>
      </c>
      <c r="F20" s="17"/>
      <c r="G20" s="33" t="s">
        <v>120</v>
      </c>
      <c r="H20" s="34" t="n">
        <f aca="false">SUM(H12:H14)</f>
        <v>31</v>
      </c>
      <c r="I20" s="34" t="n">
        <f aca="false">SUM(I12:I14)</f>
        <v>24</v>
      </c>
      <c r="J20" s="35" t="n">
        <f aca="false">H20/I20</f>
        <v>1.29166666666667</v>
      </c>
      <c r="K20" s="34" t="n">
        <f aca="false">SUM(K12:K14)</f>
        <v>48</v>
      </c>
      <c r="L20" s="34" t="n">
        <f aca="false">SUM(L12:L14)</f>
        <v>37</v>
      </c>
      <c r="M20" s="35" t="n">
        <f aca="false">K20/L20</f>
        <v>1.2972972972973</v>
      </c>
      <c r="N20" s="35" t="n">
        <f aca="false">K20/H20</f>
        <v>1.54838709677419</v>
      </c>
      <c r="O20" s="35" t="n">
        <f aca="false">L20/I20</f>
        <v>1.54166666666667</v>
      </c>
      <c r="Q20" s="71"/>
      <c r="R20" s="46" t="s">
        <v>600</v>
      </c>
      <c r="S20" s="40" t="n">
        <f aca="false">COUNT(E:E)</f>
        <v>21</v>
      </c>
      <c r="T20" s="117" t="n">
        <f aca="false">COUNTIF(E:E,"1")</f>
        <v>6</v>
      </c>
      <c r="U20" s="118" t="n">
        <f aca="false">COUNTIF(E:E,"0")</f>
        <v>15</v>
      </c>
      <c r="V20" s="120" t="n">
        <f aca="false">T20/S20</f>
        <v>0.285714285714286</v>
      </c>
      <c r="AE20" s="141" t="s">
        <v>42</v>
      </c>
      <c r="AF20" s="35" t="n">
        <f aca="false">H4*$AF$18</f>
        <v>22.5</v>
      </c>
      <c r="AG20" s="35" t="n">
        <f aca="false">I4*$AG$18</f>
        <v>-42</v>
      </c>
      <c r="AH20" s="35" t="n">
        <f aca="false">J4*$AH$18</f>
        <v>10.7142857142857</v>
      </c>
      <c r="AI20" s="35" t="n">
        <f aca="false">K4*$AI$18</f>
        <v>42.5</v>
      </c>
      <c r="AJ20" s="35" t="n">
        <f aca="false">L4*$AJ$18</f>
        <v>-84.5</v>
      </c>
      <c r="AK20" s="35" t="n">
        <f aca="false">M4*$AK$18</f>
        <v>9.61538461538462</v>
      </c>
      <c r="AL20" s="35" t="n">
        <f aca="false">N4*$AL$18</f>
        <v>33.3333333333333</v>
      </c>
      <c r="AM20" s="35" t="n">
        <f aca="false">O4*$AM$18</f>
        <v>-37.1428571428571</v>
      </c>
      <c r="AN20" s="143" t="n">
        <f aca="false">P4*$AN$18</f>
        <v>18.1818181818182</v>
      </c>
      <c r="AO20" s="35" t="n">
        <f aca="false">SUM(H4:I4)*$AO$18</f>
        <v>40</v>
      </c>
      <c r="AP20" s="77" t="n">
        <f aca="false">SUM(AF20:AO20)</f>
        <v>13.2019647019647</v>
      </c>
      <c r="AQ20" s="142"/>
    </row>
    <row r="21" customFormat="false" ht="14.25" hidden="false" customHeight="true" outlineLevel="0" collapsed="false">
      <c r="A21" s="94" t="s">
        <v>1151</v>
      </c>
      <c r="B21" s="95" t="n">
        <v>2</v>
      </c>
      <c r="C21" s="96" t="s">
        <v>11</v>
      </c>
      <c r="D21" s="17" t="s">
        <v>1918</v>
      </c>
      <c r="F21" s="17"/>
      <c r="J21" s="72"/>
      <c r="K21" s="72"/>
      <c r="L21" s="72"/>
      <c r="M21" s="84"/>
      <c r="N21" s="84"/>
      <c r="O21" s="84"/>
      <c r="P21" s="84"/>
      <c r="Q21" s="8"/>
      <c r="AE21" s="141" t="s">
        <v>1919</v>
      </c>
      <c r="AF21" s="35" t="n">
        <f aca="false">H5*$AF$18</f>
        <v>0</v>
      </c>
      <c r="AG21" s="35" t="n">
        <f aca="false">I5*$AG$18</f>
        <v>-42</v>
      </c>
      <c r="AH21" s="35" t="n">
        <f aca="false">J5*$AH$18</f>
        <v>0</v>
      </c>
      <c r="AI21" s="35" t="n">
        <f aca="false">K5*$AI$18</f>
        <v>0</v>
      </c>
      <c r="AJ21" s="35" t="n">
        <f aca="false">L5*$AJ$18</f>
        <v>-91</v>
      </c>
      <c r="AK21" s="35" t="n">
        <f aca="false">M5*$AK$18</f>
        <v>0</v>
      </c>
      <c r="AL21" s="35" t="n">
        <f aca="false">N5*$AL$18</f>
        <v>0</v>
      </c>
      <c r="AM21" s="35" t="n">
        <f aca="false">O5*$AM$18</f>
        <v>-40</v>
      </c>
      <c r="AN21" s="143" t="n">
        <f aca="false">P5*$AN$18</f>
        <v>0</v>
      </c>
      <c r="AO21" s="35" t="n">
        <f aca="false">SUM(H5:I5)*$AO$18</f>
        <v>28</v>
      </c>
      <c r="AP21" s="77" t="n">
        <f aca="false">SUM(AF21:AO21)</f>
        <v>-145</v>
      </c>
      <c r="AQ21" s="142"/>
    </row>
    <row r="22" customFormat="false" ht="14.25" hidden="false" customHeight="true" outlineLevel="0" collapsed="false">
      <c r="A22" s="94" t="s">
        <v>11</v>
      </c>
      <c r="B22" s="95" t="n">
        <v>1</v>
      </c>
      <c r="C22" s="96" t="s">
        <v>1151</v>
      </c>
      <c r="D22" s="17" t="s">
        <v>1918</v>
      </c>
      <c r="F22" s="17"/>
      <c r="G22" s="141" t="s">
        <v>88</v>
      </c>
      <c r="H22" s="41" t="s">
        <v>16</v>
      </c>
      <c r="J22" s="72"/>
      <c r="K22" s="72"/>
      <c r="L22" s="72"/>
      <c r="M22" s="84"/>
      <c r="N22" s="84"/>
      <c r="O22" s="84"/>
      <c r="Q22" s="141" t="s">
        <v>88</v>
      </c>
      <c r="R22" s="41" t="s">
        <v>19</v>
      </c>
      <c r="AE22" s="141" t="s">
        <v>40</v>
      </c>
      <c r="AF22" s="35" t="n">
        <f aca="false">H6*$AF$18</f>
        <v>22.5</v>
      </c>
      <c r="AG22" s="35" t="n">
        <f aca="false">I6*$AG$18</f>
        <v>-30</v>
      </c>
      <c r="AH22" s="35" t="n">
        <f aca="false">J6*$AH$18</f>
        <v>15</v>
      </c>
      <c r="AI22" s="35" t="n">
        <f aca="false">K6*$AI$18</f>
        <v>34</v>
      </c>
      <c r="AJ22" s="35" t="n">
        <f aca="false">L6*$AJ$18</f>
        <v>-58.5</v>
      </c>
      <c r="AK22" s="35" t="n">
        <f aca="false">M6*$AK$18</f>
        <v>11.1111111111111</v>
      </c>
      <c r="AL22" s="35" t="n">
        <f aca="false">N6*$AL$18</f>
        <v>26.6666666666667</v>
      </c>
      <c r="AM22" s="35" t="n">
        <f aca="false">O6*$AM$18</f>
        <v>-36</v>
      </c>
      <c r="AN22" s="143" t="n">
        <f aca="false">P6*$AN$18</f>
        <v>27.2727272727273</v>
      </c>
      <c r="AO22" s="35" t="n">
        <f aca="false">SUM(H6:I6)*$AO$18</f>
        <v>32</v>
      </c>
      <c r="AP22" s="77" t="n">
        <f aca="false">SUM(AF22:AO22)</f>
        <v>44.050505050505</v>
      </c>
      <c r="AQ22" s="142"/>
    </row>
    <row r="23" customFormat="false" ht="14.25" hidden="false" customHeight="true" outlineLevel="0" collapsed="false">
      <c r="A23" s="94" t="s">
        <v>1151</v>
      </c>
      <c r="B23" s="95" t="n">
        <v>1</v>
      </c>
      <c r="C23" s="96" t="s">
        <v>30</v>
      </c>
      <c r="D23" s="17" t="s">
        <v>1918</v>
      </c>
      <c r="E23" s="6" t="n">
        <v>0</v>
      </c>
      <c r="F23" s="17"/>
      <c r="G23" s="141" t="s">
        <v>30</v>
      </c>
      <c r="H23" s="144" t="n">
        <f aca="false">$H$3</f>
        <v>22</v>
      </c>
      <c r="J23" s="72"/>
      <c r="K23" s="72"/>
      <c r="L23" s="72"/>
      <c r="M23" s="84"/>
      <c r="N23" s="84"/>
      <c r="O23" s="84"/>
      <c r="Q23" s="141" t="s">
        <v>1447</v>
      </c>
      <c r="R23" s="117" t="n">
        <f aca="false">$K$11</f>
        <v>38</v>
      </c>
      <c r="AE23" s="141" t="s">
        <v>41</v>
      </c>
      <c r="AF23" s="35" t="n">
        <f aca="false">H7*$AF$18</f>
        <v>15</v>
      </c>
      <c r="AG23" s="35" t="n">
        <f aca="false">I7*$AG$18</f>
        <v>-12</v>
      </c>
      <c r="AH23" s="35" t="n">
        <f aca="false">J7*$AH$18</f>
        <v>25</v>
      </c>
      <c r="AI23" s="35" t="n">
        <f aca="false">K7*$AI$18</f>
        <v>34</v>
      </c>
      <c r="AJ23" s="35" t="n">
        <f aca="false">L7*$AJ$18</f>
        <v>-19.5</v>
      </c>
      <c r="AK23" s="35" t="n">
        <f aca="false">M7*$AK$18</f>
        <v>33.3333333333333</v>
      </c>
      <c r="AL23" s="35" t="n">
        <f aca="false">N7*$AL$18</f>
        <v>40</v>
      </c>
      <c r="AM23" s="35" t="n">
        <f aca="false">O7*$AM$18</f>
        <v>-30</v>
      </c>
      <c r="AN23" s="143" t="n">
        <f aca="false">P7*$AN$18</f>
        <v>18.1818181818182</v>
      </c>
      <c r="AO23" s="35" t="n">
        <f aca="false">SUM(H7:I7)*$AO$18</f>
        <v>16</v>
      </c>
      <c r="AP23" s="77" t="n">
        <f aca="false">SUM(AF23:AO23)</f>
        <v>120.015151515152</v>
      </c>
      <c r="AQ23" s="142"/>
    </row>
    <row r="24" customFormat="false" ht="14.25" hidden="false" customHeight="true" outlineLevel="0" collapsed="false">
      <c r="A24" s="94" t="s">
        <v>11</v>
      </c>
      <c r="B24" s="95" t="n">
        <v>1</v>
      </c>
      <c r="C24" s="96" t="s">
        <v>30</v>
      </c>
      <c r="D24" s="17" t="s">
        <v>1918</v>
      </c>
      <c r="E24" s="6" t="n">
        <v>0</v>
      </c>
      <c r="F24" s="17"/>
      <c r="G24" s="141" t="s">
        <v>1447</v>
      </c>
      <c r="H24" s="144" t="n">
        <f aca="false">$H$11</f>
        <v>22</v>
      </c>
      <c r="J24" s="72"/>
      <c r="K24" s="72"/>
      <c r="L24" s="72"/>
      <c r="M24" s="84"/>
      <c r="N24" s="84"/>
      <c r="O24" s="84"/>
      <c r="Q24" s="141" t="s">
        <v>30</v>
      </c>
      <c r="R24" s="117" t="n">
        <f aca="false">$K$3</f>
        <v>27</v>
      </c>
      <c r="T24" s="72"/>
      <c r="U24" s="72"/>
      <c r="V24" s="72"/>
      <c r="W24" s="72"/>
      <c r="X24" s="72"/>
      <c r="Y24" s="72"/>
      <c r="Z24" s="72"/>
      <c r="AA24" s="72"/>
      <c r="AB24" s="72"/>
      <c r="AC24" s="72"/>
      <c r="AD24" s="72"/>
      <c r="AE24" s="141" t="s">
        <v>1151</v>
      </c>
      <c r="AF24" s="35" t="n">
        <f aca="false">H8*$AF$18</f>
        <v>52.5</v>
      </c>
      <c r="AG24" s="35" t="n">
        <f aca="false">I8*$AG$18</f>
        <v>-48</v>
      </c>
      <c r="AH24" s="35" t="n">
        <f aca="false">J8*$AH$18</f>
        <v>21.875</v>
      </c>
      <c r="AI24" s="35" t="n">
        <f aca="false">K8*$AI$18</f>
        <v>93.5</v>
      </c>
      <c r="AJ24" s="35" t="n">
        <f aca="false">L8*$AJ$18</f>
        <v>-71.5</v>
      </c>
      <c r="AK24" s="35" t="n">
        <f aca="false">M8*$AK$18</f>
        <v>25</v>
      </c>
      <c r="AL24" s="35" t="n">
        <f aca="false">N8*$AL$18</f>
        <v>31.4285714285714</v>
      </c>
      <c r="AM24" s="35" t="n">
        <f aca="false">O8*$AM$18</f>
        <v>-27.5</v>
      </c>
      <c r="AN24" s="143" t="n">
        <f aca="false">P8*$AN$18</f>
        <v>45.4545454545455</v>
      </c>
      <c r="AO24" s="35" t="n">
        <f aca="false">SUM(H8:I8)*$AO$18</f>
        <v>60</v>
      </c>
      <c r="AP24" s="77" t="n">
        <f aca="false">SUM(AF24:AO24)</f>
        <v>182.758116883117</v>
      </c>
      <c r="AQ24" s="142"/>
    </row>
    <row r="25" customFormat="false" ht="14.25" hidden="false" customHeight="true" outlineLevel="0" collapsed="false">
      <c r="A25" s="94" t="s">
        <v>30</v>
      </c>
      <c r="B25" s="95" t="n">
        <v>1</v>
      </c>
      <c r="C25" s="96" t="s">
        <v>11</v>
      </c>
      <c r="D25" s="17" t="s">
        <v>1918</v>
      </c>
      <c r="F25" s="17"/>
      <c r="G25" s="141" t="s">
        <v>11</v>
      </c>
      <c r="H25" s="144" t="n">
        <f aca="false">$H$13</f>
        <v>17</v>
      </c>
      <c r="J25" s="72"/>
      <c r="K25" s="72"/>
      <c r="L25" s="72"/>
      <c r="M25" s="84"/>
      <c r="N25" s="84"/>
      <c r="O25" s="84"/>
      <c r="Q25" s="141" t="s">
        <v>11</v>
      </c>
      <c r="R25" s="117" t="n">
        <f aca="false">$K$13</f>
        <v>26</v>
      </c>
      <c r="T25" s="72"/>
      <c r="U25" s="72"/>
      <c r="V25" s="72"/>
      <c r="W25" s="72"/>
      <c r="X25" s="72"/>
      <c r="Y25" s="72"/>
      <c r="Z25" s="72"/>
      <c r="AA25" s="72"/>
      <c r="AB25" s="72"/>
      <c r="AC25" s="72"/>
      <c r="AD25" s="72"/>
      <c r="AE25" s="141" t="s">
        <v>1154</v>
      </c>
      <c r="AF25" s="35" t="n">
        <f aca="false">H9*$AF$18</f>
        <v>45</v>
      </c>
      <c r="AG25" s="35" t="n">
        <f aca="false">I9*$AG$18</f>
        <v>-60</v>
      </c>
      <c r="AH25" s="35" t="n">
        <f aca="false">J9*$AH$18</f>
        <v>15</v>
      </c>
      <c r="AI25" s="35" t="n">
        <f aca="false">K9*$AI$18</f>
        <v>76.5</v>
      </c>
      <c r="AJ25" s="35" t="n">
        <f aca="false">L9*$AJ$18</f>
        <v>-104</v>
      </c>
      <c r="AK25" s="35" t="n">
        <f aca="false">M9*$AK$18</f>
        <v>14.0625</v>
      </c>
      <c r="AL25" s="35" t="n">
        <f aca="false">N9*$AL$18</f>
        <v>30</v>
      </c>
      <c r="AM25" s="35" t="n">
        <f aca="false">O9*$AM$18</f>
        <v>-32</v>
      </c>
      <c r="AN25" s="143" t="n">
        <f aca="false">P9*$AN$18</f>
        <v>54.5454545454545</v>
      </c>
      <c r="AO25" s="35" t="n">
        <f aca="false">SUM(H9:I9)*$AO$18</f>
        <v>64</v>
      </c>
      <c r="AP25" s="77" t="n">
        <f aca="false">SUM(AF25:AO25)</f>
        <v>103.107954545455</v>
      </c>
      <c r="AQ25" s="142"/>
    </row>
    <row r="26" customFormat="false" ht="14.25" hidden="false" customHeight="true" outlineLevel="0" collapsed="false">
      <c r="A26" s="94" t="s">
        <v>30</v>
      </c>
      <c r="B26" s="95" t="n">
        <v>1</v>
      </c>
      <c r="C26" s="96" t="s">
        <v>1151</v>
      </c>
      <c r="D26" s="17" t="s">
        <v>1918</v>
      </c>
      <c r="F26" s="17"/>
      <c r="G26" s="141" t="s">
        <v>43</v>
      </c>
      <c r="H26" s="144" t="n">
        <f aca="false">$H$12</f>
        <v>10</v>
      </c>
      <c r="J26" s="72"/>
      <c r="K26" s="72"/>
      <c r="L26" s="72"/>
      <c r="M26" s="84"/>
      <c r="N26" s="84"/>
      <c r="O26" s="84"/>
      <c r="Q26" s="141" t="s">
        <v>43</v>
      </c>
      <c r="R26" s="117" t="n">
        <f aca="false">$K$12</f>
        <v>14</v>
      </c>
      <c r="T26" s="72"/>
      <c r="U26" s="72"/>
      <c r="V26" s="72"/>
      <c r="W26" s="72"/>
      <c r="X26" s="72"/>
      <c r="Y26" s="72"/>
      <c r="Z26" s="72"/>
      <c r="AA26" s="72"/>
      <c r="AB26" s="72"/>
      <c r="AC26" s="72"/>
      <c r="AD26" s="72"/>
      <c r="AE26" s="141" t="s">
        <v>33</v>
      </c>
      <c r="AF26" s="35" t="n">
        <f aca="false">H10*$AF$18</f>
        <v>60</v>
      </c>
      <c r="AG26" s="35" t="n">
        <f aca="false">I10*$AG$18</f>
        <v>-42</v>
      </c>
      <c r="AH26" s="35" t="n">
        <f aca="false">J10*$AH$18</f>
        <v>28.5714285714286</v>
      </c>
      <c r="AI26" s="35" t="n">
        <f aca="false">K10*$AI$18</f>
        <v>102</v>
      </c>
      <c r="AJ26" s="35" t="n">
        <f aca="false">L10*$AJ$18</f>
        <v>-65</v>
      </c>
      <c r="AK26" s="35" t="n">
        <f aca="false">M10*$AK$18</f>
        <v>30</v>
      </c>
      <c r="AL26" s="35" t="n">
        <f aca="false">N10*$AL$18</f>
        <v>30</v>
      </c>
      <c r="AM26" s="35" t="n">
        <f aca="false">O10*$AM$18</f>
        <v>-28.5714285714286</v>
      </c>
      <c r="AN26" s="143" t="n">
        <f aca="false">P10*$AN$18</f>
        <v>54.5454545454545</v>
      </c>
      <c r="AO26" s="35" t="n">
        <f aca="false">SUM(H10:I10)*$AO$18</f>
        <v>60</v>
      </c>
      <c r="AP26" s="77" t="n">
        <f aca="false">SUM(AF26:AO26)</f>
        <v>229.545454545455</v>
      </c>
      <c r="AQ26" s="142"/>
    </row>
    <row r="27" customFormat="false" ht="14.25" hidden="false" customHeight="true" outlineLevel="0" collapsed="false">
      <c r="A27" s="94" t="s">
        <v>30</v>
      </c>
      <c r="B27" s="95" t="n">
        <v>2</v>
      </c>
      <c r="C27" s="96" t="s">
        <v>1151</v>
      </c>
      <c r="D27" s="17" t="s">
        <v>1918</v>
      </c>
      <c r="F27" s="17"/>
      <c r="G27" s="141" t="s">
        <v>33</v>
      </c>
      <c r="H27" s="144" t="n">
        <f aca="false">$H$10</f>
        <v>8</v>
      </c>
      <c r="J27" s="72"/>
      <c r="K27" s="72"/>
      <c r="L27" s="72"/>
      <c r="M27" s="84"/>
      <c r="N27" s="84"/>
      <c r="O27" s="84"/>
      <c r="Q27" s="141" t="s">
        <v>33</v>
      </c>
      <c r="R27" s="117" t="n">
        <f aca="false">$K$10</f>
        <v>12</v>
      </c>
      <c r="T27" s="72"/>
      <c r="U27" s="72"/>
      <c r="V27" s="72"/>
      <c r="W27" s="72"/>
      <c r="X27" s="72"/>
      <c r="Y27" s="72"/>
      <c r="Z27" s="72"/>
      <c r="AA27" s="72"/>
      <c r="AB27" s="72"/>
      <c r="AC27" s="72"/>
      <c r="AD27" s="72"/>
      <c r="AE27" s="141" t="s">
        <v>1447</v>
      </c>
      <c r="AF27" s="35" t="n">
        <f aca="false">H11*$AF$18</f>
        <v>165</v>
      </c>
      <c r="AG27" s="35" t="n">
        <f aca="false">I11*$AG$18</f>
        <v>-78</v>
      </c>
      <c r="AH27" s="35" t="n">
        <f aca="false">J11*$AH$18</f>
        <v>42.3076923076923</v>
      </c>
      <c r="AI27" s="35" t="n">
        <f aca="false">K11*$AI$18</f>
        <v>323</v>
      </c>
      <c r="AJ27" s="35" t="n">
        <f aca="false">L11*$AJ$18</f>
        <v>-97.5</v>
      </c>
      <c r="AK27" s="35" t="n">
        <f aca="false">M11*$AK$18</f>
        <v>63.3333333333333</v>
      </c>
      <c r="AL27" s="35" t="n">
        <f aca="false">N11*$AL$18</f>
        <v>34.5454545454546</v>
      </c>
      <c r="AM27" s="35" t="n">
        <f aca="false">O11*$AM$18</f>
        <v>-23.0769230769231</v>
      </c>
      <c r="AN27" s="143" t="n">
        <f aca="false">P11*$AN$18</f>
        <v>63.6363636363636</v>
      </c>
      <c r="AO27" s="35" t="n">
        <f aca="false">SUM(H11:I11)*$AO$18</f>
        <v>140</v>
      </c>
      <c r="AP27" s="77" t="n">
        <f aca="false">SUM(AF27:AO27)</f>
        <v>633.245920745921</v>
      </c>
      <c r="AQ27" s="142"/>
    </row>
    <row r="28" customFormat="false" ht="14.25" hidden="false" customHeight="true" outlineLevel="0" collapsed="false">
      <c r="A28" s="94" t="s">
        <v>11</v>
      </c>
      <c r="B28" s="95" t="n">
        <v>2</v>
      </c>
      <c r="C28" s="96" t="s">
        <v>1919</v>
      </c>
      <c r="D28" s="17" t="s">
        <v>1918</v>
      </c>
      <c r="F28" s="17"/>
      <c r="G28" s="141" t="s">
        <v>1151</v>
      </c>
      <c r="H28" s="144" t="n">
        <f aca="false">$H$8</f>
        <v>7</v>
      </c>
      <c r="J28" s="72"/>
      <c r="K28" s="72"/>
      <c r="L28" s="72"/>
      <c r="M28" s="84"/>
      <c r="N28" s="84"/>
      <c r="O28" s="84"/>
      <c r="Q28" s="141" t="s">
        <v>1151</v>
      </c>
      <c r="R28" s="117" t="n">
        <f aca="false">$K$8</f>
        <v>11</v>
      </c>
      <c r="T28" s="72"/>
      <c r="U28" s="72"/>
      <c r="V28" s="72"/>
      <c r="W28" s="72"/>
      <c r="X28" s="72"/>
      <c r="Y28" s="72"/>
      <c r="Z28" s="72"/>
      <c r="AA28" s="72"/>
      <c r="AB28" s="72"/>
      <c r="AC28" s="72"/>
      <c r="AD28" s="72"/>
      <c r="AE28" s="141" t="s">
        <v>43</v>
      </c>
      <c r="AF28" s="35" t="n">
        <f aca="false">H12*$AF$18</f>
        <v>75</v>
      </c>
      <c r="AG28" s="35" t="n">
        <f aca="false">I12*$AG$18</f>
        <v>-84</v>
      </c>
      <c r="AH28" s="35" t="n">
        <f aca="false">J12*$AH$18</f>
        <v>17.8571428571429</v>
      </c>
      <c r="AI28" s="35" t="n">
        <f aca="false">K12*$AI$18</f>
        <v>119</v>
      </c>
      <c r="AJ28" s="35" t="n">
        <f aca="false">L12*$AJ$18</f>
        <v>-149.5</v>
      </c>
      <c r="AK28" s="35" t="n">
        <f aca="false">M12*$AK$18</f>
        <v>15.2173913043478</v>
      </c>
      <c r="AL28" s="35" t="n">
        <f aca="false">N12*$AL$18</f>
        <v>28</v>
      </c>
      <c r="AM28" s="35" t="n">
        <f aca="false">O12*$AM$18</f>
        <v>-32.8571428571429</v>
      </c>
      <c r="AN28" s="143" t="n">
        <f aca="false">P12*$AN$18</f>
        <v>36.3636363636364</v>
      </c>
      <c r="AO28" s="35" t="n">
        <f aca="false">SUM(H12:I12)*$AO$18</f>
        <v>96</v>
      </c>
      <c r="AP28" s="77" t="n">
        <f aca="false">SUM(AF28:AO28)</f>
        <v>121.081027667984</v>
      </c>
      <c r="AQ28" s="142"/>
    </row>
    <row r="29" customFormat="false" ht="14.25" hidden="false" customHeight="true" outlineLevel="0" collapsed="false">
      <c r="A29" s="94" t="s">
        <v>1447</v>
      </c>
      <c r="B29" s="95" t="n">
        <v>2</v>
      </c>
      <c r="C29" s="96" t="s">
        <v>1919</v>
      </c>
      <c r="D29" s="17" t="s">
        <v>1918</v>
      </c>
      <c r="F29" s="17"/>
      <c r="G29" s="141" t="s">
        <v>1154</v>
      </c>
      <c r="H29" s="144" t="n">
        <f aca="false">$H$9</f>
        <v>6</v>
      </c>
      <c r="J29" s="72"/>
      <c r="K29" s="72"/>
      <c r="L29" s="72"/>
      <c r="M29" s="84"/>
      <c r="N29" s="84"/>
      <c r="O29" s="84"/>
      <c r="Q29" s="141" t="s">
        <v>1154</v>
      </c>
      <c r="R29" s="117" t="n">
        <f aca="false">$K$9</f>
        <v>9</v>
      </c>
      <c r="T29" s="72"/>
      <c r="U29" s="72"/>
      <c r="V29" s="72"/>
      <c r="W29" s="72"/>
      <c r="X29" s="72"/>
      <c r="Y29" s="72"/>
      <c r="Z29" s="72"/>
      <c r="AA29" s="72"/>
      <c r="AB29" s="72"/>
      <c r="AC29" s="72"/>
      <c r="AD29" s="72"/>
      <c r="AE29" s="141" t="s">
        <v>11</v>
      </c>
      <c r="AF29" s="35" t="n">
        <f aca="false">H13*$AF$18</f>
        <v>127.5</v>
      </c>
      <c r="AG29" s="35" t="n">
        <f aca="false">I13*$AG$18</f>
        <v>-54</v>
      </c>
      <c r="AH29" s="35" t="n">
        <f aca="false">J13*$AH$18</f>
        <v>47.2222222222222</v>
      </c>
      <c r="AI29" s="35" t="n">
        <f aca="false">K13*$AI$18</f>
        <v>221</v>
      </c>
      <c r="AJ29" s="35" t="n">
        <f aca="false">L13*$AJ$18</f>
        <v>-78</v>
      </c>
      <c r="AK29" s="35" t="n">
        <f aca="false">M13*$AK$18</f>
        <v>54.1666666666667</v>
      </c>
      <c r="AL29" s="35" t="n">
        <f aca="false">N13*$AL$18</f>
        <v>30.5882352941176</v>
      </c>
      <c r="AM29" s="35" t="n">
        <f aca="false">O13*$AM$18</f>
        <v>-26.6666666666667</v>
      </c>
      <c r="AN29" s="143" t="n">
        <f aca="false">P13*$AN$18</f>
        <v>81.8181818181818</v>
      </c>
      <c r="AO29" s="35" t="n">
        <f aca="false">SUM(H13:I13)*$AO$18</f>
        <v>104</v>
      </c>
      <c r="AP29" s="77" t="n">
        <f aca="false">SUM(AF29:AO29)</f>
        <v>507.628639334522</v>
      </c>
      <c r="AQ29" s="142"/>
    </row>
    <row r="30" customFormat="false" ht="14.25" hidden="false" customHeight="true" outlineLevel="0" collapsed="false">
      <c r="A30" s="94" t="s">
        <v>1154</v>
      </c>
      <c r="B30" s="95" t="n">
        <v>2</v>
      </c>
      <c r="C30" s="96" t="s">
        <v>1919</v>
      </c>
      <c r="D30" s="17" t="s">
        <v>1918</v>
      </c>
      <c r="F30" s="17"/>
      <c r="G30" s="141" t="s">
        <v>1443</v>
      </c>
      <c r="H30" s="144" t="n">
        <f aca="false">$H$14</f>
        <v>4</v>
      </c>
      <c r="J30" s="72"/>
      <c r="K30" s="72"/>
      <c r="L30" s="72"/>
      <c r="M30" s="84"/>
      <c r="N30" s="84"/>
      <c r="O30" s="84"/>
      <c r="Q30" s="141" t="s">
        <v>1443</v>
      </c>
      <c r="R30" s="117" t="n">
        <f aca="false">$K$14</f>
        <v>8</v>
      </c>
      <c r="T30" s="72"/>
      <c r="U30" s="72"/>
      <c r="V30" s="72"/>
      <c r="W30" s="72"/>
      <c r="X30" s="72"/>
      <c r="Y30" s="72"/>
      <c r="Z30" s="72"/>
      <c r="AA30" s="72"/>
      <c r="AB30" s="72"/>
      <c r="AC30" s="72"/>
      <c r="AE30" s="141" t="s">
        <v>1443</v>
      </c>
      <c r="AF30" s="35" t="n">
        <f aca="false">H14*$AF$18</f>
        <v>30</v>
      </c>
      <c r="AG30" s="35" t="n">
        <f aca="false">I14*$AG$18</f>
        <v>-6</v>
      </c>
      <c r="AH30" s="35" t="n">
        <f aca="false">J14*$AH$18</f>
        <v>100</v>
      </c>
      <c r="AI30" s="35" t="n">
        <f aca="false">K14*$AI$18</f>
        <v>68</v>
      </c>
      <c r="AJ30" s="35" t="n">
        <f aca="false">L14*$AJ$18</f>
        <v>-13</v>
      </c>
      <c r="AK30" s="35" t="n">
        <f aca="false">M14*$AK$18</f>
        <v>100</v>
      </c>
      <c r="AL30" s="35" t="n">
        <f aca="false">N14*$AL$18</f>
        <v>40</v>
      </c>
      <c r="AM30" s="35" t="n">
        <f aca="false">O14*$AM$18</f>
        <v>-40</v>
      </c>
      <c r="AN30" s="143" t="n">
        <f aca="false">P14*$AN$18</f>
        <v>27.2727272727273</v>
      </c>
      <c r="AO30" s="35" t="n">
        <f aca="false">SUM(H14:I14)*$AO$18</f>
        <v>20</v>
      </c>
      <c r="AP30" s="77" t="n">
        <f aca="false">SUM(AF30:AO30)</f>
        <v>326.272727272727</v>
      </c>
      <c r="AQ30" s="142"/>
    </row>
    <row r="31" customFormat="false" ht="14.25" hidden="false" customHeight="true" outlineLevel="0" collapsed="false">
      <c r="A31" s="94" t="s">
        <v>43</v>
      </c>
      <c r="B31" s="95" t="n">
        <v>2</v>
      </c>
      <c r="C31" s="96" t="s">
        <v>1447</v>
      </c>
      <c r="D31" s="17" t="s">
        <v>1918</v>
      </c>
      <c r="F31" s="17"/>
      <c r="G31" s="141" t="s">
        <v>40</v>
      </c>
      <c r="H31" s="144" t="n">
        <f aca="false">$H$6</f>
        <v>3</v>
      </c>
      <c r="J31" s="72"/>
      <c r="K31" s="72"/>
      <c r="L31" s="72"/>
      <c r="M31" s="84"/>
      <c r="N31" s="84"/>
      <c r="O31" s="84"/>
      <c r="Q31" s="141" t="s">
        <v>42</v>
      </c>
      <c r="R31" s="117" t="n">
        <f aca="false">$K$4</f>
        <v>5</v>
      </c>
      <c r="T31" s="72"/>
      <c r="U31" s="72"/>
      <c r="V31" s="72"/>
      <c r="W31" s="72"/>
      <c r="X31" s="72"/>
      <c r="Y31" s="72"/>
      <c r="Z31" s="72"/>
      <c r="AA31" s="72"/>
      <c r="AB31" s="72"/>
      <c r="AC31" s="72"/>
      <c r="AD31" s="72"/>
      <c r="AE31" s="72"/>
      <c r="AF31" s="72"/>
      <c r="AG31" s="72"/>
    </row>
    <row r="32" customFormat="false" ht="14.25" hidden="false" customHeight="true" outlineLevel="0" collapsed="false">
      <c r="A32" s="94" t="s">
        <v>1447</v>
      </c>
      <c r="B32" s="95" t="n">
        <v>2</v>
      </c>
      <c r="C32" s="96" t="s">
        <v>30</v>
      </c>
      <c r="D32" s="17" t="s">
        <v>1918</v>
      </c>
      <c r="E32" s="6" t="n">
        <v>1</v>
      </c>
      <c r="F32" s="17"/>
      <c r="G32" s="141" t="s">
        <v>42</v>
      </c>
      <c r="H32" s="144" t="n">
        <f aca="false">$H$4</f>
        <v>3</v>
      </c>
      <c r="J32" s="72"/>
      <c r="K32" s="72"/>
      <c r="L32" s="72"/>
      <c r="M32" s="84"/>
      <c r="N32" s="84"/>
      <c r="O32" s="84"/>
      <c r="Q32" s="141" t="s">
        <v>40</v>
      </c>
      <c r="R32" s="117" t="n">
        <f aca="false">$K$6</f>
        <v>4</v>
      </c>
      <c r="T32" s="72"/>
      <c r="U32" s="72"/>
      <c r="V32" s="72"/>
      <c r="W32" s="72"/>
      <c r="X32" s="72"/>
      <c r="Y32" s="72"/>
      <c r="Z32" s="72"/>
      <c r="AA32" s="72"/>
      <c r="AB32" s="72"/>
      <c r="AC32" s="72"/>
      <c r="AD32" s="72"/>
      <c r="AE32" s="74" t="s">
        <v>7</v>
      </c>
      <c r="AF32" s="75" t="s">
        <v>143</v>
      </c>
      <c r="AG32" s="75" t="s">
        <v>144</v>
      </c>
    </row>
    <row r="33" customFormat="false" ht="14.25" hidden="false" customHeight="true" outlineLevel="0" collapsed="false">
      <c r="A33" s="94" t="s">
        <v>30</v>
      </c>
      <c r="B33" s="95" t="n">
        <v>1</v>
      </c>
      <c r="C33" s="96" t="s">
        <v>1447</v>
      </c>
      <c r="D33" s="17" t="s">
        <v>1918</v>
      </c>
      <c r="F33" s="17"/>
      <c r="G33" s="141" t="s">
        <v>41</v>
      </c>
      <c r="H33" s="144" t="n">
        <f aca="false">$H$7</f>
        <v>2</v>
      </c>
      <c r="J33" s="72"/>
      <c r="K33" s="72"/>
      <c r="L33" s="72"/>
      <c r="M33" s="84"/>
      <c r="N33" s="84"/>
      <c r="O33" s="84"/>
      <c r="Q33" s="141" t="s">
        <v>41</v>
      </c>
      <c r="R33" s="117" t="n">
        <f aca="false">$K$7</f>
        <v>4</v>
      </c>
      <c r="T33" s="72"/>
      <c r="U33" s="72"/>
      <c r="V33" s="72"/>
      <c r="W33" s="72"/>
      <c r="X33" s="72"/>
      <c r="Y33" s="72"/>
      <c r="Z33" s="72"/>
      <c r="AA33" s="72"/>
      <c r="AB33" s="72"/>
      <c r="AC33" s="72"/>
      <c r="AD33" s="72"/>
      <c r="AE33" s="141" t="s">
        <v>1447</v>
      </c>
      <c r="AF33" s="77" t="n">
        <f aca="false">$AP$27</f>
        <v>633.245920745921</v>
      </c>
      <c r="AG33" s="77" t="n">
        <f aca="false">AF33-($AF$44)</f>
        <v>778.245920745921</v>
      </c>
      <c r="AH33" s="6" t="n">
        <v>1</v>
      </c>
    </row>
    <row r="34" customFormat="false" ht="14.25" hidden="false" customHeight="true" outlineLevel="0" collapsed="false">
      <c r="A34" s="94" t="s">
        <v>33</v>
      </c>
      <c r="B34" s="95" t="n">
        <v>1</v>
      </c>
      <c r="C34" s="96" t="s">
        <v>1447</v>
      </c>
      <c r="D34" s="17" t="s">
        <v>1918</v>
      </c>
      <c r="F34" s="17"/>
      <c r="G34" s="141" t="s">
        <v>1919</v>
      </c>
      <c r="H34" s="144" t="n">
        <f aca="false">$H$5</f>
        <v>0</v>
      </c>
      <c r="J34" s="72"/>
      <c r="K34" s="72"/>
      <c r="L34" s="72"/>
      <c r="M34" s="84"/>
      <c r="N34" s="84"/>
      <c r="O34" s="84"/>
      <c r="Q34" s="141" t="s">
        <v>1919</v>
      </c>
      <c r="R34" s="117" t="n">
        <f aca="false">$K$5</f>
        <v>0</v>
      </c>
      <c r="T34" s="72"/>
      <c r="U34" s="72"/>
      <c r="V34" s="72"/>
      <c r="W34" s="72"/>
      <c r="X34" s="72"/>
      <c r="Y34" s="72"/>
      <c r="Z34" s="72"/>
      <c r="AA34" s="72"/>
      <c r="AB34" s="72"/>
      <c r="AC34" s="72"/>
      <c r="AD34" s="72"/>
      <c r="AE34" s="141" t="s">
        <v>11</v>
      </c>
      <c r="AF34" s="77" t="n">
        <f aca="false">$AP$29</f>
        <v>507.628639334522</v>
      </c>
      <c r="AG34" s="77" t="n">
        <f aca="false">AF34-($AF$44)</f>
        <v>652.628639334522</v>
      </c>
      <c r="AH34" s="6" t="n">
        <v>2</v>
      </c>
    </row>
    <row r="35" customFormat="false" ht="14.25" hidden="false" customHeight="true" outlineLevel="0" collapsed="false">
      <c r="A35" s="94" t="s">
        <v>1447</v>
      </c>
      <c r="B35" s="95" t="n">
        <v>1</v>
      </c>
      <c r="C35" s="96" t="s">
        <v>33</v>
      </c>
      <c r="D35" s="17" t="s">
        <v>1918</v>
      </c>
      <c r="F35" s="17"/>
      <c r="J35" s="72"/>
      <c r="K35" s="72"/>
      <c r="L35" s="72"/>
      <c r="M35" s="84"/>
      <c r="N35" s="84"/>
      <c r="O35" s="84"/>
      <c r="P35" s="84"/>
      <c r="Q35" s="8"/>
      <c r="T35" s="72"/>
      <c r="U35" s="72"/>
      <c r="V35" s="72"/>
      <c r="W35" s="72"/>
      <c r="X35" s="72"/>
      <c r="Y35" s="72"/>
      <c r="Z35" s="72"/>
      <c r="AA35" s="72"/>
      <c r="AB35" s="72"/>
      <c r="AC35" s="72"/>
      <c r="AD35" s="72"/>
      <c r="AE35" s="141" t="s">
        <v>30</v>
      </c>
      <c r="AF35" s="77" t="n">
        <f aca="false">$AP$19</f>
        <v>353.800865800866</v>
      </c>
      <c r="AG35" s="77" t="n">
        <f aca="false">AF35-($AF$44)</f>
        <v>498.800865800866</v>
      </c>
      <c r="AH35" s="6" t="n">
        <v>3</v>
      </c>
    </row>
    <row r="36" customFormat="false" ht="14.25" hidden="false" customHeight="true" outlineLevel="0" collapsed="false">
      <c r="A36" s="94" t="s">
        <v>11</v>
      </c>
      <c r="B36" s="95" t="n">
        <v>2</v>
      </c>
      <c r="C36" s="96" t="s">
        <v>33</v>
      </c>
      <c r="D36" s="17" t="s">
        <v>1918</v>
      </c>
      <c r="F36" s="17"/>
      <c r="G36" s="141" t="s">
        <v>88</v>
      </c>
      <c r="H36" s="41" t="s">
        <v>17</v>
      </c>
      <c r="J36" s="72"/>
      <c r="K36" s="72"/>
      <c r="L36" s="72"/>
      <c r="M36" s="84"/>
      <c r="N36" s="84"/>
      <c r="O36" s="84"/>
      <c r="Q36" s="141" t="s">
        <v>88</v>
      </c>
      <c r="R36" s="41" t="s">
        <v>20</v>
      </c>
      <c r="T36" s="72"/>
      <c r="U36" s="72"/>
      <c r="V36" s="72"/>
      <c r="W36" s="72"/>
      <c r="X36" s="72"/>
      <c r="Y36" s="72"/>
      <c r="Z36" s="72"/>
      <c r="AA36" s="72"/>
      <c r="AB36" s="72"/>
      <c r="AC36" s="72"/>
      <c r="AD36" s="72"/>
      <c r="AE36" s="141" t="s">
        <v>1443</v>
      </c>
      <c r="AF36" s="77" t="n">
        <f aca="false">$AP$30</f>
        <v>326.272727272727</v>
      </c>
      <c r="AG36" s="77" t="n">
        <f aca="false">AF36-($AF$44)</f>
        <v>471.272727272727</v>
      </c>
      <c r="AH36" s="6" t="n">
        <v>4</v>
      </c>
    </row>
    <row r="37" customFormat="false" ht="14.25" hidden="false" customHeight="true" outlineLevel="0" collapsed="false">
      <c r="A37" s="94" t="s">
        <v>1447</v>
      </c>
      <c r="B37" s="95" t="n">
        <v>2</v>
      </c>
      <c r="C37" s="96" t="s">
        <v>30</v>
      </c>
      <c r="D37" s="17" t="s">
        <v>1918</v>
      </c>
      <c r="E37" s="6" t="n">
        <v>0</v>
      </c>
      <c r="F37" s="152"/>
      <c r="G37" s="141" t="s">
        <v>30</v>
      </c>
      <c r="H37" s="118" t="n">
        <f aca="false">$I$3</f>
        <v>21</v>
      </c>
      <c r="J37" s="72"/>
      <c r="K37" s="72"/>
      <c r="L37" s="72"/>
      <c r="M37" s="84"/>
      <c r="N37" s="84"/>
      <c r="O37" s="84"/>
      <c r="Q37" s="141" t="s">
        <v>30</v>
      </c>
      <c r="R37" s="118" t="n">
        <f aca="false">$L$3</f>
        <v>30</v>
      </c>
      <c r="T37" s="72"/>
      <c r="U37" s="72"/>
      <c r="V37" s="72"/>
      <c r="W37" s="72"/>
      <c r="X37" s="72"/>
      <c r="Y37" s="72"/>
      <c r="Z37" s="72"/>
      <c r="AA37" s="72"/>
      <c r="AB37" s="72"/>
      <c r="AC37" s="72"/>
      <c r="AD37" s="72"/>
      <c r="AE37" s="141" t="s">
        <v>33</v>
      </c>
      <c r="AF37" s="77" t="n">
        <f aca="false">$AP$26</f>
        <v>229.545454545455</v>
      </c>
      <c r="AG37" s="77" t="n">
        <f aca="false">AF37-($AF$44)</f>
        <v>374.545454545455</v>
      </c>
      <c r="AH37" s="6" t="n">
        <v>5</v>
      </c>
    </row>
    <row r="38" customFormat="false" ht="14.25" hidden="false" customHeight="true" outlineLevel="0" collapsed="false">
      <c r="A38" s="94" t="s">
        <v>11</v>
      </c>
      <c r="B38" s="95" t="n">
        <v>2</v>
      </c>
      <c r="C38" s="96" t="s">
        <v>1151</v>
      </c>
      <c r="D38" s="17" t="s">
        <v>1918</v>
      </c>
      <c r="F38" s="152"/>
      <c r="G38" s="141" t="s">
        <v>43</v>
      </c>
      <c r="H38" s="118" t="n">
        <f aca="false">$I$12</f>
        <v>14</v>
      </c>
      <c r="J38" s="72"/>
      <c r="K38" s="72"/>
      <c r="L38" s="72"/>
      <c r="M38" s="84"/>
      <c r="N38" s="84"/>
      <c r="O38" s="84"/>
      <c r="Q38" s="141" t="s">
        <v>43</v>
      </c>
      <c r="R38" s="118" t="n">
        <f aca="false">$L$12</f>
        <v>23</v>
      </c>
      <c r="T38" s="72"/>
      <c r="U38" s="72"/>
      <c r="V38" s="72"/>
      <c r="W38" s="72"/>
      <c r="X38" s="72"/>
      <c r="Y38" s="72"/>
      <c r="Z38" s="72"/>
      <c r="AA38" s="72"/>
      <c r="AB38" s="72"/>
      <c r="AC38" s="72"/>
      <c r="AD38" s="72"/>
      <c r="AE38" s="141" t="s">
        <v>1151</v>
      </c>
      <c r="AF38" s="77" t="n">
        <f aca="false">$AP$24</f>
        <v>182.758116883117</v>
      </c>
      <c r="AG38" s="77" t="n">
        <f aca="false">AF38-($AF$44)</f>
        <v>327.758116883117</v>
      </c>
      <c r="AH38" s="6" t="n">
        <v>6</v>
      </c>
    </row>
    <row r="39" customFormat="false" ht="14.25" hidden="false" customHeight="true" outlineLevel="0" collapsed="false">
      <c r="A39" s="94" t="s">
        <v>33</v>
      </c>
      <c r="B39" s="95" t="n">
        <v>1</v>
      </c>
      <c r="C39" s="96" t="s">
        <v>1154</v>
      </c>
      <c r="D39" s="17" t="s">
        <v>1918</v>
      </c>
      <c r="F39" s="152"/>
      <c r="G39" s="141" t="s">
        <v>1447</v>
      </c>
      <c r="H39" s="118" t="n">
        <f aca="false">$I$11</f>
        <v>13</v>
      </c>
      <c r="J39" s="72"/>
      <c r="K39" s="72"/>
      <c r="L39" s="72"/>
      <c r="M39" s="84"/>
      <c r="N39" s="84"/>
      <c r="O39" s="84"/>
      <c r="Q39" s="141" t="s">
        <v>1154</v>
      </c>
      <c r="R39" s="118" t="n">
        <f aca="false">$L$9</f>
        <v>16</v>
      </c>
      <c r="T39" s="72"/>
      <c r="U39" s="72"/>
      <c r="V39" s="72"/>
      <c r="W39" s="72"/>
      <c r="X39" s="72"/>
      <c r="Y39" s="72"/>
      <c r="Z39" s="72"/>
      <c r="AA39" s="72"/>
      <c r="AB39" s="72"/>
      <c r="AC39" s="72"/>
      <c r="AD39" s="72"/>
      <c r="AE39" s="141" t="s">
        <v>43</v>
      </c>
      <c r="AF39" s="77" t="n">
        <f aca="false">$AP$28</f>
        <v>121.081027667984</v>
      </c>
      <c r="AG39" s="77" t="n">
        <f aca="false">AF39-($AF$44)</f>
        <v>266.081027667984</v>
      </c>
      <c r="AH39" s="6" t="n">
        <v>7</v>
      </c>
    </row>
    <row r="40" customFormat="false" ht="14.25" hidden="false" customHeight="true" outlineLevel="0" collapsed="false">
      <c r="A40" s="94" t="s">
        <v>1154</v>
      </c>
      <c r="B40" s="95" t="n">
        <v>1</v>
      </c>
      <c r="C40" s="96" t="s">
        <v>33</v>
      </c>
      <c r="D40" s="17" t="s">
        <v>1918</v>
      </c>
      <c r="F40" s="152"/>
      <c r="G40" s="141" t="s">
        <v>1154</v>
      </c>
      <c r="H40" s="118" t="n">
        <f aca="false">$I$9</f>
        <v>10</v>
      </c>
      <c r="J40" s="72"/>
      <c r="K40" s="72"/>
      <c r="L40" s="72"/>
      <c r="M40" s="84"/>
      <c r="N40" s="84"/>
      <c r="O40" s="84"/>
      <c r="Q40" s="141" t="s">
        <v>1447</v>
      </c>
      <c r="R40" s="118" t="n">
        <f aca="false">$L$11</f>
        <v>15</v>
      </c>
      <c r="T40" s="72"/>
      <c r="U40" s="72"/>
      <c r="V40" s="72"/>
      <c r="W40" s="72"/>
      <c r="X40" s="72"/>
      <c r="Y40" s="72"/>
      <c r="Z40" s="72"/>
      <c r="AA40" s="72"/>
      <c r="AB40" s="72"/>
      <c r="AC40" s="72"/>
      <c r="AD40" s="72"/>
      <c r="AE40" s="141" t="s">
        <v>41</v>
      </c>
      <c r="AF40" s="77" t="n">
        <f aca="false">$AP$23</f>
        <v>120.015151515152</v>
      </c>
      <c r="AG40" s="77" t="n">
        <f aca="false">AF40-($AF$44)</f>
        <v>265.015151515152</v>
      </c>
      <c r="AH40" s="6" t="n">
        <v>8</v>
      </c>
    </row>
    <row r="41" customFormat="false" ht="14.25" hidden="false" customHeight="true" outlineLevel="0" collapsed="false">
      <c r="A41" s="94" t="s">
        <v>11</v>
      </c>
      <c r="B41" s="95" t="n">
        <v>1</v>
      </c>
      <c r="C41" s="96" t="s">
        <v>1447</v>
      </c>
      <c r="D41" s="17" t="s">
        <v>1918</v>
      </c>
      <c r="F41" s="152"/>
      <c r="G41" s="141" t="s">
        <v>11</v>
      </c>
      <c r="H41" s="118" t="n">
        <f aca="false">$I$13</f>
        <v>9</v>
      </c>
      <c r="J41" s="72"/>
      <c r="K41" s="72"/>
      <c r="L41" s="72"/>
      <c r="M41" s="84"/>
      <c r="N41" s="84"/>
      <c r="O41" s="84"/>
      <c r="Q41" s="141" t="s">
        <v>1919</v>
      </c>
      <c r="R41" s="118" t="n">
        <f aca="false">$L$5</f>
        <v>14</v>
      </c>
      <c r="T41" s="72"/>
      <c r="U41" s="72"/>
      <c r="V41" s="72"/>
      <c r="W41" s="72"/>
      <c r="X41" s="72"/>
      <c r="Y41" s="72"/>
      <c r="Z41" s="72"/>
      <c r="AA41" s="72"/>
      <c r="AB41" s="72"/>
      <c r="AC41" s="72"/>
      <c r="AD41" s="72"/>
      <c r="AE41" s="141" t="s">
        <v>1154</v>
      </c>
      <c r="AF41" s="77" t="n">
        <f aca="false">$AP$25</f>
        <v>103.107954545455</v>
      </c>
      <c r="AG41" s="77" t="n">
        <f aca="false">AF41-($AF$44)</f>
        <v>248.107954545455</v>
      </c>
      <c r="AH41" s="6" t="n">
        <v>9</v>
      </c>
    </row>
    <row r="42" customFormat="false" ht="14.25" hidden="false" customHeight="true" outlineLevel="0" collapsed="false">
      <c r="A42" s="94" t="s">
        <v>11</v>
      </c>
      <c r="B42" s="95" t="n">
        <v>1</v>
      </c>
      <c r="C42" s="96" t="s">
        <v>1447</v>
      </c>
      <c r="D42" s="17" t="s">
        <v>1918</v>
      </c>
      <c r="F42" s="152"/>
      <c r="G42" s="141" t="s">
        <v>1151</v>
      </c>
      <c r="H42" s="118" t="n">
        <f aca="false">$I$8</f>
        <v>8</v>
      </c>
      <c r="J42" s="72"/>
      <c r="K42" s="72"/>
      <c r="L42" s="72"/>
      <c r="M42" s="84"/>
      <c r="N42" s="84"/>
      <c r="O42" s="84"/>
      <c r="Q42" s="141" t="s">
        <v>42</v>
      </c>
      <c r="R42" s="118" t="n">
        <f aca="false">$L$4</f>
        <v>13</v>
      </c>
      <c r="T42" s="72"/>
      <c r="U42" s="72"/>
      <c r="V42" s="72"/>
      <c r="W42" s="72"/>
      <c r="X42" s="72"/>
      <c r="Y42" s="72"/>
      <c r="Z42" s="72"/>
      <c r="AA42" s="72"/>
      <c r="AB42" s="72"/>
      <c r="AC42" s="72"/>
      <c r="AD42" s="72"/>
      <c r="AE42" s="141" t="s">
        <v>40</v>
      </c>
      <c r="AF42" s="77" t="n">
        <f aca="false">$AP$22</f>
        <v>44.050505050505</v>
      </c>
      <c r="AG42" s="77" t="n">
        <f aca="false">AF42-($AF$44)</f>
        <v>189.050505050505</v>
      </c>
      <c r="AH42" s="6" t="n">
        <v>10</v>
      </c>
    </row>
    <row r="43" customFormat="false" ht="14.25" hidden="false" customHeight="true" outlineLevel="0" collapsed="false">
      <c r="A43" s="94" t="s">
        <v>1447</v>
      </c>
      <c r="B43" s="95" t="n">
        <v>1</v>
      </c>
      <c r="C43" s="96" t="s">
        <v>11</v>
      </c>
      <c r="D43" s="17" t="s">
        <v>1918</v>
      </c>
      <c r="F43" s="152"/>
      <c r="G43" s="141" t="s">
        <v>1919</v>
      </c>
      <c r="H43" s="118" t="n">
        <f aca="false">$I$5</f>
        <v>7</v>
      </c>
      <c r="J43" s="72"/>
      <c r="K43" s="72"/>
      <c r="L43" s="72"/>
      <c r="M43" s="84"/>
      <c r="N43" s="84"/>
      <c r="O43" s="84"/>
      <c r="Q43" s="141" t="s">
        <v>11</v>
      </c>
      <c r="R43" s="118" t="n">
        <f aca="false">$L$13</f>
        <v>12</v>
      </c>
      <c r="T43" s="72"/>
      <c r="U43" s="72"/>
      <c r="V43" s="72"/>
      <c r="W43" s="72"/>
      <c r="X43" s="72"/>
      <c r="Y43" s="72"/>
      <c r="Z43" s="72"/>
      <c r="AA43" s="72"/>
      <c r="AB43" s="72"/>
      <c r="AC43" s="72"/>
      <c r="AD43" s="72"/>
      <c r="AE43" s="141" t="s">
        <v>42</v>
      </c>
      <c r="AF43" s="77" t="n">
        <f aca="false">$AP$20</f>
        <v>13.2019647019647</v>
      </c>
      <c r="AG43" s="77" t="n">
        <f aca="false">AF43-($AF$44)</f>
        <v>158.201964701965</v>
      </c>
      <c r="AH43" s="6" t="n">
        <v>11</v>
      </c>
    </row>
    <row r="44" customFormat="false" ht="14.25" hidden="false" customHeight="true" outlineLevel="0" collapsed="false">
      <c r="A44" s="94" t="s">
        <v>11</v>
      </c>
      <c r="B44" s="95" t="n">
        <v>2</v>
      </c>
      <c r="C44" s="96" t="s">
        <v>33</v>
      </c>
      <c r="D44" s="17" t="s">
        <v>1918</v>
      </c>
      <c r="F44" s="152"/>
      <c r="G44" s="141" t="s">
        <v>33</v>
      </c>
      <c r="H44" s="118" t="n">
        <f aca="false">$I$10</f>
        <v>7</v>
      </c>
      <c r="J44" s="72"/>
      <c r="K44" s="72"/>
      <c r="L44" s="72"/>
      <c r="M44" s="84"/>
      <c r="N44" s="84"/>
      <c r="O44" s="84"/>
      <c r="Q44" s="141" t="s">
        <v>1151</v>
      </c>
      <c r="R44" s="118" t="n">
        <f aca="false">$L$8</f>
        <v>11</v>
      </c>
      <c r="T44" s="72"/>
      <c r="U44" s="72"/>
      <c r="V44" s="72"/>
      <c r="W44" s="72"/>
      <c r="X44" s="72"/>
      <c r="Y44" s="72"/>
      <c r="Z44" s="72"/>
      <c r="AA44" s="72"/>
      <c r="AB44" s="72"/>
      <c r="AC44" s="72"/>
      <c r="AD44" s="72"/>
      <c r="AE44" s="141" t="s">
        <v>1919</v>
      </c>
      <c r="AF44" s="77" t="n">
        <f aca="false">$AP$21</f>
        <v>-145</v>
      </c>
      <c r="AG44" s="77" t="n">
        <f aca="false">AF44-($AF$44)</f>
        <v>0</v>
      </c>
      <c r="AH44" s="6" t="n">
        <v>12</v>
      </c>
    </row>
    <row r="45" customFormat="false" ht="14.25" hidden="false" customHeight="true" outlineLevel="0" collapsed="false">
      <c r="A45" s="94" t="s">
        <v>43</v>
      </c>
      <c r="B45" s="95" t="n">
        <v>2</v>
      </c>
      <c r="C45" s="96" t="s">
        <v>30</v>
      </c>
      <c r="D45" s="17" t="s">
        <v>1918</v>
      </c>
      <c r="E45" s="6" t="n">
        <v>1</v>
      </c>
      <c r="F45" s="152"/>
      <c r="G45" s="141" t="s">
        <v>42</v>
      </c>
      <c r="H45" s="118" t="n">
        <f aca="false">$I$4</f>
        <v>7</v>
      </c>
      <c r="J45" s="72"/>
      <c r="K45" s="72"/>
      <c r="L45" s="72"/>
      <c r="M45" s="84"/>
      <c r="N45" s="84"/>
      <c r="O45" s="84"/>
      <c r="Q45" s="141" t="s">
        <v>33</v>
      </c>
      <c r="R45" s="118" t="n">
        <f aca="false">$L$10</f>
        <v>10</v>
      </c>
      <c r="T45" s="72"/>
      <c r="U45" s="72"/>
      <c r="V45" s="72"/>
      <c r="W45" s="72"/>
      <c r="X45" s="72"/>
      <c r="Y45" s="72"/>
      <c r="Z45" s="72"/>
      <c r="AA45" s="72"/>
      <c r="AB45" s="72"/>
      <c r="AC45" s="72"/>
      <c r="AD45" s="72"/>
      <c r="AE45" s="72"/>
      <c r="AF45" s="72"/>
      <c r="AG45" s="72"/>
    </row>
    <row r="46" customFormat="false" ht="14.25" hidden="false" customHeight="true" outlineLevel="0" collapsed="false">
      <c r="A46" s="94" t="s">
        <v>1447</v>
      </c>
      <c r="B46" s="95" t="n">
        <v>2</v>
      </c>
      <c r="C46" s="96" t="s">
        <v>43</v>
      </c>
      <c r="D46" s="17" t="s">
        <v>1918</v>
      </c>
      <c r="F46" s="152"/>
      <c r="G46" s="141" t="s">
        <v>40</v>
      </c>
      <c r="H46" s="118" t="n">
        <f aca="false">$I$6</f>
        <v>5</v>
      </c>
      <c r="J46" s="72"/>
      <c r="K46" s="72"/>
      <c r="L46" s="72"/>
      <c r="M46" s="84"/>
      <c r="N46" s="84"/>
      <c r="O46" s="84"/>
      <c r="Q46" s="141" t="s">
        <v>40</v>
      </c>
      <c r="R46" s="118" t="n">
        <f aca="false">$L$6</f>
        <v>9</v>
      </c>
      <c r="T46" s="72"/>
      <c r="U46" s="72"/>
      <c r="V46" s="72"/>
      <c r="W46" s="72"/>
      <c r="X46" s="72"/>
      <c r="Y46" s="72"/>
      <c r="Z46" s="72"/>
      <c r="AA46" s="72"/>
      <c r="AB46" s="72"/>
      <c r="AC46" s="72"/>
      <c r="AD46" s="72"/>
      <c r="AE46" s="72"/>
      <c r="AF46" s="72"/>
      <c r="AG46" s="72"/>
    </row>
    <row r="47" customFormat="false" ht="14.25" hidden="false" customHeight="true" outlineLevel="0" collapsed="false">
      <c r="A47" s="94" t="s">
        <v>43</v>
      </c>
      <c r="B47" s="95" t="n">
        <v>1</v>
      </c>
      <c r="C47" s="96" t="s">
        <v>1447</v>
      </c>
      <c r="D47" s="17" t="s">
        <v>1918</v>
      </c>
      <c r="F47" s="152"/>
      <c r="G47" s="141" t="s">
        <v>41</v>
      </c>
      <c r="H47" s="118" t="n">
        <f aca="false">$I$7</f>
        <v>2</v>
      </c>
      <c r="J47" s="72"/>
      <c r="K47" s="72"/>
      <c r="L47" s="72"/>
      <c r="M47" s="84"/>
      <c r="N47" s="84"/>
      <c r="O47" s="84"/>
      <c r="Q47" s="141" t="s">
        <v>41</v>
      </c>
      <c r="R47" s="118" t="n">
        <f aca="false">$L$7</f>
        <v>3</v>
      </c>
      <c r="T47" s="72"/>
      <c r="U47" s="72"/>
      <c r="V47" s="72"/>
      <c r="W47" s="72"/>
      <c r="X47" s="72"/>
      <c r="Y47" s="72"/>
      <c r="Z47" s="72"/>
      <c r="AA47" s="72"/>
      <c r="AB47" s="72"/>
      <c r="AC47" s="72"/>
      <c r="AD47" s="72"/>
      <c r="AE47" s="72"/>
      <c r="AF47" s="72"/>
      <c r="AG47" s="72"/>
    </row>
    <row r="48" customFormat="false" ht="14.25" hidden="false" customHeight="true" outlineLevel="0" collapsed="false">
      <c r="A48" s="94" t="s">
        <v>30</v>
      </c>
      <c r="B48" s="95" t="n">
        <v>1</v>
      </c>
      <c r="C48" s="96" t="s">
        <v>43</v>
      </c>
      <c r="D48" s="17" t="s">
        <v>1918</v>
      </c>
      <c r="F48" s="152"/>
      <c r="G48" s="141" t="s">
        <v>1443</v>
      </c>
      <c r="H48" s="118" t="n">
        <f aca="false">$I$14</f>
        <v>1</v>
      </c>
      <c r="J48" s="72"/>
      <c r="K48" s="72"/>
      <c r="L48" s="72"/>
      <c r="M48" s="84"/>
      <c r="N48" s="84"/>
      <c r="O48" s="84"/>
      <c r="Q48" s="141" t="s">
        <v>1443</v>
      </c>
      <c r="R48" s="118" t="n">
        <f aca="false">$L$14</f>
        <v>2</v>
      </c>
      <c r="T48" s="72"/>
      <c r="U48" s="72"/>
      <c r="V48" s="72"/>
      <c r="W48" s="72"/>
      <c r="X48" s="72"/>
      <c r="Y48" s="72"/>
      <c r="Z48" s="72"/>
      <c r="AA48" s="72"/>
      <c r="AB48" s="72"/>
      <c r="AC48" s="72"/>
      <c r="AD48" s="72"/>
      <c r="AE48" s="72"/>
      <c r="AF48" s="72"/>
      <c r="AG48" s="72"/>
    </row>
    <row r="49" customFormat="false" ht="14.25" hidden="false" customHeight="true" outlineLevel="0" collapsed="false">
      <c r="A49" s="94" t="s">
        <v>43</v>
      </c>
      <c r="B49" s="95" t="n">
        <v>1</v>
      </c>
      <c r="C49" s="96" t="s">
        <v>30</v>
      </c>
      <c r="D49" s="17" t="s">
        <v>1918</v>
      </c>
      <c r="E49" s="6" t="n">
        <v>0</v>
      </c>
      <c r="F49" s="152"/>
      <c r="J49" s="72"/>
      <c r="K49" s="72"/>
      <c r="L49" s="72"/>
      <c r="M49" s="84"/>
      <c r="N49" s="84"/>
      <c r="O49" s="84"/>
      <c r="P49" s="84"/>
      <c r="Q49" s="8"/>
      <c r="T49" s="72"/>
      <c r="U49" s="72"/>
      <c r="V49" s="72"/>
      <c r="W49" s="72"/>
      <c r="X49" s="72"/>
      <c r="Y49" s="72"/>
      <c r="Z49" s="72"/>
      <c r="AA49" s="72"/>
      <c r="AB49" s="72"/>
      <c r="AC49" s="72"/>
      <c r="AD49" s="72"/>
      <c r="AE49" s="72"/>
      <c r="AF49" s="72"/>
      <c r="AG49" s="72"/>
    </row>
    <row r="50" customFormat="false" ht="14.25" hidden="false" customHeight="true" outlineLevel="0" collapsed="false">
      <c r="A50" s="94" t="s">
        <v>11</v>
      </c>
      <c r="B50" s="95" t="n">
        <v>1</v>
      </c>
      <c r="C50" s="96" t="s">
        <v>30</v>
      </c>
      <c r="D50" s="17" t="s">
        <v>1918</v>
      </c>
      <c r="E50" s="6" t="n">
        <v>0</v>
      </c>
      <c r="F50" s="152"/>
      <c r="G50" s="141" t="s">
        <v>88</v>
      </c>
      <c r="H50" s="41" t="s">
        <v>18</v>
      </c>
      <c r="J50" s="72"/>
      <c r="K50" s="72"/>
      <c r="L50" s="72"/>
      <c r="M50" s="84"/>
      <c r="N50" s="84"/>
      <c r="O50" s="84"/>
      <c r="Q50" s="141" t="s">
        <v>88</v>
      </c>
      <c r="R50" s="41" t="s">
        <v>21</v>
      </c>
      <c r="T50" s="72"/>
      <c r="U50" s="72"/>
      <c r="V50" s="72"/>
      <c r="W50" s="72"/>
      <c r="X50" s="72"/>
      <c r="Y50" s="72"/>
      <c r="Z50" s="72"/>
      <c r="AA50" s="72"/>
      <c r="AB50" s="72"/>
      <c r="AC50" s="72"/>
      <c r="AD50" s="72"/>
      <c r="AE50" s="72"/>
      <c r="AF50" s="72"/>
      <c r="AG50" s="72"/>
    </row>
    <row r="51" customFormat="false" ht="14.25" hidden="false" customHeight="true" outlineLevel="0" collapsed="false">
      <c r="A51" s="94" t="s">
        <v>30</v>
      </c>
      <c r="B51" s="95" t="n">
        <v>1</v>
      </c>
      <c r="C51" s="96" t="s">
        <v>11</v>
      </c>
      <c r="D51" s="17" t="s">
        <v>1918</v>
      </c>
      <c r="F51" s="152"/>
      <c r="G51" s="141" t="s">
        <v>1443</v>
      </c>
      <c r="H51" s="145" t="n">
        <f aca="false">$J$14</f>
        <v>4</v>
      </c>
      <c r="J51" s="72"/>
      <c r="K51" s="72"/>
      <c r="L51" s="72"/>
      <c r="M51" s="84"/>
      <c r="N51" s="84"/>
      <c r="O51" s="84"/>
      <c r="Q51" s="141" t="s">
        <v>1443</v>
      </c>
      <c r="R51" s="145" t="n">
        <f aca="false">$M$14</f>
        <v>4</v>
      </c>
      <c r="T51" s="72"/>
      <c r="U51" s="72"/>
      <c r="V51" s="72"/>
      <c r="W51" s="72"/>
      <c r="X51" s="72"/>
      <c r="Y51" s="72"/>
      <c r="Z51" s="72"/>
      <c r="AA51" s="72"/>
      <c r="AB51" s="72"/>
      <c r="AC51" s="72"/>
      <c r="AD51" s="72"/>
      <c r="AE51" s="45" t="s">
        <v>194</v>
      </c>
      <c r="AF51" s="140" t="s">
        <v>16</v>
      </c>
      <c r="AG51" s="140" t="s">
        <v>17</v>
      </c>
      <c r="AH51" s="140" t="s">
        <v>18</v>
      </c>
      <c r="AI51" s="140" t="s">
        <v>19</v>
      </c>
      <c r="AJ51" s="140" t="s">
        <v>20</v>
      </c>
      <c r="AK51" s="140" t="s">
        <v>21</v>
      </c>
      <c r="AL51" s="140" t="s">
        <v>22</v>
      </c>
      <c r="AM51" s="140" t="s">
        <v>23</v>
      </c>
      <c r="AN51" s="140" t="s">
        <v>1884</v>
      </c>
    </row>
    <row r="52" customFormat="false" ht="14.25" hidden="false" customHeight="true" outlineLevel="0" collapsed="false">
      <c r="A52" s="94" t="s">
        <v>11</v>
      </c>
      <c r="B52" s="95" t="n">
        <v>1</v>
      </c>
      <c r="C52" s="96" t="s">
        <v>30</v>
      </c>
      <c r="D52" s="17" t="s">
        <v>1918</v>
      </c>
      <c r="E52" s="6" t="n">
        <v>0</v>
      </c>
      <c r="F52" s="152"/>
      <c r="G52" s="141" t="s">
        <v>11</v>
      </c>
      <c r="H52" s="145" t="n">
        <f aca="false">$J$13</f>
        <v>1.88888888888889</v>
      </c>
      <c r="J52" s="72"/>
      <c r="K52" s="72"/>
      <c r="L52" s="72"/>
      <c r="M52" s="84"/>
      <c r="N52" s="84"/>
      <c r="O52" s="84"/>
      <c r="Q52" s="141" t="s">
        <v>1447</v>
      </c>
      <c r="R52" s="145" t="n">
        <f aca="false">$M$11</f>
        <v>2.53333333333333</v>
      </c>
      <c r="T52" s="72"/>
      <c r="U52" s="72"/>
      <c r="V52" s="72"/>
      <c r="W52" s="72"/>
      <c r="X52" s="72"/>
      <c r="Y52" s="72"/>
      <c r="Z52" s="72"/>
      <c r="AA52" s="72"/>
      <c r="AB52" s="72"/>
      <c r="AC52" s="72"/>
      <c r="AD52" s="72"/>
      <c r="AE52" s="33" t="s">
        <v>91</v>
      </c>
      <c r="AF52" s="55" t="n">
        <v>7.5</v>
      </c>
      <c r="AG52" s="56" t="n">
        <v>-6</v>
      </c>
      <c r="AH52" s="56" t="n">
        <v>25</v>
      </c>
      <c r="AI52" s="56" t="n">
        <v>8.5</v>
      </c>
      <c r="AJ52" s="56" t="n">
        <v>-6.5</v>
      </c>
      <c r="AK52" s="56" t="n">
        <v>25</v>
      </c>
      <c r="AL52" s="56" t="n">
        <v>20</v>
      </c>
      <c r="AM52" s="56" t="n">
        <v>-20</v>
      </c>
      <c r="AN52" s="56" t="n">
        <v>4</v>
      </c>
      <c r="AO52" s="45" t="s">
        <v>1916</v>
      </c>
    </row>
    <row r="53" customFormat="false" ht="14.25" hidden="false" customHeight="true" outlineLevel="0" collapsed="false">
      <c r="A53" s="94" t="s">
        <v>30</v>
      </c>
      <c r="B53" s="95" t="n">
        <v>1</v>
      </c>
      <c r="C53" s="96" t="s">
        <v>11</v>
      </c>
      <c r="D53" s="17" t="s">
        <v>1918</v>
      </c>
      <c r="F53" s="152"/>
      <c r="G53" s="141" t="s">
        <v>1447</v>
      </c>
      <c r="H53" s="145" t="n">
        <f aca="false">$J$11</f>
        <v>1.69230769230769</v>
      </c>
      <c r="J53" s="72"/>
      <c r="K53" s="72"/>
      <c r="L53" s="72"/>
      <c r="M53" s="84"/>
      <c r="N53" s="84"/>
      <c r="O53" s="84"/>
      <c r="Q53" s="141" t="s">
        <v>11</v>
      </c>
      <c r="R53" s="145" t="n">
        <f aca="false">$M$13</f>
        <v>2.16666666666667</v>
      </c>
      <c r="T53" s="72"/>
      <c r="U53" s="72"/>
      <c r="V53" s="72"/>
      <c r="W53" s="72"/>
      <c r="X53" s="72"/>
      <c r="Y53" s="72"/>
      <c r="Z53" s="72"/>
      <c r="AA53" s="72"/>
      <c r="AB53" s="72"/>
      <c r="AC53" s="72"/>
      <c r="AD53" s="72"/>
      <c r="AE53" s="52" t="s">
        <v>111</v>
      </c>
      <c r="AF53" s="35" t="n">
        <f aca="false">$AF$52*H17</f>
        <v>187.5</v>
      </c>
      <c r="AG53" s="35" t="n">
        <f aca="false">$AG$52*I17</f>
        <v>-210</v>
      </c>
      <c r="AH53" s="35" t="n">
        <f aca="false">$AH$52*J17</f>
        <v>17.8571428571429</v>
      </c>
      <c r="AI53" s="35" t="n">
        <f aca="false">$AI$52*K17</f>
        <v>272</v>
      </c>
      <c r="AJ53" s="35" t="n">
        <f aca="false">$AJ$52*L17</f>
        <v>-370.5</v>
      </c>
      <c r="AK53" s="35" t="n">
        <f aca="false">$AK$52*M17</f>
        <v>14.0350877192982</v>
      </c>
      <c r="AL53" s="35" t="n">
        <f aca="false">$AL$52*N17</f>
        <v>25.6</v>
      </c>
      <c r="AM53" s="35" t="n">
        <f aca="false">$AM$52*O17</f>
        <v>-32.5714285714286</v>
      </c>
      <c r="AN53" s="35" t="n">
        <f aca="false">SUM(H17:I17)*$AN$52</f>
        <v>240</v>
      </c>
      <c r="AO53" s="35" t="n">
        <f aca="false">SUM(AF53:AN53)</f>
        <v>143.920802005013</v>
      </c>
    </row>
    <row r="54" customFormat="false" ht="14.25" hidden="false" customHeight="true" outlineLevel="0" collapsed="false">
      <c r="A54" s="94" t="s">
        <v>30</v>
      </c>
      <c r="B54" s="95" t="n">
        <v>1</v>
      </c>
      <c r="C54" s="96" t="s">
        <v>43</v>
      </c>
      <c r="D54" s="17" t="s">
        <v>1918</v>
      </c>
      <c r="F54" s="152"/>
      <c r="G54" s="141" t="s">
        <v>33</v>
      </c>
      <c r="H54" s="145" t="n">
        <f aca="false">$J$10</f>
        <v>1.14285714285714</v>
      </c>
      <c r="J54" s="72"/>
      <c r="K54" s="72"/>
      <c r="L54" s="72"/>
      <c r="M54" s="84"/>
      <c r="N54" s="84"/>
      <c r="O54" s="84"/>
      <c r="Q54" s="141" t="s">
        <v>41</v>
      </c>
      <c r="R54" s="145" t="n">
        <f aca="false">$M$7</f>
        <v>1.33333333333333</v>
      </c>
      <c r="T54" s="72"/>
      <c r="U54" s="72"/>
      <c r="V54" s="72"/>
      <c r="W54" s="72"/>
      <c r="X54" s="72"/>
      <c r="Y54" s="72"/>
      <c r="Z54" s="72"/>
      <c r="AA54" s="72"/>
      <c r="AB54" s="72"/>
      <c r="AC54" s="72"/>
      <c r="AD54" s="72"/>
      <c r="AE54" s="33" t="s">
        <v>114</v>
      </c>
      <c r="AF54" s="35" t="n">
        <f aca="false">$AF$52*H18</f>
        <v>90</v>
      </c>
      <c r="AG54" s="35" t="n">
        <f aca="false">$AG$52*I18</f>
        <v>-90</v>
      </c>
      <c r="AH54" s="35" t="n">
        <f aca="false">$AH$52*J18</f>
        <v>20</v>
      </c>
      <c r="AI54" s="35" t="n">
        <f aca="false">$AI$52*K18</f>
        <v>161.5</v>
      </c>
      <c r="AJ54" s="35" t="n">
        <f aca="false">$AJ$52*L18</f>
        <v>-149.5</v>
      </c>
      <c r="AK54" s="35" t="n">
        <f aca="false">$AK$52*M18</f>
        <v>20.6521739130435</v>
      </c>
      <c r="AL54" s="35" t="n">
        <f aca="false">$AL$52*N18</f>
        <v>31.6666666666667</v>
      </c>
      <c r="AM54" s="35" t="n">
        <f aca="false">$AM$52*O18</f>
        <v>-30.6666666666667</v>
      </c>
      <c r="AN54" s="35" t="n">
        <f aca="false">SUM(H18:I18)*$AN$52</f>
        <v>108</v>
      </c>
      <c r="AO54" s="35" t="n">
        <f aca="false">SUM(AF54:AN54)</f>
        <v>161.652173913043</v>
      </c>
    </row>
    <row r="55" customFormat="false" ht="14.25" hidden="false" customHeight="true" outlineLevel="0" collapsed="false">
      <c r="A55" s="94" t="s">
        <v>43</v>
      </c>
      <c r="B55" s="95" t="n">
        <v>1</v>
      </c>
      <c r="C55" s="96" t="s">
        <v>30</v>
      </c>
      <c r="D55" s="17" t="s">
        <v>1918</v>
      </c>
      <c r="E55" s="6" t="n">
        <v>1</v>
      </c>
      <c r="F55" s="152"/>
      <c r="G55" s="141" t="s">
        <v>30</v>
      </c>
      <c r="H55" s="145" t="n">
        <f aca="false">$J$3</f>
        <v>1.04761904761905</v>
      </c>
      <c r="J55" s="72"/>
      <c r="K55" s="72"/>
      <c r="L55" s="72"/>
      <c r="M55" s="84"/>
      <c r="N55" s="84"/>
      <c r="O55" s="84"/>
      <c r="Q55" s="141" t="s">
        <v>33</v>
      </c>
      <c r="R55" s="145" t="n">
        <f aca="false">$M$10</f>
        <v>1.2</v>
      </c>
      <c r="T55" s="72"/>
      <c r="U55" s="72"/>
      <c r="V55" s="72"/>
      <c r="W55" s="72"/>
      <c r="X55" s="72"/>
      <c r="Y55" s="72"/>
      <c r="Z55" s="72"/>
      <c r="AA55" s="72"/>
      <c r="AB55" s="72"/>
      <c r="AC55" s="72"/>
      <c r="AD55" s="72"/>
      <c r="AE55" s="33" t="s">
        <v>117</v>
      </c>
      <c r="AF55" s="35" t="n">
        <f aca="false">$AF$52*H19</f>
        <v>270</v>
      </c>
      <c r="AG55" s="35" t="n">
        <f aca="false">$AG$52*I19</f>
        <v>-180</v>
      </c>
      <c r="AH55" s="35" t="n">
        <f aca="false">$AH$52*J19</f>
        <v>30</v>
      </c>
      <c r="AI55" s="35" t="n">
        <f aca="false">$AI$52*K19</f>
        <v>501.5</v>
      </c>
      <c r="AJ55" s="35" t="n">
        <f aca="false">$AJ$52*L19</f>
        <v>-266.5</v>
      </c>
      <c r="AK55" s="35" t="n">
        <f aca="false">$AK$52*M19</f>
        <v>35.9756097560976</v>
      </c>
      <c r="AL55" s="35" t="n">
        <f aca="false">$AL$52*N19</f>
        <v>32.7777777777778</v>
      </c>
      <c r="AM55" s="35" t="n">
        <f aca="false">$AM$52*O19</f>
        <v>-27.3333333333333</v>
      </c>
      <c r="AN55" s="35" t="n">
        <f aca="false">SUM(H19:I19)*$AN$52</f>
        <v>264</v>
      </c>
      <c r="AO55" s="35" t="n">
        <f aca="false">SUM(AF55:AN55)</f>
        <v>660.420054200542</v>
      </c>
    </row>
    <row r="56" customFormat="false" ht="14.25" hidden="false" customHeight="true" outlineLevel="0" collapsed="false">
      <c r="A56" s="94" t="s">
        <v>1443</v>
      </c>
      <c r="B56" s="95" t="n">
        <v>2</v>
      </c>
      <c r="C56" s="96" t="s">
        <v>42</v>
      </c>
      <c r="D56" s="17" t="s">
        <v>1918</v>
      </c>
      <c r="F56" s="152"/>
      <c r="G56" s="141" t="s">
        <v>41</v>
      </c>
      <c r="H56" s="145" t="n">
        <f aca="false">$J$7</f>
        <v>1</v>
      </c>
      <c r="J56" s="72"/>
      <c r="K56" s="72"/>
      <c r="L56" s="72"/>
      <c r="M56" s="84"/>
      <c r="N56" s="84"/>
      <c r="O56" s="84"/>
      <c r="Q56" s="141" t="s">
        <v>1151</v>
      </c>
      <c r="R56" s="145" t="n">
        <f aca="false">$M$8</f>
        <v>1</v>
      </c>
      <c r="T56" s="72"/>
      <c r="U56" s="72"/>
      <c r="V56" s="72"/>
      <c r="W56" s="72"/>
      <c r="X56" s="72"/>
      <c r="Y56" s="72"/>
      <c r="Z56" s="72"/>
      <c r="AA56" s="72"/>
      <c r="AB56" s="72"/>
      <c r="AC56" s="72"/>
      <c r="AD56" s="72"/>
      <c r="AE56" s="33" t="s">
        <v>120</v>
      </c>
      <c r="AF56" s="35" t="n">
        <f aca="false">$AF$52*H20</f>
        <v>232.5</v>
      </c>
      <c r="AG56" s="35" t="n">
        <f aca="false">$AG$52*I20</f>
        <v>-144</v>
      </c>
      <c r="AH56" s="35" t="n">
        <f aca="false">$AH$52*J20</f>
        <v>32.2916666666667</v>
      </c>
      <c r="AI56" s="35" t="n">
        <f aca="false">$AI$52*K20</f>
        <v>408</v>
      </c>
      <c r="AJ56" s="35" t="n">
        <f aca="false">$AJ$52*L20</f>
        <v>-240.5</v>
      </c>
      <c r="AK56" s="35" t="n">
        <f aca="false">$AK$52*M20</f>
        <v>32.4324324324324</v>
      </c>
      <c r="AL56" s="35" t="n">
        <f aca="false">$AL$52*N20</f>
        <v>30.9677419354839</v>
      </c>
      <c r="AM56" s="35" t="n">
        <f aca="false">$AM$52*O20</f>
        <v>-30.8333333333333</v>
      </c>
      <c r="AN56" s="35" t="n">
        <f aca="false">SUM(H20:I20)*$AN$52</f>
        <v>220</v>
      </c>
      <c r="AO56" s="35" t="n">
        <f aca="false">SUM(AF56:AN56)</f>
        <v>540.85850770125</v>
      </c>
    </row>
    <row r="57" customFormat="false" ht="14.25" hidden="false" customHeight="true" outlineLevel="0" collapsed="false">
      <c r="A57" s="94" t="s">
        <v>30</v>
      </c>
      <c r="B57" s="95" t="n">
        <v>1</v>
      </c>
      <c r="C57" s="96" t="s">
        <v>40</v>
      </c>
      <c r="D57" s="17" t="s">
        <v>1918</v>
      </c>
      <c r="F57" s="152"/>
      <c r="G57" s="141" t="s">
        <v>1151</v>
      </c>
      <c r="H57" s="145" t="n">
        <f aca="false">$J$8</f>
        <v>0.875</v>
      </c>
      <c r="J57" s="72"/>
      <c r="K57" s="72"/>
      <c r="L57" s="72"/>
      <c r="M57" s="84"/>
      <c r="N57" s="84"/>
      <c r="O57" s="84"/>
      <c r="Q57" s="141" t="s">
        <v>30</v>
      </c>
      <c r="R57" s="145" t="n">
        <f aca="false">$M$3</f>
        <v>0.9</v>
      </c>
      <c r="T57" s="72"/>
      <c r="U57" s="72"/>
      <c r="V57" s="72"/>
      <c r="W57" s="72"/>
      <c r="X57" s="72"/>
      <c r="Y57" s="72"/>
      <c r="Z57" s="72"/>
      <c r="AA57" s="72"/>
      <c r="AB57" s="72"/>
      <c r="AC57" s="72"/>
      <c r="AD57" s="72"/>
      <c r="AE57" s="33" t="s">
        <v>1928</v>
      </c>
      <c r="AF57" s="35" t="n">
        <f aca="false">SUM(H4:H5)*AF52</f>
        <v>22.5</v>
      </c>
      <c r="AG57" s="35" t="n">
        <f aca="false">SUM(I4:I5)*AG52</f>
        <v>-84</v>
      </c>
      <c r="AH57" s="35" t="n">
        <f aca="false">SUM(J4:J5)*AH52</f>
        <v>10.7142857142857</v>
      </c>
      <c r="AI57" s="35" t="n">
        <f aca="false">SUM(K4:K5)*AI52</f>
        <v>42.5</v>
      </c>
      <c r="AJ57" s="35" t="n">
        <f aca="false">SUM(L4:L5)*AJ52</f>
        <v>-175.5</v>
      </c>
      <c r="AK57" s="35" t="n">
        <f aca="false">SUM(M4:M5)*AK52</f>
        <v>9.61538461538462</v>
      </c>
      <c r="AL57" s="35" t="n">
        <f aca="false">SUM(N4:N5)*AL52</f>
        <v>33.3333333333333</v>
      </c>
      <c r="AM57" s="35" t="n">
        <f aca="false">SUM(O4:O5)*AM52</f>
        <v>-77.1428571428571</v>
      </c>
      <c r="AN57" s="35" t="n">
        <f aca="false">SUM(P4:P5)*AN52</f>
        <v>0.727272727272727</v>
      </c>
      <c r="AO57" s="35" t="n">
        <f aca="false">SUM(AF57:AN57)</f>
        <v>-217.252580752581</v>
      </c>
    </row>
    <row r="58" customFormat="false" ht="14.25" hidden="false" customHeight="true" outlineLevel="0" collapsed="false">
      <c r="A58" s="94" t="s">
        <v>40</v>
      </c>
      <c r="B58" s="95" t="n">
        <v>1</v>
      </c>
      <c r="C58" s="96" t="s">
        <v>30</v>
      </c>
      <c r="D58" s="17" t="s">
        <v>1918</v>
      </c>
      <c r="E58" s="6" t="n">
        <v>0</v>
      </c>
      <c r="F58" s="152"/>
      <c r="G58" s="141" t="s">
        <v>43</v>
      </c>
      <c r="H58" s="145" t="n">
        <f aca="false">$J$12</f>
        <v>0.714285714285714</v>
      </c>
      <c r="J58" s="72"/>
      <c r="K58" s="72"/>
      <c r="L58" s="72"/>
      <c r="M58" s="84"/>
      <c r="N58" s="84"/>
      <c r="O58" s="84"/>
      <c r="Q58" s="141" t="s">
        <v>43</v>
      </c>
      <c r="R58" s="145" t="n">
        <f aca="false">$M$12</f>
        <v>0.608695652173913</v>
      </c>
      <c r="T58" s="72"/>
      <c r="U58" s="72"/>
      <c r="V58" s="72"/>
      <c r="W58" s="72"/>
      <c r="X58" s="72"/>
      <c r="Y58" s="72"/>
      <c r="Z58" s="72"/>
      <c r="AA58" s="72"/>
      <c r="AB58" s="72"/>
      <c r="AC58" s="72"/>
      <c r="AD58" s="72"/>
    </row>
    <row r="59" customFormat="false" ht="14.25" hidden="false" customHeight="true" outlineLevel="0" collapsed="false">
      <c r="A59" s="94" t="s">
        <v>30</v>
      </c>
      <c r="B59" s="95" t="n">
        <v>1</v>
      </c>
      <c r="C59" s="96" t="s">
        <v>33</v>
      </c>
      <c r="D59" s="17" t="s">
        <v>1918</v>
      </c>
      <c r="F59" s="152"/>
      <c r="G59" s="141" t="s">
        <v>40</v>
      </c>
      <c r="H59" s="145" t="n">
        <f aca="false">$J$6</f>
        <v>0.6</v>
      </c>
      <c r="J59" s="72"/>
      <c r="K59" s="72"/>
      <c r="L59" s="72"/>
      <c r="M59" s="84"/>
      <c r="N59" s="84"/>
      <c r="O59" s="84"/>
      <c r="Q59" s="141" t="s">
        <v>1154</v>
      </c>
      <c r="R59" s="145" t="n">
        <f aca="false">$M$9</f>
        <v>0.5625</v>
      </c>
      <c r="T59" s="72"/>
      <c r="U59" s="72"/>
      <c r="V59" s="72"/>
      <c r="W59" s="72"/>
      <c r="X59" s="72"/>
      <c r="Y59" s="72"/>
      <c r="Z59" s="72"/>
      <c r="AA59" s="72"/>
      <c r="AB59" s="72"/>
      <c r="AC59" s="72"/>
      <c r="AD59" s="72"/>
      <c r="AE59" s="74" t="s">
        <v>10</v>
      </c>
      <c r="AF59" s="75" t="s">
        <v>143</v>
      </c>
      <c r="AG59" s="75" t="s">
        <v>144</v>
      </c>
    </row>
    <row r="60" customFormat="false" ht="14.25" hidden="false" customHeight="true" outlineLevel="0" collapsed="false">
      <c r="A60" s="94" t="s">
        <v>33</v>
      </c>
      <c r="B60" s="95" t="n">
        <v>1</v>
      </c>
      <c r="C60" s="96" t="s">
        <v>30</v>
      </c>
      <c r="D60" s="17" t="s">
        <v>1918</v>
      </c>
      <c r="E60" s="6" t="n">
        <v>0</v>
      </c>
      <c r="F60" s="152"/>
      <c r="G60" s="141" t="s">
        <v>1154</v>
      </c>
      <c r="H60" s="145" t="n">
        <f aca="false">$J$9</f>
        <v>0.6</v>
      </c>
      <c r="J60" s="72"/>
      <c r="K60" s="72"/>
      <c r="L60" s="72"/>
      <c r="M60" s="84"/>
      <c r="N60" s="84"/>
      <c r="O60" s="84"/>
      <c r="Q60" s="141" t="s">
        <v>40</v>
      </c>
      <c r="R60" s="145" t="n">
        <f aca="false">$M$6</f>
        <v>0.444444444444444</v>
      </c>
      <c r="T60" s="72"/>
      <c r="U60" s="72"/>
      <c r="V60" s="72"/>
      <c r="W60" s="72"/>
      <c r="X60" s="72"/>
      <c r="Y60" s="72"/>
      <c r="Z60" s="72"/>
      <c r="AA60" s="72"/>
      <c r="AB60" s="72"/>
      <c r="AC60" s="72"/>
      <c r="AD60" s="72"/>
      <c r="AE60" s="52" t="s">
        <v>117</v>
      </c>
      <c r="AF60" s="77" t="n">
        <f aca="false">$AO$55</f>
        <v>660.420054200542</v>
      </c>
      <c r="AG60" s="77" t="n">
        <f aca="false">AF60-$AF$65</f>
        <v>877.672634953123</v>
      </c>
    </row>
    <row r="61" customFormat="false" ht="14.25" hidden="false" customHeight="true" outlineLevel="0" collapsed="false">
      <c r="A61" s="94" t="s">
        <v>1447</v>
      </c>
      <c r="B61" s="95" t="n">
        <v>2</v>
      </c>
      <c r="C61" s="96" t="s">
        <v>1919</v>
      </c>
      <c r="D61" s="17" t="s">
        <v>1918</v>
      </c>
      <c r="F61" s="152"/>
      <c r="G61" s="141" t="s">
        <v>42</v>
      </c>
      <c r="H61" s="145" t="n">
        <f aca="false">$J$4</f>
        <v>0.428571428571429</v>
      </c>
      <c r="J61" s="72"/>
      <c r="K61" s="72"/>
      <c r="L61" s="72"/>
      <c r="M61" s="84"/>
      <c r="N61" s="84"/>
      <c r="O61" s="84"/>
      <c r="Q61" s="141" t="s">
        <v>42</v>
      </c>
      <c r="R61" s="145" t="n">
        <f aca="false">$M$4</f>
        <v>0.384615384615385</v>
      </c>
      <c r="T61" s="72"/>
      <c r="U61" s="72"/>
      <c r="V61" s="72"/>
      <c r="W61" s="72"/>
      <c r="X61" s="72"/>
      <c r="Y61" s="72"/>
      <c r="Z61" s="72"/>
      <c r="AA61" s="72"/>
      <c r="AB61" s="72"/>
      <c r="AC61" s="72"/>
      <c r="AD61" s="72"/>
      <c r="AE61" s="33" t="s">
        <v>120</v>
      </c>
      <c r="AF61" s="77" t="n">
        <f aca="false">$AO$56</f>
        <v>540.85850770125</v>
      </c>
      <c r="AG61" s="77" t="n">
        <f aca="false">AF61-$AF$65</f>
        <v>758.111088453831</v>
      </c>
    </row>
    <row r="62" customFormat="false" ht="14.25" hidden="false" customHeight="true" outlineLevel="0" collapsed="false">
      <c r="A62" s="94" t="s">
        <v>30</v>
      </c>
      <c r="B62" s="95" t="n">
        <v>2</v>
      </c>
      <c r="C62" s="96" t="s">
        <v>43</v>
      </c>
      <c r="D62" s="17" t="s">
        <v>1918</v>
      </c>
      <c r="F62" s="152"/>
      <c r="G62" s="141" t="s">
        <v>1919</v>
      </c>
      <c r="H62" s="145" t="n">
        <f aca="false">$J$5</f>
        <v>0</v>
      </c>
      <c r="J62" s="72"/>
      <c r="K62" s="72"/>
      <c r="L62" s="72"/>
      <c r="M62" s="84"/>
      <c r="N62" s="84"/>
      <c r="O62" s="84"/>
      <c r="Q62" s="141" t="s">
        <v>1919</v>
      </c>
      <c r="R62" s="145" t="n">
        <f aca="false">$M$5</f>
        <v>0</v>
      </c>
      <c r="T62" s="72"/>
      <c r="U62" s="72"/>
      <c r="V62" s="72"/>
      <c r="W62" s="72"/>
      <c r="X62" s="72"/>
      <c r="Y62" s="72"/>
      <c r="Z62" s="72"/>
      <c r="AA62" s="72"/>
      <c r="AB62" s="72"/>
      <c r="AC62" s="72"/>
      <c r="AD62" s="72"/>
      <c r="AE62" s="33" t="s">
        <v>114</v>
      </c>
      <c r="AF62" s="77" t="n">
        <f aca="false">$AO$54</f>
        <v>161.652173913043</v>
      </c>
      <c r="AG62" s="77" t="n">
        <f aca="false">AF62-$AF$65</f>
        <v>378.904754665624</v>
      </c>
    </row>
    <row r="63" customFormat="false" ht="14.25" hidden="false" customHeight="true" outlineLevel="0" collapsed="false">
      <c r="A63" s="94" t="s">
        <v>33</v>
      </c>
      <c r="B63" s="95" t="n">
        <v>2</v>
      </c>
      <c r="C63" s="96" t="s">
        <v>1151</v>
      </c>
      <c r="D63" s="17" t="s">
        <v>1918</v>
      </c>
      <c r="F63" s="152"/>
      <c r="J63" s="72"/>
      <c r="K63" s="72"/>
      <c r="L63" s="72"/>
      <c r="M63" s="84"/>
      <c r="N63" s="84"/>
      <c r="O63" s="84"/>
      <c r="P63" s="84"/>
      <c r="Q63" s="8"/>
      <c r="T63" s="72"/>
      <c r="U63" s="72"/>
      <c r="V63" s="72"/>
      <c r="W63" s="72"/>
      <c r="X63" s="72"/>
      <c r="Y63" s="72"/>
      <c r="Z63" s="72"/>
      <c r="AA63" s="72"/>
      <c r="AB63" s="72"/>
      <c r="AC63" s="72"/>
      <c r="AD63" s="72"/>
      <c r="AE63" s="33" t="s">
        <v>111</v>
      </c>
      <c r="AF63" s="77" t="n">
        <f aca="false">$AO$53</f>
        <v>143.920802005013</v>
      </c>
      <c r="AG63" s="77" t="n">
        <f aca="false">AF63-$AF$65</f>
        <v>361.173382757593</v>
      </c>
    </row>
    <row r="64" customFormat="false" ht="14.25" hidden="false" customHeight="true" outlineLevel="0" collapsed="false">
      <c r="A64" s="94" t="s">
        <v>1447</v>
      </c>
      <c r="B64" s="95" t="n">
        <v>2</v>
      </c>
      <c r="C64" s="96" t="s">
        <v>1919</v>
      </c>
      <c r="D64" s="17" t="s">
        <v>1918</v>
      </c>
      <c r="F64" s="152"/>
      <c r="G64" s="141" t="s">
        <v>108</v>
      </c>
      <c r="H64" s="41" t="s">
        <v>16</v>
      </c>
      <c r="J64" s="72"/>
      <c r="K64" s="72"/>
      <c r="L64" s="72"/>
      <c r="M64" s="84"/>
      <c r="N64" s="84"/>
      <c r="O64" s="84"/>
      <c r="Q64" s="141" t="s">
        <v>108</v>
      </c>
      <c r="R64" s="41" t="s">
        <v>19</v>
      </c>
      <c r="T64" s="72"/>
      <c r="U64" s="72"/>
      <c r="V64" s="72"/>
      <c r="W64" s="72"/>
      <c r="X64" s="72"/>
      <c r="Y64" s="72"/>
      <c r="Z64" s="72"/>
      <c r="AA64" s="72"/>
      <c r="AB64" s="72"/>
      <c r="AC64" s="72"/>
      <c r="AD64" s="72"/>
      <c r="AE64" s="33" t="s">
        <v>30</v>
      </c>
      <c r="AF64" s="77" t="n">
        <f aca="false">Fall2024PRE!$AQ$20</f>
        <v>138.083333333333</v>
      </c>
      <c r="AG64" s="77" t="n">
        <f aca="false">AF64-$AF$65</f>
        <v>355.335914085914</v>
      </c>
    </row>
    <row r="65" customFormat="false" ht="14.25" hidden="false" customHeight="true" outlineLevel="0" collapsed="false">
      <c r="A65" s="94" t="s">
        <v>1447</v>
      </c>
      <c r="B65" s="95" t="n">
        <v>2</v>
      </c>
      <c r="C65" s="96" t="s">
        <v>30</v>
      </c>
      <c r="D65" s="17" t="s">
        <v>1918</v>
      </c>
      <c r="E65" s="6" t="n">
        <v>1</v>
      </c>
      <c r="F65" s="152"/>
      <c r="G65" s="141" t="s">
        <v>117</v>
      </c>
      <c r="H65" s="144" t="n">
        <f aca="false">$H$19</f>
        <v>36</v>
      </c>
      <c r="J65" s="72"/>
      <c r="K65" s="72"/>
      <c r="L65" s="72"/>
      <c r="M65" s="84"/>
      <c r="N65" s="84"/>
      <c r="O65" s="84"/>
      <c r="Q65" s="141" t="s">
        <v>117</v>
      </c>
      <c r="R65" s="117" t="n">
        <f aca="false">$K$19</f>
        <v>59</v>
      </c>
      <c r="T65" s="72"/>
      <c r="U65" s="72"/>
      <c r="V65" s="72"/>
      <c r="W65" s="72"/>
      <c r="X65" s="72"/>
      <c r="Y65" s="72"/>
      <c r="Z65" s="72"/>
      <c r="AA65" s="72"/>
      <c r="AB65" s="72"/>
      <c r="AC65" s="72"/>
      <c r="AD65" s="72"/>
      <c r="AE65" s="33" t="s">
        <v>1928</v>
      </c>
      <c r="AF65" s="77" t="n">
        <f aca="false">$AO$57</f>
        <v>-217.252580752581</v>
      </c>
      <c r="AG65" s="77" t="n">
        <f aca="false">AF65-$AF$65</f>
        <v>0</v>
      </c>
    </row>
    <row r="66" customFormat="false" ht="14.25" hidden="false" customHeight="true" outlineLevel="0" collapsed="false">
      <c r="A66" s="94" t="s">
        <v>30</v>
      </c>
      <c r="B66" s="95" t="n">
        <v>1</v>
      </c>
      <c r="C66" s="96" t="s">
        <v>1447</v>
      </c>
      <c r="D66" s="17" t="s">
        <v>1918</v>
      </c>
      <c r="F66" s="152"/>
      <c r="G66" s="141" t="s">
        <v>120</v>
      </c>
      <c r="H66" s="144" t="n">
        <f aca="false">$H$20</f>
        <v>31</v>
      </c>
      <c r="J66" s="72"/>
      <c r="K66" s="72"/>
      <c r="L66" s="72"/>
      <c r="M66" s="84"/>
      <c r="N66" s="84"/>
      <c r="O66" s="84"/>
      <c r="Q66" s="141" t="s">
        <v>120</v>
      </c>
      <c r="R66" s="117" t="n">
        <f aca="false">$K$20</f>
        <v>48</v>
      </c>
      <c r="T66" s="72"/>
      <c r="U66" s="72"/>
      <c r="V66" s="72"/>
      <c r="W66" s="72"/>
      <c r="X66" s="72"/>
      <c r="Y66" s="72"/>
      <c r="Z66" s="72"/>
      <c r="AA66" s="72"/>
      <c r="AB66" s="72"/>
      <c r="AC66" s="72"/>
      <c r="AD66" s="72"/>
    </row>
    <row r="67" customFormat="false" ht="14.25" hidden="false" customHeight="true" outlineLevel="0" collapsed="false">
      <c r="A67" s="94" t="s">
        <v>1447</v>
      </c>
      <c r="B67" s="95" t="n">
        <v>2</v>
      </c>
      <c r="C67" s="96" t="s">
        <v>30</v>
      </c>
      <c r="D67" s="17" t="s">
        <v>1918</v>
      </c>
      <c r="E67" s="6" t="n">
        <v>0</v>
      </c>
      <c r="F67" s="152"/>
      <c r="G67" s="141" t="s">
        <v>111</v>
      </c>
      <c r="H67" s="144" t="n">
        <f aca="false">$H$17</f>
        <v>25</v>
      </c>
      <c r="J67" s="72"/>
      <c r="K67" s="72"/>
      <c r="L67" s="72"/>
      <c r="M67" s="84"/>
      <c r="N67" s="84"/>
      <c r="O67" s="84"/>
      <c r="Q67" s="141" t="s">
        <v>111</v>
      </c>
      <c r="R67" s="117" t="n">
        <f aca="false">$K$17</f>
        <v>32</v>
      </c>
      <c r="T67" s="72"/>
      <c r="U67" s="72"/>
      <c r="V67" s="72"/>
      <c r="W67" s="72"/>
      <c r="X67" s="72"/>
      <c r="Y67" s="72"/>
      <c r="Z67" s="72"/>
      <c r="AA67" s="72"/>
      <c r="AB67" s="72"/>
      <c r="AC67" s="72"/>
      <c r="AD67" s="72"/>
      <c r="AE67" s="72"/>
      <c r="AF67" s="72"/>
      <c r="AG67" s="72"/>
    </row>
    <row r="68" customFormat="false" ht="14.25" hidden="false" customHeight="true" outlineLevel="0" collapsed="false">
      <c r="A68" s="94" t="s">
        <v>30</v>
      </c>
      <c r="B68" s="95" t="n">
        <v>1</v>
      </c>
      <c r="C68" s="96" t="s">
        <v>1447</v>
      </c>
      <c r="D68" s="17" t="s">
        <v>1918</v>
      </c>
      <c r="F68" s="152"/>
      <c r="G68" s="141" t="s">
        <v>114</v>
      </c>
      <c r="H68" s="144" t="n">
        <f aca="false">$H$18</f>
        <v>12</v>
      </c>
      <c r="J68" s="72"/>
      <c r="K68" s="72"/>
      <c r="L68" s="72"/>
      <c r="M68" s="84"/>
      <c r="N68" s="84"/>
      <c r="O68" s="84"/>
      <c r="Q68" s="141" t="s">
        <v>114</v>
      </c>
      <c r="R68" s="117" t="n">
        <f aca="false">$K$18</f>
        <v>19</v>
      </c>
      <c r="T68" s="72"/>
      <c r="U68" s="72"/>
      <c r="V68" s="72"/>
      <c r="W68" s="72"/>
      <c r="X68" s="72"/>
      <c r="Y68" s="72"/>
      <c r="Z68" s="72"/>
      <c r="AA68" s="72"/>
      <c r="AB68" s="72"/>
      <c r="AC68" s="72"/>
      <c r="AD68" s="72"/>
      <c r="AE68" s="72"/>
      <c r="AG68" s="72"/>
    </row>
    <row r="69" customFormat="false" ht="14.25" hidden="false" customHeight="true" outlineLevel="0" collapsed="false">
      <c r="A69" s="94" t="s">
        <v>11</v>
      </c>
      <c r="B69" s="95" t="n">
        <v>2</v>
      </c>
      <c r="C69" s="96" t="s">
        <v>1443</v>
      </c>
      <c r="D69" s="17" t="s">
        <v>1918</v>
      </c>
      <c r="F69" s="152"/>
      <c r="J69" s="72"/>
      <c r="K69" s="72"/>
      <c r="L69" s="72"/>
      <c r="M69" s="84"/>
      <c r="N69" s="84"/>
      <c r="O69" s="84"/>
      <c r="P69" s="84"/>
      <c r="Q69" s="8"/>
      <c r="T69" s="72"/>
      <c r="U69" s="72"/>
      <c r="V69" s="72"/>
      <c r="W69" s="72"/>
      <c r="X69" s="72"/>
      <c r="Y69" s="72"/>
      <c r="Z69" s="72"/>
      <c r="AA69" s="72"/>
      <c r="AB69" s="72"/>
      <c r="AC69" s="72"/>
      <c r="AD69" s="72"/>
      <c r="AE69" s="72"/>
      <c r="AF69" s="72"/>
      <c r="AG69" s="72"/>
    </row>
    <row r="70" customFormat="false" ht="14.25" hidden="false" customHeight="true" outlineLevel="0" collapsed="false">
      <c r="A70" s="94" t="s">
        <v>1443</v>
      </c>
      <c r="B70" s="95" t="n">
        <v>2</v>
      </c>
      <c r="C70" s="96" t="s">
        <v>42</v>
      </c>
      <c r="D70" s="17" t="s">
        <v>1918</v>
      </c>
      <c r="F70" s="152"/>
      <c r="J70" s="72"/>
      <c r="K70" s="72"/>
      <c r="L70" s="72"/>
      <c r="M70" s="84"/>
      <c r="N70" s="84"/>
      <c r="O70" s="84"/>
      <c r="P70" s="84"/>
      <c r="Q70" s="8"/>
      <c r="T70" s="72"/>
      <c r="U70" s="72"/>
      <c r="V70" s="72"/>
      <c r="W70" s="72"/>
      <c r="X70" s="72"/>
      <c r="Y70" s="72"/>
      <c r="Z70" s="72"/>
      <c r="AA70" s="72"/>
      <c r="AB70" s="72"/>
      <c r="AC70" s="72"/>
      <c r="AD70" s="72"/>
      <c r="AE70" s="72"/>
      <c r="AF70" s="72"/>
      <c r="AG70" s="72"/>
    </row>
    <row r="71" customFormat="false" ht="14.25" hidden="false" customHeight="true" outlineLevel="0" collapsed="false">
      <c r="A71" s="94" t="s">
        <v>30</v>
      </c>
      <c r="B71" s="95" t="n">
        <v>2</v>
      </c>
      <c r="C71" s="96" t="s">
        <v>43</v>
      </c>
      <c r="D71" s="17" t="s">
        <v>1918</v>
      </c>
      <c r="F71" s="152"/>
      <c r="J71" s="72"/>
      <c r="K71" s="72"/>
      <c r="L71" s="72"/>
      <c r="M71" s="84"/>
      <c r="N71" s="84"/>
      <c r="O71" s="84"/>
      <c r="P71" s="84"/>
      <c r="Q71" s="8"/>
      <c r="T71" s="72"/>
      <c r="U71" s="72"/>
      <c r="V71" s="72"/>
      <c r="W71" s="72"/>
      <c r="X71" s="72"/>
      <c r="Y71" s="72"/>
      <c r="Z71" s="72"/>
      <c r="AA71" s="72"/>
      <c r="AB71" s="72"/>
      <c r="AC71" s="72"/>
      <c r="AD71" s="72"/>
      <c r="AF71" s="72"/>
      <c r="AG71" s="72"/>
    </row>
    <row r="72" customFormat="false" ht="14.25" hidden="false" customHeight="true" outlineLevel="0" collapsed="false">
      <c r="A72" s="94" t="s">
        <v>30</v>
      </c>
      <c r="B72" s="95" t="n">
        <v>1</v>
      </c>
      <c r="C72" s="96" t="s">
        <v>1154</v>
      </c>
      <c r="D72" s="17" t="s">
        <v>1918</v>
      </c>
      <c r="F72" s="152"/>
      <c r="J72" s="72"/>
      <c r="K72" s="72"/>
      <c r="L72" s="72"/>
      <c r="M72" s="84"/>
      <c r="N72" s="84"/>
      <c r="O72" s="84"/>
      <c r="P72" s="84"/>
      <c r="Q72" s="8"/>
      <c r="T72" s="72"/>
      <c r="U72" s="72"/>
      <c r="V72" s="72"/>
      <c r="W72" s="72"/>
      <c r="X72" s="72"/>
      <c r="Y72" s="72"/>
      <c r="Z72" s="72"/>
      <c r="AA72" s="72"/>
      <c r="AB72" s="72"/>
      <c r="AC72" s="72"/>
      <c r="AD72" s="72"/>
      <c r="AE72" s="72"/>
      <c r="AF72" s="72"/>
      <c r="AG72" s="72"/>
    </row>
    <row r="73" customFormat="false" ht="14.25" hidden="false" customHeight="true" outlineLevel="0" collapsed="false">
      <c r="A73" s="94" t="s">
        <v>1154</v>
      </c>
      <c r="B73" s="95" t="n">
        <v>1</v>
      </c>
      <c r="C73" s="96" t="s">
        <v>30</v>
      </c>
      <c r="D73" s="17" t="s">
        <v>1918</v>
      </c>
      <c r="E73" s="6" t="n">
        <v>0</v>
      </c>
      <c r="F73" s="152"/>
      <c r="G73" s="141" t="s">
        <v>108</v>
      </c>
      <c r="H73" s="41" t="s">
        <v>17</v>
      </c>
      <c r="J73" s="72"/>
      <c r="K73" s="72"/>
      <c r="L73" s="72"/>
      <c r="M73" s="84"/>
      <c r="N73" s="84"/>
      <c r="O73" s="84"/>
      <c r="Q73" s="141" t="s">
        <v>108</v>
      </c>
      <c r="R73" s="41" t="s">
        <v>20</v>
      </c>
      <c r="T73" s="72"/>
      <c r="U73" s="72"/>
      <c r="V73" s="72"/>
      <c r="W73" s="72"/>
      <c r="X73" s="72"/>
      <c r="Y73" s="72"/>
      <c r="Z73" s="72"/>
      <c r="AA73" s="72"/>
      <c r="AB73" s="72"/>
      <c r="AC73" s="72"/>
      <c r="AD73" s="72"/>
      <c r="AE73" s="72"/>
      <c r="AF73" s="72"/>
      <c r="AG73" s="72"/>
    </row>
    <row r="74" customFormat="false" ht="14.25" hidden="false" customHeight="true" outlineLevel="0" collapsed="false">
      <c r="A74" s="94" t="s">
        <v>33</v>
      </c>
      <c r="B74" s="95" t="n">
        <v>2</v>
      </c>
      <c r="C74" s="96" t="s">
        <v>1154</v>
      </c>
      <c r="D74" s="17" t="s">
        <v>1918</v>
      </c>
      <c r="F74" s="152"/>
      <c r="G74" s="141" t="s">
        <v>111</v>
      </c>
      <c r="H74" s="118" t="n">
        <f aca="false">$I$17</f>
        <v>35</v>
      </c>
      <c r="J74" s="72"/>
      <c r="K74" s="72"/>
      <c r="L74" s="72"/>
      <c r="M74" s="84"/>
      <c r="N74" s="84"/>
      <c r="O74" s="84"/>
      <c r="Q74" s="141" t="s">
        <v>111</v>
      </c>
      <c r="R74" s="118" t="n">
        <f aca="false">$L$17</f>
        <v>57</v>
      </c>
      <c r="T74" s="72"/>
      <c r="U74" s="72"/>
      <c r="V74" s="72"/>
      <c r="W74" s="72"/>
      <c r="X74" s="72"/>
      <c r="Y74" s="72"/>
      <c r="Z74" s="72"/>
      <c r="AA74" s="72"/>
      <c r="AB74" s="72"/>
      <c r="AC74" s="72"/>
      <c r="AD74" s="72"/>
      <c r="AE74" s="72"/>
      <c r="AF74" s="72"/>
      <c r="AG74" s="72"/>
    </row>
    <row r="75" customFormat="false" ht="14.25" hidden="false" customHeight="true" outlineLevel="0" collapsed="false">
      <c r="A75" s="94" t="s">
        <v>11</v>
      </c>
      <c r="B75" s="95" t="n">
        <v>2</v>
      </c>
      <c r="C75" s="96" t="s">
        <v>1919</v>
      </c>
      <c r="D75" s="17" t="s">
        <v>1918</v>
      </c>
      <c r="F75" s="152"/>
      <c r="G75" s="141" t="s">
        <v>117</v>
      </c>
      <c r="H75" s="118" t="n">
        <f aca="false">$I$19</f>
        <v>30</v>
      </c>
      <c r="J75" s="72"/>
      <c r="K75" s="72"/>
      <c r="L75" s="72"/>
      <c r="M75" s="84"/>
      <c r="N75" s="84"/>
      <c r="O75" s="84"/>
      <c r="Q75" s="141" t="s">
        <v>117</v>
      </c>
      <c r="R75" s="118" t="n">
        <f aca="false">$L$19</f>
        <v>41</v>
      </c>
      <c r="T75" s="72"/>
      <c r="U75" s="72"/>
      <c r="V75" s="72"/>
      <c r="W75" s="72"/>
      <c r="X75" s="72"/>
      <c r="Y75" s="72"/>
      <c r="Z75" s="72"/>
      <c r="AA75" s="72"/>
      <c r="AB75" s="72"/>
      <c r="AC75" s="72"/>
      <c r="AD75" s="72"/>
      <c r="AE75" s="72"/>
      <c r="AF75" s="72"/>
      <c r="AG75" s="72"/>
    </row>
    <row r="76" customFormat="false" ht="14.25" hidden="false" customHeight="true" outlineLevel="0" collapsed="false">
      <c r="A76" s="94" t="s">
        <v>11</v>
      </c>
      <c r="B76" s="95" t="n">
        <v>2</v>
      </c>
      <c r="C76" s="96" t="s">
        <v>40</v>
      </c>
      <c r="D76" s="17" t="s">
        <v>1918</v>
      </c>
      <c r="F76" s="152"/>
      <c r="G76" s="141" t="s">
        <v>120</v>
      </c>
      <c r="H76" s="118" t="n">
        <f aca="false">$I$20</f>
        <v>24</v>
      </c>
      <c r="J76" s="72"/>
      <c r="K76" s="72"/>
      <c r="L76" s="72"/>
      <c r="M76" s="84"/>
      <c r="N76" s="84"/>
      <c r="O76" s="84"/>
      <c r="Q76" s="141" t="s">
        <v>120</v>
      </c>
      <c r="R76" s="118" t="n">
        <f aca="false">$L$20</f>
        <v>37</v>
      </c>
      <c r="T76" s="72"/>
      <c r="U76" s="72"/>
      <c r="V76" s="72"/>
      <c r="W76" s="72"/>
      <c r="X76" s="72"/>
      <c r="Y76" s="72"/>
      <c r="Z76" s="72"/>
      <c r="AA76" s="72"/>
      <c r="AB76" s="72"/>
      <c r="AC76" s="72"/>
      <c r="AD76" s="72"/>
      <c r="AE76" s="72"/>
      <c r="AF76" s="72"/>
      <c r="AG76" s="72"/>
    </row>
    <row r="77" customFormat="false" ht="14.25" hidden="false" customHeight="true" outlineLevel="0" collapsed="false">
      <c r="A77" s="94" t="s">
        <v>40</v>
      </c>
      <c r="B77" s="95" t="n">
        <v>1</v>
      </c>
      <c r="C77" s="96" t="s">
        <v>1151</v>
      </c>
      <c r="D77" s="17" t="s">
        <v>1918</v>
      </c>
      <c r="F77" s="152"/>
      <c r="G77" s="141" t="s">
        <v>114</v>
      </c>
      <c r="H77" s="118" t="n">
        <f aca="false">$I$18</f>
        <v>15</v>
      </c>
      <c r="J77" s="72"/>
      <c r="K77" s="72"/>
      <c r="L77" s="72"/>
      <c r="M77" s="84"/>
      <c r="N77" s="84"/>
      <c r="O77" s="84"/>
      <c r="Q77" s="141" t="s">
        <v>114</v>
      </c>
      <c r="R77" s="118" t="n">
        <f aca="false">$L$18</f>
        <v>23</v>
      </c>
      <c r="T77" s="72"/>
      <c r="U77" s="72"/>
      <c r="V77" s="72"/>
      <c r="W77" s="72"/>
      <c r="X77" s="72"/>
      <c r="Y77" s="72"/>
      <c r="Z77" s="72"/>
      <c r="AA77" s="72"/>
      <c r="AB77" s="72"/>
      <c r="AC77" s="72"/>
      <c r="AD77" s="72"/>
      <c r="AE77" s="72"/>
      <c r="AF77" s="72"/>
      <c r="AG77" s="72"/>
    </row>
    <row r="78" customFormat="false" ht="14.25" hidden="false" customHeight="true" outlineLevel="0" collapsed="false">
      <c r="A78" s="94" t="s">
        <v>43</v>
      </c>
      <c r="B78" s="95" t="n">
        <v>2</v>
      </c>
      <c r="C78" s="96" t="s">
        <v>30</v>
      </c>
      <c r="D78" s="17" t="s">
        <v>1918</v>
      </c>
      <c r="E78" s="6" t="n">
        <v>0</v>
      </c>
      <c r="F78" s="152"/>
      <c r="J78" s="72"/>
      <c r="K78" s="72"/>
      <c r="L78" s="72"/>
      <c r="M78" s="84"/>
      <c r="N78" s="84"/>
      <c r="O78" s="84"/>
      <c r="P78" s="84"/>
      <c r="Q78" s="8"/>
      <c r="T78" s="72"/>
      <c r="U78" s="72"/>
      <c r="V78" s="72"/>
      <c r="W78" s="72"/>
      <c r="X78" s="72"/>
      <c r="Y78" s="72"/>
      <c r="Z78" s="72"/>
      <c r="AA78" s="72"/>
      <c r="AB78" s="72"/>
      <c r="AC78" s="72"/>
      <c r="AD78" s="72"/>
      <c r="AE78" s="72"/>
      <c r="AF78" s="72"/>
      <c r="AG78" s="72"/>
    </row>
    <row r="79" customFormat="false" ht="14.25" hidden="false" customHeight="true" outlineLevel="0" collapsed="false">
      <c r="A79" s="94" t="s">
        <v>30</v>
      </c>
      <c r="B79" s="95" t="n">
        <v>1</v>
      </c>
      <c r="C79" s="96" t="s">
        <v>43</v>
      </c>
      <c r="D79" s="17" t="s">
        <v>1918</v>
      </c>
      <c r="F79" s="152"/>
      <c r="J79" s="72"/>
      <c r="K79" s="72"/>
      <c r="L79" s="72"/>
      <c r="M79" s="84"/>
      <c r="N79" s="84"/>
      <c r="O79" s="84"/>
      <c r="P79" s="84"/>
      <c r="Q79" s="8"/>
      <c r="T79" s="72"/>
      <c r="U79" s="72"/>
      <c r="V79" s="72"/>
      <c r="W79" s="72"/>
      <c r="X79" s="72"/>
      <c r="Y79" s="72"/>
      <c r="Z79" s="72"/>
      <c r="AA79" s="72"/>
      <c r="AB79" s="72"/>
      <c r="AC79" s="72"/>
      <c r="AD79" s="72"/>
      <c r="AE79" s="72"/>
      <c r="AF79" s="72"/>
      <c r="AG79" s="72"/>
    </row>
    <row r="80" customFormat="false" ht="14.25" hidden="false" customHeight="true" outlineLevel="0" collapsed="false">
      <c r="A80" s="94" t="s">
        <v>30</v>
      </c>
      <c r="B80" s="95" t="n">
        <v>2</v>
      </c>
      <c r="C80" s="96" t="s">
        <v>43</v>
      </c>
      <c r="D80" s="17" t="s">
        <v>1918</v>
      </c>
      <c r="F80" s="152"/>
      <c r="J80" s="72"/>
      <c r="K80" s="72"/>
      <c r="L80" s="72"/>
      <c r="M80" s="84"/>
      <c r="N80" s="84"/>
      <c r="O80" s="84"/>
      <c r="P80" s="84"/>
      <c r="Q80" s="8"/>
      <c r="T80" s="72"/>
      <c r="U80" s="72"/>
      <c r="V80" s="72"/>
      <c r="W80" s="72"/>
      <c r="X80" s="72"/>
      <c r="Y80" s="72"/>
      <c r="Z80" s="72"/>
      <c r="AA80" s="72"/>
      <c r="AB80" s="72"/>
      <c r="AC80" s="72"/>
      <c r="AD80" s="72"/>
      <c r="AE80" s="72"/>
      <c r="AF80" s="72"/>
      <c r="AG80" s="72"/>
    </row>
    <row r="81" customFormat="false" ht="14.25" hidden="false" customHeight="true" outlineLevel="0" collapsed="false">
      <c r="A81" s="94" t="s">
        <v>42</v>
      </c>
      <c r="B81" s="95" t="n">
        <v>2</v>
      </c>
      <c r="C81" s="96" t="s">
        <v>41</v>
      </c>
      <c r="D81" s="17" t="s">
        <v>1918</v>
      </c>
      <c r="F81" s="152"/>
      <c r="J81" s="72"/>
      <c r="K81" s="72"/>
      <c r="L81" s="72"/>
      <c r="M81" s="84"/>
      <c r="N81" s="84"/>
      <c r="O81" s="84"/>
      <c r="P81" s="84"/>
      <c r="Q81" s="8"/>
      <c r="T81" s="72"/>
      <c r="U81" s="72"/>
      <c r="V81" s="72"/>
      <c r="W81" s="72"/>
      <c r="X81" s="72"/>
      <c r="Y81" s="72"/>
      <c r="Z81" s="72"/>
      <c r="AA81" s="72"/>
      <c r="AB81" s="72"/>
      <c r="AC81" s="72"/>
      <c r="AD81" s="72"/>
      <c r="AE81" s="72"/>
      <c r="AF81" s="72"/>
      <c r="AG81" s="72"/>
    </row>
    <row r="82" customFormat="false" ht="14.25" hidden="false" customHeight="true" outlineLevel="0" collapsed="false">
      <c r="A82" s="94" t="s">
        <v>30</v>
      </c>
      <c r="B82" s="95" t="n">
        <v>1</v>
      </c>
      <c r="C82" s="96" t="s">
        <v>11</v>
      </c>
      <c r="D82" s="17" t="s">
        <v>1918</v>
      </c>
      <c r="F82" s="152"/>
      <c r="G82" s="141" t="s">
        <v>108</v>
      </c>
      <c r="H82" s="41" t="s">
        <v>18</v>
      </c>
      <c r="J82" s="72"/>
      <c r="K82" s="72"/>
      <c r="L82" s="72"/>
      <c r="M82" s="84"/>
      <c r="N82" s="84"/>
      <c r="O82" s="84"/>
      <c r="Q82" s="141" t="s">
        <v>108</v>
      </c>
      <c r="R82" s="41" t="s">
        <v>21</v>
      </c>
      <c r="T82" s="72"/>
      <c r="U82" s="72"/>
      <c r="V82" s="72"/>
      <c r="W82" s="72"/>
      <c r="X82" s="72"/>
      <c r="Y82" s="72"/>
      <c r="Z82" s="72"/>
      <c r="AA82" s="72"/>
      <c r="AB82" s="72"/>
      <c r="AC82" s="72"/>
      <c r="AD82" s="72"/>
      <c r="AE82" s="72"/>
      <c r="AF82" s="72"/>
      <c r="AG82" s="72"/>
    </row>
    <row r="83" customFormat="false" ht="14.25" hidden="false" customHeight="true" outlineLevel="0" collapsed="false">
      <c r="A83" s="94" t="s">
        <v>11</v>
      </c>
      <c r="B83" s="95" t="n">
        <v>1</v>
      </c>
      <c r="C83" s="96" t="s">
        <v>30</v>
      </c>
      <c r="D83" s="17" t="s">
        <v>1918</v>
      </c>
      <c r="E83" s="6" t="n">
        <v>0</v>
      </c>
      <c r="F83" s="152"/>
      <c r="G83" s="141" t="s">
        <v>120</v>
      </c>
      <c r="H83" s="145" t="n">
        <f aca="false">$J$20</f>
        <v>1.29166666666667</v>
      </c>
      <c r="J83" s="72"/>
      <c r="K83" s="72"/>
      <c r="L83" s="72"/>
      <c r="M83" s="84"/>
      <c r="N83" s="84"/>
      <c r="O83" s="84"/>
      <c r="Q83" s="141" t="s">
        <v>117</v>
      </c>
      <c r="R83" s="145" t="n">
        <f aca="false">$M$19</f>
        <v>1.4390243902439</v>
      </c>
      <c r="T83" s="72"/>
      <c r="U83" s="72"/>
      <c r="V83" s="72"/>
      <c r="W83" s="72"/>
      <c r="X83" s="72"/>
      <c r="Y83" s="72"/>
      <c r="Z83" s="72"/>
      <c r="AA83" s="72"/>
      <c r="AB83" s="72"/>
      <c r="AC83" s="72"/>
      <c r="AD83" s="72"/>
      <c r="AE83" s="72"/>
      <c r="AF83" s="72"/>
      <c r="AG83" s="72"/>
    </row>
    <row r="84" customFormat="false" ht="14.25" hidden="false" customHeight="true" outlineLevel="0" collapsed="false">
      <c r="A84" s="94" t="s">
        <v>1443</v>
      </c>
      <c r="B84" s="95" t="n">
        <v>2</v>
      </c>
      <c r="C84" s="96" t="s">
        <v>33</v>
      </c>
      <c r="D84" s="17" t="s">
        <v>1918</v>
      </c>
      <c r="F84" s="152"/>
      <c r="G84" s="141" t="s">
        <v>117</v>
      </c>
      <c r="H84" s="145" t="n">
        <f aca="false">$J$19</f>
        <v>1.2</v>
      </c>
      <c r="J84" s="72"/>
      <c r="K84" s="72"/>
      <c r="L84" s="72"/>
      <c r="M84" s="84"/>
      <c r="N84" s="84"/>
      <c r="O84" s="84"/>
      <c r="Q84" s="141" t="s">
        <v>120</v>
      </c>
      <c r="R84" s="145" t="n">
        <f aca="false">$M$20</f>
        <v>1.2972972972973</v>
      </c>
      <c r="T84" s="72"/>
      <c r="U84" s="72"/>
      <c r="V84" s="72"/>
      <c r="W84" s="72"/>
      <c r="X84" s="72"/>
      <c r="Y84" s="72"/>
      <c r="Z84" s="72"/>
      <c r="AA84" s="72"/>
      <c r="AB84" s="72"/>
      <c r="AC84" s="72"/>
      <c r="AD84" s="72"/>
      <c r="AE84" s="72"/>
      <c r="AF84" s="72"/>
      <c r="AG84" s="72"/>
    </row>
    <row r="85" customFormat="false" ht="14.25" hidden="false" customHeight="true" outlineLevel="0" collapsed="false">
      <c r="A85" s="94" t="s">
        <v>1447</v>
      </c>
      <c r="B85" s="95" t="n">
        <v>2</v>
      </c>
      <c r="C85" s="96" t="s">
        <v>30</v>
      </c>
      <c r="D85" s="17" t="s">
        <v>1918</v>
      </c>
      <c r="E85" s="6" t="n">
        <v>1</v>
      </c>
      <c r="F85" s="152"/>
      <c r="G85" s="141" t="s">
        <v>114</v>
      </c>
      <c r="H85" s="145" t="n">
        <f aca="false">$J$18</f>
        <v>0.8</v>
      </c>
      <c r="J85" s="72"/>
      <c r="K85" s="72"/>
      <c r="L85" s="72"/>
      <c r="M85" s="84"/>
      <c r="N85" s="84"/>
      <c r="O85" s="84"/>
      <c r="Q85" s="141" t="s">
        <v>114</v>
      </c>
      <c r="R85" s="145" t="n">
        <f aca="false">$M$18</f>
        <v>0.826086956521739</v>
      </c>
      <c r="T85" s="72"/>
      <c r="U85" s="72"/>
      <c r="V85" s="72"/>
      <c r="W85" s="72"/>
      <c r="X85" s="72"/>
      <c r="Y85" s="72"/>
      <c r="Z85" s="72"/>
      <c r="AA85" s="72"/>
      <c r="AB85" s="72"/>
      <c r="AC85" s="72"/>
      <c r="AD85" s="72"/>
      <c r="AE85" s="72"/>
      <c r="AF85" s="72"/>
      <c r="AG85" s="72"/>
      <c r="AJ85" s="72"/>
      <c r="AK85" s="84"/>
    </row>
    <row r="86" customFormat="false" ht="14.25" hidden="false" customHeight="true" outlineLevel="0" collapsed="false">
      <c r="A86" s="94" t="s">
        <v>33</v>
      </c>
      <c r="B86" s="95" t="n">
        <v>1</v>
      </c>
      <c r="C86" s="96" t="s">
        <v>1447</v>
      </c>
      <c r="D86" s="17" t="s">
        <v>1918</v>
      </c>
      <c r="F86" s="152"/>
      <c r="G86" s="141" t="s">
        <v>111</v>
      </c>
      <c r="H86" s="145" t="n">
        <f aca="false">$J$17</f>
        <v>0.714285714285714</v>
      </c>
      <c r="J86" s="72"/>
      <c r="K86" s="72"/>
      <c r="L86" s="72"/>
      <c r="M86" s="84"/>
      <c r="N86" s="84"/>
      <c r="O86" s="84"/>
      <c r="Q86" s="141" t="s">
        <v>111</v>
      </c>
      <c r="R86" s="145" t="n">
        <f aca="false">$M$17</f>
        <v>0.56140350877193</v>
      </c>
      <c r="T86" s="72"/>
      <c r="U86" s="72"/>
      <c r="V86" s="72"/>
      <c r="W86" s="72"/>
      <c r="X86" s="72"/>
      <c r="Y86" s="72"/>
      <c r="Z86" s="72"/>
      <c r="AA86" s="72"/>
      <c r="AB86" s="72"/>
      <c r="AC86" s="72"/>
      <c r="AD86" s="72"/>
      <c r="AE86" s="72"/>
      <c r="AF86" s="72"/>
      <c r="AG86" s="72"/>
      <c r="AJ86" s="72"/>
      <c r="AK86" s="84"/>
    </row>
    <row r="87" customFormat="false" ht="14.25" hidden="false" customHeight="true" outlineLevel="0" collapsed="false">
      <c r="A87" s="94" t="s">
        <v>1447</v>
      </c>
      <c r="B87" s="95" t="n">
        <v>1</v>
      </c>
      <c r="C87" s="96" t="s">
        <v>33</v>
      </c>
      <c r="D87" s="17" t="s">
        <v>1918</v>
      </c>
      <c r="F87" s="152"/>
      <c r="J87" s="72"/>
      <c r="K87" s="72"/>
      <c r="L87" s="72"/>
      <c r="M87" s="84"/>
      <c r="N87" s="84"/>
      <c r="O87" s="84"/>
      <c r="P87" s="84"/>
      <c r="Q87" s="8"/>
      <c r="T87" s="72"/>
      <c r="U87" s="72"/>
      <c r="V87" s="72"/>
      <c r="W87" s="72"/>
      <c r="X87" s="72"/>
      <c r="Y87" s="72"/>
      <c r="Z87" s="72"/>
      <c r="AA87" s="72"/>
      <c r="AB87" s="72"/>
      <c r="AC87" s="72"/>
      <c r="AD87" s="72"/>
      <c r="AE87" s="72"/>
      <c r="AF87" s="72"/>
      <c r="AG87" s="72"/>
      <c r="AJ87" s="72"/>
      <c r="AK87" s="84"/>
    </row>
    <row r="88" customFormat="false" ht="14.25" hidden="false" customHeight="true" outlineLevel="0" collapsed="false">
      <c r="A88" s="94" t="s">
        <v>1447</v>
      </c>
      <c r="B88" s="95" t="n">
        <v>2</v>
      </c>
      <c r="C88" s="96" t="s">
        <v>43</v>
      </c>
      <c r="D88" s="17" t="s">
        <v>1918</v>
      </c>
      <c r="F88" s="152"/>
      <c r="J88" s="72"/>
      <c r="K88" s="72"/>
      <c r="L88" s="72"/>
      <c r="M88" s="84"/>
      <c r="N88" s="84"/>
      <c r="O88" s="84"/>
      <c r="P88" s="84"/>
      <c r="Q88" s="8"/>
      <c r="T88" s="72"/>
      <c r="U88" s="72"/>
      <c r="V88" s="72"/>
      <c r="W88" s="72"/>
      <c r="X88" s="72"/>
      <c r="Y88" s="72"/>
      <c r="Z88" s="72"/>
      <c r="AA88" s="72"/>
      <c r="AB88" s="72"/>
      <c r="AC88" s="72"/>
      <c r="AD88" s="72"/>
      <c r="AE88" s="72"/>
      <c r="AF88" s="72"/>
      <c r="AG88" s="72"/>
      <c r="AJ88" s="72"/>
      <c r="AK88" s="84"/>
    </row>
    <row r="89" customFormat="false" ht="14.25" hidden="false" customHeight="true" outlineLevel="0" collapsed="false">
      <c r="A89" s="94" t="s">
        <v>43</v>
      </c>
      <c r="B89" s="95" t="n">
        <v>1</v>
      </c>
      <c r="C89" s="96" t="s">
        <v>1447</v>
      </c>
      <c r="D89" s="17" t="s">
        <v>1918</v>
      </c>
      <c r="F89" s="152"/>
      <c r="J89" s="72"/>
      <c r="K89" s="72"/>
      <c r="L89" s="72"/>
      <c r="M89" s="84"/>
      <c r="N89" s="84"/>
      <c r="O89" s="84"/>
      <c r="P89" s="84"/>
      <c r="Q89" s="8"/>
      <c r="T89" s="72"/>
      <c r="U89" s="72"/>
      <c r="V89" s="72"/>
      <c r="W89" s="72"/>
      <c r="X89" s="72"/>
      <c r="Y89" s="72"/>
      <c r="Z89" s="72"/>
      <c r="AA89" s="72"/>
      <c r="AB89" s="72"/>
      <c r="AC89" s="72"/>
      <c r="AD89" s="72"/>
      <c r="AE89" s="72"/>
      <c r="AF89" s="72"/>
      <c r="AG89" s="72"/>
      <c r="AJ89" s="72"/>
      <c r="AK89" s="84"/>
    </row>
    <row r="90" customFormat="false" ht="14.25" hidden="false" customHeight="true" outlineLevel="0" collapsed="false">
      <c r="A90" s="94" t="s">
        <v>43</v>
      </c>
      <c r="B90" s="95" t="n">
        <v>2</v>
      </c>
      <c r="C90" s="96" t="s">
        <v>30</v>
      </c>
      <c r="D90" s="17" t="s">
        <v>1918</v>
      </c>
      <c r="E90" s="6" t="n">
        <v>1</v>
      </c>
      <c r="F90" s="152"/>
      <c r="J90" s="72"/>
      <c r="K90" s="72"/>
      <c r="L90" s="72"/>
      <c r="M90" s="84"/>
      <c r="N90" s="84"/>
      <c r="O90" s="84"/>
      <c r="P90" s="84"/>
      <c r="Q90" s="8"/>
      <c r="T90" s="72"/>
      <c r="U90" s="72"/>
      <c r="V90" s="72"/>
      <c r="W90" s="72"/>
      <c r="X90" s="72"/>
      <c r="Y90" s="72"/>
      <c r="Z90" s="72"/>
      <c r="AA90" s="72"/>
      <c r="AB90" s="72"/>
      <c r="AC90" s="72"/>
      <c r="AD90" s="72"/>
      <c r="AE90" s="72"/>
      <c r="AF90" s="72"/>
      <c r="AG90" s="72"/>
      <c r="AJ90" s="72"/>
      <c r="AK90" s="84"/>
    </row>
    <row r="91" customFormat="false" ht="14.25" hidden="false" customHeight="true" outlineLevel="0" collapsed="false">
      <c r="A91" s="94" t="s">
        <v>1447</v>
      </c>
      <c r="B91" s="95" t="n">
        <v>2</v>
      </c>
      <c r="C91" s="96" t="s">
        <v>1154</v>
      </c>
      <c r="D91" s="17" t="s">
        <v>1918</v>
      </c>
      <c r="F91" s="152"/>
      <c r="J91" s="72"/>
      <c r="K91" s="72"/>
      <c r="L91" s="72"/>
      <c r="M91" s="84"/>
      <c r="N91" s="84"/>
      <c r="O91" s="84"/>
      <c r="P91" s="84"/>
      <c r="Q91" s="8"/>
      <c r="T91" s="72"/>
      <c r="U91" s="72"/>
      <c r="V91" s="72"/>
      <c r="W91" s="72"/>
      <c r="X91" s="72"/>
      <c r="Y91" s="72"/>
      <c r="Z91" s="72"/>
      <c r="AA91" s="72"/>
      <c r="AB91" s="72"/>
      <c r="AC91" s="72"/>
      <c r="AD91" s="72"/>
      <c r="AE91" s="72"/>
      <c r="AF91" s="72"/>
      <c r="AG91" s="72"/>
      <c r="AJ91" s="72"/>
      <c r="AK91" s="84"/>
    </row>
    <row r="92" customFormat="false" ht="14.25" hidden="false" customHeight="true" outlineLevel="0" collapsed="false">
      <c r="A92" s="94" t="s">
        <v>40</v>
      </c>
      <c r="B92" s="95" t="n">
        <v>2</v>
      </c>
      <c r="C92" s="96" t="s">
        <v>1447</v>
      </c>
      <c r="D92" s="17" t="s">
        <v>1918</v>
      </c>
      <c r="F92" s="152"/>
      <c r="J92" s="72"/>
      <c r="K92" s="72"/>
      <c r="L92" s="72"/>
      <c r="M92" s="84"/>
      <c r="N92" s="84"/>
      <c r="O92" s="84"/>
      <c r="P92" s="84"/>
      <c r="Q92" s="8"/>
      <c r="T92" s="72"/>
      <c r="U92" s="72"/>
      <c r="V92" s="72"/>
      <c r="W92" s="72"/>
      <c r="X92" s="72"/>
      <c r="Y92" s="72"/>
      <c r="Z92" s="72"/>
      <c r="AA92" s="72"/>
      <c r="AB92" s="72"/>
      <c r="AC92" s="72"/>
      <c r="AD92" s="72"/>
      <c r="AE92" s="72"/>
      <c r="AF92" s="72"/>
      <c r="AG92" s="72"/>
      <c r="AJ92" s="72"/>
      <c r="AK92" s="84"/>
    </row>
    <row r="93" customFormat="false" ht="14.25" hidden="false" customHeight="true" outlineLevel="0" collapsed="false">
      <c r="A93" s="94" t="s">
        <v>1447</v>
      </c>
      <c r="B93" s="95" t="n">
        <v>2</v>
      </c>
      <c r="C93" s="96" t="s">
        <v>1154</v>
      </c>
      <c r="D93" s="17" t="s">
        <v>1918</v>
      </c>
      <c r="F93" s="152"/>
      <c r="J93" s="72"/>
      <c r="K93" s="72"/>
      <c r="L93" s="72"/>
      <c r="M93" s="84"/>
      <c r="N93" s="84"/>
      <c r="O93" s="84"/>
      <c r="P93" s="84"/>
      <c r="Q93" s="8"/>
      <c r="T93" s="72"/>
      <c r="U93" s="72"/>
      <c r="V93" s="72"/>
      <c r="W93" s="72"/>
      <c r="X93" s="72"/>
      <c r="Y93" s="72"/>
      <c r="Z93" s="72"/>
      <c r="AA93" s="72"/>
      <c r="AB93" s="72"/>
      <c r="AC93" s="72"/>
      <c r="AD93" s="72"/>
      <c r="AE93" s="72"/>
      <c r="AF93" s="72"/>
      <c r="AG93" s="72"/>
      <c r="AJ93" s="72"/>
      <c r="AK93" s="84"/>
    </row>
    <row r="94" customFormat="false" ht="14.25" hidden="false" customHeight="true" outlineLevel="0" collapsed="false">
      <c r="A94" s="94" t="s">
        <v>43</v>
      </c>
      <c r="B94" s="95" t="n">
        <v>1</v>
      </c>
      <c r="C94" s="96" t="s">
        <v>42</v>
      </c>
      <c r="D94" s="17" t="s">
        <v>1918</v>
      </c>
      <c r="F94" s="152"/>
      <c r="J94" s="72"/>
      <c r="K94" s="72"/>
      <c r="L94" s="72"/>
      <c r="M94" s="84"/>
      <c r="N94" s="84"/>
      <c r="O94" s="84"/>
      <c r="P94" s="84"/>
      <c r="Q94" s="8"/>
      <c r="T94" s="72"/>
      <c r="U94" s="72"/>
      <c r="V94" s="72"/>
      <c r="W94" s="72"/>
      <c r="X94" s="72"/>
      <c r="Y94" s="72"/>
      <c r="Z94" s="72"/>
      <c r="AA94" s="72"/>
      <c r="AB94" s="72"/>
      <c r="AC94" s="72"/>
      <c r="AD94" s="72"/>
      <c r="AE94" s="72"/>
      <c r="AF94" s="72"/>
      <c r="AG94" s="72"/>
      <c r="AJ94" s="72"/>
      <c r="AK94" s="84"/>
    </row>
    <row r="95" customFormat="false" ht="14.25" hidden="false" customHeight="true" outlineLevel="0" collapsed="false">
      <c r="A95" s="94" t="s">
        <v>33</v>
      </c>
      <c r="B95" s="95" t="n">
        <v>2</v>
      </c>
      <c r="C95" s="96" t="s">
        <v>40</v>
      </c>
      <c r="D95" s="17" t="s">
        <v>1918</v>
      </c>
      <c r="F95" s="152"/>
      <c r="J95" s="72"/>
      <c r="K95" s="72"/>
      <c r="L95" s="72"/>
      <c r="M95" s="84"/>
      <c r="N95" s="84"/>
      <c r="O95" s="84"/>
      <c r="P95" s="84"/>
      <c r="Q95" s="8"/>
      <c r="T95" s="72"/>
      <c r="U95" s="72"/>
      <c r="V95" s="72"/>
      <c r="W95" s="72"/>
      <c r="X95" s="72"/>
      <c r="Y95" s="72"/>
      <c r="Z95" s="72"/>
      <c r="AA95" s="72"/>
      <c r="AB95" s="72"/>
      <c r="AC95" s="72"/>
      <c r="AD95" s="72"/>
      <c r="AE95" s="72"/>
      <c r="AF95" s="72"/>
      <c r="AG95" s="72"/>
      <c r="AJ95" s="72"/>
      <c r="AK95" s="84"/>
    </row>
    <row r="96" customFormat="false" ht="14.25" hidden="false" customHeight="true" outlineLevel="0" collapsed="false">
      <c r="A96" s="94" t="s">
        <v>41</v>
      </c>
      <c r="B96" s="95" t="n">
        <v>2</v>
      </c>
      <c r="C96" s="96" t="s">
        <v>1154</v>
      </c>
      <c r="D96" s="17" t="s">
        <v>1918</v>
      </c>
      <c r="F96" s="152"/>
      <c r="J96" s="72"/>
      <c r="K96" s="72"/>
      <c r="L96" s="72"/>
      <c r="M96" s="84"/>
      <c r="N96" s="84"/>
      <c r="O96" s="84"/>
      <c r="P96" s="84"/>
      <c r="Q96" s="8"/>
      <c r="T96" s="72"/>
      <c r="U96" s="72"/>
      <c r="V96" s="72"/>
      <c r="W96" s="72"/>
      <c r="X96" s="72"/>
      <c r="Y96" s="72"/>
      <c r="Z96" s="72"/>
      <c r="AA96" s="72"/>
      <c r="AB96" s="72"/>
      <c r="AC96" s="72"/>
      <c r="AD96" s="72"/>
      <c r="AE96" s="72"/>
      <c r="AF96" s="72"/>
      <c r="AG96" s="72"/>
      <c r="AJ96" s="72"/>
      <c r="AK96" s="84"/>
    </row>
    <row r="97" customFormat="false" ht="14.25" hidden="false" customHeight="true" outlineLevel="0" collapsed="false">
      <c r="A97" s="94" t="s">
        <v>1151</v>
      </c>
      <c r="B97" s="95" t="n">
        <v>2</v>
      </c>
      <c r="C97" s="96" t="s">
        <v>42</v>
      </c>
      <c r="D97" s="17" t="s">
        <v>1918</v>
      </c>
      <c r="F97" s="152"/>
      <c r="J97" s="72"/>
      <c r="K97" s="72"/>
      <c r="L97" s="72"/>
      <c r="M97" s="84"/>
      <c r="N97" s="84"/>
      <c r="O97" s="84"/>
      <c r="P97" s="84"/>
      <c r="Q97" s="8"/>
      <c r="T97" s="72"/>
      <c r="U97" s="72"/>
      <c r="V97" s="72"/>
      <c r="W97" s="72"/>
      <c r="X97" s="72"/>
      <c r="Y97" s="72"/>
      <c r="Z97" s="72"/>
      <c r="AA97" s="72"/>
      <c r="AB97" s="72"/>
      <c r="AC97" s="72"/>
      <c r="AD97" s="72"/>
      <c r="AE97" s="72"/>
      <c r="AF97" s="72"/>
      <c r="AG97" s="72"/>
      <c r="AJ97" s="72"/>
      <c r="AK97" s="84"/>
    </row>
    <row r="98" customFormat="false" ht="14.25" hidden="false" customHeight="true" outlineLevel="0" collapsed="false">
      <c r="A98" s="94" t="s">
        <v>1154</v>
      </c>
      <c r="B98" s="95" t="n">
        <v>2</v>
      </c>
      <c r="C98" s="96" t="s">
        <v>42</v>
      </c>
      <c r="D98" s="17" t="s">
        <v>1918</v>
      </c>
      <c r="F98" s="152"/>
      <c r="J98" s="72"/>
      <c r="K98" s="72"/>
      <c r="L98" s="72"/>
      <c r="M98" s="84"/>
      <c r="N98" s="84"/>
      <c r="O98" s="84"/>
      <c r="P98" s="84"/>
      <c r="Q98" s="8"/>
      <c r="T98" s="72"/>
      <c r="U98" s="72"/>
      <c r="V98" s="72"/>
      <c r="W98" s="72"/>
      <c r="X98" s="72"/>
      <c r="Y98" s="72"/>
      <c r="Z98" s="72"/>
      <c r="AA98" s="72"/>
      <c r="AB98" s="72"/>
      <c r="AC98" s="72"/>
      <c r="AD98" s="72"/>
      <c r="AE98" s="72"/>
      <c r="AF98" s="72"/>
      <c r="AG98" s="72"/>
      <c r="AJ98" s="72"/>
      <c r="AK98" s="84"/>
    </row>
    <row r="99" customFormat="false" ht="14.25" hidden="false" customHeight="true" outlineLevel="0" collapsed="false">
      <c r="A99" s="94" t="s">
        <v>1154</v>
      </c>
      <c r="B99" s="95" t="n">
        <v>1</v>
      </c>
      <c r="C99" s="96" t="s">
        <v>1151</v>
      </c>
      <c r="D99" s="17" t="s">
        <v>1918</v>
      </c>
      <c r="F99" s="152"/>
      <c r="J99" s="72"/>
      <c r="K99" s="72"/>
      <c r="L99" s="72"/>
      <c r="M99" s="84"/>
      <c r="N99" s="84"/>
      <c r="O99" s="84"/>
      <c r="P99" s="84"/>
      <c r="Q99" s="8"/>
      <c r="T99" s="72"/>
      <c r="U99" s="72"/>
      <c r="V99" s="72"/>
      <c r="W99" s="72"/>
      <c r="X99" s="72"/>
      <c r="Y99" s="72"/>
      <c r="Z99" s="72"/>
      <c r="AA99" s="72"/>
      <c r="AB99" s="72"/>
      <c r="AC99" s="72"/>
      <c r="AD99" s="72"/>
      <c r="AE99" s="72"/>
      <c r="AF99" s="72"/>
      <c r="AG99" s="72"/>
      <c r="AJ99" s="72"/>
      <c r="AK99" s="84"/>
    </row>
    <row r="100" customFormat="false" ht="14.25" hidden="false" customHeight="true" outlineLevel="0" collapsed="false">
      <c r="A100" s="94" t="s">
        <v>1151</v>
      </c>
      <c r="B100" s="95" t="n">
        <v>1</v>
      </c>
      <c r="C100" s="96" t="s">
        <v>1154</v>
      </c>
      <c r="D100" s="17" t="s">
        <v>1918</v>
      </c>
      <c r="F100" s="152"/>
      <c r="J100" s="72"/>
      <c r="K100" s="72"/>
      <c r="L100" s="72"/>
      <c r="M100" s="84"/>
      <c r="N100" s="84"/>
      <c r="O100" s="84"/>
      <c r="P100" s="84"/>
      <c r="Q100" s="8"/>
      <c r="T100" s="72"/>
      <c r="U100" s="72"/>
      <c r="V100" s="72"/>
      <c r="W100" s="72"/>
      <c r="X100" s="72"/>
      <c r="Y100" s="72"/>
      <c r="Z100" s="72"/>
      <c r="AA100" s="72"/>
      <c r="AB100" s="72"/>
      <c r="AC100" s="72"/>
      <c r="AD100" s="72"/>
      <c r="AE100" s="72"/>
      <c r="AF100" s="72"/>
      <c r="AG100" s="72"/>
      <c r="AJ100" s="72"/>
      <c r="AK100" s="84"/>
    </row>
    <row r="101" customFormat="false" ht="14.25" hidden="false" customHeight="true" outlineLevel="0" collapsed="false">
      <c r="A101" s="94" t="s">
        <v>43</v>
      </c>
      <c r="B101" s="95" t="n">
        <v>1</v>
      </c>
      <c r="C101" s="96" t="s">
        <v>1151</v>
      </c>
      <c r="D101" s="17" t="s">
        <v>1918</v>
      </c>
      <c r="F101" s="152"/>
    </row>
    <row r="102" customFormat="false" ht="14.25" hidden="false" customHeight="true" outlineLevel="0" collapsed="false">
      <c r="A102" s="94" t="s">
        <v>1151</v>
      </c>
      <c r="B102" s="95" t="n">
        <v>1</v>
      </c>
      <c r="C102" s="96" t="s">
        <v>43</v>
      </c>
      <c r="D102" s="17" t="s">
        <v>1918</v>
      </c>
      <c r="F102" s="152"/>
    </row>
    <row r="103" customFormat="false" ht="14.25" hidden="false" customHeight="true" outlineLevel="0" collapsed="false">
      <c r="A103" s="94" t="s">
        <v>1447</v>
      </c>
      <c r="B103" s="95" t="n">
        <v>2</v>
      </c>
      <c r="C103" s="96" t="s">
        <v>43</v>
      </c>
      <c r="D103" s="17" t="s">
        <v>1918</v>
      </c>
      <c r="F103" s="152"/>
    </row>
    <row r="104" customFormat="false" ht="14.25" hidden="false" customHeight="true" outlineLevel="0" collapsed="false">
      <c r="A104" s="94" t="s">
        <v>1443</v>
      </c>
      <c r="B104" s="95" t="n">
        <v>2</v>
      </c>
      <c r="C104" s="96" t="s">
        <v>43</v>
      </c>
      <c r="D104" s="17" t="s">
        <v>1918</v>
      </c>
      <c r="F104" s="152"/>
    </row>
    <row r="105" customFormat="false" ht="14.25" hidden="false" customHeight="true" outlineLevel="0" collapsed="false">
      <c r="A105" s="94" t="s">
        <v>42</v>
      </c>
      <c r="B105" s="95" t="n">
        <v>2</v>
      </c>
      <c r="C105" s="96" t="s">
        <v>1154</v>
      </c>
      <c r="D105" s="17" t="s">
        <v>1918</v>
      </c>
      <c r="F105" s="152"/>
    </row>
    <row r="106" customFormat="false" ht="14.25" hidden="false" customHeight="true" outlineLevel="0" collapsed="false">
      <c r="F106" s="152"/>
    </row>
    <row r="107" customFormat="false" ht="14.25" hidden="false" customHeight="true" outlineLevel="0" collapsed="false">
      <c r="F107" s="152"/>
    </row>
    <row r="108" customFormat="false" ht="14.25" hidden="false" customHeight="true" outlineLevel="0" collapsed="false">
      <c r="F108" s="152"/>
    </row>
    <row r="109" customFormat="false" ht="14.25" hidden="false" customHeight="true" outlineLevel="0" collapsed="false">
      <c r="F109" s="152"/>
    </row>
    <row r="110" customFormat="false" ht="14.25" hidden="false" customHeight="true" outlineLevel="0" collapsed="false">
      <c r="F110" s="152"/>
    </row>
    <row r="111" customFormat="false" ht="14.25" hidden="false" customHeight="true" outlineLevel="0" collapsed="false">
      <c r="F111" s="152"/>
    </row>
    <row r="112" customFormat="false" ht="14.25" hidden="false" customHeight="true" outlineLevel="0" collapsed="false">
      <c r="F112" s="152"/>
    </row>
    <row r="113" customFormat="false" ht="14.25" hidden="false" customHeight="true" outlineLevel="0" collapsed="false">
      <c r="F113" s="152"/>
    </row>
    <row r="114" customFormat="false" ht="14.25" hidden="false" customHeight="true" outlineLevel="0" collapsed="false">
      <c r="F114" s="152"/>
    </row>
    <row r="115" customFormat="false" ht="14.25" hidden="false" customHeight="true" outlineLevel="0" collapsed="false">
      <c r="F115" s="152"/>
    </row>
    <row r="116" customFormat="false" ht="14.25" hidden="false" customHeight="true" outlineLevel="0" collapsed="false">
      <c r="F116" s="152"/>
    </row>
    <row r="117" customFormat="false" ht="14.25" hidden="false" customHeight="true" outlineLevel="0" collapsed="false">
      <c r="F117" s="152"/>
    </row>
    <row r="118" customFormat="false" ht="14.25" hidden="false" customHeight="true" outlineLevel="0" collapsed="false">
      <c r="F118" s="152"/>
    </row>
    <row r="119" customFormat="false" ht="14.25" hidden="false" customHeight="true" outlineLevel="0" collapsed="false">
      <c r="F119" s="152"/>
    </row>
    <row r="120" customFormat="false" ht="14.25" hidden="false" customHeight="true" outlineLevel="0" collapsed="false">
      <c r="F120" s="152"/>
    </row>
    <row r="121" customFormat="false" ht="14.25" hidden="false" customHeight="true" outlineLevel="0" collapsed="false">
      <c r="F121" s="152"/>
    </row>
    <row r="122" customFormat="false" ht="14.25" hidden="false" customHeight="true" outlineLevel="0" collapsed="false">
      <c r="F122" s="152"/>
    </row>
    <row r="123" customFormat="false" ht="14.25" hidden="false" customHeight="true" outlineLevel="0" collapsed="false">
      <c r="F123" s="152"/>
    </row>
    <row r="124" customFormat="false" ht="14.25" hidden="false" customHeight="true" outlineLevel="0" collapsed="false">
      <c r="F124" s="152"/>
    </row>
    <row r="125" customFormat="false" ht="14.25" hidden="false" customHeight="true" outlineLevel="0" collapsed="false">
      <c r="F125" s="152"/>
    </row>
    <row r="126" customFormat="false" ht="14.25" hidden="false" customHeight="true" outlineLevel="0" collapsed="false">
      <c r="F126" s="152"/>
    </row>
    <row r="127" customFormat="false" ht="14.25" hidden="false" customHeight="true" outlineLevel="0" collapsed="false">
      <c r="F127" s="152"/>
    </row>
    <row r="128" customFormat="false" ht="14.25" hidden="false" customHeight="true" outlineLevel="0" collapsed="false">
      <c r="F128" s="152"/>
    </row>
    <row r="129" customFormat="false" ht="14.25" hidden="false" customHeight="true" outlineLevel="0" collapsed="false">
      <c r="F129" s="152"/>
    </row>
    <row r="130" customFormat="false" ht="14.25" hidden="false" customHeight="true" outlineLevel="0" collapsed="false">
      <c r="F130" s="152"/>
    </row>
    <row r="131" customFormat="false" ht="14.25" hidden="false" customHeight="true" outlineLevel="0" collapsed="false">
      <c r="F131" s="152"/>
    </row>
    <row r="132" customFormat="false" ht="14.25" hidden="false" customHeight="true" outlineLevel="0" collapsed="false">
      <c r="F132" s="152"/>
    </row>
    <row r="133" customFormat="false" ht="14.25" hidden="false" customHeight="true" outlineLevel="0" collapsed="false">
      <c r="F133" s="152"/>
    </row>
    <row r="134" customFormat="false" ht="14.25" hidden="false" customHeight="true" outlineLevel="0" collapsed="false">
      <c r="F134" s="152"/>
    </row>
    <row r="135" customFormat="false" ht="14.25" hidden="false" customHeight="true" outlineLevel="0" collapsed="false">
      <c r="F135" s="152"/>
    </row>
    <row r="136" customFormat="false" ht="14.25" hidden="false" customHeight="true" outlineLevel="0" collapsed="false">
      <c r="F136" s="152"/>
    </row>
    <row r="137" customFormat="false" ht="14.25" hidden="false" customHeight="true" outlineLevel="0" collapsed="false">
      <c r="F137" s="152"/>
    </row>
    <row r="138" customFormat="false" ht="14.25" hidden="false" customHeight="true" outlineLevel="0" collapsed="false">
      <c r="F138" s="152"/>
    </row>
    <row r="139" customFormat="false" ht="14.25" hidden="false" customHeight="true" outlineLevel="0" collapsed="false">
      <c r="F139" s="152"/>
    </row>
    <row r="140" customFormat="false" ht="14.25" hidden="false" customHeight="true" outlineLevel="0" collapsed="false">
      <c r="F140" s="152"/>
    </row>
    <row r="141" customFormat="false" ht="14.25" hidden="false" customHeight="true" outlineLevel="0" collapsed="false">
      <c r="F141" s="152"/>
    </row>
    <row r="142" customFormat="false" ht="14.25" hidden="false" customHeight="true" outlineLevel="0" collapsed="false">
      <c r="F142" s="152"/>
    </row>
    <row r="143" customFormat="false" ht="14.25" hidden="false" customHeight="true" outlineLevel="0" collapsed="false">
      <c r="F143" s="152"/>
    </row>
    <row r="144" customFormat="false" ht="14.25" hidden="false" customHeight="true" outlineLevel="0" collapsed="false">
      <c r="F144" s="152"/>
    </row>
    <row r="145" customFormat="false" ht="14.25" hidden="false" customHeight="true" outlineLevel="0" collapsed="false">
      <c r="F145" s="152"/>
    </row>
    <row r="146" customFormat="false" ht="14.25" hidden="false" customHeight="true" outlineLevel="0" collapsed="false">
      <c r="F146" s="152"/>
    </row>
    <row r="147" customFormat="false" ht="14.25" hidden="false" customHeight="true" outlineLevel="0" collapsed="false">
      <c r="F147" s="152"/>
    </row>
    <row r="148" customFormat="false" ht="14.25" hidden="false" customHeight="true" outlineLevel="0" collapsed="false">
      <c r="F148" s="152"/>
    </row>
    <row r="149" customFormat="false" ht="14.25" hidden="false" customHeight="true" outlineLevel="0" collapsed="false">
      <c r="F149" s="152"/>
    </row>
    <row r="150" customFormat="false" ht="14.25" hidden="false" customHeight="true" outlineLevel="0" collapsed="false">
      <c r="F150" s="152"/>
    </row>
    <row r="151" customFormat="false" ht="14.25" hidden="false" customHeight="true" outlineLevel="0" collapsed="false">
      <c r="F151" s="152"/>
    </row>
    <row r="152" customFormat="false" ht="14.25" hidden="false" customHeight="true" outlineLevel="0" collapsed="false">
      <c r="F152" s="152"/>
    </row>
    <row r="153" customFormat="false" ht="14.25" hidden="false" customHeight="true" outlineLevel="0" collapsed="false">
      <c r="F153" s="152"/>
    </row>
    <row r="154" customFormat="false" ht="14.25" hidden="false" customHeight="true" outlineLevel="0" collapsed="false">
      <c r="F154" s="152"/>
    </row>
    <row r="155" customFormat="false" ht="14.25" hidden="false" customHeight="true" outlineLevel="0" collapsed="false">
      <c r="F155" s="152"/>
    </row>
    <row r="156" customFormat="false" ht="14.25" hidden="false" customHeight="true" outlineLevel="0" collapsed="false">
      <c r="F156" s="152"/>
    </row>
    <row r="157" customFormat="false" ht="14.25" hidden="false" customHeight="true" outlineLevel="0" collapsed="false">
      <c r="F157" s="152"/>
    </row>
    <row r="158" customFormat="false" ht="14.25" hidden="false" customHeight="true" outlineLevel="0" collapsed="false">
      <c r="F158" s="152"/>
    </row>
    <row r="159" customFormat="false" ht="14.25" hidden="false" customHeight="true" outlineLevel="0" collapsed="false">
      <c r="F159" s="152"/>
    </row>
    <row r="160" customFormat="false" ht="14.25" hidden="false" customHeight="true" outlineLevel="0" collapsed="false">
      <c r="F160" s="152"/>
    </row>
    <row r="161" customFormat="false" ht="14.25" hidden="false" customHeight="true" outlineLevel="0" collapsed="false">
      <c r="F161" s="152"/>
    </row>
    <row r="162" customFormat="false" ht="14.25" hidden="false" customHeight="true" outlineLevel="0" collapsed="false">
      <c r="F162" s="152"/>
    </row>
    <row r="163" customFormat="false" ht="14.25" hidden="false" customHeight="true" outlineLevel="0" collapsed="false">
      <c r="F163" s="152"/>
    </row>
    <row r="164" customFormat="false" ht="14.25" hidden="false" customHeight="true" outlineLevel="0" collapsed="false">
      <c r="F164" s="152"/>
    </row>
    <row r="165" customFormat="false" ht="14.25" hidden="false" customHeight="true" outlineLevel="0" collapsed="false">
      <c r="F165" s="152"/>
    </row>
    <row r="166" customFormat="false" ht="14.25" hidden="false" customHeight="true" outlineLevel="0" collapsed="false">
      <c r="F166" s="152"/>
    </row>
    <row r="167" customFormat="false" ht="14.25" hidden="false" customHeight="true" outlineLevel="0" collapsed="false">
      <c r="F167" s="152"/>
    </row>
    <row r="168" customFormat="false" ht="14.25" hidden="false" customHeight="true" outlineLevel="0" collapsed="false">
      <c r="F168" s="152"/>
    </row>
    <row r="169" customFormat="false" ht="14.25" hidden="false" customHeight="true" outlineLevel="0" collapsed="false">
      <c r="F169" s="152"/>
    </row>
    <row r="170" customFormat="false" ht="14.25" hidden="false" customHeight="true" outlineLevel="0" collapsed="false">
      <c r="F170" s="152"/>
    </row>
    <row r="171" customFormat="false" ht="14.25" hidden="false" customHeight="true" outlineLevel="0" collapsed="false">
      <c r="F171" s="152"/>
    </row>
    <row r="172" customFormat="false" ht="14.25" hidden="false" customHeight="true" outlineLevel="0" collapsed="false">
      <c r="F172" s="152"/>
    </row>
    <row r="173" customFormat="false" ht="14.25" hidden="false" customHeight="true" outlineLevel="0" collapsed="false">
      <c r="F173" s="152"/>
    </row>
    <row r="174" customFormat="false" ht="14.25" hidden="false" customHeight="true" outlineLevel="0" collapsed="false">
      <c r="F174" s="152"/>
    </row>
    <row r="175" customFormat="false" ht="14.25" hidden="false" customHeight="true" outlineLevel="0" collapsed="false">
      <c r="F175" s="152"/>
    </row>
    <row r="176" customFormat="false" ht="14.25" hidden="false" customHeight="true" outlineLevel="0" collapsed="false">
      <c r="F176" s="152"/>
    </row>
    <row r="177" customFormat="false" ht="14.25" hidden="false" customHeight="true" outlineLevel="0" collapsed="false">
      <c r="F177" s="152"/>
    </row>
    <row r="178" customFormat="false" ht="14.25" hidden="false" customHeight="true" outlineLevel="0" collapsed="false">
      <c r="F178" s="152"/>
    </row>
    <row r="179" customFormat="false" ht="14.25" hidden="false" customHeight="true" outlineLevel="0" collapsed="false">
      <c r="F179" s="152"/>
    </row>
    <row r="180" customFormat="false" ht="14.25" hidden="false" customHeight="true" outlineLevel="0" collapsed="false">
      <c r="F180" s="152"/>
    </row>
    <row r="181" customFormat="false" ht="14.25" hidden="false" customHeight="true" outlineLevel="0" collapsed="false">
      <c r="F181" s="152"/>
    </row>
    <row r="182" customFormat="false" ht="14.25" hidden="false" customHeight="true" outlineLevel="0" collapsed="false">
      <c r="F182" s="152"/>
    </row>
    <row r="183" customFormat="false" ht="14.25" hidden="false" customHeight="true" outlineLevel="0" collapsed="false">
      <c r="F183" s="152"/>
    </row>
    <row r="184" customFormat="false" ht="14.25" hidden="false" customHeight="true" outlineLevel="0" collapsed="false">
      <c r="F184" s="152"/>
    </row>
    <row r="185" customFormat="false" ht="14.25" hidden="false" customHeight="true" outlineLevel="0" collapsed="false">
      <c r="F185" s="152"/>
    </row>
    <row r="186" customFormat="false" ht="14.25" hidden="false" customHeight="true" outlineLevel="0" collapsed="false">
      <c r="F186" s="152"/>
    </row>
    <row r="187" customFormat="false" ht="14.25" hidden="false" customHeight="true" outlineLevel="0" collapsed="false">
      <c r="F187" s="152"/>
    </row>
    <row r="188" customFormat="false" ht="14.25" hidden="false" customHeight="true" outlineLevel="0" collapsed="false">
      <c r="F188" s="152"/>
    </row>
    <row r="189" customFormat="false" ht="14.25" hidden="false" customHeight="true" outlineLevel="0" collapsed="false">
      <c r="F189" s="152"/>
    </row>
    <row r="190" customFormat="false" ht="14.25" hidden="false" customHeight="true" outlineLevel="0" collapsed="false">
      <c r="F190" s="152"/>
    </row>
    <row r="191" customFormat="false" ht="14.25" hidden="false" customHeight="true" outlineLevel="0" collapsed="false">
      <c r="F191" s="152"/>
    </row>
    <row r="192" customFormat="false" ht="14.25" hidden="false" customHeight="true" outlineLevel="0" collapsed="false">
      <c r="F192" s="152"/>
    </row>
    <row r="193" customFormat="false" ht="14.25" hidden="false" customHeight="true" outlineLevel="0" collapsed="false">
      <c r="F193" s="152"/>
    </row>
    <row r="194" customFormat="false" ht="14.25" hidden="false" customHeight="true" outlineLevel="0" collapsed="false">
      <c r="F194" s="152"/>
    </row>
    <row r="195" customFormat="false" ht="14.25" hidden="false" customHeight="true" outlineLevel="0" collapsed="false">
      <c r="F195" s="152"/>
    </row>
    <row r="196" customFormat="false" ht="14.25" hidden="false" customHeight="true" outlineLevel="0" collapsed="false">
      <c r="F196" s="152"/>
    </row>
    <row r="197" customFormat="false" ht="14.25" hidden="false" customHeight="true" outlineLevel="0" collapsed="false">
      <c r="F197" s="152"/>
    </row>
    <row r="198" customFormat="false" ht="14.25" hidden="false" customHeight="true" outlineLevel="0" collapsed="false">
      <c r="F198" s="152"/>
    </row>
    <row r="199" customFormat="false" ht="14.25" hidden="false" customHeight="true" outlineLevel="0" collapsed="false">
      <c r="F199" s="152"/>
    </row>
    <row r="200" customFormat="false" ht="14.25" hidden="false" customHeight="true" outlineLevel="0" collapsed="false">
      <c r="F200" s="152"/>
    </row>
    <row r="201" customFormat="false" ht="14.25" hidden="false" customHeight="true" outlineLevel="0" collapsed="false">
      <c r="F201" s="152"/>
    </row>
    <row r="202" customFormat="false" ht="14.25" hidden="false" customHeight="true" outlineLevel="0" collapsed="false">
      <c r="F202" s="152"/>
    </row>
    <row r="203" customFormat="false" ht="14.25" hidden="false" customHeight="true" outlineLevel="0" collapsed="false">
      <c r="F203" s="152"/>
    </row>
    <row r="204" customFormat="false" ht="14.25" hidden="false" customHeight="true" outlineLevel="0" collapsed="false">
      <c r="F204" s="152"/>
    </row>
    <row r="205" customFormat="false" ht="14.25" hidden="false" customHeight="true" outlineLevel="0" collapsed="false">
      <c r="F205" s="152"/>
    </row>
    <row r="206" customFormat="false" ht="14.25" hidden="false" customHeight="true" outlineLevel="0" collapsed="false">
      <c r="F206" s="152"/>
    </row>
    <row r="207" customFormat="false" ht="14.25" hidden="false" customHeight="true" outlineLevel="0" collapsed="false">
      <c r="F207" s="152"/>
    </row>
    <row r="208" customFormat="false" ht="14.25" hidden="false" customHeight="true" outlineLevel="0" collapsed="false">
      <c r="F208" s="152"/>
    </row>
    <row r="209" customFormat="false" ht="14.25" hidden="false" customHeight="true" outlineLevel="0" collapsed="false">
      <c r="F209" s="152"/>
    </row>
    <row r="210" customFormat="false" ht="14.25" hidden="false" customHeight="true" outlineLevel="0" collapsed="false">
      <c r="F210" s="152"/>
    </row>
    <row r="211" customFormat="false" ht="14.25" hidden="false" customHeight="true" outlineLevel="0" collapsed="false">
      <c r="F211" s="152"/>
    </row>
    <row r="212" customFormat="false" ht="14.25" hidden="false" customHeight="true" outlineLevel="0" collapsed="false">
      <c r="F212" s="152"/>
    </row>
    <row r="213" customFormat="false" ht="14.25" hidden="false" customHeight="true" outlineLevel="0" collapsed="false">
      <c r="F213" s="152"/>
    </row>
    <row r="214" customFormat="false" ht="14.25" hidden="false" customHeight="true" outlineLevel="0" collapsed="false">
      <c r="F214" s="152"/>
    </row>
    <row r="215" customFormat="false" ht="14.25" hidden="false" customHeight="true" outlineLevel="0" collapsed="false">
      <c r="F215" s="152"/>
    </row>
    <row r="216" customFormat="false" ht="14.25" hidden="false" customHeight="true" outlineLevel="0" collapsed="false">
      <c r="F216" s="152"/>
    </row>
    <row r="217" customFormat="false" ht="14.25" hidden="false" customHeight="true" outlineLevel="0" collapsed="false">
      <c r="F217" s="152"/>
    </row>
    <row r="218" customFormat="false" ht="14.25" hidden="false" customHeight="true" outlineLevel="0" collapsed="false">
      <c r="F218" s="152"/>
    </row>
    <row r="219" customFormat="false" ht="14.25" hidden="false" customHeight="true" outlineLevel="0" collapsed="false">
      <c r="F219" s="152"/>
    </row>
    <row r="220" customFormat="false" ht="14.25" hidden="false" customHeight="true" outlineLevel="0" collapsed="false">
      <c r="F220" s="152"/>
    </row>
    <row r="221" customFormat="false" ht="14.25" hidden="false" customHeight="true" outlineLevel="0" collapsed="false">
      <c r="F221" s="152"/>
    </row>
    <row r="222" customFormat="false" ht="14.25" hidden="false" customHeight="true" outlineLevel="0" collapsed="false">
      <c r="F222" s="152"/>
    </row>
    <row r="223" customFormat="false" ht="14.25" hidden="false" customHeight="true" outlineLevel="0" collapsed="false">
      <c r="F223" s="152"/>
    </row>
    <row r="224" customFormat="false" ht="14.25" hidden="false" customHeight="true" outlineLevel="0" collapsed="false">
      <c r="F224" s="152"/>
    </row>
    <row r="225" customFormat="false" ht="14.25" hidden="false" customHeight="true" outlineLevel="0" collapsed="false">
      <c r="F225" s="152"/>
    </row>
    <row r="226" customFormat="false" ht="14.25" hidden="false" customHeight="true" outlineLevel="0" collapsed="false">
      <c r="F226" s="152"/>
    </row>
    <row r="227" customFormat="false" ht="14.25" hidden="false" customHeight="true" outlineLevel="0" collapsed="false">
      <c r="F227" s="152"/>
    </row>
    <row r="228" customFormat="false" ht="14.25" hidden="false" customHeight="true" outlineLevel="0" collapsed="false">
      <c r="F228" s="152"/>
    </row>
    <row r="229" customFormat="false" ht="14.25" hidden="false" customHeight="true" outlineLevel="0" collapsed="false">
      <c r="F229" s="152"/>
    </row>
    <row r="230" customFormat="false" ht="14.25" hidden="false" customHeight="true" outlineLevel="0" collapsed="false">
      <c r="F230" s="152"/>
    </row>
    <row r="231" customFormat="false" ht="14.25" hidden="false" customHeight="true" outlineLevel="0" collapsed="false">
      <c r="F231" s="152"/>
    </row>
    <row r="232" customFormat="false" ht="14.25" hidden="false" customHeight="true" outlineLevel="0" collapsed="false">
      <c r="F232" s="152"/>
    </row>
    <row r="233" customFormat="false" ht="14.25" hidden="false" customHeight="true" outlineLevel="0" collapsed="false">
      <c r="F233" s="152"/>
    </row>
    <row r="234" customFormat="false" ht="14.25" hidden="false" customHeight="true" outlineLevel="0" collapsed="false">
      <c r="F234" s="152"/>
    </row>
    <row r="235" customFormat="false" ht="14.25" hidden="false" customHeight="true" outlineLevel="0" collapsed="false">
      <c r="F235" s="152"/>
    </row>
    <row r="236" customFormat="false" ht="14.25" hidden="false" customHeight="true" outlineLevel="0" collapsed="false">
      <c r="F236" s="152"/>
    </row>
    <row r="237" customFormat="false" ht="14.25" hidden="false" customHeight="true" outlineLevel="0" collapsed="false">
      <c r="F237" s="152"/>
    </row>
    <row r="238" customFormat="false" ht="14.25" hidden="false" customHeight="true" outlineLevel="0" collapsed="false">
      <c r="F238" s="152"/>
    </row>
    <row r="239" customFormat="false" ht="14.25" hidden="false" customHeight="true" outlineLevel="0" collapsed="false">
      <c r="F239" s="152"/>
    </row>
    <row r="240" customFormat="false" ht="14.25" hidden="false" customHeight="true" outlineLevel="0" collapsed="false">
      <c r="F240" s="152"/>
    </row>
    <row r="241" customFormat="false" ht="14.25" hidden="false" customHeight="true" outlineLevel="0" collapsed="false">
      <c r="F241" s="152"/>
    </row>
    <row r="242" customFormat="false" ht="14.25" hidden="false" customHeight="true" outlineLevel="0" collapsed="false">
      <c r="F242" s="152"/>
    </row>
    <row r="243" customFormat="false" ht="14.25" hidden="false" customHeight="true" outlineLevel="0" collapsed="false">
      <c r="F243" s="152"/>
    </row>
    <row r="244" customFormat="false" ht="14.25" hidden="false" customHeight="true" outlineLevel="0" collapsed="false">
      <c r="F244" s="152"/>
    </row>
    <row r="245" customFormat="false" ht="14.25" hidden="false" customHeight="true" outlineLevel="0" collapsed="false">
      <c r="F245" s="152"/>
    </row>
    <row r="246" customFormat="false" ht="14.25" hidden="false" customHeight="true" outlineLevel="0" collapsed="false">
      <c r="F246" s="152"/>
    </row>
    <row r="247" customFormat="false" ht="14.25" hidden="false" customHeight="true" outlineLevel="0" collapsed="false">
      <c r="F247" s="152"/>
    </row>
    <row r="248" customFormat="false" ht="14.25" hidden="false" customHeight="true" outlineLevel="0" collapsed="false">
      <c r="F248" s="152"/>
    </row>
    <row r="249" customFormat="false" ht="14.25" hidden="false" customHeight="true" outlineLevel="0" collapsed="false">
      <c r="F249" s="152"/>
    </row>
    <row r="250" customFormat="false" ht="14.25" hidden="false" customHeight="true" outlineLevel="0" collapsed="false">
      <c r="F250" s="152"/>
    </row>
    <row r="251" customFormat="false" ht="14.25" hidden="false" customHeight="true" outlineLevel="0" collapsed="false">
      <c r="F251" s="152"/>
    </row>
    <row r="252" customFormat="false" ht="14.25" hidden="false" customHeight="true" outlineLevel="0" collapsed="false">
      <c r="F252" s="152"/>
    </row>
    <row r="253" customFormat="false" ht="14.25" hidden="false" customHeight="true" outlineLevel="0" collapsed="false">
      <c r="F253" s="152"/>
    </row>
    <row r="254" customFormat="false" ht="14.25" hidden="false" customHeight="true" outlineLevel="0" collapsed="false">
      <c r="F254" s="152"/>
    </row>
    <row r="255" customFormat="false" ht="14.25" hidden="false" customHeight="true" outlineLevel="0" collapsed="false">
      <c r="F255" s="152"/>
    </row>
    <row r="256" customFormat="false" ht="14.25" hidden="false" customHeight="true" outlineLevel="0" collapsed="false">
      <c r="F256" s="152"/>
    </row>
    <row r="257" customFormat="false" ht="14.25" hidden="false" customHeight="true" outlineLevel="0" collapsed="false">
      <c r="F257" s="152"/>
    </row>
    <row r="258" customFormat="false" ht="14.25" hidden="false" customHeight="true" outlineLevel="0" collapsed="false">
      <c r="F258" s="152"/>
    </row>
    <row r="259" customFormat="false" ht="14.25" hidden="false" customHeight="true" outlineLevel="0" collapsed="false">
      <c r="F259" s="152"/>
    </row>
    <row r="260" customFormat="false" ht="14.25" hidden="false" customHeight="true" outlineLevel="0" collapsed="false">
      <c r="F260" s="152"/>
    </row>
    <row r="261" customFormat="false" ht="14.25" hidden="false" customHeight="true" outlineLevel="0" collapsed="false">
      <c r="F261" s="152"/>
    </row>
    <row r="262" customFormat="false" ht="14.25" hidden="false" customHeight="true" outlineLevel="0" collapsed="false">
      <c r="F262" s="152"/>
    </row>
    <row r="263" customFormat="false" ht="14.25" hidden="false" customHeight="true" outlineLevel="0" collapsed="false">
      <c r="F263" s="152"/>
    </row>
    <row r="264" customFormat="false" ht="14.25" hidden="false" customHeight="true" outlineLevel="0" collapsed="false">
      <c r="F264" s="152"/>
    </row>
    <row r="265" customFormat="false" ht="14.25" hidden="false" customHeight="true" outlineLevel="0" collapsed="false">
      <c r="F265" s="152"/>
    </row>
    <row r="266" customFormat="false" ht="14.25" hidden="false" customHeight="true" outlineLevel="0" collapsed="false">
      <c r="F266" s="152"/>
    </row>
    <row r="267" customFormat="false" ht="14.25" hidden="false" customHeight="true" outlineLevel="0" collapsed="false">
      <c r="F267" s="152"/>
    </row>
    <row r="268" customFormat="false" ht="14.25" hidden="false" customHeight="true" outlineLevel="0" collapsed="false">
      <c r="F268" s="152"/>
    </row>
    <row r="269" customFormat="false" ht="14.25" hidden="false" customHeight="true" outlineLevel="0" collapsed="false">
      <c r="F269" s="152"/>
    </row>
    <row r="270" customFormat="false" ht="14.25" hidden="false" customHeight="true" outlineLevel="0" collapsed="false">
      <c r="F270" s="152"/>
    </row>
    <row r="271" customFormat="false" ht="14.25" hidden="false" customHeight="true" outlineLevel="0" collapsed="false">
      <c r="F271" s="152"/>
    </row>
    <row r="272" customFormat="false" ht="14.25" hidden="false" customHeight="true" outlineLevel="0" collapsed="false">
      <c r="F272" s="152"/>
    </row>
    <row r="273" customFormat="false" ht="14.25" hidden="false" customHeight="true" outlineLevel="0" collapsed="false">
      <c r="F273" s="152"/>
    </row>
    <row r="274" customFormat="false" ht="14.25" hidden="false" customHeight="true" outlineLevel="0" collapsed="false">
      <c r="F274" s="152"/>
    </row>
    <row r="275" customFormat="false" ht="14.25" hidden="false" customHeight="true" outlineLevel="0" collapsed="false">
      <c r="F275" s="152"/>
    </row>
    <row r="276" customFormat="false" ht="14.25" hidden="false" customHeight="true" outlineLevel="0" collapsed="false">
      <c r="F276" s="152"/>
    </row>
    <row r="277" customFormat="false" ht="14.25" hidden="false" customHeight="true" outlineLevel="0" collapsed="false">
      <c r="F277" s="152"/>
    </row>
    <row r="278" customFormat="false" ht="14.25" hidden="false" customHeight="true" outlineLevel="0" collapsed="false">
      <c r="F278" s="152"/>
    </row>
    <row r="279" customFormat="false" ht="14.25" hidden="false" customHeight="true" outlineLevel="0" collapsed="false">
      <c r="F279" s="152"/>
    </row>
    <row r="280" customFormat="false" ht="14.25" hidden="false" customHeight="true" outlineLevel="0" collapsed="false">
      <c r="F280" s="152"/>
    </row>
    <row r="281" customFormat="false" ht="14.25" hidden="false" customHeight="true" outlineLevel="0" collapsed="false">
      <c r="F281" s="152"/>
    </row>
    <row r="282" customFormat="false" ht="14.25" hidden="false" customHeight="true" outlineLevel="0" collapsed="false">
      <c r="F282" s="152"/>
    </row>
    <row r="283" customFormat="false" ht="14.25" hidden="false" customHeight="true" outlineLevel="0" collapsed="false">
      <c r="F283" s="152"/>
    </row>
    <row r="284" customFormat="false" ht="14.25" hidden="false" customHeight="true" outlineLevel="0" collapsed="false">
      <c r="F284" s="152"/>
    </row>
    <row r="285" customFormat="false" ht="14.25" hidden="false" customHeight="true" outlineLevel="0" collapsed="false">
      <c r="F285" s="152"/>
    </row>
    <row r="286" customFormat="false" ht="14.25" hidden="false" customHeight="true" outlineLevel="0" collapsed="false">
      <c r="F286" s="152"/>
    </row>
    <row r="287" customFormat="false" ht="14.25" hidden="false" customHeight="true" outlineLevel="0" collapsed="false">
      <c r="F287" s="152"/>
    </row>
    <row r="288" customFormat="false" ht="14.25" hidden="false" customHeight="true" outlineLevel="0" collapsed="false">
      <c r="F288" s="152"/>
    </row>
    <row r="289" customFormat="false" ht="14.25" hidden="false" customHeight="true" outlineLevel="0" collapsed="false">
      <c r="F289" s="152"/>
    </row>
    <row r="290" customFormat="false" ht="14.25" hidden="false" customHeight="true" outlineLevel="0" collapsed="false">
      <c r="F290" s="152"/>
    </row>
    <row r="291" customFormat="false" ht="14.25" hidden="false" customHeight="true" outlineLevel="0" collapsed="false">
      <c r="F291" s="152"/>
    </row>
    <row r="292" customFormat="false" ht="14.25" hidden="false" customHeight="true" outlineLevel="0" collapsed="false">
      <c r="F292" s="152"/>
    </row>
    <row r="293" customFormat="false" ht="14.25" hidden="false" customHeight="true" outlineLevel="0" collapsed="false">
      <c r="F293" s="152"/>
    </row>
    <row r="294" customFormat="false" ht="14.25" hidden="false" customHeight="true" outlineLevel="0" collapsed="false">
      <c r="F294" s="152"/>
    </row>
    <row r="295" customFormat="false" ht="14.25" hidden="false" customHeight="true" outlineLevel="0" collapsed="false">
      <c r="F295" s="152"/>
    </row>
    <row r="296" customFormat="false" ht="14.25" hidden="false" customHeight="true" outlineLevel="0" collapsed="false">
      <c r="F296" s="152"/>
    </row>
    <row r="297" customFormat="false" ht="14.25" hidden="false" customHeight="true" outlineLevel="0" collapsed="false">
      <c r="F297" s="152"/>
    </row>
    <row r="298" customFormat="false" ht="14.25" hidden="false" customHeight="true" outlineLevel="0" collapsed="false">
      <c r="F298" s="152"/>
    </row>
    <row r="299" customFormat="false" ht="14.25" hidden="false" customHeight="true" outlineLevel="0" collapsed="false">
      <c r="F299" s="152"/>
    </row>
    <row r="300" customFormat="false" ht="14.25" hidden="false" customHeight="true" outlineLevel="0" collapsed="false">
      <c r="F300" s="152"/>
    </row>
    <row r="301" customFormat="false" ht="14.25" hidden="false" customHeight="true" outlineLevel="0" collapsed="false">
      <c r="F301" s="152"/>
    </row>
    <row r="302" customFormat="false" ht="14.25" hidden="false" customHeight="true" outlineLevel="0" collapsed="false">
      <c r="F302" s="152"/>
    </row>
    <row r="303" customFormat="false" ht="14.25" hidden="false" customHeight="true" outlineLevel="0" collapsed="false">
      <c r="F303" s="152"/>
    </row>
    <row r="304" customFormat="false" ht="14.25" hidden="false" customHeight="true" outlineLevel="0" collapsed="false">
      <c r="F304" s="152"/>
    </row>
    <row r="305" customFormat="false" ht="14.25" hidden="false" customHeight="true" outlineLevel="0" collapsed="false">
      <c r="F305" s="152"/>
    </row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3">
    <mergeCell ref="G1:P1"/>
    <mergeCell ref="R1:AE1"/>
    <mergeCell ref="G15:O15"/>
  </mergeCells>
  <conditionalFormatting sqref="H3:H14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17:I20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3:H34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37:H48">
    <cfRule type="colorScale" priority="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H51:H6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65:H6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74:H77">
    <cfRule type="colorScale" priority="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H83:H86">
    <cfRule type="colorScale" priority="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3:I14">
    <cfRule type="colorScale" priority="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3:J14">
    <cfRule type="colorScale" priority="1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17:J20">
    <cfRule type="colorScale" priority="1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3:K14">
    <cfRule type="colorScale" priority="1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17:L20">
    <cfRule type="colorScale" priority="1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3:L14">
    <cfRule type="colorScale" priority="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:M14">
    <cfRule type="colorScale" priority="1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M17:M20">
    <cfRule type="colorScale" priority="1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3:N14">
    <cfRule type="colorScale" priority="1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17:N20">
    <cfRule type="colorScale" priority="1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3:O14">
    <cfRule type="colorScale" priority="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O17:O20">
    <cfRule type="colorScale" priority="2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P3:P14">
    <cfRule type="colorScale" priority="2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23:R34">
    <cfRule type="colorScale" priority="2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37:R48">
    <cfRule type="colorScale" priority="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R51:R62">
    <cfRule type="colorScale" priority="2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65:R68">
    <cfRule type="colorScale" priority="2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74:R77">
    <cfRule type="colorScale" priority="2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R83:R86">
    <cfRule type="colorScale" priority="2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33:AF44">
    <cfRule type="colorScale" priority="2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60:AF63">
    <cfRule type="colorScale" priority="3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G33:AG44">
    <cfRule type="colorScale" priority="3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G60:AG65">
    <cfRule type="colorScale" priority="3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O53:AO57">
    <cfRule type="colorScale" priority="33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3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17:H20">
    <cfRule type="colorScale" priority="3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17:I20">
    <cfRule type="colorScale" priority="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K17:K20">
    <cfRule type="colorScale" priority="3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17:L20">
    <cfRule type="colorScale" priority="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F60:AF64">
    <cfRule type="colorScale" priority="3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G4:AG9">
    <cfRule type="cellIs" priority="40" operator="greaterThan" aboveAverage="0" equalAverage="0" bottom="0" percent="0" rank="0" text="" dxfId="6">
      <formula>0</formula>
    </cfRule>
  </conditionalFormatting>
  <conditionalFormatting sqref="AM4:AO9">
    <cfRule type="cellIs" priority="41" operator="greaterThan" aboveAverage="0" equalAverage="0" bottom="0" percent="0" rank="0" text="" dxfId="7">
      <formula>0</formula>
    </cfRule>
  </conditionalFormatting>
  <conditionalFormatting sqref="AF53:AN56">
    <cfRule type="colorScale" priority="4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53:AF57 AG57:AN57">
    <cfRule type="colorScale" priority="4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G53:AG56">
    <cfRule type="colorScale" priority="4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53:AN57">
    <cfRule type="colorScale" priority="4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60:AF65">
    <cfRule type="colorScale" priority="4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19:AM30 AO19:AO30">
    <cfRule type="colorScale" priority="47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4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P19:AP30">
    <cfRule type="colorScale" priority="4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20:AM20 AO20">
    <cfRule type="colorScale" priority="5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21:AM21 AO21">
    <cfRule type="colorScale" priority="5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22:AM22 AO22">
    <cfRule type="colorScale" priority="5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23:AM23 AO23">
    <cfRule type="colorScale" priority="5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24:AM24 AO24">
    <cfRule type="colorScale" priority="5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25:AM25 AO25">
    <cfRule type="colorScale" priority="5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26:AM26 AO26">
    <cfRule type="colorScale" priority="5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27:AM27 AO27">
    <cfRule type="colorScale" priority="5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28:AM28 AO28">
    <cfRule type="colorScale" priority="5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29:AM29 AO29">
    <cfRule type="colorScale" priority="5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30:AM30 AO30">
    <cfRule type="colorScale" priority="6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N19:AN30">
    <cfRule type="colorScale" priority="6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19:AO30">
    <cfRule type="colorScale" priority="6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hyperlinks>
    <hyperlink ref="D3" r:id="rId1" display="Discord"/>
    <hyperlink ref="D4" r:id="rId2" display="Discord"/>
    <hyperlink ref="D5" r:id="rId3" display="Discord"/>
    <hyperlink ref="D6" r:id="rId4" display="Discord"/>
    <hyperlink ref="D7" r:id="rId5" display="Discord"/>
    <hyperlink ref="D8" r:id="rId6" display="Discord"/>
    <hyperlink ref="D9" r:id="rId7" display="Discord"/>
    <hyperlink ref="D10" r:id="rId8" display="Discord"/>
    <hyperlink ref="D11" r:id="rId9" display="Discord"/>
    <hyperlink ref="D12" r:id="rId10" display="Discord"/>
    <hyperlink ref="D13" r:id="rId11" display="Discord"/>
    <hyperlink ref="D14" r:id="rId12" display="Discord"/>
    <hyperlink ref="D15" r:id="rId13" display="Discord"/>
    <hyperlink ref="D16" r:id="rId14" display="Discord"/>
    <hyperlink ref="D17" r:id="rId15" display="Discord"/>
    <hyperlink ref="D18" r:id="rId16" display="Discord"/>
    <hyperlink ref="D19" r:id="rId17" display="Discord"/>
    <hyperlink ref="D20" r:id="rId18" display="Discord"/>
    <hyperlink ref="D21" r:id="rId19" display="Discord"/>
    <hyperlink ref="D22" r:id="rId20" display="Discord"/>
    <hyperlink ref="D23" r:id="rId21" display="Discord"/>
    <hyperlink ref="D24" r:id="rId22" display="Discord"/>
    <hyperlink ref="D25" r:id="rId23" display="Discord"/>
    <hyperlink ref="D26" r:id="rId24" display="Discord"/>
    <hyperlink ref="D27" r:id="rId25" display="Discord"/>
    <hyperlink ref="D28" r:id="rId26" display="Discord"/>
    <hyperlink ref="D29" r:id="rId27" display="Discord"/>
    <hyperlink ref="D30" r:id="rId28" display="Discord"/>
    <hyperlink ref="D31" r:id="rId29" display="Discord"/>
    <hyperlink ref="D32" r:id="rId30" display="Discord"/>
    <hyperlink ref="D33" r:id="rId31" display="Discord"/>
    <hyperlink ref="D34" r:id="rId32" display="Discord"/>
    <hyperlink ref="D35" r:id="rId33" display="Discord"/>
    <hyperlink ref="D36" r:id="rId34" display="Discord"/>
    <hyperlink ref="D37" r:id="rId35" display="Discord"/>
    <hyperlink ref="D38" r:id="rId36" display="Discord"/>
    <hyperlink ref="D39" r:id="rId37" display="Discord"/>
    <hyperlink ref="D40" r:id="rId38" display="Discord"/>
    <hyperlink ref="D41" r:id="rId39" display="Discord"/>
    <hyperlink ref="D42" r:id="rId40" display="Discord"/>
    <hyperlink ref="D43" r:id="rId41" display="Discord"/>
    <hyperlink ref="D44" r:id="rId42" display="Discord"/>
    <hyperlink ref="D45" r:id="rId43" display="Discord"/>
    <hyperlink ref="D46" r:id="rId44" display="Discord"/>
    <hyperlink ref="D47" r:id="rId45" display="Discord"/>
    <hyperlink ref="D48" r:id="rId46" display="Discord"/>
    <hyperlink ref="D49" r:id="rId47" display="Discord"/>
    <hyperlink ref="D50" r:id="rId48" display="Discord"/>
    <hyperlink ref="D51" r:id="rId49" display="Discord"/>
    <hyperlink ref="D52" r:id="rId50" display="Discord"/>
    <hyperlink ref="D53" r:id="rId51" display="Discord"/>
    <hyperlink ref="D54" r:id="rId52" display="Discord"/>
    <hyperlink ref="D55" r:id="rId53" display="Discord"/>
    <hyperlink ref="D56" r:id="rId54" display="Discord"/>
    <hyperlink ref="D57" r:id="rId55" display="Discord"/>
    <hyperlink ref="D58" r:id="rId56" display="Discord"/>
    <hyperlink ref="D59" r:id="rId57" display="Discord"/>
    <hyperlink ref="D60" r:id="rId58" display="Discord"/>
    <hyperlink ref="D61" r:id="rId59" display="Discord"/>
    <hyperlink ref="D62" r:id="rId60" display="Discord"/>
    <hyperlink ref="D63" r:id="rId61" display="Discord"/>
    <hyperlink ref="D64" r:id="rId62" display="Discord"/>
    <hyperlink ref="D65" r:id="rId63" display="Discord"/>
    <hyperlink ref="D66" r:id="rId64" display="Discord"/>
    <hyperlink ref="D67" r:id="rId65" display="Discord"/>
    <hyperlink ref="D68" r:id="rId66" display="Discord"/>
    <hyperlink ref="D69" r:id="rId67" display="Discord"/>
    <hyperlink ref="D70" r:id="rId68" display="Discord"/>
    <hyperlink ref="D71" r:id="rId69" display="Discord"/>
    <hyperlink ref="D72" r:id="rId70" display="Discord"/>
    <hyperlink ref="D73" r:id="rId71" display="Discord"/>
    <hyperlink ref="D74" r:id="rId72" display="Discord"/>
    <hyperlink ref="D75" r:id="rId73" display="Discord"/>
    <hyperlink ref="D76" r:id="rId74" display="Discord"/>
    <hyperlink ref="D77" r:id="rId75" display="Discord"/>
    <hyperlink ref="D78" r:id="rId76" display="Discord"/>
    <hyperlink ref="D79" r:id="rId77" display="Discord"/>
    <hyperlink ref="D80" r:id="rId78" display="Discord"/>
    <hyperlink ref="D81" r:id="rId79" display="Discord"/>
    <hyperlink ref="D82" r:id="rId80" display="Discord"/>
    <hyperlink ref="D83" r:id="rId81" display="Discord"/>
    <hyperlink ref="D84" r:id="rId82" display="Discord"/>
    <hyperlink ref="D85" r:id="rId83" display="Discord"/>
    <hyperlink ref="D86" r:id="rId84" display="Discord"/>
    <hyperlink ref="D87" r:id="rId85" display="Discord"/>
    <hyperlink ref="D88" r:id="rId86" display="Discord"/>
    <hyperlink ref="D89" r:id="rId87" display="Discord"/>
    <hyperlink ref="D90" r:id="rId88" display="Discord"/>
    <hyperlink ref="D91" r:id="rId89" display="Discord"/>
    <hyperlink ref="D92" r:id="rId90" display="Discord"/>
    <hyperlink ref="D93" r:id="rId91" display="Discord"/>
    <hyperlink ref="D94" r:id="rId92" display="Discord"/>
    <hyperlink ref="D95" r:id="rId93" display="Discord"/>
    <hyperlink ref="D96" r:id="rId94" display="Discord"/>
    <hyperlink ref="D97" r:id="rId95" display="Discord"/>
    <hyperlink ref="D98" r:id="rId96" display="Discord"/>
    <hyperlink ref="D99" r:id="rId97" display="Discord"/>
    <hyperlink ref="D100" r:id="rId98" display="Discord"/>
    <hyperlink ref="D101" r:id="rId99" display="Discord"/>
    <hyperlink ref="D102" r:id="rId100" display="Discord"/>
    <hyperlink ref="D103" r:id="rId101" display="Discord"/>
    <hyperlink ref="D104" r:id="rId102" display="Discord"/>
    <hyperlink ref="D105" r:id="rId103" display="Discord"/>
  </hyperlinks>
  <printOptions headings="false" gridLines="false" gridLinesSet="true" horizontalCentered="false" verticalCentered="false"/>
  <pageMargins left="0" right="0" top="0" bottom="0.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04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54296875" defaultRowHeight="15" customHeight="true" zeroHeight="false" outlineLevelRow="0" outlineLevelCol="0"/>
  <cols>
    <col collapsed="false" customWidth="true" hidden="false" outlineLevel="0" max="1" min="1" style="0" width="7.82"/>
    <col collapsed="false" customWidth="true" hidden="false" outlineLevel="0" max="2" min="2" style="0" width="6.27"/>
    <col collapsed="false" customWidth="true" hidden="false" outlineLevel="0" max="3" min="3" style="0" width="7.82"/>
    <col collapsed="false" customWidth="true" hidden="false" outlineLevel="0" max="4" min="4" style="0" width="7"/>
    <col collapsed="false" customWidth="true" hidden="true" outlineLevel="0" max="5" min="5" style="0" width="4.82"/>
    <col collapsed="false" customWidth="true" hidden="false" outlineLevel="0" max="6" min="6" style="0" width="7.82"/>
    <col collapsed="false" customWidth="true" hidden="false" outlineLevel="0" max="8" min="7" style="0" width="6.82"/>
    <col collapsed="false" customWidth="true" hidden="false" outlineLevel="0" max="9" min="9" style="0" width="4.73"/>
    <col collapsed="false" customWidth="true" hidden="false" outlineLevel="0" max="10" min="10" style="0" width="9.45"/>
    <col collapsed="false" customWidth="true" hidden="false" outlineLevel="0" max="11" min="11" style="0" width="11.45"/>
    <col collapsed="false" customWidth="true" hidden="false" outlineLevel="0" max="12" min="12" style="0" width="6.73"/>
    <col collapsed="false" customWidth="true" hidden="false" outlineLevel="0" max="13" min="13" style="0" width="8.45"/>
    <col collapsed="false" customWidth="true" hidden="false" outlineLevel="0" max="14" min="14" style="0" width="10.45"/>
    <col collapsed="false" customWidth="true" hidden="false" outlineLevel="0" max="15" min="15" style="0" width="11.82"/>
    <col collapsed="false" customWidth="true" hidden="false" outlineLevel="0" max="16" min="16" style="0" width="7.82"/>
    <col collapsed="false" customWidth="true" hidden="false" outlineLevel="0" max="17" min="17" style="0" width="12.45"/>
    <col collapsed="false" customWidth="true" hidden="false" outlineLevel="0" max="18" min="18" style="0" width="9.18"/>
    <col collapsed="false" customWidth="true" hidden="false" outlineLevel="0" max="19" min="19" style="0" width="4.45"/>
    <col collapsed="false" customWidth="true" hidden="false" outlineLevel="0" max="20" min="20" style="0" width="5.45"/>
    <col collapsed="false" customWidth="true" hidden="false" outlineLevel="0" max="21" min="21" style="0" width="3.73"/>
    <col collapsed="false" customWidth="true" hidden="false" outlineLevel="0" max="22" min="22" style="0" width="5.18"/>
    <col collapsed="false" customWidth="true" hidden="false" outlineLevel="0" max="23" min="23" style="0" width="5.73"/>
    <col collapsed="false" customWidth="true" hidden="false" outlineLevel="0" max="24" min="24" style="0" width="5"/>
    <col collapsed="false" customWidth="true" hidden="false" outlineLevel="0" max="25" min="25" style="0" width="4.27"/>
    <col collapsed="false" customWidth="true" hidden="false" outlineLevel="0" max="26" min="26" style="0" width="4.82"/>
    <col collapsed="false" customWidth="true" hidden="false" outlineLevel="0" max="27" min="27" style="0" width="5.45"/>
    <col collapsed="false" customWidth="true" hidden="false" outlineLevel="0" max="28" min="28" style="0" width="7.18"/>
    <col collapsed="false" customWidth="true" hidden="false" outlineLevel="0" max="29" min="29" style="0" width="7.82"/>
    <col collapsed="false" customWidth="true" hidden="false" outlineLevel="0" max="30" min="30" style="0" width="10.45"/>
    <col collapsed="false" customWidth="true" hidden="false" outlineLevel="0" max="31" min="31" style="0" width="7.45"/>
    <col collapsed="false" customWidth="true" hidden="false" outlineLevel="0" max="32" min="32" style="0" width="8.45"/>
    <col collapsed="false" customWidth="true" hidden="false" outlineLevel="0" max="33" min="33" style="0" width="5.73"/>
    <col collapsed="false" customWidth="true" hidden="false" outlineLevel="0" max="34" min="34" style="0" width="9.45"/>
    <col collapsed="false" customWidth="true" hidden="false" outlineLevel="0" max="35" min="35" style="0" width="11.45"/>
    <col collapsed="false" customWidth="true" hidden="false" outlineLevel="0" max="36" min="36" style="0" width="14.18"/>
    <col collapsed="false" customWidth="true" hidden="false" outlineLevel="0" max="37" min="37" style="0" width="8.45"/>
    <col collapsed="false" customWidth="true" hidden="false" outlineLevel="0" max="38" min="38" style="0" width="10.45"/>
    <col collapsed="false" customWidth="true" hidden="false" outlineLevel="0" max="39" min="39" style="0" width="7.45"/>
    <col collapsed="false" customWidth="true" hidden="false" outlineLevel="0" max="41" min="40" style="0" width="8.45"/>
  </cols>
  <sheetData>
    <row r="1" customFormat="false" ht="14.25" hidden="false" customHeight="true" outlineLevel="0" collapsed="false">
      <c r="A1" s="89" t="s">
        <v>0</v>
      </c>
      <c r="B1" s="90" t="s">
        <v>1</v>
      </c>
      <c r="C1" s="91" t="s">
        <v>2</v>
      </c>
      <c r="D1" s="153" t="s">
        <v>3</v>
      </c>
      <c r="E1" s="154"/>
      <c r="F1" s="7" t="s">
        <v>4</v>
      </c>
      <c r="G1" s="7"/>
      <c r="H1" s="7"/>
      <c r="I1" s="7"/>
      <c r="J1" s="7"/>
      <c r="K1" s="7"/>
      <c r="L1" s="7"/>
      <c r="M1" s="7"/>
      <c r="N1" s="7"/>
      <c r="O1" s="7"/>
      <c r="P1" s="8"/>
      <c r="Q1" s="155" t="s">
        <v>5</v>
      </c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55"/>
      <c r="AE1" s="155"/>
      <c r="AG1" s="7" t="s">
        <v>6</v>
      </c>
      <c r="AH1" s="10" t="s">
        <v>7</v>
      </c>
      <c r="AI1" s="11" t="s">
        <v>8</v>
      </c>
      <c r="AJ1" s="12" t="s">
        <v>9</v>
      </c>
      <c r="AK1" s="13" t="s">
        <v>8</v>
      </c>
      <c r="AL1" s="10" t="s">
        <v>10</v>
      </c>
      <c r="AM1" s="7" t="s">
        <v>6</v>
      </c>
    </row>
    <row r="2" customFormat="false" ht="14.25" hidden="false" customHeight="true" outlineLevel="0" collapsed="false">
      <c r="A2" s="94" t="s">
        <v>1151</v>
      </c>
      <c r="B2" s="95" t="n">
        <v>1</v>
      </c>
      <c r="C2" s="96" t="s">
        <v>11</v>
      </c>
      <c r="D2" s="17" t="s">
        <v>1929</v>
      </c>
      <c r="E2" s="156"/>
      <c r="F2" s="52" t="s">
        <v>88</v>
      </c>
      <c r="G2" s="31" t="s">
        <v>16</v>
      </c>
      <c r="H2" s="31" t="s">
        <v>17</v>
      </c>
      <c r="I2" s="31" t="s">
        <v>18</v>
      </c>
      <c r="J2" s="31" t="s">
        <v>19</v>
      </c>
      <c r="K2" s="31" t="s">
        <v>20</v>
      </c>
      <c r="L2" s="31" t="s">
        <v>21</v>
      </c>
      <c r="M2" s="21" t="s">
        <v>22</v>
      </c>
      <c r="N2" s="21" t="s">
        <v>23</v>
      </c>
      <c r="O2" s="53" t="s">
        <v>24</v>
      </c>
      <c r="P2" s="8"/>
      <c r="Q2" s="23" t="s">
        <v>25</v>
      </c>
      <c r="R2" s="24" t="s">
        <v>2</v>
      </c>
      <c r="S2" s="25"/>
      <c r="T2" s="25"/>
      <c r="U2" s="25"/>
      <c r="V2" s="25"/>
      <c r="W2" s="25"/>
      <c r="X2" s="25"/>
      <c r="Y2" s="25"/>
      <c r="Z2" s="25"/>
      <c r="AA2" s="25"/>
      <c r="AB2" s="25"/>
      <c r="AC2" s="26"/>
      <c r="AE2" s="157"/>
      <c r="AG2" s="28"/>
      <c r="AH2" s="29"/>
      <c r="AI2" s="30" t="n">
        <f aca="false">COUNT(B$1:B$159)</f>
        <v>157</v>
      </c>
      <c r="AJ2" s="31" t="s">
        <v>1917</v>
      </c>
      <c r="AK2" s="30" t="n">
        <f aca="false">COUNT(B$1:B$159)</f>
        <v>157</v>
      </c>
      <c r="AL2" s="28"/>
      <c r="AM2" s="28"/>
    </row>
    <row r="3" customFormat="false" ht="14.25" hidden="false" customHeight="true" outlineLevel="0" collapsed="false">
      <c r="A3" s="94" t="s">
        <v>11</v>
      </c>
      <c r="B3" s="95" t="n">
        <v>1</v>
      </c>
      <c r="C3" s="96" t="s">
        <v>1151</v>
      </c>
      <c r="D3" s="17" t="s">
        <v>1930</v>
      </c>
      <c r="E3" s="156"/>
      <c r="F3" s="33" t="s">
        <v>30</v>
      </c>
      <c r="G3" s="34" t="n">
        <f aca="false">COUNTIF($A:$A,F3)</f>
        <v>18</v>
      </c>
      <c r="H3" s="34" t="n">
        <f aca="false">COUNTIF($C:$C,F3)</f>
        <v>24</v>
      </c>
      <c r="I3" s="35" t="n">
        <f aca="false">IF(H3,G3/H3,0)</f>
        <v>0.75</v>
      </c>
      <c r="J3" s="34" t="n">
        <f aca="false">IFERROR(GETPIVOTDATA("Points",$Q$2,"Sniper",F3),0)</f>
        <v>26</v>
      </c>
      <c r="K3" s="34" t="n">
        <f aca="false">IFERROR(GETPIVOTDATA("Points",$Q$2,"Snipee",F3),0)</f>
        <v>36</v>
      </c>
      <c r="L3" s="124" t="n">
        <f aca="false">IF(K3,J3/K3,0)</f>
        <v>0.722222222222222</v>
      </c>
      <c r="M3" s="35" t="n">
        <f aca="false">IF(G3,J3/G3,0)</f>
        <v>1.44444444444444</v>
      </c>
      <c r="N3" s="35" t="n">
        <f aca="false">IF(H3,K3/H3,0)</f>
        <v>1.5</v>
      </c>
      <c r="O3" s="125" t="n">
        <f aca="false">(IFERROR(VLOOKUP(F3,$Q:$AE,15,FALSE()),0))/11</f>
        <v>0.545454545454545</v>
      </c>
      <c r="P3" s="143"/>
      <c r="Q3" s="37" t="s">
        <v>0</v>
      </c>
      <c r="R3" s="126" t="s">
        <v>30</v>
      </c>
      <c r="S3" s="127" t="s">
        <v>1151</v>
      </c>
      <c r="T3" s="127" t="s">
        <v>43</v>
      </c>
      <c r="U3" s="127" t="s">
        <v>1447</v>
      </c>
      <c r="V3" s="127" t="s">
        <v>1443</v>
      </c>
      <c r="W3" s="127" t="s">
        <v>42</v>
      </c>
      <c r="X3" s="127" t="s">
        <v>33</v>
      </c>
      <c r="Y3" s="127" t="s">
        <v>1919</v>
      </c>
      <c r="Z3" s="127" t="s">
        <v>11</v>
      </c>
      <c r="AA3" s="127" t="s">
        <v>40</v>
      </c>
      <c r="AB3" s="127" t="s">
        <v>1154</v>
      </c>
      <c r="AC3" s="39" t="s">
        <v>44</v>
      </c>
      <c r="AE3" s="158" t="s">
        <v>1448</v>
      </c>
      <c r="AG3" s="28"/>
      <c r="AH3" s="28"/>
      <c r="AI3" s="40" t="n">
        <f aca="false">GETPIVOTDATA("Points",$Q$2)</f>
        <v>194</v>
      </c>
      <c r="AJ3" s="41" t="s">
        <v>1920</v>
      </c>
      <c r="AK3" s="40" t="n">
        <f aca="false">GETPIVOTDATA("Points",$Q$2)</f>
        <v>194</v>
      </c>
      <c r="AL3" s="28"/>
      <c r="AM3" s="28"/>
    </row>
    <row r="4" customFormat="false" ht="14.25" hidden="false" customHeight="true" outlineLevel="0" collapsed="false">
      <c r="A4" s="94" t="s">
        <v>1447</v>
      </c>
      <c r="B4" s="95" t="n">
        <v>2</v>
      </c>
      <c r="C4" s="96" t="s">
        <v>1151</v>
      </c>
      <c r="D4" s="17" t="s">
        <v>1931</v>
      </c>
      <c r="E4" s="156"/>
      <c r="F4" s="33" t="s">
        <v>42</v>
      </c>
      <c r="G4" s="34" t="n">
        <f aca="false">COUNTIF($A:$A,F4)</f>
        <v>0</v>
      </c>
      <c r="H4" s="34" t="n">
        <f aca="false">COUNTIF($C:$C,F4)</f>
        <v>9</v>
      </c>
      <c r="I4" s="35" t="n">
        <f aca="false">IF(H4,G4/H4,0)</f>
        <v>0</v>
      </c>
      <c r="J4" s="34" t="n">
        <f aca="false">IFERROR(GETPIVOTDATA("Points",$Q$2,"Sniper",F4),0)</f>
        <v>0</v>
      </c>
      <c r="K4" s="34" t="n">
        <f aca="false">IFERROR(GETPIVOTDATA("Points",$Q$2,"Snipee",F4),0)</f>
        <v>13</v>
      </c>
      <c r="L4" s="124" t="n">
        <f aca="false">IF(K4,J4/K4,0)</f>
        <v>0</v>
      </c>
      <c r="M4" s="35" t="n">
        <f aca="false">IF(G4,J4/G4,0)</f>
        <v>0</v>
      </c>
      <c r="N4" s="35" t="n">
        <f aca="false">IF(H4,K4/H4,0)</f>
        <v>1.44444444444444</v>
      </c>
      <c r="O4" s="125" t="n">
        <f aca="false">(IFERROR(VLOOKUP(F4,$Q:$AE,15,FALSE()),0))/11</f>
        <v>0</v>
      </c>
      <c r="P4" s="8"/>
      <c r="Q4" s="128" t="s">
        <v>1447</v>
      </c>
      <c r="R4" s="100" t="n">
        <v>10</v>
      </c>
      <c r="S4" s="101" t="n">
        <v>8</v>
      </c>
      <c r="T4" s="101" t="n">
        <v>1</v>
      </c>
      <c r="U4" s="101"/>
      <c r="V4" s="101" t="n">
        <v>7</v>
      </c>
      <c r="W4" s="101" t="n">
        <v>4</v>
      </c>
      <c r="X4" s="101" t="n">
        <v>2</v>
      </c>
      <c r="Y4" s="101" t="n">
        <v>6</v>
      </c>
      <c r="Z4" s="101" t="n">
        <v>2</v>
      </c>
      <c r="AA4" s="101" t="n">
        <v>3</v>
      </c>
      <c r="AB4" s="102" t="n">
        <v>4</v>
      </c>
      <c r="AC4" s="103" t="n">
        <v>47</v>
      </c>
      <c r="AE4" s="159" t="n">
        <f aca="false">COUNT(R4:AC4)</f>
        <v>11</v>
      </c>
      <c r="AG4" s="45" t="n">
        <f aca="false">COUNTIF(G3:G14,AI4)-1</f>
        <v>-1</v>
      </c>
      <c r="AH4" s="46" t="str">
        <f aca="false">$F$23</f>
        <v>David</v>
      </c>
      <c r="AI4" s="40" t="e">
        <f aca="false">maxine(G3:G14)</f>
        <v>#NAME?</v>
      </c>
      <c r="AJ4" s="41" t="s">
        <v>1921</v>
      </c>
      <c r="AK4" s="40" t="e">
        <f aca="false">maxine(G17:G20)</f>
        <v>#NAME?</v>
      </c>
      <c r="AL4" s="48" t="str">
        <f aca="false">$F$68</f>
        <v>Leads</v>
      </c>
      <c r="AM4" s="45" t="n">
        <f aca="false">COUNTIF(G17:G20,AK4)-1</f>
        <v>-1</v>
      </c>
    </row>
    <row r="5" customFormat="false" ht="14.25" hidden="false" customHeight="true" outlineLevel="0" collapsed="false">
      <c r="A5" s="94" t="s">
        <v>41</v>
      </c>
      <c r="B5" s="95" t="n">
        <v>2</v>
      </c>
      <c r="C5" s="96" t="s">
        <v>1154</v>
      </c>
      <c r="D5" s="17" t="s">
        <v>1932</v>
      </c>
      <c r="E5" s="156"/>
      <c r="F5" s="33" t="s">
        <v>1919</v>
      </c>
      <c r="G5" s="34" t="n">
        <f aca="false">COUNTIF($A:$A,F5)</f>
        <v>1</v>
      </c>
      <c r="H5" s="34" t="n">
        <f aca="false">COUNTIF($C:$C,F5)</f>
        <v>6</v>
      </c>
      <c r="I5" s="35" t="n">
        <f aca="false">IF(H5,G5/H5,0)</f>
        <v>0.166666666666667</v>
      </c>
      <c r="J5" s="34" t="n">
        <f aca="false">IFERROR(GETPIVOTDATA("Points",$Q$2,"Sniper",F5),0)</f>
        <v>2</v>
      </c>
      <c r="K5" s="34" t="n">
        <f aca="false">IFERROR(GETPIVOTDATA("Points",$Q$2,"Snipee",F5),0)</f>
        <v>12</v>
      </c>
      <c r="L5" s="124" t="n">
        <f aca="false">IF(K5,J5/K5,0)</f>
        <v>0.166666666666667</v>
      </c>
      <c r="M5" s="35" t="n">
        <f aca="false">IF(G5,J5/G5,0)</f>
        <v>2</v>
      </c>
      <c r="N5" s="35" t="n">
        <f aca="false">IF(H5,K5/H5,0)</f>
        <v>2</v>
      </c>
      <c r="O5" s="125" t="n">
        <f aca="false">(IFERROR(VLOOKUP(F5,$Q:$AE,15,FALSE()),0))/11</f>
        <v>0.181818181818182</v>
      </c>
      <c r="P5" s="8"/>
      <c r="Q5" s="129" t="s">
        <v>1151</v>
      </c>
      <c r="R5" s="105" t="n">
        <v>12</v>
      </c>
      <c r="S5" s="106"/>
      <c r="T5" s="106" t="n">
        <v>6</v>
      </c>
      <c r="U5" s="106" t="n">
        <v>10</v>
      </c>
      <c r="V5" s="106" t="n">
        <v>5</v>
      </c>
      <c r="W5" s="106" t="n">
        <v>0</v>
      </c>
      <c r="X5" s="106" t="n">
        <v>4</v>
      </c>
      <c r="Y5" s="106"/>
      <c r="Z5" s="106" t="n">
        <v>4</v>
      </c>
      <c r="AA5" s="106"/>
      <c r="AB5" s="107" t="n">
        <v>2</v>
      </c>
      <c r="AC5" s="108" t="n">
        <v>43</v>
      </c>
      <c r="AE5" s="159" t="n">
        <f aca="false">COUNT(R5:AC5)</f>
        <v>9</v>
      </c>
      <c r="AG5" s="45" t="n">
        <f aca="false">COUNTIF(H3:H14,AI5)-1</f>
        <v>-1</v>
      </c>
      <c r="AH5" s="46" t="str">
        <f aca="false">$F$37</f>
        <v>Sam</v>
      </c>
      <c r="AI5" s="40" t="e">
        <f aca="false">maxine(H3:H14)</f>
        <v>#NAME?</v>
      </c>
      <c r="AJ5" s="41" t="s">
        <v>1922</v>
      </c>
      <c r="AK5" s="40" t="e">
        <f aca="false">maxine(H17:H20)</f>
        <v>#NAME?</v>
      </c>
      <c r="AL5" s="48" t="str">
        <f aca="false">$F$77</f>
        <v>Leads</v>
      </c>
      <c r="AM5" s="45" t="n">
        <f aca="false">COUNTIF(H17:H20,AK5)-1</f>
        <v>-1</v>
      </c>
    </row>
    <row r="6" customFormat="false" ht="14.25" hidden="false" customHeight="true" outlineLevel="0" collapsed="false">
      <c r="A6" s="94" t="s">
        <v>30</v>
      </c>
      <c r="B6" s="95" t="n">
        <v>2</v>
      </c>
      <c r="C6" s="96" t="s">
        <v>43</v>
      </c>
      <c r="D6" s="17" t="s">
        <v>1933</v>
      </c>
      <c r="E6" s="156"/>
      <c r="F6" s="33" t="s">
        <v>40</v>
      </c>
      <c r="G6" s="34" t="n">
        <f aca="false">COUNTIF($A:$A,F6)</f>
        <v>2</v>
      </c>
      <c r="H6" s="34" t="n">
        <f aca="false">COUNTIF($C:$C,F6)</f>
        <v>8</v>
      </c>
      <c r="I6" s="35" t="n">
        <f aca="false">IF(H6,G6/H6,0)</f>
        <v>0.25</v>
      </c>
      <c r="J6" s="34" t="n">
        <f aca="false">IFERROR(GETPIVOTDATA("Points",$Q$2,"Sniper",F6),0)</f>
        <v>3</v>
      </c>
      <c r="K6" s="34" t="n">
        <f aca="false">IFERROR(GETPIVOTDATA("Points",$Q$2,"Snipee",F6),0)</f>
        <v>10</v>
      </c>
      <c r="L6" s="124" t="n">
        <f aca="false">IF(K6,J6/K6,0)</f>
        <v>0.3</v>
      </c>
      <c r="M6" s="35" t="n">
        <f aca="false">IF(G6,J6/G6,0)</f>
        <v>1.5</v>
      </c>
      <c r="N6" s="35" t="n">
        <f aca="false">IF(H6,K6/H6,0)</f>
        <v>1.25</v>
      </c>
      <c r="O6" s="125" t="n">
        <f aca="false">(IFERROR(VLOOKUP(F6,$Q:$AE,15,FALSE()),0))/11</f>
        <v>0.272727272727273</v>
      </c>
      <c r="P6" s="8"/>
      <c r="Q6" s="129" t="s">
        <v>11</v>
      </c>
      <c r="R6" s="105" t="n">
        <v>5</v>
      </c>
      <c r="S6" s="106" t="n">
        <v>4</v>
      </c>
      <c r="T6" s="106" t="n">
        <v>2</v>
      </c>
      <c r="U6" s="106" t="n">
        <v>1</v>
      </c>
      <c r="V6" s="106" t="n">
        <v>3</v>
      </c>
      <c r="W6" s="106" t="n">
        <v>3</v>
      </c>
      <c r="X6" s="106" t="n">
        <v>4</v>
      </c>
      <c r="Y6" s="106" t="n">
        <v>2</v>
      </c>
      <c r="Z6" s="106"/>
      <c r="AA6" s="106" t="n">
        <v>2</v>
      </c>
      <c r="AB6" s="107" t="n">
        <v>2</v>
      </c>
      <c r="AC6" s="108" t="n">
        <v>28</v>
      </c>
      <c r="AE6" s="159" t="n">
        <f aca="false">COUNT(R6:AC6)</f>
        <v>11</v>
      </c>
      <c r="AG6" s="45" t="n">
        <f aca="false">COUNTIF(J3:J14,AI6)-1</f>
        <v>-1</v>
      </c>
      <c r="AH6" s="46" t="str">
        <f aca="false">$P$23</f>
        <v>Sam</v>
      </c>
      <c r="AI6" s="40" t="e">
        <f aca="false">maxine(J3:J14)</f>
        <v>#NAME?</v>
      </c>
      <c r="AJ6" s="41" t="s">
        <v>1923</v>
      </c>
      <c r="AK6" s="40" t="e">
        <f aca="false">maxine(J17:J20)</f>
        <v>#NAME?</v>
      </c>
      <c r="AL6" s="48" t="str">
        <f aca="false">$P$68</f>
        <v>Leads</v>
      </c>
      <c r="AM6" s="45" t="n">
        <f aca="false">COUNTIF(J17:J20,AK6)-1</f>
        <v>-1</v>
      </c>
    </row>
    <row r="7" customFormat="false" ht="14.25" hidden="false" customHeight="true" outlineLevel="0" collapsed="false">
      <c r="A7" s="94" t="s">
        <v>1447</v>
      </c>
      <c r="B7" s="95" t="n">
        <v>1</v>
      </c>
      <c r="C7" s="96" t="s">
        <v>40</v>
      </c>
      <c r="D7" s="17" t="s">
        <v>1934</v>
      </c>
      <c r="E7" s="156"/>
      <c r="F7" s="33" t="s">
        <v>41</v>
      </c>
      <c r="G7" s="34" t="n">
        <f aca="false">COUNTIF($A:$A,F7)</f>
        <v>24</v>
      </c>
      <c r="H7" s="34" t="n">
        <f aca="false">COUNTIF($C:$C,F7)</f>
        <v>11</v>
      </c>
      <c r="I7" s="35" t="n">
        <f aca="false">IF(H7,G7/H7,0)</f>
        <v>2.18181818181818</v>
      </c>
      <c r="J7" s="34" t="n">
        <f aca="false">IFERROR(GETPIVOTDATA("Points",$Q$2,"Sniper",F7),0)</f>
        <v>0</v>
      </c>
      <c r="K7" s="34" t="n">
        <f aca="false">IFERROR(GETPIVOTDATA("Points",$Q$2,"Snipee",F7),0)</f>
        <v>0</v>
      </c>
      <c r="L7" s="124" t="n">
        <f aca="false">IF(K7,J7/K7,0)</f>
        <v>0</v>
      </c>
      <c r="M7" s="35" t="n">
        <f aca="false">IF(G7,J7/G7,0)</f>
        <v>0</v>
      </c>
      <c r="N7" s="35" t="n">
        <f aca="false">IF(H7,K7/H7,0)</f>
        <v>0</v>
      </c>
      <c r="O7" s="125" t="n">
        <f aca="false">(IFERROR(VLOOKUP(F7,$Q:$AE,15,FALSE()),0))/11</f>
        <v>0</v>
      </c>
      <c r="P7" s="8"/>
      <c r="Q7" s="129" t="s">
        <v>30</v>
      </c>
      <c r="R7" s="105"/>
      <c r="S7" s="106" t="n">
        <v>8</v>
      </c>
      <c r="T7" s="106" t="n">
        <v>10</v>
      </c>
      <c r="U7" s="106" t="n">
        <v>4</v>
      </c>
      <c r="V7" s="106" t="n">
        <v>2</v>
      </c>
      <c r="W7" s="106"/>
      <c r="X7" s="106"/>
      <c r="Y7" s="106"/>
      <c r="Z7" s="106" t="n">
        <v>2</v>
      </c>
      <c r="AA7" s="106"/>
      <c r="AB7" s="107"/>
      <c r="AC7" s="108" t="n">
        <v>26</v>
      </c>
      <c r="AE7" s="159" t="n">
        <f aca="false">COUNT(R7:AC7)</f>
        <v>6</v>
      </c>
      <c r="AG7" s="45" t="n">
        <f aca="false">COUNTIF(K3:K14,AI7)-1</f>
        <v>-1</v>
      </c>
      <c r="AH7" s="46" t="str">
        <f aca="false">$P$37</f>
        <v>Carter</v>
      </c>
      <c r="AI7" s="40" t="e">
        <f aca="false">maxine(K3:K14)</f>
        <v>#NAME?</v>
      </c>
      <c r="AJ7" s="41" t="s">
        <v>1924</v>
      </c>
      <c r="AK7" s="40" t="e">
        <f aca="false">maxine(K17:K20)</f>
        <v>#NAME?</v>
      </c>
      <c r="AL7" s="48" t="str">
        <f aca="false">$P$77</f>
        <v>Tenors</v>
      </c>
      <c r="AM7" s="45" t="n">
        <f aca="false">COUNTIF(K17:K20,AK7)-1</f>
        <v>-1</v>
      </c>
    </row>
    <row r="8" customFormat="false" ht="14.25" hidden="false" customHeight="true" outlineLevel="0" collapsed="false">
      <c r="A8" s="94" t="s">
        <v>30</v>
      </c>
      <c r="B8" s="95" t="n">
        <v>2</v>
      </c>
      <c r="C8" s="96" t="s">
        <v>1151</v>
      </c>
      <c r="D8" s="17" t="s">
        <v>1935</v>
      </c>
      <c r="E8" s="156"/>
      <c r="F8" s="33" t="s">
        <v>1151</v>
      </c>
      <c r="G8" s="34" t="n">
        <f aca="false">COUNTIF($A:$A,F8)</f>
        <v>31</v>
      </c>
      <c r="H8" s="34" t="n">
        <f aca="false">COUNTIF($C:$C,F8)</f>
        <v>23</v>
      </c>
      <c r="I8" s="35" t="n">
        <f aca="false">IF(H8,G8/H8,0)</f>
        <v>1.34782608695652</v>
      </c>
      <c r="J8" s="34" t="n">
        <f aca="false">IFERROR(GETPIVOTDATA("Points",$Q$2,"Sniper",F8),0)</f>
        <v>43</v>
      </c>
      <c r="K8" s="34" t="n">
        <f aca="false">IFERROR(GETPIVOTDATA("Points",$Q$2,"Snipee",F8),0)</f>
        <v>30</v>
      </c>
      <c r="L8" s="124" t="n">
        <f aca="false">IF(K8,J8/K8,0)</f>
        <v>1.43333333333333</v>
      </c>
      <c r="M8" s="35" t="n">
        <f aca="false">IF(G8,J8/G8,0)</f>
        <v>1.38709677419355</v>
      </c>
      <c r="N8" s="35" t="n">
        <f aca="false">IF(H8,K8/H8,0)</f>
        <v>1.30434782608696</v>
      </c>
      <c r="O8" s="125" t="n">
        <f aca="false">(IFERROR(VLOOKUP(F8,$Q:$AE,15,FALSE()),0))/11</f>
        <v>0.818181818181818</v>
      </c>
      <c r="P8" s="8"/>
      <c r="Q8" s="129" t="s">
        <v>1443</v>
      </c>
      <c r="R8" s="105" t="n">
        <v>2</v>
      </c>
      <c r="S8" s="106" t="n">
        <v>4</v>
      </c>
      <c r="T8" s="106" t="n">
        <v>2</v>
      </c>
      <c r="U8" s="106" t="n">
        <v>2</v>
      </c>
      <c r="V8" s="106"/>
      <c r="W8" s="106" t="n">
        <v>4</v>
      </c>
      <c r="X8" s="106"/>
      <c r="Y8" s="106" t="n">
        <v>2</v>
      </c>
      <c r="Z8" s="106" t="n">
        <v>3</v>
      </c>
      <c r="AA8" s="106" t="n">
        <v>1</v>
      </c>
      <c r="AB8" s="107"/>
      <c r="AC8" s="108" t="n">
        <v>20</v>
      </c>
      <c r="AE8" s="159" t="n">
        <f aca="false">COUNT(R8:AC8)</f>
        <v>9</v>
      </c>
      <c r="AG8" s="45" t="n">
        <f aca="false">COUNTIF(I3:I14,AI8)-1</f>
        <v>-1</v>
      </c>
      <c r="AH8" s="51" t="str">
        <f aca="false">$F$51</f>
        <v>Peter</v>
      </c>
      <c r="AI8" s="47" t="e">
        <f aca="false">maxine(I3:I14)</f>
        <v>#NAME?</v>
      </c>
      <c r="AJ8" s="41" t="s">
        <v>1925</v>
      </c>
      <c r="AK8" s="47" t="e">
        <f aca="false">maxine(I17:I20)</f>
        <v>#NAME?</v>
      </c>
      <c r="AL8" s="48" t="str">
        <f aca="false">$F$86</f>
        <v>Leads</v>
      </c>
      <c r="AM8" s="45" t="n">
        <f aca="false">COUNTIF(I17:I20,AK8)-1</f>
        <v>-1</v>
      </c>
    </row>
    <row r="9" customFormat="false" ht="14.25" hidden="false" customHeight="true" outlineLevel="0" collapsed="false">
      <c r="A9" s="94" t="s">
        <v>41</v>
      </c>
      <c r="B9" s="95" t="n">
        <v>2</v>
      </c>
      <c r="C9" s="96" t="s">
        <v>1447</v>
      </c>
      <c r="D9" s="17" t="s">
        <v>1936</v>
      </c>
      <c r="E9" s="156"/>
      <c r="F9" s="33" t="s">
        <v>1154</v>
      </c>
      <c r="G9" s="34" t="n">
        <f aca="false">COUNTIF($A:$A,F9)</f>
        <v>1</v>
      </c>
      <c r="H9" s="34" t="n">
        <f aca="false">COUNTIF($C:$C,F9)</f>
        <v>7</v>
      </c>
      <c r="I9" s="35" t="n">
        <f aca="false">IF(H9,G9/H9,0)</f>
        <v>0.142857142857143</v>
      </c>
      <c r="J9" s="34" t="n">
        <f aca="false">IFERROR(GETPIVOTDATA("Points",$Q$2,"Sniper",F9),0)</f>
        <v>2</v>
      </c>
      <c r="K9" s="34" t="n">
        <f aca="false">IFERROR(GETPIVOTDATA("Points",$Q$2,"Snipee",F9),0)</f>
        <v>10</v>
      </c>
      <c r="L9" s="124" t="n">
        <f aca="false">IF(K9,J9/K9,0)</f>
        <v>0.2</v>
      </c>
      <c r="M9" s="35" t="n">
        <f aca="false">IF(G9,J9/G9,0)</f>
        <v>2</v>
      </c>
      <c r="N9" s="35" t="n">
        <f aca="false">IF(H9,K9/H9,0)</f>
        <v>1.42857142857143</v>
      </c>
      <c r="O9" s="125" t="n">
        <f aca="false">(IFERROR(VLOOKUP(F9,$Q:$AE,15,FALSE()),0))/11</f>
        <v>0.181818181818182</v>
      </c>
      <c r="P9" s="8"/>
      <c r="Q9" s="129" t="s">
        <v>43</v>
      </c>
      <c r="R9" s="105" t="n">
        <v>7</v>
      </c>
      <c r="S9" s="106" t="n">
        <v>5</v>
      </c>
      <c r="T9" s="106"/>
      <c r="U9" s="106" t="n">
        <v>1</v>
      </c>
      <c r="V9" s="106" t="n">
        <v>1</v>
      </c>
      <c r="W9" s="106" t="n">
        <v>2</v>
      </c>
      <c r="X9" s="106"/>
      <c r="Y9" s="106"/>
      <c r="Z9" s="106"/>
      <c r="AA9" s="106" t="n">
        <v>1</v>
      </c>
      <c r="AB9" s="107"/>
      <c r="AC9" s="108" t="n">
        <v>17</v>
      </c>
      <c r="AE9" s="159" t="n">
        <f aca="false">COUNT(R9:AC9)</f>
        <v>7</v>
      </c>
      <c r="AG9" s="45" t="n">
        <f aca="false">COUNTIF(I3:I14,AI9)-1</f>
        <v>0</v>
      </c>
      <c r="AH9" s="51" t="s">
        <v>42</v>
      </c>
      <c r="AI9" s="47" t="n">
        <f aca="false">MIN(I3:I14)</f>
        <v>0</v>
      </c>
      <c r="AJ9" s="41" t="s">
        <v>1937</v>
      </c>
      <c r="AK9" s="47" t="n">
        <f aca="false">MIN(I17:I20)</f>
        <v>0.487179487179487</v>
      </c>
      <c r="AL9" s="48" t="str">
        <f aca="false">$F$83</f>
        <v>Tenors</v>
      </c>
      <c r="AM9" s="45" t="n">
        <f aca="false">COUNTIF(I17:I20,AK9)-1</f>
        <v>0</v>
      </c>
    </row>
    <row r="10" customFormat="false" ht="14.25" hidden="false" customHeight="true" outlineLevel="0" collapsed="false">
      <c r="A10" s="94" t="s">
        <v>11</v>
      </c>
      <c r="B10" s="95" t="n">
        <v>1</v>
      </c>
      <c r="C10" s="96" t="s">
        <v>1447</v>
      </c>
      <c r="D10" s="17" t="s">
        <v>1938</v>
      </c>
      <c r="E10" s="156"/>
      <c r="F10" s="33" t="s">
        <v>33</v>
      </c>
      <c r="G10" s="34" t="n">
        <f aca="false">COUNTIF($A:$A,F10)</f>
        <v>4</v>
      </c>
      <c r="H10" s="34" t="n">
        <f aca="false">COUNTIF($C:$C,F10)</f>
        <v>7</v>
      </c>
      <c r="I10" s="35" t="n">
        <f aca="false">IF(H10,G10/H10,0)</f>
        <v>0.571428571428571</v>
      </c>
      <c r="J10" s="34" t="n">
        <f aca="false">IFERROR(GETPIVOTDATA("Points",$Q$2,"Sniper",F10),0)</f>
        <v>6</v>
      </c>
      <c r="K10" s="34" t="n">
        <f aca="false">IFERROR(GETPIVOTDATA("Points",$Q$2,"Snipee",F10),0)</f>
        <v>12</v>
      </c>
      <c r="L10" s="124" t="n">
        <f aca="false">IF(K10,J10/K10,0)</f>
        <v>0.5</v>
      </c>
      <c r="M10" s="35" t="n">
        <f aca="false">IF(G10,J10/G10,0)</f>
        <v>1.5</v>
      </c>
      <c r="N10" s="35" t="n">
        <f aca="false">IF(H10,K10/H10,0)</f>
        <v>1.71428571428571</v>
      </c>
      <c r="O10" s="125" t="n">
        <f aca="false">(IFERROR(VLOOKUP(F10,$Q:$AE,15,FALSE()),0))/11</f>
        <v>0.454545454545455</v>
      </c>
      <c r="P10" s="8"/>
      <c r="Q10" s="129" t="s">
        <v>33</v>
      </c>
      <c r="R10" s="105"/>
      <c r="S10" s="106" t="n">
        <v>1</v>
      </c>
      <c r="T10" s="106"/>
      <c r="U10" s="106" t="n">
        <v>2</v>
      </c>
      <c r="V10" s="106"/>
      <c r="W10" s="106"/>
      <c r="X10" s="106"/>
      <c r="Y10" s="106" t="n">
        <v>2</v>
      </c>
      <c r="Z10" s="106"/>
      <c r="AA10" s="106" t="n">
        <v>1</v>
      </c>
      <c r="AB10" s="107"/>
      <c r="AC10" s="108" t="n">
        <v>6</v>
      </c>
      <c r="AE10" s="159" t="n">
        <f aca="false">COUNT(R10:AC10)</f>
        <v>5</v>
      </c>
      <c r="AG10" s="45" t="n">
        <f aca="false">COUNTIF(L3:L14,AI10)-1</f>
        <v>-1</v>
      </c>
      <c r="AH10" s="51" t="str">
        <f aca="false">$P$51</f>
        <v>Maxine</v>
      </c>
      <c r="AI10" s="47" t="e">
        <f aca="false">maxine(L3:L14)</f>
        <v>#NAME?</v>
      </c>
      <c r="AJ10" s="41" t="s">
        <v>1926</v>
      </c>
      <c r="AK10" s="47" t="e">
        <f aca="false">maxine(L17:L20)</f>
        <v>#NAME?</v>
      </c>
      <c r="AL10" s="48" t="str">
        <f aca="false">$P$86</f>
        <v>Leads</v>
      </c>
      <c r="AM10" s="45" t="n">
        <f aca="false">COUNTIF(L17:L20,AK10)-1</f>
        <v>-1</v>
      </c>
    </row>
    <row r="11" customFormat="false" ht="14.25" hidden="false" customHeight="true" outlineLevel="0" collapsed="false">
      <c r="A11" s="94" t="s">
        <v>1447</v>
      </c>
      <c r="B11" s="95" t="n">
        <v>2</v>
      </c>
      <c r="C11" s="96" t="s">
        <v>30</v>
      </c>
      <c r="D11" s="17" t="s">
        <v>1939</v>
      </c>
      <c r="E11" s="156"/>
      <c r="F11" s="33" t="s">
        <v>1447</v>
      </c>
      <c r="G11" s="34" t="n">
        <f aca="false">COUNTIF($A:$A,F11)</f>
        <v>31</v>
      </c>
      <c r="H11" s="34" t="n">
        <f aca="false">COUNTIF($C:$C,F11)</f>
        <v>24</v>
      </c>
      <c r="I11" s="35" t="n">
        <f aca="false">IF(H11,G11/H11,0)</f>
        <v>1.29166666666667</v>
      </c>
      <c r="J11" s="34" t="n">
        <f aca="false">IFERROR(GETPIVOTDATA("Points",$Q$2,"Sniper",F11),0)</f>
        <v>47</v>
      </c>
      <c r="K11" s="34" t="n">
        <f aca="false">IFERROR(GETPIVOTDATA("Points",$Q$2,"Snipee",F11),0)</f>
        <v>20</v>
      </c>
      <c r="L11" s="124" t="n">
        <f aca="false">IF(K11,J11/K11,0)</f>
        <v>2.35</v>
      </c>
      <c r="M11" s="35" t="n">
        <f aca="false">IF(G11,J11/G11,0)</f>
        <v>1.51612903225806</v>
      </c>
      <c r="N11" s="35" t="n">
        <f aca="false">IF(H11,K11/H11,0)</f>
        <v>0.833333333333333</v>
      </c>
      <c r="O11" s="125" t="n">
        <f aca="false">(IFERROR(VLOOKUP(F11,$Q:$AE,15,FALSE()),0))/11</f>
        <v>1</v>
      </c>
      <c r="P11" s="8"/>
      <c r="Q11" s="129" t="s">
        <v>40</v>
      </c>
      <c r="R11" s="105"/>
      <c r="S11" s="106"/>
      <c r="T11" s="106"/>
      <c r="U11" s="106"/>
      <c r="V11" s="106" t="n">
        <v>1</v>
      </c>
      <c r="W11" s="106"/>
      <c r="X11" s="106" t="n">
        <v>2</v>
      </c>
      <c r="Y11" s="106"/>
      <c r="Z11" s="106"/>
      <c r="AA11" s="106"/>
      <c r="AB11" s="107"/>
      <c r="AC11" s="108" t="n">
        <v>3</v>
      </c>
      <c r="AE11" s="159" t="n">
        <f aca="false">COUNT(R11:AC11)</f>
        <v>3</v>
      </c>
      <c r="AG11" s="45" t="n">
        <f aca="false">COUNTIF(L3:L14,AI11)-1</f>
        <v>1</v>
      </c>
      <c r="AH11" s="51" t="s">
        <v>42</v>
      </c>
      <c r="AI11" s="47" t="n">
        <f aca="false">MIN(L3:L14)</f>
        <v>0</v>
      </c>
      <c r="AJ11" s="41" t="s">
        <v>1940</v>
      </c>
      <c r="AK11" s="47" t="n">
        <f aca="false">MIN(L17:L20)</f>
        <v>0.459016393442623</v>
      </c>
      <c r="AL11" s="48" t="str">
        <f aca="false">$P$83</f>
        <v>Tenors</v>
      </c>
      <c r="AM11" s="45" t="n">
        <f aca="false">COUNTIF(L17:L20,AK11)-1</f>
        <v>0</v>
      </c>
    </row>
    <row r="12" customFormat="false" ht="14.25" hidden="false" customHeight="true" outlineLevel="0" collapsed="false">
      <c r="A12" s="94" t="s">
        <v>1151</v>
      </c>
      <c r="B12" s="95" t="n">
        <v>2</v>
      </c>
      <c r="C12" s="96" t="s">
        <v>30</v>
      </c>
      <c r="D12" s="17" t="s">
        <v>1941</v>
      </c>
      <c r="E12" s="156"/>
      <c r="F12" s="33" t="s">
        <v>43</v>
      </c>
      <c r="G12" s="34" t="n">
        <f aca="false">COUNTIF($A:$A,F12)</f>
        <v>12</v>
      </c>
      <c r="H12" s="34" t="n">
        <f aca="false">COUNTIF($C:$C,F12)</f>
        <v>14</v>
      </c>
      <c r="I12" s="35" t="n">
        <f aca="false">IF(H12,G12/H12,0)</f>
        <v>0.857142857142857</v>
      </c>
      <c r="J12" s="34" t="n">
        <f aca="false">IFERROR(GETPIVOTDATA("Points",$Q$2,"Sniper",F12),0)</f>
        <v>17</v>
      </c>
      <c r="K12" s="34" t="n">
        <f aca="false">IFERROR(GETPIVOTDATA("Points",$Q$2,"Snipee",F12),0)</f>
        <v>21</v>
      </c>
      <c r="L12" s="124" t="n">
        <f aca="false">IF(K12,J12/K12,0)</f>
        <v>0.80952380952381</v>
      </c>
      <c r="M12" s="35" t="n">
        <f aca="false">IF(G12,J12/G12,0)</f>
        <v>1.41666666666667</v>
      </c>
      <c r="N12" s="35" t="n">
        <f aca="false">IF(H12,K12/H12,0)</f>
        <v>1.5</v>
      </c>
      <c r="O12" s="125" t="n">
        <f aca="false">(IFERROR(VLOOKUP(F12,$Q:$AE,15,FALSE()),0))/11</f>
        <v>0.636363636363636</v>
      </c>
      <c r="P12" s="8"/>
      <c r="Q12" s="129" t="s">
        <v>1919</v>
      </c>
      <c r="R12" s="105"/>
      <c r="S12" s="106"/>
      <c r="T12" s="106"/>
      <c r="U12" s="106"/>
      <c r="V12" s="106"/>
      <c r="W12" s="106"/>
      <c r="X12" s="106"/>
      <c r="Y12" s="106"/>
      <c r="Z12" s="106"/>
      <c r="AA12" s="106"/>
      <c r="AB12" s="107" t="n">
        <v>2</v>
      </c>
      <c r="AC12" s="108" t="n">
        <v>2</v>
      </c>
      <c r="AE12" s="159" t="n">
        <f aca="false">COUNT(R12:AC12)</f>
        <v>2</v>
      </c>
      <c r="AF12" s="72"/>
    </row>
    <row r="13" customFormat="false" ht="14.25" hidden="false" customHeight="true" outlineLevel="0" collapsed="false">
      <c r="A13" s="94" t="s">
        <v>1447</v>
      </c>
      <c r="B13" s="95" t="n">
        <v>2</v>
      </c>
      <c r="C13" s="96" t="s">
        <v>40</v>
      </c>
      <c r="D13" s="17" t="s">
        <v>1942</v>
      </c>
      <c r="E13" s="156"/>
      <c r="F13" s="33" t="s">
        <v>11</v>
      </c>
      <c r="G13" s="34" t="n">
        <f aca="false">COUNTIF($A:$A,F13)</f>
        <v>20</v>
      </c>
      <c r="H13" s="34" t="n">
        <f aca="false">COUNTIF($C:$C,F13)</f>
        <v>9</v>
      </c>
      <c r="I13" s="35" t="n">
        <f aca="false">IF(H13,G13/H13,0)</f>
        <v>2.22222222222222</v>
      </c>
      <c r="J13" s="34" t="n">
        <f aca="false">IFERROR(GETPIVOTDATA("Points",$Q$2,"Sniper",F13),0)</f>
        <v>28</v>
      </c>
      <c r="K13" s="34" t="n">
        <f aca="false">IFERROR(GETPIVOTDATA("Points",$Q$2,"Snipee",F13),0)</f>
        <v>11</v>
      </c>
      <c r="L13" s="124" t="n">
        <f aca="false">IF(K13,J13/K13,0)</f>
        <v>2.54545454545455</v>
      </c>
      <c r="M13" s="35" t="n">
        <f aca="false">IF(G13,J13/G13,0)</f>
        <v>1.4</v>
      </c>
      <c r="N13" s="35" t="n">
        <f aca="false">IF(H13,K13/H13,0)</f>
        <v>1.22222222222222</v>
      </c>
      <c r="O13" s="125" t="n">
        <f aca="false">(IFERROR(VLOOKUP(F13,$Q:$AE,15,FALSE()),0))/11</f>
        <v>1</v>
      </c>
      <c r="P13" s="8"/>
      <c r="Q13" s="129" t="s">
        <v>1154</v>
      </c>
      <c r="R13" s="109"/>
      <c r="S13" s="110"/>
      <c r="T13" s="110"/>
      <c r="U13" s="110"/>
      <c r="V13" s="110"/>
      <c r="W13" s="110"/>
      <c r="X13" s="110"/>
      <c r="Y13" s="110"/>
      <c r="Z13" s="110"/>
      <c r="AA13" s="110" t="n">
        <v>2</v>
      </c>
      <c r="AB13" s="111"/>
      <c r="AC13" s="112" t="n">
        <v>2</v>
      </c>
      <c r="AE13" s="159" t="n">
        <f aca="false">COUNT(R13:AC13)</f>
        <v>2</v>
      </c>
      <c r="AF13" s="72"/>
    </row>
    <row r="14" customFormat="false" ht="14.25" hidden="false" customHeight="true" outlineLevel="0" collapsed="false">
      <c r="A14" s="94" t="s">
        <v>1443</v>
      </c>
      <c r="B14" s="95" t="n">
        <v>2</v>
      </c>
      <c r="C14" s="96" t="s">
        <v>30</v>
      </c>
      <c r="D14" s="17" t="s">
        <v>1943</v>
      </c>
      <c r="E14" s="156"/>
      <c r="F14" s="137" t="s">
        <v>1443</v>
      </c>
      <c r="G14" s="34" t="n">
        <f aca="false">COUNTIF($A:$A,F14)</f>
        <v>13</v>
      </c>
      <c r="H14" s="34" t="n">
        <f aca="false">COUNTIF($C:$C,F14)</f>
        <v>15</v>
      </c>
      <c r="I14" s="35" t="n">
        <f aca="false">IF(H14,G14/H14,0)</f>
        <v>0.866666666666667</v>
      </c>
      <c r="J14" s="34" t="n">
        <f aca="false">IFERROR(GETPIVOTDATA("Points",$Q$2,"Sniper",F14),0)</f>
        <v>20</v>
      </c>
      <c r="K14" s="34" t="n">
        <f aca="false">IFERROR(GETPIVOTDATA("Points",$Q$2,"Snipee",F14),0)</f>
        <v>19</v>
      </c>
      <c r="L14" s="124" t="n">
        <f aca="false">IF(K14,J14/K14,0)</f>
        <v>1.05263157894737</v>
      </c>
      <c r="M14" s="35" t="n">
        <f aca="false">IF(G14,J14/G14,0)</f>
        <v>1.53846153846154</v>
      </c>
      <c r="N14" s="35" t="n">
        <f aca="false">IF(H14,K14/H14,0)</f>
        <v>1.26666666666667</v>
      </c>
      <c r="O14" s="125" t="n">
        <f aca="false">(IFERROR(VLOOKUP(F14,$Q:$AE,15,FALSE()),0))/11</f>
        <v>0.818181818181818</v>
      </c>
      <c r="P14" s="8"/>
      <c r="Q14" s="63" t="s">
        <v>44</v>
      </c>
      <c r="R14" s="113" t="n">
        <v>36</v>
      </c>
      <c r="S14" s="114" t="n">
        <v>30</v>
      </c>
      <c r="T14" s="114" t="n">
        <v>21</v>
      </c>
      <c r="U14" s="114" t="n">
        <v>20</v>
      </c>
      <c r="V14" s="114" t="n">
        <v>19</v>
      </c>
      <c r="W14" s="114" t="n">
        <v>13</v>
      </c>
      <c r="X14" s="114" t="n">
        <v>12</v>
      </c>
      <c r="Y14" s="114" t="n">
        <v>12</v>
      </c>
      <c r="Z14" s="114" t="n">
        <v>11</v>
      </c>
      <c r="AA14" s="114" t="n">
        <v>10</v>
      </c>
      <c r="AB14" s="115" t="n">
        <v>10</v>
      </c>
      <c r="AC14" s="65" t="n">
        <v>194</v>
      </c>
      <c r="AE14" s="159" t="n">
        <f aca="false">COUNT(R14:AC14)</f>
        <v>12</v>
      </c>
      <c r="AF14" s="72"/>
    </row>
    <row r="15" customFormat="false" ht="14.25" hidden="false" customHeight="true" outlineLevel="0" collapsed="false">
      <c r="A15" s="94" t="s">
        <v>11</v>
      </c>
      <c r="B15" s="95" t="n">
        <v>1</v>
      </c>
      <c r="C15" s="96" t="s">
        <v>42</v>
      </c>
      <c r="D15" s="17" t="s">
        <v>1944</v>
      </c>
      <c r="E15" s="156"/>
      <c r="F15" s="7" t="s">
        <v>1927</v>
      </c>
      <c r="G15" s="7"/>
      <c r="H15" s="7"/>
      <c r="I15" s="7"/>
      <c r="J15" s="7"/>
      <c r="K15" s="7"/>
      <c r="L15" s="7"/>
      <c r="M15" s="7"/>
      <c r="N15" s="7"/>
      <c r="P15" s="8"/>
      <c r="AE15" s="41"/>
      <c r="AF15" s="138"/>
    </row>
    <row r="16" customFormat="false" ht="14.25" hidden="false" customHeight="true" outlineLevel="0" collapsed="false">
      <c r="A16" s="94" t="s">
        <v>1443</v>
      </c>
      <c r="B16" s="95" t="n">
        <v>2</v>
      </c>
      <c r="C16" s="96" t="s">
        <v>1151</v>
      </c>
      <c r="D16" s="17" t="s">
        <v>1945</v>
      </c>
      <c r="E16" s="156"/>
      <c r="F16" s="52" t="s">
        <v>108</v>
      </c>
      <c r="G16" s="31" t="s">
        <v>16</v>
      </c>
      <c r="H16" s="31" t="s">
        <v>17</v>
      </c>
      <c r="I16" s="31" t="s">
        <v>18</v>
      </c>
      <c r="J16" s="31" t="s">
        <v>19</v>
      </c>
      <c r="K16" s="31" t="s">
        <v>20</v>
      </c>
      <c r="L16" s="31" t="s">
        <v>21</v>
      </c>
      <c r="M16" s="21" t="s">
        <v>22</v>
      </c>
      <c r="N16" s="31" t="s">
        <v>23</v>
      </c>
      <c r="P16" s="58"/>
      <c r="AF16" s="72"/>
      <c r="AJ16" s="84"/>
    </row>
    <row r="17" customFormat="false" ht="14.25" hidden="false" customHeight="true" outlineLevel="0" collapsed="false">
      <c r="A17" s="94" t="s">
        <v>30</v>
      </c>
      <c r="B17" s="95" t="n">
        <v>2</v>
      </c>
      <c r="C17" s="96" t="s">
        <v>43</v>
      </c>
      <c r="D17" s="17" t="s">
        <v>1946</v>
      </c>
      <c r="E17" s="156"/>
      <c r="F17" s="33" t="s">
        <v>111</v>
      </c>
      <c r="G17" s="160" t="n">
        <f aca="false">SUM(G3:G5)</f>
        <v>19</v>
      </c>
      <c r="H17" s="161" t="n">
        <f aca="false">SUM(H3:H5)</f>
        <v>39</v>
      </c>
      <c r="I17" s="68" t="n">
        <f aca="false">IF(H17,G17/H17,0)</f>
        <v>0.487179487179487</v>
      </c>
      <c r="J17" s="160" t="n">
        <f aca="false">SUM(J3:J5)</f>
        <v>28</v>
      </c>
      <c r="K17" s="161" t="n">
        <f aca="false">SUM(K3:K5)</f>
        <v>61</v>
      </c>
      <c r="L17" s="68" t="n">
        <f aca="false">IF(K17,J17/K17,0)</f>
        <v>0.459016393442623</v>
      </c>
      <c r="M17" s="69" t="n">
        <f aca="false">IF(G17,J17/G17,0)</f>
        <v>1.47368421052632</v>
      </c>
      <c r="N17" s="70" t="n">
        <f aca="false">IF(H17,K17/H17,0)</f>
        <v>1.56410256410256</v>
      </c>
      <c r="R17" s="71"/>
      <c r="AD17" s="139" t="s">
        <v>194</v>
      </c>
      <c r="AE17" s="140" t="s">
        <v>16</v>
      </c>
      <c r="AF17" s="140" t="s">
        <v>17</v>
      </c>
      <c r="AG17" s="140" t="s">
        <v>18</v>
      </c>
      <c r="AH17" s="140" t="s">
        <v>19</v>
      </c>
      <c r="AI17" s="140" t="s">
        <v>20</v>
      </c>
      <c r="AJ17" s="140" t="s">
        <v>21</v>
      </c>
      <c r="AK17" s="140" t="s">
        <v>22</v>
      </c>
      <c r="AL17" s="140" t="s">
        <v>23</v>
      </c>
    </row>
    <row r="18" customFormat="false" ht="14.25" hidden="false" customHeight="true" outlineLevel="0" collapsed="false">
      <c r="A18" s="94" t="s">
        <v>1151</v>
      </c>
      <c r="B18" s="95" t="n">
        <v>2</v>
      </c>
      <c r="C18" s="96" t="s">
        <v>1154</v>
      </c>
      <c r="D18" s="17" t="s">
        <v>1947</v>
      </c>
      <c r="E18" s="156"/>
      <c r="F18" s="33" t="s">
        <v>114</v>
      </c>
      <c r="G18" s="144" t="n">
        <f aca="false">SUM(G6:G8)</f>
        <v>57</v>
      </c>
      <c r="H18" s="118" t="n">
        <f aca="false">SUM(H6:H8)</f>
        <v>42</v>
      </c>
      <c r="I18" s="68" t="n">
        <f aca="false">IF(H18,G18/H18,0)</f>
        <v>1.35714285714286</v>
      </c>
      <c r="J18" s="160" t="n">
        <f aca="false">SUM(J6:J8)</f>
        <v>46</v>
      </c>
      <c r="K18" s="161" t="n">
        <f aca="false">SUM(K6:K8)</f>
        <v>40</v>
      </c>
      <c r="L18" s="68" t="n">
        <f aca="false">IF(K18,J18/K18,0)</f>
        <v>1.15</v>
      </c>
      <c r="M18" s="69" t="n">
        <f aca="false">IF(G18,J18/G18,0)</f>
        <v>0.807017543859649</v>
      </c>
      <c r="N18" s="70" t="n">
        <f aca="false">IF(H18,K18/H18,0)</f>
        <v>0.952380952380952</v>
      </c>
      <c r="R18" s="71"/>
      <c r="AD18" s="141" t="s">
        <v>91</v>
      </c>
      <c r="AE18" s="55" t="n">
        <f aca="false">(20+18+16+4+5+6)/9</f>
        <v>7.66666666666667</v>
      </c>
      <c r="AF18" s="56" t="n">
        <f aca="false">-(9+5+6+7+8+9+10)/9</f>
        <v>-6</v>
      </c>
      <c r="AG18" s="56" t="n">
        <f aca="false">4*(3+15+6+14+9+10)/9</f>
        <v>25.3333333333333</v>
      </c>
      <c r="AH18" s="56" t="n">
        <f aca="false">(30+9+24+7+1)/9</f>
        <v>7.88888888888889</v>
      </c>
      <c r="AI18" s="56" t="n">
        <f aca="false">-(3+15+14+8+18)/9</f>
        <v>-6.44444444444445</v>
      </c>
      <c r="AJ18" s="56" t="n">
        <f aca="false">4*(10+18+8+12+6)/9</f>
        <v>24</v>
      </c>
      <c r="AK18" s="56" t="n">
        <f aca="false">5*(35+14)/9</f>
        <v>27.2222222222222</v>
      </c>
      <c r="AL18" s="56" t="n">
        <f aca="false">-5*(1+4+3+4+10+7+9)/9</f>
        <v>-21.1111111111111</v>
      </c>
      <c r="AM18" s="45" t="s">
        <v>92</v>
      </c>
      <c r="AN18" s="162" t="s">
        <v>1185</v>
      </c>
      <c r="AO18" s="162"/>
    </row>
    <row r="19" customFormat="false" ht="14.25" hidden="false" customHeight="true" outlineLevel="0" collapsed="false">
      <c r="A19" s="94" t="s">
        <v>41</v>
      </c>
      <c r="B19" s="95" t="n">
        <v>2</v>
      </c>
      <c r="C19" s="96" t="s">
        <v>1154</v>
      </c>
      <c r="D19" s="17" t="s">
        <v>1948</v>
      </c>
      <c r="E19" s="156"/>
      <c r="F19" s="33" t="s">
        <v>117</v>
      </c>
      <c r="G19" s="144" t="n">
        <f aca="false">SUM(G9:G11)</f>
        <v>36</v>
      </c>
      <c r="H19" s="118" t="n">
        <f aca="false">SUM(H9:H11)</f>
        <v>38</v>
      </c>
      <c r="I19" s="68" t="n">
        <f aca="false">IF(H19,G19/H19,0)</f>
        <v>0.947368421052632</v>
      </c>
      <c r="J19" s="160" t="n">
        <f aca="false">SUM(J9:J11)</f>
        <v>55</v>
      </c>
      <c r="K19" s="161" t="n">
        <f aca="false">SUM(K9:K11)</f>
        <v>42</v>
      </c>
      <c r="L19" s="68" t="n">
        <f aca="false">IF(K19,J19/K19,0)</f>
        <v>1.30952380952381</v>
      </c>
      <c r="M19" s="69" t="n">
        <f aca="false">IF(G19,J19/G19,0)</f>
        <v>1.52777777777778</v>
      </c>
      <c r="N19" s="70" t="n">
        <f aca="false">IF(H19,K19/H19,0)</f>
        <v>1.10526315789474</v>
      </c>
      <c r="P19" s="71"/>
      <c r="AD19" s="141" t="s">
        <v>30</v>
      </c>
      <c r="AE19" s="35" t="n">
        <f aca="false">G3*$AE$18</f>
        <v>138</v>
      </c>
      <c r="AF19" s="35" t="n">
        <f aca="false">H3*$AF$18</f>
        <v>-144</v>
      </c>
      <c r="AG19" s="35" t="n">
        <f aca="false">I3*$AG$18</f>
        <v>19</v>
      </c>
      <c r="AH19" s="35" t="n">
        <f aca="false">J3*$AH$18</f>
        <v>205.111111111111</v>
      </c>
      <c r="AI19" s="35" t="n">
        <f aca="false">K3*$AI$18</f>
        <v>-232</v>
      </c>
      <c r="AJ19" s="35" t="n">
        <f aca="false">L3*$AJ$18</f>
        <v>17.3333333333333</v>
      </c>
      <c r="AK19" s="35" t="n">
        <f aca="false">M3*$AK$18</f>
        <v>39.320987654321</v>
      </c>
      <c r="AL19" s="35" t="n">
        <f aca="false">N3*$AL$18</f>
        <v>-31.6666666666667</v>
      </c>
      <c r="AM19" s="77" t="n">
        <f aca="false">SUM(AE19:AL19)</f>
        <v>11.0987654320988</v>
      </c>
      <c r="AN19" s="162"/>
      <c r="AO19" s="162"/>
    </row>
    <row r="20" customFormat="false" ht="14.25" hidden="false" customHeight="true" outlineLevel="0" collapsed="false">
      <c r="A20" s="94" t="s">
        <v>1151</v>
      </c>
      <c r="B20" s="95" t="n">
        <v>1</v>
      </c>
      <c r="C20" s="96" t="s">
        <v>43</v>
      </c>
      <c r="D20" s="17" t="s">
        <v>1949</v>
      </c>
      <c r="E20" s="156"/>
      <c r="F20" s="33" t="s">
        <v>120</v>
      </c>
      <c r="G20" s="144" t="n">
        <f aca="false">SUM(G12:G14)</f>
        <v>45</v>
      </c>
      <c r="H20" s="118" t="n">
        <f aca="false">SUM(H12:H14)</f>
        <v>38</v>
      </c>
      <c r="I20" s="68" t="n">
        <f aca="false">IF(H20,G20/H20,0)</f>
        <v>1.18421052631579</v>
      </c>
      <c r="J20" s="160" t="n">
        <f aca="false">SUM(J12:J14)</f>
        <v>65</v>
      </c>
      <c r="K20" s="161" t="n">
        <f aca="false">SUM(K12:K14)</f>
        <v>51</v>
      </c>
      <c r="L20" s="68" t="n">
        <f aca="false">IF(K20,J20/K20,0)</f>
        <v>1.27450980392157</v>
      </c>
      <c r="M20" s="69" t="n">
        <f aca="false">IF(G20,J20/G20,0)</f>
        <v>1.44444444444444</v>
      </c>
      <c r="N20" s="70" t="n">
        <f aca="false">IF(H20,K20/H20,0)</f>
        <v>1.34210526315789</v>
      </c>
      <c r="P20" s="71"/>
      <c r="AD20" s="141" t="s">
        <v>42</v>
      </c>
      <c r="AE20" s="35" t="n">
        <f aca="false">G4*$AE$18</f>
        <v>0</v>
      </c>
      <c r="AF20" s="35" t="n">
        <f aca="false">H4*$AF$18</f>
        <v>-54</v>
      </c>
      <c r="AG20" s="35" t="n">
        <f aca="false">I4*$AG$18</f>
        <v>0</v>
      </c>
      <c r="AH20" s="35" t="n">
        <f aca="false">J4*$AH$18</f>
        <v>0</v>
      </c>
      <c r="AI20" s="35" t="n">
        <f aca="false">K4*$AI$18</f>
        <v>-83.7777777777778</v>
      </c>
      <c r="AJ20" s="35" t="n">
        <f aca="false">L4*$AJ$18</f>
        <v>0</v>
      </c>
      <c r="AK20" s="35" t="n">
        <f aca="false">M4*$AK$18</f>
        <v>0</v>
      </c>
      <c r="AL20" s="35" t="n">
        <f aca="false">N4*$AL$18</f>
        <v>-30.4938271604938</v>
      </c>
      <c r="AM20" s="77" t="n">
        <f aca="false">SUM(AE20:AL20)</f>
        <v>-168.271604938272</v>
      </c>
      <c r="AN20" s="162"/>
      <c r="AO20" s="162"/>
    </row>
    <row r="21" customFormat="false" ht="14.25" hidden="false" customHeight="true" outlineLevel="0" collapsed="false">
      <c r="A21" s="94" t="s">
        <v>1151</v>
      </c>
      <c r="B21" s="95" t="n">
        <v>1</v>
      </c>
      <c r="C21" s="96" t="s">
        <v>41</v>
      </c>
      <c r="D21" s="17" t="s">
        <v>1950</v>
      </c>
      <c r="E21" s="156"/>
      <c r="I21" s="72"/>
      <c r="J21" s="72"/>
      <c r="K21" s="72"/>
      <c r="L21" s="84"/>
      <c r="M21" s="84"/>
      <c r="N21" s="84"/>
      <c r="O21" s="84"/>
      <c r="P21" s="8"/>
      <c r="AD21" s="141" t="s">
        <v>1919</v>
      </c>
      <c r="AE21" s="35" t="n">
        <f aca="false">G5*$AE$18</f>
        <v>7.66666666666667</v>
      </c>
      <c r="AF21" s="35" t="n">
        <f aca="false">H5*$AF$18</f>
        <v>-36</v>
      </c>
      <c r="AG21" s="35" t="n">
        <f aca="false">I5*$AG$18</f>
        <v>4.22222222222222</v>
      </c>
      <c r="AH21" s="35" t="n">
        <f aca="false">J5*$AH$18</f>
        <v>15.7777777777778</v>
      </c>
      <c r="AI21" s="35" t="n">
        <f aca="false">K5*$AI$18</f>
        <v>-77.3333333333333</v>
      </c>
      <c r="AJ21" s="35" t="n">
        <f aca="false">L5*$AJ$18</f>
        <v>4</v>
      </c>
      <c r="AK21" s="35" t="n">
        <f aca="false">M5*$AK$18</f>
        <v>54.4444444444444</v>
      </c>
      <c r="AL21" s="35" t="n">
        <f aca="false">N5*$AL$18</f>
        <v>-42.2222222222222</v>
      </c>
      <c r="AM21" s="77" t="n">
        <f aca="false">SUM(AE21:AL21)</f>
        <v>-69.4444444444445</v>
      </c>
      <c r="AN21" s="162"/>
      <c r="AO21" s="162"/>
    </row>
    <row r="22" customFormat="false" ht="14.25" hidden="false" customHeight="true" outlineLevel="0" collapsed="false">
      <c r="A22" s="94" t="s">
        <v>1151</v>
      </c>
      <c r="B22" s="95" t="n">
        <v>1</v>
      </c>
      <c r="C22" s="96" t="s">
        <v>1447</v>
      </c>
      <c r="D22" s="17" t="s">
        <v>1950</v>
      </c>
      <c r="E22" s="156"/>
      <c r="F22" s="141" t="s">
        <v>88</v>
      </c>
      <c r="G22" s="41" t="s">
        <v>16</v>
      </c>
      <c r="I22" s="72"/>
      <c r="J22" s="72"/>
      <c r="K22" s="72"/>
      <c r="L22" s="84"/>
      <c r="M22" s="84"/>
      <c r="N22" s="84"/>
      <c r="P22" s="141" t="s">
        <v>88</v>
      </c>
      <c r="Q22" s="41" t="s">
        <v>19</v>
      </c>
      <c r="AD22" s="141" t="s">
        <v>40</v>
      </c>
      <c r="AE22" s="35" t="n">
        <f aca="false">G6*$AE$18</f>
        <v>15.3333333333333</v>
      </c>
      <c r="AF22" s="35" t="n">
        <f aca="false">H6*$AF$18</f>
        <v>-48</v>
      </c>
      <c r="AG22" s="35" t="n">
        <f aca="false">I6*$AG$18</f>
        <v>6.33333333333333</v>
      </c>
      <c r="AH22" s="35" t="n">
        <f aca="false">J6*$AH$18</f>
        <v>23.6666666666667</v>
      </c>
      <c r="AI22" s="35" t="n">
        <f aca="false">K6*$AI$18</f>
        <v>-64.4444444444444</v>
      </c>
      <c r="AJ22" s="35" t="n">
        <f aca="false">L6*$AJ$18</f>
        <v>7.2</v>
      </c>
      <c r="AK22" s="35" t="n">
        <f aca="false">M6*$AK$18</f>
        <v>40.8333333333333</v>
      </c>
      <c r="AL22" s="35" t="n">
        <f aca="false">N6*$AL$18</f>
        <v>-26.3888888888889</v>
      </c>
      <c r="AM22" s="77" t="n">
        <f aca="false">SUM(AE22:AL22)</f>
        <v>-45.4666666666667</v>
      </c>
      <c r="AN22" s="162"/>
      <c r="AO22" s="162"/>
    </row>
    <row r="23" customFormat="false" ht="14.25" hidden="false" customHeight="true" outlineLevel="0" collapsed="false">
      <c r="A23" s="94" t="s">
        <v>1447</v>
      </c>
      <c r="B23" s="95" t="n">
        <v>1</v>
      </c>
      <c r="C23" s="96" t="s">
        <v>1151</v>
      </c>
      <c r="D23" s="17" t="s">
        <v>1951</v>
      </c>
      <c r="E23" s="156"/>
      <c r="F23" s="141" t="s">
        <v>1151</v>
      </c>
      <c r="G23" s="144" t="n">
        <f aca="false">$G$8</f>
        <v>31</v>
      </c>
      <c r="I23" s="72"/>
      <c r="J23" s="72"/>
      <c r="K23" s="72"/>
      <c r="L23" s="84"/>
      <c r="M23" s="84"/>
      <c r="N23" s="84"/>
      <c r="P23" s="141" t="s">
        <v>1447</v>
      </c>
      <c r="Q23" s="117" t="n">
        <f aca="false">$J$11</f>
        <v>47</v>
      </c>
      <c r="AD23" s="141" t="s">
        <v>41</v>
      </c>
      <c r="AE23" s="35" t="n">
        <f aca="false">G7*$AE$18</f>
        <v>184</v>
      </c>
      <c r="AF23" s="35" t="n">
        <f aca="false">H7*$AF$18</f>
        <v>-66</v>
      </c>
      <c r="AG23" s="35" t="n">
        <f aca="false">I7*$AG$18</f>
        <v>55.2727272727273</v>
      </c>
      <c r="AH23" s="35" t="n">
        <f aca="false">J7*$AH$18</f>
        <v>0</v>
      </c>
      <c r="AI23" s="35" t="n">
        <f aca="false">K7*$AI$18</f>
        <v>-0</v>
      </c>
      <c r="AJ23" s="35" t="n">
        <f aca="false">L7*$AJ$18</f>
        <v>0</v>
      </c>
      <c r="AK23" s="35" t="n">
        <f aca="false">M7*$AK$18</f>
        <v>0</v>
      </c>
      <c r="AL23" s="35" t="n">
        <f aca="false">N7*$AL$18</f>
        <v>-0</v>
      </c>
      <c r="AM23" s="77" t="n">
        <f aca="false">SUM(AE23:AL23)</f>
        <v>173.272727272727</v>
      </c>
      <c r="AN23" s="162"/>
      <c r="AO23" s="162"/>
    </row>
    <row r="24" customFormat="false" ht="14.25" hidden="false" customHeight="true" outlineLevel="0" collapsed="false">
      <c r="A24" s="94" t="s">
        <v>1447</v>
      </c>
      <c r="B24" s="95" t="n">
        <v>1</v>
      </c>
      <c r="C24" s="96" t="s">
        <v>41</v>
      </c>
      <c r="D24" s="17" t="s">
        <v>1951</v>
      </c>
      <c r="E24" s="156"/>
      <c r="F24" s="141" t="s">
        <v>1447</v>
      </c>
      <c r="G24" s="144" t="n">
        <f aca="false">$G$11</f>
        <v>31</v>
      </c>
      <c r="I24" s="72"/>
      <c r="J24" s="72"/>
      <c r="K24" s="72"/>
      <c r="L24" s="84"/>
      <c r="M24" s="84"/>
      <c r="N24" s="84"/>
      <c r="P24" s="141" t="s">
        <v>1151</v>
      </c>
      <c r="Q24" s="117" t="n">
        <f aca="false">$J$8</f>
        <v>43</v>
      </c>
      <c r="S24" s="72"/>
      <c r="T24" s="72"/>
      <c r="U24" s="72"/>
      <c r="V24" s="72"/>
      <c r="W24" s="72"/>
      <c r="X24" s="72"/>
      <c r="Y24" s="72"/>
      <c r="Z24" s="72"/>
      <c r="AA24" s="72"/>
      <c r="AB24" s="72"/>
      <c r="AC24" s="72"/>
      <c r="AD24" s="141" t="s">
        <v>1151</v>
      </c>
      <c r="AE24" s="35" t="n">
        <f aca="false">G8*$AE$18</f>
        <v>237.666666666667</v>
      </c>
      <c r="AF24" s="35" t="n">
        <f aca="false">H8*$AF$18</f>
        <v>-138</v>
      </c>
      <c r="AG24" s="35" t="n">
        <f aca="false">I8*$AG$18</f>
        <v>34.1449275362319</v>
      </c>
      <c r="AH24" s="35" t="n">
        <f aca="false">J8*$AH$18</f>
        <v>339.222222222222</v>
      </c>
      <c r="AI24" s="35" t="n">
        <f aca="false">K8*$AI$18</f>
        <v>-193.333333333333</v>
      </c>
      <c r="AJ24" s="35" t="n">
        <f aca="false">L8*$AJ$18</f>
        <v>34.4</v>
      </c>
      <c r="AK24" s="35" t="n">
        <f aca="false">M8*$AK$18</f>
        <v>37.7598566308244</v>
      </c>
      <c r="AL24" s="35" t="n">
        <f aca="false">N8*$AL$18</f>
        <v>-27.536231884058</v>
      </c>
      <c r="AM24" s="77" t="n">
        <f aca="false">SUM(AE24:AL24)</f>
        <v>324.324107838554</v>
      </c>
      <c r="AN24" s="162"/>
      <c r="AO24" s="162"/>
    </row>
    <row r="25" customFormat="false" ht="14.25" hidden="false" customHeight="true" outlineLevel="0" collapsed="false">
      <c r="A25" s="94" t="s">
        <v>41</v>
      </c>
      <c r="B25" s="95" t="n">
        <v>1</v>
      </c>
      <c r="C25" s="96" t="s">
        <v>1447</v>
      </c>
      <c r="D25" s="17" t="s">
        <v>1952</v>
      </c>
      <c r="E25" s="156"/>
      <c r="F25" s="141" t="s">
        <v>41</v>
      </c>
      <c r="G25" s="144" t="n">
        <f aca="false">$G$7</f>
        <v>24</v>
      </c>
      <c r="I25" s="72"/>
      <c r="J25" s="72"/>
      <c r="K25" s="72"/>
      <c r="L25" s="84"/>
      <c r="M25" s="84"/>
      <c r="N25" s="84"/>
      <c r="P25" s="141" t="s">
        <v>41</v>
      </c>
      <c r="Q25" s="117" t="n">
        <f aca="false">$J$7</f>
        <v>0</v>
      </c>
      <c r="S25" s="72"/>
      <c r="T25" s="72"/>
      <c r="U25" s="72"/>
      <c r="V25" s="72"/>
      <c r="W25" s="72"/>
      <c r="X25" s="72"/>
      <c r="Y25" s="72"/>
      <c r="Z25" s="72"/>
      <c r="AA25" s="72"/>
      <c r="AB25" s="72"/>
      <c r="AC25" s="72"/>
      <c r="AD25" s="141" t="s">
        <v>1154</v>
      </c>
      <c r="AE25" s="35" t="n">
        <f aca="false">G9*$AE$18</f>
        <v>7.66666666666667</v>
      </c>
      <c r="AF25" s="35" t="n">
        <f aca="false">H9*$AF$18</f>
        <v>-42</v>
      </c>
      <c r="AG25" s="35" t="n">
        <f aca="false">I9*$AG$18</f>
        <v>3.61904761904762</v>
      </c>
      <c r="AH25" s="35" t="n">
        <f aca="false">J9*$AH$18</f>
        <v>15.7777777777778</v>
      </c>
      <c r="AI25" s="35" t="n">
        <f aca="false">K9*$AI$18</f>
        <v>-64.4444444444444</v>
      </c>
      <c r="AJ25" s="35" t="n">
        <f aca="false">L9*$AJ$18</f>
        <v>4.8</v>
      </c>
      <c r="AK25" s="35" t="n">
        <f aca="false">M9*$AK$18</f>
        <v>54.4444444444444</v>
      </c>
      <c r="AL25" s="35" t="n">
        <f aca="false">N9*$AL$18</f>
        <v>-30.1587301587302</v>
      </c>
      <c r="AM25" s="77" t="n">
        <f aca="false">SUM(AE25:AL25)</f>
        <v>-50.2952380952381</v>
      </c>
      <c r="AN25" s="162"/>
      <c r="AO25" s="162"/>
    </row>
    <row r="26" customFormat="false" ht="14.25" hidden="false" customHeight="true" outlineLevel="0" collapsed="false">
      <c r="A26" s="94" t="s">
        <v>41</v>
      </c>
      <c r="B26" s="95" t="n">
        <v>1</v>
      </c>
      <c r="C26" s="96" t="s">
        <v>1151</v>
      </c>
      <c r="D26" s="17" t="s">
        <v>1952</v>
      </c>
      <c r="E26" s="156"/>
      <c r="F26" s="141" t="s">
        <v>11</v>
      </c>
      <c r="G26" s="144" t="n">
        <f aca="false">$G$13</f>
        <v>20</v>
      </c>
      <c r="I26" s="72"/>
      <c r="J26" s="72"/>
      <c r="K26" s="72"/>
      <c r="L26" s="84"/>
      <c r="M26" s="84"/>
      <c r="N26" s="84"/>
      <c r="P26" s="141" t="s">
        <v>11</v>
      </c>
      <c r="Q26" s="117" t="n">
        <f aca="false">$J$13</f>
        <v>28</v>
      </c>
      <c r="S26" s="72"/>
      <c r="T26" s="72"/>
      <c r="U26" s="72"/>
      <c r="V26" s="72"/>
      <c r="W26" s="72"/>
      <c r="X26" s="72"/>
      <c r="Y26" s="72"/>
      <c r="Z26" s="72"/>
      <c r="AA26" s="72"/>
      <c r="AB26" s="72"/>
      <c r="AC26" s="72"/>
      <c r="AD26" s="141" t="s">
        <v>33</v>
      </c>
      <c r="AE26" s="35" t="n">
        <f aca="false">G10*$AE$18</f>
        <v>30.6666666666667</v>
      </c>
      <c r="AF26" s="35" t="n">
        <f aca="false">H10*$AF$18</f>
        <v>-42</v>
      </c>
      <c r="AG26" s="35" t="n">
        <f aca="false">I10*$AG$18</f>
        <v>14.4761904761905</v>
      </c>
      <c r="AH26" s="35" t="n">
        <f aca="false">J10*$AH$18</f>
        <v>47.3333333333333</v>
      </c>
      <c r="AI26" s="35" t="n">
        <f aca="false">K10*$AI$18</f>
        <v>-77.3333333333333</v>
      </c>
      <c r="AJ26" s="35" t="n">
        <f aca="false">L10*$AJ$18</f>
        <v>12</v>
      </c>
      <c r="AK26" s="35" t="n">
        <f aca="false">M10*$AK$18</f>
        <v>40.8333333333333</v>
      </c>
      <c r="AL26" s="35" t="n">
        <f aca="false">N10*$AL$18</f>
        <v>-36.1904761904762</v>
      </c>
      <c r="AM26" s="77" t="n">
        <f aca="false">SUM(AE26:AL26)</f>
        <v>-10.2142857142857</v>
      </c>
      <c r="AN26" s="162"/>
      <c r="AO26" s="162"/>
    </row>
    <row r="27" customFormat="false" ht="14.25" hidden="false" customHeight="true" outlineLevel="0" collapsed="false">
      <c r="A27" s="94" t="s">
        <v>1151</v>
      </c>
      <c r="B27" s="95" t="n">
        <v>2</v>
      </c>
      <c r="C27" s="96" t="s">
        <v>1447</v>
      </c>
      <c r="D27" s="17" t="s">
        <v>1953</v>
      </c>
      <c r="E27" s="156"/>
      <c r="F27" s="141" t="s">
        <v>30</v>
      </c>
      <c r="G27" s="144" t="n">
        <f aca="false">$G$3</f>
        <v>18</v>
      </c>
      <c r="I27" s="72"/>
      <c r="J27" s="72"/>
      <c r="K27" s="72"/>
      <c r="L27" s="84"/>
      <c r="M27" s="84"/>
      <c r="N27" s="84"/>
      <c r="P27" s="141" t="s">
        <v>30</v>
      </c>
      <c r="Q27" s="117" t="n">
        <f aca="false">$J$3</f>
        <v>26</v>
      </c>
      <c r="S27" s="72"/>
      <c r="T27" s="72"/>
      <c r="U27" s="72"/>
      <c r="V27" s="72"/>
      <c r="W27" s="72"/>
      <c r="X27" s="72"/>
      <c r="Y27" s="72"/>
      <c r="Z27" s="72"/>
      <c r="AA27" s="72"/>
      <c r="AB27" s="72"/>
      <c r="AC27" s="72"/>
      <c r="AD27" s="141" t="s">
        <v>1447</v>
      </c>
      <c r="AE27" s="35" t="n">
        <f aca="false">G11*$AE$18</f>
        <v>237.666666666667</v>
      </c>
      <c r="AF27" s="35" t="n">
        <f aca="false">H11*$AF$18</f>
        <v>-144</v>
      </c>
      <c r="AG27" s="35" t="n">
        <f aca="false">I11*$AG$18</f>
        <v>32.7222222222222</v>
      </c>
      <c r="AH27" s="35" t="n">
        <f aca="false">J11*$AH$18</f>
        <v>370.777777777778</v>
      </c>
      <c r="AI27" s="35" t="n">
        <f aca="false">K11*$AI$18</f>
        <v>-128.888888888889</v>
      </c>
      <c r="AJ27" s="35" t="n">
        <f aca="false">L11*$AJ$18</f>
        <v>56.4</v>
      </c>
      <c r="AK27" s="35" t="n">
        <f aca="false">M11*$AK$18</f>
        <v>41.2724014336918</v>
      </c>
      <c r="AL27" s="35" t="n">
        <f aca="false">N11*$AL$18</f>
        <v>-17.5925925925926</v>
      </c>
      <c r="AM27" s="77" t="n">
        <f aca="false">SUM(AE27:AL27)</f>
        <v>448.357586618877</v>
      </c>
      <c r="AN27" s="162"/>
      <c r="AO27" s="162"/>
    </row>
    <row r="28" customFormat="false" ht="14.25" hidden="false" customHeight="true" outlineLevel="0" collapsed="false">
      <c r="A28" s="94" t="s">
        <v>11</v>
      </c>
      <c r="B28" s="95" t="n">
        <v>1</v>
      </c>
      <c r="C28" s="96" t="s">
        <v>1151</v>
      </c>
      <c r="D28" s="32" t="s">
        <v>1954</v>
      </c>
      <c r="E28" s="163"/>
      <c r="F28" s="141" t="s">
        <v>1443</v>
      </c>
      <c r="G28" s="144" t="n">
        <f aca="false">$G$14</f>
        <v>13</v>
      </c>
      <c r="I28" s="72"/>
      <c r="J28" s="72"/>
      <c r="K28" s="72"/>
      <c r="L28" s="84"/>
      <c r="M28" s="84"/>
      <c r="N28" s="84"/>
      <c r="P28" s="141" t="s">
        <v>1443</v>
      </c>
      <c r="Q28" s="117" t="n">
        <f aca="false">$J$14</f>
        <v>20</v>
      </c>
      <c r="S28" s="72"/>
      <c r="T28" s="72"/>
      <c r="U28" s="72"/>
      <c r="V28" s="72"/>
      <c r="W28" s="72"/>
      <c r="X28" s="72"/>
      <c r="Y28" s="72"/>
      <c r="Z28" s="72"/>
      <c r="AA28" s="72"/>
      <c r="AB28" s="72"/>
      <c r="AC28" s="72"/>
      <c r="AD28" s="141" t="s">
        <v>43</v>
      </c>
      <c r="AE28" s="35" t="n">
        <f aca="false">G12*$AE$18</f>
        <v>92</v>
      </c>
      <c r="AF28" s="35" t="n">
        <f aca="false">H12*$AF$18</f>
        <v>-84</v>
      </c>
      <c r="AG28" s="35" t="n">
        <f aca="false">I12*$AG$18</f>
        <v>21.7142857142857</v>
      </c>
      <c r="AH28" s="35" t="n">
        <f aca="false">J12*$AH$18</f>
        <v>134.111111111111</v>
      </c>
      <c r="AI28" s="35" t="n">
        <f aca="false">K12*$AI$18</f>
        <v>-135.333333333333</v>
      </c>
      <c r="AJ28" s="35" t="n">
        <f aca="false">L12*$AJ$18</f>
        <v>19.4285714285714</v>
      </c>
      <c r="AK28" s="35" t="n">
        <f aca="false">M12*$AK$18</f>
        <v>38.5648148148148</v>
      </c>
      <c r="AL28" s="35" t="n">
        <f aca="false">N12*$AL$18</f>
        <v>-31.6666666666667</v>
      </c>
      <c r="AM28" s="77" t="n">
        <f aca="false">SUM(AE28:AL28)</f>
        <v>54.8187830687831</v>
      </c>
      <c r="AN28" s="162"/>
      <c r="AO28" s="162"/>
    </row>
    <row r="29" customFormat="false" ht="14.25" hidden="false" customHeight="true" outlineLevel="0" collapsed="false">
      <c r="A29" s="94" t="s">
        <v>41</v>
      </c>
      <c r="B29" s="95" t="n">
        <v>2</v>
      </c>
      <c r="C29" s="96" t="s">
        <v>1447</v>
      </c>
      <c r="D29" s="17" t="s">
        <v>1955</v>
      </c>
      <c r="E29" s="156"/>
      <c r="F29" s="141" t="s">
        <v>43</v>
      </c>
      <c r="G29" s="144" t="n">
        <f aca="false">$G$12</f>
        <v>12</v>
      </c>
      <c r="I29" s="72"/>
      <c r="J29" s="72"/>
      <c r="K29" s="72"/>
      <c r="L29" s="84"/>
      <c r="M29" s="84"/>
      <c r="N29" s="84"/>
      <c r="P29" s="141" t="s">
        <v>43</v>
      </c>
      <c r="Q29" s="117" t="n">
        <f aca="false">$J$12</f>
        <v>17</v>
      </c>
      <c r="S29" s="72"/>
      <c r="T29" s="72"/>
      <c r="U29" s="72"/>
      <c r="V29" s="72"/>
      <c r="W29" s="72"/>
      <c r="X29" s="72"/>
      <c r="Y29" s="72"/>
      <c r="Z29" s="72"/>
      <c r="AA29" s="72"/>
      <c r="AB29" s="72"/>
      <c r="AC29" s="72"/>
      <c r="AD29" s="141" t="s">
        <v>11</v>
      </c>
      <c r="AE29" s="35" t="n">
        <f aca="false">G13*$AE$18</f>
        <v>153.333333333333</v>
      </c>
      <c r="AF29" s="35" t="n">
        <f aca="false">H13*$AF$18</f>
        <v>-54</v>
      </c>
      <c r="AG29" s="35" t="n">
        <f aca="false">I13*$AG$18</f>
        <v>56.2962962962963</v>
      </c>
      <c r="AH29" s="35" t="n">
        <f aca="false">J13*$AH$18</f>
        <v>220.888888888889</v>
      </c>
      <c r="AI29" s="35" t="n">
        <f aca="false">K13*$AI$18</f>
        <v>-70.8888888888889</v>
      </c>
      <c r="AJ29" s="35" t="n">
        <f aca="false">L13*$AJ$18</f>
        <v>61.0909090909091</v>
      </c>
      <c r="AK29" s="35" t="n">
        <f aca="false">M13*$AK$18</f>
        <v>38.1111111111111</v>
      </c>
      <c r="AL29" s="35" t="n">
        <f aca="false">N13*$AL$18</f>
        <v>-25.8024691358025</v>
      </c>
      <c r="AM29" s="77" t="n">
        <f aca="false">SUM(AE29:AL29)</f>
        <v>379.029180695847</v>
      </c>
      <c r="AN29" s="162"/>
      <c r="AO29" s="162"/>
    </row>
    <row r="30" customFormat="false" ht="14.25" hidden="false" customHeight="true" outlineLevel="0" collapsed="false">
      <c r="A30" s="94" t="s">
        <v>30</v>
      </c>
      <c r="B30" s="95" t="n">
        <v>2</v>
      </c>
      <c r="C30" s="96" t="s">
        <v>43</v>
      </c>
      <c r="D30" s="32" t="s">
        <v>1956</v>
      </c>
      <c r="E30" s="163"/>
      <c r="F30" s="141" t="s">
        <v>33</v>
      </c>
      <c r="G30" s="144" t="n">
        <f aca="false">$G$10</f>
        <v>4</v>
      </c>
      <c r="I30" s="72"/>
      <c r="J30" s="72"/>
      <c r="K30" s="72"/>
      <c r="L30" s="84"/>
      <c r="M30" s="84"/>
      <c r="N30" s="84"/>
      <c r="P30" s="141" t="s">
        <v>33</v>
      </c>
      <c r="Q30" s="117" t="n">
        <f aca="false">$J$10</f>
        <v>6</v>
      </c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141" t="s">
        <v>1443</v>
      </c>
      <c r="AE30" s="35" t="n">
        <f aca="false">G14*$AE$18</f>
        <v>99.6666666666667</v>
      </c>
      <c r="AF30" s="35" t="n">
        <f aca="false">H14*$AF$18</f>
        <v>-90</v>
      </c>
      <c r="AG30" s="35" t="n">
        <f aca="false">I14*$AG$18</f>
        <v>21.9555555555556</v>
      </c>
      <c r="AH30" s="35" t="n">
        <f aca="false">J14*$AH$18</f>
        <v>157.777777777778</v>
      </c>
      <c r="AI30" s="35" t="n">
        <f aca="false">K14*$AI$18</f>
        <v>-122.444444444444</v>
      </c>
      <c r="AJ30" s="35" t="n">
        <f aca="false">L14*$AJ$18</f>
        <v>25.2631578947368</v>
      </c>
      <c r="AK30" s="35" t="n">
        <f aca="false">M14*$AK$18</f>
        <v>41.8803418803419</v>
      </c>
      <c r="AL30" s="35" t="n">
        <f aca="false">N14*$AL$18</f>
        <v>-26.7407407407407</v>
      </c>
      <c r="AM30" s="77" t="n">
        <f aca="false">SUM(AE30:AL30)</f>
        <v>107.358314589894</v>
      </c>
      <c r="AN30" s="162"/>
      <c r="AO30" s="162"/>
    </row>
    <row r="31" customFormat="false" ht="14.25" hidden="false" customHeight="true" outlineLevel="0" collapsed="false">
      <c r="A31" s="94" t="s">
        <v>1151</v>
      </c>
      <c r="B31" s="95" t="n">
        <v>2</v>
      </c>
      <c r="C31" s="96" t="s">
        <v>43</v>
      </c>
      <c r="D31" s="32" t="s">
        <v>1957</v>
      </c>
      <c r="E31" s="163"/>
      <c r="F31" s="141" t="s">
        <v>40</v>
      </c>
      <c r="G31" s="144" t="n">
        <f aca="false">$G$6</f>
        <v>2</v>
      </c>
      <c r="I31" s="72"/>
      <c r="J31" s="72"/>
      <c r="K31" s="72"/>
      <c r="L31" s="84"/>
      <c r="M31" s="84"/>
      <c r="N31" s="84"/>
      <c r="P31" s="141" t="s">
        <v>40</v>
      </c>
      <c r="Q31" s="117" t="n">
        <f aca="false">$J$6</f>
        <v>3</v>
      </c>
      <c r="S31" s="72"/>
      <c r="T31" s="72"/>
      <c r="U31" s="72"/>
      <c r="V31" s="72"/>
      <c r="W31" s="72"/>
      <c r="X31" s="72"/>
      <c r="Y31" s="72"/>
      <c r="Z31" s="72"/>
      <c r="AA31" s="72"/>
      <c r="AB31" s="72"/>
      <c r="AC31" s="72"/>
      <c r="AD31" s="72"/>
      <c r="AE31" s="72"/>
      <c r="AF31" s="72"/>
    </row>
    <row r="32" customFormat="false" ht="14.25" hidden="false" customHeight="true" outlineLevel="0" collapsed="false">
      <c r="A32" s="94" t="s">
        <v>11</v>
      </c>
      <c r="B32" s="95" t="n">
        <v>1</v>
      </c>
      <c r="C32" s="96" t="s">
        <v>41</v>
      </c>
      <c r="D32" s="32" t="s">
        <v>1958</v>
      </c>
      <c r="E32" s="163"/>
      <c r="F32" s="141" t="s">
        <v>1154</v>
      </c>
      <c r="G32" s="144" t="n">
        <f aca="false">$G$9</f>
        <v>1</v>
      </c>
      <c r="I32" s="72"/>
      <c r="J32" s="72"/>
      <c r="K32" s="72"/>
      <c r="L32" s="84"/>
      <c r="M32" s="84"/>
      <c r="N32" s="84"/>
      <c r="P32" s="141" t="s">
        <v>1154</v>
      </c>
      <c r="Q32" s="117" t="n">
        <f aca="false">$J$9</f>
        <v>2</v>
      </c>
      <c r="S32" s="72"/>
      <c r="T32" s="72"/>
      <c r="U32" s="72"/>
      <c r="V32" s="72"/>
      <c r="W32" s="72"/>
      <c r="X32" s="72"/>
      <c r="Y32" s="72"/>
      <c r="Z32" s="72"/>
      <c r="AA32" s="72"/>
      <c r="AB32" s="72"/>
      <c r="AC32" s="72"/>
      <c r="AD32" s="74" t="s">
        <v>7</v>
      </c>
      <c r="AE32" s="75" t="s">
        <v>143</v>
      </c>
      <c r="AF32" s="75" t="s">
        <v>144</v>
      </c>
    </row>
    <row r="33" customFormat="false" ht="14.25" hidden="false" customHeight="true" outlineLevel="0" collapsed="false">
      <c r="A33" s="94" t="s">
        <v>41</v>
      </c>
      <c r="B33" s="95" t="n">
        <v>1</v>
      </c>
      <c r="C33" s="96" t="s">
        <v>11</v>
      </c>
      <c r="D33" s="32" t="s">
        <v>1959</v>
      </c>
      <c r="E33" s="163"/>
      <c r="F33" s="141" t="s">
        <v>1919</v>
      </c>
      <c r="G33" s="144" t="n">
        <f aca="false">$G$5</f>
        <v>1</v>
      </c>
      <c r="I33" s="72"/>
      <c r="J33" s="72"/>
      <c r="K33" s="72"/>
      <c r="L33" s="84"/>
      <c r="M33" s="84"/>
      <c r="N33" s="84"/>
      <c r="P33" s="141" t="s">
        <v>1919</v>
      </c>
      <c r="Q33" s="117" t="n">
        <f aca="false">$J$5</f>
        <v>2</v>
      </c>
      <c r="S33" s="72"/>
      <c r="T33" s="72"/>
      <c r="U33" s="72"/>
      <c r="V33" s="72"/>
      <c r="W33" s="72"/>
      <c r="X33" s="72"/>
      <c r="Y33" s="72"/>
      <c r="Z33" s="72"/>
      <c r="AA33" s="72"/>
      <c r="AB33" s="72"/>
      <c r="AC33" s="72"/>
      <c r="AD33" s="141" t="s">
        <v>41</v>
      </c>
      <c r="AE33" s="77" t="n">
        <f aca="false">$AM$23</f>
        <v>173.272727272727</v>
      </c>
      <c r="AF33" s="77" t="n">
        <f aca="false">AE33-($AE$44)</f>
        <v>341.544332210999</v>
      </c>
      <c r="AG33" s="6" t="n">
        <v>1</v>
      </c>
    </row>
    <row r="34" customFormat="false" ht="14.25" hidden="false" customHeight="true" outlineLevel="0" collapsed="false">
      <c r="A34" s="94" t="s">
        <v>41</v>
      </c>
      <c r="B34" s="95" t="n">
        <v>1</v>
      </c>
      <c r="C34" s="96" t="s">
        <v>1151</v>
      </c>
      <c r="D34" s="32" t="s">
        <v>1960</v>
      </c>
      <c r="E34" s="163"/>
      <c r="F34" s="141" t="s">
        <v>42</v>
      </c>
      <c r="G34" s="144" t="n">
        <f aca="false">$G$4</f>
        <v>0</v>
      </c>
      <c r="I34" s="72"/>
      <c r="J34" s="72"/>
      <c r="K34" s="72"/>
      <c r="L34" s="84"/>
      <c r="M34" s="84"/>
      <c r="N34" s="84"/>
      <c r="P34" s="141" t="s">
        <v>42</v>
      </c>
      <c r="Q34" s="117" t="n">
        <f aca="false">$J$4</f>
        <v>0</v>
      </c>
      <c r="S34" s="72"/>
      <c r="T34" s="72"/>
      <c r="U34" s="72"/>
      <c r="V34" s="72"/>
      <c r="W34" s="72"/>
      <c r="X34" s="72"/>
      <c r="Y34" s="72"/>
      <c r="Z34" s="72"/>
      <c r="AA34" s="72"/>
      <c r="AB34" s="72"/>
      <c r="AC34" s="72"/>
      <c r="AD34" s="141" t="s">
        <v>11</v>
      </c>
      <c r="AE34" s="77" t="n">
        <f aca="false">$AM$29</f>
        <v>379.029180695847</v>
      </c>
      <c r="AF34" s="77" t="n">
        <f aca="false">AE34-($AE$44)</f>
        <v>547.300785634119</v>
      </c>
      <c r="AG34" s="6" t="n">
        <v>2</v>
      </c>
    </row>
    <row r="35" customFormat="false" ht="14.25" hidden="false" customHeight="true" outlineLevel="0" collapsed="false">
      <c r="A35" s="94" t="s">
        <v>41</v>
      </c>
      <c r="B35" s="95" t="n">
        <v>1</v>
      </c>
      <c r="C35" s="96" t="s">
        <v>1447</v>
      </c>
      <c r="D35" s="17" t="s">
        <v>1961</v>
      </c>
      <c r="E35" s="156"/>
      <c r="I35" s="72"/>
      <c r="J35" s="72"/>
      <c r="K35" s="72"/>
      <c r="L35" s="84"/>
      <c r="M35" s="84"/>
      <c r="N35" s="84"/>
      <c r="O35" s="84"/>
      <c r="P35" s="8"/>
      <c r="S35" s="72"/>
      <c r="T35" s="72"/>
      <c r="U35" s="72"/>
      <c r="V35" s="72"/>
      <c r="W35" s="72"/>
      <c r="X35" s="72"/>
      <c r="Y35" s="72"/>
      <c r="Z35" s="72"/>
      <c r="AA35" s="72"/>
      <c r="AB35" s="72"/>
      <c r="AC35" s="72"/>
      <c r="AD35" s="141" t="s">
        <v>1447</v>
      </c>
      <c r="AE35" s="77" t="n">
        <f aca="false">$AM$27</f>
        <v>448.357586618877</v>
      </c>
      <c r="AF35" s="77" t="n">
        <f aca="false">AE35-($AE$44)</f>
        <v>616.629191557149</v>
      </c>
      <c r="AG35" s="6" t="n">
        <v>3</v>
      </c>
    </row>
    <row r="36" customFormat="false" ht="14.25" hidden="false" customHeight="true" outlineLevel="0" collapsed="false">
      <c r="A36" s="94" t="s">
        <v>1151</v>
      </c>
      <c r="B36" s="95" t="n">
        <v>1</v>
      </c>
      <c r="C36" s="96" t="s">
        <v>41</v>
      </c>
      <c r="D36" s="32" t="s">
        <v>1962</v>
      </c>
      <c r="E36" s="163"/>
      <c r="F36" s="141" t="s">
        <v>88</v>
      </c>
      <c r="G36" s="41" t="s">
        <v>17</v>
      </c>
      <c r="I36" s="72"/>
      <c r="J36" s="72"/>
      <c r="K36" s="72"/>
      <c r="L36" s="84"/>
      <c r="M36" s="84"/>
      <c r="N36" s="84"/>
      <c r="P36" s="141" t="s">
        <v>88</v>
      </c>
      <c r="Q36" s="41" t="s">
        <v>20</v>
      </c>
      <c r="S36" s="72"/>
      <c r="T36" s="72"/>
      <c r="U36" s="72"/>
      <c r="V36" s="72"/>
      <c r="W36" s="72"/>
      <c r="X36" s="72"/>
      <c r="Y36" s="72"/>
      <c r="Z36" s="72"/>
      <c r="AA36" s="72"/>
      <c r="AB36" s="72"/>
      <c r="AC36" s="72"/>
      <c r="AD36" s="141" t="s">
        <v>1151</v>
      </c>
      <c r="AE36" s="77" t="n">
        <f aca="false">$AM$24</f>
        <v>324.324107838554</v>
      </c>
      <c r="AF36" s="77" t="n">
        <f aca="false">AE36-($AE$44)</f>
        <v>492.595712776825</v>
      </c>
      <c r="AG36" s="6" t="n">
        <v>4</v>
      </c>
    </row>
    <row r="37" customFormat="false" ht="14.25" hidden="false" customHeight="true" outlineLevel="0" collapsed="false">
      <c r="A37" s="94" t="s">
        <v>1151</v>
      </c>
      <c r="B37" s="95" t="n">
        <v>2</v>
      </c>
      <c r="C37" s="96" t="s">
        <v>1447</v>
      </c>
      <c r="D37" s="17" t="s">
        <v>1963</v>
      </c>
      <c r="E37" s="156"/>
      <c r="F37" s="141" t="s">
        <v>1447</v>
      </c>
      <c r="G37" s="118" t="n">
        <f aca="false">$H$11</f>
        <v>24</v>
      </c>
      <c r="I37" s="72"/>
      <c r="J37" s="72"/>
      <c r="K37" s="72"/>
      <c r="L37" s="84"/>
      <c r="M37" s="84"/>
      <c r="N37" s="84"/>
      <c r="P37" s="141" t="s">
        <v>30</v>
      </c>
      <c r="Q37" s="118" t="n">
        <f aca="false">$K$3</f>
        <v>36</v>
      </c>
      <c r="S37" s="72"/>
      <c r="T37" s="72"/>
      <c r="U37" s="72"/>
      <c r="V37" s="72"/>
      <c r="W37" s="72"/>
      <c r="X37" s="72"/>
      <c r="Y37" s="72"/>
      <c r="Z37" s="72"/>
      <c r="AA37" s="72"/>
      <c r="AB37" s="72"/>
      <c r="AC37" s="72"/>
      <c r="AD37" s="141" t="s">
        <v>1443</v>
      </c>
      <c r="AE37" s="77" t="n">
        <f aca="false">$AM$30</f>
        <v>107.358314589894</v>
      </c>
      <c r="AF37" s="77" t="n">
        <f aca="false">AE37-($AE$44)</f>
        <v>275.629919528165</v>
      </c>
      <c r="AG37" s="6" t="n">
        <v>5</v>
      </c>
    </row>
    <row r="38" customFormat="false" ht="14.25" hidden="false" customHeight="true" outlineLevel="0" collapsed="false">
      <c r="A38" s="94" t="s">
        <v>11</v>
      </c>
      <c r="B38" s="95" t="n">
        <v>1</v>
      </c>
      <c r="C38" s="96" t="s">
        <v>43</v>
      </c>
      <c r="D38" s="32" t="s">
        <v>1964</v>
      </c>
      <c r="E38" s="163"/>
      <c r="F38" s="141" t="s">
        <v>30</v>
      </c>
      <c r="G38" s="118" t="n">
        <f aca="false">$H$3</f>
        <v>24</v>
      </c>
      <c r="I38" s="72"/>
      <c r="J38" s="72"/>
      <c r="K38" s="72"/>
      <c r="L38" s="84"/>
      <c r="M38" s="84"/>
      <c r="N38" s="84"/>
      <c r="P38" s="141" t="s">
        <v>1447</v>
      </c>
      <c r="Q38" s="118" t="n">
        <f aca="false">$K$11</f>
        <v>20</v>
      </c>
      <c r="S38" s="72"/>
      <c r="T38" s="72"/>
      <c r="U38" s="72"/>
      <c r="V38" s="72"/>
      <c r="W38" s="72"/>
      <c r="X38" s="72"/>
      <c r="Y38" s="72"/>
      <c r="Z38" s="72"/>
      <c r="AA38" s="72"/>
      <c r="AB38" s="72"/>
      <c r="AC38" s="72"/>
      <c r="AD38" s="141" t="s">
        <v>43</v>
      </c>
      <c r="AE38" s="77" t="n">
        <f aca="false">$AM$28</f>
        <v>54.8187830687831</v>
      </c>
      <c r="AF38" s="77" t="n">
        <f aca="false">AE38-($AE$44)</f>
        <v>223.090388007055</v>
      </c>
      <c r="AG38" s="6" t="n">
        <v>6</v>
      </c>
    </row>
    <row r="39" customFormat="false" ht="14.25" hidden="false" customHeight="true" outlineLevel="0" collapsed="false">
      <c r="A39" s="94" t="s">
        <v>1151</v>
      </c>
      <c r="B39" s="95" t="n">
        <v>1</v>
      </c>
      <c r="C39" s="96" t="s">
        <v>33</v>
      </c>
      <c r="D39" s="32" t="s">
        <v>1965</v>
      </c>
      <c r="E39" s="163"/>
      <c r="F39" s="141" t="s">
        <v>1151</v>
      </c>
      <c r="G39" s="118" t="n">
        <f aca="false">$H$8</f>
        <v>23</v>
      </c>
      <c r="I39" s="72"/>
      <c r="J39" s="72"/>
      <c r="K39" s="72"/>
      <c r="L39" s="84"/>
      <c r="M39" s="84"/>
      <c r="N39" s="84"/>
      <c r="P39" s="141" t="s">
        <v>1151</v>
      </c>
      <c r="Q39" s="118" t="n">
        <f aca="false">$K$8</f>
        <v>30</v>
      </c>
      <c r="S39" s="72"/>
      <c r="T39" s="72"/>
      <c r="U39" s="72"/>
      <c r="V39" s="72"/>
      <c r="W39" s="72"/>
      <c r="X39" s="72"/>
      <c r="Y39" s="72"/>
      <c r="Z39" s="72"/>
      <c r="AA39" s="72"/>
      <c r="AB39" s="72"/>
      <c r="AC39" s="72"/>
      <c r="AD39" s="141" t="s">
        <v>33</v>
      </c>
      <c r="AE39" s="77" t="n">
        <f aca="false">$AM$26</f>
        <v>-10.2142857142857</v>
      </c>
      <c r="AF39" s="77" t="n">
        <f aca="false">AE39-($AE$44)</f>
        <v>158.057319223986</v>
      </c>
      <c r="AG39" s="6" t="n">
        <v>7</v>
      </c>
    </row>
    <row r="40" customFormat="false" ht="14.25" hidden="false" customHeight="true" outlineLevel="0" collapsed="false">
      <c r="A40" s="94" t="s">
        <v>1447</v>
      </c>
      <c r="B40" s="95" t="n">
        <v>2</v>
      </c>
      <c r="C40" s="96" t="s">
        <v>41</v>
      </c>
      <c r="D40" s="32" t="s">
        <v>1966</v>
      </c>
      <c r="E40" s="163"/>
      <c r="F40" s="141" t="s">
        <v>1443</v>
      </c>
      <c r="G40" s="118" t="n">
        <f aca="false">$H$14</f>
        <v>15</v>
      </c>
      <c r="I40" s="72"/>
      <c r="J40" s="72"/>
      <c r="K40" s="72"/>
      <c r="L40" s="84"/>
      <c r="M40" s="84"/>
      <c r="N40" s="84"/>
      <c r="P40" s="141" t="s">
        <v>1443</v>
      </c>
      <c r="Q40" s="118" t="n">
        <f aca="false">$K$14</f>
        <v>19</v>
      </c>
      <c r="S40" s="72"/>
      <c r="T40" s="72"/>
      <c r="U40" s="72"/>
      <c r="V40" s="72"/>
      <c r="W40" s="72"/>
      <c r="X40" s="72"/>
      <c r="Y40" s="72"/>
      <c r="Z40" s="72"/>
      <c r="AA40" s="72"/>
      <c r="AB40" s="72"/>
      <c r="AC40" s="72"/>
      <c r="AD40" s="141" t="s">
        <v>30</v>
      </c>
      <c r="AE40" s="77" t="n">
        <f aca="false">$AM$19</f>
        <v>11.0987654320988</v>
      </c>
      <c r="AF40" s="77" t="n">
        <f aca="false">AE40-($AE$44)</f>
        <v>179.37037037037</v>
      </c>
      <c r="AG40" s="6" t="n">
        <v>8</v>
      </c>
    </row>
    <row r="41" customFormat="false" ht="14.25" hidden="false" customHeight="true" outlineLevel="0" collapsed="false">
      <c r="A41" s="94" t="s">
        <v>41</v>
      </c>
      <c r="B41" s="95" t="n">
        <v>2</v>
      </c>
      <c r="C41" s="96" t="s">
        <v>1447</v>
      </c>
      <c r="D41" s="17" t="s">
        <v>1967</v>
      </c>
      <c r="E41" s="156"/>
      <c r="F41" s="141" t="s">
        <v>43</v>
      </c>
      <c r="G41" s="118" t="n">
        <f aca="false">$H$12</f>
        <v>14</v>
      </c>
      <c r="I41" s="72"/>
      <c r="J41" s="72"/>
      <c r="K41" s="72"/>
      <c r="L41" s="84"/>
      <c r="M41" s="84"/>
      <c r="N41" s="84"/>
      <c r="P41" s="141" t="s">
        <v>43</v>
      </c>
      <c r="Q41" s="118" t="n">
        <f aca="false">$K$12</f>
        <v>21</v>
      </c>
      <c r="S41" s="72"/>
      <c r="T41" s="72"/>
      <c r="U41" s="72"/>
      <c r="V41" s="72"/>
      <c r="W41" s="72"/>
      <c r="X41" s="72"/>
      <c r="Y41" s="72"/>
      <c r="Z41" s="72"/>
      <c r="AA41" s="72"/>
      <c r="AB41" s="72"/>
      <c r="AC41" s="72"/>
      <c r="AD41" s="141" t="s">
        <v>40</v>
      </c>
      <c r="AE41" s="77" t="n">
        <f aca="false">$AM$22</f>
        <v>-45.4666666666667</v>
      </c>
      <c r="AF41" s="77" t="n">
        <f aca="false">AE41-($AE$44)</f>
        <v>122.804938271605</v>
      </c>
      <c r="AG41" s="6" t="n">
        <v>9</v>
      </c>
    </row>
    <row r="42" customFormat="false" ht="14.25" hidden="false" customHeight="true" outlineLevel="0" collapsed="false">
      <c r="A42" s="94" t="s">
        <v>1447</v>
      </c>
      <c r="B42" s="95" t="n">
        <v>2</v>
      </c>
      <c r="C42" s="96" t="s">
        <v>1151</v>
      </c>
      <c r="D42" s="32" t="s">
        <v>1968</v>
      </c>
      <c r="E42" s="163"/>
      <c r="F42" s="141" t="s">
        <v>41</v>
      </c>
      <c r="G42" s="118" t="n">
        <f aca="false">$H$7</f>
        <v>11</v>
      </c>
      <c r="I42" s="72"/>
      <c r="J42" s="72"/>
      <c r="K42" s="72"/>
      <c r="L42" s="84"/>
      <c r="M42" s="84"/>
      <c r="N42" s="84"/>
      <c r="P42" s="141" t="s">
        <v>42</v>
      </c>
      <c r="Q42" s="118" t="n">
        <f aca="false">$K$4</f>
        <v>13</v>
      </c>
      <c r="S42" s="72"/>
      <c r="T42" s="72"/>
      <c r="U42" s="72"/>
      <c r="V42" s="72"/>
      <c r="W42" s="72"/>
      <c r="X42" s="72"/>
      <c r="Y42" s="72"/>
      <c r="Z42" s="72"/>
      <c r="AA42" s="72"/>
      <c r="AB42" s="72"/>
      <c r="AC42" s="72"/>
      <c r="AD42" s="141" t="s">
        <v>1919</v>
      </c>
      <c r="AE42" s="77" t="n">
        <f aca="false">$AM$21</f>
        <v>-69.4444444444445</v>
      </c>
      <c r="AF42" s="77" t="n">
        <f aca="false">AE42-($AE$44)</f>
        <v>98.8271604938271</v>
      </c>
      <c r="AG42" s="6" t="n">
        <v>10</v>
      </c>
    </row>
    <row r="43" customFormat="false" ht="14.25" hidden="false" customHeight="true" outlineLevel="0" collapsed="false">
      <c r="A43" s="94" t="s">
        <v>1151</v>
      </c>
      <c r="B43" s="95" t="n">
        <v>2</v>
      </c>
      <c r="C43" s="96" t="s">
        <v>30</v>
      </c>
      <c r="D43" s="32" t="s">
        <v>1969</v>
      </c>
      <c r="E43" s="163"/>
      <c r="F43" s="141" t="s">
        <v>11</v>
      </c>
      <c r="G43" s="118" t="n">
        <f aca="false">$H$13</f>
        <v>9</v>
      </c>
      <c r="I43" s="72"/>
      <c r="J43" s="72"/>
      <c r="K43" s="72"/>
      <c r="L43" s="84"/>
      <c r="M43" s="84"/>
      <c r="N43" s="84"/>
      <c r="P43" s="141" t="s">
        <v>41</v>
      </c>
      <c r="Q43" s="118" t="n">
        <f aca="false">$K$7</f>
        <v>0</v>
      </c>
      <c r="S43" s="72"/>
      <c r="T43" s="72"/>
      <c r="U43" s="72"/>
      <c r="V43" s="72"/>
      <c r="W43" s="72"/>
      <c r="X43" s="72"/>
      <c r="Y43" s="72"/>
      <c r="Z43" s="72"/>
      <c r="AA43" s="72"/>
      <c r="AB43" s="72"/>
      <c r="AC43" s="72"/>
      <c r="AD43" s="141" t="s">
        <v>1154</v>
      </c>
      <c r="AE43" s="77" t="n">
        <f aca="false">$AM$25</f>
        <v>-50.2952380952381</v>
      </c>
      <c r="AF43" s="77" t="n">
        <f aca="false">AE43-($AE$44)</f>
        <v>117.976366843034</v>
      </c>
      <c r="AG43" s="6" t="n">
        <v>11</v>
      </c>
    </row>
    <row r="44" customFormat="false" ht="14.25" hidden="false" customHeight="true" outlineLevel="0" collapsed="false">
      <c r="A44" s="94" t="s">
        <v>1447</v>
      </c>
      <c r="B44" s="95" t="n">
        <v>1</v>
      </c>
      <c r="C44" s="96" t="s">
        <v>30</v>
      </c>
      <c r="D44" s="32" t="s">
        <v>1970</v>
      </c>
      <c r="E44" s="163"/>
      <c r="F44" s="141" t="s">
        <v>42</v>
      </c>
      <c r="G44" s="118" t="n">
        <f aca="false">$H$4</f>
        <v>9</v>
      </c>
      <c r="I44" s="72"/>
      <c r="J44" s="72"/>
      <c r="K44" s="72"/>
      <c r="L44" s="84"/>
      <c r="M44" s="84"/>
      <c r="N44" s="84"/>
      <c r="P44" s="141" t="s">
        <v>1154</v>
      </c>
      <c r="Q44" s="118" t="n">
        <f aca="false">$K$9</f>
        <v>10</v>
      </c>
      <c r="S44" s="72"/>
      <c r="T44" s="72"/>
      <c r="U44" s="72"/>
      <c r="V44" s="72"/>
      <c r="W44" s="72"/>
      <c r="X44" s="72"/>
      <c r="Y44" s="72"/>
      <c r="Z44" s="72"/>
      <c r="AA44" s="72"/>
      <c r="AB44" s="72"/>
      <c r="AC44" s="72"/>
      <c r="AD44" s="141" t="s">
        <v>42</v>
      </c>
      <c r="AE44" s="77" t="n">
        <f aca="false">$AM$20</f>
        <v>-168.271604938272</v>
      </c>
      <c r="AF44" s="77" t="n">
        <f aca="false">AE44-($AE$44)</f>
        <v>0</v>
      </c>
      <c r="AG44" s="6" t="n">
        <v>12</v>
      </c>
    </row>
    <row r="45" customFormat="false" ht="14.25" hidden="false" customHeight="true" outlineLevel="0" collapsed="false">
      <c r="A45" s="94" t="s">
        <v>30</v>
      </c>
      <c r="B45" s="95" t="n">
        <v>1</v>
      </c>
      <c r="C45" s="96" t="s">
        <v>1447</v>
      </c>
      <c r="D45" s="17" t="s">
        <v>1971</v>
      </c>
      <c r="E45" s="156"/>
      <c r="F45" s="141" t="s">
        <v>40</v>
      </c>
      <c r="G45" s="118" t="n">
        <f aca="false">$H$6</f>
        <v>8</v>
      </c>
      <c r="I45" s="72"/>
      <c r="J45" s="72"/>
      <c r="K45" s="72"/>
      <c r="L45" s="84"/>
      <c r="M45" s="84"/>
      <c r="N45" s="84"/>
      <c r="P45" s="141" t="s">
        <v>11</v>
      </c>
      <c r="Q45" s="118" t="n">
        <f aca="false">$K$13</f>
        <v>11</v>
      </c>
      <c r="S45" s="72"/>
      <c r="T45" s="72"/>
      <c r="U45" s="72"/>
      <c r="V45" s="72"/>
      <c r="W45" s="72"/>
      <c r="X45" s="72"/>
      <c r="Y45" s="72"/>
      <c r="Z45" s="72"/>
      <c r="AA45" s="72"/>
      <c r="AB45" s="72"/>
      <c r="AC45" s="72"/>
      <c r="AD45" s="72"/>
      <c r="AE45" s="72"/>
      <c r="AF45" s="72"/>
    </row>
    <row r="46" customFormat="false" ht="14.25" hidden="false" customHeight="true" outlineLevel="0" collapsed="false">
      <c r="A46" s="94" t="s">
        <v>1151</v>
      </c>
      <c r="B46" s="95" t="n">
        <v>1</v>
      </c>
      <c r="C46" s="96" t="s">
        <v>1447</v>
      </c>
      <c r="D46" s="32" t="s">
        <v>1972</v>
      </c>
      <c r="E46" s="163"/>
      <c r="F46" s="141" t="s">
        <v>33</v>
      </c>
      <c r="G46" s="118" t="n">
        <f aca="false">$H$10</f>
        <v>7</v>
      </c>
      <c r="I46" s="72"/>
      <c r="J46" s="72"/>
      <c r="K46" s="72"/>
      <c r="L46" s="84"/>
      <c r="M46" s="84"/>
      <c r="N46" s="84"/>
      <c r="P46" s="141" t="s">
        <v>33</v>
      </c>
      <c r="Q46" s="118" t="n">
        <f aca="false">$K$10</f>
        <v>12</v>
      </c>
      <c r="S46" s="72"/>
      <c r="T46" s="72"/>
      <c r="U46" s="72"/>
      <c r="V46" s="72"/>
      <c r="W46" s="72"/>
      <c r="X46" s="72"/>
      <c r="Y46" s="72"/>
      <c r="Z46" s="72"/>
      <c r="AA46" s="72"/>
      <c r="AB46" s="72"/>
      <c r="AC46" s="72"/>
      <c r="AD46" s="72"/>
      <c r="AE46" s="72"/>
      <c r="AF46" s="72"/>
    </row>
    <row r="47" customFormat="false" ht="14.25" hidden="false" customHeight="true" outlineLevel="0" collapsed="false">
      <c r="A47" s="94" t="s">
        <v>1447</v>
      </c>
      <c r="B47" s="95" t="n">
        <v>1</v>
      </c>
      <c r="C47" s="96" t="s">
        <v>1151</v>
      </c>
      <c r="D47" s="32" t="s">
        <v>1973</v>
      </c>
      <c r="E47" s="163"/>
      <c r="F47" s="141" t="s">
        <v>1154</v>
      </c>
      <c r="G47" s="118" t="n">
        <f aca="false">$H$9</f>
        <v>7</v>
      </c>
      <c r="I47" s="72"/>
      <c r="J47" s="72"/>
      <c r="K47" s="72"/>
      <c r="L47" s="84"/>
      <c r="M47" s="84"/>
      <c r="N47" s="84"/>
      <c r="P47" s="141" t="s">
        <v>1919</v>
      </c>
      <c r="Q47" s="118" t="n">
        <f aca="false">$K$5</f>
        <v>12</v>
      </c>
      <c r="S47" s="72"/>
      <c r="T47" s="72"/>
      <c r="U47" s="72"/>
      <c r="V47" s="72"/>
      <c r="W47" s="72"/>
      <c r="X47" s="72"/>
      <c r="Y47" s="72"/>
      <c r="Z47" s="72"/>
      <c r="AA47" s="72"/>
      <c r="AB47" s="72"/>
      <c r="AC47" s="72"/>
      <c r="AD47" s="72"/>
      <c r="AE47" s="72"/>
      <c r="AF47" s="72"/>
    </row>
    <row r="48" customFormat="false" ht="14.25" hidden="false" customHeight="true" outlineLevel="0" collapsed="false">
      <c r="A48" s="94" t="s">
        <v>1447</v>
      </c>
      <c r="B48" s="95" t="n">
        <v>2</v>
      </c>
      <c r="C48" s="96" t="s">
        <v>1154</v>
      </c>
      <c r="D48" s="32" t="s">
        <v>1974</v>
      </c>
      <c r="E48" s="163"/>
      <c r="F48" s="141" t="s">
        <v>1919</v>
      </c>
      <c r="G48" s="118" t="n">
        <f aca="false">$H$5</f>
        <v>6</v>
      </c>
      <c r="I48" s="72"/>
      <c r="J48" s="72"/>
      <c r="K48" s="72"/>
      <c r="L48" s="84"/>
      <c r="M48" s="84"/>
      <c r="N48" s="84"/>
      <c r="P48" s="141" t="s">
        <v>40</v>
      </c>
      <c r="Q48" s="118" t="n">
        <f aca="false">$K$6</f>
        <v>10</v>
      </c>
      <c r="S48" s="72"/>
      <c r="T48" s="72"/>
      <c r="U48" s="72"/>
      <c r="V48" s="72"/>
      <c r="W48" s="72"/>
      <c r="X48" s="72"/>
      <c r="Y48" s="72"/>
      <c r="Z48" s="72"/>
      <c r="AA48" s="72"/>
      <c r="AB48" s="72"/>
      <c r="AC48" s="72"/>
      <c r="AD48" s="72"/>
      <c r="AE48" s="72"/>
      <c r="AF48" s="72"/>
    </row>
    <row r="49" customFormat="false" ht="14.25" hidden="false" customHeight="true" outlineLevel="0" collapsed="false">
      <c r="A49" s="94" t="s">
        <v>11</v>
      </c>
      <c r="B49" s="95" t="n">
        <v>2</v>
      </c>
      <c r="C49" s="96" t="s">
        <v>33</v>
      </c>
      <c r="D49" s="32" t="s">
        <v>1975</v>
      </c>
      <c r="E49" s="163"/>
      <c r="I49" s="72"/>
      <c r="J49" s="72"/>
      <c r="K49" s="72"/>
      <c r="L49" s="84"/>
      <c r="M49" s="84"/>
      <c r="N49" s="84"/>
      <c r="O49" s="84"/>
      <c r="P49" s="8"/>
      <c r="S49" s="72"/>
      <c r="T49" s="72"/>
      <c r="U49" s="72"/>
      <c r="V49" s="72"/>
      <c r="W49" s="72"/>
      <c r="X49" s="72"/>
      <c r="Y49" s="72"/>
      <c r="Z49" s="72"/>
      <c r="AA49" s="72"/>
      <c r="AB49" s="72"/>
      <c r="AC49" s="72"/>
      <c r="AD49" s="72"/>
      <c r="AE49" s="72"/>
      <c r="AF49" s="72"/>
    </row>
    <row r="50" customFormat="false" ht="14.25" hidden="false" customHeight="true" outlineLevel="0" collapsed="false">
      <c r="A50" s="94" t="s">
        <v>1443</v>
      </c>
      <c r="B50" s="95" t="n">
        <v>1</v>
      </c>
      <c r="C50" s="96" t="s">
        <v>40</v>
      </c>
      <c r="D50" s="32" t="s">
        <v>1976</v>
      </c>
      <c r="E50" s="163"/>
      <c r="F50" s="141" t="s">
        <v>88</v>
      </c>
      <c r="G50" s="41" t="s">
        <v>18</v>
      </c>
      <c r="I50" s="72"/>
      <c r="J50" s="72"/>
      <c r="K50" s="72"/>
      <c r="L50" s="84"/>
      <c r="M50" s="84"/>
      <c r="N50" s="84"/>
      <c r="P50" s="141" t="s">
        <v>88</v>
      </c>
      <c r="Q50" s="41" t="s">
        <v>21</v>
      </c>
      <c r="S50" s="72"/>
      <c r="T50" s="72"/>
      <c r="U50" s="72"/>
      <c r="V50" s="72"/>
      <c r="W50" s="72"/>
      <c r="X50" s="72"/>
      <c r="Y50" s="72"/>
      <c r="Z50" s="72"/>
      <c r="AA50" s="72"/>
      <c r="AB50" s="72"/>
      <c r="AC50" s="72"/>
      <c r="AD50" s="72"/>
      <c r="AE50" s="72"/>
      <c r="AF50" s="72"/>
    </row>
    <row r="51" customFormat="false" ht="14.25" hidden="false" customHeight="true" outlineLevel="0" collapsed="false">
      <c r="A51" s="94" t="s">
        <v>40</v>
      </c>
      <c r="B51" s="95" t="n">
        <v>1</v>
      </c>
      <c r="C51" s="96" t="s">
        <v>1443</v>
      </c>
      <c r="D51" s="32" t="s">
        <v>1977</v>
      </c>
      <c r="E51" s="163"/>
      <c r="F51" s="141" t="s">
        <v>11</v>
      </c>
      <c r="G51" s="145" t="n">
        <f aca="false">$I$13</f>
        <v>2.22222222222222</v>
      </c>
      <c r="I51" s="72"/>
      <c r="J51" s="72"/>
      <c r="K51" s="72"/>
      <c r="L51" s="84"/>
      <c r="M51" s="84"/>
      <c r="N51" s="84"/>
      <c r="P51" s="141" t="s">
        <v>41</v>
      </c>
      <c r="Q51" s="145" t="n">
        <f aca="false">$L$7</f>
        <v>0</v>
      </c>
      <c r="S51" s="72"/>
      <c r="T51" s="72"/>
      <c r="U51" s="72"/>
      <c r="V51" s="72"/>
      <c r="W51" s="72"/>
      <c r="X51" s="72"/>
      <c r="Y51" s="72"/>
      <c r="Z51" s="72"/>
      <c r="AA51" s="72"/>
      <c r="AB51" s="72"/>
      <c r="AC51" s="72"/>
      <c r="AD51" s="45" t="s">
        <v>194</v>
      </c>
      <c r="AE51" s="140" t="s">
        <v>16</v>
      </c>
      <c r="AF51" s="140" t="s">
        <v>17</v>
      </c>
      <c r="AG51" s="140" t="s">
        <v>18</v>
      </c>
      <c r="AH51" s="140" t="s">
        <v>19</v>
      </c>
      <c r="AI51" s="140" t="s">
        <v>20</v>
      </c>
      <c r="AJ51" s="140" t="s">
        <v>21</v>
      </c>
      <c r="AK51" s="140" t="s">
        <v>22</v>
      </c>
      <c r="AL51" s="140" t="s">
        <v>23</v>
      </c>
    </row>
    <row r="52" customFormat="false" ht="14.25" hidden="false" customHeight="true" outlineLevel="0" collapsed="false">
      <c r="A52" s="94" t="s">
        <v>11</v>
      </c>
      <c r="B52" s="95" t="n">
        <v>2</v>
      </c>
      <c r="C52" s="96" t="s">
        <v>1443</v>
      </c>
      <c r="D52" s="32" t="s">
        <v>1978</v>
      </c>
      <c r="E52" s="163"/>
      <c r="F52" s="141" t="s">
        <v>41</v>
      </c>
      <c r="G52" s="145" t="n">
        <f aca="false">$I$7</f>
        <v>2.18181818181818</v>
      </c>
      <c r="I52" s="72"/>
      <c r="J52" s="72"/>
      <c r="K52" s="72"/>
      <c r="L52" s="84"/>
      <c r="M52" s="84"/>
      <c r="N52" s="84"/>
      <c r="P52" s="141" t="s">
        <v>11</v>
      </c>
      <c r="Q52" s="145" t="n">
        <f aca="false">$L$13</f>
        <v>2.54545454545455</v>
      </c>
      <c r="S52" s="72"/>
      <c r="T52" s="72"/>
      <c r="U52" s="72"/>
      <c r="V52" s="72"/>
      <c r="W52" s="72"/>
      <c r="X52" s="72"/>
      <c r="Y52" s="72"/>
      <c r="Z52" s="72"/>
      <c r="AA52" s="72"/>
      <c r="AB52" s="72"/>
      <c r="AC52" s="72"/>
      <c r="AD52" s="33" t="s">
        <v>91</v>
      </c>
      <c r="AE52" s="56" t="n">
        <f aca="false">(20+18+16+4+5+6)/9</f>
        <v>7.66666666666667</v>
      </c>
      <c r="AF52" s="56" t="n">
        <f aca="false">-(9+5+6+7+8+9+10)/9</f>
        <v>-6</v>
      </c>
      <c r="AG52" s="56" t="n">
        <f aca="false">4*(3+15+6+14+9+10)/9</f>
        <v>25.3333333333333</v>
      </c>
      <c r="AH52" s="56" t="n">
        <f aca="false">(30+9+24+7+1)/9</f>
        <v>7.88888888888889</v>
      </c>
      <c r="AI52" s="56" t="n">
        <f aca="false">-(3+15+14+8+18)/9</f>
        <v>-6.44444444444445</v>
      </c>
      <c r="AJ52" s="56" t="n">
        <f aca="false">4*(10+18+8+12+6)/9</f>
        <v>24</v>
      </c>
      <c r="AK52" s="56" t="n">
        <f aca="false">5*(35+14)/9</f>
        <v>27.2222222222222</v>
      </c>
      <c r="AL52" s="56" t="n">
        <f aca="false">-5*(1+4+3+4+10+7+9)/9</f>
        <v>-21.1111111111111</v>
      </c>
      <c r="AM52" s="164" t="s">
        <v>1916</v>
      </c>
    </row>
    <row r="53" customFormat="false" ht="14.25" hidden="false" customHeight="true" outlineLevel="0" collapsed="false">
      <c r="A53" s="94" t="s">
        <v>1447</v>
      </c>
      <c r="B53" s="95" t="n">
        <v>2</v>
      </c>
      <c r="C53" s="96" t="s">
        <v>33</v>
      </c>
      <c r="D53" s="32" t="s">
        <v>1979</v>
      </c>
      <c r="E53" s="163"/>
      <c r="F53" s="141" t="s">
        <v>1151</v>
      </c>
      <c r="G53" s="145" t="n">
        <f aca="false">$I$8</f>
        <v>1.34782608695652</v>
      </c>
      <c r="I53" s="72"/>
      <c r="J53" s="72"/>
      <c r="K53" s="72"/>
      <c r="L53" s="84"/>
      <c r="M53" s="84"/>
      <c r="N53" s="84"/>
      <c r="P53" s="141" t="s">
        <v>1447</v>
      </c>
      <c r="Q53" s="145" t="n">
        <f aca="false">$L$11</f>
        <v>2.35</v>
      </c>
      <c r="S53" s="72"/>
      <c r="T53" s="72"/>
      <c r="U53" s="72"/>
      <c r="V53" s="72"/>
      <c r="W53" s="72"/>
      <c r="X53" s="72"/>
      <c r="Y53" s="72"/>
      <c r="Z53" s="72"/>
      <c r="AA53" s="72"/>
      <c r="AB53" s="72"/>
      <c r="AC53" s="72"/>
      <c r="AD53" s="52" t="s">
        <v>111</v>
      </c>
      <c r="AE53" s="35" t="n">
        <f aca="false">$AE$52*G17</f>
        <v>145.666666666667</v>
      </c>
      <c r="AF53" s="35" t="n">
        <f aca="false">$AF$52*H17</f>
        <v>-234</v>
      </c>
      <c r="AG53" s="35" t="n">
        <f aca="false">$AG$52*I17</f>
        <v>12.3418803418803</v>
      </c>
      <c r="AH53" s="35" t="n">
        <f aca="false">$AH$52*J17</f>
        <v>220.888888888889</v>
      </c>
      <c r="AI53" s="35" t="n">
        <f aca="false">$AI$52*K17</f>
        <v>-393.111111111111</v>
      </c>
      <c r="AJ53" s="35" t="n">
        <f aca="false">$AJ$52*L17</f>
        <v>11.016393442623</v>
      </c>
      <c r="AK53" s="35" t="n">
        <f aca="false">$AK$52*M17</f>
        <v>40.1169590643275</v>
      </c>
      <c r="AL53" s="35" t="n">
        <f aca="false">$AL$52*N17</f>
        <v>-33.019943019943</v>
      </c>
      <c r="AM53" s="35" t="n">
        <f aca="false">SUM(AE53:AL53)</f>
        <v>-230.100265726668</v>
      </c>
    </row>
    <row r="54" customFormat="false" ht="14.25" hidden="false" customHeight="true" outlineLevel="0" collapsed="false">
      <c r="A54" s="94" t="s">
        <v>1447</v>
      </c>
      <c r="B54" s="95" t="n">
        <v>2</v>
      </c>
      <c r="C54" s="96" t="s">
        <v>42</v>
      </c>
      <c r="D54" s="32" t="s">
        <v>1980</v>
      </c>
      <c r="E54" s="163"/>
      <c r="F54" s="141" t="s">
        <v>1447</v>
      </c>
      <c r="G54" s="145" t="n">
        <f aca="false">$I$11</f>
        <v>1.29166666666667</v>
      </c>
      <c r="I54" s="72"/>
      <c r="J54" s="72"/>
      <c r="K54" s="72"/>
      <c r="L54" s="84"/>
      <c r="M54" s="84"/>
      <c r="N54" s="84"/>
      <c r="P54" s="141" t="s">
        <v>1151</v>
      </c>
      <c r="Q54" s="145" t="n">
        <f aca="false">$L$8</f>
        <v>1.43333333333333</v>
      </c>
      <c r="S54" s="72"/>
      <c r="T54" s="72"/>
      <c r="U54" s="72"/>
      <c r="V54" s="72"/>
      <c r="W54" s="72"/>
      <c r="X54" s="72"/>
      <c r="Y54" s="72"/>
      <c r="Z54" s="72"/>
      <c r="AA54" s="72"/>
      <c r="AB54" s="72"/>
      <c r="AC54" s="72"/>
      <c r="AD54" s="33" t="s">
        <v>114</v>
      </c>
      <c r="AE54" s="35" t="n">
        <f aca="false">$AE$52*G18</f>
        <v>437</v>
      </c>
      <c r="AF54" s="35" t="n">
        <f aca="false">$AF$52*H18</f>
        <v>-252</v>
      </c>
      <c r="AG54" s="35" t="n">
        <f aca="false">$AG$52*I18</f>
        <v>34.3809523809524</v>
      </c>
      <c r="AH54" s="35" t="n">
        <f aca="false">$AH$52*J18</f>
        <v>362.888888888889</v>
      </c>
      <c r="AI54" s="35" t="n">
        <f aca="false">$AI$52*K18</f>
        <v>-257.777777777778</v>
      </c>
      <c r="AJ54" s="35" t="n">
        <f aca="false">$AJ$52*L18</f>
        <v>27.6</v>
      </c>
      <c r="AK54" s="35" t="n">
        <f aca="false">$AK$52*M18</f>
        <v>21.9688109161793</v>
      </c>
      <c r="AL54" s="35" t="n">
        <f aca="false">$AL$52*N18</f>
        <v>-20.1058201058201</v>
      </c>
      <c r="AM54" s="35" t="n">
        <f aca="false">SUM(AE54:AL54)</f>
        <v>353.955054302423</v>
      </c>
    </row>
    <row r="55" customFormat="false" ht="14.25" hidden="false" customHeight="true" outlineLevel="0" collapsed="false">
      <c r="A55" s="94" t="s">
        <v>1443</v>
      </c>
      <c r="B55" s="95" t="n">
        <v>2</v>
      </c>
      <c r="C55" s="96" t="s">
        <v>42</v>
      </c>
      <c r="D55" s="32" t="s">
        <v>1981</v>
      </c>
      <c r="E55" s="163"/>
      <c r="F55" s="141" t="s">
        <v>1443</v>
      </c>
      <c r="G55" s="145" t="n">
        <f aca="false">$I$14</f>
        <v>0.866666666666667</v>
      </c>
      <c r="I55" s="72"/>
      <c r="J55" s="72"/>
      <c r="K55" s="72"/>
      <c r="L55" s="84"/>
      <c r="M55" s="84"/>
      <c r="N55" s="84"/>
      <c r="P55" s="141" t="s">
        <v>1443</v>
      </c>
      <c r="Q55" s="145" t="n">
        <f aca="false">$L$14</f>
        <v>1.05263157894737</v>
      </c>
      <c r="S55" s="72"/>
      <c r="T55" s="72"/>
      <c r="U55" s="72"/>
      <c r="V55" s="72"/>
      <c r="W55" s="72"/>
      <c r="X55" s="72"/>
      <c r="Y55" s="72"/>
      <c r="Z55" s="72"/>
      <c r="AA55" s="72"/>
      <c r="AB55" s="72"/>
      <c r="AC55" s="72"/>
      <c r="AD55" s="33" t="s">
        <v>117</v>
      </c>
      <c r="AE55" s="35" t="n">
        <f aca="false">$AE$52*G19</f>
        <v>276</v>
      </c>
      <c r="AF55" s="35" t="n">
        <f aca="false">$AF$52*H19</f>
        <v>-228</v>
      </c>
      <c r="AG55" s="35" t="n">
        <f aca="false">$AG$52*I19</f>
        <v>24</v>
      </c>
      <c r="AH55" s="35" t="n">
        <f aca="false">$AH$52*J19</f>
        <v>433.888888888889</v>
      </c>
      <c r="AI55" s="35" t="n">
        <f aca="false">$AI$52*K19</f>
        <v>-270.666666666667</v>
      </c>
      <c r="AJ55" s="35" t="n">
        <f aca="false">$AJ$52*L19</f>
        <v>31.4285714285714</v>
      </c>
      <c r="AK55" s="35" t="n">
        <f aca="false">$AK$52*M19</f>
        <v>41.5895061728395</v>
      </c>
      <c r="AL55" s="35" t="n">
        <f aca="false">$AL$52*N19</f>
        <v>-23.3333333333333</v>
      </c>
      <c r="AM55" s="35" t="n">
        <f aca="false">SUM(AE55:AL55)</f>
        <v>284.9069664903</v>
      </c>
    </row>
    <row r="56" customFormat="false" ht="14.25" hidden="false" customHeight="true" outlineLevel="0" collapsed="false">
      <c r="A56" s="94" t="s">
        <v>1447</v>
      </c>
      <c r="B56" s="95" t="n">
        <v>2</v>
      </c>
      <c r="C56" s="96" t="s">
        <v>11</v>
      </c>
      <c r="D56" s="32" t="s">
        <v>1982</v>
      </c>
      <c r="E56" s="163"/>
      <c r="F56" s="141" t="s">
        <v>43</v>
      </c>
      <c r="G56" s="145" t="n">
        <f aca="false">$I$12</f>
        <v>0.857142857142857</v>
      </c>
      <c r="I56" s="72"/>
      <c r="J56" s="72"/>
      <c r="K56" s="72"/>
      <c r="L56" s="84"/>
      <c r="M56" s="84"/>
      <c r="N56" s="84"/>
      <c r="P56" s="141" t="s">
        <v>43</v>
      </c>
      <c r="Q56" s="145" t="n">
        <f aca="false">$L$12</f>
        <v>0.80952380952381</v>
      </c>
      <c r="S56" s="72"/>
      <c r="T56" s="72"/>
      <c r="U56" s="72"/>
      <c r="V56" s="72"/>
      <c r="W56" s="72"/>
      <c r="X56" s="72"/>
      <c r="Y56" s="72"/>
      <c r="Z56" s="72"/>
      <c r="AA56" s="72"/>
      <c r="AB56" s="72"/>
      <c r="AC56" s="72"/>
      <c r="AD56" s="33" t="s">
        <v>120</v>
      </c>
      <c r="AE56" s="35" t="n">
        <f aca="false">$AE$52*G20</f>
        <v>345</v>
      </c>
      <c r="AF56" s="35" t="n">
        <f aca="false">$AF$52*H20</f>
        <v>-228</v>
      </c>
      <c r="AG56" s="35" t="n">
        <f aca="false">$AG$52*I20</f>
        <v>30</v>
      </c>
      <c r="AH56" s="35" t="n">
        <f aca="false">$AH$52*J20</f>
        <v>512.777777777778</v>
      </c>
      <c r="AI56" s="35" t="n">
        <f aca="false">$AI$52*K20</f>
        <v>-328.666666666667</v>
      </c>
      <c r="AJ56" s="35" t="n">
        <f aca="false">$AJ$52*L20</f>
        <v>30.5882352941176</v>
      </c>
      <c r="AK56" s="35" t="n">
        <f aca="false">$AK$52*M20</f>
        <v>39.320987654321</v>
      </c>
      <c r="AL56" s="35" t="n">
        <f aca="false">$AL$52*N20</f>
        <v>-28.3333333333333</v>
      </c>
      <c r="AM56" s="35" t="n">
        <f aca="false">SUM(AE56:AL56)</f>
        <v>372.687000726216</v>
      </c>
    </row>
    <row r="57" customFormat="false" ht="14.25" hidden="false" customHeight="true" outlineLevel="0" collapsed="false">
      <c r="A57" s="94" t="s">
        <v>1447</v>
      </c>
      <c r="B57" s="95" t="n">
        <v>2</v>
      </c>
      <c r="C57" s="96" t="s">
        <v>1151</v>
      </c>
      <c r="D57" s="32" t="s">
        <v>1982</v>
      </c>
      <c r="E57" s="163"/>
      <c r="F57" s="141" t="s">
        <v>30</v>
      </c>
      <c r="G57" s="145" t="n">
        <f aca="false">$I$3</f>
        <v>0.75</v>
      </c>
      <c r="I57" s="72"/>
      <c r="J57" s="72"/>
      <c r="K57" s="72"/>
      <c r="L57" s="84"/>
      <c r="M57" s="84"/>
      <c r="N57" s="84"/>
      <c r="P57" s="141" t="s">
        <v>30</v>
      </c>
      <c r="Q57" s="145" t="n">
        <f aca="false">$L$3</f>
        <v>0.722222222222222</v>
      </c>
      <c r="S57" s="72"/>
      <c r="T57" s="72"/>
      <c r="U57" s="72"/>
      <c r="V57" s="72"/>
      <c r="W57" s="72"/>
      <c r="X57" s="72"/>
      <c r="Y57" s="72"/>
      <c r="Z57" s="72"/>
      <c r="AA57" s="72"/>
      <c r="AB57" s="72"/>
      <c r="AC57" s="72"/>
    </row>
    <row r="58" customFormat="false" ht="14.25" hidden="false" customHeight="true" outlineLevel="0" collapsed="false">
      <c r="A58" s="94" t="s">
        <v>41</v>
      </c>
      <c r="B58" s="95" t="n">
        <v>2</v>
      </c>
      <c r="C58" s="96" t="s">
        <v>30</v>
      </c>
      <c r="D58" s="32" t="s">
        <v>1983</v>
      </c>
      <c r="E58" s="163"/>
      <c r="F58" s="141" t="s">
        <v>33</v>
      </c>
      <c r="G58" s="145" t="n">
        <f aca="false">$I$10</f>
        <v>0.571428571428571</v>
      </c>
      <c r="I58" s="72"/>
      <c r="J58" s="72"/>
      <c r="K58" s="72"/>
      <c r="L58" s="84"/>
      <c r="M58" s="84"/>
      <c r="N58" s="84"/>
      <c r="P58" s="141" t="s">
        <v>33</v>
      </c>
      <c r="Q58" s="145" t="n">
        <f aca="false">$L$10</f>
        <v>0.5</v>
      </c>
      <c r="S58" s="72"/>
      <c r="T58" s="72"/>
      <c r="U58" s="72"/>
      <c r="V58" s="72"/>
      <c r="W58" s="72"/>
      <c r="X58" s="72"/>
      <c r="Y58" s="72"/>
      <c r="Z58" s="72"/>
      <c r="AA58" s="72"/>
      <c r="AB58" s="72"/>
      <c r="AC58" s="72"/>
      <c r="AD58" s="74" t="s">
        <v>10</v>
      </c>
      <c r="AE58" s="75" t="s">
        <v>143</v>
      </c>
      <c r="AF58" s="75" t="s">
        <v>144</v>
      </c>
    </row>
    <row r="59" customFormat="false" ht="14.25" hidden="false" customHeight="true" outlineLevel="0" collapsed="false">
      <c r="A59" s="94" t="s">
        <v>1151</v>
      </c>
      <c r="B59" s="95" t="n">
        <v>2</v>
      </c>
      <c r="C59" s="96" t="s">
        <v>43</v>
      </c>
      <c r="D59" s="32" t="s">
        <v>1984</v>
      </c>
      <c r="E59" s="163"/>
      <c r="F59" s="141" t="s">
        <v>40</v>
      </c>
      <c r="G59" s="145" t="n">
        <f aca="false">$I$6</f>
        <v>0.25</v>
      </c>
      <c r="I59" s="72"/>
      <c r="J59" s="72"/>
      <c r="K59" s="72"/>
      <c r="L59" s="84"/>
      <c r="M59" s="84"/>
      <c r="N59" s="84"/>
      <c r="P59" s="141" t="s">
        <v>40</v>
      </c>
      <c r="Q59" s="145" t="n">
        <f aca="false">$L$6</f>
        <v>0.3</v>
      </c>
      <c r="S59" s="72"/>
      <c r="T59" s="72"/>
      <c r="U59" s="72"/>
      <c r="V59" s="72"/>
      <c r="W59" s="72"/>
      <c r="X59" s="72"/>
      <c r="Y59" s="72"/>
      <c r="Z59" s="72"/>
      <c r="AA59" s="72"/>
      <c r="AB59" s="72"/>
      <c r="AC59" s="72"/>
      <c r="AD59" s="52" t="s">
        <v>114</v>
      </c>
      <c r="AE59" s="77" t="n">
        <f aca="false">$AM$54</f>
        <v>353.955054302423</v>
      </c>
      <c r="AF59" s="77" t="n">
        <f aca="false">AE59-($AE$62)</f>
        <v>584.055320029091</v>
      </c>
    </row>
    <row r="60" customFormat="false" ht="14.25" hidden="false" customHeight="true" outlineLevel="0" collapsed="false">
      <c r="A60" s="94" t="s">
        <v>41</v>
      </c>
      <c r="B60" s="95" t="n">
        <v>1</v>
      </c>
      <c r="C60" s="96" t="s">
        <v>1443</v>
      </c>
      <c r="D60" s="32" t="s">
        <v>1985</v>
      </c>
      <c r="E60" s="163"/>
      <c r="F60" s="141" t="s">
        <v>1919</v>
      </c>
      <c r="G60" s="145" t="n">
        <f aca="false">$I$5</f>
        <v>0.166666666666667</v>
      </c>
      <c r="I60" s="72"/>
      <c r="J60" s="72"/>
      <c r="K60" s="72"/>
      <c r="L60" s="84"/>
      <c r="M60" s="84"/>
      <c r="N60" s="84"/>
      <c r="P60" s="141" t="s">
        <v>1919</v>
      </c>
      <c r="Q60" s="145" t="n">
        <f aca="false">$L$5</f>
        <v>0.166666666666667</v>
      </c>
      <c r="S60" s="72"/>
      <c r="T60" s="72"/>
      <c r="U60" s="72"/>
      <c r="V60" s="72"/>
      <c r="W60" s="72"/>
      <c r="X60" s="72"/>
      <c r="Y60" s="72"/>
      <c r="Z60" s="72"/>
      <c r="AA60" s="72"/>
      <c r="AB60" s="72"/>
      <c r="AC60" s="72"/>
      <c r="AD60" s="33" t="s">
        <v>120</v>
      </c>
      <c r="AE60" s="77" t="n">
        <f aca="false">$AM$56</f>
        <v>372.687000726216</v>
      </c>
      <c r="AF60" s="77" t="n">
        <f aca="false">AE60-($AE$62)</f>
        <v>602.787266452884</v>
      </c>
    </row>
    <row r="61" customFormat="false" ht="14.25" hidden="false" customHeight="true" outlineLevel="0" collapsed="false">
      <c r="A61" s="94" t="s">
        <v>41</v>
      </c>
      <c r="B61" s="95" t="n">
        <v>1</v>
      </c>
      <c r="C61" s="96" t="s">
        <v>1447</v>
      </c>
      <c r="D61" s="17" t="s">
        <v>1986</v>
      </c>
      <c r="E61" s="156"/>
      <c r="F61" s="141" t="s">
        <v>1154</v>
      </c>
      <c r="G61" s="145" t="n">
        <f aca="false">$I$9</f>
        <v>0.142857142857143</v>
      </c>
      <c r="I61" s="72"/>
      <c r="J61" s="72"/>
      <c r="K61" s="72"/>
      <c r="L61" s="84"/>
      <c r="M61" s="84"/>
      <c r="N61" s="84"/>
      <c r="P61" s="141" t="s">
        <v>1154</v>
      </c>
      <c r="Q61" s="145" t="n">
        <f aca="false">$L$9</f>
        <v>0.2</v>
      </c>
      <c r="S61" s="72"/>
      <c r="T61" s="72"/>
      <c r="U61" s="72"/>
      <c r="V61" s="72"/>
      <c r="W61" s="72"/>
      <c r="X61" s="72"/>
      <c r="Y61" s="72"/>
      <c r="Z61" s="72"/>
      <c r="AA61" s="72"/>
      <c r="AB61" s="72"/>
      <c r="AC61" s="72"/>
      <c r="AD61" s="33" t="s">
        <v>117</v>
      </c>
      <c r="AE61" s="77" t="n">
        <f aca="false">$AM$55</f>
        <v>284.9069664903</v>
      </c>
      <c r="AF61" s="77" t="n">
        <f aca="false">AE61-($AE$62)</f>
        <v>515.007232216968</v>
      </c>
    </row>
    <row r="62" customFormat="false" ht="14.25" hidden="false" customHeight="true" outlineLevel="0" collapsed="false">
      <c r="A62" s="94" t="s">
        <v>41</v>
      </c>
      <c r="B62" s="95" t="n">
        <v>1</v>
      </c>
      <c r="C62" s="96" t="s">
        <v>1151</v>
      </c>
      <c r="D62" s="32" t="s">
        <v>1987</v>
      </c>
      <c r="E62" s="163"/>
      <c r="F62" s="141" t="s">
        <v>42</v>
      </c>
      <c r="G62" s="145" t="n">
        <f aca="false">$I$4</f>
        <v>0</v>
      </c>
      <c r="I62" s="72"/>
      <c r="J62" s="72"/>
      <c r="K62" s="72"/>
      <c r="L62" s="84"/>
      <c r="M62" s="84"/>
      <c r="N62" s="84"/>
      <c r="P62" s="141" t="s">
        <v>42</v>
      </c>
      <c r="Q62" s="145" t="n">
        <f aca="false">$L$4</f>
        <v>0</v>
      </c>
      <c r="S62" s="72"/>
      <c r="T62" s="72"/>
      <c r="U62" s="72"/>
      <c r="V62" s="72"/>
      <c r="W62" s="72"/>
      <c r="X62" s="72"/>
      <c r="Y62" s="72"/>
      <c r="Z62" s="72"/>
      <c r="AA62" s="72"/>
      <c r="AB62" s="72"/>
      <c r="AC62" s="72"/>
      <c r="AD62" s="33" t="s">
        <v>111</v>
      </c>
      <c r="AE62" s="77" t="n">
        <f aca="false">$AM$53</f>
        <v>-230.100265726668</v>
      </c>
      <c r="AF62" s="77" t="n">
        <f aca="false">AE62-($AE$62)</f>
        <v>0</v>
      </c>
    </row>
    <row r="63" customFormat="false" ht="14.25" hidden="false" customHeight="true" outlineLevel="0" collapsed="false">
      <c r="A63" s="94" t="s">
        <v>1151</v>
      </c>
      <c r="B63" s="95" t="n">
        <v>2</v>
      </c>
      <c r="C63" s="96" t="s">
        <v>41</v>
      </c>
      <c r="D63" s="32" t="s">
        <v>1988</v>
      </c>
      <c r="E63" s="163"/>
      <c r="I63" s="72"/>
      <c r="J63" s="72"/>
      <c r="K63" s="72"/>
      <c r="L63" s="84"/>
      <c r="M63" s="84"/>
      <c r="N63" s="84"/>
      <c r="O63" s="84"/>
      <c r="P63" s="8"/>
      <c r="S63" s="72"/>
      <c r="T63" s="72"/>
      <c r="U63" s="72"/>
      <c r="V63" s="72"/>
      <c r="W63" s="72"/>
      <c r="X63" s="72"/>
      <c r="Y63" s="72"/>
      <c r="Z63" s="72"/>
      <c r="AA63" s="72"/>
      <c r="AB63" s="72"/>
      <c r="AC63" s="72"/>
    </row>
    <row r="64" customFormat="false" ht="14.25" hidden="false" customHeight="true" outlineLevel="0" collapsed="false">
      <c r="A64" s="94" t="s">
        <v>30</v>
      </c>
      <c r="B64" s="95" t="n">
        <v>2</v>
      </c>
      <c r="C64" s="96" t="s">
        <v>43</v>
      </c>
      <c r="D64" s="32" t="s">
        <v>1989</v>
      </c>
      <c r="E64" s="163"/>
      <c r="F64" s="141" t="s">
        <v>108</v>
      </c>
      <c r="G64" s="41" t="s">
        <v>16</v>
      </c>
      <c r="I64" s="72"/>
      <c r="J64" s="72"/>
      <c r="K64" s="72"/>
      <c r="L64" s="84"/>
      <c r="M64" s="84"/>
      <c r="N64" s="84"/>
      <c r="P64" s="141" t="s">
        <v>108</v>
      </c>
      <c r="Q64" s="41" t="s">
        <v>19</v>
      </c>
      <c r="S64" s="72"/>
      <c r="T64" s="72"/>
      <c r="U64" s="72"/>
      <c r="V64" s="72"/>
      <c r="W64" s="72"/>
      <c r="X64" s="72"/>
      <c r="Y64" s="72"/>
      <c r="Z64" s="72"/>
      <c r="AA64" s="72"/>
      <c r="AB64" s="72"/>
      <c r="AC64" s="72"/>
    </row>
    <row r="65" customFormat="false" ht="14.25" hidden="false" customHeight="true" outlineLevel="0" collapsed="false">
      <c r="A65" s="94" t="s">
        <v>43</v>
      </c>
      <c r="B65" s="95" t="n">
        <v>2</v>
      </c>
      <c r="C65" s="96" t="s">
        <v>42</v>
      </c>
      <c r="D65" s="32" t="s">
        <v>1990</v>
      </c>
      <c r="E65" s="163"/>
      <c r="F65" s="141" t="s">
        <v>111</v>
      </c>
      <c r="G65" s="144" t="n">
        <f aca="false">$G$17</f>
        <v>19</v>
      </c>
      <c r="I65" s="72"/>
      <c r="J65" s="72"/>
      <c r="K65" s="72"/>
      <c r="L65" s="84"/>
      <c r="M65" s="84"/>
      <c r="N65" s="84"/>
      <c r="P65" s="141" t="s">
        <v>111</v>
      </c>
      <c r="Q65" s="117" t="n">
        <f aca="false">$J$17</f>
        <v>28</v>
      </c>
      <c r="S65" s="72"/>
      <c r="T65" s="72"/>
      <c r="U65" s="72"/>
      <c r="V65" s="72"/>
      <c r="W65" s="72"/>
      <c r="X65" s="72"/>
      <c r="Y65" s="72"/>
      <c r="Z65" s="72"/>
      <c r="AA65" s="72"/>
      <c r="AB65" s="72"/>
      <c r="AC65" s="72"/>
    </row>
    <row r="66" customFormat="false" ht="14.25" hidden="false" customHeight="true" outlineLevel="0" collapsed="false">
      <c r="A66" s="94" t="s">
        <v>1447</v>
      </c>
      <c r="B66" s="95" t="n">
        <v>2</v>
      </c>
      <c r="C66" s="96" t="s">
        <v>42</v>
      </c>
      <c r="D66" s="32" t="s">
        <v>1991</v>
      </c>
      <c r="E66" s="163"/>
      <c r="F66" s="141" t="s">
        <v>117</v>
      </c>
      <c r="G66" s="144" t="n">
        <f aca="false">$G$19</f>
        <v>36</v>
      </c>
      <c r="I66" s="72"/>
      <c r="J66" s="72"/>
      <c r="K66" s="72"/>
      <c r="L66" s="84"/>
      <c r="M66" s="84"/>
      <c r="N66" s="84"/>
      <c r="P66" s="141" t="s">
        <v>117</v>
      </c>
      <c r="Q66" s="117" t="n">
        <f aca="false">$J$19</f>
        <v>55</v>
      </c>
      <c r="S66" s="72"/>
      <c r="T66" s="72"/>
      <c r="U66" s="72"/>
      <c r="V66" s="72"/>
      <c r="W66" s="72"/>
      <c r="X66" s="72"/>
      <c r="Y66" s="72"/>
      <c r="Z66" s="72"/>
      <c r="AA66" s="72"/>
      <c r="AB66" s="72"/>
      <c r="AC66" s="72"/>
    </row>
    <row r="67" customFormat="false" ht="14.25" hidden="false" customHeight="true" outlineLevel="0" collapsed="false">
      <c r="A67" s="94" t="s">
        <v>1447</v>
      </c>
      <c r="B67" s="95" t="n">
        <v>2</v>
      </c>
      <c r="C67" s="96" t="s">
        <v>1919</v>
      </c>
      <c r="D67" s="32" t="s">
        <v>1992</v>
      </c>
      <c r="E67" s="163"/>
      <c r="F67" s="141" t="s">
        <v>120</v>
      </c>
      <c r="G67" s="144" t="n">
        <f aca="false">$G$20</f>
        <v>45</v>
      </c>
      <c r="I67" s="72"/>
      <c r="J67" s="72"/>
      <c r="K67" s="72"/>
      <c r="L67" s="84"/>
      <c r="M67" s="84"/>
      <c r="N67" s="84"/>
      <c r="P67" s="141" t="s">
        <v>120</v>
      </c>
      <c r="Q67" s="117" t="n">
        <f aca="false">$J$20</f>
        <v>65</v>
      </c>
      <c r="S67" s="72"/>
      <c r="T67" s="72"/>
      <c r="U67" s="72"/>
      <c r="V67" s="72"/>
      <c r="W67" s="72"/>
      <c r="X67" s="72"/>
      <c r="Y67" s="72"/>
      <c r="Z67" s="72"/>
      <c r="AA67" s="72"/>
      <c r="AB67" s="72"/>
      <c r="AC67" s="72"/>
      <c r="AD67" s="72"/>
      <c r="AE67" s="72"/>
      <c r="AF67" s="72"/>
    </row>
    <row r="68" customFormat="false" ht="14.25" hidden="false" customHeight="true" outlineLevel="0" collapsed="false">
      <c r="A68" s="94" t="s">
        <v>1151</v>
      </c>
      <c r="B68" s="95" t="n">
        <v>2</v>
      </c>
      <c r="C68" s="96" t="s">
        <v>1447</v>
      </c>
      <c r="D68" s="32" t="s">
        <v>1993</v>
      </c>
      <c r="E68" s="163"/>
      <c r="F68" s="141" t="s">
        <v>114</v>
      </c>
      <c r="G68" s="144" t="n">
        <f aca="false">$G$18</f>
        <v>57</v>
      </c>
      <c r="I68" s="72"/>
      <c r="J68" s="72"/>
      <c r="K68" s="72"/>
      <c r="L68" s="84"/>
      <c r="M68" s="84"/>
      <c r="N68" s="84"/>
      <c r="P68" s="141" t="s">
        <v>114</v>
      </c>
      <c r="Q68" s="117" t="n">
        <f aca="false">$J$18</f>
        <v>46</v>
      </c>
      <c r="S68" s="72"/>
      <c r="T68" s="72"/>
      <c r="U68" s="72"/>
      <c r="V68" s="72"/>
      <c r="W68" s="72"/>
      <c r="X68" s="72"/>
      <c r="Y68" s="72"/>
      <c r="Z68" s="72"/>
      <c r="AA68" s="72"/>
      <c r="AB68" s="72"/>
      <c r="AC68" s="72"/>
      <c r="AD68" s="72"/>
      <c r="AE68" s="72"/>
      <c r="AF68" s="72"/>
    </row>
    <row r="69" customFormat="false" ht="14.25" hidden="false" customHeight="true" outlineLevel="0" collapsed="false">
      <c r="A69" s="94" t="s">
        <v>30</v>
      </c>
      <c r="B69" s="95" t="n">
        <v>2</v>
      </c>
      <c r="C69" s="96" t="s">
        <v>1447</v>
      </c>
      <c r="D69" s="32" t="s">
        <v>1993</v>
      </c>
      <c r="E69" s="163"/>
      <c r="I69" s="72"/>
      <c r="J69" s="72"/>
      <c r="K69" s="72"/>
      <c r="L69" s="84"/>
      <c r="M69" s="84"/>
      <c r="N69" s="84"/>
      <c r="O69" s="84"/>
      <c r="P69" s="8"/>
      <c r="S69" s="72"/>
      <c r="T69" s="72"/>
      <c r="U69" s="72"/>
      <c r="V69" s="72"/>
      <c r="W69" s="72"/>
      <c r="X69" s="72"/>
      <c r="Y69" s="72"/>
      <c r="Z69" s="72"/>
      <c r="AA69" s="72"/>
      <c r="AB69" s="72"/>
      <c r="AC69" s="72"/>
      <c r="AD69" s="72"/>
      <c r="AE69" s="72"/>
      <c r="AF69" s="72"/>
    </row>
    <row r="70" customFormat="false" ht="14.25" hidden="false" customHeight="true" outlineLevel="0" collapsed="false">
      <c r="A70" s="94" t="s">
        <v>30</v>
      </c>
      <c r="B70" s="95" t="n">
        <v>2</v>
      </c>
      <c r="C70" s="96" t="s">
        <v>1151</v>
      </c>
      <c r="D70" s="32" t="s">
        <v>1994</v>
      </c>
      <c r="E70" s="163"/>
      <c r="I70" s="72"/>
      <c r="J70" s="72"/>
      <c r="K70" s="72"/>
      <c r="L70" s="84"/>
      <c r="M70" s="84"/>
      <c r="N70" s="84"/>
      <c r="O70" s="84"/>
      <c r="P70" s="8"/>
      <c r="S70" s="72"/>
      <c r="T70" s="72"/>
      <c r="U70" s="72"/>
      <c r="V70" s="72"/>
      <c r="W70" s="72"/>
      <c r="X70" s="72"/>
      <c r="Y70" s="72"/>
      <c r="Z70" s="72"/>
      <c r="AA70" s="72"/>
      <c r="AB70" s="72"/>
      <c r="AC70" s="72"/>
      <c r="AD70" s="72"/>
      <c r="AE70" s="72"/>
      <c r="AF70" s="72"/>
    </row>
    <row r="71" customFormat="false" ht="14.25" hidden="false" customHeight="true" outlineLevel="0" collapsed="false">
      <c r="A71" s="94" t="s">
        <v>1447</v>
      </c>
      <c r="B71" s="95" t="n">
        <v>2</v>
      </c>
      <c r="C71" s="96" t="s">
        <v>30</v>
      </c>
      <c r="D71" s="17" t="s">
        <v>1995</v>
      </c>
      <c r="E71" s="156"/>
      <c r="I71" s="72"/>
      <c r="J71" s="72"/>
      <c r="K71" s="72"/>
      <c r="L71" s="84"/>
      <c r="M71" s="84"/>
      <c r="N71" s="84"/>
      <c r="O71" s="84"/>
      <c r="P71" s="8"/>
      <c r="S71" s="72"/>
      <c r="T71" s="72"/>
      <c r="U71" s="72"/>
      <c r="V71" s="72"/>
      <c r="W71" s="72"/>
      <c r="X71" s="72"/>
      <c r="Y71" s="72"/>
      <c r="Z71" s="72"/>
      <c r="AA71" s="72"/>
      <c r="AB71" s="72"/>
      <c r="AC71" s="72"/>
      <c r="AE71" s="72"/>
      <c r="AF71" s="72"/>
    </row>
    <row r="72" customFormat="false" ht="14.25" hidden="false" customHeight="true" outlineLevel="0" collapsed="false">
      <c r="A72" s="94" t="s">
        <v>1151</v>
      </c>
      <c r="B72" s="95" t="n">
        <v>2</v>
      </c>
      <c r="C72" s="96" t="s">
        <v>1447</v>
      </c>
      <c r="D72" s="32" t="s">
        <v>1996</v>
      </c>
      <c r="E72" s="163"/>
      <c r="I72" s="72"/>
      <c r="J72" s="72"/>
      <c r="K72" s="72"/>
      <c r="L72" s="84"/>
      <c r="M72" s="84"/>
      <c r="N72" s="84"/>
      <c r="O72" s="84"/>
      <c r="P72" s="8"/>
      <c r="S72" s="72"/>
      <c r="T72" s="72"/>
      <c r="U72" s="72"/>
      <c r="V72" s="72"/>
      <c r="W72" s="72"/>
      <c r="X72" s="72"/>
      <c r="Y72" s="72"/>
      <c r="Z72" s="72"/>
      <c r="AA72" s="72"/>
      <c r="AB72" s="72"/>
      <c r="AC72" s="72"/>
      <c r="AD72" s="72"/>
      <c r="AE72" s="72"/>
      <c r="AF72" s="72"/>
    </row>
    <row r="73" customFormat="false" ht="14.25" hidden="false" customHeight="true" outlineLevel="0" collapsed="false">
      <c r="A73" s="94" t="s">
        <v>33</v>
      </c>
      <c r="B73" s="95" t="n">
        <v>1</v>
      </c>
      <c r="C73" s="96" t="s">
        <v>40</v>
      </c>
      <c r="D73" s="32" t="s">
        <v>1997</v>
      </c>
      <c r="E73" s="163"/>
      <c r="F73" s="141" t="s">
        <v>108</v>
      </c>
      <c r="G73" s="41" t="s">
        <v>17</v>
      </c>
      <c r="I73" s="72"/>
      <c r="J73" s="72"/>
      <c r="K73" s="72"/>
      <c r="L73" s="84"/>
      <c r="M73" s="84"/>
      <c r="N73" s="84"/>
      <c r="P73" s="141" t="s">
        <v>108</v>
      </c>
      <c r="Q73" s="41" t="s">
        <v>20</v>
      </c>
      <c r="S73" s="72"/>
      <c r="T73" s="72"/>
      <c r="U73" s="72"/>
      <c r="V73" s="72"/>
      <c r="W73" s="72"/>
      <c r="X73" s="72"/>
      <c r="Y73" s="72"/>
      <c r="Z73" s="72"/>
      <c r="AA73" s="72"/>
      <c r="AB73" s="72"/>
      <c r="AC73" s="72"/>
      <c r="AD73" s="72"/>
      <c r="AE73" s="72"/>
      <c r="AF73" s="72"/>
    </row>
    <row r="74" customFormat="false" ht="14.25" hidden="false" customHeight="true" outlineLevel="0" collapsed="false">
      <c r="A74" s="94" t="s">
        <v>1447</v>
      </c>
      <c r="B74" s="95" t="n">
        <v>2</v>
      </c>
      <c r="C74" s="96" t="s">
        <v>30</v>
      </c>
      <c r="D74" s="32" t="s">
        <v>1998</v>
      </c>
      <c r="E74" s="163"/>
      <c r="F74" s="141" t="s">
        <v>120</v>
      </c>
      <c r="G74" s="118" t="n">
        <f aca="false">$H$20</f>
        <v>38</v>
      </c>
      <c r="I74" s="72"/>
      <c r="J74" s="72"/>
      <c r="K74" s="72"/>
      <c r="L74" s="84"/>
      <c r="M74" s="84"/>
      <c r="N74" s="84"/>
      <c r="P74" s="141" t="s">
        <v>120</v>
      </c>
      <c r="Q74" s="118" t="n">
        <f aca="false">$K$20</f>
        <v>51</v>
      </c>
      <c r="S74" s="72"/>
      <c r="T74" s="72"/>
      <c r="U74" s="72"/>
      <c r="V74" s="72"/>
      <c r="W74" s="72"/>
      <c r="X74" s="72"/>
      <c r="Y74" s="72"/>
      <c r="Z74" s="72"/>
      <c r="AA74" s="72"/>
      <c r="AB74" s="72"/>
      <c r="AC74" s="72"/>
      <c r="AD74" s="72"/>
      <c r="AE74" s="72"/>
      <c r="AF74" s="72"/>
    </row>
    <row r="75" customFormat="false" ht="14.25" hidden="false" customHeight="true" outlineLevel="0" collapsed="false">
      <c r="A75" s="94" t="s">
        <v>40</v>
      </c>
      <c r="B75" s="95" t="n">
        <v>2</v>
      </c>
      <c r="C75" s="96" t="s">
        <v>33</v>
      </c>
      <c r="D75" s="32" t="s">
        <v>1999</v>
      </c>
      <c r="E75" s="163"/>
      <c r="F75" s="141" t="s">
        <v>117</v>
      </c>
      <c r="G75" s="118" t="n">
        <f aca="false">$H$19</f>
        <v>38</v>
      </c>
      <c r="I75" s="72"/>
      <c r="J75" s="72"/>
      <c r="K75" s="72"/>
      <c r="L75" s="84"/>
      <c r="M75" s="84"/>
      <c r="N75" s="84"/>
      <c r="P75" s="141" t="s">
        <v>114</v>
      </c>
      <c r="Q75" s="118" t="n">
        <f aca="false">$K$18</f>
        <v>40</v>
      </c>
      <c r="S75" s="72"/>
      <c r="T75" s="72"/>
      <c r="U75" s="72"/>
      <c r="V75" s="72"/>
      <c r="W75" s="72"/>
      <c r="X75" s="72"/>
      <c r="Y75" s="72"/>
      <c r="Z75" s="72"/>
      <c r="AA75" s="72"/>
      <c r="AB75" s="72"/>
      <c r="AC75" s="72"/>
      <c r="AD75" s="72"/>
      <c r="AE75" s="72"/>
      <c r="AF75" s="72"/>
    </row>
    <row r="76" customFormat="false" ht="14.25" hidden="false" customHeight="true" outlineLevel="0" collapsed="false">
      <c r="A76" s="94" t="s">
        <v>1443</v>
      </c>
      <c r="B76" s="95" t="n">
        <v>2</v>
      </c>
      <c r="C76" s="96" t="s">
        <v>1151</v>
      </c>
      <c r="D76" s="32" t="s">
        <v>2000</v>
      </c>
      <c r="E76" s="163"/>
      <c r="F76" s="141" t="s">
        <v>111</v>
      </c>
      <c r="G76" s="118" t="n">
        <f aca="false">$H$17</f>
        <v>39</v>
      </c>
      <c r="I76" s="72"/>
      <c r="J76" s="72"/>
      <c r="K76" s="72"/>
      <c r="L76" s="84"/>
      <c r="M76" s="84"/>
      <c r="N76" s="84"/>
      <c r="P76" s="141" t="s">
        <v>117</v>
      </c>
      <c r="Q76" s="118" t="n">
        <f aca="false">$K$19</f>
        <v>42</v>
      </c>
      <c r="S76" s="72"/>
      <c r="T76" s="72"/>
      <c r="U76" s="72"/>
      <c r="V76" s="72"/>
      <c r="W76" s="72"/>
      <c r="X76" s="72"/>
      <c r="Y76" s="72"/>
      <c r="Z76" s="72"/>
      <c r="AA76" s="72"/>
      <c r="AB76" s="72"/>
      <c r="AC76" s="72"/>
      <c r="AD76" s="72"/>
      <c r="AE76" s="72"/>
      <c r="AF76" s="72"/>
    </row>
    <row r="77" customFormat="false" ht="14.25" hidden="false" customHeight="true" outlineLevel="0" collapsed="false">
      <c r="A77" s="94" t="s">
        <v>1151</v>
      </c>
      <c r="B77" s="95" t="n">
        <v>1</v>
      </c>
      <c r="C77" s="96" t="s">
        <v>33</v>
      </c>
      <c r="D77" s="32" t="s">
        <v>2001</v>
      </c>
      <c r="E77" s="163"/>
      <c r="F77" s="141" t="s">
        <v>114</v>
      </c>
      <c r="G77" s="118" t="n">
        <f aca="false">$H$18</f>
        <v>42</v>
      </c>
      <c r="I77" s="72"/>
      <c r="J77" s="72"/>
      <c r="K77" s="72"/>
      <c r="L77" s="84"/>
      <c r="M77" s="84"/>
      <c r="N77" s="84"/>
      <c r="P77" s="141" t="s">
        <v>111</v>
      </c>
      <c r="Q77" s="118" t="n">
        <f aca="false">$K$17</f>
        <v>61</v>
      </c>
      <c r="S77" s="72"/>
      <c r="T77" s="72"/>
      <c r="U77" s="72"/>
      <c r="V77" s="72"/>
      <c r="W77" s="72"/>
      <c r="X77" s="72"/>
      <c r="Y77" s="72"/>
      <c r="Z77" s="72"/>
      <c r="AA77" s="72"/>
      <c r="AB77" s="72"/>
      <c r="AC77" s="72"/>
      <c r="AD77" s="72"/>
      <c r="AE77" s="72"/>
      <c r="AF77" s="72"/>
    </row>
    <row r="78" customFormat="false" ht="14.25" hidden="false" customHeight="true" outlineLevel="0" collapsed="false">
      <c r="A78" s="94" t="s">
        <v>33</v>
      </c>
      <c r="B78" s="95" t="n">
        <v>1</v>
      </c>
      <c r="C78" s="96" t="s">
        <v>1151</v>
      </c>
      <c r="D78" s="32" t="s">
        <v>2002</v>
      </c>
      <c r="E78" s="163"/>
      <c r="I78" s="72"/>
      <c r="J78" s="72"/>
      <c r="K78" s="72"/>
      <c r="L78" s="84"/>
      <c r="M78" s="84"/>
      <c r="N78" s="84"/>
      <c r="O78" s="84"/>
      <c r="P78" s="8"/>
      <c r="S78" s="72"/>
      <c r="T78" s="72"/>
      <c r="U78" s="72"/>
      <c r="V78" s="72"/>
      <c r="W78" s="72"/>
      <c r="X78" s="72"/>
      <c r="Y78" s="72"/>
      <c r="Z78" s="72"/>
      <c r="AA78" s="72"/>
      <c r="AB78" s="72"/>
      <c r="AC78" s="72"/>
      <c r="AD78" s="72"/>
      <c r="AE78" s="72"/>
      <c r="AF78" s="72"/>
    </row>
    <row r="79" customFormat="false" ht="14.25" hidden="false" customHeight="true" outlineLevel="0" collapsed="false">
      <c r="A79" s="94" t="s">
        <v>43</v>
      </c>
      <c r="B79" s="95" t="n">
        <v>1</v>
      </c>
      <c r="C79" s="96" t="s">
        <v>40</v>
      </c>
      <c r="D79" s="32" t="s">
        <v>2003</v>
      </c>
      <c r="E79" s="163"/>
      <c r="I79" s="72"/>
      <c r="J79" s="72"/>
      <c r="K79" s="72"/>
      <c r="L79" s="84"/>
      <c r="M79" s="84"/>
      <c r="N79" s="84"/>
      <c r="O79" s="84"/>
      <c r="P79" s="8"/>
      <c r="S79" s="72"/>
      <c r="T79" s="72"/>
      <c r="U79" s="72"/>
      <c r="V79" s="72"/>
      <c r="W79" s="72"/>
      <c r="X79" s="72"/>
      <c r="Y79" s="72"/>
      <c r="Z79" s="72"/>
      <c r="AA79" s="72"/>
      <c r="AB79" s="72"/>
      <c r="AC79" s="72"/>
      <c r="AD79" s="72"/>
      <c r="AE79" s="72"/>
      <c r="AF79" s="72"/>
    </row>
    <row r="80" customFormat="false" ht="14.25" hidden="false" customHeight="true" outlineLevel="0" collapsed="false">
      <c r="A80" s="94" t="s">
        <v>1447</v>
      </c>
      <c r="B80" s="95" t="n">
        <v>1</v>
      </c>
      <c r="C80" s="96" t="s">
        <v>41</v>
      </c>
      <c r="D80" s="32" t="s">
        <v>2004</v>
      </c>
      <c r="E80" s="163"/>
      <c r="I80" s="72"/>
      <c r="J80" s="72"/>
      <c r="K80" s="72"/>
      <c r="L80" s="84"/>
      <c r="M80" s="84"/>
      <c r="N80" s="84"/>
      <c r="O80" s="84"/>
      <c r="P80" s="8"/>
      <c r="S80" s="72"/>
      <c r="T80" s="72"/>
      <c r="U80" s="72"/>
      <c r="V80" s="72"/>
      <c r="W80" s="72"/>
      <c r="X80" s="72"/>
      <c r="Y80" s="72"/>
      <c r="Z80" s="72"/>
      <c r="AA80" s="72"/>
      <c r="AB80" s="72"/>
      <c r="AC80" s="72"/>
      <c r="AD80" s="72"/>
      <c r="AE80" s="72"/>
      <c r="AF80" s="72"/>
    </row>
    <row r="81" customFormat="false" ht="14.25" hidden="false" customHeight="true" outlineLevel="0" collapsed="false">
      <c r="A81" s="94" t="s">
        <v>41</v>
      </c>
      <c r="B81" s="95" t="n">
        <v>1</v>
      </c>
      <c r="C81" s="96" t="s">
        <v>1447</v>
      </c>
      <c r="D81" s="17" t="s">
        <v>2005</v>
      </c>
      <c r="E81" s="156"/>
      <c r="I81" s="72"/>
      <c r="J81" s="72"/>
      <c r="K81" s="72"/>
      <c r="L81" s="84"/>
      <c r="M81" s="84"/>
      <c r="N81" s="84"/>
      <c r="O81" s="84"/>
      <c r="P81" s="8"/>
      <c r="S81" s="72"/>
      <c r="T81" s="72"/>
      <c r="U81" s="72"/>
      <c r="V81" s="72"/>
      <c r="W81" s="72"/>
      <c r="X81" s="72"/>
      <c r="Y81" s="72"/>
      <c r="Z81" s="72"/>
      <c r="AA81" s="72"/>
      <c r="AB81" s="72"/>
      <c r="AC81" s="72"/>
      <c r="AD81" s="72"/>
      <c r="AE81" s="72"/>
      <c r="AF81" s="72"/>
    </row>
    <row r="82" customFormat="false" ht="14.25" hidden="false" customHeight="true" outlineLevel="0" collapsed="false">
      <c r="A82" s="94" t="s">
        <v>41</v>
      </c>
      <c r="B82" s="95" t="n">
        <v>2</v>
      </c>
      <c r="C82" s="96" t="s">
        <v>1447</v>
      </c>
      <c r="D82" s="32" t="s">
        <v>2006</v>
      </c>
      <c r="E82" s="163"/>
      <c r="F82" s="141" t="s">
        <v>108</v>
      </c>
      <c r="G82" s="41" t="s">
        <v>18</v>
      </c>
      <c r="I82" s="72"/>
      <c r="J82" s="72"/>
      <c r="K82" s="72"/>
      <c r="L82" s="84"/>
      <c r="M82" s="84"/>
      <c r="N82" s="84"/>
      <c r="P82" s="141" t="s">
        <v>108</v>
      </c>
      <c r="Q82" s="41" t="s">
        <v>21</v>
      </c>
      <c r="S82" s="72"/>
      <c r="T82" s="72"/>
      <c r="U82" s="72"/>
      <c r="V82" s="72"/>
      <c r="W82" s="72"/>
      <c r="X82" s="72"/>
      <c r="Y82" s="72"/>
      <c r="Z82" s="72"/>
      <c r="AA82" s="72"/>
      <c r="AB82" s="72"/>
      <c r="AC82" s="72"/>
      <c r="AD82" s="72"/>
      <c r="AE82" s="72"/>
      <c r="AF82" s="72"/>
    </row>
    <row r="83" customFormat="false" ht="14.25" hidden="false" customHeight="true" outlineLevel="0" collapsed="false">
      <c r="A83" s="94" t="s">
        <v>41</v>
      </c>
      <c r="B83" s="95" t="n">
        <v>2</v>
      </c>
      <c r="C83" s="96" t="s">
        <v>40</v>
      </c>
      <c r="D83" s="32" t="s">
        <v>2007</v>
      </c>
      <c r="E83" s="163"/>
      <c r="F83" s="141" t="s">
        <v>111</v>
      </c>
      <c r="G83" s="145" t="n">
        <f aca="false">$I$17</f>
        <v>0.487179487179487</v>
      </c>
      <c r="I83" s="72"/>
      <c r="J83" s="72"/>
      <c r="K83" s="72"/>
      <c r="L83" s="84"/>
      <c r="M83" s="84"/>
      <c r="N83" s="84"/>
      <c r="P83" s="141" t="s">
        <v>111</v>
      </c>
      <c r="Q83" s="145" t="n">
        <f aca="false">$L$17</f>
        <v>0.459016393442623</v>
      </c>
      <c r="S83" s="72"/>
      <c r="T83" s="72"/>
      <c r="U83" s="72"/>
      <c r="V83" s="72"/>
      <c r="W83" s="72"/>
      <c r="X83" s="72"/>
      <c r="Y83" s="72"/>
      <c r="Z83" s="72"/>
      <c r="AA83" s="72"/>
      <c r="AB83" s="72"/>
      <c r="AC83" s="72"/>
      <c r="AD83" s="72"/>
      <c r="AE83" s="72"/>
      <c r="AF83" s="72"/>
    </row>
    <row r="84" customFormat="false" ht="14.25" hidden="false" customHeight="true" outlineLevel="0" collapsed="false">
      <c r="A84" s="94" t="s">
        <v>1447</v>
      </c>
      <c r="B84" s="95" t="n">
        <v>2</v>
      </c>
      <c r="C84" s="96" t="s">
        <v>1443</v>
      </c>
      <c r="D84" s="32" t="s">
        <v>2008</v>
      </c>
      <c r="E84" s="163"/>
      <c r="F84" s="141" t="s">
        <v>117</v>
      </c>
      <c r="G84" s="145" t="n">
        <f aca="false">$I$19</f>
        <v>0.947368421052632</v>
      </c>
      <c r="I84" s="72"/>
      <c r="J84" s="72"/>
      <c r="K84" s="72"/>
      <c r="L84" s="84"/>
      <c r="M84" s="84"/>
      <c r="N84" s="84"/>
      <c r="P84" s="141" t="s">
        <v>117</v>
      </c>
      <c r="Q84" s="145" t="n">
        <f aca="false">$L$19</f>
        <v>1.30952380952381</v>
      </c>
      <c r="S84" s="72"/>
      <c r="T84" s="72"/>
      <c r="U84" s="72"/>
      <c r="V84" s="72"/>
      <c r="W84" s="72"/>
      <c r="X84" s="72"/>
      <c r="Y84" s="72"/>
      <c r="Z84" s="72"/>
      <c r="AA84" s="72"/>
      <c r="AB84" s="72"/>
      <c r="AC84" s="72"/>
      <c r="AD84" s="72"/>
      <c r="AE84" s="72"/>
      <c r="AF84" s="72"/>
    </row>
    <row r="85" customFormat="false" ht="14.25" hidden="false" customHeight="true" outlineLevel="0" collapsed="false">
      <c r="A85" s="94" t="s">
        <v>30</v>
      </c>
      <c r="B85" s="95" t="n">
        <v>2</v>
      </c>
      <c r="C85" s="96" t="s">
        <v>1151</v>
      </c>
      <c r="D85" s="32" t="s">
        <v>2009</v>
      </c>
      <c r="E85" s="163"/>
      <c r="F85" s="141" t="s">
        <v>120</v>
      </c>
      <c r="G85" s="145" t="n">
        <f aca="false">$I$20</f>
        <v>1.18421052631579</v>
      </c>
      <c r="I85" s="72"/>
      <c r="J85" s="72"/>
      <c r="K85" s="72"/>
      <c r="L85" s="84"/>
      <c r="M85" s="84"/>
      <c r="N85" s="84"/>
      <c r="P85" s="141" t="s">
        <v>120</v>
      </c>
      <c r="Q85" s="145" t="n">
        <f aca="false">$L$20</f>
        <v>1.27450980392157</v>
      </c>
      <c r="S85" s="72"/>
      <c r="T85" s="72"/>
      <c r="U85" s="72"/>
      <c r="V85" s="72"/>
      <c r="W85" s="72"/>
      <c r="X85" s="72"/>
      <c r="Y85" s="72"/>
      <c r="Z85" s="72"/>
      <c r="AA85" s="72"/>
      <c r="AB85" s="72"/>
      <c r="AC85" s="72"/>
      <c r="AD85" s="72"/>
      <c r="AE85" s="72"/>
      <c r="AF85" s="72"/>
      <c r="AI85" s="72"/>
      <c r="AJ85" s="84"/>
    </row>
    <row r="86" customFormat="false" ht="14.25" hidden="false" customHeight="true" outlineLevel="0" collapsed="false">
      <c r="A86" s="94" t="s">
        <v>43</v>
      </c>
      <c r="B86" s="95" t="n">
        <v>2</v>
      </c>
      <c r="C86" s="96" t="s">
        <v>30</v>
      </c>
      <c r="D86" s="32" t="s">
        <v>2010</v>
      </c>
      <c r="E86" s="163"/>
      <c r="F86" s="141" t="s">
        <v>114</v>
      </c>
      <c r="G86" s="145" t="n">
        <f aca="false">$I$18</f>
        <v>1.35714285714286</v>
      </c>
      <c r="I86" s="72"/>
      <c r="J86" s="72"/>
      <c r="K86" s="72"/>
      <c r="L86" s="84"/>
      <c r="M86" s="84"/>
      <c r="N86" s="84"/>
      <c r="P86" s="141" t="s">
        <v>114</v>
      </c>
      <c r="Q86" s="145" t="n">
        <f aca="false">$L$18</f>
        <v>1.15</v>
      </c>
      <c r="S86" s="72"/>
      <c r="T86" s="72"/>
      <c r="U86" s="72"/>
      <c r="V86" s="72"/>
      <c r="W86" s="72"/>
      <c r="X86" s="72"/>
      <c r="Y86" s="72"/>
      <c r="Z86" s="72"/>
      <c r="AA86" s="72"/>
      <c r="AB86" s="72"/>
      <c r="AC86" s="72"/>
      <c r="AD86" s="72"/>
      <c r="AE86" s="72"/>
      <c r="AF86" s="72"/>
      <c r="AI86" s="72"/>
      <c r="AJ86" s="84"/>
    </row>
    <row r="87" customFormat="false" ht="14.25" hidden="false" customHeight="true" outlineLevel="0" collapsed="false">
      <c r="A87" s="94" t="s">
        <v>1443</v>
      </c>
      <c r="B87" s="95" t="n">
        <v>2</v>
      </c>
      <c r="C87" s="96" t="s">
        <v>1919</v>
      </c>
      <c r="D87" s="32" t="s">
        <v>2011</v>
      </c>
      <c r="E87" s="163"/>
      <c r="I87" s="72"/>
      <c r="J87" s="72"/>
      <c r="K87" s="72"/>
      <c r="L87" s="84"/>
      <c r="M87" s="84"/>
      <c r="N87" s="84"/>
      <c r="O87" s="84"/>
      <c r="P87" s="8"/>
      <c r="S87" s="72"/>
      <c r="T87" s="72"/>
      <c r="U87" s="72"/>
      <c r="V87" s="72"/>
      <c r="W87" s="72"/>
      <c r="X87" s="72"/>
      <c r="Y87" s="72"/>
      <c r="Z87" s="72"/>
      <c r="AA87" s="72"/>
      <c r="AB87" s="72"/>
      <c r="AC87" s="72"/>
      <c r="AD87" s="72"/>
      <c r="AE87" s="72"/>
      <c r="AF87" s="72"/>
      <c r="AI87" s="72"/>
      <c r="AJ87" s="84"/>
    </row>
    <row r="88" customFormat="false" ht="14.25" hidden="false" customHeight="true" outlineLevel="0" collapsed="false">
      <c r="A88" s="94" t="s">
        <v>41</v>
      </c>
      <c r="B88" s="95" t="n">
        <v>2</v>
      </c>
      <c r="C88" s="96" t="s">
        <v>1443</v>
      </c>
      <c r="D88" s="32" t="s">
        <v>2012</v>
      </c>
      <c r="E88" s="163"/>
      <c r="I88" s="72"/>
      <c r="J88" s="72"/>
      <c r="K88" s="72"/>
      <c r="L88" s="84"/>
      <c r="M88" s="84"/>
      <c r="N88" s="84"/>
      <c r="O88" s="84"/>
      <c r="P88" s="8"/>
      <c r="S88" s="72"/>
      <c r="T88" s="72"/>
      <c r="U88" s="72"/>
      <c r="V88" s="72"/>
      <c r="W88" s="72"/>
      <c r="X88" s="72"/>
      <c r="Y88" s="72"/>
      <c r="Z88" s="72"/>
      <c r="AA88" s="72"/>
      <c r="AB88" s="72"/>
      <c r="AC88" s="72"/>
      <c r="AD88" s="72"/>
      <c r="AE88" s="72"/>
      <c r="AF88" s="72"/>
      <c r="AI88" s="72"/>
      <c r="AJ88" s="84"/>
    </row>
    <row r="89" customFormat="false" ht="14.25" hidden="false" customHeight="true" outlineLevel="0" collapsed="false">
      <c r="A89" s="94" t="s">
        <v>1443</v>
      </c>
      <c r="B89" s="95" t="n">
        <v>2</v>
      </c>
      <c r="C89" s="96" t="s">
        <v>41</v>
      </c>
      <c r="D89" s="32" t="s">
        <v>2013</v>
      </c>
      <c r="E89" s="163"/>
      <c r="I89" s="72"/>
      <c r="J89" s="72"/>
      <c r="K89" s="72"/>
      <c r="L89" s="84"/>
      <c r="M89" s="84"/>
      <c r="N89" s="84"/>
      <c r="O89" s="84"/>
      <c r="P89" s="8"/>
      <c r="S89" s="72"/>
      <c r="T89" s="72"/>
      <c r="U89" s="72"/>
      <c r="V89" s="72"/>
      <c r="W89" s="72"/>
      <c r="X89" s="72"/>
      <c r="Y89" s="72"/>
      <c r="Z89" s="72"/>
      <c r="AA89" s="72"/>
      <c r="AB89" s="72"/>
      <c r="AC89" s="72"/>
      <c r="AD89" s="72"/>
      <c r="AE89" s="72"/>
      <c r="AF89" s="72"/>
      <c r="AI89" s="72"/>
      <c r="AJ89" s="84"/>
    </row>
    <row r="90" customFormat="false" ht="14.25" hidden="false" customHeight="true" outlineLevel="0" collapsed="false">
      <c r="A90" s="94" t="s">
        <v>1447</v>
      </c>
      <c r="B90" s="95" t="n">
        <v>2</v>
      </c>
      <c r="C90" s="96" t="s">
        <v>1154</v>
      </c>
      <c r="D90" s="32" t="s">
        <v>2014</v>
      </c>
      <c r="E90" s="163"/>
      <c r="I90" s="72"/>
      <c r="J90" s="72"/>
      <c r="K90" s="72"/>
      <c r="L90" s="84"/>
      <c r="M90" s="84"/>
      <c r="N90" s="84"/>
      <c r="O90" s="84"/>
      <c r="P90" s="8"/>
      <c r="S90" s="72"/>
      <c r="T90" s="72"/>
      <c r="U90" s="72"/>
      <c r="V90" s="72"/>
      <c r="W90" s="72"/>
      <c r="X90" s="72"/>
      <c r="Y90" s="72"/>
      <c r="Z90" s="72"/>
      <c r="AA90" s="72"/>
      <c r="AB90" s="72"/>
      <c r="AC90" s="72"/>
      <c r="AD90" s="72"/>
      <c r="AE90" s="72"/>
      <c r="AF90" s="72"/>
      <c r="AI90" s="72"/>
      <c r="AJ90" s="84"/>
    </row>
    <row r="91" customFormat="false" ht="14.25" hidden="false" customHeight="true" outlineLevel="0" collapsed="false">
      <c r="A91" s="94" t="s">
        <v>30</v>
      </c>
      <c r="B91" s="95" t="n">
        <v>1</v>
      </c>
      <c r="C91" s="96" t="s">
        <v>43</v>
      </c>
      <c r="D91" s="32" t="s">
        <v>2015</v>
      </c>
      <c r="E91" s="163"/>
      <c r="I91" s="72"/>
      <c r="J91" s="72"/>
      <c r="K91" s="72"/>
      <c r="L91" s="84"/>
      <c r="M91" s="84"/>
      <c r="N91" s="84"/>
      <c r="O91" s="84"/>
      <c r="P91" s="8"/>
      <c r="S91" s="72"/>
      <c r="T91" s="72"/>
      <c r="U91" s="72"/>
      <c r="V91" s="72"/>
      <c r="W91" s="72"/>
      <c r="X91" s="72"/>
      <c r="Y91" s="72"/>
      <c r="Z91" s="72"/>
      <c r="AA91" s="72"/>
      <c r="AB91" s="72"/>
      <c r="AC91" s="72"/>
      <c r="AD91" s="72"/>
      <c r="AE91" s="72"/>
      <c r="AF91" s="72"/>
      <c r="AI91" s="72"/>
      <c r="AJ91" s="84"/>
    </row>
    <row r="92" customFormat="false" ht="14.25" hidden="false" customHeight="true" outlineLevel="0" collapsed="false">
      <c r="A92" s="94" t="s">
        <v>41</v>
      </c>
      <c r="B92" s="95" t="n">
        <v>2</v>
      </c>
      <c r="C92" s="96" t="s">
        <v>1447</v>
      </c>
      <c r="D92" s="32" t="s">
        <v>2016</v>
      </c>
      <c r="E92" s="163"/>
      <c r="I92" s="72"/>
      <c r="J92" s="72"/>
      <c r="K92" s="72"/>
      <c r="L92" s="84"/>
      <c r="M92" s="84"/>
      <c r="N92" s="84"/>
      <c r="O92" s="84"/>
      <c r="P92" s="8"/>
      <c r="S92" s="72"/>
      <c r="T92" s="72"/>
      <c r="U92" s="72"/>
      <c r="V92" s="72"/>
      <c r="W92" s="72"/>
      <c r="X92" s="72"/>
      <c r="Y92" s="72"/>
      <c r="Z92" s="72"/>
      <c r="AA92" s="72"/>
      <c r="AB92" s="72"/>
      <c r="AC92" s="72"/>
      <c r="AD92" s="72"/>
      <c r="AE92" s="72"/>
      <c r="AF92" s="72"/>
      <c r="AI92" s="72"/>
      <c r="AJ92" s="84"/>
    </row>
    <row r="93" customFormat="false" ht="14.25" hidden="false" customHeight="true" outlineLevel="0" collapsed="false">
      <c r="A93" s="94" t="s">
        <v>43</v>
      </c>
      <c r="B93" s="95" t="n">
        <v>2</v>
      </c>
      <c r="C93" s="96" t="s">
        <v>30</v>
      </c>
      <c r="D93" s="32" t="s">
        <v>2017</v>
      </c>
      <c r="E93" s="163"/>
      <c r="I93" s="72"/>
      <c r="J93" s="72"/>
      <c r="K93" s="72"/>
      <c r="L93" s="84"/>
      <c r="M93" s="84"/>
      <c r="N93" s="84"/>
      <c r="O93" s="84"/>
      <c r="P93" s="8"/>
      <c r="S93" s="72"/>
      <c r="T93" s="72"/>
      <c r="U93" s="72"/>
      <c r="V93" s="72"/>
      <c r="W93" s="72"/>
      <c r="X93" s="72"/>
      <c r="Y93" s="72"/>
      <c r="Z93" s="72"/>
      <c r="AA93" s="72"/>
      <c r="AB93" s="72"/>
      <c r="AC93" s="72"/>
      <c r="AD93" s="72"/>
      <c r="AE93" s="72"/>
      <c r="AF93" s="72"/>
      <c r="AI93" s="72"/>
      <c r="AJ93" s="84"/>
    </row>
    <row r="94" customFormat="false" ht="14.25" hidden="false" customHeight="true" outlineLevel="0" collapsed="false">
      <c r="A94" s="94" t="s">
        <v>1151</v>
      </c>
      <c r="B94" s="95" t="n">
        <v>2</v>
      </c>
      <c r="C94" s="96" t="s">
        <v>30</v>
      </c>
      <c r="D94" s="32" t="s">
        <v>2018</v>
      </c>
      <c r="E94" s="163"/>
      <c r="I94" s="72"/>
      <c r="J94" s="72"/>
      <c r="K94" s="72"/>
      <c r="L94" s="84"/>
      <c r="M94" s="84"/>
      <c r="N94" s="84"/>
      <c r="O94" s="84"/>
      <c r="P94" s="8"/>
      <c r="S94" s="72"/>
      <c r="T94" s="72"/>
      <c r="U94" s="72"/>
      <c r="V94" s="72"/>
      <c r="W94" s="72"/>
      <c r="X94" s="72"/>
      <c r="Y94" s="72"/>
      <c r="Z94" s="72"/>
      <c r="AA94" s="72"/>
      <c r="AB94" s="72"/>
      <c r="AC94" s="72"/>
      <c r="AD94" s="72"/>
      <c r="AE94" s="72"/>
      <c r="AF94" s="72"/>
      <c r="AI94" s="72"/>
      <c r="AJ94" s="84"/>
    </row>
    <row r="95" customFormat="false" ht="14.25" hidden="false" customHeight="true" outlineLevel="0" collapsed="false">
      <c r="A95" s="94" t="s">
        <v>41</v>
      </c>
      <c r="B95" s="95" t="n">
        <v>1</v>
      </c>
      <c r="C95" s="96" t="s">
        <v>1447</v>
      </c>
      <c r="D95" s="32" t="s">
        <v>2019</v>
      </c>
      <c r="E95" s="163"/>
      <c r="I95" s="72"/>
      <c r="J95" s="72"/>
      <c r="K95" s="72"/>
      <c r="L95" s="84"/>
      <c r="M95" s="84"/>
      <c r="N95" s="84"/>
      <c r="O95" s="84"/>
      <c r="P95" s="8"/>
      <c r="S95" s="72"/>
      <c r="T95" s="72"/>
      <c r="U95" s="72"/>
      <c r="V95" s="72"/>
      <c r="W95" s="72"/>
      <c r="X95" s="72"/>
      <c r="Y95" s="72"/>
      <c r="Z95" s="72"/>
      <c r="AA95" s="72"/>
      <c r="AB95" s="72"/>
      <c r="AC95" s="72"/>
      <c r="AD95" s="72"/>
      <c r="AE95" s="72"/>
      <c r="AF95" s="72"/>
      <c r="AI95" s="72"/>
      <c r="AJ95" s="84"/>
    </row>
    <row r="96" customFormat="false" ht="14.25" hidden="false" customHeight="true" outlineLevel="0" collapsed="false">
      <c r="A96" s="94" t="s">
        <v>1447</v>
      </c>
      <c r="B96" s="95" t="n">
        <v>1</v>
      </c>
      <c r="C96" s="96" t="s">
        <v>41</v>
      </c>
      <c r="D96" s="32" t="s">
        <v>2020</v>
      </c>
      <c r="E96" s="163"/>
      <c r="I96" s="72"/>
      <c r="J96" s="72"/>
      <c r="K96" s="72"/>
      <c r="L96" s="84"/>
      <c r="M96" s="84"/>
      <c r="N96" s="84"/>
      <c r="O96" s="84"/>
      <c r="P96" s="8"/>
      <c r="S96" s="72"/>
      <c r="T96" s="72"/>
      <c r="U96" s="72"/>
      <c r="V96" s="72"/>
      <c r="W96" s="72"/>
      <c r="X96" s="72"/>
      <c r="Y96" s="72"/>
      <c r="Z96" s="72"/>
      <c r="AA96" s="72"/>
      <c r="AB96" s="72"/>
      <c r="AC96" s="72"/>
      <c r="AD96" s="72"/>
      <c r="AE96" s="72"/>
      <c r="AF96" s="72"/>
      <c r="AI96" s="72"/>
      <c r="AJ96" s="84"/>
    </row>
    <row r="97" customFormat="false" ht="14.25" hidden="false" customHeight="true" outlineLevel="0" collapsed="false">
      <c r="A97" s="94" t="s">
        <v>1447</v>
      </c>
      <c r="B97" s="95" t="n">
        <v>2</v>
      </c>
      <c r="C97" s="96" t="s">
        <v>30</v>
      </c>
      <c r="D97" s="32" t="s">
        <v>2021</v>
      </c>
      <c r="E97" s="163"/>
      <c r="I97" s="72"/>
      <c r="J97" s="72"/>
      <c r="K97" s="72"/>
      <c r="L97" s="84"/>
      <c r="M97" s="84"/>
      <c r="N97" s="84"/>
      <c r="O97" s="84"/>
      <c r="P97" s="8"/>
      <c r="S97" s="72"/>
      <c r="T97" s="72"/>
      <c r="U97" s="72"/>
      <c r="V97" s="72"/>
      <c r="W97" s="72"/>
      <c r="X97" s="72"/>
      <c r="Y97" s="72"/>
      <c r="Z97" s="72"/>
      <c r="AA97" s="72"/>
      <c r="AB97" s="72"/>
      <c r="AC97" s="72"/>
      <c r="AD97" s="72"/>
      <c r="AE97" s="72"/>
      <c r="AF97" s="72"/>
      <c r="AI97" s="72"/>
      <c r="AJ97" s="84"/>
    </row>
    <row r="98" customFormat="false" ht="14.25" hidden="false" customHeight="true" outlineLevel="0" collapsed="false">
      <c r="A98" s="94" t="s">
        <v>41</v>
      </c>
      <c r="B98" s="95" t="n">
        <v>2</v>
      </c>
      <c r="C98" s="96" t="s">
        <v>30</v>
      </c>
      <c r="D98" s="32" t="s">
        <v>2022</v>
      </c>
      <c r="E98" s="163"/>
      <c r="I98" s="72"/>
      <c r="J98" s="72"/>
      <c r="K98" s="72"/>
      <c r="L98" s="84"/>
      <c r="M98" s="84"/>
      <c r="N98" s="84"/>
      <c r="O98" s="84"/>
      <c r="P98" s="8"/>
      <c r="S98" s="72"/>
      <c r="T98" s="72"/>
      <c r="U98" s="72"/>
      <c r="V98" s="72"/>
      <c r="W98" s="72"/>
      <c r="X98" s="72"/>
      <c r="Y98" s="72"/>
      <c r="Z98" s="72"/>
      <c r="AA98" s="72"/>
      <c r="AB98" s="72"/>
      <c r="AC98" s="72"/>
      <c r="AD98" s="72"/>
      <c r="AE98" s="72"/>
      <c r="AF98" s="72"/>
      <c r="AI98" s="72"/>
      <c r="AJ98" s="84"/>
    </row>
    <row r="99" customFormat="false" ht="14.25" hidden="false" customHeight="true" outlineLevel="0" collapsed="false">
      <c r="A99" s="94" t="s">
        <v>1447</v>
      </c>
      <c r="B99" s="95" t="n">
        <v>2</v>
      </c>
      <c r="C99" s="96" t="s">
        <v>1919</v>
      </c>
      <c r="D99" s="32" t="s">
        <v>2023</v>
      </c>
      <c r="E99" s="163"/>
      <c r="I99" s="72"/>
      <c r="J99" s="72"/>
      <c r="K99" s="72"/>
      <c r="L99" s="84"/>
      <c r="M99" s="84"/>
      <c r="N99" s="84"/>
      <c r="O99" s="84"/>
      <c r="P99" s="8"/>
      <c r="S99" s="72"/>
      <c r="T99" s="72"/>
      <c r="U99" s="72"/>
      <c r="V99" s="72"/>
      <c r="W99" s="72"/>
      <c r="X99" s="72"/>
      <c r="Y99" s="72"/>
      <c r="Z99" s="72"/>
      <c r="AA99" s="72"/>
      <c r="AB99" s="72"/>
      <c r="AC99" s="72"/>
      <c r="AD99" s="72"/>
      <c r="AE99" s="72"/>
      <c r="AF99" s="72"/>
      <c r="AI99" s="72"/>
      <c r="AJ99" s="84"/>
    </row>
    <row r="100" customFormat="false" ht="14.25" hidden="false" customHeight="true" outlineLevel="0" collapsed="false">
      <c r="A100" s="94" t="s">
        <v>1151</v>
      </c>
      <c r="B100" s="95" t="n">
        <v>2</v>
      </c>
      <c r="C100" s="96" t="s">
        <v>30</v>
      </c>
      <c r="D100" s="32" t="s">
        <v>2024</v>
      </c>
      <c r="E100" s="163"/>
      <c r="I100" s="72"/>
      <c r="J100" s="72"/>
      <c r="K100" s="72"/>
      <c r="L100" s="84"/>
      <c r="M100" s="84"/>
      <c r="N100" s="84"/>
      <c r="O100" s="84"/>
      <c r="P100" s="8"/>
      <c r="S100" s="72"/>
      <c r="T100" s="72"/>
      <c r="U100" s="72"/>
      <c r="V100" s="72"/>
      <c r="W100" s="72"/>
      <c r="X100" s="72"/>
      <c r="Y100" s="72"/>
      <c r="Z100" s="72"/>
      <c r="AA100" s="72"/>
      <c r="AB100" s="72"/>
      <c r="AC100" s="72"/>
      <c r="AD100" s="72"/>
      <c r="AE100" s="72"/>
      <c r="AF100" s="72"/>
      <c r="AI100" s="72"/>
      <c r="AJ100" s="84"/>
    </row>
    <row r="101" customFormat="false" ht="14.25" hidden="false" customHeight="true" outlineLevel="0" collapsed="false">
      <c r="A101" s="94" t="s">
        <v>1151</v>
      </c>
      <c r="B101" s="95" t="n">
        <v>2</v>
      </c>
      <c r="C101" s="96" t="s">
        <v>11</v>
      </c>
      <c r="D101" s="32" t="s">
        <v>2025</v>
      </c>
      <c r="E101" s="163"/>
      <c r="I101" s="72"/>
      <c r="J101" s="72"/>
      <c r="K101" s="72"/>
      <c r="L101" s="84"/>
      <c r="M101" s="84"/>
      <c r="N101" s="84"/>
      <c r="O101" s="84"/>
      <c r="P101" s="8"/>
      <c r="S101" s="72"/>
      <c r="T101" s="72"/>
      <c r="U101" s="72"/>
      <c r="V101" s="72"/>
      <c r="W101" s="72"/>
      <c r="X101" s="72"/>
      <c r="Y101" s="72"/>
      <c r="Z101" s="72"/>
      <c r="AA101" s="72"/>
      <c r="AB101" s="72"/>
      <c r="AC101" s="72"/>
      <c r="AD101" s="72"/>
      <c r="AE101" s="72"/>
      <c r="AF101" s="72"/>
      <c r="AI101" s="72"/>
      <c r="AJ101" s="84"/>
    </row>
    <row r="102" customFormat="false" ht="14.25" hidden="false" customHeight="true" outlineLevel="0" collapsed="false">
      <c r="A102" s="94" t="s">
        <v>11</v>
      </c>
      <c r="B102" s="95" t="n">
        <v>1</v>
      </c>
      <c r="C102" s="96" t="s">
        <v>1151</v>
      </c>
      <c r="D102" s="32" t="s">
        <v>2026</v>
      </c>
      <c r="E102" s="163"/>
      <c r="I102" s="72"/>
      <c r="J102" s="72"/>
      <c r="K102" s="72"/>
      <c r="L102" s="84"/>
      <c r="M102" s="84"/>
      <c r="N102" s="84"/>
      <c r="O102" s="84"/>
      <c r="P102" s="8"/>
      <c r="S102" s="72"/>
      <c r="T102" s="72"/>
      <c r="U102" s="72"/>
      <c r="V102" s="72"/>
      <c r="W102" s="72"/>
      <c r="X102" s="72"/>
      <c r="Y102" s="72"/>
      <c r="Z102" s="72"/>
      <c r="AA102" s="72"/>
      <c r="AB102" s="72"/>
      <c r="AC102" s="72"/>
      <c r="AD102" s="72"/>
      <c r="AE102" s="72"/>
      <c r="AF102" s="72"/>
      <c r="AI102" s="72"/>
      <c r="AJ102" s="84"/>
    </row>
    <row r="103" customFormat="false" ht="14.25" hidden="false" customHeight="true" outlineLevel="0" collapsed="false">
      <c r="A103" s="94" t="s">
        <v>1151</v>
      </c>
      <c r="B103" s="95" t="n">
        <v>2</v>
      </c>
      <c r="C103" s="96" t="s">
        <v>33</v>
      </c>
      <c r="D103" s="32" t="s">
        <v>2027</v>
      </c>
      <c r="E103" s="163"/>
      <c r="I103" s="72"/>
      <c r="J103" s="72"/>
      <c r="K103" s="72"/>
      <c r="L103" s="84"/>
      <c r="M103" s="84"/>
      <c r="N103" s="84"/>
      <c r="O103" s="84"/>
      <c r="P103" s="8"/>
      <c r="S103" s="72"/>
      <c r="T103" s="72"/>
      <c r="U103" s="72"/>
      <c r="V103" s="72"/>
      <c r="W103" s="72"/>
      <c r="X103" s="72"/>
      <c r="Y103" s="72"/>
      <c r="Z103" s="72"/>
      <c r="AA103" s="72"/>
      <c r="AB103" s="72"/>
      <c r="AC103" s="72"/>
      <c r="AD103" s="72"/>
      <c r="AE103" s="72"/>
      <c r="AF103" s="72"/>
      <c r="AI103" s="72"/>
      <c r="AJ103" s="84"/>
    </row>
    <row r="104" customFormat="false" ht="14.25" hidden="false" customHeight="true" outlineLevel="0" collapsed="false">
      <c r="A104" s="94" t="s">
        <v>11</v>
      </c>
      <c r="B104" s="95" t="n">
        <v>2</v>
      </c>
      <c r="C104" s="96" t="s">
        <v>33</v>
      </c>
      <c r="D104" s="32" t="s">
        <v>2028</v>
      </c>
      <c r="E104" s="163"/>
      <c r="I104" s="72"/>
      <c r="J104" s="72"/>
      <c r="K104" s="72"/>
      <c r="L104" s="84"/>
      <c r="M104" s="84"/>
      <c r="N104" s="84"/>
      <c r="O104" s="84"/>
      <c r="P104" s="8"/>
      <c r="S104" s="72"/>
      <c r="T104" s="72"/>
      <c r="U104" s="72"/>
      <c r="V104" s="72"/>
      <c r="W104" s="72"/>
      <c r="X104" s="72"/>
      <c r="Y104" s="72"/>
      <c r="Z104" s="72"/>
      <c r="AA104" s="72"/>
      <c r="AB104" s="72"/>
      <c r="AC104" s="72"/>
      <c r="AD104" s="72"/>
      <c r="AE104" s="72"/>
      <c r="AF104" s="72"/>
      <c r="AI104" s="72"/>
      <c r="AJ104" s="84"/>
    </row>
    <row r="105" customFormat="false" ht="14.25" hidden="false" customHeight="true" outlineLevel="0" collapsed="false">
      <c r="A105" s="94" t="s">
        <v>1154</v>
      </c>
      <c r="B105" s="95" t="n">
        <v>2</v>
      </c>
      <c r="C105" s="96" t="s">
        <v>40</v>
      </c>
      <c r="D105" s="32" t="s">
        <v>2029</v>
      </c>
      <c r="E105" s="163"/>
      <c r="I105" s="72"/>
      <c r="J105" s="72"/>
      <c r="K105" s="72"/>
      <c r="L105" s="84"/>
      <c r="M105" s="84"/>
      <c r="N105" s="84"/>
      <c r="O105" s="84"/>
      <c r="P105" s="8"/>
      <c r="S105" s="72"/>
      <c r="T105" s="72"/>
      <c r="U105" s="72"/>
      <c r="V105" s="72"/>
      <c r="W105" s="72"/>
      <c r="X105" s="72"/>
      <c r="Y105" s="72"/>
      <c r="Z105" s="72"/>
      <c r="AA105" s="72"/>
      <c r="AB105" s="72"/>
      <c r="AC105" s="72"/>
      <c r="AD105" s="72"/>
      <c r="AE105" s="72"/>
      <c r="AF105" s="72"/>
      <c r="AI105" s="72"/>
      <c r="AJ105" s="84"/>
    </row>
    <row r="106" customFormat="false" ht="14.25" hidden="false" customHeight="true" outlineLevel="0" collapsed="false">
      <c r="A106" s="94" t="s">
        <v>1443</v>
      </c>
      <c r="B106" s="95" t="n">
        <v>2</v>
      </c>
      <c r="C106" s="96" t="s">
        <v>11</v>
      </c>
      <c r="D106" s="32" t="s">
        <v>2030</v>
      </c>
      <c r="E106" s="163"/>
      <c r="I106" s="72"/>
      <c r="J106" s="72"/>
      <c r="K106" s="72"/>
      <c r="L106" s="84"/>
      <c r="M106" s="84"/>
      <c r="N106" s="84"/>
      <c r="O106" s="84"/>
      <c r="P106" s="8"/>
      <c r="S106" s="72"/>
      <c r="T106" s="72"/>
      <c r="U106" s="72"/>
      <c r="V106" s="72"/>
      <c r="W106" s="72"/>
      <c r="X106" s="72"/>
      <c r="Y106" s="72"/>
      <c r="Z106" s="72"/>
      <c r="AA106" s="72"/>
      <c r="AB106" s="72"/>
      <c r="AC106" s="72"/>
      <c r="AD106" s="72"/>
      <c r="AE106" s="72"/>
      <c r="AF106" s="72"/>
      <c r="AI106" s="72"/>
      <c r="AJ106" s="84"/>
    </row>
    <row r="107" customFormat="false" ht="14.25" hidden="false" customHeight="true" outlineLevel="0" collapsed="false">
      <c r="A107" s="94" t="s">
        <v>1443</v>
      </c>
      <c r="B107" s="95" t="n">
        <v>1</v>
      </c>
      <c r="C107" s="96" t="s">
        <v>11</v>
      </c>
      <c r="D107" s="32" t="s">
        <v>2031</v>
      </c>
      <c r="E107" s="163"/>
      <c r="I107" s="72"/>
      <c r="J107" s="72"/>
      <c r="K107" s="72"/>
      <c r="L107" s="84"/>
      <c r="M107" s="84"/>
      <c r="N107" s="84"/>
      <c r="O107" s="84"/>
      <c r="P107" s="8"/>
      <c r="S107" s="72"/>
      <c r="T107" s="72"/>
      <c r="U107" s="72"/>
      <c r="V107" s="72"/>
      <c r="W107" s="72"/>
      <c r="X107" s="72"/>
      <c r="Y107" s="72"/>
      <c r="Z107" s="72"/>
      <c r="AA107" s="72"/>
      <c r="AB107" s="72"/>
      <c r="AC107" s="72"/>
      <c r="AD107" s="72"/>
      <c r="AE107" s="72"/>
      <c r="AF107" s="72"/>
      <c r="AI107" s="72"/>
      <c r="AJ107" s="84"/>
    </row>
    <row r="108" customFormat="false" ht="14.25" hidden="false" customHeight="true" outlineLevel="0" collapsed="false">
      <c r="A108" s="94" t="s">
        <v>11</v>
      </c>
      <c r="B108" s="95" t="n">
        <v>1</v>
      </c>
      <c r="C108" s="96" t="s">
        <v>1443</v>
      </c>
      <c r="D108" s="32" t="s">
        <v>2032</v>
      </c>
      <c r="E108" s="163"/>
      <c r="I108" s="72"/>
      <c r="J108" s="72"/>
      <c r="K108" s="72"/>
      <c r="L108" s="84"/>
      <c r="M108" s="84"/>
      <c r="N108" s="84"/>
      <c r="O108" s="84"/>
      <c r="P108" s="8"/>
      <c r="S108" s="72"/>
      <c r="T108" s="72"/>
      <c r="U108" s="72"/>
      <c r="V108" s="72"/>
      <c r="W108" s="72"/>
      <c r="X108" s="72"/>
      <c r="Y108" s="72"/>
      <c r="Z108" s="72"/>
      <c r="AA108" s="72"/>
      <c r="AB108" s="72"/>
      <c r="AC108" s="72"/>
      <c r="AD108" s="72"/>
      <c r="AE108" s="72"/>
      <c r="AF108" s="72"/>
      <c r="AI108" s="72"/>
      <c r="AJ108" s="84"/>
    </row>
    <row r="109" customFormat="false" ht="14.25" hidden="false" customHeight="true" outlineLevel="0" collapsed="false">
      <c r="A109" s="94" t="s">
        <v>11</v>
      </c>
      <c r="B109" s="95" t="n">
        <v>2</v>
      </c>
      <c r="C109" s="96" t="s">
        <v>40</v>
      </c>
      <c r="D109" s="32" t="s">
        <v>2033</v>
      </c>
      <c r="E109" s="163"/>
      <c r="I109" s="72"/>
      <c r="J109" s="72"/>
      <c r="K109" s="72"/>
      <c r="L109" s="84"/>
      <c r="M109" s="84"/>
      <c r="N109" s="84"/>
      <c r="O109" s="84"/>
      <c r="P109" s="8"/>
      <c r="S109" s="72"/>
      <c r="T109" s="72"/>
      <c r="U109" s="72"/>
      <c r="V109" s="72"/>
      <c r="W109" s="72"/>
      <c r="X109" s="72"/>
      <c r="Y109" s="72"/>
      <c r="Z109" s="72"/>
      <c r="AA109" s="72"/>
      <c r="AB109" s="72"/>
      <c r="AC109" s="72"/>
      <c r="AD109" s="72"/>
      <c r="AE109" s="72"/>
      <c r="AF109" s="72"/>
      <c r="AI109" s="72"/>
      <c r="AJ109" s="84"/>
    </row>
    <row r="110" customFormat="false" ht="14.25" hidden="false" customHeight="true" outlineLevel="0" collapsed="false">
      <c r="A110" s="94" t="s">
        <v>1447</v>
      </c>
      <c r="B110" s="95" t="n">
        <v>2</v>
      </c>
      <c r="C110" s="96" t="s">
        <v>1443</v>
      </c>
      <c r="D110" s="32" t="s">
        <v>2034</v>
      </c>
      <c r="E110" s="163"/>
      <c r="I110" s="72"/>
      <c r="J110" s="72"/>
      <c r="K110" s="72"/>
      <c r="L110" s="84"/>
      <c r="M110" s="84"/>
      <c r="N110" s="84"/>
      <c r="O110" s="84"/>
      <c r="P110" s="8"/>
      <c r="S110" s="72"/>
      <c r="T110" s="72"/>
      <c r="U110" s="72"/>
      <c r="V110" s="72"/>
      <c r="W110" s="72"/>
      <c r="X110" s="72"/>
      <c r="Y110" s="72"/>
      <c r="Z110" s="72"/>
      <c r="AA110" s="72"/>
      <c r="AB110" s="72"/>
      <c r="AC110" s="72"/>
      <c r="AD110" s="72"/>
      <c r="AE110" s="72"/>
      <c r="AF110" s="72"/>
      <c r="AI110" s="72"/>
      <c r="AJ110" s="84"/>
    </row>
    <row r="111" customFormat="false" ht="14.25" hidden="false" customHeight="true" outlineLevel="0" collapsed="false">
      <c r="A111" s="94" t="s">
        <v>30</v>
      </c>
      <c r="B111" s="95" t="n">
        <v>1</v>
      </c>
      <c r="C111" s="96" t="s">
        <v>43</v>
      </c>
      <c r="D111" s="32" t="s">
        <v>2035</v>
      </c>
      <c r="E111" s="163"/>
      <c r="I111" s="72"/>
      <c r="J111" s="72"/>
      <c r="K111" s="72"/>
      <c r="L111" s="84"/>
      <c r="M111" s="84"/>
      <c r="N111" s="84"/>
      <c r="O111" s="84"/>
      <c r="P111" s="8"/>
      <c r="S111" s="72"/>
      <c r="T111" s="72"/>
      <c r="U111" s="72"/>
      <c r="V111" s="72"/>
      <c r="W111" s="72"/>
      <c r="X111" s="72"/>
      <c r="Y111" s="72"/>
      <c r="Z111" s="72"/>
      <c r="AA111" s="72"/>
      <c r="AB111" s="72"/>
      <c r="AC111" s="72"/>
      <c r="AD111" s="72"/>
      <c r="AE111" s="72"/>
      <c r="AF111" s="72"/>
      <c r="AI111" s="72"/>
      <c r="AJ111" s="84"/>
    </row>
    <row r="112" customFormat="false" ht="14.25" hidden="false" customHeight="true" outlineLevel="0" collapsed="false">
      <c r="A112" s="94" t="s">
        <v>43</v>
      </c>
      <c r="B112" s="95" t="n">
        <v>1</v>
      </c>
      <c r="C112" s="96" t="s">
        <v>30</v>
      </c>
      <c r="D112" s="32" t="s">
        <v>2036</v>
      </c>
      <c r="E112" s="163"/>
      <c r="I112" s="72"/>
      <c r="J112" s="72"/>
      <c r="K112" s="72"/>
      <c r="L112" s="84"/>
      <c r="M112" s="84"/>
      <c r="N112" s="84"/>
      <c r="O112" s="84"/>
      <c r="P112" s="8"/>
      <c r="S112" s="72"/>
      <c r="T112" s="72"/>
      <c r="U112" s="72"/>
      <c r="V112" s="72"/>
      <c r="W112" s="72"/>
      <c r="X112" s="72"/>
      <c r="Y112" s="72"/>
      <c r="Z112" s="72"/>
      <c r="AA112" s="72"/>
      <c r="AB112" s="72"/>
      <c r="AC112" s="72"/>
      <c r="AD112" s="72"/>
      <c r="AE112" s="72"/>
      <c r="AF112" s="72"/>
      <c r="AI112" s="72"/>
      <c r="AJ112" s="84"/>
    </row>
    <row r="113" customFormat="false" ht="14.25" hidden="false" customHeight="true" outlineLevel="0" collapsed="false">
      <c r="A113" s="94" t="s">
        <v>41</v>
      </c>
      <c r="B113" s="95" t="n">
        <v>2</v>
      </c>
      <c r="C113" s="96" t="s">
        <v>1443</v>
      </c>
      <c r="D113" s="32" t="s">
        <v>2037</v>
      </c>
      <c r="E113" s="163"/>
      <c r="I113" s="72"/>
      <c r="J113" s="72"/>
      <c r="K113" s="72"/>
      <c r="L113" s="84"/>
      <c r="M113" s="84"/>
      <c r="N113" s="84"/>
      <c r="O113" s="84"/>
      <c r="P113" s="8"/>
      <c r="S113" s="72"/>
      <c r="T113" s="72"/>
      <c r="U113" s="72"/>
      <c r="V113" s="72"/>
      <c r="W113" s="72"/>
      <c r="X113" s="72"/>
      <c r="Y113" s="72"/>
      <c r="Z113" s="72"/>
      <c r="AA113" s="72"/>
      <c r="AB113" s="72"/>
      <c r="AC113" s="72"/>
      <c r="AD113" s="72"/>
      <c r="AE113" s="72"/>
      <c r="AF113" s="72"/>
      <c r="AI113" s="72"/>
      <c r="AJ113" s="84"/>
    </row>
    <row r="114" customFormat="false" ht="14.25" hidden="false" customHeight="true" outlineLevel="0" collapsed="false">
      <c r="A114" s="94" t="s">
        <v>1151</v>
      </c>
      <c r="B114" s="95" t="n">
        <v>2</v>
      </c>
      <c r="C114" s="96" t="s">
        <v>1443</v>
      </c>
      <c r="D114" s="32" t="s">
        <v>2038</v>
      </c>
      <c r="E114" s="163"/>
      <c r="I114" s="72"/>
      <c r="J114" s="72"/>
      <c r="K114" s="72"/>
      <c r="L114" s="84"/>
      <c r="M114" s="84"/>
      <c r="N114" s="84"/>
      <c r="O114" s="84"/>
      <c r="P114" s="8"/>
      <c r="S114" s="72"/>
      <c r="T114" s="72"/>
      <c r="U114" s="72"/>
      <c r="V114" s="72"/>
      <c r="W114" s="72"/>
      <c r="X114" s="72"/>
      <c r="Y114" s="72"/>
      <c r="Z114" s="72"/>
      <c r="AA114" s="72"/>
      <c r="AB114" s="72"/>
      <c r="AC114" s="72"/>
      <c r="AD114" s="72"/>
      <c r="AE114" s="72"/>
      <c r="AF114" s="72"/>
      <c r="AI114" s="72"/>
      <c r="AJ114" s="84"/>
    </row>
    <row r="115" customFormat="false" ht="14.25" hidden="false" customHeight="true" outlineLevel="0" collapsed="false">
      <c r="A115" s="94" t="s">
        <v>43</v>
      </c>
      <c r="B115" s="95" t="n">
        <v>1</v>
      </c>
      <c r="C115" s="96" t="s">
        <v>1151</v>
      </c>
      <c r="D115" s="32" t="s">
        <v>2039</v>
      </c>
      <c r="E115" s="163"/>
      <c r="I115" s="72"/>
      <c r="J115" s="72"/>
      <c r="K115" s="72"/>
      <c r="L115" s="84"/>
      <c r="M115" s="84"/>
      <c r="N115" s="84"/>
      <c r="O115" s="84"/>
      <c r="P115" s="8"/>
      <c r="S115" s="72"/>
      <c r="T115" s="72"/>
      <c r="U115" s="72"/>
      <c r="V115" s="72"/>
      <c r="W115" s="72"/>
      <c r="X115" s="72"/>
      <c r="Y115" s="72"/>
      <c r="Z115" s="72"/>
      <c r="AA115" s="72"/>
      <c r="AB115" s="72"/>
      <c r="AC115" s="72"/>
      <c r="AD115" s="72"/>
      <c r="AE115" s="72"/>
      <c r="AF115" s="72"/>
      <c r="AI115" s="72"/>
      <c r="AJ115" s="84"/>
    </row>
    <row r="116" customFormat="false" ht="14.25" hidden="false" customHeight="true" outlineLevel="0" collapsed="false">
      <c r="A116" s="94" t="s">
        <v>43</v>
      </c>
      <c r="B116" s="95" t="n">
        <v>1</v>
      </c>
      <c r="C116" s="96" t="s">
        <v>41</v>
      </c>
      <c r="D116" s="32" t="s">
        <v>2039</v>
      </c>
      <c r="E116" s="163"/>
      <c r="I116" s="72"/>
      <c r="J116" s="72"/>
      <c r="K116" s="72"/>
      <c r="L116" s="84"/>
      <c r="M116" s="84"/>
      <c r="N116" s="84"/>
      <c r="O116" s="84"/>
      <c r="P116" s="8"/>
      <c r="S116" s="72"/>
      <c r="T116" s="72"/>
      <c r="U116" s="72"/>
      <c r="V116" s="72"/>
      <c r="W116" s="72"/>
      <c r="X116" s="72"/>
      <c r="Y116" s="72"/>
      <c r="Z116" s="72"/>
      <c r="AA116" s="72"/>
      <c r="AB116" s="72"/>
      <c r="AC116" s="72"/>
      <c r="AD116" s="72"/>
      <c r="AE116" s="72"/>
      <c r="AF116" s="72"/>
      <c r="AI116" s="72"/>
      <c r="AJ116" s="84"/>
    </row>
    <row r="117" customFormat="false" ht="14.25" hidden="false" customHeight="true" outlineLevel="0" collapsed="false">
      <c r="A117" s="94" t="s">
        <v>1151</v>
      </c>
      <c r="B117" s="95" t="n">
        <v>1</v>
      </c>
      <c r="C117" s="96" t="s">
        <v>43</v>
      </c>
      <c r="D117" s="32" t="s">
        <v>2040</v>
      </c>
      <c r="E117" s="163"/>
      <c r="I117" s="72"/>
      <c r="J117" s="72"/>
      <c r="K117" s="72"/>
      <c r="L117" s="84"/>
      <c r="M117" s="84"/>
      <c r="N117" s="84"/>
      <c r="O117" s="84"/>
      <c r="P117" s="8"/>
      <c r="S117" s="72"/>
      <c r="T117" s="72"/>
      <c r="U117" s="72"/>
      <c r="V117" s="72"/>
      <c r="W117" s="72"/>
      <c r="X117" s="72"/>
      <c r="Y117" s="72"/>
      <c r="Z117" s="72"/>
      <c r="AA117" s="72"/>
      <c r="AB117" s="72"/>
      <c r="AC117" s="72"/>
      <c r="AD117" s="72"/>
      <c r="AE117" s="72"/>
      <c r="AF117" s="72"/>
      <c r="AI117" s="72"/>
      <c r="AJ117" s="84"/>
    </row>
    <row r="118" customFormat="false" ht="14.25" hidden="false" customHeight="true" outlineLevel="0" collapsed="false">
      <c r="A118" s="94" t="s">
        <v>1151</v>
      </c>
      <c r="B118" s="95" t="n">
        <v>1</v>
      </c>
      <c r="C118" s="96" t="s">
        <v>30</v>
      </c>
      <c r="D118" s="32" t="s">
        <v>2041</v>
      </c>
      <c r="E118" s="163"/>
      <c r="I118" s="72"/>
      <c r="J118" s="72"/>
      <c r="K118" s="72"/>
      <c r="L118" s="84"/>
      <c r="M118" s="84"/>
      <c r="N118" s="84"/>
      <c r="O118" s="84"/>
      <c r="P118" s="8"/>
      <c r="S118" s="72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  <c r="AE118" s="72"/>
      <c r="AF118" s="72"/>
      <c r="AI118" s="72"/>
      <c r="AJ118" s="84"/>
    </row>
    <row r="119" customFormat="false" ht="14.25" hidden="false" customHeight="true" outlineLevel="0" collapsed="false">
      <c r="A119" s="94" t="s">
        <v>41</v>
      </c>
      <c r="B119" s="95" t="n">
        <v>1</v>
      </c>
      <c r="C119" s="96" t="s">
        <v>30</v>
      </c>
      <c r="D119" s="32" t="s">
        <v>2042</v>
      </c>
      <c r="E119" s="163"/>
      <c r="I119" s="72"/>
      <c r="J119" s="72"/>
      <c r="K119" s="72"/>
      <c r="L119" s="84"/>
      <c r="M119" s="84"/>
      <c r="N119" s="84"/>
      <c r="O119" s="84"/>
      <c r="P119" s="8"/>
      <c r="S119" s="72"/>
      <c r="T119" s="72"/>
      <c r="U119" s="72"/>
      <c r="V119" s="72"/>
      <c r="W119" s="72"/>
      <c r="X119" s="72"/>
      <c r="Y119" s="72"/>
      <c r="Z119" s="72"/>
      <c r="AA119" s="72"/>
      <c r="AB119" s="72"/>
      <c r="AC119" s="72"/>
      <c r="AD119" s="72"/>
      <c r="AE119" s="72"/>
      <c r="AF119" s="72"/>
      <c r="AI119" s="72"/>
      <c r="AJ119" s="84"/>
    </row>
    <row r="120" customFormat="false" ht="14.25" hidden="false" customHeight="true" outlineLevel="0" collapsed="false">
      <c r="A120" s="94" t="s">
        <v>30</v>
      </c>
      <c r="B120" s="95" t="n">
        <v>1</v>
      </c>
      <c r="C120" s="96" t="s">
        <v>41</v>
      </c>
      <c r="D120" s="32" t="s">
        <v>2043</v>
      </c>
      <c r="E120" s="163"/>
      <c r="I120" s="72"/>
      <c r="J120" s="72"/>
      <c r="K120" s="72"/>
      <c r="L120" s="84"/>
      <c r="M120" s="84"/>
      <c r="N120" s="84"/>
      <c r="O120" s="84"/>
      <c r="P120" s="8"/>
      <c r="S120" s="72"/>
      <c r="T120" s="72"/>
      <c r="U120" s="72"/>
      <c r="V120" s="72"/>
      <c r="W120" s="72"/>
      <c r="X120" s="72"/>
      <c r="Y120" s="72"/>
      <c r="Z120" s="72"/>
      <c r="AA120" s="72"/>
      <c r="AB120" s="72"/>
      <c r="AC120" s="72"/>
      <c r="AD120" s="72"/>
      <c r="AE120" s="72"/>
      <c r="AF120" s="72"/>
      <c r="AI120" s="72"/>
      <c r="AJ120" s="84"/>
    </row>
    <row r="121" customFormat="false" ht="14.25" hidden="false" customHeight="true" outlineLevel="0" collapsed="false">
      <c r="A121" s="94" t="s">
        <v>30</v>
      </c>
      <c r="B121" s="95" t="n">
        <v>1</v>
      </c>
      <c r="C121" s="96" t="s">
        <v>1151</v>
      </c>
      <c r="D121" s="32" t="s">
        <v>2043</v>
      </c>
      <c r="E121" s="163"/>
      <c r="I121" s="72"/>
      <c r="J121" s="72"/>
      <c r="K121" s="72"/>
      <c r="L121" s="84"/>
      <c r="M121" s="84"/>
      <c r="N121" s="84"/>
      <c r="O121" s="84"/>
      <c r="P121" s="8"/>
      <c r="S121" s="72"/>
      <c r="T121" s="72"/>
      <c r="U121" s="72"/>
      <c r="V121" s="72"/>
      <c r="W121" s="72"/>
      <c r="X121" s="72"/>
      <c r="Y121" s="72"/>
      <c r="Z121" s="72"/>
      <c r="AA121" s="72"/>
      <c r="AB121" s="72"/>
      <c r="AC121" s="72"/>
      <c r="AD121" s="72"/>
      <c r="AE121" s="72"/>
      <c r="AF121" s="72"/>
      <c r="AI121" s="72"/>
      <c r="AJ121" s="84"/>
    </row>
    <row r="122" customFormat="false" ht="14.25" hidden="false" customHeight="true" outlineLevel="0" collapsed="false">
      <c r="A122" s="94" t="s">
        <v>41</v>
      </c>
      <c r="B122" s="95" t="n">
        <v>2</v>
      </c>
      <c r="C122" s="96" t="s">
        <v>42</v>
      </c>
      <c r="D122" s="32" t="s">
        <v>2044</v>
      </c>
      <c r="E122" s="163"/>
      <c r="I122" s="72"/>
      <c r="J122" s="72"/>
      <c r="K122" s="72"/>
      <c r="L122" s="84"/>
      <c r="M122" s="84"/>
      <c r="N122" s="84"/>
      <c r="O122" s="84"/>
      <c r="P122" s="8"/>
      <c r="S122" s="72"/>
      <c r="T122" s="72"/>
      <c r="U122" s="72"/>
      <c r="V122" s="72"/>
      <c r="W122" s="72"/>
      <c r="X122" s="72"/>
      <c r="Y122" s="72"/>
      <c r="Z122" s="72"/>
      <c r="AA122" s="72"/>
      <c r="AB122" s="72"/>
      <c r="AC122" s="72"/>
      <c r="AD122" s="72"/>
      <c r="AE122" s="72"/>
      <c r="AF122" s="72"/>
      <c r="AI122" s="72"/>
      <c r="AJ122" s="84"/>
    </row>
    <row r="123" customFormat="false" ht="14.25" hidden="false" customHeight="true" outlineLevel="0" collapsed="false">
      <c r="A123" s="94" t="s">
        <v>1443</v>
      </c>
      <c r="B123" s="95" t="n">
        <v>2</v>
      </c>
      <c r="C123" s="96" t="s">
        <v>43</v>
      </c>
      <c r="D123" s="32" t="s">
        <v>2045</v>
      </c>
      <c r="E123" s="163"/>
      <c r="I123" s="72"/>
      <c r="J123" s="72"/>
      <c r="K123" s="72"/>
      <c r="L123" s="84"/>
      <c r="M123" s="84"/>
      <c r="N123" s="84"/>
      <c r="O123" s="84"/>
      <c r="P123" s="8"/>
      <c r="S123" s="72"/>
      <c r="T123" s="72"/>
      <c r="U123" s="72"/>
      <c r="V123" s="72"/>
      <c r="W123" s="72"/>
      <c r="X123" s="72"/>
      <c r="Y123" s="72"/>
      <c r="Z123" s="72"/>
      <c r="AA123" s="72"/>
      <c r="AB123" s="72"/>
      <c r="AC123" s="72"/>
      <c r="AD123" s="72"/>
      <c r="AE123" s="72"/>
      <c r="AF123" s="72"/>
      <c r="AI123" s="72"/>
      <c r="AJ123" s="84"/>
    </row>
    <row r="124" customFormat="false" ht="14.25" hidden="false" customHeight="true" outlineLevel="0" collapsed="false">
      <c r="A124" s="94" t="s">
        <v>43</v>
      </c>
      <c r="B124" s="95" t="n">
        <v>1</v>
      </c>
      <c r="C124" s="96" t="s">
        <v>1443</v>
      </c>
      <c r="D124" s="32" t="s">
        <v>2046</v>
      </c>
      <c r="E124" s="163"/>
      <c r="I124" s="72"/>
      <c r="J124" s="72"/>
      <c r="K124" s="72"/>
      <c r="L124" s="84"/>
      <c r="M124" s="84"/>
      <c r="N124" s="84"/>
      <c r="O124" s="84"/>
      <c r="P124" s="8"/>
      <c r="S124" s="72"/>
      <c r="T124" s="72"/>
      <c r="U124" s="72"/>
      <c r="V124" s="72"/>
      <c r="W124" s="72"/>
      <c r="X124" s="72"/>
      <c r="Y124" s="72"/>
      <c r="Z124" s="72"/>
      <c r="AA124" s="72"/>
      <c r="AB124" s="72"/>
      <c r="AC124" s="72"/>
      <c r="AD124" s="72"/>
      <c r="AE124" s="72"/>
      <c r="AF124" s="72"/>
      <c r="AI124" s="72"/>
      <c r="AJ124" s="84"/>
    </row>
    <row r="125" customFormat="false" ht="14.25" hidden="false" customHeight="true" outlineLevel="0" collapsed="false">
      <c r="A125" s="94" t="s">
        <v>1151</v>
      </c>
      <c r="B125" s="95" t="n">
        <v>1</v>
      </c>
      <c r="C125" s="96" t="s">
        <v>1443</v>
      </c>
      <c r="D125" s="32" t="s">
        <v>2047</v>
      </c>
      <c r="E125" s="163"/>
      <c r="I125" s="72"/>
      <c r="J125" s="72"/>
      <c r="K125" s="72"/>
      <c r="L125" s="84"/>
      <c r="M125" s="84"/>
      <c r="N125" s="84"/>
      <c r="O125" s="84"/>
      <c r="P125" s="8"/>
      <c r="S125" s="72"/>
      <c r="T125" s="72"/>
      <c r="U125" s="72"/>
      <c r="V125" s="72"/>
      <c r="W125" s="72"/>
      <c r="X125" s="72"/>
      <c r="Y125" s="72"/>
      <c r="Z125" s="72"/>
      <c r="AA125" s="72"/>
      <c r="AB125" s="72"/>
      <c r="AC125" s="72"/>
      <c r="AD125" s="72"/>
      <c r="AE125" s="72"/>
      <c r="AF125" s="72"/>
      <c r="AI125" s="72"/>
      <c r="AJ125" s="84"/>
    </row>
    <row r="126" customFormat="false" ht="14.25" hidden="false" customHeight="true" outlineLevel="0" collapsed="false">
      <c r="A126" s="94" t="s">
        <v>33</v>
      </c>
      <c r="B126" s="95" t="n">
        <v>2</v>
      </c>
      <c r="C126" s="121" t="s">
        <v>1919</v>
      </c>
      <c r="D126" s="32" t="s">
        <v>2048</v>
      </c>
      <c r="E126" s="163"/>
    </row>
    <row r="127" customFormat="false" ht="14.25" hidden="false" customHeight="true" outlineLevel="0" collapsed="false">
      <c r="A127" s="94" t="s">
        <v>33</v>
      </c>
      <c r="B127" s="95" t="n">
        <v>2</v>
      </c>
      <c r="C127" s="121" t="s">
        <v>1447</v>
      </c>
      <c r="D127" s="32" t="s">
        <v>2049</v>
      </c>
      <c r="E127" s="163"/>
    </row>
    <row r="128" customFormat="false" ht="14.25" hidden="false" customHeight="true" outlineLevel="0" collapsed="false">
      <c r="A128" s="94" t="s">
        <v>1447</v>
      </c>
      <c r="B128" s="95" t="n">
        <v>2</v>
      </c>
      <c r="C128" s="121" t="s">
        <v>1919</v>
      </c>
      <c r="D128" s="32" t="s">
        <v>2050</v>
      </c>
      <c r="E128" s="163"/>
    </row>
    <row r="129" customFormat="false" ht="14.25" hidden="false" customHeight="true" outlineLevel="0" collapsed="false">
      <c r="A129" s="94" t="s">
        <v>1151</v>
      </c>
      <c r="B129" s="95" t="n">
        <v>0</v>
      </c>
      <c r="C129" s="121" t="s">
        <v>42</v>
      </c>
      <c r="D129" s="32" t="s">
        <v>2051</v>
      </c>
      <c r="E129" s="163"/>
    </row>
    <row r="130" customFormat="false" ht="14.25" hidden="false" customHeight="true" outlineLevel="0" collapsed="false">
      <c r="A130" s="94" t="s">
        <v>1919</v>
      </c>
      <c r="B130" s="95" t="n">
        <v>2</v>
      </c>
      <c r="C130" s="96" t="s">
        <v>1154</v>
      </c>
      <c r="D130" s="32" t="s">
        <v>2052</v>
      </c>
      <c r="E130" s="163"/>
    </row>
    <row r="131" customFormat="false" ht="14.25" hidden="false" customHeight="true" outlineLevel="0" collapsed="false">
      <c r="A131" s="94" t="s">
        <v>1447</v>
      </c>
      <c r="B131" s="95" t="n">
        <v>1</v>
      </c>
      <c r="C131" s="96" t="s">
        <v>30</v>
      </c>
      <c r="D131" s="32" t="s">
        <v>2053</v>
      </c>
      <c r="E131" s="163"/>
    </row>
    <row r="132" customFormat="false" ht="14.25" hidden="false" customHeight="true" outlineLevel="0" collapsed="false">
      <c r="A132" s="94" t="s">
        <v>30</v>
      </c>
      <c r="B132" s="95" t="n">
        <v>1</v>
      </c>
      <c r="C132" s="96" t="s">
        <v>1447</v>
      </c>
      <c r="D132" s="32" t="s">
        <v>2054</v>
      </c>
      <c r="E132" s="163"/>
    </row>
    <row r="133" customFormat="false" ht="14.25" hidden="false" customHeight="true" outlineLevel="0" collapsed="false">
      <c r="A133" s="94" t="s">
        <v>11</v>
      </c>
      <c r="B133" s="95" t="n">
        <v>2</v>
      </c>
      <c r="C133" s="96" t="s">
        <v>30</v>
      </c>
      <c r="D133" s="32" t="s">
        <v>2055</v>
      </c>
      <c r="E133" s="163"/>
    </row>
    <row r="134" customFormat="false" ht="14.25" hidden="false" customHeight="true" outlineLevel="0" collapsed="false">
      <c r="A134" s="94" t="s">
        <v>30</v>
      </c>
      <c r="B134" s="95" t="n">
        <v>1</v>
      </c>
      <c r="C134" s="96" t="s">
        <v>11</v>
      </c>
      <c r="D134" s="32" t="s">
        <v>2056</v>
      </c>
      <c r="E134" s="163"/>
    </row>
    <row r="135" customFormat="false" ht="14.25" hidden="false" customHeight="true" outlineLevel="0" collapsed="false">
      <c r="A135" s="94" t="s">
        <v>43</v>
      </c>
      <c r="B135" s="95" t="n">
        <v>2</v>
      </c>
      <c r="C135" s="96" t="s">
        <v>1151</v>
      </c>
      <c r="D135" s="32" t="s">
        <v>2057</v>
      </c>
      <c r="E135" s="163"/>
    </row>
    <row r="136" customFormat="false" ht="14.25" hidden="false" customHeight="true" outlineLevel="0" collapsed="false">
      <c r="A136" s="94" t="s">
        <v>30</v>
      </c>
      <c r="B136" s="95" t="n">
        <v>2</v>
      </c>
      <c r="C136" s="96" t="s">
        <v>1443</v>
      </c>
      <c r="D136" s="32" t="s">
        <v>2058</v>
      </c>
      <c r="E136" s="163"/>
    </row>
    <row r="137" customFormat="false" ht="14.25" hidden="false" customHeight="true" outlineLevel="0" collapsed="false">
      <c r="A137" s="94" t="s">
        <v>1151</v>
      </c>
      <c r="B137" s="95" t="n">
        <v>2</v>
      </c>
      <c r="C137" s="96" t="s">
        <v>30</v>
      </c>
      <c r="D137" s="32" t="s">
        <v>2059</v>
      </c>
      <c r="E137" s="163"/>
    </row>
    <row r="138" customFormat="false" ht="14.25" hidden="false" customHeight="true" outlineLevel="0" collapsed="false">
      <c r="A138" s="94" t="s">
        <v>43</v>
      </c>
      <c r="B138" s="95" t="n">
        <v>2</v>
      </c>
      <c r="C138" s="96" t="s">
        <v>30</v>
      </c>
      <c r="D138" s="32" t="s">
        <v>2060</v>
      </c>
      <c r="E138" s="163"/>
    </row>
    <row r="139" customFormat="false" ht="14.25" hidden="false" customHeight="true" outlineLevel="0" collapsed="false">
      <c r="A139" s="94" t="s">
        <v>43</v>
      </c>
      <c r="B139" s="95" t="n">
        <v>2</v>
      </c>
      <c r="C139" s="96" t="s">
        <v>1151</v>
      </c>
      <c r="D139" s="32" t="s">
        <v>2061</v>
      </c>
      <c r="E139" s="163"/>
    </row>
    <row r="140" customFormat="false" ht="14.25" hidden="false" customHeight="true" outlineLevel="0" collapsed="false">
      <c r="A140" s="94" t="s">
        <v>11</v>
      </c>
      <c r="B140" s="95" t="n">
        <v>1</v>
      </c>
      <c r="C140" s="96" t="s">
        <v>43</v>
      </c>
      <c r="D140" s="32" t="s">
        <v>2062</v>
      </c>
      <c r="E140" s="163"/>
    </row>
    <row r="141" customFormat="false" ht="14.25" hidden="false" customHeight="true" outlineLevel="0" collapsed="false">
      <c r="A141" s="94" t="s">
        <v>43</v>
      </c>
      <c r="B141" s="95" t="n">
        <v>1</v>
      </c>
      <c r="C141" s="96" t="s">
        <v>1447</v>
      </c>
      <c r="D141" s="32" t="s">
        <v>2063</v>
      </c>
      <c r="E141" s="163"/>
    </row>
    <row r="142" customFormat="false" ht="14.25" hidden="false" customHeight="true" outlineLevel="0" collapsed="false">
      <c r="A142" s="94" t="s">
        <v>1447</v>
      </c>
      <c r="B142" s="95" t="n">
        <v>1</v>
      </c>
      <c r="C142" s="96" t="s">
        <v>43</v>
      </c>
      <c r="D142" s="32" t="s">
        <v>2064</v>
      </c>
      <c r="E142" s="163"/>
    </row>
    <row r="143" customFormat="false" ht="14.25" hidden="false" customHeight="true" outlineLevel="0" collapsed="false">
      <c r="A143" s="94" t="s">
        <v>11</v>
      </c>
      <c r="B143" s="95" t="n">
        <v>1</v>
      </c>
      <c r="C143" s="96" t="s">
        <v>30</v>
      </c>
      <c r="D143" s="32" t="s">
        <v>2065</v>
      </c>
      <c r="E143" s="163"/>
    </row>
    <row r="144" customFormat="false" ht="14.25" hidden="false" customHeight="true" outlineLevel="0" collapsed="false">
      <c r="A144" s="94" t="s">
        <v>30</v>
      </c>
      <c r="B144" s="95" t="n">
        <v>1</v>
      </c>
      <c r="C144" s="96" t="s">
        <v>11</v>
      </c>
      <c r="D144" s="32" t="s">
        <v>2066</v>
      </c>
      <c r="E144" s="163"/>
    </row>
    <row r="145" customFormat="false" ht="14.25" hidden="false" customHeight="true" outlineLevel="0" collapsed="false">
      <c r="A145" s="94" t="s">
        <v>11</v>
      </c>
      <c r="B145" s="95" t="n">
        <v>1</v>
      </c>
      <c r="C145" s="96" t="s">
        <v>1151</v>
      </c>
      <c r="D145" s="32" t="s">
        <v>2067</v>
      </c>
      <c r="E145" s="163"/>
    </row>
    <row r="146" customFormat="false" ht="14.25" hidden="false" customHeight="true" outlineLevel="0" collapsed="false">
      <c r="A146" s="94" t="s">
        <v>1151</v>
      </c>
      <c r="B146" s="95" t="n">
        <v>1</v>
      </c>
      <c r="C146" s="96" t="s">
        <v>11</v>
      </c>
      <c r="D146" s="32" t="s">
        <v>2068</v>
      </c>
      <c r="E146" s="163"/>
    </row>
    <row r="147" customFormat="false" ht="14.25" hidden="false" customHeight="true" outlineLevel="0" collapsed="false">
      <c r="A147" s="94" t="s">
        <v>1151</v>
      </c>
      <c r="B147" s="95" t="n">
        <v>1</v>
      </c>
      <c r="C147" s="96" t="s">
        <v>30</v>
      </c>
      <c r="D147" s="32" t="s">
        <v>2069</v>
      </c>
      <c r="E147" s="163"/>
    </row>
    <row r="148" customFormat="false" ht="14.25" hidden="false" customHeight="true" outlineLevel="0" collapsed="false">
      <c r="A148" s="94" t="s">
        <v>30</v>
      </c>
      <c r="B148" s="95" t="n">
        <v>1</v>
      </c>
      <c r="C148" s="96" t="s">
        <v>1151</v>
      </c>
      <c r="D148" s="32" t="s">
        <v>2070</v>
      </c>
      <c r="E148" s="163"/>
    </row>
    <row r="149" customFormat="false" ht="14.25" hidden="false" customHeight="true" outlineLevel="0" collapsed="false">
      <c r="A149" s="94" t="s">
        <v>11</v>
      </c>
      <c r="B149" s="95" t="n">
        <v>2</v>
      </c>
      <c r="C149" s="96" t="s">
        <v>30</v>
      </c>
      <c r="D149" s="32" t="s">
        <v>2071</v>
      </c>
      <c r="E149" s="163"/>
    </row>
    <row r="150" customFormat="false" ht="14.25" hidden="false" customHeight="true" outlineLevel="0" collapsed="false">
      <c r="A150" s="94" t="s">
        <v>1443</v>
      </c>
      <c r="B150" s="95" t="n">
        <v>2</v>
      </c>
      <c r="C150" s="96" t="s">
        <v>42</v>
      </c>
      <c r="D150" s="32" t="s">
        <v>2072</v>
      </c>
      <c r="E150" s="163"/>
    </row>
    <row r="151" customFormat="false" ht="14.25" hidden="false" customHeight="true" outlineLevel="0" collapsed="false">
      <c r="A151" s="94" t="s">
        <v>1151</v>
      </c>
      <c r="B151" s="95" t="n">
        <v>2</v>
      </c>
      <c r="C151" s="96" t="s">
        <v>1443</v>
      </c>
      <c r="D151" s="32" t="s">
        <v>2073</v>
      </c>
      <c r="E151" s="163"/>
    </row>
    <row r="152" customFormat="false" ht="14.25" hidden="false" customHeight="true" outlineLevel="0" collapsed="false">
      <c r="A152" s="94" t="s">
        <v>1443</v>
      </c>
      <c r="B152" s="95" t="n">
        <v>1</v>
      </c>
      <c r="C152" s="96" t="s">
        <v>1447</v>
      </c>
      <c r="D152" s="32" t="s">
        <v>2074</v>
      </c>
      <c r="E152" s="163"/>
    </row>
    <row r="153" customFormat="false" ht="14.25" hidden="false" customHeight="true" outlineLevel="0" collapsed="false">
      <c r="A153" s="94" t="s">
        <v>1447</v>
      </c>
      <c r="B153" s="95" t="n">
        <v>1</v>
      </c>
      <c r="C153" s="96" t="s">
        <v>1443</v>
      </c>
      <c r="D153" s="32" t="s">
        <v>2075</v>
      </c>
      <c r="E153" s="163"/>
    </row>
    <row r="154" customFormat="false" ht="14.25" hidden="false" customHeight="true" outlineLevel="0" collapsed="false">
      <c r="A154" s="94" t="s">
        <v>1447</v>
      </c>
      <c r="B154" s="95" t="n">
        <v>2</v>
      </c>
      <c r="C154" s="96" t="s">
        <v>1443</v>
      </c>
      <c r="D154" s="32" t="s">
        <v>2076</v>
      </c>
      <c r="E154" s="163"/>
    </row>
    <row r="155" customFormat="false" ht="14.25" hidden="false" customHeight="true" outlineLevel="0" collapsed="false">
      <c r="A155" s="94" t="s">
        <v>1443</v>
      </c>
      <c r="B155" s="95" t="n">
        <v>1</v>
      </c>
      <c r="C155" s="96" t="s">
        <v>1447</v>
      </c>
      <c r="D155" s="32" t="s">
        <v>2077</v>
      </c>
      <c r="E155" s="163"/>
    </row>
    <row r="156" customFormat="false" ht="14.25" hidden="false" customHeight="true" outlineLevel="0" collapsed="false">
      <c r="A156" s="94" t="s">
        <v>11</v>
      </c>
      <c r="B156" s="95" t="n">
        <v>2</v>
      </c>
      <c r="C156" s="96" t="s">
        <v>1919</v>
      </c>
      <c r="D156" s="32" t="s">
        <v>2078</v>
      </c>
      <c r="E156" s="163"/>
    </row>
    <row r="157" customFormat="false" ht="14.25" hidden="false" customHeight="true" outlineLevel="0" collapsed="false">
      <c r="A157" s="94" t="s">
        <v>11</v>
      </c>
      <c r="B157" s="95" t="n">
        <v>2</v>
      </c>
      <c r="C157" s="96" t="s">
        <v>1154</v>
      </c>
      <c r="D157" s="32" t="s">
        <v>2078</v>
      </c>
      <c r="E157" s="163"/>
    </row>
    <row r="158" customFormat="false" ht="14.25" hidden="false" customHeight="true" outlineLevel="0" collapsed="false">
      <c r="A158" s="94" t="s">
        <v>11</v>
      </c>
      <c r="B158" s="95" t="n">
        <v>2</v>
      </c>
      <c r="C158" s="96" t="s">
        <v>42</v>
      </c>
      <c r="D158" s="32" t="s">
        <v>2078</v>
      </c>
      <c r="E158" s="163"/>
    </row>
    <row r="159" customFormat="false" ht="14.25" hidden="false" customHeight="true" outlineLevel="0" collapsed="false">
      <c r="D159" s="32"/>
      <c r="E159" s="163"/>
    </row>
    <row r="160" customFormat="false" ht="14.25" hidden="false" customHeight="true" outlineLevel="0" collapsed="false">
      <c r="E160" s="154"/>
    </row>
    <row r="161" customFormat="false" ht="14.25" hidden="false" customHeight="true" outlineLevel="0" collapsed="false">
      <c r="E161" s="154"/>
    </row>
    <row r="162" customFormat="false" ht="14.25" hidden="false" customHeight="true" outlineLevel="0" collapsed="false">
      <c r="E162" s="154"/>
    </row>
    <row r="163" customFormat="false" ht="14.25" hidden="false" customHeight="true" outlineLevel="0" collapsed="false">
      <c r="E163" s="154"/>
    </row>
    <row r="164" customFormat="false" ht="14.25" hidden="false" customHeight="true" outlineLevel="0" collapsed="false">
      <c r="E164" s="154"/>
    </row>
    <row r="165" customFormat="false" ht="14.25" hidden="false" customHeight="true" outlineLevel="0" collapsed="false">
      <c r="E165" s="154"/>
    </row>
    <row r="166" customFormat="false" ht="14.25" hidden="false" customHeight="true" outlineLevel="0" collapsed="false">
      <c r="E166" s="154"/>
    </row>
    <row r="167" customFormat="false" ht="14.25" hidden="false" customHeight="true" outlineLevel="0" collapsed="false">
      <c r="E167" s="154"/>
    </row>
    <row r="168" customFormat="false" ht="14.25" hidden="false" customHeight="true" outlineLevel="0" collapsed="false">
      <c r="E168" s="154"/>
    </row>
    <row r="169" customFormat="false" ht="14.25" hidden="false" customHeight="true" outlineLevel="0" collapsed="false">
      <c r="E169" s="154"/>
    </row>
    <row r="170" customFormat="false" ht="14.25" hidden="false" customHeight="true" outlineLevel="0" collapsed="false">
      <c r="E170" s="154"/>
    </row>
    <row r="171" customFormat="false" ht="14.25" hidden="false" customHeight="true" outlineLevel="0" collapsed="false">
      <c r="E171" s="154"/>
    </row>
    <row r="172" customFormat="false" ht="14.25" hidden="false" customHeight="true" outlineLevel="0" collapsed="false">
      <c r="E172" s="154"/>
    </row>
    <row r="173" customFormat="false" ht="14.25" hidden="false" customHeight="true" outlineLevel="0" collapsed="false">
      <c r="E173" s="154"/>
    </row>
    <row r="174" customFormat="false" ht="14.25" hidden="false" customHeight="true" outlineLevel="0" collapsed="false">
      <c r="E174" s="154"/>
    </row>
    <row r="175" customFormat="false" ht="14.25" hidden="false" customHeight="true" outlineLevel="0" collapsed="false">
      <c r="E175" s="154"/>
    </row>
    <row r="176" customFormat="false" ht="14.25" hidden="false" customHeight="true" outlineLevel="0" collapsed="false">
      <c r="E176" s="154"/>
    </row>
    <row r="177" customFormat="false" ht="14.25" hidden="false" customHeight="true" outlineLevel="0" collapsed="false">
      <c r="E177" s="154"/>
    </row>
    <row r="178" customFormat="false" ht="14.25" hidden="false" customHeight="true" outlineLevel="0" collapsed="false">
      <c r="E178" s="154"/>
    </row>
    <row r="179" customFormat="false" ht="14.25" hidden="false" customHeight="true" outlineLevel="0" collapsed="false">
      <c r="E179" s="154"/>
    </row>
    <row r="180" customFormat="false" ht="14.25" hidden="false" customHeight="true" outlineLevel="0" collapsed="false">
      <c r="E180" s="154"/>
    </row>
    <row r="181" customFormat="false" ht="14.25" hidden="false" customHeight="true" outlineLevel="0" collapsed="false">
      <c r="E181" s="154"/>
    </row>
    <row r="182" customFormat="false" ht="14.25" hidden="false" customHeight="true" outlineLevel="0" collapsed="false">
      <c r="E182" s="154"/>
    </row>
    <row r="183" customFormat="false" ht="14.25" hidden="false" customHeight="true" outlineLevel="0" collapsed="false">
      <c r="E183" s="154"/>
    </row>
    <row r="184" customFormat="false" ht="14.25" hidden="false" customHeight="true" outlineLevel="0" collapsed="false">
      <c r="E184" s="154"/>
    </row>
    <row r="185" customFormat="false" ht="14.25" hidden="false" customHeight="true" outlineLevel="0" collapsed="false">
      <c r="E185" s="154"/>
    </row>
    <row r="186" customFormat="false" ht="14.25" hidden="false" customHeight="true" outlineLevel="0" collapsed="false">
      <c r="E186" s="154"/>
    </row>
    <row r="187" customFormat="false" ht="14.25" hidden="false" customHeight="true" outlineLevel="0" collapsed="false">
      <c r="E187" s="154"/>
    </row>
    <row r="188" customFormat="false" ht="14.25" hidden="false" customHeight="true" outlineLevel="0" collapsed="false">
      <c r="E188" s="154"/>
    </row>
    <row r="189" customFormat="false" ht="14.25" hidden="false" customHeight="true" outlineLevel="0" collapsed="false">
      <c r="E189" s="154"/>
    </row>
    <row r="190" customFormat="false" ht="14.25" hidden="false" customHeight="true" outlineLevel="0" collapsed="false">
      <c r="E190" s="154"/>
    </row>
    <row r="191" customFormat="false" ht="14.25" hidden="false" customHeight="true" outlineLevel="0" collapsed="false">
      <c r="E191" s="154"/>
    </row>
    <row r="192" customFormat="false" ht="14.25" hidden="false" customHeight="true" outlineLevel="0" collapsed="false">
      <c r="E192" s="154"/>
    </row>
    <row r="193" customFormat="false" ht="14.25" hidden="false" customHeight="true" outlineLevel="0" collapsed="false">
      <c r="E193" s="154"/>
    </row>
    <row r="194" customFormat="false" ht="14.25" hidden="false" customHeight="true" outlineLevel="0" collapsed="false">
      <c r="E194" s="154"/>
    </row>
    <row r="195" customFormat="false" ht="14.25" hidden="false" customHeight="true" outlineLevel="0" collapsed="false">
      <c r="E195" s="154"/>
    </row>
    <row r="196" customFormat="false" ht="14.25" hidden="false" customHeight="true" outlineLevel="0" collapsed="false">
      <c r="E196" s="154"/>
    </row>
    <row r="197" customFormat="false" ht="14.25" hidden="false" customHeight="true" outlineLevel="0" collapsed="false">
      <c r="E197" s="154"/>
    </row>
    <row r="198" customFormat="false" ht="14.25" hidden="false" customHeight="true" outlineLevel="0" collapsed="false">
      <c r="E198" s="154"/>
    </row>
    <row r="199" customFormat="false" ht="14.25" hidden="false" customHeight="true" outlineLevel="0" collapsed="false">
      <c r="E199" s="154"/>
    </row>
    <row r="200" customFormat="false" ht="14.25" hidden="false" customHeight="true" outlineLevel="0" collapsed="false">
      <c r="E200" s="154"/>
    </row>
    <row r="201" customFormat="false" ht="14.25" hidden="false" customHeight="true" outlineLevel="0" collapsed="false">
      <c r="E201" s="154"/>
    </row>
    <row r="202" customFormat="false" ht="14.25" hidden="false" customHeight="true" outlineLevel="0" collapsed="false">
      <c r="E202" s="154"/>
    </row>
    <row r="203" customFormat="false" ht="14.25" hidden="false" customHeight="true" outlineLevel="0" collapsed="false">
      <c r="E203" s="154"/>
    </row>
    <row r="204" customFormat="false" ht="14.25" hidden="false" customHeight="true" outlineLevel="0" collapsed="false">
      <c r="E204" s="154"/>
    </row>
    <row r="205" customFormat="false" ht="14.25" hidden="false" customHeight="true" outlineLevel="0" collapsed="false">
      <c r="E205" s="154"/>
    </row>
    <row r="206" customFormat="false" ht="14.25" hidden="false" customHeight="true" outlineLevel="0" collapsed="false">
      <c r="E206" s="154"/>
    </row>
    <row r="207" customFormat="false" ht="14.25" hidden="false" customHeight="true" outlineLevel="0" collapsed="false">
      <c r="E207" s="154"/>
    </row>
    <row r="208" customFormat="false" ht="14.25" hidden="false" customHeight="true" outlineLevel="0" collapsed="false">
      <c r="E208" s="154"/>
    </row>
    <row r="209" customFormat="false" ht="14.25" hidden="false" customHeight="true" outlineLevel="0" collapsed="false">
      <c r="E209" s="154"/>
    </row>
    <row r="210" customFormat="false" ht="14.25" hidden="false" customHeight="true" outlineLevel="0" collapsed="false">
      <c r="E210" s="154"/>
    </row>
    <row r="211" customFormat="false" ht="14.25" hidden="false" customHeight="true" outlineLevel="0" collapsed="false">
      <c r="E211" s="154"/>
    </row>
    <row r="212" customFormat="false" ht="14.25" hidden="false" customHeight="true" outlineLevel="0" collapsed="false">
      <c r="E212" s="154"/>
    </row>
    <row r="213" customFormat="false" ht="14.25" hidden="false" customHeight="true" outlineLevel="0" collapsed="false">
      <c r="E213" s="154"/>
    </row>
    <row r="214" customFormat="false" ht="14.25" hidden="false" customHeight="true" outlineLevel="0" collapsed="false">
      <c r="E214" s="154"/>
    </row>
    <row r="215" customFormat="false" ht="14.25" hidden="false" customHeight="true" outlineLevel="0" collapsed="false">
      <c r="E215" s="154"/>
    </row>
    <row r="216" customFormat="false" ht="14.25" hidden="false" customHeight="true" outlineLevel="0" collapsed="false">
      <c r="E216" s="154"/>
    </row>
    <row r="217" customFormat="false" ht="14.25" hidden="false" customHeight="true" outlineLevel="0" collapsed="false">
      <c r="E217" s="154"/>
    </row>
    <row r="218" customFormat="false" ht="14.25" hidden="false" customHeight="true" outlineLevel="0" collapsed="false">
      <c r="E218" s="154"/>
    </row>
    <row r="219" customFormat="false" ht="14.25" hidden="false" customHeight="true" outlineLevel="0" collapsed="false">
      <c r="E219" s="154"/>
    </row>
    <row r="220" customFormat="false" ht="14.25" hidden="false" customHeight="true" outlineLevel="0" collapsed="false">
      <c r="E220" s="154"/>
    </row>
    <row r="221" customFormat="false" ht="14.25" hidden="false" customHeight="true" outlineLevel="0" collapsed="false">
      <c r="E221" s="154"/>
    </row>
    <row r="222" customFormat="false" ht="14.25" hidden="false" customHeight="true" outlineLevel="0" collapsed="false">
      <c r="E222" s="154"/>
    </row>
    <row r="223" customFormat="false" ht="14.25" hidden="false" customHeight="true" outlineLevel="0" collapsed="false">
      <c r="E223" s="154"/>
    </row>
    <row r="224" customFormat="false" ht="14.25" hidden="false" customHeight="true" outlineLevel="0" collapsed="false">
      <c r="E224" s="154"/>
    </row>
    <row r="225" customFormat="false" ht="14.25" hidden="false" customHeight="true" outlineLevel="0" collapsed="false">
      <c r="E225" s="154"/>
    </row>
    <row r="226" customFormat="false" ht="14.25" hidden="false" customHeight="true" outlineLevel="0" collapsed="false">
      <c r="E226" s="154"/>
    </row>
    <row r="227" customFormat="false" ht="14.25" hidden="false" customHeight="true" outlineLevel="0" collapsed="false">
      <c r="E227" s="154"/>
    </row>
    <row r="228" customFormat="false" ht="14.25" hidden="false" customHeight="true" outlineLevel="0" collapsed="false">
      <c r="E228" s="154"/>
    </row>
    <row r="229" customFormat="false" ht="14.25" hidden="false" customHeight="true" outlineLevel="0" collapsed="false">
      <c r="E229" s="154"/>
    </row>
    <row r="230" customFormat="false" ht="14.25" hidden="false" customHeight="true" outlineLevel="0" collapsed="false">
      <c r="E230" s="154"/>
    </row>
    <row r="231" customFormat="false" ht="14.25" hidden="false" customHeight="true" outlineLevel="0" collapsed="false">
      <c r="E231" s="154"/>
    </row>
    <row r="232" customFormat="false" ht="14.25" hidden="false" customHeight="true" outlineLevel="0" collapsed="false">
      <c r="E232" s="154"/>
    </row>
    <row r="233" customFormat="false" ht="14.25" hidden="false" customHeight="true" outlineLevel="0" collapsed="false">
      <c r="E233" s="154"/>
    </row>
    <row r="234" customFormat="false" ht="14.25" hidden="false" customHeight="true" outlineLevel="0" collapsed="false">
      <c r="E234" s="154"/>
    </row>
    <row r="235" customFormat="false" ht="14.25" hidden="false" customHeight="true" outlineLevel="0" collapsed="false">
      <c r="E235" s="154"/>
    </row>
    <row r="236" customFormat="false" ht="14.25" hidden="false" customHeight="true" outlineLevel="0" collapsed="false">
      <c r="E236" s="154"/>
    </row>
    <row r="237" customFormat="false" ht="14.25" hidden="false" customHeight="true" outlineLevel="0" collapsed="false">
      <c r="E237" s="154"/>
    </row>
    <row r="238" customFormat="false" ht="14.25" hidden="false" customHeight="true" outlineLevel="0" collapsed="false">
      <c r="E238" s="154"/>
    </row>
    <row r="239" customFormat="false" ht="14.25" hidden="false" customHeight="true" outlineLevel="0" collapsed="false">
      <c r="E239" s="154"/>
    </row>
    <row r="240" customFormat="false" ht="14.25" hidden="false" customHeight="true" outlineLevel="0" collapsed="false">
      <c r="E240" s="154"/>
    </row>
    <row r="241" customFormat="false" ht="14.25" hidden="false" customHeight="true" outlineLevel="0" collapsed="false">
      <c r="E241" s="154"/>
    </row>
    <row r="242" customFormat="false" ht="14.25" hidden="false" customHeight="true" outlineLevel="0" collapsed="false">
      <c r="E242" s="154"/>
    </row>
    <row r="243" customFormat="false" ht="14.25" hidden="false" customHeight="true" outlineLevel="0" collapsed="false">
      <c r="E243" s="154"/>
    </row>
    <row r="244" customFormat="false" ht="14.25" hidden="false" customHeight="true" outlineLevel="0" collapsed="false">
      <c r="E244" s="154"/>
    </row>
    <row r="245" customFormat="false" ht="14.25" hidden="false" customHeight="true" outlineLevel="0" collapsed="false">
      <c r="E245" s="154"/>
    </row>
    <row r="246" customFormat="false" ht="14.25" hidden="false" customHeight="true" outlineLevel="0" collapsed="false">
      <c r="E246" s="154"/>
    </row>
    <row r="247" customFormat="false" ht="14.25" hidden="false" customHeight="true" outlineLevel="0" collapsed="false">
      <c r="E247" s="154"/>
    </row>
    <row r="248" customFormat="false" ht="14.25" hidden="false" customHeight="true" outlineLevel="0" collapsed="false">
      <c r="E248" s="154"/>
    </row>
    <row r="249" customFormat="false" ht="14.25" hidden="false" customHeight="true" outlineLevel="0" collapsed="false">
      <c r="E249" s="154"/>
    </row>
    <row r="250" customFormat="false" ht="14.25" hidden="false" customHeight="true" outlineLevel="0" collapsed="false">
      <c r="E250" s="154"/>
    </row>
    <row r="251" customFormat="false" ht="14.25" hidden="false" customHeight="true" outlineLevel="0" collapsed="false">
      <c r="E251" s="154"/>
    </row>
    <row r="252" customFormat="false" ht="14.25" hidden="false" customHeight="true" outlineLevel="0" collapsed="false">
      <c r="E252" s="154"/>
    </row>
    <row r="253" customFormat="false" ht="14.25" hidden="false" customHeight="true" outlineLevel="0" collapsed="false">
      <c r="E253" s="154"/>
    </row>
    <row r="254" customFormat="false" ht="14.25" hidden="false" customHeight="true" outlineLevel="0" collapsed="false">
      <c r="E254" s="154"/>
    </row>
    <row r="255" customFormat="false" ht="14.25" hidden="false" customHeight="true" outlineLevel="0" collapsed="false">
      <c r="E255" s="154"/>
    </row>
    <row r="256" customFormat="false" ht="14.25" hidden="false" customHeight="true" outlineLevel="0" collapsed="false">
      <c r="E256" s="154"/>
    </row>
    <row r="257" customFormat="false" ht="14.25" hidden="false" customHeight="true" outlineLevel="0" collapsed="false">
      <c r="E257" s="154"/>
    </row>
    <row r="258" customFormat="false" ht="14.25" hidden="false" customHeight="true" outlineLevel="0" collapsed="false">
      <c r="E258" s="154"/>
    </row>
    <row r="259" customFormat="false" ht="14.25" hidden="false" customHeight="true" outlineLevel="0" collapsed="false">
      <c r="E259" s="154"/>
    </row>
    <row r="260" customFormat="false" ht="14.25" hidden="false" customHeight="true" outlineLevel="0" collapsed="false">
      <c r="E260" s="154"/>
    </row>
    <row r="261" customFormat="false" ht="14.25" hidden="false" customHeight="true" outlineLevel="0" collapsed="false">
      <c r="E261" s="154"/>
    </row>
    <row r="262" customFormat="false" ht="14.25" hidden="false" customHeight="true" outlineLevel="0" collapsed="false">
      <c r="E262" s="154"/>
    </row>
    <row r="263" customFormat="false" ht="14.25" hidden="false" customHeight="true" outlineLevel="0" collapsed="false">
      <c r="E263" s="154"/>
    </row>
    <row r="264" customFormat="false" ht="14.25" hidden="false" customHeight="true" outlineLevel="0" collapsed="false">
      <c r="E264" s="154"/>
    </row>
    <row r="265" customFormat="false" ht="14.25" hidden="false" customHeight="true" outlineLevel="0" collapsed="false">
      <c r="E265" s="154"/>
    </row>
    <row r="266" customFormat="false" ht="14.25" hidden="false" customHeight="true" outlineLevel="0" collapsed="false">
      <c r="E266" s="154"/>
    </row>
    <row r="267" customFormat="false" ht="14.25" hidden="false" customHeight="true" outlineLevel="0" collapsed="false">
      <c r="E267" s="154"/>
    </row>
    <row r="268" customFormat="false" ht="14.25" hidden="false" customHeight="true" outlineLevel="0" collapsed="false">
      <c r="E268" s="154"/>
    </row>
    <row r="269" customFormat="false" ht="14.25" hidden="false" customHeight="true" outlineLevel="0" collapsed="false">
      <c r="E269" s="154"/>
    </row>
    <row r="270" customFormat="false" ht="14.25" hidden="false" customHeight="true" outlineLevel="0" collapsed="false">
      <c r="E270" s="154"/>
    </row>
    <row r="271" customFormat="false" ht="14.25" hidden="false" customHeight="true" outlineLevel="0" collapsed="false">
      <c r="E271" s="154"/>
    </row>
    <row r="272" customFormat="false" ht="14.25" hidden="false" customHeight="true" outlineLevel="0" collapsed="false">
      <c r="E272" s="154"/>
    </row>
    <row r="273" customFormat="false" ht="14.25" hidden="false" customHeight="true" outlineLevel="0" collapsed="false">
      <c r="E273" s="154"/>
    </row>
    <row r="274" customFormat="false" ht="14.25" hidden="false" customHeight="true" outlineLevel="0" collapsed="false">
      <c r="E274" s="154"/>
    </row>
    <row r="275" customFormat="false" ht="14.25" hidden="false" customHeight="true" outlineLevel="0" collapsed="false">
      <c r="E275" s="154"/>
    </row>
    <row r="276" customFormat="false" ht="14.25" hidden="false" customHeight="true" outlineLevel="0" collapsed="false">
      <c r="E276" s="154"/>
    </row>
    <row r="277" customFormat="false" ht="14.25" hidden="false" customHeight="true" outlineLevel="0" collapsed="false">
      <c r="E277" s="154"/>
    </row>
    <row r="278" customFormat="false" ht="14.25" hidden="false" customHeight="true" outlineLevel="0" collapsed="false">
      <c r="E278" s="154"/>
    </row>
    <row r="279" customFormat="false" ht="14.25" hidden="false" customHeight="true" outlineLevel="0" collapsed="false">
      <c r="E279" s="154"/>
    </row>
    <row r="280" customFormat="false" ht="14.25" hidden="false" customHeight="true" outlineLevel="0" collapsed="false">
      <c r="E280" s="154"/>
    </row>
    <row r="281" customFormat="false" ht="14.25" hidden="false" customHeight="true" outlineLevel="0" collapsed="false">
      <c r="E281" s="154"/>
    </row>
    <row r="282" customFormat="false" ht="14.25" hidden="false" customHeight="true" outlineLevel="0" collapsed="false">
      <c r="E282" s="154"/>
    </row>
    <row r="283" customFormat="false" ht="14.25" hidden="false" customHeight="true" outlineLevel="0" collapsed="false">
      <c r="E283" s="154"/>
    </row>
    <row r="284" customFormat="false" ht="14.25" hidden="false" customHeight="true" outlineLevel="0" collapsed="false">
      <c r="E284" s="154"/>
    </row>
    <row r="285" customFormat="false" ht="14.25" hidden="false" customHeight="true" outlineLevel="0" collapsed="false">
      <c r="E285" s="154"/>
    </row>
    <row r="286" customFormat="false" ht="14.25" hidden="false" customHeight="true" outlineLevel="0" collapsed="false">
      <c r="E286" s="154"/>
    </row>
    <row r="287" customFormat="false" ht="14.25" hidden="false" customHeight="true" outlineLevel="0" collapsed="false">
      <c r="E287" s="154"/>
    </row>
    <row r="288" customFormat="false" ht="14.25" hidden="false" customHeight="true" outlineLevel="0" collapsed="false">
      <c r="E288" s="154"/>
    </row>
    <row r="289" customFormat="false" ht="14.25" hidden="false" customHeight="true" outlineLevel="0" collapsed="false">
      <c r="E289" s="154"/>
    </row>
    <row r="290" customFormat="false" ht="14.25" hidden="false" customHeight="true" outlineLevel="0" collapsed="false">
      <c r="E290" s="154"/>
    </row>
    <row r="291" customFormat="false" ht="14.25" hidden="false" customHeight="true" outlineLevel="0" collapsed="false">
      <c r="E291" s="154"/>
    </row>
    <row r="292" customFormat="false" ht="14.25" hidden="false" customHeight="true" outlineLevel="0" collapsed="false">
      <c r="E292" s="154"/>
    </row>
    <row r="293" customFormat="false" ht="14.25" hidden="false" customHeight="true" outlineLevel="0" collapsed="false">
      <c r="E293" s="154"/>
    </row>
    <row r="294" customFormat="false" ht="14.25" hidden="false" customHeight="true" outlineLevel="0" collapsed="false">
      <c r="E294" s="154"/>
    </row>
    <row r="295" customFormat="false" ht="14.25" hidden="false" customHeight="true" outlineLevel="0" collapsed="false">
      <c r="E295" s="154"/>
    </row>
    <row r="296" customFormat="false" ht="14.25" hidden="false" customHeight="true" outlineLevel="0" collapsed="false">
      <c r="E296" s="154"/>
    </row>
    <row r="297" customFormat="false" ht="14.25" hidden="false" customHeight="true" outlineLevel="0" collapsed="false">
      <c r="E297" s="154"/>
    </row>
    <row r="298" customFormat="false" ht="14.25" hidden="false" customHeight="true" outlineLevel="0" collapsed="false">
      <c r="E298" s="154"/>
    </row>
    <row r="299" customFormat="false" ht="14.25" hidden="false" customHeight="true" outlineLevel="0" collapsed="false">
      <c r="E299" s="154"/>
    </row>
    <row r="300" customFormat="false" ht="14.25" hidden="false" customHeight="true" outlineLevel="0" collapsed="false">
      <c r="E300" s="154"/>
    </row>
    <row r="301" customFormat="false" ht="14.25" hidden="false" customHeight="true" outlineLevel="0" collapsed="false">
      <c r="E301" s="154"/>
    </row>
    <row r="302" customFormat="false" ht="14.25" hidden="false" customHeight="true" outlineLevel="0" collapsed="false">
      <c r="E302" s="154"/>
    </row>
    <row r="303" customFormat="false" ht="14.25" hidden="false" customHeight="true" outlineLevel="0" collapsed="false">
      <c r="E303" s="154"/>
    </row>
    <row r="304" customFormat="false" ht="14.25" hidden="false" customHeight="true" outlineLevel="0" collapsed="false">
      <c r="E304" s="154"/>
    </row>
    <row r="305" customFormat="false" ht="14.25" hidden="false" customHeight="true" outlineLevel="0" collapsed="false">
      <c r="E305" s="154"/>
    </row>
    <row r="306" customFormat="false" ht="14.25" hidden="false" customHeight="true" outlineLevel="0" collapsed="false">
      <c r="E306" s="154"/>
    </row>
    <row r="307" customFormat="false" ht="14.25" hidden="false" customHeight="true" outlineLevel="0" collapsed="false">
      <c r="E307" s="154"/>
    </row>
    <row r="308" customFormat="false" ht="14.25" hidden="false" customHeight="true" outlineLevel="0" collapsed="false">
      <c r="E308" s="154"/>
    </row>
    <row r="309" customFormat="false" ht="14.25" hidden="false" customHeight="true" outlineLevel="0" collapsed="false">
      <c r="E309" s="154"/>
    </row>
    <row r="310" customFormat="false" ht="14.25" hidden="false" customHeight="true" outlineLevel="0" collapsed="false">
      <c r="E310" s="154"/>
    </row>
    <row r="311" customFormat="false" ht="14.25" hidden="false" customHeight="true" outlineLevel="0" collapsed="false">
      <c r="E311" s="154"/>
    </row>
    <row r="312" customFormat="false" ht="14.25" hidden="false" customHeight="true" outlineLevel="0" collapsed="false">
      <c r="E312" s="154"/>
    </row>
    <row r="313" customFormat="false" ht="14.25" hidden="false" customHeight="true" outlineLevel="0" collapsed="false">
      <c r="E313" s="154"/>
    </row>
    <row r="314" customFormat="false" ht="14.25" hidden="false" customHeight="true" outlineLevel="0" collapsed="false">
      <c r="E314" s="154"/>
    </row>
    <row r="315" customFormat="false" ht="14.25" hidden="false" customHeight="true" outlineLevel="0" collapsed="false">
      <c r="E315" s="154"/>
    </row>
    <row r="316" customFormat="false" ht="14.25" hidden="false" customHeight="true" outlineLevel="0" collapsed="false">
      <c r="E316" s="154"/>
    </row>
    <row r="317" customFormat="false" ht="14.25" hidden="false" customHeight="true" outlineLevel="0" collapsed="false">
      <c r="E317" s="154"/>
    </row>
    <row r="318" customFormat="false" ht="14.25" hidden="false" customHeight="true" outlineLevel="0" collapsed="false">
      <c r="E318" s="154"/>
    </row>
    <row r="319" customFormat="false" ht="14.25" hidden="false" customHeight="true" outlineLevel="0" collapsed="false">
      <c r="E319" s="154"/>
    </row>
    <row r="320" customFormat="false" ht="14.25" hidden="false" customHeight="true" outlineLevel="0" collapsed="false">
      <c r="E320" s="154"/>
    </row>
    <row r="321" customFormat="false" ht="14.25" hidden="false" customHeight="true" outlineLevel="0" collapsed="false">
      <c r="E321" s="154"/>
    </row>
    <row r="322" customFormat="false" ht="14.25" hidden="false" customHeight="true" outlineLevel="0" collapsed="false">
      <c r="E322" s="154"/>
    </row>
    <row r="323" customFormat="false" ht="14.25" hidden="false" customHeight="true" outlineLevel="0" collapsed="false">
      <c r="E323" s="154"/>
    </row>
    <row r="324" customFormat="false" ht="14.25" hidden="false" customHeight="true" outlineLevel="0" collapsed="false">
      <c r="E324" s="154"/>
    </row>
    <row r="325" customFormat="false" ht="14.25" hidden="false" customHeight="true" outlineLevel="0" collapsed="false">
      <c r="E325" s="154"/>
    </row>
    <row r="326" customFormat="false" ht="14.25" hidden="false" customHeight="true" outlineLevel="0" collapsed="false">
      <c r="E326" s="154"/>
    </row>
    <row r="327" customFormat="false" ht="14.25" hidden="false" customHeight="true" outlineLevel="0" collapsed="false">
      <c r="E327" s="154"/>
    </row>
    <row r="328" customFormat="false" ht="14.25" hidden="false" customHeight="true" outlineLevel="0" collapsed="false">
      <c r="E328" s="154"/>
    </row>
    <row r="329" customFormat="false" ht="14.25" hidden="false" customHeight="true" outlineLevel="0" collapsed="false">
      <c r="E329" s="154"/>
    </row>
    <row r="330" customFormat="false" ht="14.25" hidden="false" customHeight="true" outlineLevel="0" collapsed="false">
      <c r="E330" s="154"/>
    </row>
    <row r="331" customFormat="false" ht="14.25" hidden="false" customHeight="true" outlineLevel="0" collapsed="false">
      <c r="E331" s="154"/>
    </row>
    <row r="332" customFormat="false" ht="14.25" hidden="false" customHeight="true" outlineLevel="0" collapsed="false">
      <c r="E332" s="154"/>
    </row>
    <row r="333" customFormat="false" ht="14.25" hidden="false" customHeight="true" outlineLevel="0" collapsed="false">
      <c r="E333" s="154"/>
    </row>
    <row r="334" customFormat="false" ht="14.25" hidden="false" customHeight="true" outlineLevel="0" collapsed="false">
      <c r="E334" s="154"/>
    </row>
    <row r="335" customFormat="false" ht="14.25" hidden="false" customHeight="true" outlineLevel="0" collapsed="false">
      <c r="E335" s="154"/>
    </row>
    <row r="336" customFormat="false" ht="14.25" hidden="false" customHeight="true" outlineLevel="0" collapsed="false">
      <c r="E336" s="154"/>
    </row>
    <row r="337" customFormat="false" ht="14.25" hidden="false" customHeight="true" outlineLevel="0" collapsed="false">
      <c r="E337" s="154"/>
    </row>
    <row r="338" customFormat="false" ht="14.25" hidden="false" customHeight="true" outlineLevel="0" collapsed="false">
      <c r="E338" s="154"/>
    </row>
    <row r="339" customFormat="false" ht="14.25" hidden="false" customHeight="true" outlineLevel="0" collapsed="false">
      <c r="E339" s="154"/>
    </row>
    <row r="340" customFormat="false" ht="14.25" hidden="false" customHeight="true" outlineLevel="0" collapsed="false">
      <c r="E340" s="154"/>
    </row>
    <row r="341" customFormat="false" ht="14.25" hidden="false" customHeight="true" outlineLevel="0" collapsed="false">
      <c r="E341" s="154"/>
    </row>
    <row r="342" customFormat="false" ht="14.25" hidden="false" customHeight="true" outlineLevel="0" collapsed="false">
      <c r="E342" s="154"/>
    </row>
    <row r="343" customFormat="false" ht="14.25" hidden="false" customHeight="true" outlineLevel="0" collapsed="false">
      <c r="E343" s="154"/>
    </row>
    <row r="344" customFormat="false" ht="14.25" hidden="false" customHeight="true" outlineLevel="0" collapsed="false">
      <c r="E344" s="154"/>
    </row>
    <row r="345" customFormat="false" ht="14.25" hidden="false" customHeight="true" outlineLevel="0" collapsed="false">
      <c r="E345" s="154"/>
    </row>
    <row r="346" customFormat="false" ht="14.25" hidden="false" customHeight="true" outlineLevel="0" collapsed="false">
      <c r="E346" s="154"/>
    </row>
    <row r="347" customFormat="false" ht="14.25" hidden="false" customHeight="true" outlineLevel="0" collapsed="false">
      <c r="E347" s="154"/>
    </row>
    <row r="348" customFormat="false" ht="14.25" hidden="false" customHeight="true" outlineLevel="0" collapsed="false">
      <c r="E348" s="154"/>
    </row>
    <row r="349" customFormat="false" ht="14.25" hidden="false" customHeight="true" outlineLevel="0" collapsed="false">
      <c r="E349" s="154"/>
    </row>
    <row r="350" customFormat="false" ht="14.25" hidden="false" customHeight="true" outlineLevel="0" collapsed="false">
      <c r="E350" s="154"/>
    </row>
    <row r="351" customFormat="false" ht="14.25" hidden="false" customHeight="true" outlineLevel="0" collapsed="false">
      <c r="E351" s="154"/>
    </row>
    <row r="352" customFormat="false" ht="14.25" hidden="false" customHeight="true" outlineLevel="0" collapsed="false">
      <c r="E352" s="154"/>
    </row>
    <row r="353" customFormat="false" ht="14.25" hidden="false" customHeight="true" outlineLevel="0" collapsed="false">
      <c r="E353" s="154"/>
    </row>
    <row r="354" customFormat="false" ht="14.25" hidden="false" customHeight="true" outlineLevel="0" collapsed="false">
      <c r="E354" s="154"/>
    </row>
    <row r="355" customFormat="false" ht="14.25" hidden="false" customHeight="true" outlineLevel="0" collapsed="false">
      <c r="E355" s="154"/>
    </row>
    <row r="356" customFormat="false" ht="14.25" hidden="false" customHeight="true" outlineLevel="0" collapsed="false">
      <c r="E356" s="154"/>
    </row>
    <row r="357" customFormat="false" ht="14.25" hidden="false" customHeight="true" outlineLevel="0" collapsed="false">
      <c r="E357" s="154"/>
    </row>
    <row r="358" customFormat="false" ht="14.25" hidden="false" customHeight="true" outlineLevel="0" collapsed="false">
      <c r="E358" s="154"/>
    </row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6">
    <mergeCell ref="F1:O1"/>
    <mergeCell ref="Q1:AE1"/>
    <mergeCell ref="F15:N15"/>
    <mergeCell ref="AN18:AO18"/>
    <mergeCell ref="AN19:AO19"/>
    <mergeCell ref="AN20:AO20"/>
    <mergeCell ref="AN21:AO21"/>
    <mergeCell ref="AN22:AO22"/>
    <mergeCell ref="AN23:AO23"/>
    <mergeCell ref="AN24:AO24"/>
    <mergeCell ref="AN25:AO25"/>
    <mergeCell ref="AN26:AO26"/>
    <mergeCell ref="AN27:AO27"/>
    <mergeCell ref="AN28:AO28"/>
    <mergeCell ref="AN29:AO29"/>
    <mergeCell ref="AN30:AO30"/>
  </mergeCells>
  <conditionalFormatting sqref="G3:G14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3:H14">
    <cfRule type="colorScale" priority="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:I14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3:J14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3:K14">
    <cfRule type="colorScale" priority="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L3:L14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M3:M14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3:N14">
    <cfRule type="colorScale" priority="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O3:O14 O3:P3"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17:G20">
    <cfRule type="colorScale" priority="1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17:H20">
    <cfRule type="colorScale" priority="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:I20">
    <cfRule type="colorScale" priority="1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17:J20">
    <cfRule type="colorScale" priority="1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17:K20">
    <cfRule type="colorScale" priority="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L17:L20">
    <cfRule type="colorScale" priority="1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M17:M20">
    <cfRule type="colorScale" priority="1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17:N20">
    <cfRule type="colorScale" priority="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E33:AE44">
    <cfRule type="colorScale" priority="1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33:AF44">
    <cfRule type="colorScale" priority="2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E19:AL30">
    <cfRule type="colorScale" priority="2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M19:AM30">
    <cfRule type="colorScale" priority="2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3:G34">
    <cfRule type="colorScale" priority="2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Q23:Q34">
    <cfRule type="colorScale" priority="2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37:G48">
    <cfRule type="colorScale" priority="2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Q37:Q48">
    <cfRule type="colorScale" priority="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1:G62">
    <cfRule type="colorScale" priority="2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Q51:Q62">
    <cfRule type="colorScale" priority="2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65:G68">
    <cfRule type="colorScale" priority="2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Q65:Q68">
    <cfRule type="colorScale" priority="3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74:G77">
    <cfRule type="colorScale" priority="3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Q74:Q77">
    <cfRule type="colorScale" priority="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3:G86">
    <cfRule type="colorScale" priority="3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Q83:Q86">
    <cfRule type="colorScale" priority="3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E53:AL56">
    <cfRule type="colorScale" priority="3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M53:AM56">
    <cfRule type="colorScale" priority="3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E59:AE62">
    <cfRule type="colorScale" priority="3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59:AF62">
    <cfRule type="colorScale" priority="3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G4:AG11 AM4:AM11">
    <cfRule type="cellIs" priority="39" operator="greaterThan" aboveAverage="0" equalAverage="0" bottom="0" percent="0" rank="0" text="" dxfId="8">
      <formula>0</formula>
    </cfRule>
  </conditionalFormatting>
  <hyperlinks>
    <hyperlink ref="D2" r:id="rId1" display="https://discord.com/channels/191975109500731392/1212839710439776287/1212845263862108160"/>
    <hyperlink ref="D3" r:id="rId2" display="https://discord.com/channels/191975109500731392/1212839710439776287/1212845397924646943"/>
    <hyperlink ref="D4" r:id="rId3" display="https://discord.com/channels/191975109500731392/1212839710439776287/1212879934528421971"/>
    <hyperlink ref="D5" r:id="rId4" display="https://discord.com/channels/191975109500731392/1212839710439776287/1213187873935728680"/>
    <hyperlink ref="D6" r:id="rId5" display="https://discord.com/channels/191975109500731392/1212839710439776287/1213194839336816710"/>
    <hyperlink ref="D7" r:id="rId6" display="https://discord.com/channels/191975109500731392/1212839710439776287/1214299533304135760"/>
    <hyperlink ref="D8" r:id="rId7" display="https://discord.com/channels/191975109500731392/1212839710439776287/1214328987526897704"/>
    <hyperlink ref="D11" r:id="rId8" display="https://discord.com/channels/191975109500731392/1212839710439776287/1214963667682992178"/>
    <hyperlink ref="D12" r:id="rId9" display="https://discord.com/channels/191975109500731392/1212839710439776287/1214964509249241108"/>
    <hyperlink ref="D13" r:id="rId10" display="https://discord.com/channels/191975109500731392/1212839710439776287/1215015942325665893"/>
    <hyperlink ref="D14" r:id="rId11" display="https://discord.com/channels/191975109500731392/1212839710439776287/1215050831033012354"/>
    <hyperlink ref="D15" r:id="rId12" display="https://discord.com/channels/191975109500731392/1212839710439776287/1215326037072678973"/>
    <hyperlink ref="D16" r:id="rId13" display="https://discord.com/channels/191975109500731392/1212839710439776287/1215363180306636860"/>
    <hyperlink ref="D17" r:id="rId14" display="https://discord.com/channels/191975109500731392/1212839710439776287/1215371451373199452"/>
    <hyperlink ref="D18" r:id="rId15" display="https://discord.com/channels/191975109500731392/1212839710439776287/1215409481089945600"/>
    <hyperlink ref="D19" r:id="rId16" display="https://discord.com/channels/191975109500731392/1212839710439776287/1215409500413104139"/>
    <hyperlink ref="D20" r:id="rId17" display="https://discord.com/channels/191975109500731392/1212839710439776287/1215736616535064616"/>
    <hyperlink ref="D21" r:id="rId18" display="https://discord.com/channels/191975109500731392/1212839710439776287/1217278694968524851"/>
    <hyperlink ref="D23" r:id="rId19" display="https://discord.com/channels/191975109500731392/1212839710439776287/1217278712123494532"/>
    <hyperlink ref="D25" r:id="rId20" display="https://discord.com/channels/191975109500731392/1212839710439776287/1217278716401422427"/>
    <hyperlink ref="D26" r:id="rId21" display="https://discord.com/channels/191975109500731392/1212839710439776287/1217278716401422427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54296875" defaultRowHeight="15" customHeight="true" zeroHeight="false" outlineLevelRow="0" outlineLevelCol="0"/>
  <cols>
    <col collapsed="false" customWidth="true" hidden="false" outlineLevel="0" max="1" min="1" style="0" width="7.73"/>
    <col collapsed="false" customWidth="true" hidden="false" outlineLevel="0" max="2" min="2" style="0" width="10"/>
    <col collapsed="false" customWidth="true" hidden="false" outlineLevel="0" max="3" min="3" style="0" width="7.82"/>
    <col collapsed="false" customWidth="true" hidden="false" outlineLevel="0" max="4" min="4" style="0" width="10"/>
    <col collapsed="false" customWidth="true" hidden="false" outlineLevel="0" max="5" min="5" style="0" width="7.73"/>
    <col collapsed="false" customWidth="true" hidden="false" outlineLevel="0" max="6" min="6" style="0" width="6.18"/>
    <col collapsed="false" customWidth="true" hidden="false" outlineLevel="0" max="7" min="7" style="0" width="10"/>
    <col collapsed="false" customWidth="true" hidden="false" outlineLevel="0" max="8" min="8" style="0" width="9.18"/>
    <col collapsed="false" customWidth="true" hidden="false" outlineLevel="0" max="9" min="9" style="0" width="5.82"/>
    <col collapsed="false" customWidth="true" hidden="false" outlineLevel="0" max="25" min="10" style="0" width="8.54"/>
    <col collapsed="false" customWidth="true" hidden="false" outlineLevel="0" max="26" min="26" style="0" width="24.82"/>
    <col collapsed="false" customWidth="true" hidden="false" outlineLevel="0" max="39" min="27" style="0" width="8.54"/>
  </cols>
  <sheetData>
    <row r="1" customFormat="false" ht="14.25" hidden="false" customHeight="true" outlineLevel="0" collapsed="false">
      <c r="A1" s="7" t="s">
        <v>2079</v>
      </c>
      <c r="B1" s="7"/>
      <c r="C1" s="7"/>
      <c r="E1" s="7" t="s">
        <v>2080</v>
      </c>
      <c r="F1" s="7"/>
      <c r="G1" s="7"/>
      <c r="H1" s="7"/>
      <c r="I1" s="7"/>
      <c r="J1" s="7"/>
      <c r="K1" s="7"/>
      <c r="L1" s="7"/>
      <c r="P1" s="165" t="s">
        <v>88</v>
      </c>
      <c r="Q1" s="166" t="s">
        <v>2081</v>
      </c>
      <c r="AA1" s="165" t="s">
        <v>88</v>
      </c>
      <c r="AB1" s="167" t="s">
        <v>2082</v>
      </c>
    </row>
    <row r="2" customFormat="false" ht="14.25" hidden="false" customHeight="true" outlineLevel="0" collapsed="false">
      <c r="A2" s="165" t="s">
        <v>88</v>
      </c>
      <c r="B2" s="166" t="s">
        <v>2081</v>
      </c>
      <c r="C2" s="167" t="s">
        <v>2082</v>
      </c>
      <c r="E2" s="168"/>
      <c r="F2" s="169" t="s">
        <v>2083</v>
      </c>
      <c r="G2" s="169" t="s">
        <v>2084</v>
      </c>
      <c r="H2" s="169" t="s">
        <v>2085</v>
      </c>
      <c r="I2" s="169" t="s">
        <v>2086</v>
      </c>
      <c r="J2" s="169" t="s">
        <v>2087</v>
      </c>
      <c r="K2" s="169" t="s">
        <v>2088</v>
      </c>
      <c r="L2" s="169" t="s">
        <v>2089</v>
      </c>
      <c r="P2" s="74" t="s">
        <v>1151</v>
      </c>
      <c r="Q2" s="45" t="n">
        <f aca="false">VLOOKUP(P2,$A$1:$C$23,2,FALSE())</f>
        <v>1</v>
      </c>
      <c r="AA2" s="74" t="s">
        <v>39</v>
      </c>
      <c r="AB2" s="170" t="n">
        <f aca="false">VLOOKUP(AA2,$A$1:$C$23,3,FALSE())</f>
        <v>1.5</v>
      </c>
    </row>
    <row r="3" customFormat="false" ht="14.25" hidden="false" customHeight="true" outlineLevel="0" collapsed="false">
      <c r="A3" s="74" t="s">
        <v>33</v>
      </c>
      <c r="B3" s="45" t="n">
        <f aca="false">MIN(F3:L3)</f>
        <v>3</v>
      </c>
      <c r="C3" s="170" t="n">
        <f aca="false">AVERAGE(F3:L3)</f>
        <v>5.8</v>
      </c>
      <c r="E3" s="74" t="s">
        <v>33</v>
      </c>
      <c r="F3" s="27" t="n">
        <f aca="false">IFERROR(VLOOKUP(E3,Spring2024!$AD$32:$AG$44,4,FALSE()),"")</f>
        <v>7</v>
      </c>
      <c r="G3" s="27" t="n">
        <f aca="false">IFERROR(VLOOKUP(E3,Spring2024POST!$AE$32:$AH$44,4,FALSE()),"")</f>
        <v>5</v>
      </c>
      <c r="H3" s="27" t="str">
        <f aca="false">IFERROR(VLOOKUP(E3,Fall2024PRE!$AF$33:$AI$43,4,FALSE()),"")</f>
        <v/>
      </c>
      <c r="I3" s="27" t="str">
        <f aca="false">IFERROR(VLOOKUP(E3,Fall2024!$AI$33:$AL$46,4,FALSE()),"")</f>
        <v/>
      </c>
      <c r="J3" s="27" t="n">
        <f aca="false">IFERROR(VLOOKUP(E3,Spring2025!$AI$33:$AL$46,4,FALSE()),"")</f>
        <v>6</v>
      </c>
      <c r="K3" s="27" t="n">
        <f aca="false">IFERROR(VLOOKUP(E3,Fall2025PRE!$AI$33:$AL$46,4,FALSE()),"")</f>
        <v>3</v>
      </c>
      <c r="L3" s="27" t="n">
        <f aca="false">IFERROR(VLOOKUP(E3,FALL2025!$AN$35:$AQ$51,4,FALSE()),"")</f>
        <v>8</v>
      </c>
      <c r="P3" s="74" t="s">
        <v>39</v>
      </c>
      <c r="Q3" s="45" t="n">
        <f aca="false">VLOOKUP(P3,$A$1:$C$23,2,FALSE())</f>
        <v>1</v>
      </c>
      <c r="AA3" s="74" t="s">
        <v>1447</v>
      </c>
      <c r="AB3" s="170" t="n">
        <f aca="false">VLOOKUP(AA3,$A$1:$C$23,3,FALSE())</f>
        <v>2</v>
      </c>
    </row>
    <row r="4" customFormat="false" ht="14.25" hidden="false" customHeight="true" outlineLevel="0" collapsed="false">
      <c r="A4" s="74" t="s">
        <v>30</v>
      </c>
      <c r="B4" s="45" t="n">
        <f aca="false">MIN(F4:L4)</f>
        <v>3</v>
      </c>
      <c r="C4" s="170" t="n">
        <f aca="false">AVERAGE(F4:L4)</f>
        <v>6.42857142857143</v>
      </c>
      <c r="E4" s="74" t="s">
        <v>30</v>
      </c>
      <c r="F4" s="27" t="n">
        <f aca="false">IFERROR(VLOOKUP(E4,Spring2024!$AD$32:$AG$44,4,FALSE()),"")</f>
        <v>8</v>
      </c>
      <c r="G4" s="27" t="n">
        <f aca="false">IFERROR(VLOOKUP(E4,Spring2024POST!$AE$32:$AH$44,4,FALSE()),"")</f>
        <v>3</v>
      </c>
      <c r="H4" s="27" t="n">
        <f aca="false">IFERROR(VLOOKUP(E4,Fall2024PRE!$AF$33:$AI$43,4,FALSE()),"")</f>
        <v>5</v>
      </c>
      <c r="I4" s="27" t="n">
        <f aca="false">IFERROR(VLOOKUP(E4,Fall2024!$AI$33:$AL$46,4,FALSE()),"")</f>
        <v>10</v>
      </c>
      <c r="J4" s="27" t="n">
        <f aca="false">IFERROR(VLOOKUP(E4,Spring2025!$AI$33:$AL$46,4,FALSE()),"")</f>
        <v>5</v>
      </c>
      <c r="K4" s="27" t="n">
        <f aca="false">IFERROR(VLOOKUP(E4,Fall2025PRE!$AI$33:$AL$46,4,FALSE()),"")</f>
        <v>8</v>
      </c>
      <c r="L4" s="27" t="n">
        <f aca="false">IFERROR(VLOOKUP(E4,FALL2025!$AN$35:$AQ$51,4,FALSE()),"")</f>
        <v>6</v>
      </c>
      <c r="P4" s="74" t="s">
        <v>41</v>
      </c>
      <c r="Q4" s="45" t="n">
        <f aca="false">VLOOKUP(P4,$A$1:$C$23,2,FALSE())</f>
        <v>1</v>
      </c>
      <c r="AA4" s="74" t="s">
        <v>11</v>
      </c>
      <c r="AB4" s="170" t="n">
        <f aca="false">VLOOKUP(AA4,$A$1:$C$23,3,FALSE())</f>
        <v>4</v>
      </c>
    </row>
    <row r="5" customFormat="false" ht="14.25" hidden="false" customHeight="true" outlineLevel="0" collapsed="false">
      <c r="A5" s="74" t="s">
        <v>40</v>
      </c>
      <c r="B5" s="45" t="n">
        <f aca="false">MIN(F5:L5)</f>
        <v>7</v>
      </c>
      <c r="C5" s="170" t="n">
        <f aca="false">AVERAGE(F5:L5)</f>
        <v>9.71428571428571</v>
      </c>
      <c r="E5" s="74" t="s">
        <v>40</v>
      </c>
      <c r="F5" s="27" t="n">
        <f aca="false">IFERROR(VLOOKUP(E5,Spring2024!$AD$32:$AG$44,4,FALSE()),"")</f>
        <v>9</v>
      </c>
      <c r="G5" s="27" t="n">
        <f aca="false">IFERROR(VLOOKUP(E5,Spring2024POST!$AE$32:$AH$44,4,FALSE()),"")</f>
        <v>10</v>
      </c>
      <c r="H5" s="27" t="n">
        <f aca="false">IFERROR(VLOOKUP(E5,Fall2024PRE!$AF$33:$AI$43,4,FALSE()),"")</f>
        <v>7</v>
      </c>
      <c r="I5" s="27" t="n">
        <f aca="false">IFERROR(VLOOKUP(E5,Fall2024!$AI$33:$AL$46,4,FALSE()),"")</f>
        <v>11</v>
      </c>
      <c r="J5" s="27" t="n">
        <f aca="false">IFERROR(VLOOKUP(E5,Spring2025!$AI$33:$AL$46,4,FALSE()),"")</f>
        <v>11</v>
      </c>
      <c r="K5" s="27" t="n">
        <f aca="false">IFERROR(VLOOKUP(E5,Fall2025PRE!$AI$33:$AL$46,4,FALSE()),"")</f>
        <v>7</v>
      </c>
      <c r="L5" s="27" t="n">
        <f aca="false">IFERROR(VLOOKUP(E5,FALL2025!$AN$35:$AQ$51,4,FALSE()),"")</f>
        <v>13</v>
      </c>
      <c r="P5" s="74" t="s">
        <v>1447</v>
      </c>
      <c r="Q5" s="45" t="n">
        <f aca="false">VLOOKUP(P5,$A$1:$C$23,2,FALSE())</f>
        <v>1</v>
      </c>
      <c r="AA5" s="74" t="s">
        <v>1151</v>
      </c>
      <c r="AB5" s="170" t="n">
        <f aca="false">VLOOKUP(AA5,$A$1:$C$23,3,FALSE())</f>
        <v>3.2</v>
      </c>
    </row>
    <row r="6" customFormat="false" ht="14.25" hidden="false" customHeight="true" outlineLevel="0" collapsed="false">
      <c r="A6" s="74" t="s">
        <v>1151</v>
      </c>
      <c r="B6" s="45" t="n">
        <f aca="false">MIN(F6:L6)</f>
        <v>1</v>
      </c>
      <c r="C6" s="170" t="n">
        <f aca="false">AVERAGE(F6:L6)</f>
        <v>3.2</v>
      </c>
      <c r="E6" s="74" t="s">
        <v>1151</v>
      </c>
      <c r="F6" s="27" t="n">
        <f aca="false">IFERROR(VLOOKUP(E6,Spring2024!$AD$32:$AG$44,4,FALSE()),"")</f>
        <v>4</v>
      </c>
      <c r="G6" s="27" t="n">
        <f aca="false">IFERROR(VLOOKUP(E6,Spring2024POST!$AE$32:$AH$44,4,FALSE()),"")</f>
        <v>6</v>
      </c>
      <c r="H6" s="27" t="n">
        <f aca="false">IFERROR(VLOOKUP(E6,Fall2024PRE!$AF$33:$AI$43,4,FALSE()),"")</f>
        <v>3</v>
      </c>
      <c r="I6" s="27" t="n">
        <f aca="false">IFERROR(VLOOKUP(E6,Fall2024!$AI$33:$AL$46,4,FALSE()),"")</f>
        <v>1</v>
      </c>
      <c r="J6" s="27" t="n">
        <f aca="false">IFERROR(VLOOKUP(E6,Spring2025!$AI$33:$AL$46,4,FALSE()),"")</f>
        <v>2</v>
      </c>
      <c r="K6" s="27" t="str">
        <f aca="false">IFERROR(VLOOKUP(E6,Fall2025PRE!$AI$33:$AL$46,4,FALSE()),"")</f>
        <v/>
      </c>
      <c r="L6" s="27" t="str">
        <f aca="false">IFERROR(VLOOKUP(E6,FALL2025!$AN$35:$AQ$51,4,FALSE()),"")</f>
        <v/>
      </c>
      <c r="P6" s="74" t="s">
        <v>11</v>
      </c>
      <c r="Q6" s="45" t="n">
        <f aca="false">VLOOKUP(P6,$A$1:$C$23,2,FALSE())</f>
        <v>2</v>
      </c>
      <c r="AA6" s="74" t="s">
        <v>41</v>
      </c>
      <c r="AB6" s="170" t="n">
        <f aca="false">VLOOKUP(AA6,$A$1:$C$23,3,FALSE())</f>
        <v>3.42857142857143</v>
      </c>
    </row>
    <row r="7" customFormat="false" ht="14.25" hidden="false" customHeight="true" outlineLevel="0" collapsed="false">
      <c r="A7" s="74" t="s">
        <v>43</v>
      </c>
      <c r="B7" s="45" t="n">
        <f aca="false">MIN(F7:L7)</f>
        <v>6</v>
      </c>
      <c r="C7" s="170" t="n">
        <f aca="false">AVERAGE(F7:L7)</f>
        <v>8</v>
      </c>
      <c r="E7" s="74" t="s">
        <v>43</v>
      </c>
      <c r="F7" s="27" t="n">
        <f aca="false">IFERROR(VLOOKUP(E7,Spring2024!$AD$32:$AG$44,4,FALSE()),"")</f>
        <v>6</v>
      </c>
      <c r="G7" s="27" t="n">
        <f aca="false">IFERROR(VLOOKUP(E7,Spring2024POST!$AE$32:$AH$44,4,FALSE()),"")</f>
        <v>7</v>
      </c>
      <c r="H7" s="27" t="n">
        <f aca="false">IFERROR(VLOOKUP(E7,Fall2024PRE!$AF$33:$AI$43,4,FALSE()),"")</f>
        <v>6</v>
      </c>
      <c r="I7" s="27" t="n">
        <f aca="false">IFERROR(VLOOKUP(E7,Fall2024!$AI$33:$AL$46,4,FALSE()),"")</f>
        <v>9</v>
      </c>
      <c r="J7" s="27" t="n">
        <f aca="false">IFERROR(VLOOKUP(E7,Spring2025!$AI$33:$AL$46,4,FALSE()),"")</f>
        <v>7</v>
      </c>
      <c r="K7" s="27" t="n">
        <f aca="false">IFERROR(VLOOKUP(E7,Fall2025PRE!$AI$33:$AL$46,4,FALSE()),"")</f>
        <v>9</v>
      </c>
      <c r="L7" s="27" t="n">
        <f aca="false">IFERROR(VLOOKUP(E7,FALL2025!$AN$35:$AQ$51,4,FALSE()),"")</f>
        <v>12</v>
      </c>
      <c r="P7" s="74" t="s">
        <v>33</v>
      </c>
      <c r="Q7" s="45" t="n">
        <f aca="false">VLOOKUP(P7,$A$1:$C$23,2,FALSE())</f>
        <v>3</v>
      </c>
      <c r="AA7" s="74" t="s">
        <v>33</v>
      </c>
      <c r="AB7" s="170" t="n">
        <f aca="false">VLOOKUP(AA7,$A$1:$C$23,3,FALSE())</f>
        <v>5.8</v>
      </c>
    </row>
    <row r="8" customFormat="false" ht="14.25" hidden="false" customHeight="true" outlineLevel="0" collapsed="false">
      <c r="A8" s="74" t="s">
        <v>39</v>
      </c>
      <c r="B8" s="45" t="n">
        <f aca="false">MIN(F8:L8)</f>
        <v>1</v>
      </c>
      <c r="C8" s="170" t="n">
        <f aca="false">AVERAGE(F8:L8)</f>
        <v>1.5</v>
      </c>
      <c r="E8" s="74" t="s">
        <v>39</v>
      </c>
      <c r="F8" s="27" t="str">
        <f aca="false">IFERROR(VLOOKUP(E8,Spring2024!$AD$32:$AG$44,4,FALSE()),"")</f>
        <v/>
      </c>
      <c r="G8" s="27" t="str">
        <f aca="false">IFERROR(VLOOKUP(E8,Spring2024POST!$AE$32:$AH$44,4,FALSE()),"")</f>
        <v/>
      </c>
      <c r="H8" s="27" t="str">
        <f aca="false">IFERROR(VLOOKUP(E8,Fall2024PRE!$AF$33:$AI$43,4,FALSE()),"")</f>
        <v/>
      </c>
      <c r="I8" s="27" t="n">
        <f aca="false">IFERROR(VLOOKUP(E8,Fall2024!$AI$33:$AL$46,4,FALSE()),"")</f>
        <v>3</v>
      </c>
      <c r="J8" s="27" t="n">
        <f aca="false">IFERROR(VLOOKUP(E8,Spring2025!$AI$33:$AL$46,4,FALSE()),"")</f>
        <v>1</v>
      </c>
      <c r="K8" s="27" t="n">
        <f aca="false">IFERROR(VLOOKUP(E8,Fall2025PRE!$AI$33:$AL$46,4,FALSE()),"")</f>
        <v>1</v>
      </c>
      <c r="L8" s="27" t="n">
        <f aca="false">IFERROR(VLOOKUP(E8,FALL2025!$AN$35:$AQ$51,4,FALSE()),"")</f>
        <v>1</v>
      </c>
      <c r="P8" s="74" t="s">
        <v>30</v>
      </c>
      <c r="Q8" s="45" t="n">
        <f aca="false">VLOOKUP(P8,$A$1:$C$23,2,FALSE())</f>
        <v>3</v>
      </c>
      <c r="AA8" s="74" t="s">
        <v>31</v>
      </c>
      <c r="AB8" s="170" t="n">
        <f aca="false">VLOOKUP(AA8,$A$1:$C$23,3,FALSE())</f>
        <v>4</v>
      </c>
    </row>
    <row r="9" customFormat="false" ht="14.25" hidden="false" customHeight="true" outlineLevel="0" collapsed="false">
      <c r="A9" s="74" t="s">
        <v>36</v>
      </c>
      <c r="B9" s="45" t="n">
        <f aca="false">MIN(F9:L9)</f>
        <v>6</v>
      </c>
      <c r="C9" s="170" t="n">
        <f aca="false">AVERAGE(F9:L9)</f>
        <v>8.5</v>
      </c>
      <c r="E9" s="74" t="s">
        <v>36</v>
      </c>
      <c r="F9" s="27" t="str">
        <f aca="false">IFERROR(VLOOKUP(E9,Spring2024!$AD$32:$AG$44,4,FALSE()),"")</f>
        <v/>
      </c>
      <c r="G9" s="27" t="str">
        <f aca="false">IFERROR(VLOOKUP(E9,Spring2024POST!$AE$32:$AH$44,4,FALSE()),"")</f>
        <v/>
      </c>
      <c r="H9" s="27" t="str">
        <f aca="false">IFERROR(VLOOKUP(E9,Fall2024PRE!$AF$33:$AI$43,4,FALSE()),"")</f>
        <v/>
      </c>
      <c r="I9" s="27" t="n">
        <f aca="false">IFERROR(VLOOKUP(E9,Fall2024!$AI$33:$AL$46,4,FALSE()),"")</f>
        <v>8</v>
      </c>
      <c r="J9" s="27" t="n">
        <f aca="false">IFERROR(VLOOKUP(E9,Spring2025!$AI$33:$AL$46,4,FALSE()),"")</f>
        <v>10</v>
      </c>
      <c r="K9" s="27" t="n">
        <f aca="false">IFERROR(VLOOKUP(E9,Fall2025PRE!$AI$33:$AL$46,4,FALSE()),"")</f>
        <v>6</v>
      </c>
      <c r="L9" s="27" t="n">
        <f aca="false">IFERROR(VLOOKUP(E9,FALL2025!$AN$35:$AQ$51,4,FALSE()),"")</f>
        <v>10</v>
      </c>
      <c r="P9" s="74" t="s">
        <v>42</v>
      </c>
      <c r="Q9" s="45" t="n">
        <f aca="false">VLOOKUP(P9,$A$1:$C$23,2,FALSE())</f>
        <v>3</v>
      </c>
      <c r="AA9" s="74" t="s">
        <v>30</v>
      </c>
      <c r="AB9" s="170" t="n">
        <f aca="false">VLOOKUP(AA9,$A$1:$C$23,3,FALSE())</f>
        <v>6.42857142857143</v>
      </c>
    </row>
    <row r="10" customFormat="false" ht="14.25" hidden="false" customHeight="true" outlineLevel="0" collapsed="false">
      <c r="A10" s="74" t="s">
        <v>42</v>
      </c>
      <c r="B10" s="45" t="n">
        <f aca="false">MIN(F10:L10)</f>
        <v>3</v>
      </c>
      <c r="C10" s="170" t="n">
        <f aca="false">AVERAGE(F10:L10)</f>
        <v>10.4285714285714</v>
      </c>
      <c r="E10" s="74" t="s">
        <v>42</v>
      </c>
      <c r="F10" s="27" t="n">
        <f aca="false">IFERROR(VLOOKUP(E10,Spring2024!$AD$32:$AG$44,4,FALSE()),"")</f>
        <v>12</v>
      </c>
      <c r="G10" s="27" t="n">
        <f aca="false">IFERROR(VLOOKUP(E10,Spring2024POST!$AE$32:$AH$44,4,FALSE()),"")</f>
        <v>11</v>
      </c>
      <c r="H10" s="27" t="n">
        <f aca="false">IFERROR(VLOOKUP(E10,Fall2024PRE!$AF$33:$AI$43,4,FALSE()),"")</f>
        <v>10</v>
      </c>
      <c r="I10" s="27" t="n">
        <f aca="false">IFERROR(VLOOKUP(E10,Fall2024!$AI$33:$AL$46,4,FALSE()),"")</f>
        <v>12</v>
      </c>
      <c r="J10" s="27" t="n">
        <f aca="false">IFERROR(VLOOKUP(E10,Spring2025!$AI$33:$AL$46,4,FALSE()),"")</f>
        <v>3</v>
      </c>
      <c r="K10" s="27" t="n">
        <f aca="false">IFERROR(VLOOKUP(E10,Fall2025PRE!$AI$33:$AL$46,4,FALSE()),"")</f>
        <v>11</v>
      </c>
      <c r="L10" s="27" t="n">
        <f aca="false">IFERROR(VLOOKUP(E10,FALL2025!$AN$35:$AQ$51,4,FALSE()),"")</f>
        <v>14</v>
      </c>
      <c r="P10" s="74" t="s">
        <v>95</v>
      </c>
      <c r="Q10" s="45" t="n">
        <f aca="false">VLOOKUP(P10,$A$1:$C$23,2,FALSE())</f>
        <v>4</v>
      </c>
      <c r="AA10" s="74" t="s">
        <v>1443</v>
      </c>
      <c r="AB10" s="170" t="n">
        <f aca="false">VLOOKUP(AA10,$A$1:$C$23,3,FALSE())</f>
        <v>6</v>
      </c>
    </row>
    <row r="11" customFormat="false" ht="14.25" hidden="false" customHeight="true" outlineLevel="0" collapsed="false">
      <c r="A11" s="74" t="s">
        <v>95</v>
      </c>
      <c r="B11" s="45" t="n">
        <f aca="false">MIN(F11:L11)</f>
        <v>4</v>
      </c>
      <c r="C11" s="170" t="n">
        <f aca="false">AVERAGE(F11:L11)</f>
        <v>8</v>
      </c>
      <c r="E11" s="74" t="s">
        <v>95</v>
      </c>
      <c r="F11" s="27" t="str">
        <f aca="false">IFERROR(VLOOKUP(E11,Spring2024!$AD$32:$AG$44,4,FALSE()),"")</f>
        <v/>
      </c>
      <c r="G11" s="27" t="str">
        <f aca="false">IFERROR(VLOOKUP(E11,Spring2024POST!$AE$32:$AH$44,4,FALSE()),"")</f>
        <v/>
      </c>
      <c r="H11" s="27" t="str">
        <f aca="false">IFERROR(VLOOKUP(E11,Fall2024PRE!$AF$33:$AI$43,4,FALSE()),"")</f>
        <v/>
      </c>
      <c r="I11" s="27" t="str">
        <f aca="false">IFERROR(VLOOKUP(E11,Fall2024!$AI$33:$AL$46,4,FALSE()),"")</f>
        <v/>
      </c>
      <c r="J11" s="27" t="n">
        <f aca="false">IFERROR(VLOOKUP(E11,Spring2025!$AI$33:$AL$46,4,FALSE()),"")</f>
        <v>9</v>
      </c>
      <c r="K11" s="27" t="n">
        <f aca="false">IFERROR(VLOOKUP(E11,Fall2025PRE!$AI$33:$AL$46,4,FALSE()),"")</f>
        <v>4</v>
      </c>
      <c r="L11" s="27" t="n">
        <f aca="false">IFERROR(VLOOKUP(E11,FALL2025!$AN$35:$AQ$51,4,FALSE()),"")</f>
        <v>11</v>
      </c>
      <c r="P11" s="74" t="s">
        <v>1443</v>
      </c>
      <c r="Q11" s="45" t="n">
        <f aca="false">VLOOKUP(P11,$A$1:$C$23,2,FALSE())</f>
        <v>4</v>
      </c>
      <c r="AA11" s="74" t="s">
        <v>37</v>
      </c>
      <c r="AB11" s="170" t="n">
        <f aca="false">VLOOKUP(AA11,$A$1:$C$23,3,FALSE())</f>
        <v>2</v>
      </c>
    </row>
    <row r="12" customFormat="false" ht="14.25" hidden="false" customHeight="true" outlineLevel="0" collapsed="false">
      <c r="A12" s="74" t="s">
        <v>1443</v>
      </c>
      <c r="B12" s="45" t="n">
        <f aca="false">MIN(F12:L12)</f>
        <v>4</v>
      </c>
      <c r="C12" s="170" t="n">
        <f aca="false">AVERAGE(F12:L12)</f>
        <v>6</v>
      </c>
      <c r="E12" s="74" t="s">
        <v>1443</v>
      </c>
      <c r="F12" s="27" t="n">
        <f aca="false">IFERROR(VLOOKUP(E12,Spring2024!$AD$32:$AG$44,4,FALSE()),"")</f>
        <v>5</v>
      </c>
      <c r="G12" s="27" t="n">
        <f aca="false">IFERROR(VLOOKUP(E12,Spring2024POST!$AE$32:$AH$44,4,FALSE()),"")</f>
        <v>4</v>
      </c>
      <c r="H12" s="27" t="n">
        <f aca="false">IFERROR(VLOOKUP(E12,Fall2024PRE!$AF$33:$AI$43,4,FALSE()),"")</f>
        <v>8</v>
      </c>
      <c r="I12" s="27" t="n">
        <f aca="false">IFERROR(VLOOKUP(E12,Fall2024!$AI$33:$AL$46,4,FALSE()),"")</f>
        <v>7</v>
      </c>
      <c r="J12" s="27" t="str">
        <f aca="false">IFERROR(VLOOKUP(E12,Spring2025!$AI$33:$AL$46,4,FALSE()),"")</f>
        <v/>
      </c>
      <c r="K12" s="27" t="str">
        <f aca="false">IFERROR(VLOOKUP(E12,Fall2025PRE!$AI$33:$AL$46,4,FALSE()),"")</f>
        <v/>
      </c>
      <c r="L12" s="27" t="str">
        <f aca="false">IFERROR(VLOOKUP(E12,FALL2025!$AN$35:$AQ$51,4,FALSE()),"")</f>
        <v/>
      </c>
      <c r="P12" s="74" t="s">
        <v>31</v>
      </c>
      <c r="Q12" s="45" t="n">
        <f aca="false">VLOOKUP(P12,$A$1:$C$23,2,FALSE())</f>
        <v>4</v>
      </c>
      <c r="AA12" s="74" t="s">
        <v>34</v>
      </c>
      <c r="AB12" s="170" t="n">
        <f aca="false">VLOOKUP(AA12,$A$1:$C$23,3,FALSE())</f>
        <v>5</v>
      </c>
    </row>
    <row r="13" customFormat="false" ht="14.25" hidden="false" customHeight="true" outlineLevel="0" collapsed="false">
      <c r="A13" s="74" t="s">
        <v>34</v>
      </c>
      <c r="B13" s="45" t="n">
        <f aca="false">MIN(F13:L13)</f>
        <v>5</v>
      </c>
      <c r="C13" s="170" t="n">
        <f aca="false">AVERAGE(F13:L13)</f>
        <v>5</v>
      </c>
      <c r="E13" s="74" t="s">
        <v>34</v>
      </c>
      <c r="F13" s="27" t="str">
        <f aca="false">IFERROR(VLOOKUP(E13,Spring2024!$AD$32:$AG$44,4,FALSE()),"")</f>
        <v/>
      </c>
      <c r="G13" s="27" t="str">
        <f aca="false">IFERROR(VLOOKUP(E13,Spring2024POST!$AE$32:$AH$44,4,FALSE()),"")</f>
        <v/>
      </c>
      <c r="H13" s="27" t="str">
        <f aca="false">IFERROR(VLOOKUP(E13,Fall2024PRE!$AF$33:$AI$43,4,FALSE()),"")</f>
        <v/>
      </c>
      <c r="I13" s="27" t="str">
        <f aca="false">IFERROR(VLOOKUP(E13,Fall2024!$AI$33:$AL$46,4,FALSE()),"")</f>
        <v/>
      </c>
      <c r="J13" s="27" t="str">
        <f aca="false">IFERROR(VLOOKUP(E13,Spring2025!$AI$33:$AL$46,4,FALSE()),"")</f>
        <v/>
      </c>
      <c r="K13" s="27" t="str">
        <f aca="false">IFERROR(VLOOKUP(E13,Fall2025PRE!$AI$33:$AL$46,4,FALSE()),"")</f>
        <v/>
      </c>
      <c r="L13" s="27" t="n">
        <f aca="false">IFERROR(VLOOKUP(E13,FALL2025!$AN$35:$AQ$51,4,FALSE()),"")</f>
        <v>5</v>
      </c>
      <c r="P13" s="74" t="s">
        <v>43</v>
      </c>
      <c r="Q13" s="45" t="n">
        <f aca="false">VLOOKUP(P13,$A$1:$C$23,2,FALSE())</f>
        <v>6</v>
      </c>
      <c r="AA13" s="74" t="s">
        <v>95</v>
      </c>
      <c r="AB13" s="170" t="n">
        <f aca="false">VLOOKUP(AA13,$A$1:$C$23,3,FALSE())</f>
        <v>8</v>
      </c>
    </row>
    <row r="14" customFormat="false" ht="14.25" hidden="false" customHeight="true" outlineLevel="0" collapsed="false">
      <c r="A14" s="74" t="s">
        <v>41</v>
      </c>
      <c r="B14" s="45" t="n">
        <f aca="false">MIN(F14:L14)</f>
        <v>1</v>
      </c>
      <c r="C14" s="170" t="n">
        <f aca="false">AVERAGE(F14:L14)</f>
        <v>3.42857142857143</v>
      </c>
      <c r="E14" s="74" t="s">
        <v>41</v>
      </c>
      <c r="F14" s="27" t="n">
        <f aca="false">IFERROR(VLOOKUP(E14,Spring2024!$AD$32:$AG$44,4,FALSE()),"")</f>
        <v>1</v>
      </c>
      <c r="G14" s="27" t="n">
        <f aca="false">IFERROR(VLOOKUP(E14,Spring2024POST!$AE$32:$AH$44,4,FALSE()),"")</f>
        <v>8</v>
      </c>
      <c r="H14" s="27" t="n">
        <f aca="false">IFERROR(VLOOKUP(E14,Fall2024PRE!$AF$33:$AI$43,4,FALSE()),"")</f>
        <v>1</v>
      </c>
      <c r="I14" s="27" t="n">
        <f aca="false">IFERROR(VLOOKUP(E14,Fall2024!$AI$33:$AL$46,4,FALSE()),"")</f>
        <v>5</v>
      </c>
      <c r="J14" s="27" t="n">
        <f aca="false">IFERROR(VLOOKUP(E14,Spring2025!$AI$33:$AL$46,4,FALSE()),"")</f>
        <v>4</v>
      </c>
      <c r="K14" s="27" t="n">
        <f aca="false">IFERROR(VLOOKUP(E14,Fall2025PRE!$AI$33:$AL$46,4,FALSE()),"")</f>
        <v>2</v>
      </c>
      <c r="L14" s="27" t="n">
        <f aca="false">IFERROR(VLOOKUP(E14,FALL2025!$AN$35:$AQ$51,4,FALSE()),"")</f>
        <v>3</v>
      </c>
      <c r="P14" s="74" t="s">
        <v>36</v>
      </c>
      <c r="Q14" s="45" t="n">
        <f aca="false">VLOOKUP(P14,$A$1:$C$23,2,FALSE())</f>
        <v>6</v>
      </c>
      <c r="AA14" s="74" t="s">
        <v>43</v>
      </c>
      <c r="AB14" s="170" t="n">
        <f aca="false">VLOOKUP(AA14,$A$1:$C$23,3,FALSE())</f>
        <v>8</v>
      </c>
    </row>
    <row r="15" customFormat="false" ht="14.25" hidden="false" customHeight="true" outlineLevel="0" collapsed="false">
      <c r="A15" s="74" t="s">
        <v>31</v>
      </c>
      <c r="B15" s="45" t="n">
        <f aca="false">MIN(F15:L15)</f>
        <v>4</v>
      </c>
      <c r="C15" s="170" t="n">
        <f aca="false">AVERAGE(F15:L15)</f>
        <v>4</v>
      </c>
      <c r="E15" s="74" t="s">
        <v>31</v>
      </c>
      <c r="F15" s="27" t="str">
        <f aca="false">IFERROR(VLOOKUP(E15,Spring2024!$AD$32:$AG$44,4,FALSE()),"")</f>
        <v/>
      </c>
      <c r="G15" s="27" t="str">
        <f aca="false">IFERROR(VLOOKUP(E15,Spring2024POST!$AE$32:$AH$44,4,FALSE()),"")</f>
        <v/>
      </c>
      <c r="H15" s="27" t="str">
        <f aca="false">IFERROR(VLOOKUP(E15,Fall2024PRE!$AF$33:$AI$43,4,FALSE()),"")</f>
        <v/>
      </c>
      <c r="I15" s="27" t="str">
        <f aca="false">IFERROR(VLOOKUP(E15,Fall2024!$AI$33:$AL$46,4,FALSE()),"")</f>
        <v/>
      </c>
      <c r="J15" s="27" t="str">
        <f aca="false">IFERROR(VLOOKUP(E15,Spring2025!$AI$33:$AL$46,4,FALSE()),"")</f>
        <v/>
      </c>
      <c r="K15" s="27" t="str">
        <f aca="false">IFERROR(VLOOKUP(E15,Fall2025PRE!$AI$33:$AL$46,4,FALSE()),"")</f>
        <v/>
      </c>
      <c r="L15" s="27" t="n">
        <f aca="false">IFERROR(VLOOKUP(E15,FALL2025!$AN$35:$AQ$51,4,FALSE()),"")</f>
        <v>4</v>
      </c>
      <c r="P15" s="74" t="s">
        <v>1154</v>
      </c>
      <c r="Q15" s="45" t="n">
        <f aca="false">VLOOKUP(P15,$A$1:$C$23,2,FALSE())</f>
        <v>6</v>
      </c>
      <c r="AA15" s="74" t="s">
        <v>38</v>
      </c>
      <c r="AB15" s="170" t="n">
        <f aca="false">VLOOKUP(AA15,$A$1:$C$23,3,FALSE())</f>
        <v>9</v>
      </c>
    </row>
    <row r="16" customFormat="false" ht="14.25" hidden="false" customHeight="true" outlineLevel="0" collapsed="false">
      <c r="A16" s="74" t="s">
        <v>11</v>
      </c>
      <c r="B16" s="45" t="n">
        <f aca="false">MIN(F16:L16)</f>
        <v>2</v>
      </c>
      <c r="C16" s="170" t="n">
        <f aca="false">AVERAGE(F16:L16)</f>
        <v>4</v>
      </c>
      <c r="E16" s="74" t="s">
        <v>11</v>
      </c>
      <c r="F16" s="27" t="n">
        <f aca="false">IFERROR(VLOOKUP(E16,Spring2024!$AD$32:$AG$44,4,FALSE()),"")</f>
        <v>2</v>
      </c>
      <c r="G16" s="27" t="n">
        <f aca="false">IFERROR(VLOOKUP(E16,Spring2024POST!$AE$32:$AH$44,4,FALSE()),"")</f>
        <v>2</v>
      </c>
      <c r="H16" s="27" t="n">
        <f aca="false">IFERROR(VLOOKUP(E16,Fall2024PRE!$AF$33:$AI$43,4,FALSE()),"")</f>
        <v>4</v>
      </c>
      <c r="I16" s="27" t="n">
        <f aca="false">IFERROR(VLOOKUP(E16,Fall2024!$AI$33:$AL$46,4,FALSE()),"")</f>
        <v>4</v>
      </c>
      <c r="J16" s="27" t="str">
        <f aca="false">IFERROR(VLOOKUP(E16,Spring2025!$AI$33:$AL$46,4,FALSE()),"")</f>
        <v/>
      </c>
      <c r="K16" s="27" t="n">
        <f aca="false">IFERROR(VLOOKUP(E16,Fall2025PRE!$AI$33:$AL$46,4,FALSE()),"")</f>
        <v>5</v>
      </c>
      <c r="L16" s="27" t="n">
        <f aca="false">IFERROR(VLOOKUP(E16,FALL2025!$AN$35:$AQ$51,4,FALSE()),"")</f>
        <v>7</v>
      </c>
      <c r="P16" s="74" t="s">
        <v>37</v>
      </c>
      <c r="Q16" s="45" t="n">
        <f aca="false">VLOOKUP(P16,$A$1:$C$23,2,FALSE())</f>
        <v>2</v>
      </c>
      <c r="AA16" s="74" t="s">
        <v>1154</v>
      </c>
      <c r="AB16" s="170" t="n">
        <f aca="false">VLOOKUP(AA16,$A$1:$C$23,3,FALSE())</f>
        <v>8.6</v>
      </c>
    </row>
    <row r="17" customFormat="false" ht="14.25" hidden="false" customHeight="true" outlineLevel="0" collapsed="false">
      <c r="A17" s="74" t="s">
        <v>35</v>
      </c>
      <c r="B17" s="45" t="n">
        <f aca="false">MIN(F17:L17)</f>
        <v>10</v>
      </c>
      <c r="C17" s="170" t="n">
        <f aca="false">AVERAGE(F17:L17)</f>
        <v>12.75</v>
      </c>
      <c r="E17" s="74" t="s">
        <v>35</v>
      </c>
      <c r="F17" s="27" t="str">
        <f aca="false">IFERROR(VLOOKUP(E17,Spring2024!$AD$32:$AG$44,4,FALSE()),"")</f>
        <v/>
      </c>
      <c r="G17" s="27" t="str">
        <f aca="false">IFERROR(VLOOKUP(E17,Spring2024POST!$AE$32:$AH$44,4,FALSE()),"")</f>
        <v/>
      </c>
      <c r="H17" s="27" t="str">
        <f aca="false">IFERROR(VLOOKUP(E17,Fall2024PRE!$AF$33:$AI$43,4,FALSE()),"")</f>
        <v/>
      </c>
      <c r="I17" s="27" t="n">
        <f aca="false">IFERROR(VLOOKUP(E17,Fall2024!$AI$33:$AL$46,4,FALSE()),"")</f>
        <v>13</v>
      </c>
      <c r="J17" s="27" t="n">
        <f aca="false">IFERROR(VLOOKUP(E17,Spring2025!$AI$33:$AL$46,4,FALSE()),"")</f>
        <v>12</v>
      </c>
      <c r="K17" s="27" t="n">
        <f aca="false">IFERROR(VLOOKUP(E17,Fall2025PRE!$AI$33:$AL$46,4,FALSE()),"")</f>
        <v>10</v>
      </c>
      <c r="L17" s="27" t="n">
        <f aca="false">IFERROR(VLOOKUP(E17,FALL2025!$AN$35:$AQ$51,4,FALSE()),"")</f>
        <v>16</v>
      </c>
      <c r="P17" s="74" t="s">
        <v>40</v>
      </c>
      <c r="Q17" s="45" t="n">
        <f aca="false">VLOOKUP(P17,$A$1:$C$23,2,FALSE())</f>
        <v>7</v>
      </c>
      <c r="AA17" s="74" t="s">
        <v>36</v>
      </c>
      <c r="AB17" s="170" t="n">
        <f aca="false">VLOOKUP(AA17,$A$1:$C$23,3,FALSE())</f>
        <v>8.5</v>
      </c>
    </row>
    <row r="18" customFormat="false" ht="14.25" hidden="false" customHeight="true" outlineLevel="0" collapsed="false">
      <c r="A18" s="74" t="s">
        <v>32</v>
      </c>
      <c r="B18" s="45" t="n">
        <f aca="false">MIN(F18:L18)</f>
        <v>15</v>
      </c>
      <c r="C18" s="170" t="n">
        <f aca="false">AVERAGE(F18:L18)</f>
        <v>15</v>
      </c>
      <c r="E18" s="74" t="s">
        <v>32</v>
      </c>
      <c r="F18" s="27" t="str">
        <f aca="false">IFERROR(VLOOKUP(E18,Spring2024!$AD$32:$AG$44,4,FALSE()),"")</f>
        <v/>
      </c>
      <c r="G18" s="27" t="str">
        <f aca="false">IFERROR(VLOOKUP(E18,Spring2024POST!$AE$32:$AH$44,4,FALSE()),"")</f>
        <v/>
      </c>
      <c r="H18" s="27" t="str">
        <f aca="false">IFERROR(VLOOKUP(E18,Fall2024PRE!$AF$33:$AI$43,4,FALSE()),"")</f>
        <v/>
      </c>
      <c r="I18" s="27" t="str">
        <f aca="false">IFERROR(VLOOKUP(E18,Fall2024!$AI$33:$AL$46,4,FALSE()),"")</f>
        <v/>
      </c>
      <c r="J18" s="27" t="str">
        <f aca="false">IFERROR(VLOOKUP(E18,Spring2025!$AI$33:$AL$46,4,FALSE()),"")</f>
        <v/>
      </c>
      <c r="K18" s="27" t="str">
        <f aca="false">IFERROR(VLOOKUP(E18,Fall2025PRE!$AI$33:$AL$46,4,FALSE()),"")</f>
        <v/>
      </c>
      <c r="L18" s="27" t="n">
        <f aca="false">IFERROR(VLOOKUP(E18,FALL2025!$AN$35:$AQ$51,4,FALSE()),"")</f>
        <v>15</v>
      </c>
      <c r="P18" s="74" t="s">
        <v>34</v>
      </c>
      <c r="Q18" s="45" t="n">
        <f aca="false">VLOOKUP(P18,$A$1:$C$23,2,FALSE())</f>
        <v>5</v>
      </c>
      <c r="AA18" s="74" t="s">
        <v>42</v>
      </c>
      <c r="AB18" s="170" t="n">
        <f aca="false">VLOOKUP(AA18,$A$1:$C$23,3,FALSE())</f>
        <v>10.4285714285714</v>
      </c>
    </row>
    <row r="19" customFormat="false" ht="14.25" hidden="false" customHeight="true" outlineLevel="0" collapsed="false">
      <c r="A19" s="74" t="s">
        <v>1447</v>
      </c>
      <c r="B19" s="45" t="n">
        <f aca="false">MIN(F19:L19)</f>
        <v>1</v>
      </c>
      <c r="C19" s="170" t="n">
        <f aca="false">AVERAGE(F19:L19)</f>
        <v>2</v>
      </c>
      <c r="E19" s="74" t="s">
        <v>1447</v>
      </c>
      <c r="F19" s="27" t="n">
        <f aca="false">IFERROR(VLOOKUP(E19,Spring2024!$AD$32:$AG$44,4,FALSE()),"")</f>
        <v>3</v>
      </c>
      <c r="G19" s="27" t="n">
        <f aca="false">IFERROR(VLOOKUP(E19,Spring2024POST!$AE$32:$AH$44,4,FALSE()),"")</f>
        <v>1</v>
      </c>
      <c r="H19" s="27" t="n">
        <f aca="false">IFERROR(VLOOKUP(E19,Fall2024PRE!$AF$33:$AI$43,4,FALSE()),"")</f>
        <v>2</v>
      </c>
      <c r="I19" s="27" t="n">
        <f aca="false">IFERROR(VLOOKUP(E19,Fall2024!$AI$33:$AL$46,4,FALSE()),"")</f>
        <v>2</v>
      </c>
      <c r="J19" s="27" t="str">
        <f aca="false">IFERROR(VLOOKUP(E19,Spring2025!$AI$33:$AL$46,4,FALSE()),"")</f>
        <v/>
      </c>
      <c r="K19" s="27" t="str">
        <f aca="false">IFERROR(VLOOKUP(E19,Fall2025PRE!$AI$33:$AL$46,4,FALSE()),"")</f>
        <v/>
      </c>
      <c r="L19" s="27" t="str">
        <f aca="false">IFERROR(VLOOKUP(E19,FALL2025!$AN$35:$AQ$51,4,FALSE()),"")</f>
        <v/>
      </c>
      <c r="P19" s="74" t="s">
        <v>38</v>
      </c>
      <c r="Q19" s="45" t="n">
        <f aca="false">VLOOKUP(P19,$A$1:$C$23,2,FALSE())</f>
        <v>9</v>
      </c>
      <c r="AA19" s="74" t="s">
        <v>40</v>
      </c>
      <c r="AB19" s="170" t="n">
        <f aca="false">VLOOKUP(AA19,$A$1:$C$23,3,FALSE())</f>
        <v>9.71428571428571</v>
      </c>
    </row>
    <row r="20" customFormat="false" ht="14.25" hidden="false" customHeight="true" outlineLevel="0" collapsed="false">
      <c r="A20" s="74" t="s">
        <v>1919</v>
      </c>
      <c r="B20" s="45" t="n">
        <f aca="false">MIN(F20:L20)</f>
        <v>10</v>
      </c>
      <c r="C20" s="170" t="n">
        <f aca="false">AVERAGE(F20:L20)</f>
        <v>11</v>
      </c>
      <c r="E20" s="74" t="s">
        <v>1919</v>
      </c>
      <c r="F20" s="27" t="n">
        <f aca="false">IFERROR(VLOOKUP(E20,Spring2024!$AD$32:$AG$44,4,FALSE()),"")</f>
        <v>10</v>
      </c>
      <c r="G20" s="27" t="n">
        <f aca="false">IFERROR(VLOOKUP(E20,Spring2024POST!$AE$32:$AH$44,4,FALSE()),"")</f>
        <v>12</v>
      </c>
      <c r="H20" s="27" t="str">
        <f aca="false">IFERROR(VLOOKUP(E20,Fall2024PRE!$AF$33:$AI$43,4,FALSE()),"")</f>
        <v/>
      </c>
      <c r="I20" s="27" t="str">
        <f aca="false">IFERROR(VLOOKUP(E20,Fall2024!$AI$33:$AL$46,4,FALSE()),"")</f>
        <v/>
      </c>
      <c r="J20" s="27" t="str">
        <f aca="false">IFERROR(VLOOKUP(E20,Spring2025!$AI$33:$AL$46,4,FALSE()),"")</f>
        <v/>
      </c>
      <c r="K20" s="27" t="str">
        <f aca="false">IFERROR(VLOOKUP(E20,Fall2025PRE!$AI$33:$AL$46,4,FALSE()),"")</f>
        <v/>
      </c>
      <c r="L20" s="27" t="str">
        <f aca="false">IFERROR(VLOOKUP(E20,FALL2025!$AN$35:$AQ$51,4,FALSE()),"")</f>
        <v/>
      </c>
      <c r="P20" s="74" t="s">
        <v>35</v>
      </c>
      <c r="Q20" s="45" t="n">
        <f aca="false">VLOOKUP(P20,$A$1:$C$23,2,FALSE())</f>
        <v>10</v>
      </c>
      <c r="AA20" s="74" t="s">
        <v>1919</v>
      </c>
      <c r="AB20" s="170" t="n">
        <f aca="false">VLOOKUP(AA20,$A$1:$C$23,3,FALSE())</f>
        <v>11</v>
      </c>
    </row>
    <row r="21" customFormat="false" ht="14.25" hidden="false" customHeight="true" outlineLevel="0" collapsed="false">
      <c r="A21" s="74" t="s">
        <v>1154</v>
      </c>
      <c r="B21" s="45" t="n">
        <f aca="false">MIN(F21:L21)</f>
        <v>6</v>
      </c>
      <c r="C21" s="170" t="n">
        <f aca="false">AVERAGE(F21:L21)</f>
        <v>8.6</v>
      </c>
      <c r="E21" s="74" t="s">
        <v>1154</v>
      </c>
      <c r="F21" s="27" t="n">
        <f aca="false">IFERROR(VLOOKUP(E21,Spring2024!$AD$32:$AG$44,4,FALSE()),"")</f>
        <v>11</v>
      </c>
      <c r="G21" s="27" t="n">
        <f aca="false">IFERROR(VLOOKUP(E21,Spring2024POST!$AE$32:$AH$44,4,FALSE()),"")</f>
        <v>9</v>
      </c>
      <c r="H21" s="27" t="n">
        <f aca="false">IFERROR(VLOOKUP(E21,Fall2024PRE!$AF$33:$AI$43,4,FALSE()),"")</f>
        <v>9</v>
      </c>
      <c r="I21" s="27" t="n">
        <f aca="false">IFERROR(VLOOKUP(E21,Fall2024!$AI$33:$AL$46,4,FALSE()),"")</f>
        <v>6</v>
      </c>
      <c r="J21" s="27" t="n">
        <f aca="false">IFERROR(VLOOKUP(E21,Spring2025!$AI$33:$AL$46,4,FALSE()),"")</f>
        <v>8</v>
      </c>
      <c r="K21" s="27" t="str">
        <f aca="false">IFERROR(VLOOKUP(E21,Fall2025PRE!$AI$33:$AL$46,4,FALSE()),"")</f>
        <v/>
      </c>
      <c r="L21" s="27" t="str">
        <f aca="false">IFERROR(VLOOKUP(E21,FALL2025!$AN$35:$AQ$51,4,FALSE()),"")</f>
        <v/>
      </c>
      <c r="P21" s="74" t="s">
        <v>1919</v>
      </c>
      <c r="Q21" s="45" t="n">
        <f aca="false">VLOOKUP(P21,$A$1:$C$23,2,FALSE())</f>
        <v>10</v>
      </c>
      <c r="AA21" s="74" t="s">
        <v>35</v>
      </c>
      <c r="AB21" s="170" t="n">
        <f aca="false">VLOOKUP(AA21,$A$1:$C$23,3,FALSE())</f>
        <v>12.75</v>
      </c>
    </row>
    <row r="22" customFormat="false" ht="14.25" hidden="false" customHeight="true" outlineLevel="0" collapsed="false">
      <c r="A22" s="74" t="s">
        <v>38</v>
      </c>
      <c r="B22" s="45" t="n">
        <f aca="false">MIN(F22:L22)</f>
        <v>9</v>
      </c>
      <c r="C22" s="170" t="n">
        <f aca="false">AVERAGE(F22:L22)</f>
        <v>9</v>
      </c>
      <c r="E22" s="74" t="s">
        <v>38</v>
      </c>
      <c r="F22" s="27" t="str">
        <f aca="false">IFERROR(VLOOKUP(E22,Spring2024!$AD$32:$AG$44,4,FALSE()),"")</f>
        <v/>
      </c>
      <c r="G22" s="27" t="str">
        <f aca="false">IFERROR(VLOOKUP(E22,Spring2024POST!$AE$32:$AH$44,4,FALSE()),"")</f>
        <v/>
      </c>
      <c r="H22" s="27" t="str">
        <f aca="false">IFERROR(VLOOKUP(E22,Fall2024PRE!$AF$33:$AI$43,4,FALSE()),"")</f>
        <v/>
      </c>
      <c r="I22" s="27" t="str">
        <f aca="false">IFERROR(VLOOKUP(E22,Fall2024!$AI$33:$AL$46,4,FALSE()),"")</f>
        <v/>
      </c>
      <c r="J22" s="27" t="str">
        <f aca="false">IFERROR(VLOOKUP(E22,Spring2025!$AI$33:$AL$46,4,FALSE()),"")</f>
        <v/>
      </c>
      <c r="K22" s="27" t="str">
        <f aca="false">IFERROR(VLOOKUP(E22,Fall2025PRE!$AI$33:$AL$46,4,FALSE()),"")</f>
        <v/>
      </c>
      <c r="L22" s="27" t="n">
        <f aca="false">IFERROR(VLOOKUP(E22,FALL2025!$AN$35:$AQ$51,4,FALSE()),"")</f>
        <v>9</v>
      </c>
      <c r="P22" s="74" t="s">
        <v>32</v>
      </c>
      <c r="Q22" s="45" t="n">
        <f aca="false">VLOOKUP(P22,$A$1:$C$23,2,FALSE())</f>
        <v>15</v>
      </c>
      <c r="AA22" s="74" t="s">
        <v>32</v>
      </c>
      <c r="AB22" s="170" t="n">
        <f aca="false">VLOOKUP(AA22,$A$1:$C$23,3,FALSE())</f>
        <v>15</v>
      </c>
    </row>
    <row r="23" customFormat="false" ht="14.25" hidden="false" customHeight="true" outlineLevel="0" collapsed="false">
      <c r="A23" s="74" t="s">
        <v>37</v>
      </c>
      <c r="B23" s="45" t="n">
        <f aca="false">MIN(F23:L23)</f>
        <v>2</v>
      </c>
      <c r="C23" s="170" t="n">
        <f aca="false">AVERAGE(F23:L23)</f>
        <v>2</v>
      </c>
      <c r="E23" s="74" t="s">
        <v>37</v>
      </c>
      <c r="F23" s="27" t="str">
        <f aca="false">IFERROR(VLOOKUP(E23,Spring2024!$AD$32:$AG$44,4,FALSE()),"")</f>
        <v/>
      </c>
      <c r="G23" s="27" t="str">
        <f aca="false">IFERROR(VLOOKUP(E23,Spring2024POST!$AE$32:$AH$44,4,FALSE()),"")</f>
        <v/>
      </c>
      <c r="H23" s="27" t="str">
        <f aca="false">IFERROR(VLOOKUP(E23,Fall2024PRE!$AF$33:$AI$43,4,FALSE()),"")</f>
        <v/>
      </c>
      <c r="I23" s="27" t="str">
        <f aca="false">IFERROR(VLOOKUP(E23,Fall2024!$AI$33:$AL$46,4,FALSE()),"")</f>
        <v/>
      </c>
      <c r="J23" s="27" t="str">
        <f aca="false">IFERROR(VLOOKUP(E23,Spring2025!$AI$33:$AL$46,4,FALSE()),"")</f>
        <v/>
      </c>
      <c r="K23" s="27" t="str">
        <f aca="false">IFERROR(VLOOKUP(E23,Fall2025PRE!$AI$33:$AL$46,4,FALSE()),"")</f>
        <v/>
      </c>
      <c r="L23" s="27" t="n">
        <f aca="false">IFERROR(VLOOKUP(E23,FALL2025!$AN$35:$AQ$51,4,FALSE()),"")</f>
        <v>2</v>
      </c>
    </row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mergeCells count="2">
    <mergeCell ref="A1:C1"/>
    <mergeCell ref="E1:L1"/>
  </mergeCells>
  <conditionalFormatting sqref="F3:G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H3:H18">
    <cfRule type="colorScale" priority="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:K18 L3:L23">
    <cfRule type="colorScale" priority="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B3:C2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B3:B23">
    <cfRule type="colorScale" priority="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C3:C23">
    <cfRule type="colorScale" priority="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F3:F23">
    <cfRule type="colorScale" priority="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:G23">
    <cfRule type="colorScale" priority="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H3:H23">
    <cfRule type="colorScale" priority="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:I23">
    <cfRule type="colorScale" priority="1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3:J23">
    <cfRule type="colorScale" priority="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K3:K23">
    <cfRule type="colorScale" priority="1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L3:L23">
    <cfRule type="colorScale" priority="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Q2:Q22">
    <cfRule type="colorScale" priority="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B2:AB22">
    <cfRule type="colorScale" priority="17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LibreOffice_project/61ce4735733fc982d62cda794bbbc193ac1508e5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2024-04-01T13:56:10Z</dcterms:created>
  <dc:creator>Peter Mcauliffe (RIT Student)</dc:creator>
  <dc:description/>
  <dc:language>en-US</dc:language>
  <cp:lastModifiedBy>Peter Mcauliffe (RIT Student)</cp:lastModifiedBy>
  <dcterms:modified xsi:type="dcterms:W3CDTF">2026-03-23T19:10:24Z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