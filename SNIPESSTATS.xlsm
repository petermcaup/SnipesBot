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drawings/drawing9.xml" ContentType="application/vnd.openxmlformats-officedocument.drawing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ter\SnipesBot\"/>
    </mc:Choice>
  </mc:AlternateContent>
  <xr:revisionPtr revIDLastSave="0" documentId="13_ncr:1_{7329F1F0-6972-4FE4-8701-215790EC4FF2}" xr6:coauthVersionLast="47" xr6:coauthVersionMax="47" xr10:uidLastSave="{00000000-0000-0000-0000-000000000000}"/>
  <bookViews>
    <workbookView xWindow="-103" yWindow="-103" windowWidth="22149" windowHeight="13200" xr2:uid="{00000000-000D-0000-FFFF-FFFF00000000}"/>
  </bookViews>
  <sheets>
    <sheet name="FALL2025" sheetId="1" r:id="rId1"/>
    <sheet name="FALL2025 (2)" sheetId="2" r:id="rId2"/>
    <sheet name="Fall2025PRE" sheetId="3" r:id="rId3"/>
    <sheet name="Spring2025" sheetId="4" r:id="rId4"/>
    <sheet name="Fall2024" sheetId="5" r:id="rId5"/>
    <sheet name="Fall2024PRE" sheetId="6" r:id="rId6"/>
    <sheet name="Spring2024POST" sheetId="7" r:id="rId7"/>
    <sheet name="Spring2024" sheetId="8" r:id="rId8"/>
    <sheet name="OVERALL" sheetId="9" r:id="rId9"/>
  </sheets>
  <definedNames>
    <definedName name="_xleta.IFERROR">#NAME?</definedName>
  </definedNames>
  <calcPr calcId="181029"/>
  <pivotCaches>
    <pivotCache cacheId="11" r:id="rId10"/>
    <pivotCache cacheId="16" r:id="rId11"/>
    <pivotCache cacheId="21" r:id="rId12"/>
    <pivotCache cacheId="26" r:id="rId13"/>
    <pivotCache cacheId="31" r:id="rId14"/>
    <pivotCache cacheId="36" r:id="rId15"/>
    <pivotCache cacheId="41" r:id="rId16"/>
  </pivotCaches>
</workbook>
</file>

<file path=xl/calcChain.xml><?xml version="1.0" encoding="utf-8"?>
<calcChain xmlns="http://schemas.openxmlformats.org/spreadsheetml/2006/main">
  <c r="L23" i="9" l="1"/>
  <c r="K23" i="9"/>
  <c r="J23" i="9"/>
  <c r="I23" i="9"/>
  <c r="H23" i="9"/>
  <c r="G23" i="9"/>
  <c r="F23" i="9"/>
  <c r="C23" i="9"/>
  <c r="AB11" i="9" s="1"/>
  <c r="B23" i="9"/>
  <c r="Q16" i="9" s="1"/>
  <c r="L22" i="9"/>
  <c r="K22" i="9"/>
  <c r="J22" i="9"/>
  <c r="I22" i="9"/>
  <c r="H22" i="9"/>
  <c r="G22" i="9"/>
  <c r="F22" i="9"/>
  <c r="L21" i="9"/>
  <c r="K21" i="9"/>
  <c r="J21" i="9"/>
  <c r="I21" i="9"/>
  <c r="H21" i="9"/>
  <c r="G21" i="9"/>
  <c r="F21" i="9"/>
  <c r="C21" i="9"/>
  <c r="AB16" i="9" s="1"/>
  <c r="B21" i="9"/>
  <c r="Q15" i="9" s="1"/>
  <c r="L20" i="9"/>
  <c r="K20" i="9"/>
  <c r="J20" i="9"/>
  <c r="I20" i="9"/>
  <c r="H20" i="9"/>
  <c r="G20" i="9"/>
  <c r="F20" i="9"/>
  <c r="L19" i="9"/>
  <c r="K19" i="9"/>
  <c r="J19" i="9"/>
  <c r="I19" i="9"/>
  <c r="H19" i="9"/>
  <c r="G19" i="9"/>
  <c r="F19" i="9"/>
  <c r="C19" i="9" s="1"/>
  <c r="AB3" i="9" s="1"/>
  <c r="L18" i="9"/>
  <c r="K18" i="9"/>
  <c r="J18" i="9"/>
  <c r="I18" i="9"/>
  <c r="H18" i="9"/>
  <c r="G18" i="9"/>
  <c r="F18" i="9"/>
  <c r="L17" i="9"/>
  <c r="K17" i="9"/>
  <c r="J17" i="9"/>
  <c r="I17" i="9"/>
  <c r="H17" i="9"/>
  <c r="G17" i="9"/>
  <c r="F17" i="9"/>
  <c r="B17" i="9" s="1"/>
  <c r="Q20" i="9" s="1"/>
  <c r="C17" i="9"/>
  <c r="AB21" i="9" s="1"/>
  <c r="L16" i="9"/>
  <c r="K16" i="9"/>
  <c r="J16" i="9"/>
  <c r="I16" i="9"/>
  <c r="H16" i="9"/>
  <c r="G16" i="9"/>
  <c r="F16" i="9"/>
  <c r="L15" i="9"/>
  <c r="K15" i="9"/>
  <c r="J15" i="9"/>
  <c r="I15" i="9"/>
  <c r="H15" i="9"/>
  <c r="G15" i="9"/>
  <c r="F15" i="9"/>
  <c r="L14" i="9"/>
  <c r="K14" i="9"/>
  <c r="J14" i="9"/>
  <c r="I14" i="9"/>
  <c r="H14" i="9"/>
  <c r="G14" i="9"/>
  <c r="F14" i="9"/>
  <c r="L13" i="9"/>
  <c r="K13" i="9"/>
  <c r="J13" i="9"/>
  <c r="B13" i="9" s="1"/>
  <c r="Q18" i="9" s="1"/>
  <c r="I13" i="9"/>
  <c r="H13" i="9"/>
  <c r="G13" i="9"/>
  <c r="F13" i="9"/>
  <c r="L12" i="9"/>
  <c r="K12" i="9"/>
  <c r="J12" i="9"/>
  <c r="I12" i="9"/>
  <c r="H12" i="9"/>
  <c r="G12" i="9"/>
  <c r="B12" i="9" s="1"/>
  <c r="Q11" i="9" s="1"/>
  <c r="F12" i="9"/>
  <c r="L11" i="9"/>
  <c r="K11" i="9"/>
  <c r="J11" i="9"/>
  <c r="I11" i="9"/>
  <c r="H11" i="9"/>
  <c r="G11" i="9"/>
  <c r="F11" i="9"/>
  <c r="L10" i="9"/>
  <c r="K10" i="9"/>
  <c r="J10" i="9"/>
  <c r="I10" i="9"/>
  <c r="H10" i="9"/>
  <c r="G10" i="9"/>
  <c r="F10" i="9"/>
  <c r="B10" i="9" s="1"/>
  <c r="Q9" i="9" s="1"/>
  <c r="L9" i="9"/>
  <c r="K9" i="9"/>
  <c r="J9" i="9"/>
  <c r="I9" i="9"/>
  <c r="C9" i="9" s="1"/>
  <c r="AB17" i="9" s="1"/>
  <c r="H9" i="9"/>
  <c r="G9" i="9"/>
  <c r="F9" i="9"/>
  <c r="L8" i="9"/>
  <c r="K8" i="9"/>
  <c r="J8" i="9"/>
  <c r="I8" i="9"/>
  <c r="H8" i="9"/>
  <c r="G8" i="9"/>
  <c r="F8" i="9"/>
  <c r="L7" i="9"/>
  <c r="K7" i="9"/>
  <c r="J7" i="9"/>
  <c r="I7" i="9"/>
  <c r="H7" i="9"/>
  <c r="G7" i="9"/>
  <c r="F7" i="9"/>
  <c r="L6" i="9"/>
  <c r="K6" i="9"/>
  <c r="J6" i="9"/>
  <c r="I6" i="9"/>
  <c r="H6" i="9"/>
  <c r="G6" i="9"/>
  <c r="F6" i="9"/>
  <c r="L5" i="9"/>
  <c r="K5" i="9"/>
  <c r="J5" i="9"/>
  <c r="I5" i="9"/>
  <c r="H5" i="9"/>
  <c r="G5" i="9"/>
  <c r="F5" i="9"/>
  <c r="L4" i="9"/>
  <c r="K4" i="9"/>
  <c r="J4" i="9"/>
  <c r="I4" i="9"/>
  <c r="H4" i="9"/>
  <c r="G4" i="9"/>
  <c r="F4" i="9"/>
  <c r="C4" i="9"/>
  <c r="AB9" i="9" s="1"/>
  <c r="B4" i="9"/>
  <c r="Q8" i="9" s="1"/>
  <c r="L3" i="9"/>
  <c r="K3" i="9"/>
  <c r="J3" i="9"/>
  <c r="I3" i="9"/>
  <c r="H3" i="9"/>
  <c r="G3" i="9"/>
  <c r="F3" i="9"/>
  <c r="G68" i="8"/>
  <c r="AL52" i="8"/>
  <c r="AK52" i="8"/>
  <c r="AJ52" i="8"/>
  <c r="AI52" i="8"/>
  <c r="AH52" i="8"/>
  <c r="AG52" i="8"/>
  <c r="AF52" i="8"/>
  <c r="AE52" i="8"/>
  <c r="G42" i="8"/>
  <c r="G40" i="8"/>
  <c r="G38" i="8"/>
  <c r="G33" i="8"/>
  <c r="AF29" i="8"/>
  <c r="AE29" i="8"/>
  <c r="G29" i="8"/>
  <c r="AE28" i="8"/>
  <c r="AF26" i="8"/>
  <c r="G26" i="8"/>
  <c r="AE24" i="8"/>
  <c r="G24" i="8"/>
  <c r="AF23" i="8"/>
  <c r="AE23" i="8"/>
  <c r="AK20" i="8"/>
  <c r="AE20" i="8"/>
  <c r="G20" i="8"/>
  <c r="G67" i="8" s="1"/>
  <c r="AE19" i="8"/>
  <c r="G19" i="8"/>
  <c r="G66" i="8" s="1"/>
  <c r="AL18" i="8"/>
  <c r="AK18" i="8"/>
  <c r="AJ18" i="8"/>
  <c r="AI18" i="8"/>
  <c r="AH18" i="8"/>
  <c r="AG18" i="8"/>
  <c r="AF18" i="8"/>
  <c r="AE18" i="8"/>
  <c r="AE21" i="8" s="1"/>
  <c r="H18" i="8"/>
  <c r="G18" i="8"/>
  <c r="G17" i="8"/>
  <c r="AE14" i="8"/>
  <c r="O14" i="8"/>
  <c r="H14" i="8"/>
  <c r="G14" i="8"/>
  <c r="G28" i="8" s="1"/>
  <c r="AE13" i="8"/>
  <c r="O9" i="8" s="1"/>
  <c r="H13" i="8"/>
  <c r="G13" i="8"/>
  <c r="AE12" i="8"/>
  <c r="O5" i="8" s="1"/>
  <c r="H12" i="8"/>
  <c r="G12" i="8"/>
  <c r="AL11" i="8"/>
  <c r="AE11" i="8"/>
  <c r="I11" i="8"/>
  <c r="H11" i="8"/>
  <c r="G37" i="8" s="1"/>
  <c r="G11" i="8"/>
  <c r="AE27" i="8" s="1"/>
  <c r="AL10" i="8"/>
  <c r="AK10" i="8"/>
  <c r="AI10" i="8"/>
  <c r="AH10" i="8"/>
  <c r="AE10" i="8"/>
  <c r="O10" i="8" s="1"/>
  <c r="H10" i="8"/>
  <c r="G46" i="8" s="1"/>
  <c r="G10" i="8"/>
  <c r="AL9" i="8"/>
  <c r="AE9" i="8"/>
  <c r="O12" i="8" s="1"/>
  <c r="I9" i="8"/>
  <c r="H9" i="8"/>
  <c r="G9" i="8"/>
  <c r="G32" i="8" s="1"/>
  <c r="AL8" i="8"/>
  <c r="AK8" i="8"/>
  <c r="AI8" i="8"/>
  <c r="AH8" i="8"/>
  <c r="AE8" i="8"/>
  <c r="H8" i="8"/>
  <c r="G8" i="8"/>
  <c r="G23" i="8" s="1"/>
  <c r="AL7" i="8"/>
  <c r="AK7" i="8"/>
  <c r="AI7" i="8"/>
  <c r="AH7" i="8"/>
  <c r="AE7" i="8"/>
  <c r="O3" i="8" s="1"/>
  <c r="H7" i="8"/>
  <c r="G7" i="8"/>
  <c r="G25" i="8" s="1"/>
  <c r="AL6" i="8"/>
  <c r="AK6" i="8"/>
  <c r="AI6" i="8"/>
  <c r="AH6" i="8"/>
  <c r="AE6" i="8"/>
  <c r="O13" i="8" s="1"/>
  <c r="O6" i="8"/>
  <c r="I6" i="8"/>
  <c r="H6" i="8"/>
  <c r="G6" i="8"/>
  <c r="G31" i="8" s="1"/>
  <c r="AL5" i="8"/>
  <c r="AK5" i="8"/>
  <c r="AI5" i="8"/>
  <c r="AH5" i="8"/>
  <c r="AE5" i="8"/>
  <c r="O8" i="8" s="1"/>
  <c r="H5" i="8"/>
  <c r="G5" i="8"/>
  <c r="AL4" i="8"/>
  <c r="AK4" i="8"/>
  <c r="AI4" i="8"/>
  <c r="AG4" i="8" s="1"/>
  <c r="AH4" i="8"/>
  <c r="AE4" i="8"/>
  <c r="O11" i="8" s="1"/>
  <c r="M4" i="8"/>
  <c r="H4" i="8"/>
  <c r="G4" i="8"/>
  <c r="G34" i="8" s="1"/>
  <c r="H3" i="8"/>
  <c r="I3" i="8" s="1"/>
  <c r="G3" i="8"/>
  <c r="G27" i="8" s="1"/>
  <c r="AK2" i="8"/>
  <c r="AI2" i="8"/>
  <c r="H65" i="7"/>
  <c r="R62" i="7"/>
  <c r="H53" i="7"/>
  <c r="H48" i="7"/>
  <c r="H47" i="7"/>
  <c r="H45" i="7"/>
  <c r="H42" i="7"/>
  <c r="H39" i="7"/>
  <c r="H37" i="7"/>
  <c r="R34" i="7"/>
  <c r="H32" i="7"/>
  <c r="AG30" i="7"/>
  <c r="AF29" i="7"/>
  <c r="H29" i="7"/>
  <c r="AO28" i="7"/>
  <c r="AN27" i="7"/>
  <c r="AG27" i="7"/>
  <c r="AF27" i="7"/>
  <c r="H27" i="7"/>
  <c r="AF26" i="7"/>
  <c r="H26" i="7"/>
  <c r="AO25" i="7"/>
  <c r="AN25" i="7"/>
  <c r="AG25" i="7"/>
  <c r="AF25" i="7"/>
  <c r="AG24" i="7"/>
  <c r="AF24" i="7"/>
  <c r="H24" i="7"/>
  <c r="H23" i="7"/>
  <c r="AG22" i="7"/>
  <c r="AF22" i="7"/>
  <c r="AN21" i="7"/>
  <c r="AL21" i="7"/>
  <c r="AK21" i="7"/>
  <c r="AI21" i="7"/>
  <c r="AG20" i="7"/>
  <c r="AF20" i="7"/>
  <c r="V20" i="7"/>
  <c r="U20" i="7"/>
  <c r="T20" i="7"/>
  <c r="S20" i="7"/>
  <c r="AO19" i="7"/>
  <c r="AH19" i="7"/>
  <c r="AF19" i="7"/>
  <c r="H17" i="7"/>
  <c r="P14" i="7"/>
  <c r="AN30" i="7" s="1"/>
  <c r="I14" i="7"/>
  <c r="H14" i="7"/>
  <c r="P13" i="7"/>
  <c r="AN29" i="7" s="1"/>
  <c r="I13" i="7"/>
  <c r="H13" i="7"/>
  <c r="P12" i="7"/>
  <c r="AN28" i="7" s="1"/>
  <c r="I12" i="7"/>
  <c r="H12" i="7"/>
  <c r="P11" i="7"/>
  <c r="I11" i="7"/>
  <c r="J11" i="7" s="1"/>
  <c r="AH27" i="7" s="1"/>
  <c r="H11" i="7"/>
  <c r="P10" i="7"/>
  <c r="AN26" i="7" s="1"/>
  <c r="I10" i="7"/>
  <c r="H10" i="7"/>
  <c r="AL9" i="7"/>
  <c r="AK9" i="7"/>
  <c r="AI9" i="7"/>
  <c r="AH9" i="7"/>
  <c r="P9" i="7"/>
  <c r="J9" i="7"/>
  <c r="I9" i="7"/>
  <c r="H9" i="7"/>
  <c r="H19" i="7" s="1"/>
  <c r="AL8" i="7"/>
  <c r="AK8" i="7"/>
  <c r="AI8" i="7"/>
  <c r="AH8" i="7"/>
  <c r="P8" i="7"/>
  <c r="AN24" i="7" s="1"/>
  <c r="I8" i="7"/>
  <c r="H8" i="7"/>
  <c r="H28" i="7" s="1"/>
  <c r="AL7" i="7"/>
  <c r="AK7" i="7"/>
  <c r="AI7" i="7"/>
  <c r="AH7" i="7"/>
  <c r="P7" i="7"/>
  <c r="AN23" i="7" s="1"/>
  <c r="I7" i="7"/>
  <c r="AG23" i="7" s="1"/>
  <c r="H7" i="7"/>
  <c r="AL6" i="7"/>
  <c r="AK6" i="7"/>
  <c r="AI6" i="7"/>
  <c r="AH6" i="7"/>
  <c r="P6" i="7"/>
  <c r="AN22" i="7" s="1"/>
  <c r="I6" i="7"/>
  <c r="H6" i="7"/>
  <c r="AL5" i="7"/>
  <c r="AK5" i="7"/>
  <c r="AI5" i="7"/>
  <c r="AH5" i="7"/>
  <c r="I5" i="7"/>
  <c r="AG21" i="7" s="1"/>
  <c r="H5" i="7"/>
  <c r="AL4" i="7"/>
  <c r="AK4" i="7"/>
  <c r="AI4" i="7"/>
  <c r="AH4" i="7"/>
  <c r="P4" i="7"/>
  <c r="AN20" i="7" s="1"/>
  <c r="J4" i="7"/>
  <c r="AH20" i="7" s="1"/>
  <c r="I4" i="7"/>
  <c r="H4" i="7"/>
  <c r="AO20" i="7" s="1"/>
  <c r="P3" i="7"/>
  <c r="AN19" i="7" s="1"/>
  <c r="J3" i="7"/>
  <c r="H55" i="7" s="1"/>
  <c r="I3" i="7"/>
  <c r="AG19" i="7" s="1"/>
  <c r="H3" i="7"/>
  <c r="AK2" i="7"/>
  <c r="AI2" i="7"/>
  <c r="D2" i="7"/>
  <c r="H74" i="6"/>
  <c r="H68" i="6"/>
  <c r="H60" i="6"/>
  <c r="H57" i="6"/>
  <c r="AH55" i="6"/>
  <c r="AG55" i="6"/>
  <c r="H55" i="6"/>
  <c r="AN53" i="6"/>
  <c r="AM53" i="6"/>
  <c r="AL53" i="6"/>
  <c r="AK53" i="6"/>
  <c r="AJ53" i="6"/>
  <c r="AI53" i="6"/>
  <c r="AH53" i="6"/>
  <c r="AG53" i="6"/>
  <c r="H53" i="6"/>
  <c r="H52" i="6"/>
  <c r="H46" i="6"/>
  <c r="H45" i="6"/>
  <c r="H44" i="6"/>
  <c r="H42" i="6"/>
  <c r="H41" i="6"/>
  <c r="H38" i="6"/>
  <c r="H31" i="6"/>
  <c r="AI29" i="6"/>
  <c r="H29" i="6"/>
  <c r="AP28" i="6"/>
  <c r="AH28" i="6"/>
  <c r="AG28" i="6"/>
  <c r="AP27" i="6"/>
  <c r="AI27" i="6"/>
  <c r="AH27" i="6"/>
  <c r="AG27" i="6"/>
  <c r="H27" i="6"/>
  <c r="AP26" i="6"/>
  <c r="AI26" i="6"/>
  <c r="AH26" i="6"/>
  <c r="H26" i="6"/>
  <c r="AP25" i="6"/>
  <c r="AH25" i="6"/>
  <c r="AG25" i="6"/>
  <c r="AP24" i="6"/>
  <c r="H24" i="6"/>
  <c r="AP23" i="6"/>
  <c r="AH23" i="6"/>
  <c r="AG23" i="6"/>
  <c r="AP22" i="6"/>
  <c r="AH22" i="6"/>
  <c r="AG22" i="6"/>
  <c r="AH21" i="6"/>
  <c r="T20" i="6"/>
  <c r="V20" i="6" s="1"/>
  <c r="S20" i="6"/>
  <c r="U20" i="6" s="1"/>
  <c r="I18" i="6"/>
  <c r="H18" i="6"/>
  <c r="I17" i="6"/>
  <c r="H17" i="6"/>
  <c r="I16" i="6"/>
  <c r="H16" i="6"/>
  <c r="I15" i="6"/>
  <c r="AD13" i="6"/>
  <c r="AD12" i="6"/>
  <c r="J12" i="6"/>
  <c r="I12" i="6"/>
  <c r="AH29" i="6" s="1"/>
  <c r="H12" i="6"/>
  <c r="AP29" i="6" s="1"/>
  <c r="AM11" i="6"/>
  <c r="AI11" i="6"/>
  <c r="AD11" i="6"/>
  <c r="J11" i="6"/>
  <c r="AI28" i="6" s="1"/>
  <c r="I11" i="6"/>
  <c r="H11" i="6"/>
  <c r="AM10" i="6"/>
  <c r="AL10" i="6"/>
  <c r="AJ10" i="6"/>
  <c r="AI10" i="6"/>
  <c r="AD10" i="6"/>
  <c r="J10" i="6"/>
  <c r="I10" i="6"/>
  <c r="H10" i="6"/>
  <c r="H28" i="6" s="1"/>
  <c r="AM9" i="6"/>
  <c r="AI9" i="6"/>
  <c r="AD9" i="6"/>
  <c r="P10" i="6" s="1"/>
  <c r="AO27" i="6" s="1"/>
  <c r="J9" i="6"/>
  <c r="I9" i="6"/>
  <c r="H9" i="6"/>
  <c r="AG26" i="6" s="1"/>
  <c r="AM8" i="6"/>
  <c r="AL8" i="6"/>
  <c r="AJ8" i="6"/>
  <c r="AI8" i="6"/>
  <c r="AD8" i="6"/>
  <c r="P12" i="6" s="1"/>
  <c r="AO29" i="6" s="1"/>
  <c r="N8" i="6"/>
  <c r="AM25" i="6" s="1"/>
  <c r="J8" i="6"/>
  <c r="AI25" i="6" s="1"/>
  <c r="I8" i="6"/>
  <c r="H43" i="6" s="1"/>
  <c r="H8" i="6"/>
  <c r="H32" i="6" s="1"/>
  <c r="AM7" i="6"/>
  <c r="AL7" i="6"/>
  <c r="AJ7" i="6"/>
  <c r="AI7" i="6"/>
  <c r="AD7" i="6"/>
  <c r="P11" i="6" s="1"/>
  <c r="AO28" i="6" s="1"/>
  <c r="J7" i="6"/>
  <c r="AI24" i="6" s="1"/>
  <c r="I7" i="6"/>
  <c r="AH24" i="6" s="1"/>
  <c r="H7" i="6"/>
  <c r="H23" i="6" s="1"/>
  <c r="AM6" i="6"/>
  <c r="AL6" i="6"/>
  <c r="AJ6" i="6"/>
  <c r="AI6" i="6"/>
  <c r="AD6" i="6"/>
  <c r="P3" i="6" s="1"/>
  <c r="AO20" i="6" s="1"/>
  <c r="O6" i="6"/>
  <c r="AN23" i="6" s="1"/>
  <c r="J6" i="6"/>
  <c r="I6" i="6"/>
  <c r="H6" i="6"/>
  <c r="AM5" i="6"/>
  <c r="AL5" i="6"/>
  <c r="AJ5" i="6"/>
  <c r="AI5" i="6"/>
  <c r="AD5" i="6"/>
  <c r="P7" i="6" s="1"/>
  <c r="AO24" i="6" s="1"/>
  <c r="N5" i="6"/>
  <c r="AM22" i="6" s="1"/>
  <c r="J5" i="6"/>
  <c r="H59" i="6" s="1"/>
  <c r="I5" i="6"/>
  <c r="H5" i="6"/>
  <c r="AM4" i="6"/>
  <c r="AL4" i="6"/>
  <c r="AJ4" i="6"/>
  <c r="AI4" i="6"/>
  <c r="AD4" i="6"/>
  <c r="P9" i="6" s="1"/>
  <c r="AO26" i="6" s="1"/>
  <c r="P4" i="6"/>
  <c r="AO21" i="6" s="1"/>
  <c r="I4" i="6"/>
  <c r="H40" i="6" s="1"/>
  <c r="H4" i="6"/>
  <c r="I3" i="6"/>
  <c r="H3" i="6"/>
  <c r="AL2" i="6"/>
  <c r="AJ2" i="6"/>
  <c r="H49" i="5"/>
  <c r="H45" i="5"/>
  <c r="H44" i="5"/>
  <c r="H29" i="5"/>
  <c r="AK27" i="5"/>
  <c r="H27" i="5"/>
  <c r="AJ26" i="5"/>
  <c r="AJ24" i="5"/>
  <c r="AK23" i="5"/>
  <c r="U23" i="5"/>
  <c r="T23" i="5"/>
  <c r="V23" i="5" s="1"/>
  <c r="S23" i="5"/>
  <c r="AK22" i="5"/>
  <c r="AG22" i="5"/>
  <c r="I22" i="5"/>
  <c r="AG21" i="5"/>
  <c r="AG20" i="5"/>
  <c r="AG19" i="5"/>
  <c r="AG18" i="5"/>
  <c r="AG17" i="5"/>
  <c r="AG16" i="5"/>
  <c r="AG15" i="5"/>
  <c r="I15" i="5"/>
  <c r="H15" i="5"/>
  <c r="AG14" i="5"/>
  <c r="P5" i="5" s="1"/>
  <c r="AR18" i="5" s="1"/>
  <c r="P14" i="5"/>
  <c r="AR27" i="5" s="1"/>
  <c r="I14" i="5"/>
  <c r="H14" i="5"/>
  <c r="AG13" i="5"/>
  <c r="P12" i="5" s="1"/>
  <c r="AR25" i="5" s="1"/>
  <c r="I13" i="5"/>
  <c r="H13" i="5"/>
  <c r="H32" i="5" s="1"/>
  <c r="AG12" i="5"/>
  <c r="J12" i="5"/>
  <c r="I12" i="5"/>
  <c r="H12" i="5"/>
  <c r="AP11" i="5"/>
  <c r="AL11" i="5"/>
  <c r="AG11" i="5"/>
  <c r="I11" i="5"/>
  <c r="H11" i="5"/>
  <c r="AP10" i="5"/>
  <c r="AO10" i="5"/>
  <c r="AM10" i="5"/>
  <c r="AL10" i="5"/>
  <c r="AG10" i="5"/>
  <c r="P10" i="5"/>
  <c r="AR23" i="5" s="1"/>
  <c r="I10" i="5"/>
  <c r="H10" i="5"/>
  <c r="AJ23" i="5" s="1"/>
  <c r="AP9" i="5"/>
  <c r="AL9" i="5"/>
  <c r="AG9" i="5"/>
  <c r="P8" i="5" s="1"/>
  <c r="AR21" i="5" s="1"/>
  <c r="P9" i="5"/>
  <c r="AR22" i="5" s="1"/>
  <c r="J9" i="5"/>
  <c r="I9" i="5"/>
  <c r="H9" i="5"/>
  <c r="H35" i="5" s="1"/>
  <c r="AP8" i="5"/>
  <c r="AO8" i="5"/>
  <c r="AM8" i="5"/>
  <c r="AL8" i="5"/>
  <c r="AG8" i="5"/>
  <c r="P13" i="5" s="1"/>
  <c r="AR26" i="5" s="1"/>
  <c r="I8" i="5"/>
  <c r="H8" i="5"/>
  <c r="H31" i="5" s="1"/>
  <c r="AP7" i="5"/>
  <c r="AO7" i="5"/>
  <c r="AM7" i="5"/>
  <c r="AL7" i="5"/>
  <c r="AG7" i="5"/>
  <c r="P3" i="5" s="1"/>
  <c r="AR16" i="5" s="1"/>
  <c r="P7" i="5"/>
  <c r="AR20" i="5" s="1"/>
  <c r="I7" i="5"/>
  <c r="H7" i="5"/>
  <c r="AP6" i="5"/>
  <c r="AO6" i="5"/>
  <c r="AM6" i="5"/>
  <c r="AL6" i="5"/>
  <c r="AG6" i="5"/>
  <c r="I6" i="5"/>
  <c r="H6" i="5"/>
  <c r="AP5" i="5"/>
  <c r="AO5" i="5"/>
  <c r="AM5" i="5"/>
  <c r="AL5" i="5"/>
  <c r="AG5" i="5"/>
  <c r="P11" i="5" s="1"/>
  <c r="AR24" i="5" s="1"/>
  <c r="I5" i="5"/>
  <c r="H5" i="5"/>
  <c r="AP4" i="5"/>
  <c r="AO4" i="5"/>
  <c r="AM4" i="5"/>
  <c r="AL4" i="5"/>
  <c r="AG4" i="5"/>
  <c r="P4" i="5"/>
  <c r="AR17" i="5" s="1"/>
  <c r="J4" i="5"/>
  <c r="I4" i="5"/>
  <c r="H47" i="5" s="1"/>
  <c r="H4" i="5"/>
  <c r="I3" i="5"/>
  <c r="H3" i="5"/>
  <c r="AO2" i="5"/>
  <c r="AM2" i="5"/>
  <c r="H48" i="4"/>
  <c r="H45" i="4"/>
  <c r="H42" i="4"/>
  <c r="H37" i="4"/>
  <c r="H35" i="4"/>
  <c r="H32" i="4"/>
  <c r="H30" i="4"/>
  <c r="H26" i="4"/>
  <c r="AK24" i="4"/>
  <c r="AJ24" i="4"/>
  <c r="V23" i="4"/>
  <c r="U23" i="4"/>
  <c r="T23" i="4"/>
  <c r="S23" i="4"/>
  <c r="AK22" i="4"/>
  <c r="AJ22" i="4"/>
  <c r="AG22" i="4"/>
  <c r="AK21" i="4"/>
  <c r="AJ21" i="4"/>
  <c r="AG21" i="4"/>
  <c r="AG20" i="4"/>
  <c r="AG19" i="4"/>
  <c r="H19" i="4"/>
  <c r="AG18" i="4"/>
  <c r="AJ17" i="4"/>
  <c r="AG17" i="4"/>
  <c r="AG15" i="4"/>
  <c r="AG14" i="4"/>
  <c r="N14" i="4"/>
  <c r="AP27" i="4" s="1"/>
  <c r="I14" i="4"/>
  <c r="H14" i="4"/>
  <c r="AJ27" i="4" s="1"/>
  <c r="AG13" i="4"/>
  <c r="P12" i="4" s="1"/>
  <c r="AR25" i="4" s="1"/>
  <c r="P13" i="4"/>
  <c r="AR26" i="4" s="1"/>
  <c r="I13" i="4"/>
  <c r="H13" i="4"/>
  <c r="AG12" i="4"/>
  <c r="I12" i="4"/>
  <c r="H12" i="4"/>
  <c r="AP11" i="4"/>
  <c r="AL11" i="4"/>
  <c r="AG11" i="4"/>
  <c r="P9" i="4" s="1"/>
  <c r="AR22" i="4" s="1"/>
  <c r="I11" i="4"/>
  <c r="H11" i="4"/>
  <c r="AP10" i="4"/>
  <c r="AO10" i="4"/>
  <c r="AM10" i="4"/>
  <c r="AL10" i="4"/>
  <c r="AG10" i="4"/>
  <c r="P5" i="4" s="1"/>
  <c r="AR18" i="4" s="1"/>
  <c r="P10" i="4"/>
  <c r="AR23" i="4" s="1"/>
  <c r="I10" i="4"/>
  <c r="H10" i="4"/>
  <c r="AP9" i="4"/>
  <c r="AL9" i="4"/>
  <c r="AG9" i="4"/>
  <c r="J9" i="4"/>
  <c r="I9" i="4"/>
  <c r="H9" i="4"/>
  <c r="H21" i="4" s="1"/>
  <c r="AP8" i="4"/>
  <c r="AO8" i="4"/>
  <c r="AM8" i="4"/>
  <c r="AL8" i="4"/>
  <c r="AG8" i="4"/>
  <c r="P3" i="4" s="1"/>
  <c r="AR16" i="4" s="1"/>
  <c r="P8" i="4"/>
  <c r="AR21" i="4" s="1"/>
  <c r="I8" i="4"/>
  <c r="H8" i="4"/>
  <c r="AP7" i="4"/>
  <c r="AO7" i="4"/>
  <c r="AM7" i="4"/>
  <c r="AL7" i="4"/>
  <c r="AG7" i="4"/>
  <c r="P7" i="4"/>
  <c r="AR20" i="4" s="1"/>
  <c r="I7" i="4"/>
  <c r="H7" i="4"/>
  <c r="AP6" i="4"/>
  <c r="AO6" i="4"/>
  <c r="AM6" i="4"/>
  <c r="AL6" i="4"/>
  <c r="AG6" i="4"/>
  <c r="J6" i="4"/>
  <c r="AL19" i="4" s="1"/>
  <c r="I6" i="4"/>
  <c r="H6" i="4"/>
  <c r="AP5" i="4"/>
  <c r="AO5" i="4"/>
  <c r="AM5" i="4"/>
  <c r="AL5" i="4"/>
  <c r="AG5" i="4"/>
  <c r="I5" i="4"/>
  <c r="H5" i="4"/>
  <c r="AP4" i="4"/>
  <c r="AO4" i="4"/>
  <c r="AM4" i="4"/>
  <c r="AL4" i="4"/>
  <c r="AG4" i="4"/>
  <c r="P11" i="4" s="1"/>
  <c r="AR24" i="4" s="1"/>
  <c r="P4" i="4"/>
  <c r="AR17" i="4" s="1"/>
  <c r="J4" i="4"/>
  <c r="I4" i="4"/>
  <c r="H4" i="4"/>
  <c r="I3" i="4"/>
  <c r="I19" i="4" s="1"/>
  <c r="H3" i="4"/>
  <c r="AJ16" i="4" s="1"/>
  <c r="AO2" i="4"/>
  <c r="AM2" i="4"/>
  <c r="H67" i="3"/>
  <c r="H63" i="3"/>
  <c r="AK56" i="3"/>
  <c r="AJ56" i="3"/>
  <c r="H51" i="3"/>
  <c r="H49" i="3"/>
  <c r="H46" i="3"/>
  <c r="H45" i="3"/>
  <c r="H44" i="3"/>
  <c r="H43" i="3"/>
  <c r="H35" i="3"/>
  <c r="H31" i="3"/>
  <c r="AP26" i="3"/>
  <c r="AJ26" i="3"/>
  <c r="AJ25" i="3"/>
  <c r="AL24" i="3"/>
  <c r="AK24" i="3"/>
  <c r="AJ24" i="3"/>
  <c r="AK23" i="3"/>
  <c r="T23" i="3"/>
  <c r="S23" i="3"/>
  <c r="U23" i="3" s="1"/>
  <c r="AK22" i="3"/>
  <c r="AG22" i="3"/>
  <c r="AK21" i="3"/>
  <c r="AJ21" i="3"/>
  <c r="AG21" i="3"/>
  <c r="AK20" i="3"/>
  <c r="AG20" i="3"/>
  <c r="AL19" i="3"/>
  <c r="AK19" i="3"/>
  <c r="AG19" i="3"/>
  <c r="I19" i="3"/>
  <c r="H19" i="3"/>
  <c r="AG18" i="3"/>
  <c r="I18" i="3"/>
  <c r="AK17" i="3"/>
  <c r="AG17" i="3"/>
  <c r="AG15" i="3"/>
  <c r="AG14" i="3"/>
  <c r="AG13" i="3"/>
  <c r="N13" i="3"/>
  <c r="I13" i="3"/>
  <c r="H13" i="3"/>
  <c r="H36" i="3" s="1"/>
  <c r="AG12" i="3"/>
  <c r="I12" i="3"/>
  <c r="H12" i="3"/>
  <c r="AP11" i="3"/>
  <c r="AL11" i="3"/>
  <c r="AG11" i="3"/>
  <c r="P3" i="3" s="1"/>
  <c r="AR16" i="3" s="1"/>
  <c r="P11" i="3"/>
  <c r="AR24" i="3" s="1"/>
  <c r="I11" i="3"/>
  <c r="H11" i="3"/>
  <c r="J11" i="3" s="1"/>
  <c r="AP10" i="3"/>
  <c r="AO10" i="3"/>
  <c r="AM10" i="3"/>
  <c r="AL10" i="3"/>
  <c r="AG10" i="3"/>
  <c r="P5" i="3" s="1"/>
  <c r="AR18" i="3" s="1"/>
  <c r="P10" i="3"/>
  <c r="AR23" i="3" s="1"/>
  <c r="I10" i="3"/>
  <c r="H10" i="3"/>
  <c r="AP9" i="3"/>
  <c r="AL9" i="3"/>
  <c r="AG9" i="3"/>
  <c r="P12" i="3" s="1"/>
  <c r="AR25" i="3" s="1"/>
  <c r="P9" i="3"/>
  <c r="AR22" i="3" s="1"/>
  <c r="J9" i="3"/>
  <c r="I9" i="3"/>
  <c r="H47" i="3" s="1"/>
  <c r="H9" i="3"/>
  <c r="H28" i="3" s="1"/>
  <c r="AP8" i="3"/>
  <c r="AO8" i="3"/>
  <c r="AM8" i="3"/>
  <c r="AL8" i="3"/>
  <c r="AG8" i="3"/>
  <c r="J8" i="3"/>
  <c r="I8" i="3"/>
  <c r="H8" i="3"/>
  <c r="H26" i="3" s="1"/>
  <c r="AP7" i="3"/>
  <c r="AO7" i="3"/>
  <c r="AM7" i="3"/>
  <c r="AL7" i="3"/>
  <c r="AG7" i="3"/>
  <c r="P7" i="3"/>
  <c r="AR20" i="3" s="1"/>
  <c r="J7" i="3"/>
  <c r="AL20" i="3" s="1"/>
  <c r="I7" i="3"/>
  <c r="H42" i="3" s="1"/>
  <c r="H7" i="3"/>
  <c r="AP6" i="3"/>
  <c r="AO6" i="3"/>
  <c r="AM6" i="3"/>
  <c r="AL6" i="3"/>
  <c r="AG6" i="3"/>
  <c r="J6" i="3"/>
  <c r="H60" i="3" s="1"/>
  <c r="I6" i="3"/>
  <c r="H6" i="3"/>
  <c r="AP5" i="3"/>
  <c r="AO5" i="3"/>
  <c r="AM5" i="3"/>
  <c r="AL5" i="3"/>
  <c r="AG5" i="3"/>
  <c r="P6" i="3" s="1"/>
  <c r="AR19" i="3" s="1"/>
  <c r="J5" i="3"/>
  <c r="I5" i="3"/>
  <c r="AK18" i="3" s="1"/>
  <c r="H5" i="3"/>
  <c r="AP4" i="3"/>
  <c r="AO4" i="3"/>
  <c r="AM4" i="3"/>
  <c r="AL4" i="3"/>
  <c r="AG4" i="3"/>
  <c r="P8" i="3" s="1"/>
  <c r="AR21" i="3" s="1"/>
  <c r="P4" i="3"/>
  <c r="AR17" i="3" s="1"/>
  <c r="I4" i="3"/>
  <c r="H4" i="3"/>
  <c r="I3" i="3"/>
  <c r="J3" i="3" s="1"/>
  <c r="H3" i="3"/>
  <c r="AO2" i="3"/>
  <c r="AM2" i="3"/>
  <c r="H79" i="2"/>
  <c r="H78" i="2"/>
  <c r="H61" i="2"/>
  <c r="H60" i="2"/>
  <c r="H59" i="2"/>
  <c r="H52" i="2"/>
  <c r="H49" i="2"/>
  <c r="H48" i="2"/>
  <c r="H40" i="2"/>
  <c r="H37" i="2"/>
  <c r="H33" i="2"/>
  <c r="AQ28" i="2"/>
  <c r="AP28" i="2"/>
  <c r="AO28" i="2"/>
  <c r="AQ27" i="2"/>
  <c r="AP27" i="2"/>
  <c r="AP26" i="2"/>
  <c r="V25" i="2"/>
  <c r="U25" i="2"/>
  <c r="T25" i="2"/>
  <c r="S25" i="2"/>
  <c r="AK22" i="2"/>
  <c r="AW21" i="2"/>
  <c r="AK21" i="2"/>
  <c r="AK20" i="2"/>
  <c r="AO19" i="2"/>
  <c r="AK19" i="2"/>
  <c r="AK18" i="2"/>
  <c r="I18" i="2"/>
  <c r="H18" i="2"/>
  <c r="AK17" i="2"/>
  <c r="P16" i="2" s="1"/>
  <c r="AW29" i="2" s="1"/>
  <c r="I17" i="2"/>
  <c r="H17" i="2"/>
  <c r="AO16" i="2"/>
  <c r="AK16" i="2"/>
  <c r="I16" i="2"/>
  <c r="H16" i="2"/>
  <c r="AK15" i="2"/>
  <c r="P9" i="2" s="1"/>
  <c r="AW22" i="2" s="1"/>
  <c r="P15" i="2"/>
  <c r="AW28" i="2" s="1"/>
  <c r="J15" i="2"/>
  <c r="I15" i="2"/>
  <c r="H15" i="2"/>
  <c r="H42" i="2" s="1"/>
  <c r="AK14" i="2"/>
  <c r="P17" i="2" s="1"/>
  <c r="AW30" i="2" s="1"/>
  <c r="J14" i="2"/>
  <c r="H72" i="2" s="1"/>
  <c r="I14" i="2"/>
  <c r="H14" i="2"/>
  <c r="AK13" i="2"/>
  <c r="P3" i="2" s="1"/>
  <c r="AW16" i="2" s="1"/>
  <c r="J13" i="2"/>
  <c r="AQ26" i="2" s="1"/>
  <c r="I13" i="2"/>
  <c r="H13" i="2"/>
  <c r="AO26" i="2" s="1"/>
  <c r="AK12" i="2"/>
  <c r="I12" i="2"/>
  <c r="H12" i="2"/>
  <c r="AU11" i="2"/>
  <c r="AQ11" i="2"/>
  <c r="AK11" i="2"/>
  <c r="I11" i="2"/>
  <c r="H11" i="2"/>
  <c r="AU10" i="2"/>
  <c r="AT10" i="2"/>
  <c r="AR10" i="2"/>
  <c r="AQ10" i="2"/>
  <c r="AK10" i="2"/>
  <c r="P13" i="2" s="1"/>
  <c r="AW26" i="2" s="1"/>
  <c r="J10" i="2"/>
  <c r="I10" i="2"/>
  <c r="H10" i="2"/>
  <c r="AU9" i="2"/>
  <c r="AQ9" i="2"/>
  <c r="AK9" i="2"/>
  <c r="P11" i="2" s="1"/>
  <c r="AW24" i="2" s="1"/>
  <c r="I9" i="2"/>
  <c r="H9" i="2"/>
  <c r="AU8" i="2"/>
  <c r="AT8" i="2"/>
  <c r="AR8" i="2"/>
  <c r="AQ8" i="2"/>
  <c r="AK8" i="2"/>
  <c r="P8" i="2"/>
  <c r="I8" i="2"/>
  <c r="AP21" i="2" s="1"/>
  <c r="H8" i="2"/>
  <c r="AU7" i="2"/>
  <c r="AT7" i="2"/>
  <c r="AQ7" i="2"/>
  <c r="AK7" i="2"/>
  <c r="P5" i="2" s="1"/>
  <c r="AW18" i="2" s="1"/>
  <c r="P7" i="2"/>
  <c r="AW20" i="2" s="1"/>
  <c r="I7" i="2"/>
  <c r="H62" i="2" s="1"/>
  <c r="H7" i="2"/>
  <c r="H43" i="2" s="1"/>
  <c r="AU6" i="2"/>
  <c r="AT6" i="2"/>
  <c r="AQ6" i="2"/>
  <c r="AK6" i="2"/>
  <c r="P14" i="2" s="1"/>
  <c r="AW27" i="2" s="1"/>
  <c r="P6" i="2"/>
  <c r="AW19" i="2" s="1"/>
  <c r="I6" i="2"/>
  <c r="H6" i="2"/>
  <c r="AU5" i="2"/>
  <c r="AT5" i="2"/>
  <c r="AQ5" i="2"/>
  <c r="AK5" i="2"/>
  <c r="P12" i="2" s="1"/>
  <c r="AW25" i="2" s="1"/>
  <c r="J5" i="2"/>
  <c r="I5" i="2"/>
  <c r="H51" i="2" s="1"/>
  <c r="H5" i="2"/>
  <c r="AU4" i="2"/>
  <c r="AT4" i="2"/>
  <c r="AQ4" i="2"/>
  <c r="AK4" i="2"/>
  <c r="P10" i="2" s="1"/>
  <c r="AW23" i="2" s="1"/>
  <c r="P4" i="2"/>
  <c r="AW17" i="2" s="1"/>
  <c r="I4" i="2"/>
  <c r="H4" i="2"/>
  <c r="I3" i="2"/>
  <c r="H3" i="2"/>
  <c r="H38" i="2" s="1"/>
  <c r="AT2" i="2"/>
  <c r="AR2" i="2"/>
  <c r="H61" i="1"/>
  <c r="H60" i="1"/>
  <c r="H59" i="1"/>
  <c r="H57" i="1"/>
  <c r="H53" i="1"/>
  <c r="H50" i="1"/>
  <c r="H48" i="1"/>
  <c r="H40" i="1"/>
  <c r="H37" i="1"/>
  <c r="H36" i="1"/>
  <c r="H33" i="1"/>
  <c r="H32" i="1"/>
  <c r="AO31" i="1"/>
  <c r="AQ30" i="1"/>
  <c r="AP30" i="1"/>
  <c r="AO30" i="1"/>
  <c r="H30" i="1"/>
  <c r="H29" i="1"/>
  <c r="J26" i="1"/>
  <c r="AQ63" i="1" s="1"/>
  <c r="I26" i="1"/>
  <c r="H26" i="1"/>
  <c r="AO63" i="1" s="1"/>
  <c r="AP25" i="1"/>
  <c r="AO25" i="1"/>
  <c r="T25" i="1"/>
  <c r="S25" i="1"/>
  <c r="U25" i="1" s="1"/>
  <c r="AO24" i="1"/>
  <c r="H23" i="1"/>
  <c r="AO22" i="1"/>
  <c r="AK22" i="1"/>
  <c r="AK21" i="1"/>
  <c r="AP20" i="1"/>
  <c r="AK20" i="1"/>
  <c r="AO19" i="1"/>
  <c r="AK19" i="1"/>
  <c r="AO18" i="1"/>
  <c r="AK18" i="1"/>
  <c r="P7" i="1" s="1"/>
  <c r="AW20" i="1" s="1"/>
  <c r="N18" i="1"/>
  <c r="AU31" i="1" s="1"/>
  <c r="I18" i="1"/>
  <c r="H18" i="1"/>
  <c r="H44" i="1" s="1"/>
  <c r="AO17" i="1"/>
  <c r="AK17" i="1"/>
  <c r="P16" i="1" s="1"/>
  <c r="AW29" i="1" s="1"/>
  <c r="I17" i="1"/>
  <c r="H17" i="1"/>
  <c r="J17" i="1" s="1"/>
  <c r="H65" i="1" s="1"/>
  <c r="AP16" i="1"/>
  <c r="AK16" i="1"/>
  <c r="I16" i="1"/>
  <c r="H16" i="1"/>
  <c r="AK15" i="1"/>
  <c r="P15" i="1"/>
  <c r="AW28" i="1" s="1"/>
  <c r="I15" i="1"/>
  <c r="AP28" i="1" s="1"/>
  <c r="H15" i="1"/>
  <c r="H42" i="1" s="1"/>
  <c r="AK14" i="1"/>
  <c r="P17" i="1" s="1"/>
  <c r="AW30" i="1" s="1"/>
  <c r="I14" i="1"/>
  <c r="AP27" i="1" s="1"/>
  <c r="H14" i="1"/>
  <c r="AK13" i="1"/>
  <c r="P3" i="1" s="1"/>
  <c r="AW16" i="1" s="1"/>
  <c r="P13" i="1"/>
  <c r="AW26" i="1" s="1"/>
  <c r="I13" i="1"/>
  <c r="AP26" i="1" s="1"/>
  <c r="H13" i="1"/>
  <c r="AK12" i="1"/>
  <c r="P4" i="1" s="1"/>
  <c r="AW17" i="1" s="1"/>
  <c r="P12" i="1"/>
  <c r="AW25" i="1" s="1"/>
  <c r="J12" i="1"/>
  <c r="I12" i="1"/>
  <c r="H12" i="1"/>
  <c r="AU11" i="1"/>
  <c r="AQ11" i="1"/>
  <c r="AK11" i="1"/>
  <c r="P6" i="1" s="1"/>
  <c r="AW19" i="1" s="1"/>
  <c r="I11" i="1"/>
  <c r="J11" i="1" s="1"/>
  <c r="H11" i="1"/>
  <c r="H35" i="1" s="1"/>
  <c r="AU10" i="1"/>
  <c r="AT10" i="1"/>
  <c r="AR10" i="1"/>
  <c r="AQ10" i="1"/>
  <c r="AK10" i="1"/>
  <c r="I10" i="1"/>
  <c r="H47" i="1" s="1"/>
  <c r="H10" i="1"/>
  <c r="AO23" i="1" s="1"/>
  <c r="AU9" i="1"/>
  <c r="AQ9" i="1"/>
  <c r="AK9" i="1"/>
  <c r="P11" i="1" s="1"/>
  <c r="AW24" i="1" s="1"/>
  <c r="P9" i="1"/>
  <c r="AW22" i="1" s="1"/>
  <c r="I9" i="1"/>
  <c r="H9" i="1"/>
  <c r="AU8" i="1"/>
  <c r="AT8" i="1"/>
  <c r="AR8" i="1"/>
  <c r="AQ8" i="1"/>
  <c r="AK8" i="1"/>
  <c r="P8" i="1" s="1"/>
  <c r="AW21" i="1" s="1"/>
  <c r="I8" i="1"/>
  <c r="H8" i="1"/>
  <c r="AO21" i="1" s="1"/>
  <c r="AU7" i="1"/>
  <c r="AT7" i="1"/>
  <c r="AQ7" i="1"/>
  <c r="AK7" i="1"/>
  <c r="I7" i="1"/>
  <c r="H62" i="1" s="1"/>
  <c r="H7" i="1"/>
  <c r="AO20" i="1" s="1"/>
  <c r="AU6" i="1"/>
  <c r="AT6" i="1"/>
  <c r="AQ6" i="1"/>
  <c r="AK6" i="1"/>
  <c r="P14" i="1" s="1"/>
  <c r="AW27" i="1" s="1"/>
  <c r="I6" i="1"/>
  <c r="H6" i="1"/>
  <c r="AU5" i="1"/>
  <c r="AT5" i="1"/>
  <c r="AQ5" i="1"/>
  <c r="AK5" i="1"/>
  <c r="P5" i="1"/>
  <c r="AW18" i="1" s="1"/>
  <c r="J5" i="1"/>
  <c r="AQ18" i="1" s="1"/>
  <c r="I5" i="1"/>
  <c r="H5" i="1"/>
  <c r="AU4" i="1"/>
  <c r="AT4" i="1"/>
  <c r="AQ4" i="1"/>
  <c r="AK4" i="1"/>
  <c r="P10" i="1" s="1"/>
  <c r="AW23" i="1" s="1"/>
  <c r="I4" i="1"/>
  <c r="H4" i="1"/>
  <c r="J3" i="1"/>
  <c r="I3" i="1"/>
  <c r="H3" i="1"/>
  <c r="AT2" i="1"/>
  <c r="AR2" i="1"/>
  <c r="L14" i="7"/>
  <c r="L6" i="7"/>
  <c r="AI3" i="7"/>
  <c r="AI3" i="8"/>
  <c r="L12" i="7"/>
  <c r="L8" i="7"/>
  <c r="K7" i="7"/>
  <c r="J3" i="8"/>
  <c r="L13" i="7"/>
  <c r="K14" i="8"/>
  <c r="K13" i="7"/>
  <c r="L4" i="7"/>
  <c r="AL3" i="6"/>
  <c r="J14" i="8"/>
  <c r="J12" i="8"/>
  <c r="K14" i="7"/>
  <c r="L10" i="6"/>
  <c r="K9" i="6"/>
  <c r="K8" i="8"/>
  <c r="K3" i="8"/>
  <c r="L11" i="7"/>
  <c r="K4" i="7"/>
  <c r="L11" i="6"/>
  <c r="K10" i="6"/>
  <c r="L3" i="5"/>
  <c r="K12" i="6"/>
  <c r="K14" i="5"/>
  <c r="K9" i="8"/>
  <c r="L3" i="6"/>
  <c r="J9" i="8"/>
  <c r="L9" i="7"/>
  <c r="AK3" i="7"/>
  <c r="K3" i="6"/>
  <c r="K13" i="8"/>
  <c r="J10" i="8"/>
  <c r="L8" i="6"/>
  <c r="K7" i="6"/>
  <c r="K3" i="5"/>
  <c r="L3" i="4"/>
  <c r="J13" i="8"/>
  <c r="J8" i="8"/>
  <c r="K4" i="8"/>
  <c r="K8" i="6"/>
  <c r="L14" i="4"/>
  <c r="K11" i="8"/>
  <c r="J4" i="8"/>
  <c r="K11" i="7"/>
  <c r="L9" i="6"/>
  <c r="K14" i="4"/>
  <c r="J5" i="8"/>
  <c r="K6" i="7"/>
  <c r="K13" i="5"/>
  <c r="L4" i="5"/>
  <c r="AK3" i="8"/>
  <c r="L5" i="5"/>
  <c r="K4" i="5"/>
  <c r="J7" i="8"/>
  <c r="K12" i="7"/>
  <c r="K8" i="7"/>
  <c r="L3" i="7"/>
  <c r="K5" i="6"/>
  <c r="L12" i="5"/>
  <c r="K11" i="5"/>
  <c r="K11" i="6"/>
  <c r="L13" i="4"/>
  <c r="L10" i="5"/>
  <c r="K13" i="4"/>
  <c r="L5" i="4"/>
  <c r="L4" i="4"/>
  <c r="K13" i="3"/>
  <c r="K7" i="8"/>
  <c r="L13" i="5"/>
  <c r="K10" i="5"/>
  <c r="K5" i="5"/>
  <c r="AO3" i="5"/>
  <c r="L6" i="4"/>
  <c r="K5" i="4"/>
  <c r="K4" i="4"/>
  <c r="AM3" i="5"/>
  <c r="L6" i="6"/>
  <c r="AJ3" i="6"/>
  <c r="K7" i="4"/>
  <c r="K11" i="3"/>
  <c r="K10" i="3"/>
  <c r="L12" i="6"/>
  <c r="K6" i="6"/>
  <c r="L8" i="5"/>
  <c r="L12" i="3"/>
  <c r="K5" i="8"/>
  <c r="L15" i="5"/>
  <c r="K8" i="5"/>
  <c r="L8" i="4"/>
  <c r="K12" i="3"/>
  <c r="AO3" i="3"/>
  <c r="K12" i="8"/>
  <c r="L5" i="7"/>
  <c r="K3" i="7"/>
  <c r="K12" i="5"/>
  <c r="K9" i="4"/>
  <c r="K10" i="8"/>
  <c r="L7" i="7"/>
  <c r="J6" i="8"/>
  <c r="K4" i="6"/>
  <c r="L7" i="5"/>
  <c r="AM3" i="4"/>
  <c r="K7" i="5"/>
  <c r="L3" i="2"/>
  <c r="K9" i="7"/>
  <c r="L5" i="6"/>
  <c r="K3" i="4"/>
  <c r="L6" i="3"/>
  <c r="K5" i="3"/>
  <c r="K15" i="5"/>
  <c r="L11" i="3"/>
  <c r="L15" i="2"/>
  <c r="K6" i="2"/>
  <c r="AT3" i="2"/>
  <c r="L17" i="1"/>
  <c r="L13" i="1"/>
  <c r="AR3" i="1"/>
  <c r="K6" i="5"/>
  <c r="L7" i="3"/>
  <c r="K15" i="2"/>
  <c r="L7" i="2"/>
  <c r="AR3" i="2"/>
  <c r="K17" i="1"/>
  <c r="AT3" i="1"/>
  <c r="L10" i="4"/>
  <c r="L13" i="3"/>
  <c r="K7" i="3"/>
  <c r="L13" i="2"/>
  <c r="K7" i="2"/>
  <c r="K10" i="4"/>
  <c r="K13" i="2"/>
  <c r="L8" i="2"/>
  <c r="K13" i="1"/>
  <c r="K6" i="8"/>
  <c r="L7" i="4"/>
  <c r="L8" i="3"/>
  <c r="L4" i="3"/>
  <c r="K8" i="2"/>
  <c r="L16" i="1"/>
  <c r="K11" i="4"/>
  <c r="L14" i="5"/>
  <c r="AO3" i="4"/>
  <c r="K8" i="3"/>
  <c r="K4" i="3"/>
  <c r="L18" i="2"/>
  <c r="L9" i="2"/>
  <c r="K3" i="2"/>
  <c r="K16" i="1"/>
  <c r="L6" i="5"/>
  <c r="L11" i="4"/>
  <c r="K18" i="2"/>
  <c r="K9" i="2"/>
  <c r="L11" i="5"/>
  <c r="L9" i="5"/>
  <c r="L9" i="3"/>
  <c r="K6" i="4"/>
  <c r="K9" i="3"/>
  <c r="L12" i="2"/>
  <c r="L6" i="2"/>
  <c r="K10" i="7"/>
  <c r="L16" i="2"/>
  <c r="L10" i="7"/>
  <c r="L14" i="2"/>
  <c r="K12" i="2"/>
  <c r="L8" i="1"/>
  <c r="K14" i="2"/>
  <c r="K8" i="1"/>
  <c r="L9" i="1"/>
  <c r="L4" i="1"/>
  <c r="L3" i="3"/>
  <c r="L17" i="2"/>
  <c r="K4" i="1"/>
  <c r="K9" i="5"/>
  <c r="K3" i="3"/>
  <c r="K17" i="2"/>
  <c r="L10" i="2"/>
  <c r="L4" i="2"/>
  <c r="L12" i="1"/>
  <c r="K8" i="4"/>
  <c r="K6" i="3"/>
  <c r="K12" i="4"/>
  <c r="L10" i="3"/>
  <c r="K11" i="1"/>
  <c r="K18" i="1"/>
  <c r="L7" i="6"/>
  <c r="K9" i="1"/>
  <c r="K6" i="1"/>
  <c r="L14" i="1"/>
  <c r="L5" i="3"/>
  <c r="L3" i="1"/>
  <c r="K10" i="2"/>
  <c r="L6" i="1"/>
  <c r="L15" i="1"/>
  <c r="K4" i="2"/>
  <c r="K7" i="1"/>
  <c r="L11" i="2"/>
  <c r="K14" i="1"/>
  <c r="L18" i="1"/>
  <c r="L10" i="1"/>
  <c r="L9" i="4"/>
  <c r="K15" i="1"/>
  <c r="K3" i="1"/>
  <c r="K10" i="1"/>
  <c r="J11" i="8"/>
  <c r="AM3" i="3"/>
  <c r="K12" i="1"/>
  <c r="L7" i="1"/>
  <c r="K16" i="2"/>
  <c r="K11" i="2"/>
  <c r="L5" i="2"/>
  <c r="L5" i="1"/>
  <c r="K5" i="2"/>
  <c r="K5" i="1"/>
  <c r="L4" i="6"/>
  <c r="L12" i="4"/>
  <c r="L11" i="1"/>
  <c r="C12" i="9" l="1"/>
  <c r="AB10" i="9" s="1"/>
  <c r="B19" i="9"/>
  <c r="Q5" i="9" s="1"/>
  <c r="C10" i="9"/>
  <c r="AB18" i="9" s="1"/>
  <c r="B16" i="9"/>
  <c r="Q6" i="9" s="1"/>
  <c r="B7" i="9"/>
  <c r="Q13" i="9" s="1"/>
  <c r="B9" i="9"/>
  <c r="Q14" i="9" s="1"/>
  <c r="AN57" i="7"/>
  <c r="C13" i="9"/>
  <c r="AB12" i="9" s="1"/>
  <c r="R57" i="1"/>
  <c r="L24" i="1"/>
  <c r="AS24" i="1"/>
  <c r="M11" i="1"/>
  <c r="R53" i="4"/>
  <c r="AN25" i="4"/>
  <c r="L23" i="4"/>
  <c r="M12" i="4"/>
  <c r="L22" i="4"/>
  <c r="R39" i="6"/>
  <c r="AK21" i="6"/>
  <c r="O4" i="6"/>
  <c r="AN21" i="6" s="1"/>
  <c r="M4" i="6"/>
  <c r="AR18" i="1"/>
  <c r="R32" i="1"/>
  <c r="N5" i="1"/>
  <c r="AU18" i="1" s="1"/>
  <c r="R32" i="2"/>
  <c r="AR18" i="2"/>
  <c r="N5" i="2"/>
  <c r="AU18" i="2" s="1"/>
  <c r="AS18" i="1"/>
  <c r="R51" i="1"/>
  <c r="M5" i="1"/>
  <c r="M5" i="2"/>
  <c r="R51" i="2"/>
  <c r="O5" i="2"/>
  <c r="AV18" i="2" s="1"/>
  <c r="AS18" i="2"/>
  <c r="R34" i="2"/>
  <c r="AR24" i="2"/>
  <c r="K24" i="2"/>
  <c r="AR29" i="2"/>
  <c r="R42" i="2"/>
  <c r="R62" i="1"/>
  <c r="L23" i="1"/>
  <c r="M7" i="1"/>
  <c r="AS20" i="1"/>
  <c r="O7" i="1"/>
  <c r="AV20" i="1" s="1"/>
  <c r="AR25" i="1"/>
  <c r="N12" i="1"/>
  <c r="AU25" i="1" s="1"/>
  <c r="R30" i="1"/>
  <c r="AH27" i="8"/>
  <c r="M11" i="8"/>
  <c r="AK27" i="8" s="1"/>
  <c r="Q23" i="8"/>
  <c r="N10" i="1"/>
  <c r="AU23" i="1" s="1"/>
  <c r="AR23" i="1"/>
  <c r="R29" i="1"/>
  <c r="R38" i="1"/>
  <c r="K22" i="1"/>
  <c r="AR16" i="1"/>
  <c r="R41" i="1"/>
  <c r="N15" i="1"/>
  <c r="AU28" i="1" s="1"/>
  <c r="AR28" i="1"/>
  <c r="L21" i="4"/>
  <c r="AN22" i="4"/>
  <c r="M9" i="4"/>
  <c r="R51" i="4"/>
  <c r="AS23" i="1"/>
  <c r="M10" i="1"/>
  <c r="R47" i="1"/>
  <c r="O10" i="1"/>
  <c r="AV23" i="1" s="1"/>
  <c r="R56" i="1"/>
  <c r="AS31" i="1"/>
  <c r="M18" i="1"/>
  <c r="R31" i="1"/>
  <c r="AR27" i="1"/>
  <c r="L24" i="2"/>
  <c r="M11" i="2"/>
  <c r="AS24" i="2"/>
  <c r="O11" i="2"/>
  <c r="AV24" i="2" s="1"/>
  <c r="R57" i="2"/>
  <c r="R43" i="1"/>
  <c r="K23" i="1"/>
  <c r="N23" i="1" s="1"/>
  <c r="AU60" i="1" s="1"/>
  <c r="AR20" i="1"/>
  <c r="N7" i="1"/>
  <c r="AU20" i="1" s="1"/>
  <c r="AR17" i="2"/>
  <c r="R36" i="2"/>
  <c r="O15" i="1"/>
  <c r="AV28" i="1" s="1"/>
  <c r="AS28" i="1"/>
  <c r="R58" i="1"/>
  <c r="M15" i="1"/>
  <c r="R54" i="1"/>
  <c r="M6" i="1"/>
  <c r="AS19" i="1"/>
  <c r="R29" i="2"/>
  <c r="AR23" i="2"/>
  <c r="R55" i="1"/>
  <c r="M3" i="1"/>
  <c r="L22" i="1"/>
  <c r="AS16" i="1"/>
  <c r="R49" i="3"/>
  <c r="O5" i="3"/>
  <c r="AQ18" i="3" s="1"/>
  <c r="L18" i="3"/>
  <c r="M5" i="3"/>
  <c r="AN18" i="3"/>
  <c r="R49" i="1"/>
  <c r="M14" i="1"/>
  <c r="AS27" i="1"/>
  <c r="AR19" i="1"/>
  <c r="N6" i="1"/>
  <c r="AU19" i="1" s="1"/>
  <c r="R37" i="1"/>
  <c r="AR22" i="1"/>
  <c r="N9" i="1"/>
  <c r="AU22" i="1" s="1"/>
  <c r="R40" i="1"/>
  <c r="R40" i="6"/>
  <c r="AK24" i="6"/>
  <c r="O7" i="6"/>
  <c r="AN24" i="6" s="1"/>
  <c r="M7" i="6"/>
  <c r="R44" i="1"/>
  <c r="AR31" i="1"/>
  <c r="R34" i="1"/>
  <c r="K24" i="1"/>
  <c r="AR24" i="1"/>
  <c r="N11" i="1"/>
  <c r="AU24" i="1" s="1"/>
  <c r="L20" i="3"/>
  <c r="AN23" i="3"/>
  <c r="R48" i="3"/>
  <c r="L21" i="3"/>
  <c r="O10" i="3"/>
  <c r="AQ23" i="3" s="1"/>
  <c r="M10" i="3"/>
  <c r="R35" i="4"/>
  <c r="K23" i="4"/>
  <c r="AM58" i="4" s="1"/>
  <c r="AM25" i="4"/>
  <c r="K22" i="4"/>
  <c r="N12" i="4"/>
  <c r="AP25" i="4" s="1"/>
  <c r="R27" i="3"/>
  <c r="N6" i="3"/>
  <c r="AP19" i="3" s="1"/>
  <c r="AM19" i="3"/>
  <c r="AM21" i="4"/>
  <c r="R28" i="4"/>
  <c r="AS25" i="1"/>
  <c r="R53" i="1"/>
  <c r="O12" i="1"/>
  <c r="AV25" i="1" s="1"/>
  <c r="M12" i="1"/>
  <c r="AS17" i="2"/>
  <c r="M4" i="2"/>
  <c r="R52" i="2"/>
  <c r="M10" i="2"/>
  <c r="R47" i="2"/>
  <c r="AS23" i="2"/>
  <c r="R39" i="2"/>
  <c r="K26" i="2"/>
  <c r="AR63" i="2" s="1"/>
  <c r="AR30" i="2"/>
  <c r="K25" i="2"/>
  <c r="R32" i="3"/>
  <c r="K17" i="3"/>
  <c r="AM16" i="3"/>
  <c r="AK6" i="3"/>
  <c r="AM22" i="5"/>
  <c r="N9" i="5"/>
  <c r="AP22" i="5" s="1"/>
  <c r="K21" i="5"/>
  <c r="R33" i="5"/>
  <c r="N4" i="1"/>
  <c r="AU17" i="1" s="1"/>
  <c r="R36" i="1"/>
  <c r="AR17" i="1"/>
  <c r="R60" i="2"/>
  <c r="AS30" i="2"/>
  <c r="L26" i="2"/>
  <c r="L25" i="2"/>
  <c r="M17" i="2"/>
  <c r="R50" i="3"/>
  <c r="L17" i="3"/>
  <c r="M3" i="3"/>
  <c r="AK7" i="3"/>
  <c r="AN16" i="3"/>
  <c r="AS17" i="1"/>
  <c r="R52" i="1"/>
  <c r="M4" i="1"/>
  <c r="AS22" i="1"/>
  <c r="M9" i="1"/>
  <c r="R59" i="1"/>
  <c r="AR21" i="1"/>
  <c r="R33" i="1"/>
  <c r="N8" i="1"/>
  <c r="AU21" i="1" s="1"/>
  <c r="AR27" i="2"/>
  <c r="R31" i="2"/>
  <c r="AS21" i="1"/>
  <c r="M8" i="1"/>
  <c r="R50" i="1"/>
  <c r="O8" i="1"/>
  <c r="AV21" i="1" s="1"/>
  <c r="AR25" i="2"/>
  <c r="R30" i="2"/>
  <c r="AS27" i="2"/>
  <c r="M14" i="2"/>
  <c r="R49" i="2"/>
  <c r="O14" i="2"/>
  <c r="AV27" i="2" s="1"/>
  <c r="R45" i="7"/>
  <c r="O10" i="7"/>
  <c r="AM26" i="7" s="1"/>
  <c r="AJ26" i="7"/>
  <c r="AS29" i="2"/>
  <c r="O16" i="2"/>
  <c r="AV29" i="2" s="1"/>
  <c r="R61" i="2"/>
  <c r="M16" i="2"/>
  <c r="N10" i="7"/>
  <c r="AL26" i="7" s="1"/>
  <c r="AI26" i="7"/>
  <c r="M10" i="7"/>
  <c r="R27" i="7"/>
  <c r="AS19" i="2"/>
  <c r="M6" i="2"/>
  <c r="AP10" i="2" s="1"/>
  <c r="R54" i="2"/>
  <c r="O6" i="2"/>
  <c r="AV19" i="2" s="1"/>
  <c r="AS25" i="2"/>
  <c r="M12" i="2"/>
  <c r="R53" i="2"/>
  <c r="O12" i="2"/>
  <c r="AV25" i="2" s="1"/>
  <c r="R28" i="3"/>
  <c r="AM22" i="3"/>
  <c r="N9" i="3"/>
  <c r="AP22" i="3" s="1"/>
  <c r="R31" i="4"/>
  <c r="AM19" i="4"/>
  <c r="AN22" i="3"/>
  <c r="O9" i="3"/>
  <c r="AQ22" i="3" s="1"/>
  <c r="M9" i="3"/>
  <c r="R51" i="3"/>
  <c r="AN22" i="5"/>
  <c r="R53" i="5"/>
  <c r="M9" i="5"/>
  <c r="L21" i="5"/>
  <c r="AN24" i="5"/>
  <c r="M11" i="5"/>
  <c r="R46" i="5"/>
  <c r="AR22" i="2"/>
  <c r="R40" i="2"/>
  <c r="R44" i="2"/>
  <c r="AR31" i="2"/>
  <c r="R44" i="4"/>
  <c r="AN24" i="4"/>
  <c r="M11" i="4"/>
  <c r="AN19" i="5"/>
  <c r="M6" i="5"/>
  <c r="R48" i="5"/>
  <c r="AR29" i="1"/>
  <c r="R42" i="1"/>
  <c r="K22" i="2"/>
  <c r="AR16" i="2"/>
  <c r="N3" i="2"/>
  <c r="AU16" i="2" s="1"/>
  <c r="R38" i="2"/>
  <c r="M9" i="2"/>
  <c r="R59" i="2"/>
  <c r="AS22" i="2"/>
  <c r="R56" i="2"/>
  <c r="M18" i="2"/>
  <c r="AS31" i="2"/>
  <c r="AM17" i="3"/>
  <c r="R34" i="3"/>
  <c r="R26" i="3"/>
  <c r="AM21" i="3"/>
  <c r="K19" i="3"/>
  <c r="N8" i="3"/>
  <c r="AP21" i="3" s="1"/>
  <c r="M14" i="5"/>
  <c r="R50" i="5"/>
  <c r="AN27" i="5"/>
  <c r="O14" i="5"/>
  <c r="AQ27" i="5" s="1"/>
  <c r="AM24" i="4"/>
  <c r="N11" i="4"/>
  <c r="AP24" i="4" s="1"/>
  <c r="R26" i="4"/>
  <c r="AS29" i="1"/>
  <c r="M16" i="1"/>
  <c r="R61" i="1"/>
  <c r="R33" i="2"/>
  <c r="AR21" i="2"/>
  <c r="R42" i="3"/>
  <c r="AN17" i="3"/>
  <c r="O4" i="3"/>
  <c r="AQ17" i="3" s="1"/>
  <c r="M4" i="3"/>
  <c r="L19" i="3"/>
  <c r="O19" i="3" s="1"/>
  <c r="AQ56" i="3" s="1"/>
  <c r="O8" i="3"/>
  <c r="AQ21" i="3" s="1"/>
  <c r="M8" i="3"/>
  <c r="R44" i="3"/>
  <c r="AN21" i="3"/>
  <c r="M7" i="4"/>
  <c r="R45" i="4"/>
  <c r="AN20" i="4"/>
  <c r="K18" i="8"/>
  <c r="N18" i="8" s="1"/>
  <c r="AL54" i="8" s="1"/>
  <c r="Q48" i="8"/>
  <c r="AI22" i="8"/>
  <c r="L6" i="8"/>
  <c r="AR26" i="1"/>
  <c r="R35" i="1"/>
  <c r="M8" i="2"/>
  <c r="R50" i="2"/>
  <c r="AS21" i="2"/>
  <c r="N13" i="2"/>
  <c r="AU26" i="2" s="1"/>
  <c r="R35" i="2"/>
  <c r="AR26" i="2"/>
  <c r="AM23" i="4"/>
  <c r="R32" i="4"/>
  <c r="K23" i="2"/>
  <c r="R43" i="2"/>
  <c r="AR20" i="2"/>
  <c r="R48" i="2"/>
  <c r="M13" i="2"/>
  <c r="AS26" i="2"/>
  <c r="O13" i="2"/>
  <c r="AV26" i="2" s="1"/>
  <c r="R29" i="3"/>
  <c r="AM20" i="3"/>
  <c r="N7" i="3"/>
  <c r="AP20" i="3" s="1"/>
  <c r="R47" i="3"/>
  <c r="M13" i="3"/>
  <c r="AN26" i="3"/>
  <c r="O13" i="3"/>
  <c r="AQ26" i="3" s="1"/>
  <c r="AN23" i="4"/>
  <c r="R50" i="4"/>
  <c r="M10" i="4"/>
  <c r="K25" i="1"/>
  <c r="R39" i="1"/>
  <c r="N17" i="1"/>
  <c r="AU30" i="1" s="1"/>
  <c r="K26" i="1"/>
  <c r="AR30" i="1"/>
  <c r="L23" i="2"/>
  <c r="R62" i="2"/>
  <c r="M7" i="2"/>
  <c r="O7" i="2"/>
  <c r="AV20" i="2" s="1"/>
  <c r="AS20" i="2"/>
  <c r="AR28" i="2"/>
  <c r="R41" i="2"/>
  <c r="N15" i="2"/>
  <c r="AU28" i="2" s="1"/>
  <c r="R43" i="3"/>
  <c r="M7" i="3"/>
  <c r="AN20" i="3"/>
  <c r="O7" i="3"/>
  <c r="AQ20" i="3" s="1"/>
  <c r="R30" i="5"/>
  <c r="AM19" i="5"/>
  <c r="M13" i="1"/>
  <c r="AS26" i="1"/>
  <c r="R48" i="1"/>
  <c r="O13" i="1"/>
  <c r="AV26" i="1" s="1"/>
  <c r="L25" i="1"/>
  <c r="R60" i="1"/>
  <c r="AS30" i="1"/>
  <c r="O17" i="1"/>
  <c r="AV30" i="1" s="1"/>
  <c r="M17" i="1"/>
  <c r="L26" i="1"/>
  <c r="O26" i="1" s="1"/>
  <c r="AV63" i="1" s="1"/>
  <c r="R37" i="2"/>
  <c r="AR19" i="2"/>
  <c r="N6" i="2"/>
  <c r="AU19" i="2" s="1"/>
  <c r="R58" i="2"/>
  <c r="AS28" i="2"/>
  <c r="M15" i="2"/>
  <c r="AN24" i="3"/>
  <c r="R46" i="3"/>
  <c r="M11" i="3"/>
  <c r="O11" i="3"/>
  <c r="AQ24" i="3" s="1"/>
  <c r="AM28" i="5"/>
  <c r="R38" i="5"/>
  <c r="K18" i="3"/>
  <c r="R33" i="3"/>
  <c r="AM18" i="3"/>
  <c r="O6" i="3"/>
  <c r="AQ19" i="3" s="1"/>
  <c r="R45" i="3"/>
  <c r="AN19" i="3"/>
  <c r="M6" i="3"/>
  <c r="K19" i="4"/>
  <c r="N19" i="4" s="1"/>
  <c r="AP54" i="4" s="1"/>
  <c r="N3" i="4"/>
  <c r="AP16" i="4" s="1"/>
  <c r="R30" i="4"/>
  <c r="AK6" i="4"/>
  <c r="AM16" i="4"/>
  <c r="AK22" i="6"/>
  <c r="R45" i="6"/>
  <c r="M5" i="6"/>
  <c r="L16" i="6"/>
  <c r="O5" i="6"/>
  <c r="AN22" i="6" s="1"/>
  <c r="M9" i="7"/>
  <c r="K19" i="7"/>
  <c r="N9" i="7"/>
  <c r="AL25" i="7" s="1"/>
  <c r="AI25" i="7"/>
  <c r="R29" i="7"/>
  <c r="M3" i="2"/>
  <c r="R55" i="2"/>
  <c r="AS16" i="2"/>
  <c r="L22" i="2"/>
  <c r="AM20" i="5"/>
  <c r="R26" i="5"/>
  <c r="AN20" i="5"/>
  <c r="R47" i="5"/>
  <c r="M7" i="5"/>
  <c r="R30" i="6"/>
  <c r="AJ21" i="6"/>
  <c r="AH22" i="8"/>
  <c r="J18" i="8"/>
  <c r="M6" i="8"/>
  <c r="AK22" i="8" s="1"/>
  <c r="Q31" i="8"/>
  <c r="R47" i="7"/>
  <c r="AJ23" i="7"/>
  <c r="O7" i="7"/>
  <c r="AM23" i="7" s="1"/>
  <c r="AI26" i="8"/>
  <c r="N10" i="8"/>
  <c r="AL26" i="8" s="1"/>
  <c r="Q46" i="8"/>
  <c r="L10" i="8"/>
  <c r="K21" i="4"/>
  <c r="N21" i="4" s="1"/>
  <c r="AP56" i="4" s="1"/>
  <c r="AM22" i="4"/>
  <c r="R34" i="4"/>
  <c r="R36" i="5"/>
  <c r="K22" i="5"/>
  <c r="K23" i="5"/>
  <c r="AM58" i="5" s="1"/>
  <c r="N12" i="5"/>
  <c r="AP25" i="5" s="1"/>
  <c r="AM25" i="5"/>
  <c r="AI19" i="7"/>
  <c r="K17" i="7"/>
  <c r="R24" i="7"/>
  <c r="N3" i="7"/>
  <c r="AL19" i="7" s="1"/>
  <c r="M3" i="7"/>
  <c r="R41" i="7"/>
  <c r="O5" i="7"/>
  <c r="AM21" i="7" s="1"/>
  <c r="AJ21" i="7"/>
  <c r="K20" i="8"/>
  <c r="Q41" i="8"/>
  <c r="N12" i="8"/>
  <c r="AL28" i="8" s="1"/>
  <c r="AI28" i="8"/>
  <c r="L12" i="8"/>
  <c r="R31" i="3"/>
  <c r="N12" i="3"/>
  <c r="AP25" i="3" s="1"/>
  <c r="AM25" i="3"/>
  <c r="AN21" i="4"/>
  <c r="M8" i="4"/>
  <c r="R42" i="4"/>
  <c r="AM21" i="5"/>
  <c r="R31" i="5"/>
  <c r="N8" i="5"/>
  <c r="AP21" i="5" s="1"/>
  <c r="AN28" i="5"/>
  <c r="M15" i="5"/>
  <c r="R42" i="5"/>
  <c r="AI21" i="8"/>
  <c r="L5" i="8"/>
  <c r="Q47" i="8"/>
  <c r="M12" i="3"/>
  <c r="AN25" i="3"/>
  <c r="R52" i="3"/>
  <c r="AN21" i="5"/>
  <c r="R44" i="5"/>
  <c r="M8" i="5"/>
  <c r="R27" i="6"/>
  <c r="AJ23" i="6"/>
  <c r="N6" i="6"/>
  <c r="AM23" i="6" s="1"/>
  <c r="M12" i="6"/>
  <c r="R37" i="6"/>
  <c r="O12" i="6"/>
  <c r="AN29" i="6" s="1"/>
  <c r="AK29" i="6"/>
  <c r="K20" i="3"/>
  <c r="R30" i="3"/>
  <c r="AM23" i="3"/>
  <c r="K21" i="3"/>
  <c r="AM58" i="3" s="1"/>
  <c r="R35" i="3"/>
  <c r="AM24" i="3"/>
  <c r="N11" i="3"/>
  <c r="AP24" i="3" s="1"/>
  <c r="AM20" i="4"/>
  <c r="R27" i="4"/>
  <c r="R46" i="6"/>
  <c r="AK23" i="6"/>
  <c r="M6" i="6"/>
  <c r="AM17" i="4"/>
  <c r="R29" i="4"/>
  <c r="R33" i="4"/>
  <c r="AM18" i="4"/>
  <c r="K20" i="4"/>
  <c r="R49" i="4"/>
  <c r="M6" i="4"/>
  <c r="AN19" i="4"/>
  <c r="R37" i="5"/>
  <c r="AM18" i="5"/>
  <c r="K20" i="5"/>
  <c r="AM23" i="5"/>
  <c r="R29" i="5"/>
  <c r="AN26" i="5"/>
  <c r="R49" i="5"/>
  <c r="M13" i="5"/>
  <c r="AI23" i="8"/>
  <c r="Q43" i="8"/>
  <c r="L7" i="8"/>
  <c r="R36" i="3"/>
  <c r="AM26" i="3"/>
  <c r="R47" i="4"/>
  <c r="M4" i="4"/>
  <c r="O4" i="4"/>
  <c r="AQ17" i="4" s="1"/>
  <c r="AN17" i="4"/>
  <c r="AN18" i="4"/>
  <c r="M5" i="4"/>
  <c r="R48" i="4"/>
  <c r="L20" i="4"/>
  <c r="AM26" i="4"/>
  <c r="R36" i="4"/>
  <c r="AN23" i="5"/>
  <c r="M10" i="5"/>
  <c r="R51" i="5"/>
  <c r="R52" i="4"/>
  <c r="M13" i="4"/>
  <c r="AN26" i="4"/>
  <c r="N11" i="6"/>
  <c r="AM28" i="6" s="1"/>
  <c r="AJ28" i="6"/>
  <c r="R26" i="6"/>
  <c r="AM24" i="5"/>
  <c r="R27" i="5"/>
  <c r="N11" i="5"/>
  <c r="AP24" i="5" s="1"/>
  <c r="AN25" i="5"/>
  <c r="L23" i="5"/>
  <c r="R52" i="5"/>
  <c r="L22" i="5"/>
  <c r="M12" i="5"/>
  <c r="R32" i="6"/>
  <c r="K16" i="6"/>
  <c r="R67" i="6" s="1"/>
  <c r="AJ22" i="6"/>
  <c r="R37" i="7"/>
  <c r="AJ19" i="7"/>
  <c r="O3" i="7"/>
  <c r="AM19" i="7" s="1"/>
  <c r="L17" i="7"/>
  <c r="N8" i="7"/>
  <c r="AL24" i="7" s="1"/>
  <c r="R28" i="7"/>
  <c r="AI24" i="7"/>
  <c r="M8" i="7"/>
  <c r="N12" i="7"/>
  <c r="AL28" i="7" s="1"/>
  <c r="AI28" i="7"/>
  <c r="K20" i="7"/>
  <c r="R26" i="7"/>
  <c r="M12" i="7"/>
  <c r="Q25" i="8"/>
  <c r="M7" i="8"/>
  <c r="AK23" i="8" s="1"/>
  <c r="AH23" i="8"/>
  <c r="AM17" i="5"/>
  <c r="R35" i="5"/>
  <c r="N4" i="5"/>
  <c r="AP17" i="5" s="1"/>
  <c r="R54" i="5"/>
  <c r="M5" i="5"/>
  <c r="AN18" i="5"/>
  <c r="L20" i="5"/>
  <c r="M4" i="5"/>
  <c r="R45" i="5"/>
  <c r="AN17" i="5"/>
  <c r="R32" i="5"/>
  <c r="AM26" i="5"/>
  <c r="N13" i="5"/>
  <c r="AP26" i="5" s="1"/>
  <c r="R32" i="7"/>
  <c r="K18" i="7"/>
  <c r="M6" i="7"/>
  <c r="AI22" i="7"/>
  <c r="N6" i="7"/>
  <c r="AL22" i="7" s="1"/>
  <c r="M5" i="8"/>
  <c r="AK21" i="8" s="1"/>
  <c r="Q33" i="8"/>
  <c r="AH21" i="8"/>
  <c r="AM27" i="4"/>
  <c r="R37" i="4"/>
  <c r="AK26" i="6"/>
  <c r="M9" i="6"/>
  <c r="R41" i="6"/>
  <c r="O9" i="6"/>
  <c r="AN26" i="6" s="1"/>
  <c r="AI27" i="7"/>
  <c r="N11" i="7"/>
  <c r="AL27" i="7" s="1"/>
  <c r="R23" i="7"/>
  <c r="M11" i="7"/>
  <c r="AH20" i="8"/>
  <c r="Q34" i="8"/>
  <c r="N11" i="8"/>
  <c r="AL27" i="8" s="1"/>
  <c r="Q38" i="8"/>
  <c r="L11" i="8"/>
  <c r="AI27" i="8"/>
  <c r="M14" i="4"/>
  <c r="AN27" i="4"/>
  <c r="R43" i="4"/>
  <c r="AJ25" i="6"/>
  <c r="K17" i="6"/>
  <c r="R31" i="6"/>
  <c r="L4" i="8"/>
  <c r="Q42" i="8"/>
  <c r="AI20" i="8"/>
  <c r="AH24" i="8"/>
  <c r="M8" i="8"/>
  <c r="AK24" i="8" s="1"/>
  <c r="Q24" i="8"/>
  <c r="AH29" i="8"/>
  <c r="M13" i="8"/>
  <c r="AK29" i="8" s="1"/>
  <c r="Q26" i="8"/>
  <c r="O3" i="4"/>
  <c r="AQ16" i="4" s="1"/>
  <c r="R46" i="4"/>
  <c r="L19" i="4"/>
  <c r="M3" i="4"/>
  <c r="AN16" i="4"/>
  <c r="AM16" i="5"/>
  <c r="R28" i="5"/>
  <c r="N3" i="5"/>
  <c r="AP16" i="5" s="1"/>
  <c r="K19" i="5"/>
  <c r="AJ24" i="6"/>
  <c r="N7" i="6"/>
  <c r="AM24" i="6" s="1"/>
  <c r="R24" i="6"/>
  <c r="R43" i="6"/>
  <c r="AK25" i="6"/>
  <c r="L17" i="6"/>
  <c r="O8" i="6"/>
  <c r="AN25" i="6" s="1"/>
  <c r="M8" i="6"/>
  <c r="AH26" i="8"/>
  <c r="Q30" i="8"/>
  <c r="AI29" i="8"/>
  <c r="Q45" i="8"/>
  <c r="L13" i="8"/>
  <c r="R25" i="6"/>
  <c r="AJ20" i="6"/>
  <c r="K15" i="6"/>
  <c r="AH6" i="6"/>
  <c r="O9" i="7"/>
  <c r="AM25" i="7" s="1"/>
  <c r="R39" i="7"/>
  <c r="AJ25" i="7"/>
  <c r="L19" i="7"/>
  <c r="J19" i="8"/>
  <c r="M9" i="8"/>
  <c r="AK25" i="8" s="1"/>
  <c r="Q32" i="8"/>
  <c r="AH25" i="8"/>
  <c r="L15" i="6"/>
  <c r="M3" i="6"/>
  <c r="R38" i="6"/>
  <c r="AK20" i="6"/>
  <c r="AH7" i="6"/>
  <c r="K19" i="8"/>
  <c r="L9" i="8"/>
  <c r="Q44" i="8"/>
  <c r="AI25" i="8"/>
  <c r="R34" i="5"/>
  <c r="AM27" i="5"/>
  <c r="R29" i="6"/>
  <c r="N12" i="6"/>
  <c r="AM29" i="6" s="1"/>
  <c r="AJ29" i="6"/>
  <c r="R43" i="5"/>
  <c r="L19" i="5"/>
  <c r="AN16" i="5"/>
  <c r="O3" i="5"/>
  <c r="AQ16" i="5" s="1"/>
  <c r="AK7" i="5"/>
  <c r="M3" i="5"/>
  <c r="AJ27" i="6"/>
  <c r="K18" i="6"/>
  <c r="R65" i="6" s="1"/>
  <c r="N10" i="6"/>
  <c r="AM27" i="6" s="1"/>
  <c r="R28" i="6"/>
  <c r="M11" i="6"/>
  <c r="AK28" i="6"/>
  <c r="R44" i="6"/>
  <c r="O11" i="6"/>
  <c r="AN28" i="6" s="1"/>
  <c r="AI57" i="7"/>
  <c r="R31" i="7"/>
  <c r="N4" i="7"/>
  <c r="AI20" i="7"/>
  <c r="M4" i="7"/>
  <c r="O11" i="7"/>
  <c r="AM27" i="7" s="1"/>
  <c r="R40" i="7"/>
  <c r="AJ27" i="7"/>
  <c r="AI19" i="8"/>
  <c r="K17" i="8"/>
  <c r="L3" i="8"/>
  <c r="Q37" i="8"/>
  <c r="N3" i="8"/>
  <c r="AL19" i="8" s="1"/>
  <c r="AG7" i="8"/>
  <c r="L8" i="8"/>
  <c r="AI24" i="8"/>
  <c r="Q39" i="8"/>
  <c r="R23" i="6"/>
  <c r="N9" i="6"/>
  <c r="AM26" i="6" s="1"/>
  <c r="AJ26" i="6"/>
  <c r="O10" i="6"/>
  <c r="AN27" i="6" s="1"/>
  <c r="R42" i="6"/>
  <c r="AK27" i="6"/>
  <c r="L18" i="6"/>
  <c r="AK57" i="6" s="1"/>
  <c r="M10" i="6"/>
  <c r="R30" i="7"/>
  <c r="N14" i="7"/>
  <c r="AL30" i="7" s="1"/>
  <c r="AI30" i="7"/>
  <c r="M14" i="7"/>
  <c r="J20" i="8"/>
  <c r="AH28" i="8"/>
  <c r="M12" i="8"/>
  <c r="AK28" i="8" s="1"/>
  <c r="Q29" i="8"/>
  <c r="Q28" i="8"/>
  <c r="AH30" i="8"/>
  <c r="AJ20" i="7"/>
  <c r="O4" i="7"/>
  <c r="AJ57" i="7"/>
  <c r="R42" i="7"/>
  <c r="R25" i="7"/>
  <c r="AI29" i="7"/>
  <c r="M13" i="7"/>
  <c r="N13" i="7"/>
  <c r="AL29" i="7" s="1"/>
  <c r="L14" i="8"/>
  <c r="Q40" i="8"/>
  <c r="AI30" i="8"/>
  <c r="N14" i="8"/>
  <c r="AL30" i="8" s="1"/>
  <c r="R43" i="7"/>
  <c r="O13" i="7"/>
  <c r="AM29" i="7" s="1"/>
  <c r="AJ29" i="7"/>
  <c r="AH19" i="8"/>
  <c r="J17" i="8"/>
  <c r="Q27" i="8"/>
  <c r="M3" i="8"/>
  <c r="AK19" i="8" s="1"/>
  <c r="AG6" i="8"/>
  <c r="M7" i="7"/>
  <c r="R33" i="7"/>
  <c r="N7" i="7"/>
  <c r="AL23" i="7" s="1"/>
  <c r="AI23" i="7"/>
  <c r="AJ24" i="7"/>
  <c r="O8" i="7"/>
  <c r="AM24" i="7" s="1"/>
  <c r="R44" i="7"/>
  <c r="L20" i="7"/>
  <c r="AJ28" i="7"/>
  <c r="O12" i="7"/>
  <c r="AM28" i="7" s="1"/>
  <c r="R38" i="7"/>
  <c r="R46" i="7"/>
  <c r="AJ22" i="7"/>
  <c r="L18" i="7"/>
  <c r="O6" i="7"/>
  <c r="AM22" i="7" s="1"/>
  <c r="AJ30" i="7"/>
  <c r="R48" i="7"/>
  <c r="O14" i="7"/>
  <c r="AM30" i="7" s="1"/>
  <c r="H64" i="3"/>
  <c r="AL16" i="3"/>
  <c r="N11" i="2"/>
  <c r="AU24" i="2" s="1"/>
  <c r="H70" i="1"/>
  <c r="AQ24" i="1"/>
  <c r="H57" i="2"/>
  <c r="AP31" i="2"/>
  <c r="O18" i="2"/>
  <c r="AV31" i="2" s="1"/>
  <c r="AK4" i="4"/>
  <c r="AO60" i="1"/>
  <c r="H88" i="3"/>
  <c r="AK55" i="3"/>
  <c r="C22" i="9"/>
  <c r="AB15" i="9" s="1"/>
  <c r="B22" i="9"/>
  <c r="Q19" i="9" s="1"/>
  <c r="AR4" i="1"/>
  <c r="AP4" i="1" s="1"/>
  <c r="N3" i="1"/>
  <c r="AU16" i="1" s="1"/>
  <c r="AP21" i="1"/>
  <c r="J8" i="1"/>
  <c r="H52" i="1"/>
  <c r="O18" i="1"/>
  <c r="AV31" i="1" s="1"/>
  <c r="I23" i="1"/>
  <c r="AV5" i="1" s="1"/>
  <c r="AV6" i="2"/>
  <c r="J10" i="1"/>
  <c r="AO16" i="1"/>
  <c r="J18" i="1"/>
  <c r="AP23" i="1"/>
  <c r="AP63" i="1"/>
  <c r="AO22" i="2"/>
  <c r="N9" i="2"/>
  <c r="AU22" i="2" s="1"/>
  <c r="AJ18" i="3"/>
  <c r="H18" i="3"/>
  <c r="N5" i="3"/>
  <c r="AP18" i="3" s="1"/>
  <c r="H34" i="3"/>
  <c r="H73" i="1"/>
  <c r="AQ16" i="1"/>
  <c r="N14" i="5"/>
  <c r="AP27" i="5" s="1"/>
  <c r="H33" i="5"/>
  <c r="AJ27" i="5"/>
  <c r="J14" i="5"/>
  <c r="H22" i="5"/>
  <c r="H56" i="2"/>
  <c r="AP16" i="2"/>
  <c r="O3" i="2"/>
  <c r="AV16" i="2" s="1"/>
  <c r="J3" i="2"/>
  <c r="I22" i="2"/>
  <c r="H22" i="2"/>
  <c r="AO17" i="2"/>
  <c r="AR4" i="2"/>
  <c r="AP4" i="2" s="1"/>
  <c r="H36" i="2"/>
  <c r="N4" i="2"/>
  <c r="AU17" i="2" s="1"/>
  <c r="H35" i="2"/>
  <c r="AP17" i="2"/>
  <c r="H53" i="2"/>
  <c r="O4" i="2"/>
  <c r="AV17" i="2" s="1"/>
  <c r="O4" i="1"/>
  <c r="AV17" i="1" s="1"/>
  <c r="H38" i="1"/>
  <c r="J4" i="2"/>
  <c r="AO23" i="2"/>
  <c r="H29" i="2"/>
  <c r="N10" i="2"/>
  <c r="AU23" i="2" s="1"/>
  <c r="AQ25" i="1"/>
  <c r="H66" i="1"/>
  <c r="H22" i="1"/>
  <c r="H54" i="1"/>
  <c r="J6" i="1"/>
  <c r="I22" i="1"/>
  <c r="AP31" i="1"/>
  <c r="H47" i="2"/>
  <c r="AP23" i="2"/>
  <c r="O10" i="2"/>
  <c r="AV23" i="2" s="1"/>
  <c r="N9" i="8"/>
  <c r="AL25" i="8" s="1"/>
  <c r="AF25" i="8"/>
  <c r="G47" i="8"/>
  <c r="H19" i="8"/>
  <c r="H24" i="2"/>
  <c r="AO24" i="2"/>
  <c r="H67" i="1"/>
  <c r="H71" i="2"/>
  <c r="AQ23" i="2"/>
  <c r="AF21" i="8"/>
  <c r="N5" i="8"/>
  <c r="AL21" i="8" s="1"/>
  <c r="G48" i="8"/>
  <c r="I5" i="8"/>
  <c r="H17" i="8"/>
  <c r="AG25" i="8"/>
  <c r="G61" i="8"/>
  <c r="H25" i="2"/>
  <c r="H26" i="2"/>
  <c r="N17" i="2"/>
  <c r="AU30" i="2" s="1"/>
  <c r="AO30" i="2"/>
  <c r="H39" i="2"/>
  <c r="AK7" i="4"/>
  <c r="AJ26" i="4"/>
  <c r="H36" i="4"/>
  <c r="N13" i="4"/>
  <c r="AP26" i="4" s="1"/>
  <c r="H23" i="4"/>
  <c r="J18" i="2"/>
  <c r="H65" i="3"/>
  <c r="AL18" i="3"/>
  <c r="AJ16" i="3"/>
  <c r="H32" i="3"/>
  <c r="AK4" i="3"/>
  <c r="N3" i="3"/>
  <c r="AP16" i="3" s="1"/>
  <c r="O3" i="3"/>
  <c r="AQ16" i="3" s="1"/>
  <c r="AK16" i="3"/>
  <c r="H50" i="3"/>
  <c r="I17" i="3"/>
  <c r="AK5" i="3"/>
  <c r="J19" i="4"/>
  <c r="AK54" i="4"/>
  <c r="H87" i="4"/>
  <c r="O17" i="2"/>
  <c r="AV30" i="2" s="1"/>
  <c r="AP30" i="2"/>
  <c r="I25" i="2"/>
  <c r="I26" i="2"/>
  <c r="H21" i="3"/>
  <c r="J10" i="3"/>
  <c r="AJ23" i="3"/>
  <c r="H20" i="3"/>
  <c r="H30" i="3"/>
  <c r="N10" i="3"/>
  <c r="AP23" i="3" s="1"/>
  <c r="H17" i="3"/>
  <c r="V25" i="1"/>
  <c r="H85" i="1"/>
  <c r="J17" i="2"/>
  <c r="H75" i="6"/>
  <c r="AH56" i="6"/>
  <c r="O17" i="6"/>
  <c r="AN56" i="6" s="1"/>
  <c r="J17" i="6"/>
  <c r="H33" i="4"/>
  <c r="H20" i="4"/>
  <c r="N5" i="4"/>
  <c r="AP18" i="4" s="1"/>
  <c r="AJ18" i="4"/>
  <c r="J4" i="1"/>
  <c r="H55" i="1"/>
  <c r="I24" i="1"/>
  <c r="O11" i="1"/>
  <c r="AV24" i="1" s="1"/>
  <c r="AP24" i="1"/>
  <c r="AP19" i="1"/>
  <c r="AO25" i="2"/>
  <c r="H30" i="2"/>
  <c r="H51" i="1"/>
  <c r="AP18" i="1"/>
  <c r="O5" i="1"/>
  <c r="AV18" i="1" s="1"/>
  <c r="O6" i="1"/>
  <c r="AV19" i="1" s="1"/>
  <c r="N13" i="1"/>
  <c r="AU26" i="1" s="1"/>
  <c r="AP17" i="1"/>
  <c r="AP8" i="2"/>
  <c r="N12" i="2"/>
  <c r="AU25" i="2" s="1"/>
  <c r="AP24" i="2"/>
  <c r="I24" i="2"/>
  <c r="O16" i="6"/>
  <c r="AN55" i="6" s="1"/>
  <c r="M17" i="8"/>
  <c r="AK53" i="8" s="1"/>
  <c r="AM4" i="8"/>
  <c r="G65" i="8"/>
  <c r="B20" i="9"/>
  <c r="Q21" i="9" s="1"/>
  <c r="C20" i="9"/>
  <c r="AB20" i="9" s="1"/>
  <c r="O3" i="1"/>
  <c r="AV16" i="1" s="1"/>
  <c r="H56" i="1"/>
  <c r="AQ18" i="2"/>
  <c r="H67" i="2"/>
  <c r="AO21" i="2"/>
  <c r="H23" i="2"/>
  <c r="N8" i="2"/>
  <c r="AU21" i="2" s="1"/>
  <c r="J11" i="2"/>
  <c r="H44" i="2"/>
  <c r="AO31" i="2"/>
  <c r="N18" i="2"/>
  <c r="AU31" i="2" s="1"/>
  <c r="J4" i="6"/>
  <c r="H30" i="6"/>
  <c r="N4" i="6"/>
  <c r="AM21" i="6" s="1"/>
  <c r="AP21" i="6"/>
  <c r="AG21" i="6"/>
  <c r="G54" i="8"/>
  <c r="AG27" i="8"/>
  <c r="C5" i="9"/>
  <c r="AB19" i="9" s="1"/>
  <c r="B5" i="9"/>
  <c r="Q17" i="9" s="1"/>
  <c r="AJ56" i="4"/>
  <c r="H75" i="4"/>
  <c r="AK26" i="4"/>
  <c r="J13" i="4"/>
  <c r="H52" i="4"/>
  <c r="O13" i="4"/>
  <c r="AQ26" i="4" s="1"/>
  <c r="H58" i="1"/>
  <c r="AP22" i="1"/>
  <c r="I25" i="1"/>
  <c r="AO29" i="2"/>
  <c r="N16" i="2"/>
  <c r="AU29" i="2" s="1"/>
  <c r="J9" i="1"/>
  <c r="N14" i="2"/>
  <c r="AU27" i="2" s="1"/>
  <c r="AO27" i="2"/>
  <c r="H31" i="2"/>
  <c r="J16" i="2"/>
  <c r="V23" i="3"/>
  <c r="H65" i="4"/>
  <c r="AL22" i="4"/>
  <c r="H30" i="5"/>
  <c r="AJ19" i="5"/>
  <c r="N6" i="5"/>
  <c r="AP19" i="5" s="1"/>
  <c r="H20" i="5"/>
  <c r="H58" i="2"/>
  <c r="AP22" i="2"/>
  <c r="O9" i="2"/>
  <c r="AV22" i="2" s="1"/>
  <c r="O6" i="5"/>
  <c r="AQ19" i="5" s="1"/>
  <c r="AK19" i="5"/>
  <c r="H48" i="5"/>
  <c r="J6" i="5"/>
  <c r="I20" i="5"/>
  <c r="N16" i="1"/>
  <c r="AU29" i="1" s="1"/>
  <c r="AO29" i="1"/>
  <c r="H41" i="1"/>
  <c r="AL25" i="5"/>
  <c r="H66" i="5"/>
  <c r="J17" i="7"/>
  <c r="H67" i="7"/>
  <c r="AF53" i="7"/>
  <c r="AN53" i="7"/>
  <c r="O16" i="1"/>
  <c r="AV29" i="1" s="1"/>
  <c r="AP29" i="1"/>
  <c r="J16" i="1"/>
  <c r="H59" i="3"/>
  <c r="AL22" i="3"/>
  <c r="H63" i="4"/>
  <c r="H44" i="4"/>
  <c r="O11" i="4"/>
  <c r="AQ24" i="4" s="1"/>
  <c r="I21" i="4"/>
  <c r="AP25" i="2"/>
  <c r="H50" i="2"/>
  <c r="J11" i="4"/>
  <c r="H31" i="1"/>
  <c r="N14" i="1"/>
  <c r="AU27" i="1" s="1"/>
  <c r="AO27" i="1"/>
  <c r="J9" i="2"/>
  <c r="J12" i="2"/>
  <c r="H49" i="1"/>
  <c r="O14" i="1"/>
  <c r="AV27" i="1" s="1"/>
  <c r="J7" i="1"/>
  <c r="O9" i="1"/>
  <c r="AV22" i="1" s="1"/>
  <c r="J14" i="1"/>
  <c r="H41" i="2"/>
  <c r="H55" i="2"/>
  <c r="AJ17" i="3"/>
  <c r="N4" i="3"/>
  <c r="AP17" i="3" s="1"/>
  <c r="J4" i="3"/>
  <c r="AM9" i="3" s="1"/>
  <c r="AK9" i="3" s="1"/>
  <c r="H24" i="1"/>
  <c r="AO26" i="1"/>
  <c r="H58" i="3"/>
  <c r="AL21" i="3"/>
  <c r="AJ23" i="4"/>
  <c r="N10" i="4"/>
  <c r="AP23" i="4" s="1"/>
  <c r="H43" i="1"/>
  <c r="J8" i="2"/>
  <c r="H29" i="3"/>
  <c r="AJ20" i="3"/>
  <c r="H50" i="4"/>
  <c r="AK23" i="4"/>
  <c r="O10" i="4"/>
  <c r="AQ23" i="4" s="1"/>
  <c r="I20" i="3"/>
  <c r="O12" i="3"/>
  <c r="AQ25" i="3" s="1"/>
  <c r="J12" i="3"/>
  <c r="H52" i="3"/>
  <c r="AK57" i="5"/>
  <c r="H86" i="5"/>
  <c r="J22" i="5"/>
  <c r="H25" i="1"/>
  <c r="H33" i="3"/>
  <c r="H29" i="4"/>
  <c r="N4" i="4"/>
  <c r="AP17" i="4" s="1"/>
  <c r="AK5" i="4"/>
  <c r="J10" i="4"/>
  <c r="AK4" i="5"/>
  <c r="AG29" i="7"/>
  <c r="H41" i="7"/>
  <c r="J13" i="7"/>
  <c r="H39" i="1"/>
  <c r="J7" i="2"/>
  <c r="O15" i="2"/>
  <c r="AV28" i="2" s="1"/>
  <c r="J13" i="3"/>
  <c r="H48" i="3"/>
  <c r="AK26" i="3"/>
  <c r="AK21" i="5"/>
  <c r="O8" i="5"/>
  <c r="AQ21" i="5" s="1"/>
  <c r="J8" i="5"/>
  <c r="AO28" i="1"/>
  <c r="H34" i="1"/>
  <c r="H54" i="2"/>
  <c r="AP19" i="2"/>
  <c r="AK25" i="3"/>
  <c r="AL17" i="4"/>
  <c r="H60" i="4"/>
  <c r="AK27" i="4"/>
  <c r="H43" i="4"/>
  <c r="O14" i="4"/>
  <c r="AQ27" i="4" s="1"/>
  <c r="J14" i="4"/>
  <c r="H77" i="4"/>
  <c r="AJ54" i="4"/>
  <c r="H32" i="2"/>
  <c r="AO18" i="2"/>
  <c r="J6" i="2"/>
  <c r="O8" i="2"/>
  <c r="AV21" i="2" s="1"/>
  <c r="AO20" i="2"/>
  <c r="I23" i="2"/>
  <c r="AJ19" i="3"/>
  <c r="H27" i="3"/>
  <c r="AJ19" i="4"/>
  <c r="H31" i="4"/>
  <c r="N6" i="4"/>
  <c r="AP19" i="4" s="1"/>
  <c r="AO26" i="7"/>
  <c r="AG26" i="7"/>
  <c r="H44" i="7"/>
  <c r="J13" i="1"/>
  <c r="J15" i="1"/>
  <c r="N7" i="2"/>
  <c r="AU20" i="2" s="1"/>
  <c r="AP18" i="2"/>
  <c r="AP20" i="2"/>
  <c r="AK19" i="4"/>
  <c r="O6" i="4"/>
  <c r="AQ19" i="4" s="1"/>
  <c r="H34" i="4"/>
  <c r="N9" i="4"/>
  <c r="AP22" i="4" s="1"/>
  <c r="H37" i="5"/>
  <c r="N5" i="5"/>
  <c r="AP18" i="5" s="1"/>
  <c r="AJ18" i="5"/>
  <c r="AI22" i="6"/>
  <c r="J10" i="7"/>
  <c r="AF54" i="8"/>
  <c r="AF53" i="8"/>
  <c r="AF55" i="8"/>
  <c r="AK17" i="4"/>
  <c r="H46" i="4"/>
  <c r="N7" i="4"/>
  <c r="AP20" i="4" s="1"/>
  <c r="AJ20" i="4"/>
  <c r="J7" i="4"/>
  <c r="H27" i="4"/>
  <c r="O9" i="4"/>
  <c r="AQ22" i="4" s="1"/>
  <c r="H51" i="4"/>
  <c r="AO23" i="7"/>
  <c r="AF23" i="7"/>
  <c r="J7" i="7"/>
  <c r="H33" i="7"/>
  <c r="AE56" i="8"/>
  <c r="AE53" i="8"/>
  <c r="AE55" i="8"/>
  <c r="AE54" i="8"/>
  <c r="AO21" i="7"/>
  <c r="AF21" i="7"/>
  <c r="J5" i="7"/>
  <c r="H34" i="7"/>
  <c r="AF57" i="7"/>
  <c r="H60" i="7"/>
  <c r="AH25" i="7"/>
  <c r="I10" i="8"/>
  <c r="M10" i="8"/>
  <c r="AK26" i="8" s="1"/>
  <c r="AE26" i="8"/>
  <c r="N19" i="3"/>
  <c r="AP56" i="3" s="1"/>
  <c r="H77" i="3"/>
  <c r="H49" i="4"/>
  <c r="O5" i="4"/>
  <c r="AQ18" i="4" s="1"/>
  <c r="N8" i="4"/>
  <c r="AP21" i="4" s="1"/>
  <c r="H28" i="4"/>
  <c r="H22" i="4"/>
  <c r="AJ25" i="4"/>
  <c r="C3" i="9"/>
  <c r="AB7" i="9" s="1"/>
  <c r="AP29" i="2"/>
  <c r="H34" i="2"/>
  <c r="H86" i="3"/>
  <c r="J19" i="3"/>
  <c r="J5" i="4"/>
  <c r="I22" i="4"/>
  <c r="O12" i="4"/>
  <c r="AQ25" i="4" s="1"/>
  <c r="H53" i="4"/>
  <c r="AK25" i="4"/>
  <c r="I23" i="4"/>
  <c r="AK18" i="4"/>
  <c r="I20" i="4"/>
  <c r="AG22" i="8"/>
  <c r="G59" i="8"/>
  <c r="J8" i="4"/>
  <c r="J12" i="4"/>
  <c r="N10" i="5"/>
  <c r="AP23" i="5" s="1"/>
  <c r="AO57" i="6"/>
  <c r="H65" i="6"/>
  <c r="AG57" i="6"/>
  <c r="G30" i="8"/>
  <c r="B15" i="9"/>
  <c r="Q12" i="9" s="1"/>
  <c r="C15" i="9"/>
  <c r="AB8" i="9" s="1"/>
  <c r="AJ22" i="3"/>
  <c r="O8" i="4"/>
  <c r="AQ21" i="4" s="1"/>
  <c r="H54" i="5"/>
  <c r="O5" i="5"/>
  <c r="AQ18" i="5" s="1"/>
  <c r="J5" i="5"/>
  <c r="H62" i="5"/>
  <c r="AL22" i="5"/>
  <c r="AJ28" i="5"/>
  <c r="N15" i="5"/>
  <c r="AP28" i="5" s="1"/>
  <c r="H38" i="5"/>
  <c r="AK18" i="5"/>
  <c r="G77" i="8"/>
  <c r="I18" i="8"/>
  <c r="B3" i="9"/>
  <c r="Q7" i="9" s="1"/>
  <c r="C7" i="9"/>
  <c r="AB14" i="9" s="1"/>
  <c r="C11" i="9"/>
  <c r="AB13" i="9" s="1"/>
  <c r="B11" i="9"/>
  <c r="Q10" i="9" s="1"/>
  <c r="I21" i="3"/>
  <c r="O7" i="4"/>
  <c r="AQ20" i="4" s="1"/>
  <c r="AK20" i="4"/>
  <c r="AK5" i="5"/>
  <c r="AJ20" i="5"/>
  <c r="H26" i="5"/>
  <c r="N7" i="5"/>
  <c r="AP20" i="5" s="1"/>
  <c r="AG20" i="6"/>
  <c r="H25" i="6"/>
  <c r="N3" i="6"/>
  <c r="AM20" i="6" s="1"/>
  <c r="H15" i="6"/>
  <c r="AP20" i="6"/>
  <c r="H76" i="6"/>
  <c r="AH57" i="6"/>
  <c r="J18" i="6"/>
  <c r="H47" i="4"/>
  <c r="AK16" i="4"/>
  <c r="O7" i="5"/>
  <c r="AQ20" i="5" s="1"/>
  <c r="AK20" i="5"/>
  <c r="H46" i="5"/>
  <c r="O11" i="5"/>
  <c r="AQ24" i="5" s="1"/>
  <c r="AK24" i="5"/>
  <c r="AJ21" i="5"/>
  <c r="H43" i="7"/>
  <c r="AG57" i="7"/>
  <c r="G57" i="8"/>
  <c r="AG19" i="8"/>
  <c r="J3" i="4"/>
  <c r="H69" i="5"/>
  <c r="AL17" i="5"/>
  <c r="J7" i="5"/>
  <c r="J11" i="5"/>
  <c r="AO29" i="7"/>
  <c r="H25" i="7"/>
  <c r="AG4" i="7" s="1"/>
  <c r="O10" i="5"/>
  <c r="AQ23" i="5" s="1"/>
  <c r="J10" i="5"/>
  <c r="H50" i="5"/>
  <c r="O13" i="5"/>
  <c r="AQ26" i="5" s="1"/>
  <c r="AK26" i="5"/>
  <c r="J13" i="5"/>
  <c r="AJ22" i="5"/>
  <c r="I20" i="7"/>
  <c r="AG28" i="7"/>
  <c r="H38" i="7"/>
  <c r="AG5" i="7" s="1"/>
  <c r="AF20" i="8"/>
  <c r="N4" i="8"/>
  <c r="AL20" i="8" s="1"/>
  <c r="G44" i="8"/>
  <c r="AG5" i="8"/>
  <c r="N13" i="8"/>
  <c r="AL29" i="8" s="1"/>
  <c r="G43" i="8"/>
  <c r="H20" i="8"/>
  <c r="I13" i="8"/>
  <c r="AN5" i="6"/>
  <c r="AH54" i="6"/>
  <c r="J6" i="7"/>
  <c r="AO22" i="7"/>
  <c r="J12" i="7"/>
  <c r="H18" i="7"/>
  <c r="H31" i="7"/>
  <c r="I4" i="8"/>
  <c r="AH55" i="8"/>
  <c r="AJ17" i="5"/>
  <c r="H34" i="5"/>
  <c r="AK6" i="5"/>
  <c r="J15" i="6"/>
  <c r="AN8" i="6" s="1"/>
  <c r="H77" i="6"/>
  <c r="O4" i="5"/>
  <c r="AQ17" i="5" s="1"/>
  <c r="AK17" i="5"/>
  <c r="H21" i="5"/>
  <c r="H51" i="5"/>
  <c r="AH4" i="6"/>
  <c r="G45" i="8"/>
  <c r="AF22" i="8"/>
  <c r="N6" i="8"/>
  <c r="AL22" i="8" s="1"/>
  <c r="H53" i="5"/>
  <c r="O9" i="5"/>
  <c r="AQ22" i="5" s="1"/>
  <c r="I21" i="5"/>
  <c r="H67" i="6"/>
  <c r="AO56" i="6"/>
  <c r="AF30" i="8"/>
  <c r="I14" i="8"/>
  <c r="C18" i="9"/>
  <c r="AB22" i="9" s="1"/>
  <c r="B18" i="9"/>
  <c r="Q22" i="9" s="1"/>
  <c r="AK28" i="5"/>
  <c r="O15" i="5"/>
  <c r="AQ28" i="5" s="1"/>
  <c r="I18" i="7"/>
  <c r="AM5" i="7" s="1"/>
  <c r="H46" i="7"/>
  <c r="J19" i="7"/>
  <c r="AI55" i="8"/>
  <c r="J15" i="5"/>
  <c r="AH5" i="6"/>
  <c r="I19" i="7"/>
  <c r="H40" i="7"/>
  <c r="H30" i="7"/>
  <c r="J14" i="7"/>
  <c r="AF30" i="7"/>
  <c r="AF55" i="7"/>
  <c r="M18" i="8"/>
  <c r="AK54" i="8" s="1"/>
  <c r="H19" i="5"/>
  <c r="AJ16" i="5"/>
  <c r="H28" i="5"/>
  <c r="H43" i="5"/>
  <c r="AH20" i="6"/>
  <c r="O3" i="6"/>
  <c r="AN20" i="6" s="1"/>
  <c r="AK56" i="6"/>
  <c r="H61" i="7"/>
  <c r="C14" i="9"/>
  <c r="AB6" i="9" s="1"/>
  <c r="B14" i="9"/>
  <c r="Q4" i="9" s="1"/>
  <c r="I19" i="5"/>
  <c r="AK16" i="5"/>
  <c r="H42" i="5"/>
  <c r="J3" i="5"/>
  <c r="H36" i="5"/>
  <c r="AJ25" i="5"/>
  <c r="H23" i="5"/>
  <c r="J3" i="6"/>
  <c r="H37" i="6"/>
  <c r="H54" i="6"/>
  <c r="AM4" i="7"/>
  <c r="AO30" i="7"/>
  <c r="AF27" i="8"/>
  <c r="AF19" i="8"/>
  <c r="C8" i="9"/>
  <c r="AB2" i="9" s="1"/>
  <c r="B8" i="9"/>
  <c r="Q3" i="9" s="1"/>
  <c r="O12" i="5"/>
  <c r="AQ25" i="5" s="1"/>
  <c r="AK25" i="5"/>
  <c r="I23" i="5"/>
  <c r="H52" i="5"/>
  <c r="H51" i="6"/>
  <c r="AI23" i="6"/>
  <c r="N16" i="6"/>
  <c r="AM55" i="6" s="1"/>
  <c r="AO55" i="6"/>
  <c r="J16" i="6"/>
  <c r="AF28" i="7"/>
  <c r="H20" i="7"/>
  <c r="AN55" i="7"/>
  <c r="AO27" i="7"/>
  <c r="G39" i="8"/>
  <c r="N8" i="8"/>
  <c r="AL24" i="8" s="1"/>
  <c r="AF24" i="8"/>
  <c r="I17" i="7"/>
  <c r="J8" i="7"/>
  <c r="I8" i="8"/>
  <c r="C6" i="9"/>
  <c r="AB5" i="9" s="1"/>
  <c r="B6" i="9"/>
  <c r="Q2" i="9" s="1"/>
  <c r="C16" i="9"/>
  <c r="AB4" i="9" s="1"/>
  <c r="AO24" i="7"/>
  <c r="N7" i="8"/>
  <c r="AL23" i="8" s="1"/>
  <c r="AF28" i="8"/>
  <c r="I7" i="8"/>
  <c r="AG24" i="6"/>
  <c r="H39" i="6"/>
  <c r="AG29" i="6"/>
  <c r="AE30" i="8"/>
  <c r="AG56" i="6"/>
  <c r="M14" i="8"/>
  <c r="AK30" i="8" s="1"/>
  <c r="AE22" i="8"/>
  <c r="I12" i="8"/>
  <c r="AE25" i="8"/>
  <c r="G41" i="8"/>
  <c r="AR5" i="1" l="1"/>
  <c r="AP5" i="1" s="1"/>
  <c r="AV6" i="1"/>
  <c r="AK10" i="5"/>
  <c r="AJ55" i="6"/>
  <c r="AX28" i="2"/>
  <c r="AO48" i="2" s="1"/>
  <c r="AK58" i="4"/>
  <c r="O23" i="4"/>
  <c r="AQ58" i="4" s="1"/>
  <c r="J23" i="4"/>
  <c r="AL58" i="4" s="1"/>
  <c r="O17" i="3"/>
  <c r="AQ54" i="3" s="1"/>
  <c r="AQ5" i="3"/>
  <c r="H87" i="3"/>
  <c r="J17" i="3"/>
  <c r="AK54" i="3"/>
  <c r="AJ19" i="8"/>
  <c r="AM19" i="8" s="1"/>
  <c r="AE40" i="8" s="1"/>
  <c r="Q57" i="8"/>
  <c r="AI11" i="8"/>
  <c r="AG11" i="8" s="1"/>
  <c r="I20" i="8"/>
  <c r="N20" i="8"/>
  <c r="AL56" i="8" s="1"/>
  <c r="G74" i="8"/>
  <c r="Q76" i="8"/>
  <c r="L19" i="8"/>
  <c r="AN57" i="5"/>
  <c r="M22" i="5"/>
  <c r="R87" i="5"/>
  <c r="R65" i="2"/>
  <c r="AT30" i="2"/>
  <c r="AI20" i="6"/>
  <c r="AQ20" i="6" s="1"/>
  <c r="H56" i="6"/>
  <c r="AJ9" i="6"/>
  <c r="AH9" i="6" s="1"/>
  <c r="AH8" i="6"/>
  <c r="H77" i="5"/>
  <c r="N20" i="5"/>
  <c r="AP55" i="5" s="1"/>
  <c r="AJ55" i="5"/>
  <c r="M20" i="4"/>
  <c r="R88" i="4"/>
  <c r="AN55" i="4"/>
  <c r="AR6" i="1"/>
  <c r="AP6" i="1" s="1"/>
  <c r="N19" i="5"/>
  <c r="AP54" i="5" s="1"/>
  <c r="AJ54" i="5"/>
  <c r="H75" i="5"/>
  <c r="H85" i="4"/>
  <c r="AK57" i="4"/>
  <c r="J22" i="4"/>
  <c r="O22" i="4"/>
  <c r="AQ57" i="4" s="1"/>
  <c r="O26" i="2"/>
  <c r="AV63" i="2" s="1"/>
  <c r="AP63" i="2"/>
  <c r="J26" i="2"/>
  <c r="AQ63" i="2" s="1"/>
  <c r="O25" i="2"/>
  <c r="AV62" i="2" s="1"/>
  <c r="AP62" i="2"/>
  <c r="J25" i="2"/>
  <c r="H94" i="2"/>
  <c r="M19" i="4"/>
  <c r="R87" i="4"/>
  <c r="AN54" i="4"/>
  <c r="AQ7" i="4"/>
  <c r="R54" i="6"/>
  <c r="AL24" i="6"/>
  <c r="J23" i="5"/>
  <c r="AL58" i="5" s="1"/>
  <c r="O23" i="5"/>
  <c r="AQ58" i="5" s="1"/>
  <c r="AK58" i="5"/>
  <c r="H72" i="1"/>
  <c r="AQ27" i="1"/>
  <c r="R59" i="7"/>
  <c r="AK25" i="7"/>
  <c r="AP25" i="7" s="1"/>
  <c r="AF41" i="7" s="1"/>
  <c r="R68" i="3"/>
  <c r="AO26" i="3"/>
  <c r="R66" i="2"/>
  <c r="AT25" i="2"/>
  <c r="AJ57" i="6"/>
  <c r="AH23" i="7"/>
  <c r="H56" i="7"/>
  <c r="AO25" i="3"/>
  <c r="R60" i="3"/>
  <c r="AM55" i="3"/>
  <c r="R76" i="3"/>
  <c r="H51" i="7"/>
  <c r="AH30" i="7"/>
  <c r="Q53" i="8"/>
  <c r="AJ27" i="8"/>
  <c r="AM27" i="8" s="1"/>
  <c r="AE35" i="8" s="1"/>
  <c r="AM7" i="7"/>
  <c r="R74" i="7"/>
  <c r="O17" i="7"/>
  <c r="AM53" i="7" s="1"/>
  <c r="AJ53" i="7"/>
  <c r="R62" i="4"/>
  <c r="AO17" i="4"/>
  <c r="AS17" i="4" s="1"/>
  <c r="AJ36" i="4" s="1"/>
  <c r="R65" i="4"/>
  <c r="AO19" i="4"/>
  <c r="M16" i="6"/>
  <c r="R74" i="6"/>
  <c r="AO17" i="3"/>
  <c r="AS17" i="3" s="1"/>
  <c r="AJ44" i="3" s="1"/>
  <c r="AK44" i="3" s="1"/>
  <c r="R66" i="3"/>
  <c r="AO22" i="5"/>
  <c r="R61" i="5"/>
  <c r="R96" i="1"/>
  <c r="M22" i="1"/>
  <c r="AS59" i="1"/>
  <c r="AR60" i="1"/>
  <c r="R85" i="1"/>
  <c r="R70" i="2"/>
  <c r="AT18" i="2"/>
  <c r="M23" i="4"/>
  <c r="AO58" i="4" s="1"/>
  <c r="AN58" i="4"/>
  <c r="H88" i="5"/>
  <c r="J19" i="5"/>
  <c r="O19" i="5"/>
  <c r="AQ54" i="5" s="1"/>
  <c r="AK54" i="5"/>
  <c r="AQ5" i="5"/>
  <c r="H67" i="4"/>
  <c r="AL21" i="4"/>
  <c r="G58" i="8"/>
  <c r="AG26" i="8"/>
  <c r="H68" i="3"/>
  <c r="AL26" i="3"/>
  <c r="AQ29" i="2"/>
  <c r="H68" i="2"/>
  <c r="H65" i="2"/>
  <c r="AQ30" i="2"/>
  <c r="H80" i="2"/>
  <c r="AQ31" i="2"/>
  <c r="G60" i="8"/>
  <c r="AG21" i="8"/>
  <c r="AM21" i="8" s="1"/>
  <c r="AE42" i="8" s="1"/>
  <c r="Q66" i="8"/>
  <c r="M19" i="8"/>
  <c r="AK55" i="8" s="1"/>
  <c r="R75" i="6"/>
  <c r="M17" i="6"/>
  <c r="Q60" i="8"/>
  <c r="AJ21" i="8"/>
  <c r="AO20" i="5"/>
  <c r="R59" i="5"/>
  <c r="AL22" i="6"/>
  <c r="R59" i="6"/>
  <c r="R94" i="1"/>
  <c r="M25" i="1"/>
  <c r="AS62" i="1"/>
  <c r="R77" i="2"/>
  <c r="AT20" i="2"/>
  <c r="R75" i="2"/>
  <c r="AT21" i="2"/>
  <c r="AM56" i="3"/>
  <c r="R77" i="3"/>
  <c r="R71" i="2"/>
  <c r="AT27" i="2"/>
  <c r="R76" i="1"/>
  <c r="AT17" i="1"/>
  <c r="R76" i="2"/>
  <c r="AT17" i="2"/>
  <c r="R62" i="3"/>
  <c r="AO23" i="3"/>
  <c r="AR11" i="1"/>
  <c r="AP11" i="1" s="1"/>
  <c r="AP10" i="1"/>
  <c r="R73" i="1"/>
  <c r="AT16" i="1"/>
  <c r="AX16" i="1" s="1"/>
  <c r="AO42" i="1" s="1"/>
  <c r="R60" i="4"/>
  <c r="AO22" i="4"/>
  <c r="AS22" i="4" s="1"/>
  <c r="AJ41" i="4" s="1"/>
  <c r="R70" i="1"/>
  <c r="AT18" i="1"/>
  <c r="H70" i="5"/>
  <c r="AL28" i="5"/>
  <c r="H85" i="3"/>
  <c r="O20" i="3"/>
  <c r="AQ57" i="3" s="1"/>
  <c r="J20" i="3"/>
  <c r="AK57" i="3"/>
  <c r="H76" i="1"/>
  <c r="AQ17" i="1"/>
  <c r="AX17" i="1" s="1"/>
  <c r="AO46" i="1" s="1"/>
  <c r="AM54" i="5"/>
  <c r="R75" i="5"/>
  <c r="AQ6" i="5"/>
  <c r="AK19" i="7"/>
  <c r="AP19" i="7" s="1"/>
  <c r="AF35" i="7" s="1"/>
  <c r="R57" i="7"/>
  <c r="Q75" i="8"/>
  <c r="AI54" i="8"/>
  <c r="L18" i="8"/>
  <c r="AT21" i="1"/>
  <c r="R75" i="1"/>
  <c r="AO54" i="6"/>
  <c r="N15" i="6"/>
  <c r="AM54" i="6" s="1"/>
  <c r="H66" i="6"/>
  <c r="AL17" i="3"/>
  <c r="H66" i="3"/>
  <c r="J25" i="1"/>
  <c r="H94" i="1"/>
  <c r="O25" i="1"/>
  <c r="AV62" i="1" s="1"/>
  <c r="AP62" i="1"/>
  <c r="AT27" i="1"/>
  <c r="AX27" i="1" s="1"/>
  <c r="AO39" i="1" s="1"/>
  <c r="R71" i="1"/>
  <c r="G86" i="8"/>
  <c r="AG54" i="8"/>
  <c r="AL23" i="4"/>
  <c r="H64" i="4"/>
  <c r="N22" i="1"/>
  <c r="AU59" i="1" s="1"/>
  <c r="H84" i="1"/>
  <c r="AO59" i="1"/>
  <c r="R61" i="3"/>
  <c r="AO19" i="3"/>
  <c r="AS19" i="3" s="1"/>
  <c r="AJ35" i="3" s="1"/>
  <c r="R80" i="1"/>
  <c r="AT31" i="1"/>
  <c r="AX24" i="2"/>
  <c r="AO40" i="2" s="1"/>
  <c r="AR9" i="1"/>
  <c r="AP9" i="1" s="1"/>
  <c r="AO21" i="4"/>
  <c r="R67" i="4"/>
  <c r="AJ58" i="5"/>
  <c r="N23" i="5"/>
  <c r="AP58" i="5" s="1"/>
  <c r="N21" i="3"/>
  <c r="AP58" i="3" s="1"/>
  <c r="AJ58" i="3"/>
  <c r="AL26" i="6"/>
  <c r="AQ26" i="6" s="1"/>
  <c r="AG35" i="6" s="1"/>
  <c r="R52" i="6"/>
  <c r="H78" i="1"/>
  <c r="AQ28" i="1"/>
  <c r="H86" i="7"/>
  <c r="AH53" i="7"/>
  <c r="H83" i="2"/>
  <c r="AO62" i="2"/>
  <c r="N25" i="2"/>
  <c r="AU62" i="2" s="1"/>
  <c r="H84" i="2"/>
  <c r="AO59" i="2"/>
  <c r="N22" i="2"/>
  <c r="AU59" i="2" s="1"/>
  <c r="R66" i="4"/>
  <c r="AO16" i="4"/>
  <c r="AM11" i="4"/>
  <c r="AK11" i="4" s="1"/>
  <c r="AO17" i="5"/>
  <c r="R68" i="5"/>
  <c r="AO18" i="4"/>
  <c r="R68" i="4"/>
  <c r="AS63" i="1"/>
  <c r="M26" i="1"/>
  <c r="AT63" i="1" s="1"/>
  <c r="AN55" i="3"/>
  <c r="R87" i="3"/>
  <c r="M18" i="3"/>
  <c r="AL56" i="3"/>
  <c r="H99" i="3"/>
  <c r="AF56" i="8"/>
  <c r="AV4" i="1"/>
  <c r="N18" i="3"/>
  <c r="AP55" i="3" s="1"/>
  <c r="H76" i="3"/>
  <c r="AJ55" i="3"/>
  <c r="AM20" i="7"/>
  <c r="AM57" i="7"/>
  <c r="M15" i="6"/>
  <c r="R77" i="6"/>
  <c r="AK54" i="6"/>
  <c r="AT30" i="1"/>
  <c r="AX30" i="1" s="1"/>
  <c r="AO41" i="1" s="1"/>
  <c r="R65" i="1"/>
  <c r="R59" i="3"/>
  <c r="AO21" i="3"/>
  <c r="AS21" i="3" s="1"/>
  <c r="AJ34" i="3" s="1"/>
  <c r="AH53" i="8"/>
  <c r="Q65" i="8"/>
  <c r="AO27" i="4"/>
  <c r="R69" i="4"/>
  <c r="AF54" i="7"/>
  <c r="J18" i="7"/>
  <c r="H68" i="7"/>
  <c r="AN54" i="7"/>
  <c r="AH26" i="7"/>
  <c r="H54" i="7"/>
  <c r="AM57" i="5"/>
  <c r="R74" i="5"/>
  <c r="R64" i="5"/>
  <c r="AO27" i="5"/>
  <c r="AS27" i="5" s="1"/>
  <c r="AJ40" i="5" s="1"/>
  <c r="AL25" i="4"/>
  <c r="AS25" i="4" s="1"/>
  <c r="AJ40" i="4" s="1"/>
  <c r="H58" i="4"/>
  <c r="H70" i="2"/>
  <c r="AQ24" i="2"/>
  <c r="H76" i="5"/>
  <c r="N21" i="5"/>
  <c r="AP56" i="5" s="1"/>
  <c r="AJ56" i="5"/>
  <c r="AR5" i="2"/>
  <c r="AP5" i="2" s="1"/>
  <c r="H75" i="7"/>
  <c r="AG55" i="7"/>
  <c r="O15" i="6"/>
  <c r="AN54" i="6" s="1"/>
  <c r="H62" i="4"/>
  <c r="AL16" i="4"/>
  <c r="AS16" i="4" s="1"/>
  <c r="AJ38" i="4" s="1"/>
  <c r="AK8" i="4"/>
  <c r="AM9" i="4"/>
  <c r="AK9" i="4" s="1"/>
  <c r="AI57" i="6"/>
  <c r="H84" i="6"/>
  <c r="O21" i="3"/>
  <c r="AQ58" i="3" s="1"/>
  <c r="J21" i="3"/>
  <c r="AL58" i="3" s="1"/>
  <c r="AK58" i="3"/>
  <c r="AQ20" i="2"/>
  <c r="AX20" i="2" s="1"/>
  <c r="AO49" i="2" s="1"/>
  <c r="H77" i="2"/>
  <c r="O22" i="5"/>
  <c r="AQ57" i="5" s="1"/>
  <c r="H63" i="5"/>
  <c r="AL19" i="5"/>
  <c r="AX27" i="2"/>
  <c r="AO39" i="2" s="1"/>
  <c r="AL54" i="4"/>
  <c r="AO9" i="4"/>
  <c r="AQ9" i="4" s="1"/>
  <c r="H98" i="4"/>
  <c r="H64" i="5"/>
  <c r="AL27" i="5"/>
  <c r="J18" i="3"/>
  <c r="R76" i="7"/>
  <c r="AJ56" i="7"/>
  <c r="O20" i="7"/>
  <c r="AM56" i="7" s="1"/>
  <c r="Q54" i="8"/>
  <c r="AJ24" i="8"/>
  <c r="AG7" i="7"/>
  <c r="AO26" i="4"/>
  <c r="R61" i="4"/>
  <c r="L20" i="8"/>
  <c r="Q74" i="8"/>
  <c r="AI56" i="8"/>
  <c r="AM56" i="4"/>
  <c r="R77" i="4"/>
  <c r="AO24" i="3"/>
  <c r="AS24" i="3" s="1"/>
  <c r="AJ42" i="3" s="1"/>
  <c r="R67" i="3"/>
  <c r="M23" i="2"/>
  <c r="R95" i="2"/>
  <c r="AS60" i="2"/>
  <c r="AO19" i="5"/>
  <c r="R63" i="5"/>
  <c r="AT25" i="1"/>
  <c r="AX25" i="1" s="1"/>
  <c r="AO36" i="1" s="1"/>
  <c r="R66" i="1"/>
  <c r="M21" i="3"/>
  <c r="AO58" i="3" s="1"/>
  <c r="AN58" i="3"/>
  <c r="R85" i="4"/>
  <c r="AN56" i="4"/>
  <c r="M21" i="4"/>
  <c r="R67" i="1"/>
  <c r="AT24" i="1"/>
  <c r="AX24" i="1" s="1"/>
  <c r="AO40" i="1" s="1"/>
  <c r="R66" i="6"/>
  <c r="AJ54" i="6"/>
  <c r="AO25" i="5"/>
  <c r="AS25" i="5" s="1"/>
  <c r="AJ42" i="5" s="1"/>
  <c r="R66" i="5"/>
  <c r="AT29" i="1"/>
  <c r="R68" i="1"/>
  <c r="AQ6" i="3"/>
  <c r="R74" i="3"/>
  <c r="AM54" i="3"/>
  <c r="H86" i="6"/>
  <c r="AI55" i="6"/>
  <c r="AT29" i="2"/>
  <c r="AX29" i="2" s="1"/>
  <c r="AO47" i="2" s="1"/>
  <c r="R68" i="2"/>
  <c r="H58" i="5"/>
  <c r="AL23" i="5"/>
  <c r="R66" i="7"/>
  <c r="N20" i="7"/>
  <c r="AL56" i="7" s="1"/>
  <c r="AI56" i="7"/>
  <c r="M20" i="7"/>
  <c r="R73" i="2"/>
  <c r="AR11" i="2"/>
  <c r="AP11" i="2" s="1"/>
  <c r="AT16" i="2"/>
  <c r="AO23" i="4"/>
  <c r="AS23" i="4" s="1"/>
  <c r="AJ39" i="4" s="1"/>
  <c r="R63" i="4"/>
  <c r="R83" i="2"/>
  <c r="AR62" i="2"/>
  <c r="AJ29" i="8"/>
  <c r="Q52" i="8"/>
  <c r="R67" i="7"/>
  <c r="AI53" i="7"/>
  <c r="AM6" i="7"/>
  <c r="M17" i="7"/>
  <c r="N17" i="7"/>
  <c r="AL53" i="7" s="1"/>
  <c r="R94" i="2"/>
  <c r="AS62" i="2"/>
  <c r="M25" i="2"/>
  <c r="AL21" i="6"/>
  <c r="R58" i="6"/>
  <c r="AL21" i="5"/>
  <c r="H65" i="5"/>
  <c r="AO63" i="2"/>
  <c r="N26" i="2"/>
  <c r="AU63" i="2" s="1"/>
  <c r="G56" i="8"/>
  <c r="AG28" i="8"/>
  <c r="AL18" i="4"/>
  <c r="AS18" i="4" s="1"/>
  <c r="AJ44" i="4" s="1"/>
  <c r="H68" i="4"/>
  <c r="AJ11" i="6"/>
  <c r="AH11" i="6" s="1"/>
  <c r="AL20" i="6"/>
  <c r="AH10" i="6"/>
  <c r="R55" i="6"/>
  <c r="AN4" i="6"/>
  <c r="G62" i="8"/>
  <c r="AG20" i="8"/>
  <c r="AM20" i="8" s="1"/>
  <c r="AE44" i="8" s="1"/>
  <c r="AF44" i="8" s="1"/>
  <c r="AG8" i="8"/>
  <c r="AL26" i="4"/>
  <c r="H66" i="4"/>
  <c r="O22" i="2"/>
  <c r="AV59" i="2" s="1"/>
  <c r="AP59" i="2"/>
  <c r="AV5" i="2"/>
  <c r="H96" i="2"/>
  <c r="J22" i="2"/>
  <c r="AN55" i="5"/>
  <c r="R86" i="5"/>
  <c r="M20" i="5"/>
  <c r="Q68" i="8"/>
  <c r="AH54" i="8"/>
  <c r="R74" i="4"/>
  <c r="AM57" i="4"/>
  <c r="AL16" i="5"/>
  <c r="AS16" i="5" s="1"/>
  <c r="AJ43" i="5" s="1"/>
  <c r="H67" i="5"/>
  <c r="AK8" i="5"/>
  <c r="AM9" i="5"/>
  <c r="AK9" i="5" s="1"/>
  <c r="AQ21" i="2"/>
  <c r="H74" i="2"/>
  <c r="R72" i="1"/>
  <c r="AT23" i="1"/>
  <c r="AL57" i="7"/>
  <c r="AL20" i="7"/>
  <c r="AN56" i="5"/>
  <c r="M21" i="5"/>
  <c r="R85" i="5"/>
  <c r="AO25" i="4"/>
  <c r="R58" i="4"/>
  <c r="G76" i="8"/>
  <c r="I17" i="8"/>
  <c r="AM5" i="8"/>
  <c r="N17" i="8"/>
  <c r="AL53" i="8" s="1"/>
  <c r="H76" i="2"/>
  <c r="AQ17" i="2"/>
  <c r="AX17" i="2" s="1"/>
  <c r="AO46" i="2" s="1"/>
  <c r="H59" i="7"/>
  <c r="AH22" i="7"/>
  <c r="AK10" i="4"/>
  <c r="AJ58" i="4"/>
  <c r="N23" i="4"/>
  <c r="AP58" i="4" s="1"/>
  <c r="R75" i="4"/>
  <c r="AM55" i="4"/>
  <c r="AT19" i="2"/>
  <c r="R74" i="2"/>
  <c r="H97" i="1"/>
  <c r="AP61" i="1"/>
  <c r="J24" i="1"/>
  <c r="O24" i="1"/>
  <c r="AV61" i="1" s="1"/>
  <c r="AV7" i="1"/>
  <c r="O19" i="4"/>
  <c r="AQ54" i="4" s="1"/>
  <c r="H96" i="1"/>
  <c r="O22" i="1"/>
  <c r="AV59" i="1" s="1"/>
  <c r="AP59" i="1"/>
  <c r="J22" i="1"/>
  <c r="H80" i="1"/>
  <c r="AQ31" i="1"/>
  <c r="M20" i="8"/>
  <c r="AK56" i="8" s="1"/>
  <c r="Q67" i="8"/>
  <c r="AH56" i="8"/>
  <c r="R60" i="7"/>
  <c r="AK22" i="7"/>
  <c r="AJ23" i="8"/>
  <c r="Q51" i="8"/>
  <c r="R70" i="5"/>
  <c r="AO28" i="5"/>
  <c r="AJ26" i="8"/>
  <c r="AM26" i="8" s="1"/>
  <c r="AE39" i="8" s="1"/>
  <c r="AF39" i="8" s="1"/>
  <c r="Q58" i="8"/>
  <c r="AJ22" i="8"/>
  <c r="AM22" i="8" s="1"/>
  <c r="AE41" i="8" s="1"/>
  <c r="Q59" i="8"/>
  <c r="R58" i="3"/>
  <c r="AO22" i="3"/>
  <c r="AR6" i="2"/>
  <c r="AP6" i="2" s="1"/>
  <c r="AG29" i="8"/>
  <c r="G51" i="8"/>
  <c r="AJ57" i="4"/>
  <c r="H74" i="4"/>
  <c r="N22" i="4"/>
  <c r="AP57" i="4" s="1"/>
  <c r="Q61" i="8"/>
  <c r="AJ25" i="8"/>
  <c r="R58" i="7"/>
  <c r="AK28" i="7"/>
  <c r="AO26" i="5"/>
  <c r="R60" i="5"/>
  <c r="AN54" i="3"/>
  <c r="AQ7" i="3"/>
  <c r="R88" i="3"/>
  <c r="M17" i="3"/>
  <c r="N20" i="3"/>
  <c r="AP57" i="3" s="1"/>
  <c r="H75" i="3"/>
  <c r="AJ57" i="3"/>
  <c r="AI53" i="8"/>
  <c r="Q77" i="8"/>
  <c r="AM7" i="8"/>
  <c r="L17" i="8"/>
  <c r="AJ20" i="8"/>
  <c r="Q62" i="8"/>
  <c r="AR62" i="1"/>
  <c r="R83" i="1"/>
  <c r="R84" i="1"/>
  <c r="AR59" i="1"/>
  <c r="AN6" i="6"/>
  <c r="O21" i="5"/>
  <c r="AQ56" i="5" s="1"/>
  <c r="AK56" i="5"/>
  <c r="H85" i="5"/>
  <c r="J21" i="5"/>
  <c r="AP8" i="1"/>
  <c r="R56" i="6"/>
  <c r="AL27" i="6"/>
  <c r="AQ27" i="6" s="1"/>
  <c r="AG39" i="6" s="1"/>
  <c r="AR60" i="2"/>
  <c r="R85" i="2"/>
  <c r="H75" i="2"/>
  <c r="AQ19" i="2"/>
  <c r="AX19" i="2" s="1"/>
  <c r="AO45" i="2" s="1"/>
  <c r="H58" i="6"/>
  <c r="AI21" i="6"/>
  <c r="AQ21" i="6" s="1"/>
  <c r="AG43" i="6" s="1"/>
  <c r="AH43" i="6" s="1"/>
  <c r="AL23" i="3"/>
  <c r="H61" i="3"/>
  <c r="M18" i="6"/>
  <c r="R76" i="6"/>
  <c r="AJ56" i="6"/>
  <c r="R68" i="6"/>
  <c r="M23" i="5"/>
  <c r="AO58" i="5" s="1"/>
  <c r="AN58" i="5"/>
  <c r="R64" i="3"/>
  <c r="AO20" i="3"/>
  <c r="AS20" i="3" s="1"/>
  <c r="AJ39" i="3" s="1"/>
  <c r="AO20" i="4"/>
  <c r="AS20" i="4" s="1"/>
  <c r="AJ35" i="4" s="1"/>
  <c r="R64" i="4"/>
  <c r="AM25" i="8"/>
  <c r="AE43" i="8" s="1"/>
  <c r="H84" i="7"/>
  <c r="AH55" i="7"/>
  <c r="AQ4" i="5"/>
  <c r="G75" i="8"/>
  <c r="I19" i="8"/>
  <c r="N19" i="8"/>
  <c r="AL55" i="8" s="1"/>
  <c r="AM55" i="5"/>
  <c r="R77" i="5"/>
  <c r="AG54" i="7"/>
  <c r="H77" i="7"/>
  <c r="H79" i="1"/>
  <c r="AQ26" i="1"/>
  <c r="H86" i="4"/>
  <c r="J21" i="4"/>
  <c r="AK56" i="4"/>
  <c r="O21" i="4"/>
  <c r="AQ56" i="4" s="1"/>
  <c r="AX18" i="1"/>
  <c r="AO38" i="1" s="1"/>
  <c r="O18" i="7"/>
  <c r="AM54" i="7" s="1"/>
  <c r="AJ54" i="7"/>
  <c r="R77" i="7"/>
  <c r="AK57" i="7"/>
  <c r="R61" i="7"/>
  <c r="AK20" i="7"/>
  <c r="AI55" i="7"/>
  <c r="N19" i="7"/>
  <c r="AL55" i="7" s="1"/>
  <c r="R65" i="7"/>
  <c r="M19" i="7"/>
  <c r="AO24" i="5"/>
  <c r="R62" i="5"/>
  <c r="AR7" i="1"/>
  <c r="AP7" i="1" s="1"/>
  <c r="AQ5" i="4"/>
  <c r="AQ16" i="2"/>
  <c r="H73" i="2"/>
  <c r="AR9" i="2"/>
  <c r="AP9" i="2" s="1"/>
  <c r="M19" i="5"/>
  <c r="AQ7" i="5"/>
  <c r="R88" i="5"/>
  <c r="AN54" i="5"/>
  <c r="R86" i="4"/>
  <c r="AN57" i="4"/>
  <c r="M22" i="4"/>
  <c r="AL25" i="6"/>
  <c r="R60" i="6"/>
  <c r="R69" i="5"/>
  <c r="AO18" i="5"/>
  <c r="R72" i="2"/>
  <c r="AT23" i="2"/>
  <c r="AN7" i="6"/>
  <c r="AH28" i="7"/>
  <c r="H58" i="7"/>
  <c r="H77" i="1"/>
  <c r="AQ20" i="1"/>
  <c r="AO60" i="2"/>
  <c r="H85" i="2"/>
  <c r="N23" i="2"/>
  <c r="AU60" i="2" s="1"/>
  <c r="R76" i="5"/>
  <c r="AM56" i="5"/>
  <c r="AQ24" i="6"/>
  <c r="AG36" i="6" s="1"/>
  <c r="AG30" i="8"/>
  <c r="AM30" i="8" s="1"/>
  <c r="AE37" i="8" s="1"/>
  <c r="G55" i="8"/>
  <c r="AS22" i="5"/>
  <c r="AJ39" i="5" s="1"/>
  <c r="AG10" i="8"/>
  <c r="O18" i="6"/>
  <c r="AN57" i="6" s="1"/>
  <c r="G52" i="8"/>
  <c r="AG23" i="8"/>
  <c r="AH24" i="7"/>
  <c r="H57" i="7"/>
  <c r="AN56" i="7"/>
  <c r="H66" i="7"/>
  <c r="AF56" i="7"/>
  <c r="J20" i="7"/>
  <c r="AM6" i="8"/>
  <c r="AK55" i="6"/>
  <c r="H59" i="5"/>
  <c r="AL26" i="5"/>
  <c r="AI9" i="8"/>
  <c r="AG9" i="8" s="1"/>
  <c r="H88" i="4"/>
  <c r="O20" i="4"/>
  <c r="AQ55" i="4" s="1"/>
  <c r="J20" i="4"/>
  <c r="AK55" i="4"/>
  <c r="H52" i="7"/>
  <c r="AH29" i="7"/>
  <c r="AL25" i="3"/>
  <c r="H62" i="3"/>
  <c r="N24" i="1"/>
  <c r="AU61" i="1" s="1"/>
  <c r="H86" i="1"/>
  <c r="AO61" i="1"/>
  <c r="AQ25" i="2"/>
  <c r="H66" i="2"/>
  <c r="AV4" i="2"/>
  <c r="AQ22" i="1"/>
  <c r="AX22" i="1" s="1"/>
  <c r="AO43" i="1" s="1"/>
  <c r="H69" i="1"/>
  <c r="AQ4" i="3"/>
  <c r="N17" i="3"/>
  <c r="AP54" i="3" s="1"/>
  <c r="H74" i="3"/>
  <c r="AJ54" i="3"/>
  <c r="AK30" i="7"/>
  <c r="AP30" i="7" s="1"/>
  <c r="AF36" i="7" s="1"/>
  <c r="R51" i="7"/>
  <c r="AL28" i="6"/>
  <c r="AQ28" i="6" s="1"/>
  <c r="AG37" i="6" s="1"/>
  <c r="R53" i="6"/>
  <c r="AK27" i="7"/>
  <c r="AP27" i="7" s="1"/>
  <c r="AF33" i="7" s="1"/>
  <c r="R52" i="7"/>
  <c r="R68" i="7"/>
  <c r="AI54" i="7"/>
  <c r="M18" i="7"/>
  <c r="N18" i="7"/>
  <c r="AL54" i="7" s="1"/>
  <c r="R79" i="1"/>
  <c r="AT26" i="1"/>
  <c r="AR63" i="1"/>
  <c r="N26" i="1"/>
  <c r="AU63" i="1" s="1"/>
  <c r="R79" i="2"/>
  <c r="AT26" i="2"/>
  <c r="AX26" i="2" s="1"/>
  <c r="AO50" i="2" s="1"/>
  <c r="R59" i="4"/>
  <c r="AO24" i="4"/>
  <c r="AK26" i="7"/>
  <c r="R55" i="7"/>
  <c r="R67" i="2"/>
  <c r="AT24" i="2"/>
  <c r="R77" i="1"/>
  <c r="AT20" i="1"/>
  <c r="R97" i="1"/>
  <c r="M24" i="1"/>
  <c r="AS61" i="1"/>
  <c r="AI54" i="6"/>
  <c r="AL9" i="6"/>
  <c r="AN9" i="6" s="1"/>
  <c r="H83" i="6"/>
  <c r="AL23" i="6"/>
  <c r="R51" i="6"/>
  <c r="R80" i="2"/>
  <c r="AT31" i="2"/>
  <c r="R53" i="7"/>
  <c r="AK29" i="7"/>
  <c r="AP29" i="7" s="1"/>
  <c r="AF34" i="7" s="1"/>
  <c r="AM54" i="4"/>
  <c r="R76" i="4"/>
  <c r="AQ6" i="4"/>
  <c r="R78" i="1"/>
  <c r="AT28" i="1"/>
  <c r="AP60" i="1"/>
  <c r="H95" i="1"/>
  <c r="O23" i="1"/>
  <c r="AV60" i="1" s="1"/>
  <c r="J23" i="1"/>
  <c r="AR61" i="1"/>
  <c r="R86" i="1"/>
  <c r="AG54" i="6"/>
  <c r="AL24" i="4"/>
  <c r="H59" i="4"/>
  <c r="N20" i="4"/>
  <c r="AP55" i="4" s="1"/>
  <c r="H76" i="4"/>
  <c r="AJ55" i="4"/>
  <c r="AQ4" i="4"/>
  <c r="R54" i="7"/>
  <c r="AK23" i="7"/>
  <c r="AP23" i="7" s="1"/>
  <c r="AF40" i="7" s="1"/>
  <c r="AM11" i="5"/>
  <c r="AK11" i="5" s="1"/>
  <c r="AO16" i="5"/>
  <c r="R67" i="5"/>
  <c r="R65" i="5"/>
  <c r="AO21" i="5"/>
  <c r="AR61" i="2"/>
  <c r="R86" i="2"/>
  <c r="AS17" i="5"/>
  <c r="AJ45" i="5" s="1"/>
  <c r="AX18" i="2"/>
  <c r="AO38" i="2" s="1"/>
  <c r="N24" i="2"/>
  <c r="AU61" i="2" s="1"/>
  <c r="AO61" i="2"/>
  <c r="H86" i="2"/>
  <c r="R69" i="2"/>
  <c r="AT22" i="2"/>
  <c r="M26" i="2"/>
  <c r="AT63" i="2" s="1"/>
  <c r="AS63" i="2"/>
  <c r="R65" i="3"/>
  <c r="AO18" i="3"/>
  <c r="AS18" i="3" s="1"/>
  <c r="AJ40" i="3" s="1"/>
  <c r="H85" i="6"/>
  <c r="AI56" i="6"/>
  <c r="R56" i="7"/>
  <c r="AK24" i="7"/>
  <c r="AL24" i="5"/>
  <c r="AS24" i="5" s="1"/>
  <c r="AJ36" i="5" s="1"/>
  <c r="H61" i="5"/>
  <c r="AQ21" i="1"/>
  <c r="AX21" i="1" s="1"/>
  <c r="AO44" i="1" s="1"/>
  <c r="H74" i="1"/>
  <c r="AL20" i="5"/>
  <c r="AS20" i="5" s="1"/>
  <c r="AJ34" i="5" s="1"/>
  <c r="H60" i="5"/>
  <c r="N18" i="6"/>
  <c r="AM57" i="6" s="1"/>
  <c r="N25" i="1"/>
  <c r="AU62" i="1" s="1"/>
  <c r="H83" i="1"/>
  <c r="AO62" i="1"/>
  <c r="AR7" i="2"/>
  <c r="AP7" i="2" s="1"/>
  <c r="H69" i="4"/>
  <c r="AL27" i="4"/>
  <c r="AX23" i="2"/>
  <c r="AO37" i="2" s="1"/>
  <c r="Q56" i="8"/>
  <c r="AJ28" i="8"/>
  <c r="R86" i="3"/>
  <c r="M19" i="3"/>
  <c r="AN56" i="3"/>
  <c r="R84" i="2"/>
  <c r="AR59" i="2"/>
  <c r="R69" i="1"/>
  <c r="AT22" i="1"/>
  <c r="H96" i="5"/>
  <c r="AL57" i="5"/>
  <c r="AG56" i="7"/>
  <c r="H76" i="7"/>
  <c r="AL18" i="5"/>
  <c r="H68" i="5"/>
  <c r="H87" i="5"/>
  <c r="AK55" i="5"/>
  <c r="O20" i="5"/>
  <c r="AQ55" i="5" s="1"/>
  <c r="J20" i="5"/>
  <c r="J24" i="2"/>
  <c r="AP61" i="2"/>
  <c r="O24" i="2"/>
  <c r="AV61" i="2" s="1"/>
  <c r="H97" i="2"/>
  <c r="H74" i="5"/>
  <c r="AJ57" i="5"/>
  <c r="N22" i="5"/>
  <c r="AP57" i="5" s="1"/>
  <c r="AJ55" i="7"/>
  <c r="R75" i="7"/>
  <c r="O19" i="7"/>
  <c r="AM55" i="7" s="1"/>
  <c r="AM57" i="3"/>
  <c r="R75" i="3"/>
  <c r="AG24" i="8"/>
  <c r="G53" i="8"/>
  <c r="H74" i="7"/>
  <c r="AG53" i="7"/>
  <c r="AP28" i="7"/>
  <c r="AF39" i="7" s="1"/>
  <c r="N17" i="6"/>
  <c r="AM56" i="6" s="1"/>
  <c r="AS22" i="3"/>
  <c r="AJ36" i="3" s="1"/>
  <c r="AH21" i="7"/>
  <c r="AP21" i="7" s="1"/>
  <c r="AF44" i="7" s="1"/>
  <c r="AG44" i="7" s="1"/>
  <c r="H62" i="7"/>
  <c r="AH57" i="7"/>
  <c r="AO57" i="7" s="1"/>
  <c r="AF65" i="7" s="1"/>
  <c r="AG65" i="7" s="1"/>
  <c r="H61" i="4"/>
  <c r="AL20" i="4"/>
  <c r="AP60" i="2"/>
  <c r="J23" i="2"/>
  <c r="O23" i="2"/>
  <c r="AV60" i="2" s="1"/>
  <c r="H95" i="2"/>
  <c r="AQ22" i="2"/>
  <c r="AX22" i="2" s="1"/>
  <c r="AO43" i="2" s="1"/>
  <c r="H69" i="2"/>
  <c r="AQ29" i="1"/>
  <c r="AX29" i="1" s="1"/>
  <c r="AO47" i="1" s="1"/>
  <c r="H68" i="1"/>
  <c r="AQ19" i="1"/>
  <c r="AX19" i="1" s="1"/>
  <c r="AO45" i="1" s="1"/>
  <c r="H75" i="1"/>
  <c r="H71" i="1"/>
  <c r="AQ23" i="1"/>
  <c r="O18" i="3"/>
  <c r="AQ55" i="3" s="1"/>
  <c r="AK8" i="3"/>
  <c r="Q55" i="8"/>
  <c r="AJ30" i="8"/>
  <c r="AG6" i="7"/>
  <c r="AO23" i="5"/>
  <c r="R58" i="5"/>
  <c r="AL29" i="6"/>
  <c r="AQ29" i="6" s="1"/>
  <c r="AG41" i="6" s="1"/>
  <c r="R57" i="6"/>
  <c r="M22" i="2"/>
  <c r="R96" i="2"/>
  <c r="AS59" i="2"/>
  <c r="AV7" i="2"/>
  <c r="R78" i="2"/>
  <c r="AT28" i="2"/>
  <c r="AM11" i="3"/>
  <c r="AK11" i="3" s="1"/>
  <c r="AO16" i="3"/>
  <c r="AS16" i="3" s="1"/>
  <c r="AJ41" i="3" s="1"/>
  <c r="AK10" i="3"/>
  <c r="R63" i="3"/>
  <c r="R85" i="3"/>
  <c r="AN57" i="3"/>
  <c r="M20" i="3"/>
  <c r="AT19" i="1"/>
  <c r="R74" i="1"/>
  <c r="AS61" i="2"/>
  <c r="R97" i="2"/>
  <c r="M24" i="2"/>
  <c r="M23" i="1"/>
  <c r="R95" i="1"/>
  <c r="AS60" i="1"/>
  <c r="AS26" i="4" l="1"/>
  <c r="AJ42" i="4" s="1"/>
  <c r="AS21" i="5"/>
  <c r="AJ41" i="5" s="1"/>
  <c r="AM24" i="8"/>
  <c r="AE36" i="8" s="1"/>
  <c r="AX16" i="2"/>
  <c r="AO42" i="2" s="1"/>
  <c r="AX28" i="1"/>
  <c r="AO48" i="1" s="1"/>
  <c r="AK35" i="3"/>
  <c r="AX21" i="2"/>
  <c r="AO44" i="2" s="1"/>
  <c r="AS18" i="5"/>
  <c r="AJ44" i="5" s="1"/>
  <c r="AX30" i="2"/>
  <c r="AO41" i="2" s="1"/>
  <c r="AX25" i="2"/>
  <c r="AO36" i="2" s="1"/>
  <c r="AK34" i="3"/>
  <c r="AS26" i="5"/>
  <c r="AJ37" i="5" s="1"/>
  <c r="AP26" i="7"/>
  <c r="AF37" i="7" s="1"/>
  <c r="AG37" i="7" s="1"/>
  <c r="AS24" i="4"/>
  <c r="AJ34" i="4" s="1"/>
  <c r="AK39" i="3"/>
  <c r="AX26" i="1"/>
  <c r="AO50" i="1" s="1"/>
  <c r="AK36" i="3"/>
  <c r="AP22" i="7"/>
  <c r="AF42" i="7" s="1"/>
  <c r="AM28" i="8"/>
  <c r="AE38" i="8" s="1"/>
  <c r="AF38" i="8" s="1"/>
  <c r="AF40" i="8"/>
  <c r="AS25" i="3"/>
  <c r="AJ37" i="3" s="1"/>
  <c r="AK37" i="3" s="1"/>
  <c r="AS23" i="3"/>
  <c r="AJ38" i="3" s="1"/>
  <c r="AK38" i="3" s="1"/>
  <c r="AF41" i="8"/>
  <c r="AF37" i="8"/>
  <c r="AG34" i="7"/>
  <c r="AF64" i="7"/>
  <c r="AG64" i="7" s="1"/>
  <c r="AG38" i="6"/>
  <c r="AH38" i="6" s="1"/>
  <c r="AH41" i="6"/>
  <c r="AG33" i="7"/>
  <c r="AO55" i="7"/>
  <c r="AF60" i="7" s="1"/>
  <c r="AG60" i="7" s="1"/>
  <c r="AG35" i="7"/>
  <c r="AG41" i="7"/>
  <c r="AT11" i="1"/>
  <c r="AV11" i="1" s="1"/>
  <c r="AT59" i="1"/>
  <c r="R106" i="1"/>
  <c r="AV10" i="1"/>
  <c r="AW63" i="2"/>
  <c r="AO66" i="2" s="1"/>
  <c r="R108" i="2"/>
  <c r="AT61" i="2"/>
  <c r="AW61" i="2" s="1"/>
  <c r="AO67" i="2" s="1"/>
  <c r="AO9" i="3"/>
  <c r="AQ9" i="3" s="1"/>
  <c r="AQ8" i="3"/>
  <c r="H96" i="3"/>
  <c r="AL54" i="3"/>
  <c r="H98" i="5"/>
  <c r="AL55" i="5"/>
  <c r="AH36" i="6"/>
  <c r="Q85" i="8"/>
  <c r="AJ56" i="8"/>
  <c r="H99" i="4"/>
  <c r="AL56" i="4"/>
  <c r="H106" i="1"/>
  <c r="AT9" i="1"/>
  <c r="AV9" i="1" s="1"/>
  <c r="AQ59" i="1"/>
  <c r="AW59" i="1" s="1"/>
  <c r="AO69" i="1" s="1"/>
  <c r="AP69" i="1" s="1"/>
  <c r="AV8" i="1"/>
  <c r="AO9" i="5"/>
  <c r="AQ9" i="5" s="1"/>
  <c r="AQ8" i="5"/>
  <c r="H97" i="5"/>
  <c r="AL54" i="5"/>
  <c r="AH37" i="6"/>
  <c r="AK40" i="3"/>
  <c r="AO55" i="5"/>
  <c r="R98" i="5"/>
  <c r="AH39" i="6"/>
  <c r="R84" i="7"/>
  <c r="AK56" i="7"/>
  <c r="AO56" i="7" s="1"/>
  <c r="AF61" i="7" s="1"/>
  <c r="AG61" i="7" s="1"/>
  <c r="AH54" i="7"/>
  <c r="H85" i="7"/>
  <c r="AL57" i="3"/>
  <c r="H97" i="3"/>
  <c r="AX20" i="1"/>
  <c r="AO49" i="1" s="1"/>
  <c r="AR58" i="3"/>
  <c r="AJ63" i="3" s="1"/>
  <c r="AF35" i="8"/>
  <c r="AF42" i="8"/>
  <c r="AF43" i="8"/>
  <c r="R99" i="5"/>
  <c r="AO56" i="5"/>
  <c r="AR56" i="5" s="1"/>
  <c r="AJ61" i="5" s="1"/>
  <c r="AH35" i="6"/>
  <c r="R96" i="5"/>
  <c r="AO57" i="5"/>
  <c r="AK55" i="7"/>
  <c r="R83" i="7"/>
  <c r="R85" i="6"/>
  <c r="AL55" i="6"/>
  <c r="AP55" i="6" s="1"/>
  <c r="AG61" i="6" s="1"/>
  <c r="AQ60" i="2"/>
  <c r="H108" i="2"/>
  <c r="AW60" i="2"/>
  <c r="AO68" i="2" s="1"/>
  <c r="Q84" i="8"/>
  <c r="AJ55" i="8"/>
  <c r="AP24" i="7"/>
  <c r="AF38" i="7" s="1"/>
  <c r="AG38" i="7" s="1"/>
  <c r="AP20" i="7"/>
  <c r="AF43" i="7" s="1"/>
  <c r="AG43" i="7" s="1"/>
  <c r="AQ61" i="1"/>
  <c r="AW61" i="1" s="1"/>
  <c r="AO67" i="1" s="1"/>
  <c r="AP67" i="1" s="1"/>
  <c r="H107" i="1"/>
  <c r="H106" i="2"/>
  <c r="AQ59" i="2"/>
  <c r="AT9" i="2"/>
  <c r="AV9" i="2" s="1"/>
  <c r="AV8" i="2"/>
  <c r="R97" i="5"/>
  <c r="AO54" i="5"/>
  <c r="AO11" i="5"/>
  <c r="AQ11" i="5" s="1"/>
  <c r="AQ10" i="5"/>
  <c r="H96" i="4"/>
  <c r="AL57" i="4"/>
  <c r="H107" i="2"/>
  <c r="AQ61" i="2"/>
  <c r="AH56" i="7"/>
  <c r="H83" i="7"/>
  <c r="R97" i="3"/>
  <c r="P13" i="3" s="1"/>
  <c r="AR26" i="3" s="1"/>
  <c r="AS26" i="3" s="1"/>
  <c r="AJ43" i="3" s="1"/>
  <c r="AK43" i="3" s="1"/>
  <c r="AO57" i="3"/>
  <c r="AR57" i="3" s="1"/>
  <c r="AJ64" i="3" s="1"/>
  <c r="AM8" i="7"/>
  <c r="AG8" i="7"/>
  <c r="AG9" i="7"/>
  <c r="AR55" i="5"/>
  <c r="AJ62" i="5" s="1"/>
  <c r="AW62" i="1"/>
  <c r="AO70" i="1" s="1"/>
  <c r="AP70" i="1" s="1"/>
  <c r="AQ60" i="1"/>
  <c r="H108" i="1"/>
  <c r="AL55" i="3"/>
  <c r="H98" i="3"/>
  <c r="AR57" i="5"/>
  <c r="AJ64" i="5" s="1"/>
  <c r="AW63" i="1"/>
  <c r="AO66" i="1" s="1"/>
  <c r="AL57" i="6"/>
  <c r="AP57" i="6" s="1"/>
  <c r="AG62" i="6" s="1"/>
  <c r="AH62" i="6" s="1"/>
  <c r="R84" i="6"/>
  <c r="AL56" i="5"/>
  <c r="H99" i="5"/>
  <c r="AM29" i="8"/>
  <c r="AE34" i="8" s="1"/>
  <c r="AF34" i="8" s="1"/>
  <c r="AS23" i="5"/>
  <c r="AJ35" i="5" s="1"/>
  <c r="Q86" i="8"/>
  <c r="AJ54" i="8"/>
  <c r="AM54" i="8" s="1"/>
  <c r="AE59" i="8" s="1"/>
  <c r="G85" i="8"/>
  <c r="AG56" i="8"/>
  <c r="AT61" i="1"/>
  <c r="R108" i="1"/>
  <c r="AO56" i="4"/>
  <c r="R99" i="4"/>
  <c r="AS21" i="4"/>
  <c r="AJ43" i="4" s="1"/>
  <c r="AG39" i="7"/>
  <c r="R106" i="2"/>
  <c r="AT11" i="2"/>
  <c r="AV11" i="2" s="1"/>
  <c r="AV10" i="2"/>
  <c r="AT59" i="2"/>
  <c r="AW59" i="2" s="1"/>
  <c r="AO69" i="2" s="1"/>
  <c r="R99" i="3"/>
  <c r="AO56" i="3"/>
  <c r="AO11" i="4"/>
  <c r="AQ11" i="4" s="1"/>
  <c r="R98" i="4"/>
  <c r="AQ10" i="4"/>
  <c r="AO54" i="4"/>
  <c r="AR54" i="4" s="1"/>
  <c r="AJ62" i="4" s="1"/>
  <c r="H105" i="1"/>
  <c r="AQ62" i="1"/>
  <c r="AG36" i="7"/>
  <c r="AR58" i="4"/>
  <c r="AJ63" i="4" s="1"/>
  <c r="AL54" i="6"/>
  <c r="AP54" i="6" s="1"/>
  <c r="AG63" i="6" s="1"/>
  <c r="AH63" i="6" s="1"/>
  <c r="AL11" i="6"/>
  <c r="AN11" i="6" s="1"/>
  <c r="R83" i="6"/>
  <c r="P5" i="6" s="1"/>
  <c r="AO22" i="6" s="1"/>
  <c r="AQ22" i="6" s="1"/>
  <c r="AG40" i="6" s="1"/>
  <c r="AH40" i="6" s="1"/>
  <c r="AN10" i="6"/>
  <c r="H105" i="2"/>
  <c r="AQ62" i="2"/>
  <c r="AW62" i="2" s="1"/>
  <c r="AO70" i="2" s="1"/>
  <c r="AP70" i="2" s="1"/>
  <c r="AF36" i="8"/>
  <c r="R105" i="1"/>
  <c r="AT62" i="1"/>
  <c r="AO55" i="4"/>
  <c r="R97" i="4"/>
  <c r="AG42" i="7"/>
  <c r="Q83" i="8"/>
  <c r="AK11" i="8"/>
  <c r="AM11" i="8" s="1"/>
  <c r="AJ53" i="8"/>
  <c r="AM10" i="8"/>
  <c r="R105" i="2"/>
  <c r="AT62" i="2"/>
  <c r="AK41" i="3"/>
  <c r="AM23" i="8"/>
  <c r="AE33" i="8" s="1"/>
  <c r="AF33" i="8" s="1"/>
  <c r="AK53" i="7"/>
  <c r="AO53" i="7" s="1"/>
  <c r="AF63" i="7" s="1"/>
  <c r="AG63" i="7" s="1"/>
  <c r="R86" i="7"/>
  <c r="AM9" i="7"/>
  <c r="R107" i="2"/>
  <c r="AT60" i="2"/>
  <c r="AX23" i="1"/>
  <c r="AO37" i="1" s="1"/>
  <c r="AG40" i="7"/>
  <c r="H97" i="4"/>
  <c r="AL55" i="4"/>
  <c r="AQ8" i="4"/>
  <c r="G84" i="8"/>
  <c r="AG55" i="8"/>
  <c r="G83" i="8"/>
  <c r="AK9" i="8"/>
  <c r="AM9" i="8" s="1"/>
  <c r="AM8" i="8"/>
  <c r="AG53" i="8"/>
  <c r="AR56" i="3"/>
  <c r="AJ61" i="3" s="1"/>
  <c r="AR58" i="5"/>
  <c r="AJ63" i="5" s="1"/>
  <c r="AL56" i="6"/>
  <c r="AP56" i="6" s="1"/>
  <c r="AG60" i="6" s="1"/>
  <c r="R86" i="6"/>
  <c r="R107" i="1"/>
  <c r="AT60" i="1"/>
  <c r="AR55" i="4"/>
  <c r="AJ64" i="4" s="1"/>
  <c r="R85" i="7"/>
  <c r="AK54" i="7"/>
  <c r="R96" i="4"/>
  <c r="AO57" i="4"/>
  <c r="AR57" i="4" s="1"/>
  <c r="AJ65" i="4" s="1"/>
  <c r="AK65" i="4" s="1"/>
  <c r="AK42" i="3"/>
  <c r="AO54" i="3"/>
  <c r="AO11" i="3"/>
  <c r="AQ11" i="3" s="1"/>
  <c r="AQ10" i="3"/>
  <c r="R96" i="3"/>
  <c r="AO55" i="3"/>
  <c r="AR55" i="3" s="1"/>
  <c r="AJ62" i="3" s="1"/>
  <c r="R98" i="3"/>
  <c r="AM53" i="8" l="1"/>
  <c r="AE62" i="8" s="1"/>
  <c r="AF62" i="8" s="1"/>
  <c r="AR54" i="5"/>
  <c r="AJ65" i="5" s="1"/>
  <c r="AK65" i="5" s="1"/>
  <c r="AR54" i="3"/>
  <c r="AJ65" i="3" s="1"/>
  <c r="AK65" i="3" s="1"/>
  <c r="P6" i="5"/>
  <c r="AR19" i="5" s="1"/>
  <c r="AS19" i="5" s="1"/>
  <c r="AJ38" i="5" s="1"/>
  <c r="AO54" i="7"/>
  <c r="AF62" i="7" s="1"/>
  <c r="AG62" i="7" s="1"/>
  <c r="AR56" i="4"/>
  <c r="AJ61" i="4" s="1"/>
  <c r="AK61" i="4" s="1"/>
  <c r="P18" i="1"/>
  <c r="AW31" i="1" s="1"/>
  <c r="AX31" i="1" s="1"/>
  <c r="AO51" i="1" s="1"/>
  <c r="AP48" i="1" s="1"/>
  <c r="O7" i="8"/>
  <c r="AK62" i="4"/>
  <c r="P18" i="2"/>
  <c r="AW31" i="2" s="1"/>
  <c r="AX31" i="2" s="1"/>
  <c r="AO51" i="2" s="1"/>
  <c r="AP38" i="2" s="1"/>
  <c r="AH61" i="6"/>
  <c r="O4" i="8"/>
  <c r="P14" i="4"/>
  <c r="AR27" i="4" s="1"/>
  <c r="AS27" i="4" s="1"/>
  <c r="AJ45" i="4" s="1"/>
  <c r="AK42" i="4" s="1"/>
  <c r="P15" i="5"/>
  <c r="AR28" i="5" s="1"/>
  <c r="AS28" i="5" s="1"/>
  <c r="AJ46" i="5" s="1"/>
  <c r="AK34" i="5" s="1"/>
  <c r="AM55" i="8"/>
  <c r="AE61" i="8" s="1"/>
  <c r="AF61" i="8" s="1"/>
  <c r="AP38" i="1"/>
  <c r="AP41" i="1"/>
  <c r="AP69" i="2"/>
  <c r="AK62" i="3"/>
  <c r="P6" i="4"/>
  <c r="AR19" i="4" s="1"/>
  <c r="AS19" i="4" s="1"/>
  <c r="AJ37" i="4" s="1"/>
  <c r="AK64" i="5"/>
  <c r="AF59" i="8"/>
  <c r="AP68" i="2"/>
  <c r="AP66" i="2"/>
  <c r="AK62" i="5"/>
  <c r="AP67" i="2"/>
  <c r="AP37" i="1"/>
  <c r="AK63" i="5"/>
  <c r="P6" i="6"/>
  <c r="AO23" i="6" s="1"/>
  <c r="AQ23" i="6" s="1"/>
  <c r="AG34" i="6" s="1"/>
  <c r="AH34" i="6" s="1"/>
  <c r="AK64" i="4"/>
  <c r="P8" i="6"/>
  <c r="AO25" i="6" s="1"/>
  <c r="AQ25" i="6" s="1"/>
  <c r="AG42" i="6" s="1"/>
  <c r="AH42" i="6" s="1"/>
  <c r="AK63" i="3"/>
  <c r="AH60" i="6"/>
  <c r="AK63" i="4"/>
  <c r="AP66" i="1"/>
  <c r="AK61" i="3"/>
  <c r="AM56" i="8"/>
  <c r="AE60" i="8" s="1"/>
  <c r="AF60" i="8" s="1"/>
  <c r="AW60" i="1"/>
  <c r="AO68" i="1" s="1"/>
  <c r="AP68" i="1" s="1"/>
  <c r="AK46" i="5" l="1"/>
  <c r="AP37" i="2"/>
  <c r="AP43" i="2"/>
  <c r="AK38" i="5"/>
  <c r="AK38" i="4"/>
  <c r="AP51" i="2"/>
  <c r="AK44" i="4"/>
  <c r="AK34" i="4"/>
  <c r="AK45" i="4"/>
  <c r="AP39" i="1"/>
  <c r="AP44" i="1"/>
  <c r="AP46" i="1"/>
  <c r="AP40" i="1"/>
  <c r="AK45" i="5"/>
  <c r="AP36" i="1"/>
  <c r="AP40" i="2"/>
  <c r="AK42" i="5"/>
  <c r="AP36" i="2"/>
  <c r="AK43" i="5"/>
  <c r="AP42" i="1"/>
  <c r="AP41" i="2"/>
  <c r="AP39" i="2"/>
  <c r="AK40" i="5"/>
  <c r="AP49" i="2"/>
  <c r="AP49" i="1"/>
  <c r="AK36" i="5"/>
  <c r="AP47" i="2"/>
  <c r="AP47" i="1"/>
  <c r="AK43" i="4"/>
  <c r="AK41" i="5"/>
  <c r="AP45" i="1"/>
  <c r="AK39" i="5"/>
  <c r="AP43" i="1"/>
  <c r="AK39" i="4"/>
  <c r="AP48" i="2"/>
  <c r="AK36" i="4"/>
  <c r="AP44" i="2"/>
  <c r="AK41" i="4"/>
  <c r="AK37" i="5"/>
  <c r="AP46" i="2"/>
  <c r="AK35" i="5"/>
  <c r="AK35" i="4"/>
  <c r="AK44" i="5"/>
  <c r="AP45" i="2"/>
  <c r="AP51" i="1"/>
  <c r="AK40" i="4"/>
  <c r="AP42" i="2"/>
  <c r="AP50" i="1"/>
  <c r="AK37" i="4"/>
  <c r="AP50" i="2"/>
  <c r="AK64" i="3"/>
  <c r="AK61" i="5"/>
</calcChain>
</file>

<file path=xl/sharedStrings.xml><?xml version="1.0" encoding="utf-8"?>
<sst xmlns="http://schemas.openxmlformats.org/spreadsheetml/2006/main" count="7538" uniqueCount="1377">
  <si>
    <t>Sniper</t>
  </si>
  <si>
    <t>Points</t>
  </si>
  <si>
    <t>Snipee</t>
  </si>
  <si>
    <t>Link:</t>
  </si>
  <si>
    <t>Data by Person:</t>
  </si>
  <si>
    <t>Kill and Death Points Pivot Table (kill points at right, death points at bottom)</t>
  </si>
  <si>
    <t>Ties?</t>
  </si>
  <si>
    <t>Name</t>
  </si>
  <si>
    <t>Value</t>
  </si>
  <si>
    <t>Various Stats:</t>
  </si>
  <si>
    <t>Part</t>
  </si>
  <si>
    <t>Will</t>
  </si>
  <si>
    <t>Ethan</t>
  </si>
  <si>
    <t>https://discord.com/channels/191975109500731392/1212839710439776287/1419363284024557692</t>
  </si>
  <si>
    <t>Person:</t>
  </si>
  <si>
    <t>Kills</t>
  </si>
  <si>
    <t>Deaths</t>
  </si>
  <si>
    <t>KDR</t>
  </si>
  <si>
    <t>Kill Points</t>
  </si>
  <si>
    <t>Death Points</t>
  </si>
  <si>
    <t>KpDpR</t>
  </si>
  <si>
    <t>KPts/Kill</t>
  </si>
  <si>
    <t>DPts/Death</t>
  </si>
  <si>
    <t>Full Sweep %</t>
  </si>
  <si>
    <t>Sum of Points</t>
  </si>
  <si>
    <t>Unique</t>
  </si>
  <si>
    <t>Total Snipes</t>
  </si>
  <si>
    <t>https://discord.com/channels/191975109500731392/1212839710439776287/1419363764053999811</t>
  </si>
  <si>
    <t>Carter</t>
  </si>
  <si>
    <t>Mikey</t>
  </si>
  <si>
    <t>Rob</t>
  </si>
  <si>
    <t>Evan</t>
  </si>
  <si>
    <t>Lucy</t>
  </si>
  <si>
    <t>Grady</t>
  </si>
  <si>
    <t>Vignesh</t>
  </si>
  <si>
    <t>Reuben</t>
  </si>
  <si>
    <t>Anthony</t>
  </si>
  <si>
    <t>Erick</t>
  </si>
  <si>
    <t>Maxine</t>
  </si>
  <si>
    <t>Peter</t>
  </si>
  <si>
    <t>Joey</t>
  </si>
  <si>
    <t>Cooper</t>
  </si>
  <si>
    <t>Grand Total</t>
  </si>
  <si>
    <t>Total Points</t>
  </si>
  <si>
    <t>https://discord.com/channels/191975109500731392/1212839710439776287/1419366484614053991</t>
  </si>
  <si>
    <t>Most Kills</t>
  </si>
  <si>
    <t>https://discord.com/channels/191975109500731392/1212839710439776287/1419378672720281750</t>
  </si>
  <si>
    <t>Most Deaths</t>
  </si>
  <si>
    <t>https://discord.com/channels/191975109500731392/1212839710439776287/1419378808863068313</t>
  </si>
  <si>
    <t>Most Kill Pts</t>
  </si>
  <si>
    <t>https://discord.com/channels/191975109500731392/1212839710439776287/1419405161918631997</t>
  </si>
  <si>
    <t>Most Death Pts</t>
  </si>
  <si>
    <t>https://discord.com/channels/191975109500731392/1212839710439776287/1419465621518680136</t>
  </si>
  <si>
    <t>Best KDR</t>
  </si>
  <si>
    <t>https://discord.com/channels/191975109500731392/1212839710439776287/1419465870274465792</t>
  </si>
  <si>
    <t>Worst KDR</t>
  </si>
  <si>
    <t>https://discord.com/channels/191975109500731392/1212839710439776287/1419480877158760448</t>
  </si>
  <si>
    <t>Best KpDpR</t>
  </si>
  <si>
    <t>https://discord.com/channels/191975109500731392/1212839710439776287/1419732269135958197</t>
  </si>
  <si>
    <t>Worst KpDpR</t>
  </si>
  <si>
    <t>https://discord.com/channels/191975109500731392/1212839710439776287/1419783656406257714</t>
  </si>
  <si>
    <t>https://discord.com/channels/191975109500731392/1212839710439776287/1419783660680511589</t>
  </si>
  <si>
    <t>Overall Winner Chart Decision Matrix</t>
  </si>
  <si>
    <t>https://discord.com/channels/191975109500731392/1212839710439776287/1419822491425312829</t>
  </si>
  <si>
    <t>https://discord.com/channels/191975109500731392/1212839710439776287/1419822494646272070</t>
  </si>
  <si>
    <t>Weight:</t>
  </si>
  <si>
    <t>Totals:</t>
  </si>
  <si>
    <t>https://discord.com/channels/191975109500731392/1212839710439776287/1420063890565501049</t>
  </si>
  <si>
    <t>https://discord.com/channels/191975109500731392/1212839710439776287/1420064085852033054</t>
  </si>
  <si>
    <t>https://discord.com/channels/191975109500731392/1212839710439776287/1420101635236958320</t>
  </si>
  <si>
    <t>https://discord.com/channels/191975109500731392/1212839710439776287/1420101685250101381</t>
  </si>
  <si>
    <t>https://discord.com/channels/191975109500731392/1212839710439776287/1420102339200548905</t>
  </si>
  <si>
    <t>Data By Voice Part (average/person):</t>
  </si>
  <si>
    <t>https://discord.com/channels/191975109500731392/1212839710439776287/1420102383278624777</t>
  </si>
  <si>
    <t>Part:</t>
  </si>
  <si>
    <t>https://discord.com/channels/191975109500731392/1212839710439776287/1420102435720003705</t>
  </si>
  <si>
    <t>Tenors</t>
  </si>
  <si>
    <t>Leads</t>
  </si>
  <si>
    <t>https://discord.com/channels/191975109500731392/1212839710439776287/1420102971760574614</t>
  </si>
  <si>
    <t>Baris</t>
  </si>
  <si>
    <t>Carter Data :)</t>
  </si>
  <si>
    <t>Total</t>
  </si>
  <si>
    <t>Yes</t>
  </si>
  <si>
    <t>No</t>
  </si>
  <si>
    <t>Ratio</t>
  </si>
  <si>
    <t>https://discord.com/channels/191975109500731392/1212839710439776287/1420103099741372607</t>
  </si>
  <si>
    <t>Basses</t>
  </si>
  <si>
    <t>Asriel Data:</t>
  </si>
  <si>
    <t>Basses (No Reuben)</t>
  </si>
  <si>
    <t>https://discord.com/channels/191975109500731392/1212839710439776287/1420103397784293377</t>
  </si>
  <si>
    <t>https://discord.com/channels/191975109500731392/1212839710439776287/1420103554626228224</t>
  </si>
  <si>
    <t>https://discord.com/channels/191975109500731392/1212839710439776287/1420103705457463347</t>
  </si>
  <si>
    <t>https://discord.com/channels/191975109500731392/1212839710439776287/1420103843362115646</t>
  </si>
  <si>
    <t>https://discord.com/channels/191975109500731392/1212839710439776287/1420158522225856686</t>
  </si>
  <si>
    <t>https://discord.com/channels/191975109500731392/1212839710439776287/1420158594686521365</t>
  </si>
  <si>
    <t>https://discord.com/channels/191975109500731392/1212839710439776287/1420453031706624031</t>
  </si>
  <si>
    <t>https://discord.com/channels/191975109500731392/1212839710439776287/1420453334799749190</t>
  </si>
  <si>
    <t>https://discord.com/channels/191975109500731392/1212839710439776287/1420458640204234815</t>
  </si>
  <si>
    <t>Score</t>
  </si>
  <si>
    <t>Adjusted</t>
  </si>
  <si>
    <t>https://discord.com/channels/191975109500731392/1212839710439776287/1420458766629077002</t>
  </si>
  <si>
    <t>https://discord.com/channels/191975109500731392/1212839710439776287/1420464307665371259</t>
  </si>
  <si>
    <t>https://discord.com/channels/191975109500731392/1212839710439776287/1420482926235095144</t>
  </si>
  <si>
    <t>https://discord.com/channels/191975109500731392/1212839710439776287/1420531902288498780</t>
  </si>
  <si>
    <t>https://discord.com/channels/191975109500731392/1212839710439776287/1420532055254630421</t>
  </si>
  <si>
    <t>https://discord.com/channels/191975109500731392/1212839710439776287/1420532255947755560</t>
  </si>
  <si>
    <t>https://discord.com/channels/191975109500731392/1212839710439776287/1420532446423814266</t>
  </si>
  <si>
    <t>https://discord.com/channels/191975109500731392/1212839710439776287/1420585040429056091</t>
  </si>
  <si>
    <t>https://discord.com/channels/191975109500731392/1212839710439776287/1420588014006177833</t>
  </si>
  <si>
    <t>https://discord.com/channels/191975109500731392/1212839710439776287/1420785728446795960</t>
  </si>
  <si>
    <t>https://discord.com/channels/191975109500731392/1212839710439776287/1420785838920302643</t>
  </si>
  <si>
    <t>https://discord.com/channels/191975109500731392/1212839710439776287/1420806418411425834</t>
  </si>
  <si>
    <t>https://discord.com/channels/191975109500731392/1212839710439776287/1420806463412113468</t>
  </si>
  <si>
    <t>https://discord.com/channels/191975109500731392/1212839710439776287/1420830515983810560</t>
  </si>
  <si>
    <t>https://discord.com/channels/191975109500731392/1212839710439776287/1420830660007952435</t>
  </si>
  <si>
    <t>https://discord.com/channels/191975109500731392/1212839710439776287/1420852388289581187</t>
  </si>
  <si>
    <t>https://discord.com/channels/191975109500731392/1212839710439776287/1420887409108979803</t>
  </si>
  <si>
    <t>https://discord.com/channels/191975109500731392/1212839710439776287/1420913791779995658</t>
  </si>
  <si>
    <t>https://discord.com/channels/191975109500731392/1212839710439776287/1420913811631640668</t>
  </si>
  <si>
    <t>https://discord.com/channels/191975109500731392/1212839710439776287/1421115623563329578</t>
  </si>
  <si>
    <t>https://discord.com/channels/191975109500731392/1212839710439776287/1421115662129954927</t>
  </si>
  <si>
    <t>Overall Part Winner Chart Decision Matrix</t>
  </si>
  <si>
    <t>https://discord.com/channels/191975109500731392/1212839710439776287/1421179013124063322</t>
  </si>
  <si>
    <t>MATRIX</t>
  </si>
  <si>
    <t>https://discord.com/channels/191975109500731392/1212839710439776287/1421199939832254566</t>
  </si>
  <si>
    <t>https://discord.com/channels/191975109500731392/1212839710439776287/1421239319351267438</t>
  </si>
  <si>
    <t>https://discord.com/channels/191975109500731392/1212839710439776287/1421239328075546754</t>
  </si>
  <si>
    <t>https://discord.com/channels/191975109500731392/1212839710439776287/1421570676350914792</t>
  </si>
  <si>
    <t>https://discord.com/channels/191975109500731392/1212839710439776287/1421590635676303370</t>
  </si>
  <si>
    <t>https://discord.com/channels/191975109500731392/1212839710439776287/1421917936066498591</t>
  </si>
  <si>
    <t>https://discord.com/channels/191975109500731392/1212839710439776287/1422066651402338366</t>
  </si>
  <si>
    <t>https://discord.com/channels/191975109500731392/1212839710439776287/1422066685174878271</t>
  </si>
  <si>
    <t>https://discord.com/channels/191975109500731392/1212839710439776287/1422279926337241099</t>
  </si>
  <si>
    <t>https://discord.com/channels/191975109500731392/1212839710439776287/1422280329690877974</t>
  </si>
  <si>
    <t>https://discord.com/channels/191975109500731392/1212839710439776287/1422282336204095539</t>
  </si>
  <si>
    <t>https://discord.com/channels/191975109500731392/1212839710439776287/1422282460548563006</t>
  </si>
  <si>
    <t>https://discord.com/channels/191975109500731392/1212839710439776287/1422288409614880908</t>
  </si>
  <si>
    <t>https://discord.com/channels/191975109500731392/1212839710439776287/1422316967649611887</t>
  </si>
  <si>
    <t>https://discord.com/channels/191975109500731392/1212839710439776287/1422318729622192228</t>
  </si>
  <si>
    <t>https://discord.com/channels/191975109500731392/1212839710439776287/1422318736995520684</t>
  </si>
  <si>
    <t>https://discord.com/channels/191975109500731392/1212839710439776287/1422321480485699666</t>
  </si>
  <si>
    <t>https://discord.com/channels/191975109500731392/1212839710439776287/1422321541991108618</t>
  </si>
  <si>
    <t>https://discord.com/channels/191975109500731392/1212839710439776287/1422321543731740915</t>
  </si>
  <si>
    <t>https://discord.com/channels/191975109500731392/1212839710439776287/1422398052718870618</t>
  </si>
  <si>
    <t>https://discord.com/channels/191975109500731392/1212839710439776287/1422398101800357888</t>
  </si>
  <si>
    <t>https://discord.com/channels/191975109500731392/1212839710439776287/1422597187493167124</t>
  </si>
  <si>
    <t>https://discord.com/channels/191975109500731392/1212839710439776287/1422597425083973682</t>
  </si>
  <si>
    <t>https://discord.com/channels/191975109500731392/1212839710439776287/1422597431589212330</t>
  </si>
  <si>
    <t>https://discord.com/channels/191975109500731392/1212839710439776287/1422618283399712839</t>
  </si>
  <si>
    <t>https://discord.com/channels/191975109500731392/1212839710439776287/1422618411816452158</t>
  </si>
  <si>
    <t>https://discord.com/channels/191975109500731392/1212839710439776287/1422641097771061338</t>
  </si>
  <si>
    <t>https://discord.com/channels/191975109500731392/1212839710439776287/1422641428064108696</t>
  </si>
  <si>
    <t>https://discord.com/channels/191975109500731392/1212839710439776287/1422687767955116043</t>
  </si>
  <si>
    <t>https://discord.com/channels/191975109500731392/1212839710439776287/1422701907612405872</t>
  </si>
  <si>
    <t>https://discord.com/channels/191975109500731392/1212839710439776287/1422708513246941346</t>
  </si>
  <si>
    <t>https://discord.com/channels/191975109500731392/1212839710439776287/1422708646801969153</t>
  </si>
  <si>
    <t>https://discord.com/channels/191975109500731392/1212839710439776287/1422716315738574958</t>
  </si>
  <si>
    <t>https://discord.com/channels/191975109500731392/1212839710439776287/1422716319064789153</t>
  </si>
  <si>
    <t>https://discord.com/channels/191975109500731392/1212839710439776287/1422930687736156242</t>
  </si>
  <si>
    <t>https://discord.com/channels/191975109500731392/1212839710439776287/1422932091376631899</t>
  </si>
  <si>
    <t>https://discord.com/channels/191975109500731392/1212839710439776287/1422932605564616804</t>
  </si>
  <si>
    <t>https://discord.com/channels/191975109500731392/1212839710439776287/1422944868795285534</t>
  </si>
  <si>
    <t>https://discord.com/channels/191975109500731392/1212839710439776287/1422974224015818863</t>
  </si>
  <si>
    <t>https://discord.com/channels/191975109500731392/1212839710439776287/1423000140687610020</t>
  </si>
  <si>
    <t>https://discord.com/channels/191975109500731392/1212839710439776287/1423000231645024508</t>
  </si>
  <si>
    <t>https://discord.com/channels/191975109500731392/1212839710439776287/1423002619533726038</t>
  </si>
  <si>
    <t>https://discord.com/channels/191975109500731392/1212839710439776287/1423002699275829269</t>
  </si>
  <si>
    <t>https://discord.com/channels/191975109500731392/1212839710439776287/1423046468742418504</t>
  </si>
  <si>
    <t>https://discord.com/channels/191975109500731392/1212839710439776287/1423047196173140020</t>
  </si>
  <si>
    <t>https://discord.com/channels/191975109500731392/1212839710439776287/1423049231068958781</t>
  </si>
  <si>
    <t>https://discord.com/channels/191975109500731392/1212839710439776287/1423049298513498223</t>
  </si>
  <si>
    <t>https://discord.com/channels/191975109500731392/1212839710439776287/1423121080586993705</t>
  </si>
  <si>
    <t>https://discord.com/channels/191975109500731392/1212839710439776287/1423318449207120054</t>
  </si>
  <si>
    <t>https://discord.com/channels/191975109500731392/1212839710439776287/1423318495445389323</t>
  </si>
  <si>
    <t>https://discord.com/channels/191975109500731392/1212839710439776287/1423335820886151168</t>
  </si>
  <si>
    <t>https://discord.com/channels/191975109500731392/1212839710439776287/1423368239680852141</t>
  </si>
  <si>
    <t>https://discord.com/channels/191975109500731392/1212839710439776287/1423369969219014747</t>
  </si>
  <si>
    <t>https://discord.com/channels/191975109500731392/1212839710439776287/1423389103046529124</t>
  </si>
  <si>
    <t>https://discord.com/channels/191975109500731392/1212839710439776287/1423389289626075281</t>
  </si>
  <si>
    <t>https://discord.com/channels/191975109500731392/1212839710439776287/1423390938226491462</t>
  </si>
  <si>
    <t>https://discord.com/channels/191975109500731392/1212839710439776287/1423391001128599757</t>
  </si>
  <si>
    <t>https://discord.com/channels/191975109500731392/1212839710439776287/1423449352277459028</t>
  </si>
  <si>
    <t>https://discord.com/channels/191975109500731392/1212839710439776287/1423449458762580018</t>
  </si>
  <si>
    <t>https://discord.com/channels/191975109500731392/1212839710439776287/1423462108175143004</t>
  </si>
  <si>
    <t>https://discord.com/channels/191975109500731392/1212839710439776287/1423653744888778805</t>
  </si>
  <si>
    <t>https://discord.com/channels/191975109500731392/1212839710439776287/1423653774861406208</t>
  </si>
  <si>
    <t>https://discord.com/channels/191975109500731392/1212839710439776287/1423653925021679618</t>
  </si>
  <si>
    <t>https://discord.com/channels/191975109500731392/1212839710439776287/1423654199782015067</t>
  </si>
  <si>
    <t>https://discord.com/channels/191975109500731392/1212839710439776287/1423654670781517974</t>
  </si>
  <si>
    <t>https://discord.com/channels/191975109500731392/1212839710439776287/1423654761324089446</t>
  </si>
  <si>
    <t>https://discord.com/channels/191975109500731392/1212839710439776287/1423718721720946832</t>
  </si>
  <si>
    <t>https://discord.com/channels/191975109500731392/1212839710439776287/1423718756353573006</t>
  </si>
  <si>
    <t>https://discord.com/channels/191975109500731392/1212839710439776287/1423724820507656283</t>
  </si>
  <si>
    <t>https://discord.com/channels/191975109500731392/1212839710439776287/1423724859799638117</t>
  </si>
  <si>
    <t>https://discord.com/channels/191975109500731392/1212839710439776287/1423751386570555474</t>
  </si>
  <si>
    <t>https://discord.com/channels/191975109500731392/1212839710439776287/1423752629539831919</t>
  </si>
  <si>
    <t>https://discord.com/channels/191975109500731392/1212839710439776287/1423752705922437230</t>
  </si>
  <si>
    <t>https://discord.com/channels/191975109500731392/1212839710439776287/1424081739432591372</t>
  </si>
  <si>
    <t>https://discord.com/channels/191975109500731392/1212839710439776287/1424101843105222656</t>
  </si>
  <si>
    <t>https://discord.com/channels/191975109500731392/1212839710439776287/1424142857694085232</t>
  </si>
  <si>
    <t>https://discord.com/channels/191975109500731392/1212839710439776287/1424502722731708416</t>
  </si>
  <si>
    <t>https://discord.com/channels/191975109500731392/1212839710439776287/1424505028730945746</t>
  </si>
  <si>
    <t>https://discord.com/channels/191975109500731392/1212839710439776287/1424563411097747536</t>
  </si>
  <si>
    <t>https://discord.com/channels/191975109500731392/1212839710439776287/1424563495961231391</t>
  </si>
  <si>
    <t>https://discord.com/channels/191975109500731392/1212839710439776287/1424569041066000538</t>
  </si>
  <si>
    <t>https://discord.com/channels/191975109500731392/1212839710439776287/1424569145785188352</t>
  </si>
  <si>
    <t>https://discord.com/channels/191975109500731392/1212839710439776287/1424739635099078706</t>
  </si>
  <si>
    <t>https://discord.com/channels/191975109500731392/1212839710439776287/1424741401404375090</t>
  </si>
  <si>
    <t>https://discord.com/channels/191975109500731392/1212839710439776287/1424756681077948575</t>
  </si>
  <si>
    <t>https://discord.com/channels/191975109500731392/1212839710439776287/1424757607196921886</t>
  </si>
  <si>
    <t>https://discord.com/channels/191975109500731392/1212839710439776287/1424784822198337647</t>
  </si>
  <si>
    <t>https://discord.com/channels/191975109500731392/1212839710439776287/1424784867820044318</t>
  </si>
  <si>
    <t>https://discord.com/channels/191975109500731392/1212839710439776287/1424785078361391196</t>
  </si>
  <si>
    <t>https://discord.com/channels/191975109500731392/1212839710439776287/1424801219192422663</t>
  </si>
  <si>
    <t>https://discord.com/channels/191975109500731392/1212839710439776287/1424816079041073282</t>
  </si>
  <si>
    <t>https://discord.com/channels/191975109500731392/1212839710439776287/1424816527726874886</t>
  </si>
  <si>
    <t>https://discord.com/channels/191975109500731392/1212839710439776287/1424816644093513919</t>
  </si>
  <si>
    <t>https://discord.com/channels/191975109500731392/1212839710439776287/1424818636589371503</t>
  </si>
  <si>
    <t>https://discord.com/channels/191975109500731392/1212839710439776287/1424820271486861322</t>
  </si>
  <si>
    <t>https://discord.com/channels/191975109500731392/1212839710439776287/1424831240141537282</t>
  </si>
  <si>
    <t>https://discord.com/channels/191975109500731392/1212839710439776287/1424845349922803912</t>
  </si>
  <si>
    <t>https://discord.com/channels/191975109500731392/1212839710439776287/1424845365047463956</t>
  </si>
  <si>
    <t>https://discord.com/channels/191975109500731392/1212839710439776287/1424853342718525511</t>
  </si>
  <si>
    <t>https://discord.com/channels/191975109500731392/1212839710439776287/1424853403221102634</t>
  </si>
  <si>
    <t>https://discord.com/channels/191975109500731392/1212839710439776287/1424854280954712194</t>
  </si>
  <si>
    <t>https://discord.com/channels/191975109500731392/1212839710439776287/1425129589054636053</t>
  </si>
  <si>
    <t>https://discord.com/channels/191975109500731392/1212839710439776287/1425134584869294131</t>
  </si>
  <si>
    <t>https://discord.com/channels/191975109500731392/1212839710439776287/1425155500160450712</t>
  </si>
  <si>
    <t>https://discord.com/channels/191975109500731392/1212839710439776287/1425155602535026748</t>
  </si>
  <si>
    <t>https://discord.com/channels/191975109500731392/1212839710439776287/1425175715388588133</t>
  </si>
  <si>
    <t>https://discord.com/channels/191975109500731392/1212839710439776287/1425254196885717132</t>
  </si>
  <si>
    <t>https://discord.com/channels/191975109500731392/1212839710439776287/1425254663942307952</t>
  </si>
  <si>
    <t>https://discord.com/channels/191975109500731392/1212839710439776287/1425259210924363859</t>
  </si>
  <si>
    <t>https://discord.com/channels/191975109500731392/1212839710439776287/1425259397122232484</t>
  </si>
  <si>
    <t>https://discord.com/channels/191975109500731392/1212839710439776287/1425261736105213974</t>
  </si>
  <si>
    <t>https://discord.com/channels/191975109500731392/1212839710439776287/1425479482038419657</t>
  </si>
  <si>
    <t>https://discord.com/channels/191975109500731392/1212839710439776287/1425555891461292153</t>
  </si>
  <si>
    <t>https://discord.com/channels/191975109500731392/1212839710439776287/1425556330562850947</t>
  </si>
  <si>
    <t>https://discord.com/channels/191975109500731392/1212839710439776287/1425843226702778368</t>
  </si>
  <si>
    <t>https://discord.com/channels/191975109500731392/1212839710439776287/1425843287654142113</t>
  </si>
  <si>
    <t>https://discord.com/channels/191975109500731392/1212839710439776287/1425861807272235010</t>
  </si>
  <si>
    <t>https://discord.com/channels/191975109500731392/1212839710439776287/1425873487880519711</t>
  </si>
  <si>
    <t>https://discord.com/channels/191975109500731392/1212839710439776287/1425873746522148945</t>
  </si>
  <si>
    <t>https://discord.com/channels/191975109500731392/1212839710439776287/1425880410407178352</t>
  </si>
  <si>
    <t>https://discord.com/channels/191975109500731392/1212839710439776287/1425881815306211421</t>
  </si>
  <si>
    <t>https://discord.com/channels/191975109500731392/1212839710439776287/1425905068120473610</t>
  </si>
  <si>
    <t>https://discord.com/channels/191975109500731392/1212839710439776287/1425923041048793282</t>
  </si>
  <si>
    <t>https://discord.com/channels/191975109500731392/1212839710439776287/1425952376941969418</t>
  </si>
  <si>
    <t>https://discord.com/channels/191975109500731392/1212839710439776287/1425952976308142151</t>
  </si>
  <si>
    <t>https://discord.com/channels/191975109500731392/1212839710439776287/1425997321115668550</t>
  </si>
  <si>
    <t>https://discord.com/channels/191975109500731392/1212839710439776287/1425997886726078494</t>
  </si>
  <si>
    <t>https://discord.com/channels/191975109500731392/1212839710439776287/1426205592493752341</t>
  </si>
  <si>
    <t>https://discord.com/channels/191975109500731392/1212839710439776287/1426205665122062546</t>
  </si>
  <si>
    <t>https://discord.com/channels/191975109500731392/1212839710439776287/1426251432729776219</t>
  </si>
  <si>
    <t>https://discord.com/channels/191975109500731392/1212839710439776287/1426251550531260579</t>
  </si>
  <si>
    <t>https://discord.com/channels/191975109500731392/1212839710439776287/1426344983480373278</t>
  </si>
  <si>
    <t>https://discord.com/channels/191975109500731392/1212839710439776287/1427446963443466311</t>
  </si>
  <si>
    <t>https://discord.com/channels/191975109500731392/1212839710439776287/1427806880863883419</t>
  </si>
  <si>
    <t>https://discord.com/channels/191975109500731392/1212839710439776287/1428064551601180825</t>
  </si>
  <si>
    <t>https://discord.com/channels/191975109500731392/1212839710439776287/1428073974025289840</t>
  </si>
  <si>
    <t>https://discord.com/channels/191975109500731392/1212839710439776287/1428074042455359609</t>
  </si>
  <si>
    <t>https://discord.com/channels/191975109500731392/1212839710439776287/1428112782200406147</t>
  </si>
  <si>
    <t>https://discord.com/channels/191975109500731392/1212839710439776287/1428146711364112487</t>
  </si>
  <si>
    <t>https://discord.com/channels/191975109500731392/1212839710439776287/1428381695878627358</t>
  </si>
  <si>
    <t>https://discord.com/channels/191975109500731392/1212839710439776287/1428381767160696832</t>
  </si>
  <si>
    <t>https://discord.com/channels/191975109500731392/1212839710439776287/1428394857852043308</t>
  </si>
  <si>
    <t>https://discord.com/channels/191975109500731392/1212839710439776287/1428395134692753492</t>
  </si>
  <si>
    <t>https://discord.com/channels/191975109500731392/1212839710439776287/1428397119907168336</t>
  </si>
  <si>
    <t>https://discord.com/channels/191975109500731392/1212839710439776287/1428417924359651500</t>
  </si>
  <si>
    <t>https://discord.com/channels/191975109500731392/1212839710439776287/1428440311226437682</t>
  </si>
  <si>
    <t>https://discord.com/channels/191975109500731392/1212839710439776287/1428440501119615098</t>
  </si>
  <si>
    <t>https://discord.com/channels/191975109500731392/1212839710439776287/1428455310728630362</t>
  </si>
  <si>
    <t>https://discord.com/channels/191975109500731392/1212839710439776287/1428480940069355561</t>
  </si>
  <si>
    <t>https://discord.com/channels/191975109500731392/1212839710439776287/1428480980200460401</t>
  </si>
  <si>
    <t>https://discord.com/channels/191975109500731392/1212839710439776287/1428486027479351431</t>
  </si>
  <si>
    <t>https://discord.com/channels/191975109500731392/1212839710439776287/1428487329357631599</t>
  </si>
  <si>
    <t>https://discord.com/channels/191975109500731392/1212839710439776287/1428487397674582176</t>
  </si>
  <si>
    <t>https://discord.com/channels/191975109500731392/1212839710439776287/1428492697986924544</t>
  </si>
  <si>
    <t>https://discord.com/channels/191975109500731392/1212839710439776287/1428492767079694337</t>
  </si>
  <si>
    <t>https://discord.com/channels/191975109500731392/1212839710439776287/1428743006466605237</t>
  </si>
  <si>
    <t>https://discord.com/channels/191975109500731392/1212839710439776287/1428744168129433672</t>
  </si>
  <si>
    <t>https://discord.com/channels/191975109500731392/1212839710439776287/1428765385481519134</t>
  </si>
  <si>
    <t>https://discord.com/channels/191975109500731392/1212839710439776287/1428765406675341364</t>
  </si>
  <si>
    <t>https://discord.com/channels/191975109500731392/1212839710439776287/1428765782082588823</t>
  </si>
  <si>
    <t>https://discord.com/channels/191975109500731392/1212839710439776287/1428771201802829969</t>
  </si>
  <si>
    <t>https://discord.com/channels/191975109500731392/1212839710439776287/1428872858490245220</t>
  </si>
  <si>
    <t>https://discord.com/channels/191975109500731392/1212839710439776287/1428876729266737353</t>
  </si>
  <si>
    <t>https://discord.com/channels/191975109500731392/1212839710439776287/1428876848753938452</t>
  </si>
  <si>
    <t>https://discord.com/channels/191975109500731392/1212839710439776287/1428880895703781416</t>
  </si>
  <si>
    <t>https://discord.com/channels/191975109500731392/1212839710439776287/1428909806969946227</t>
  </si>
  <si>
    <t>https://discord.com/channels/191975109500731392/1212839710439776287/1429136407976349849</t>
  </si>
  <si>
    <t>https://discord.com/channels/191975109500731392/1212839710439776287/1429149692629094612</t>
  </si>
  <si>
    <t>https://discord.com/channels/191975109500731392/1212839710439776287/1429162751187620022</t>
  </si>
  <si>
    <t>https://discord.com/channels/191975109500731392/1212839710439776287/1429162822004379699</t>
  </si>
  <si>
    <t>https://discord.com/channels/191975109500731392/1212839710439776287/1429530076529033356</t>
  </si>
  <si>
    <t>https://discord.com/channels/191975109500731392/1212839710439776287/1429890719618961550</t>
  </si>
  <si>
    <t>https://discord.com/channels/191975109500731392/1212839710439776287/1430206749830549504</t>
  </si>
  <si>
    <t>https://discord.com/channels/191975109500731392/1212839710439776287/1430229218247180409</t>
  </si>
  <si>
    <t>https://discord.com/channels/191975109500731392/1212839710439776287/1430248621349142558</t>
  </si>
  <si>
    <t>https://discord.com/channels/191975109500731392/1212839710439776287/1430252033570508961</t>
  </si>
  <si>
    <t>https://discord.com/channels/191975109500731392/1212839710439776287/1430252086557409280</t>
  </si>
  <si>
    <t>https://discord.com/channels/191975109500731392/1212839710439776287/1430273982497558621</t>
  </si>
  <si>
    <t>https://discord.com/channels/191975109500731392/1212839710439776287/1430274011266285578</t>
  </si>
  <si>
    <t>https://discord.com/channels/191975109500731392/1212839710439776287/1430280671053611010</t>
  </si>
  <si>
    <t>https://discord.com/channels/191975109500731392/1212839710439776287/1430280885013450793</t>
  </si>
  <si>
    <t>https://discord.com/channels/191975109500731392/1212839710439776287/1430283351205351424</t>
  </si>
  <si>
    <t>https://discord.com/channels/191975109500731392/1212839710439776287/1430298138706444308</t>
  </si>
  <si>
    <t>https://discord.com/channels/191975109500731392/1212839710439776287/1430330733091754155</t>
  </si>
  <si>
    <t>https://discord.com/channels/191975109500731392/1212839710439776287/1430555928377299016</t>
  </si>
  <si>
    <t>https://discord.com/channels/191975109500731392/1212839710439776287/1430569523810930859</t>
  </si>
  <si>
    <t>https://discord.com/channels/191975109500731392/1212839710439776287/1430569688961908746</t>
  </si>
  <si>
    <t>https://discord.com/channels/191975109500731392/1212839710439776287/1430574717428826164</t>
  </si>
  <si>
    <t>https://discord.com/channels/191975109500731392/1212839710439776287/1430595630996258987</t>
  </si>
  <si>
    <t>https://discord.com/channels/191975109500731392/1212839710439776287/1430614479388934255</t>
  </si>
  <si>
    <t>https://discord.com/channels/191975109500731392/1212839710439776287/1430614744812884028</t>
  </si>
  <si>
    <t>https://discord.com/channels/191975109500731392/1212839710439776287/1430628529816735928</t>
  </si>
  <si>
    <t>https://discord.com/channels/191975109500731392/1212839710439776287/1430628625736011796</t>
  </si>
  <si>
    <t>https://discord.com/channels/191975109500731392/1212839710439776287/1430660142780649513</t>
  </si>
  <si>
    <t>https://discord.com/channels/191975109500731392/1212839710439776287/1430660207540703453</t>
  </si>
  <si>
    <t>https://discord.com/channels/191975109500731392/1212839710439776287/1430668079335080026</t>
  </si>
  <si>
    <t>https://discord.com/channels/191975109500731392/1212839710439776287/1430668141922615438</t>
  </si>
  <si>
    <t>https://discord.com/channels/191975109500731392/1212839710439776287/1430749029653942353</t>
  </si>
  <si>
    <t>https://discord.com/channels/191975109500731392/1212839710439776287/1430749070124646441</t>
  </si>
  <si>
    <t>https://discord.com/channels/191975109500731392/1212839710439776287/1430931149059915858</t>
  </si>
  <si>
    <t>https://discord.com/channels/191975109500731392/1212839710439776287/1430998897362468884</t>
  </si>
  <si>
    <t>https://discord.com/channels/191975109500731392/1212839710439776287/1430999227814772957</t>
  </si>
  <si>
    <t>https://discord.com/channels/191975109500731392/1212839710439776287/1431021008243916953</t>
  </si>
  <si>
    <t>https://discord.com/channels/191975109500731392/1212839710439776287/1431022940916547605</t>
  </si>
  <si>
    <t>https://discord.com/channels/191975109500731392/1212839710439776287/1431298130166677645</t>
  </si>
  <si>
    <t>https://discord.com/channels/191975109500731392/1212839710439776287/1431298153033760770</t>
  </si>
  <si>
    <t>https://discord.com/channels/191975109500731392/1212839710439776287/1431298162928128234</t>
  </si>
  <si>
    <t>https://discord.com/channels/191975109500731392/1212839710439776287/1431298167680536596</t>
  </si>
  <si>
    <t>https://discord.com/channels/191975109500731392/1212839710439776287/1431303648503136400</t>
  </si>
  <si>
    <t>https://discord.com/channels/191975109500731392/1212839710439776287/1431410139776417822</t>
  </si>
  <si>
    <t>https://discord.com/channels/191975109500731392/1212839710439776287/1432415008649777373</t>
  </si>
  <si>
    <t>Alumni</t>
  </si>
  <si>
    <t>https://discord.com/channels/191975109500731392/1212839710439776287/1432415089474142300</t>
  </si>
  <si>
    <t>https://discord.com/channels/191975109500731392/1212839710439776287/1432472823233777697</t>
  </si>
  <si>
    <t>https://discord.com/channels/191975109500731392/1212839710439776287/1432473732235923588</t>
  </si>
  <si>
    <t>https://discord.com/channels/191975109500731392/1212839710439776287/1432473827698544711</t>
  </si>
  <si>
    <t>https://discord.com/channels/191975109500731392/1212839710439776287/1432484131136339989</t>
  </si>
  <si>
    <t>https://discord.com/channels/191975109500731392/1212839710439776287/1432484189017604137</t>
  </si>
  <si>
    <t>https://discord.com/channels/191975109500731392/1212839710439776287/1432743716174565497</t>
  </si>
  <si>
    <t>https://discord.com/channels/191975109500731392/1212839710439776287/1432758769623896075</t>
  </si>
  <si>
    <t>https://discord.com/channels/191975109500731392/1212839710439776287/1432773418297593858</t>
  </si>
  <si>
    <t>https://discord.com/channels/191975109500731392/1212839710439776287/1432773468004290640</t>
  </si>
  <si>
    <t>https://discord.com/channels/191975109500731392/1212839710439776287/1432774005684830350</t>
  </si>
  <si>
    <t>https://discord.com/channels/191975109500731392/1212839710439776287/1432781547249074227</t>
  </si>
  <si>
    <t>https://discord.com/channels/191975109500731392/1212839710439776287/1432781582556725298</t>
  </si>
  <si>
    <t>https://discord.com/channels/191975109500731392/1212839710439776287/1432781640580599838</t>
  </si>
  <si>
    <t>https://discord.com/channels/191975109500731392/1212839710439776287/1432781780183679126</t>
  </si>
  <si>
    <t>https://discord.com/channels/191975109500731392/1212839710439776287/1432789305805377590</t>
  </si>
  <si>
    <t>https://discord.com/channels/191975109500731392/1212839710439776287/1432849582206746758</t>
  </si>
  <si>
    <t>https://discord.com/channels/191975109500731392/1212839710439776287/1432849612787552409</t>
  </si>
  <si>
    <t>https://discord.com/channels/191975109500731392/1212839710439776287/1432861850386567209</t>
  </si>
  <si>
    <t>https://discord.com/channels/191975109500731392/1212839710439776287/1432867609975591075</t>
  </si>
  <si>
    <t>https://discord.com/channels/191975109500731392/1212839710439776287/1432867643614040104</t>
  </si>
  <si>
    <t>https://discord.com/channels/191975109500731392/1212839710439776287/1432868102764494970</t>
  </si>
  <si>
    <t>https://discord.com/channels/191975109500731392/1212839710439776287/1432868162990510273</t>
  </si>
  <si>
    <t>https://discord.com/channels/191975109500731392/1212839710439776287/1432870238893903893</t>
  </si>
  <si>
    <t>https://discord.com/channels/191975109500731392/1212839710439776287/1432871338653122641</t>
  </si>
  <si>
    <t>https://discord.com/channels/191975109500731392/1212839710439776287/1433091137358397512</t>
  </si>
  <si>
    <t>https://discord.com/channels/191975109500731392/1212839710439776287/1433091183219048469</t>
  </si>
  <si>
    <t>https://discord.com/channels/191975109500731392/1212839710439776287/1433113874529390762</t>
  </si>
  <si>
    <t>https://discord.com/channels/191975109500731392/1212839710439776287/1433114152942964889</t>
  </si>
  <si>
    <t>entropete_</t>
  </si>
  <si>
    <t>2025-12-17 15:21:14</t>
  </si>
  <si>
    <t>https://cdn.discordapp.com/ephemeral-attachments/1450933256630440049/1450945957385601135/AP104523.jpg?ex=69446239&amp;is=694310b9&amp;hm=c79a56538dfb25b85b26259b2b74c1d2318bbdc432b7345ff5f0544f39cbb683&amp;</t>
  </si>
  <si>
    <t>290654652838576130</t>
  </si>
  <si>
    <t>https://discord.com/channels/191975109500731392/1212839710439776287/1409581809095676055</t>
  </si>
  <si>
    <t>https://discord.com/channels/191975109500731392/1212839710439776287/1409582854777737299</t>
  </si>
  <si>
    <t>https://discord.com/channels/191975109500731392/1212839710439776287/1409595159611576521</t>
  </si>
  <si>
    <t>https://discord.com/channels/191975109500731392/1212839710439776287/1409872720593813606</t>
  </si>
  <si>
    <t>https://discord.com/channels/191975109500731392/1212839710439776287/1409942854607835166</t>
  </si>
  <si>
    <t>https://discord.com/channels/191975109500731392/1212839710439776287/1409944673740652585</t>
  </si>
  <si>
    <t>https://discord.com/channels/191975109500731392/1212839710439776287/1409958479485210664</t>
  </si>
  <si>
    <t>https://discord.com/channels/191975109500731392/1212839710439776287/1409990026045165854</t>
  </si>
  <si>
    <t>https://discord.com/channels/191975109500731392/1212839710439776287/1409991811086286928</t>
  </si>
  <si>
    <t>https://discord.com/channels/191975109500731392/1212839710439776287/1409991864072798218</t>
  </si>
  <si>
    <t>https://discord.com/channels/191975109500731392/1212839710439776287/1410007630017073277</t>
  </si>
  <si>
    <t>https://discord.com/channels/191975109500731392/1212839710439776287/1410008608875348160</t>
  </si>
  <si>
    <t>https://discord.com/channels/191975109500731392/1212839710439776287/1410332558209843361</t>
  </si>
  <si>
    <t>https://discord.com/channels/191975109500731392/1212839710439776287/1410335945701720236</t>
  </si>
  <si>
    <t>https://discord.com/channels/191975109500731392/1212839710439776287/1410336024990580896</t>
  </si>
  <si>
    <t>https://discord.com/channels/191975109500731392/1212839710439776287/1410639167771246605</t>
  </si>
  <si>
    <t>https://discord.com/channels/191975109500731392/1212839710439776287/1410663859739562084</t>
  </si>
  <si>
    <t>https://discord.com/channels/191975109500731392/1212839710439776287/1410663870829166733</t>
  </si>
  <si>
    <t>https://discord.com/channels/191975109500731392/1212839710439776287/1410705434746159115</t>
  </si>
  <si>
    <t>https://discord.com/channels/191975109500731392/1212839710439776287/1410705462600667298</t>
  </si>
  <si>
    <t>https://discord.com/channels/191975109500731392/1212839710439776287/1410705595178160138</t>
  </si>
  <si>
    <t>https://discord.com/channels/191975109500731392/1212839710439776287/1410732645112877098</t>
  </si>
  <si>
    <t>https://discord.com/channels/191975109500731392/1212839710439776287/1410732710246223934</t>
  </si>
  <si>
    <t>https://discord.com/channels/191975109500731392/1212839710439776287/1411033855988863098</t>
  </si>
  <si>
    <t>https://discord.com/channels/191975109500731392/1212839710439776287/1411811860440682547</t>
  </si>
  <si>
    <t>https://discord.com/channels/191975109500731392/1212839710439776287/1411815966194667591</t>
  </si>
  <si>
    <t>https://discord.com/channels/191975109500731392/1212839710439776287/1411815996720812116</t>
  </si>
  <si>
    <t>https://discord.com/channels/191975109500731392/1212839710439776287/1412484871879917660</t>
  </si>
  <si>
    <t>https://discord.com/channels/191975109500731392/1212839710439776287/1412517564520861759</t>
  </si>
  <si>
    <t>https://discord.com/channels/191975109500731392/1212839710439776287/1412552046980235394</t>
  </si>
  <si>
    <t>https://discord.com/channels/191975109500731392/1212839710439776287/1412855132667777065</t>
  </si>
  <si>
    <t>https://discord.com/channels/191975109500731392/1212839710439776287/1412855140234563624</t>
  </si>
  <si>
    <t>https://discord.com/channels/191975109500731392/1212839710439776287/1412857125738119229</t>
  </si>
  <si>
    <t>https://discord.com/channels/191975109500731392/1212839710439776287/1412862807992438894</t>
  </si>
  <si>
    <t>https://discord.com/channels/191975109500731392/1212839710439776287/1412939894787145749</t>
  </si>
  <si>
    <t>https://discord.com/channels/191975109500731392/1212839710439776287/1413181751593009286</t>
  </si>
  <si>
    <t>https://discord.com/channels/191975109500731392/1212839710439776287/1413182175276437615</t>
  </si>
  <si>
    <t>https://discord.com/channels/191975109500731392/1212839710439776287/1413196597344338002</t>
  </si>
  <si>
    <t>https://discord.com/channels/191975109500731392/1212839710439776287/1413242418664308887</t>
  </si>
  <si>
    <t>https://discord.com/channels/191975109500731392/1212839710439776287/1413946943511728179</t>
  </si>
  <si>
    <t>https://discord.com/channels/191975109500731392/1212839710439776287/1414594927035285646</t>
  </si>
  <si>
    <t>https://discord.com/channels/191975109500731392/1212839710439776287/1414616457731510443</t>
  </si>
  <si>
    <t>https://discord.com/channels/191975109500731392/1212839710439776287/1414672036004892752</t>
  </si>
  <si>
    <t>https://discord.com/channels/191975109500731392/1212839710439776287/1415028242263576608</t>
  </si>
  <si>
    <t>https://discord.com/channels/191975109500731392/1212839710439776287/1415733029313183764</t>
  </si>
  <si>
    <t>https://discord.com/channels/191975109500731392/1212839710439776287/1415733118287216651</t>
  </si>
  <si>
    <t>https://discord.com/channels/191975109500731392/1212839710439776287/1415755369980100680</t>
  </si>
  <si>
    <t>https://discord.com/channels/191975109500731392/1212839710439776287/1415755524766699591</t>
  </si>
  <si>
    <t>https://discord.com/channels/191975109500731392/1212839710439776287/1415812925611966625</t>
  </si>
  <si>
    <t>https://discord.com/channels/191975109500731392/1212839710439776287/1416044470549610597</t>
  </si>
  <si>
    <t>https://discord.com/channels/191975109500731392/1212839710439776287/1416044479923753140</t>
  </si>
  <si>
    <t>https://discord.com/channels/191975109500731392/1212839710439776287/1416045253475176558</t>
  </si>
  <si>
    <t>https://discord.com/channels/191975109500731392/1212839710439776287/1417130713777700997</t>
  </si>
  <si>
    <t>https://discord.com/channels/191975109500731392/1212839710439776287/1417220663105683610</t>
  </si>
  <si>
    <t>https://discord.com/channels/191975109500731392/1212839710439776287/1417220730533449778</t>
  </si>
  <si>
    <t>https://discord.com/channels/191975109500731392/1212839710439776287/1417237376492896388</t>
  </si>
  <si>
    <t>https://discord.com/channels/191975109500731392/1212839710439776287/1417544767855919224</t>
  </si>
  <si>
    <t>https://discord.com/channels/191975109500731392/1212839710439776287/1417591091888394441</t>
  </si>
  <si>
    <t>https://discord.com/channels/191975109500731392/1212839710439776287/1417856563330416700</t>
  </si>
  <si>
    <t>https://discord.com/channels/191975109500731392/1212839710439776287/1417922464117166201</t>
  </si>
  <si>
    <t>https://discord.com/channels/191975109500731392/1212839710439776287/1417922609768697956</t>
  </si>
  <si>
    <t>https://discord.com/channels/191975109500731392/1212839710439776287/1418007018140205069</t>
  </si>
  <si>
    <t>https://discord.com/channels/191975109500731392/1212839710439776287/1418355219242422292</t>
  </si>
  <si>
    <t>https://discord.com/channels/191975109500731392/1212839710439776287/1418356701522034768</t>
  </si>
  <si>
    <t>https://discord.com/channels/191975109500731392/1212839710439776287/1418580447340007524</t>
  </si>
  <si>
    <t>https://discord.com/channels/191975109500731392/1212839710439776287/1418580431900774490</t>
  </si>
  <si>
    <t>https://discord.com/channels/191975109500731392/1212839710439776287/1418581366886367354</t>
  </si>
  <si>
    <t>https://discord.com/channels/191975109500731392/1212839710439776287/1409985917745369240</t>
  </si>
  <si>
    <t>https://discord.com/channels/191975109500731392/1212839710439776287/1419078657917583401</t>
  </si>
  <si>
    <t>David</t>
  </si>
  <si>
    <t>https://discord.com/channels/191975109500731392/1212839710439776287/1328421980986146921</t>
  </si>
  <si>
    <t>https://discord.com/channels/191975109500731392/1212839710439776287/1328431840729632870</t>
  </si>
  <si>
    <t>Tyler</t>
  </si>
  <si>
    <t>https://discord.com/channels/191975109500731392/1212839710439776287/1328431903224627242</t>
  </si>
  <si>
    <t>https://discord.com/channels/191975109500731392/1212839710439776287/1328433170911334531</t>
  </si>
  <si>
    <t>https://discord.com/channels/191975109500731392/1212839710439776287/1328444788130709625</t>
  </si>
  <si>
    <t>https://discord.com/channels/191975109500731392/1212839710439776287/1328445062979260502</t>
  </si>
  <si>
    <t>https://discord.com/channels/191975109500731392/1212839710439776287/1329111887442477077</t>
  </si>
  <si>
    <t>https://discord.com/channels/191975109500731392/1212839710439776287/1329116428619485304</t>
  </si>
  <si>
    <t>https://discord.com/channels/191975109500731392/1212839710439776287/1329116512476205076</t>
  </si>
  <si>
    <t>https://discord.com/channels/191975109500731392/1212839710439776287/1329131165818290278</t>
  </si>
  <si>
    <t>https://discord.com/channels/191975109500731392/1212839710439776287/1329131257900306494</t>
  </si>
  <si>
    <t>https://discord.com/channels/191975109500731392/1212839710439776287/1329131398652629064</t>
  </si>
  <si>
    <t>https://discord.com/channels/191975109500731392/1212839710439776287/1329131490126336062</t>
  </si>
  <si>
    <t>https://discord.com/channels/191975109500731392/1212839710439776287/1329151146488762451</t>
  </si>
  <si>
    <t>https://discord.com/channels/191975109500731392/1212839710439776287/1329161563461910689</t>
  </si>
  <si>
    <t>https://discord.com/channels/191975109500731392/1212839710439776287/1329161651131383898</t>
  </si>
  <si>
    <t>https://discord.com/channels/191975109500731392/1212839710439776287/1329181717759791157</t>
  </si>
  <si>
    <t>https://discord.com/channels/191975109500731392/1212839710439776287/1329181858163982406</t>
  </si>
  <si>
    <t>https://discord.com/channels/191975109500731392/1212839710439776287/1329182904450027561</t>
  </si>
  <si>
    <t>https://discord.com/channels/191975109500731392/1212839710439776287/1329182932362858589</t>
  </si>
  <si>
    <t>https://discord.com/channels/191975109500731392/1212839710439776287/1329182941196189789</t>
  </si>
  <si>
    <t>https://discord.com/channels/191975109500731392/1212839710439776287/1329183050772381796</t>
  </si>
  <si>
    <t>https://discord.com/channels/191975109500731392/1212839710439776287/1329246301044342805</t>
  </si>
  <si>
    <t>https://discord.com/channels/191975109500731392/1212839710439776287/1329509325592592394</t>
  </si>
  <si>
    <t>https://discord.com/channels/191975109500731392/1212839710439776287/1329509355078291498</t>
  </si>
  <si>
    <t>https://discord.com/channels/191975109500731392/1212839710439776287/1329857265335013376</t>
  </si>
  <si>
    <t>https://discord.com/channels/191975109500731392/1212839710439776287/1329859194093965419</t>
  </si>
  <si>
    <t>https://discord.com/channels/191975109500731392/1212839710439776287/1329862981613387958</t>
  </si>
  <si>
    <t>https://discord.com/channels/191975109500731392/1212839710439776287/1329867541530673194</t>
  </si>
  <si>
    <t>https://discord.com/channels/191975109500731392/1212839710439776287/1329867782556356639</t>
  </si>
  <si>
    <t>https://discord.com/channels/191975109500731392/1212839710439776287/1329904236166647870</t>
  </si>
  <si>
    <t>https://discord.com/channels/191975109500731392/1212839710439776287/1329904517151719514</t>
  </si>
  <si>
    <t>Award:</t>
  </si>
  <si>
    <t>https://discord.com/channels/191975109500731392/1212839710439776287/1330341309906554880</t>
  </si>
  <si>
    <t>Height Advantage</t>
  </si>
  <si>
    <t>https://discord.com/channels/191975109500731392/1212839710439776287/1330341537489616977</t>
  </si>
  <si>
    <t>Couldn't find tyler for the full sweep</t>
  </si>
  <si>
    <t>https://discord.com/channels/191975109500731392/1212839710439776287/1330581678808371290</t>
  </si>
  <si>
    <t>Most Improved</t>
  </si>
  <si>
    <t>https://discord.com/channels/191975109500731392/1212839710439776287/1330581843099254804</t>
  </si>
  <si>
    <t>Kinda fell off</t>
  </si>
  <si>
    <t>https://discord.com/channels/191975109500731392/1212839710439776287/1331077419272110152</t>
  </si>
  <si>
    <t>"Hey its YOU, David"</t>
  </si>
  <si>
    <t>https://discord.com/channels/191975109500731392/1212839710439776287/1331407502687862784</t>
  </si>
  <si>
    <t>That is the expression of a man that has a Matsci midterm in 2 hours</t>
  </si>
  <si>
    <t>https://discord.com/channels/191975109500731392/1212839710439776287/1331408868491919422</t>
  </si>
  <si>
    <t>Almost a deathless semester</t>
  </si>
  <si>
    <t>https://discord.com/channels/191975109500731392/1212839710439776287/1331654158717288450</t>
  </si>
  <si>
    <t>"He did not fucking get me for 2"</t>
  </si>
  <si>
    <t>https://discord.com/channels/191975109500731392/1212839710439776287/1331654170029064233</t>
  </si>
  <si>
    <t>Hardest to find</t>
  </si>
  <si>
    <t>https://discord.com/channels/191975109500731392/1212839710439776287/1331688189005402142</t>
  </si>
  <si>
    <t>Had more death points than reuben??</t>
  </si>
  <si>
    <t>https://discord.com/channels/191975109500731392/1212839710439776287/1331743984330215535</t>
  </si>
  <si>
    <t>Sitting duck</t>
  </si>
  <si>
    <t>https://discord.com/channels/191975109500731392/1212839710439776287/1331786709192675419</t>
  </si>
  <si>
    <t>Eaten Alive</t>
  </si>
  <si>
    <t>https://discord.com/channels/191975109500731392/1212839710439776287/1331786975774244975</t>
  </si>
  <si>
    <t>https://discord.com/channels/191975109500731392/1212839710439776287/1331991826516934778</t>
  </si>
  <si>
    <t>https://discord.com/channels/191975109500731392/1212839710439776287/1332045218534527127</t>
  </si>
  <si>
    <t>https://discord.com/channels/191975109500731392/1212839710439776287/1332096889293770873</t>
  </si>
  <si>
    <t>https://discord.com/channels/191975109500731392/1212839710439776287/1332099532758057011</t>
  </si>
  <si>
    <t>https://discord.com/channels/191975109500731392/1212839710439776287/1332100493094420480</t>
  </si>
  <si>
    <t>https://discord.com/channels/191975109500731392/1212839710439776287/1332104635577532449</t>
  </si>
  <si>
    <t>https://discord.com/channels/191975109500731392/1212839710439776287/1332396565783908362</t>
  </si>
  <si>
    <t>https://discord.com/channels/191975109500731392/1212839710439776287/1332396703084576798</t>
  </si>
  <si>
    <t>https://discord.com/channels/191975109500731392/1212839710439776287/1332758550572826674</t>
  </si>
  <si>
    <t>https://discord.com/channels/191975109500731392/1212839710439776287/1332758561222037577</t>
  </si>
  <si>
    <t>https://discord.com/channels/191975109500731392/1212839710439776287/1333252518011994253</t>
  </si>
  <si>
    <t>https://discord.com/channels/191975109500731392/1212839710439776287/1333464966027677778</t>
  </si>
  <si>
    <t>https://discord.com/channels/191975109500731392/1212839710439776287/1333464994943209593</t>
  </si>
  <si>
    <t>https://discord.com/channels/191975109500731392/1212839710439776287/1333480379675316277</t>
  </si>
  <si>
    <t>https://discord.com/channels/191975109500731392/1212839710439776287/1333514929801662505</t>
  </si>
  <si>
    <t>https://discord.com/channels/191975109500731392/1212839710439776287/1333558175005409313</t>
  </si>
  <si>
    <t>https://discord.com/channels/191975109500731392/1212839710439776287/1333558391276048495</t>
  </si>
  <si>
    <t>https://discord.com/channels/191975109500731392/1212839710439776287/1333558804989874278</t>
  </si>
  <si>
    <t>https://discord.com/channels/191975109500731392/1212839710439776287/1333558805123829893</t>
  </si>
  <si>
    <t>https://discord.com/channels/191975109500731392/1212839710439776287/1333559303616991283</t>
  </si>
  <si>
    <t>https://discord.com/channels/191975109500731392/1212839710439776287/1333825481069428786</t>
  </si>
  <si>
    <t>https://discord.com/channels/191975109500731392/1212839710439776287/1333825533158359090</t>
  </si>
  <si>
    <t>https://discord.com/channels/191975109500731392/1212839710439776287/1333854212227989586</t>
  </si>
  <si>
    <t>https://discord.com/channels/191975109500731392/1212839710439776287/1333851020677222432</t>
  </si>
  <si>
    <t>https://discord.com/channels/191975109500731392/1212839710439776287/1333871228082982922</t>
  </si>
  <si>
    <t>https://discord.com/channels/191975109500731392/1212839710439776287/1333921376012206121</t>
  </si>
  <si>
    <t>https://discord.com/channels/191975109500731392/1212839710439776287/1333921623165894749</t>
  </si>
  <si>
    <t>https://discord.com/channels/191975109500731392/1212839710439776287/1333931546851278890</t>
  </si>
  <si>
    <t>https://discord.com/channels/191975109500731392/1212839710439776287/1334275891035115641</t>
  </si>
  <si>
    <t>https://discord.com/channels/191975109500731392/1212839710439776287/1334276198993236153</t>
  </si>
  <si>
    <t>https://discord.com/channels/191975109500731392/1212839710439776287/1334575420816883773</t>
  </si>
  <si>
    <t>https://discord.com/channels/191975109500731392/1212839710439776287/1334594959239811185</t>
  </si>
  <si>
    <t>https://discord.com/channels/191975109500731392/1212839710439776287/1334596039281217557</t>
  </si>
  <si>
    <t>https://discord.com/channels/191975109500731392/1212839710439776287/1334596071099469908</t>
  </si>
  <si>
    <t>https://discord.com/channels/191975109500731392/1212839710439776287/1336050544099328003</t>
  </si>
  <si>
    <t>https://discord.com/channels/191975109500731392/1212839710439776287/1336086194437754950</t>
  </si>
  <si>
    <t>https://discord.com/channels/191975109500731392/1212839710439776287/1336088861847191594</t>
  </si>
  <si>
    <t>https://discord.com/channels/191975109500731392/1212839710439776287/1336361440008863885</t>
  </si>
  <si>
    <t>https://discord.com/channels/191975109500731392/1212839710439776287/1336408731923120271</t>
  </si>
  <si>
    <t>https://discord.com/channels/191975109500731392/1212839710439776287/1336409376155635755</t>
  </si>
  <si>
    <t>https://discord.com/channels/191975109500731392/1212839710439776287/1336409407520505967</t>
  </si>
  <si>
    <t>https://discord.com/channels/191975109500731392/1212839710439776287/1336410695096598618</t>
  </si>
  <si>
    <t>https://discord.com/channels/191975109500731392/1212839710439776287/1336461389643907112</t>
  </si>
  <si>
    <t>https://discord.com/channels/191975109500731392/1212839710439776287/1336797518549483521</t>
  </si>
  <si>
    <t>https://discord.com/channels/191975109500731392/1212839710439776287/1336798568614461480</t>
  </si>
  <si>
    <t>https://discord.com/channels/191975109500731392/1212839710439776287/1337119501745127427</t>
  </si>
  <si>
    <t>https://discord.com/channels/191975109500731392/1212839710439776287/1337156508512817264</t>
  </si>
  <si>
    <t>https://discord.com/channels/191975109500731392/1212839710439776287/1337156721315151963</t>
  </si>
  <si>
    <t>https://discord.com/channels/191975109500731392/1212839710439776287/1337858088270565417</t>
  </si>
  <si>
    <t>https://discord.com/channels/191975109500731392/1212839710439776287/1337858167828385842</t>
  </si>
  <si>
    <t>https://discord.com/channels/191975109500731392/1212839710439776287/1338279561623769160</t>
  </si>
  <si>
    <t>https://discord.com/channels/191975109500731392/1212839710439776287/1338279608512020593</t>
  </si>
  <si>
    <t>https://discord.com/channels/191975109500731392/1212839710439776287/1338879997624189059</t>
  </si>
  <si>
    <t>https://discord.com/channels/191975109500731392/1212839710439776287/1338945799152996394</t>
  </si>
  <si>
    <t>https://discord.com/channels/191975109500731392/1212839710439776287/1338945866093957150</t>
  </si>
  <si>
    <t>https://discord.com/channels/191975109500731392/1212839710439776287/1339291879346536629</t>
  </si>
  <si>
    <t>https://discord.com/channels/191975109500731392/1212839710439776287/1339298061058314243</t>
  </si>
  <si>
    <t>https://discord.com/channels/191975109500731392/1212839710439776287/1339310722940665959</t>
  </si>
  <si>
    <t>https://discord.com/channels/191975109500731392/1212839710439776287/1339344638355570688</t>
  </si>
  <si>
    <t>https://discord.com/channels/191975109500731392/1212839710439776287/1339352139624874045</t>
  </si>
  <si>
    <t>https://discord.com/channels/191975109500731392/1212839710439776287/1339392369073717338</t>
  </si>
  <si>
    <t>https://discord.com/channels/191975109500731392/1212839710439776287/1339617845885009934</t>
  </si>
  <si>
    <t>https://discord.com/channels/191975109500731392/1212839710439776287/1339617990538432585</t>
  </si>
  <si>
    <t>https://discord.com/channels/191975109500731392/1212839710439776287/1339620357551947867</t>
  </si>
  <si>
    <t>https://discord.com/channels/191975109500731392/1212839710439776287/1339993719579086940</t>
  </si>
  <si>
    <t>https://discord.com/channels/191975109500731392/1212839710439776287/1340060963424178187</t>
  </si>
  <si>
    <t>https://discord.com/channels/191975109500731392/1212839710439776287/1340456559288909844</t>
  </si>
  <si>
    <t>https://discord.com/channels/191975109500731392/1212839710439776287/1340470228131385354</t>
  </si>
  <si>
    <t>https://discord.com/channels/191975109500731392/1212839710439776287/1340814410985242836</t>
  </si>
  <si>
    <t>https://discord.com/channels/191975109500731392/1212839710439776287/1340814469818749068</t>
  </si>
  <si>
    <t>https://discord.com/channels/191975109500731392/1212839710439776287/1340814596830920714</t>
  </si>
  <si>
    <t>https://discord.com/channels/191975109500731392/1212839710439776287/1341415788745195561</t>
  </si>
  <si>
    <t>https://discord.com/channels/191975109500731392/1212839710439776287/1341446113479098399</t>
  </si>
  <si>
    <t>https://discord.com/channels/191975109500731392/1212839710439776287/1341480819440488548</t>
  </si>
  <si>
    <t>https://discord.com/channels/191975109500731392/1212839710439776287/1341790549224718436</t>
  </si>
  <si>
    <t>https://discord.com/channels/191975109500731392/1212839710439776287/1341844758166896741</t>
  </si>
  <si>
    <t>https://discord.com/channels/191975109500731392/1212839710439776287/1342189844323110972</t>
  </si>
  <si>
    <t>https://discord.com/channels/191975109500731392/1212839710439776287/1342194813344288871</t>
  </si>
  <si>
    <t>https://discord.com/channels/191975109500731392/1212839710439776287/1342195006043324517</t>
  </si>
  <si>
    <t>https://discord.com/channels/191975109500731392/1212839710439776287/1342195278786072659</t>
  </si>
  <si>
    <t>https://discord.com/channels/191975109500731392/1212839710439776287/1342614511055671398</t>
  </si>
  <si>
    <t>https://discord.com/channels/191975109500731392/1212839710439776287/1343627918710145105</t>
  </si>
  <si>
    <t>https://discord.com/channels/191975109500731392/1212839710439776287/1343628662699987004</t>
  </si>
  <si>
    <t>https://discord.com/channels/191975109500731392/1212839710439776287/1343690688692355134</t>
  </si>
  <si>
    <t>https://discord.com/channels/191975109500731392/1212839710439776287/1343702770301014118</t>
  </si>
  <si>
    <t>https://discord.com/channels/191975109500731392/1212839710439776287/1343702796142379059</t>
  </si>
  <si>
    <t>https://discord.com/channels/191975109500731392/1212839710439776287/1343706189300633770</t>
  </si>
  <si>
    <t>https://discord.com/channels/191975109500731392/1212839710439776287/1343706528879738901</t>
  </si>
  <si>
    <t>https://discord.com/channels/191975109500731392/1212839710439776287/1343707381795913781</t>
  </si>
  <si>
    <t>https://discord.com/channels/191975109500731392/1212839710439776287/1343712668623831133</t>
  </si>
  <si>
    <t>https://discord.com/channels/191975109500731392/1212839710439776287/1343712848416866387</t>
  </si>
  <si>
    <t>https://discord.com/channels/191975109500731392/1212839710439776287/1343720707510505607</t>
  </si>
  <si>
    <t>https://discord.com/channels/191975109500731392/1212839710439776287/1343952984916361266</t>
  </si>
  <si>
    <t>https://discord.com/channels/191975109500731392/1212839710439776287/1344367936374177934</t>
  </si>
  <si>
    <t>https://discord.com/channels/191975109500731392/1212839710439776287/1344425839986606090</t>
  </si>
  <si>
    <t>https://discord.com/channels/191975109500731392/1212839710439776287/1344708736735907890</t>
  </si>
  <si>
    <t>https://discord.com/channels/191975109500731392/1212839710439776287/1344741665251921920</t>
  </si>
  <si>
    <t>https://discord.com/channels/191975109500731392/1212839710439776287/1344861519917355008</t>
  </si>
  <si>
    <t>https://discord.com/channels/191975109500731392/1212839710439776287/1346160114897256458</t>
  </si>
  <si>
    <t>https://discord.com/channels/191975109500731392/1212839710439776287/1346179213174247547</t>
  </si>
  <si>
    <t>https://discord.com/channels/191975109500731392/1212839710439776287/1346193745388896386</t>
  </si>
  <si>
    <t>https://discord.com/channels/191975109500731392/1212839710439776287/1346193861789224992</t>
  </si>
  <si>
    <t>https://discord.com/channels/191975109500731392/1212839710439776287/1346488484424192181</t>
  </si>
  <si>
    <t>https://discord.com/channels/191975109500731392/1212839710439776287/1346545818928156805</t>
  </si>
  <si>
    <t>https://discord.com/channels/191975109500731392/1212839710439776287/1346545932799442974</t>
  </si>
  <si>
    <t>https://discord.com/channels/191975109500731392/1212839710439776287/1346555382922739723</t>
  </si>
  <si>
    <t>https://discord.com/channels/191975109500731392/1212839710439776287/1346576321454800938</t>
  </si>
  <si>
    <t>https://discord.com/channels/191975109500731392/1212839710439776287/1346849302554607666</t>
  </si>
  <si>
    <t>https://discord.com/channels/191975109500731392/1212839710439776287/1346904891976585236</t>
  </si>
  <si>
    <t>https://discord.com/channels/191975109500731392/1212839710439776287/1347235338384441344</t>
  </si>
  <si>
    <t>https://discord.com/channels/191975109500731392/1212839710439776287/1347235348127940692</t>
  </si>
  <si>
    <t>https://discord.com/channels/191975109500731392/1212839710439776287/1347301920145932509</t>
  </si>
  <si>
    <t>https://discord.com/channels/191975109500731392/1212839710439776287/1347353448391381114</t>
  </si>
  <si>
    <t>https://discord.com/channels/191975109500731392/1212839710439776287/1347356314673741855</t>
  </si>
  <si>
    <t>https://discord.com/channels/191975109500731392/1212839710439776287/1351235573238726677</t>
  </si>
  <si>
    <t>https://discord.com/channels/191975109500731392/1212839710439776287/1351235973652152342</t>
  </si>
  <si>
    <t>https://discord.com/channels/191975109500731392/1212839710439776287/1351252845374083104</t>
  </si>
  <si>
    <t>https://discord.com/channels/191975109500731392/1212839710439776287/1351253067772989533</t>
  </si>
  <si>
    <t>https://discord.com/channels/191975109500731392/1212839710439776287/1351294305876185220</t>
  </si>
  <si>
    <t>https://discord.com/channels/191975109500731392/1212839710439776287/1351294976255983720</t>
  </si>
  <si>
    <t>https://discord.com/channels/191975109500731392/1212839710439776287/1351295109521739951</t>
  </si>
  <si>
    <t>https://discord.com/channels/191975109500731392/1212839710439776287/1351300795911635104</t>
  </si>
  <si>
    <t>https://discord.com/channels/191975109500731392/1212839710439776287/1351301018268340408</t>
  </si>
  <si>
    <t>https://discord.com/channels/191975109500731392/1212839710439776287/1351301030918361219</t>
  </si>
  <si>
    <t>https://discord.com/channels/191975109500731392/1212839710439776287/1351395127351967776</t>
  </si>
  <si>
    <t>https://discord.com/channels/191975109500731392/1212839710439776287/1351592195156873341</t>
  </si>
  <si>
    <t>https://discord.com/channels/191975109500731392/1212839710439776287/1351594933588590733</t>
  </si>
  <si>
    <t>https://discord.com/channels/191975109500731392/1212839710439776287/1351601720370794528</t>
  </si>
  <si>
    <t>https://discord.com/channels/191975109500731392/1212839710439776287/1351601751182147655</t>
  </si>
  <si>
    <t>https://discord.com/channels/191975109500731392/1212839710439776287/1351612495961395232</t>
  </si>
  <si>
    <t>https://discord.com/channels/191975109500731392/1212839710439776287/1351612804251258891</t>
  </si>
  <si>
    <t>https://discord.com/channels/191975109500731392/1212839710439776287/1351672302345130024</t>
  </si>
  <si>
    <t>https://discord.com/channels/191975109500731392/1212839710439776287/1351673920130121750</t>
  </si>
  <si>
    <t>https://discord.com/channels/191975109500731392/1212839710439776287/1351673930376810588</t>
  </si>
  <si>
    <t>https://discord.com/channels/191975109500731392/1212839710439776287/1351932797085941830</t>
  </si>
  <si>
    <t>https://discord.com/channels/191975109500731392/1212839710439776287/1351932993161265294</t>
  </si>
  <si>
    <t>https://discord.com/channels/191975109500731392/1212839710439776287/1351961908424474686</t>
  </si>
  <si>
    <t>https://discord.com/channels/191975109500731392/1212839710439776287/1351964783322333236</t>
  </si>
  <si>
    <t>https://discord.com/channels/191975109500731392/1212839710439776287/1351965552800694323</t>
  </si>
  <si>
    <t>https://discord.com/channels/191975109500731392/1212839710439776287/1351972703233642678</t>
  </si>
  <si>
    <t>https://discord.com/channels/191975109500731392/1212839710439776287/1351981909118287983</t>
  </si>
  <si>
    <t>https://discord.com/channels/191975109500731392/1212839710439776287/1351982939621298258</t>
  </si>
  <si>
    <t>https://discord.com/channels/191975109500731392/1212839710439776287/1352015886357106768</t>
  </si>
  <si>
    <t>https://discord.com/channels/191975109500731392/1212839710439776287/1352017064180842506</t>
  </si>
  <si>
    <t>https://discord.com/channels/191975109500731392/1212839710439776287/1352018624700747937</t>
  </si>
  <si>
    <t>https://discord.com/channels/191975109500731392/1212839710439776287/1352082603515056209</t>
  </si>
  <si>
    <t>https://discord.com/channels/191975109500731392/1212839710439776287/1352082886706204853</t>
  </si>
  <si>
    <t>https://discord.com/channels/191975109500731392/1212839710439776287/1352273832723087431</t>
  </si>
  <si>
    <t>https://discord.com/channels/191975109500731392/1212839710439776287/1352274044879114260</t>
  </si>
  <si>
    <t>https://discord.com/channels/191975109500731392/1212839710439776287/1352317255253364847</t>
  </si>
  <si>
    <t>https://discord.com/channels/191975109500731392/1212839710439776287/1352326678076063905</t>
  </si>
  <si>
    <t>https://discord.com/channels/191975109500731392/1212839710439776287/1352327429448007730</t>
  </si>
  <si>
    <t>https://discord.com/channels/191975109500731392/1212839710439776287/1352358322120036475</t>
  </si>
  <si>
    <t>https://discord.com/channels/191975109500731392/1212839710439776287/1352358371646505051</t>
  </si>
  <si>
    <t>https://discord.com/channels/191975109500731392/1212839710439776287/1352383659214110730</t>
  </si>
  <si>
    <t>https://discord.com/channels/191975109500731392/1212839710439776287/1352431514255622165</t>
  </si>
  <si>
    <t>https://discord.com/channels/191975109500731392/1212839710439776287/1352431532731797586</t>
  </si>
  <si>
    <t>https://discord.com/channels/191975109500731392/1212839710439776287/1353829471794233414</t>
  </si>
  <si>
    <t>https://discord.com/channels/191975109500731392/1212839710439776287/1353831568761946133</t>
  </si>
  <si>
    <t>https://discord.com/channels/191975109500731392/1212839710439776287/1353832501587476480</t>
  </si>
  <si>
    <t>https://discord.com/channels/191975109500731392/1212839710439776287/1353832508826976319</t>
  </si>
  <si>
    <t>https://discord.com/channels/191975109500731392/1212839710439776287/1354150400697172082</t>
  </si>
  <si>
    <t>https://discord.com/channels/191975109500731392/1212839710439776287/1354179666960977930</t>
  </si>
  <si>
    <t>https://discord.com/channels/191975109500731392/1212839710439776287/1354179700137656553</t>
  </si>
  <si>
    <t>https://discord.com/channels/191975109500731392/1212839710439776287/1354468838862749768</t>
  </si>
  <si>
    <t>https://discord.com/channels/191975109500731392/1212839710439776287/1354469030504824922</t>
  </si>
  <si>
    <t>https://discord.com/channels/191975109500731392/1212839710439776287/1354515951810248704</t>
  </si>
  <si>
    <t>https://discord.com/channels/191975109500731392/1212839710439776287/1354516058039652593</t>
  </si>
  <si>
    <t>https://discord.com/channels/191975109500731392/1212839710439776287/1354518686475747388</t>
  </si>
  <si>
    <t>https://discord.com/channels/191975109500731392/1212839710439776287/1354518724048191709</t>
  </si>
  <si>
    <t>https://discord.com/channels/191975109500731392/1212839710439776287/1354518810471694386</t>
  </si>
  <si>
    <t>https://discord.com/channels/191975109500731392/1212839710439776287/1354528488022867989</t>
  </si>
  <si>
    <t>https://discord.com/channels/191975109500731392/1212839710439776287/1354528540032503872</t>
  </si>
  <si>
    <t>https://discord.com/channels/191975109500731392/1212839710439776287/1354528600832999606</t>
  </si>
  <si>
    <t>https://discord.com/channels/191975109500731392/1212839710439776287/1354528640766840985</t>
  </si>
  <si>
    <t>https://discord.com/channels/191975109500731392/1212839710439776287/1354529773782696149</t>
  </si>
  <si>
    <t>https://discord.com/channels/191975109500731392/1212839710439776287/1354529834209902683</t>
  </si>
  <si>
    <t>https://discord.com/channels/191975109500731392/1212839710439776287/1354529853197652151</t>
  </si>
  <si>
    <t>https://discord.com/channels/191975109500731392/1212839710439776287/1354529974207381586</t>
  </si>
  <si>
    <t>https://discord.com/channels/191975109500731392/1212839710439776287/1354588341198262394</t>
  </si>
  <si>
    <t>https://discord.com/channels/191975109500731392/1212839710439776287/1354588525994971429</t>
  </si>
  <si>
    <t>https://discord.com/channels/191975109500731392/1212839710439776287/1354630452715061308</t>
  </si>
  <si>
    <t>https://discord.com/channels/191975109500731392/1212839710439776287/1354826675942195210</t>
  </si>
  <si>
    <t>https://discord.com/channels/191975109500731392/1212839710439776287/1354845006682263837</t>
  </si>
  <si>
    <t>https://discord.com/channels/191975109500731392/1212839710439776287/1354845300552110230</t>
  </si>
  <si>
    <t>https://discord.com/channels/191975109500731392/1212839710439776287/1354851687998816347</t>
  </si>
  <si>
    <t>https://discord.com/channels/191975109500731392/1212839710439776287/1354853809394024635</t>
  </si>
  <si>
    <t>https://discord.com/channels/191975109500731392/1212839710439776287/1354854293513048105</t>
  </si>
  <si>
    <t>https://discord.com/channels/191975109500731392/1212839710439776287/1354862220969906207</t>
  </si>
  <si>
    <t>https://discord.com/channels/191975109500731392/1212839710439776287/1354862374028574840</t>
  </si>
  <si>
    <t>https://discord.com/channels/191975109500731392/1212839710439776287/1354862474901586200</t>
  </si>
  <si>
    <t>https://discord.com/channels/191975109500731392/1212839710439776287/1354862519679975565</t>
  </si>
  <si>
    <t>https://discord.com/channels/191975109500731392/1212839710439776287/1354862526952636627</t>
  </si>
  <si>
    <t>https://discord.com/channels/191975109500731392/1212839710439776287/1354862570644836545</t>
  </si>
  <si>
    <t>https://discord.com/channels/191975109500731392/1212839710439776287/1354862904473550919</t>
  </si>
  <si>
    <t>https://discord.com/channels/191975109500731392/1212839710439776287/1354863189430370405</t>
  </si>
  <si>
    <t>https://discord.com/channels/191975109500731392/1212839710439776287/1354863814352572497</t>
  </si>
  <si>
    <t>https://discord.com/channels/191975109500731392/1212839710439776287/1354871434035593328</t>
  </si>
  <si>
    <t>https://discord.com/channels/191975109500731392/1212839710439776287/1354896361493103024</t>
  </si>
  <si>
    <t>https://discord.com/channels/191975109500731392/1212839710439776287/1355967006993809468</t>
  </si>
  <si>
    <t>https://discord.com/channels/191975109500731392/1212839710439776287/1356012019215503390</t>
  </si>
  <si>
    <t>https://discord.com/channels/191975109500731392/1212839710439776287/1356312886955212990</t>
  </si>
  <si>
    <t>https://discord.com/channels/191975109500731392/1212839710439776287/1356313009693261894</t>
  </si>
  <si>
    <t>https://discord.com/channels/191975109500731392/1212839710439776287/1356324508730134823</t>
  </si>
  <si>
    <t>https://discord.com/channels/191975109500731392/1212839710439776287/1356369285668274198</t>
  </si>
  <si>
    <t>https://discord.com/channels/191975109500731392/1212839710439776287/1356675432283639828</t>
  </si>
  <si>
    <t>https://discord.com/channels/191975109500731392/1212839710439776287/1357048619202642090</t>
  </si>
  <si>
    <t>https://discord.com/channels/191975109500731392/1212839710439776287/1357048642157936783</t>
  </si>
  <si>
    <t>https://discord.com/channels/191975109500731392/1212839710439776287/1357051076053958798</t>
  </si>
  <si>
    <t>https://discord.com/channels/191975109500731392/1212839710439776287/1357119641797005393</t>
  </si>
  <si>
    <t>https://discord.com/channels/191975109500731392/1212839710439776287/1357374425887936694</t>
  </si>
  <si>
    <t>https://discord.com/channels/191975109500731392/1212839710439776287/1357374605085511780</t>
  </si>
  <si>
    <t>https://discord.com/channels/191975109500731392/1212839710439776287/1357390221062443079</t>
  </si>
  <si>
    <t>https://discord.com/channels/191975109500731392/1212839710439776287/1357390411399696475</t>
  </si>
  <si>
    <t>https://discord.com/channels/191975109500731392/1212839710439776287/1359202750101196811</t>
  </si>
  <si>
    <t>https://discord.com/channels/191975109500731392/1212839710439776287/1359211778919370972</t>
  </si>
  <si>
    <t>https://discord.com/channels/191975109500731392/1212839710439776287/1359212271645102151</t>
  </si>
  <si>
    <t>https://discord.com/channels/191975109500731392/1212839710439776287/1359224437945270313</t>
  </si>
  <si>
    <t>https://discord.com/channels/191975109500731392/1212839710439776287/1359244657036628191</t>
  </si>
  <si>
    <t>https://discord.com/channels/191975109500731392/1212839710439776287/1359244713550680164</t>
  </si>
  <si>
    <t>https://discord.com/channels/191975109500731392/1212839710439776287/1359270956165763242</t>
  </si>
  <si>
    <t>https://discord.com/channels/191975109500731392/1212839710439776287/1359300778774233148</t>
  </si>
  <si>
    <t>https://discord.com/channels/191975109500731392/1212839710439776287/1359535174525784074</t>
  </si>
  <si>
    <t>https://discord.com/channels/191975109500731392/1212839710439776287/1359535311876784268</t>
  </si>
  <si>
    <t>https://discord.com/channels/191975109500731392/1212839710439776287/1359599304934817922</t>
  </si>
  <si>
    <t>https://discord.com/channels/191975109500731392/1212839710439776287/1359599307870834811</t>
  </si>
  <si>
    <t>https://discord.com/channels/191975109500731392/1212839710439776287/1359611405216514158</t>
  </si>
  <si>
    <t>https://discord.com/channels/191975109500731392/1212839710439776287/1359669562823545013</t>
  </si>
  <si>
    <t>https://discord.com/channels/191975109500731392/1212839710439776287/1359669614602096651</t>
  </si>
  <si>
    <t>https://discord.com/channels/191975109500731392/1212839710439776287/1359947228437024878</t>
  </si>
  <si>
    <t>https://discord.com/channels/191975109500731392/1212839710439776287/1359971298109034626</t>
  </si>
  <si>
    <t>https://discord.com/channels/191975109500731392/1212839710439776287/1359971388814917705</t>
  </si>
  <si>
    <t>Jon</t>
  </si>
  <si>
    <t>https://discord.com/channels/191975109500731392/1212839710439776287/1285260427307257971</t>
  </si>
  <si>
    <t>Kill</t>
  </si>
  <si>
    <t>https://discord.com/channels/191975109500731392/1212839710439776287/1285263030640185488</t>
  </si>
  <si>
    <t>Sam</t>
  </si>
  <si>
    <t>Count</t>
  </si>
  <si>
    <t>https://discord.com/channels/191975109500731392/1212839710439776287/1285296696158322728</t>
  </si>
  <si>
    <t>https://discord.com/channels/191975109500731392/1212839710439776287/1285342723410366515</t>
  </si>
  <si>
    <t>https://discord.com/channels/191975109500731392/1212839710439776287/1285342764967530509</t>
  </si>
  <si>
    <t>https://discord.com/channels/191975109500731392/1212839710439776287/1285355267998879776</t>
  </si>
  <si>
    <t>https://discord.com/channels/191975109500731392/1212839710439776287/1285371141011144745</t>
  </si>
  <si>
    <t>https://discord.com/channels/191975109500731392/1212839710439776287/1285429507347714118</t>
  </si>
  <si>
    <t>https://discord.com/channels/191975109500731392/1212839710439776287/1285432576420483072</t>
  </si>
  <si>
    <t>https://discord.com/channels/191975109500731392/1212839710439776287/1285586723618820151</t>
  </si>
  <si>
    <t>https://discord.com/channels/191975109500731392/1212839710439776287/1285612718031900764</t>
  </si>
  <si>
    <t>https://discord.com/channels/191975109500731392/1212839710439776287/1285650837821067404</t>
  </si>
  <si>
    <t>https://discord.com/channels/191975109500731392/1212839710439776287/1285674946533785691</t>
  </si>
  <si>
    <t>https://discord.com/channels/191975109500731392/1212839710439776287/1285702116328869990</t>
  </si>
  <si>
    <t>https://discord.com/channels/191975109500731392/1212839710439776287/1285702513923719292</t>
  </si>
  <si>
    <t>https://discord.com/channels/191975109500731392/1212839710439776287/1285765526525710501</t>
  </si>
  <si>
    <t>https://discord.com/channels/191975109500731392/1212839710439776287/1285765585501945899</t>
  </si>
  <si>
    <t>https://discord.com/channels/191975109500731392/1212839710439776287/1285961159060750368</t>
  </si>
  <si>
    <t>https://discord.com/channels/191975109500731392/1212839710439776287/1285961174847852658</t>
  </si>
  <si>
    <t>https://discord.com/channels/191975109500731392/1212839710439776287/1285977613059358793</t>
  </si>
  <si>
    <t>https://discord.com/channels/191975109500731392/1212839710439776287/1285977789069000704</t>
  </si>
  <si>
    <t>https://discord.com/channels/191975109500731392/1212839710439776287/1285977828910825605</t>
  </si>
  <si>
    <t>https://discord.com/channels/191975109500731392/1212839710439776287/1285980216316923916</t>
  </si>
  <si>
    <t>https://discord.com/channels/191975109500731392/1212839710439776287/1285986154109472848</t>
  </si>
  <si>
    <t>https://discord.com/channels/191975109500731392/1212839710439776287/1285986371651240022</t>
  </si>
  <si>
    <t>https://discord.com/channels/191975109500731392/1212839710439776287/1286014962879172670</t>
  </si>
  <si>
    <t>https://discord.com/channels/191975109500731392/1212839710439776287/1286019698692984945</t>
  </si>
  <si>
    <t>https://discord.com/channels/191975109500731392/1212839710439776287/1286038040904728618</t>
  </si>
  <si>
    <t>https://discord.com/channels/191975109500731392/1212839710439776287/1286039450220105821</t>
  </si>
  <si>
    <t>https://discord.com/channels/191975109500731392/1212839710439776287/1286039853137530903</t>
  </si>
  <si>
    <t>https://discord.com/channels/191975109500731392/1212839710439776287/1286040046176305285</t>
  </si>
  <si>
    <t>https://discord.com/channels/191975109500731392/1212839710439776287/1286087979957223504</t>
  </si>
  <si>
    <t>https://discord.com/channels/191975109500731392/1212839710439776287/1286087961284313158</t>
  </si>
  <si>
    <t>https://discord.com/channels/191975109500731392/1212839710439776287/1286360436786204756</t>
  </si>
  <si>
    <t>https://discord.com/channels/191975109500731392/1212839710439776287/1286360481405206529</t>
  </si>
  <si>
    <t>https://discord.com/channels/191975109500731392/1212839710439776287/1286369624551719092</t>
  </si>
  <si>
    <t>https://discord.com/channels/191975109500731392/1212839710439776287/1286369778591858699</t>
  </si>
  <si>
    <t>https://discord.com/channels/191975109500731392/1212839710439776287/1286375997989585087</t>
  </si>
  <si>
    <t>https://discord.com/channels/191975109500731392/1212839710439776287/1286376008773140673</t>
  </si>
  <si>
    <t>https://discord.com/channels/191975109500731392/1212839710439776287/1286458632640401428</t>
  </si>
  <si>
    <t>https://discord.com/channels/191975109500731392/1212839710439776287/1286512963582169110</t>
  </si>
  <si>
    <t>https://discord.com/channels/191975109500731392/1212839710439776287/1286513081358221424</t>
  </si>
  <si>
    <t>https://discord.com/channels/191975109500731392/1212839710439776287/1286748816795635712</t>
  </si>
  <si>
    <t>https://discord.com/channels/191975109500731392/1212839710439776287/1286816065132822539</t>
  </si>
  <si>
    <t>https://discord.com/channels/191975109500731392/1212839710439776287/1286829992050954261</t>
  </si>
  <si>
    <t>https://discord.com/channels/191975109500731392/1212839710439776287/1286829996564021268</t>
  </si>
  <si>
    <t>https://discord.com/channels/191975109500731392/1212839710439776287/1287551613078081668</t>
  </si>
  <si>
    <t>https://discord.com/channels/191975109500731392/1212839710439776287/1287791850396192769</t>
  </si>
  <si>
    <t>https://discord.com/channels/191975109500731392/1212839710439776287/1287827532657332368</t>
  </si>
  <si>
    <t>https://discord.com/channels/191975109500731392/1212839710439776287/1287868910284046369</t>
  </si>
  <si>
    <t>https://discord.com/channels/191975109500731392/1212839710439776287/1288178959791427708</t>
  </si>
  <si>
    <t>https://discord.com/channels/191975109500731392/1212839710439776287/1288262622797500511</t>
  </si>
  <si>
    <t>https://discord.com/channels/191975109500731392/1212839710439776287/1288262934421835819</t>
  </si>
  <si>
    <t>https://discord.com/channels/191975109500731392/1212839710439776287/1288263870020063262</t>
  </si>
  <si>
    <t>https://discord.com/channels/191975109500731392/1212839710439776287/1288508953801785436</t>
  </si>
  <si>
    <t>https://discord.com/channels/191975109500731392/1212839710439776287/1288525464402399256</t>
  </si>
  <si>
    <t>https://discord.com/channels/191975109500731392/1212839710439776287/1288525756883931137</t>
  </si>
  <si>
    <t>https://discord.com/channels/191975109500731392/1212839710439776287/1288546245672960061</t>
  </si>
  <si>
    <t>https://discord.com/channels/191975109500731392/1212839710439776287/1288547123046121483</t>
  </si>
  <si>
    <t>https://discord.com/channels/191975109500731392/1212839710439776287/1288560810326757439</t>
  </si>
  <si>
    <t>https://discord.com/channels/191975109500731392/1212839710439776287/1288561026769358868</t>
  </si>
  <si>
    <t>https://discord.com/channels/191975109500731392/1212839710439776287/1288571888972464209</t>
  </si>
  <si>
    <t>https://discord.com/channels/191975109500731392/1212839710439776287/1288573267795382334</t>
  </si>
  <si>
    <t>https://discord.com/channels/191975109500731392/1212839710439776287/1288574963170676918</t>
  </si>
  <si>
    <t>https://discord.com/channels/191975109500731392/1212839710439776287/1288575004086108273</t>
  </si>
  <si>
    <t>https://discord.com/channels/191975109500731392/1212839710439776287/1288596600649678858</t>
  </si>
  <si>
    <t>https://discord.com/channels/191975109500731392/1212839710439776287/1288602417843146821</t>
  </si>
  <si>
    <t>https://discord.com/channels/191975109500731392/1212839710439776287/1288602480032223286</t>
  </si>
  <si>
    <t>https://discord.com/channels/191975109500731392/1212839710439776287/1288605418951540908</t>
  </si>
  <si>
    <t>https://discord.com/channels/191975109500731392/1212839710439776287/1288621162783313991</t>
  </si>
  <si>
    <t>https://discord.com/channels/191975109500731392/1212839710439776287/1288862077666070588</t>
  </si>
  <si>
    <t>https://discord.com/channels/191975109500731392/1212839710439776287/1288862838940499968</t>
  </si>
  <si>
    <t>https://discord.com/channels/191975109500731392/1212839710439776287/1289222688744931402</t>
  </si>
  <si>
    <t>https://discord.com/channels/191975109500731392/1212839710439776287/1289268925586214913</t>
  </si>
  <si>
    <t>https://discord.com/channels/191975109500731392/1212839710439776287/1289270523481686048</t>
  </si>
  <si>
    <t>https://discord.com/channels/191975109500731392/1212839710439776287/1289270611599954031</t>
  </si>
  <si>
    <t>https://discord.com/channels/191975109500731392/1212839710439776287/1289270651529597049</t>
  </si>
  <si>
    <t>https://discord.com/channels/191975109500731392/1212839710439776287/1289271820272533546</t>
  </si>
  <si>
    <t>https://discord.com/channels/191975109500731392/1212839710439776287/1289272404878688326</t>
  </si>
  <si>
    <t>https://discord.com/channels/191975109500731392/1212839710439776287/1289272434742267979</t>
  </si>
  <si>
    <t>https://discord.com/channels/191975109500731392/1212839710439776287/1289272484444635147</t>
  </si>
  <si>
    <t>https://discord.com/channels/191975109500731392/1212839710439776287/1289282085479124993</t>
  </si>
  <si>
    <t>https://discord.com/channels/191975109500731392/1212839710439776287/1289282751769612438</t>
  </si>
  <si>
    <t>https://discord.com/channels/191975109500731392/1212839710439776287/1289282855163396096</t>
  </si>
  <si>
    <t>https://discord.com/channels/191975109500731392/1212839710439776287/1289283155701792879</t>
  </si>
  <si>
    <t>https://discord.com/channels/191975109500731392/1212839710439776287/1289283198223646792</t>
  </si>
  <si>
    <t>https://discord.com/channels/191975109500731392/1212839710439776287/1289990173660151848</t>
  </si>
  <si>
    <t>https://discord.com/channels/191975109500731392/1212839710439776287/1289995602708529404</t>
  </si>
  <si>
    <t>https://discord.com/channels/191975109500731392/1212839710439776287/1290035083327311904</t>
  </si>
  <si>
    <t>https://discord.com/channels/191975109500731392/1212839710439776287/1290035808983842826</t>
  </si>
  <si>
    <t>https://discord.com/channels/191975109500731392/1212839710439776287/1290036062353096724</t>
  </si>
  <si>
    <t>https://discord.com/channels/191975109500731392/1212839710439776287/1290036073963196496</t>
  </si>
  <si>
    <t>https://discord.com/channels/191975109500731392/1212839710439776287/1290036600893345867</t>
  </si>
  <si>
    <t>https://discord.com/channels/191975109500731392/1212839710439776287/1290036072390201396</t>
  </si>
  <si>
    <t>https://discord.com/channels/191975109500731392/1212839710439776287/1290282146430193727</t>
  </si>
  <si>
    <t>https://discord.com/channels/191975109500731392/1212839710439776287/1290295026290655242</t>
  </si>
  <si>
    <t>https://discord.com/channels/191975109500731392/1212839710439776287/1290309295099084800</t>
  </si>
  <si>
    <t>https://discord.com/channels/191975109500731392/1212839710439776287/1290355180528734351</t>
  </si>
  <si>
    <t>https://discord.com/channels/191975109500731392/1212839710439776287/1290368245190365195</t>
  </si>
  <si>
    <t>https://discord.com/channels/191975109500731392/1212839710439776287/1290368541480194058</t>
  </si>
  <si>
    <t>https://discord.com/channels/191975109500731392/1212839710439776287/1290369298052812913</t>
  </si>
  <si>
    <t>https://discord.com/channels/191975109500731392/1212839710439776287/1290407101528674379</t>
  </si>
  <si>
    <t>https://discord.com/channels/191975109500731392/1212839710439776287/1290407117886586921</t>
  </si>
  <si>
    <t>https://discord.com/channels/191975109500731392/1212839710439776287/1290421491527188591</t>
  </si>
  <si>
    <t>https://discord.com/channels/191975109500731392/1212839710439776287/1290421550704496732</t>
  </si>
  <si>
    <t>https://discord.com/channels/191975109500731392/1212839710439776287/1290422233399033958</t>
  </si>
  <si>
    <t>https://discord.com/channels/191975109500731392/1212839710439776287/1290422307944271913</t>
  </si>
  <si>
    <t>https://discord.com/channels/191975109500731392/1212839710439776287/1290766441573781515</t>
  </si>
  <si>
    <t>https://discord.com/channels/191975109500731392/1212839710439776287/1290766483265163376</t>
  </si>
  <si>
    <t>https://discord.com/channels/191975109500731392/1212839710439776287/1290796428410617856</t>
  </si>
  <si>
    <t>https://discord.com/channels/191975109500731392/1212839710439776287/1290823145518796831</t>
  </si>
  <si>
    <t>https://discord.com/channels/191975109500731392/1212839710439776287/1291056190020653149</t>
  </si>
  <si>
    <t>https://discord.com/channels/191975109500731392/1212839710439776287/1291104039890587810</t>
  </si>
  <si>
    <t>https://discord.com/channels/191975109500731392/1212839710439776287/1291104434092249181</t>
  </si>
  <si>
    <t>https://discord.com/channels/191975109500731392/1212839710439776287/1291104867829547080</t>
  </si>
  <si>
    <t>https://discord.com/channels/191975109500731392/1212839710439776287/1291403288717037750</t>
  </si>
  <si>
    <t>https://discord.com/channels/191975109500731392/1212839710439776287/1291403367779930264</t>
  </si>
  <si>
    <t>https://discord.com/channels/191975109500731392/1212839710439776287/1291479137151746048</t>
  </si>
  <si>
    <t>https://discord.com/channels/191975109500731392/1212839710439776287/1291479190889037834</t>
  </si>
  <si>
    <t>https://discord.com/channels/191975109500731392/1212839710439776287/1292216183675949087</t>
  </si>
  <si>
    <t>https://discord.com/channels/191975109500731392/1212839710439776287/1292629502060527647</t>
  </si>
  <si>
    <t>https://discord.com/channels/191975109500731392/1212839710439776287/1292862096991850587</t>
  </si>
  <si>
    <t>https://discord.com/channels/191975109500731392/1212839710439776287/1292863629892386839</t>
  </si>
  <si>
    <t>https://discord.com/channels/191975109500731392/1212839710439776287/1292905307764428903</t>
  </si>
  <si>
    <t>https://discord.com/channels/191975109500731392/1212839710439776287/1292907229623746630</t>
  </si>
  <si>
    <t>https://discord.com/channels/191975109500731392/1212839710439776287/1292907231674630336</t>
  </si>
  <si>
    <t>https://discord.com/channels/191975109500731392/1212839710439776287/1292908176769028169</t>
  </si>
  <si>
    <t>https://discord.com/channels/191975109500731392/1212839710439776287/1292908236889919499</t>
  </si>
  <si>
    <t>https://discord.com/channels/191975109500731392/1212839710439776287/1292960282154369177</t>
  </si>
  <si>
    <t>https://discord.com/channels/191975109500731392/1212839710439776287/1292964878822150155</t>
  </si>
  <si>
    <t>https://discord.com/channels/191975109500731392/1212839710439776287/1292964943087403089</t>
  </si>
  <si>
    <t>https://discord.com/channels/191975109500731392/1212839710439776287/1293223030633402481</t>
  </si>
  <si>
    <t>https://discord.com/channels/191975109500731392/1212839710439776287/1293223601461395517</t>
  </si>
  <si>
    <t>https://discord.com/channels/191975109500731392/1212839710439776287/1293239912711061608</t>
  </si>
  <si>
    <t>https://discord.com/channels/191975109500731392/1212839710439776287/1293240048128360532</t>
  </si>
  <si>
    <t>https://discord.com/channels/191975109500731392/1212839710439776287/1293242945192857680</t>
  </si>
  <si>
    <t>https://discord.com/channels/191975109500731392/1212839710439776287/1293242188385222737</t>
  </si>
  <si>
    <t>https://discord.com/channels/191975109500731392/1212839710439776287/1293242272921423930</t>
  </si>
  <si>
    <t>https://discord.com/channels/191975109500731392/1212839710439776287/1293246868729499678</t>
  </si>
  <si>
    <t>https://discord.com/channels/191975109500731392/1212839710439776287/1293281359023833190</t>
  </si>
  <si>
    <t>https://discord.com/channels/191975109500731392/1212839710439776287/1293287518246141952</t>
  </si>
  <si>
    <t>https://discord.com/channels/191975109500731392/1212839710439776287/1293335485502062633</t>
  </si>
  <si>
    <t>https://discord.com/channels/191975109500731392/1212839710439776287/1293344194219343883</t>
  </si>
  <si>
    <t>https://discord.com/channels/191975109500731392/1212839710439776287/1293344225563246674</t>
  </si>
  <si>
    <t>https://discord.com/channels/191975109500731392/1212839710439776287/1293571461700911134</t>
  </si>
  <si>
    <t>https://discord.com/channels/191975109500731392/1212839710439776287/1293571750994640988</t>
  </si>
  <si>
    <t>https://discord.com/channels/191975109500731392/1212839710439776287/1293572307817730049</t>
  </si>
  <si>
    <t>https://discord.com/channels/191975109500731392/1212839710439776287/1293574196030607361</t>
  </si>
  <si>
    <t>https://discord.com/channels/191975109500731392/1212839710439776287/1293587461108400208</t>
  </si>
  <si>
    <t>https://discord.com/channels/191975109500731392/1212839710439776287/1293587778986311680</t>
  </si>
  <si>
    <t>https://discord.com/channels/191975109500731392/1212839710439776287/1293588092770320444</t>
  </si>
  <si>
    <t>https://discord.com/channels/191975109500731392/1212839710439776287/1293592520101724160</t>
  </si>
  <si>
    <t>https://discord.com/channels/191975109500731392/1212839710439776287/1293629213999370290</t>
  </si>
  <si>
    <t>https://discord.com/channels/191975109500731392/1212839710439776287/1293630132866650132</t>
  </si>
  <si>
    <t>https://discord.com/channels/191975109500731392/1212839710439776287/1293630192459317292</t>
  </si>
  <si>
    <t>https://discord.com/channels/191975109500731392/1212839710439776287/1293632751089614899</t>
  </si>
  <si>
    <t>https://discord.com/channels/191975109500731392/1212839710439776287/1293647114810818602</t>
  </si>
  <si>
    <t>https://discord.com/channels/191975109500731392/1212839710439776287/1293674670872068137</t>
  </si>
  <si>
    <t>https://discord.com/channels/191975109500731392/1212839710439776287/1293947512327110737</t>
  </si>
  <si>
    <t>https://discord.com/channels/191975109500731392/1212839710439776287/1293947593843408916</t>
  </si>
  <si>
    <t>https://discord.com/channels/191975109500731392/1212839710439776287/1293950802251218999</t>
  </si>
  <si>
    <t>https://discord.com/channels/191975109500731392/1212839710439776287/1293950834337382483</t>
  </si>
  <si>
    <t>https://discord.com/channels/191975109500731392/1212839710439776287/1293969830248054915</t>
  </si>
  <si>
    <t>https://discord.com/channels/191975109500731392/1212839710439776287/1293970020954538057</t>
  </si>
  <si>
    <t>https://discord.com/channels/191975109500731392/1212839710439776287/1293975246247821485</t>
  </si>
  <si>
    <t>https://discord.com/channels/191975109500731392/1212839710439776287/1294034281542193172</t>
  </si>
  <si>
    <t>https://discord.com/channels/191975109500731392/1212839710439776287/1294034560782303283</t>
  </si>
  <si>
    <t>https://discord.com/channels/191975109500731392/1212839710439776287/1294076228604788736</t>
  </si>
  <si>
    <t>https://discord.com/channels/191975109500731392/1212839710439776287/1294087546548129916</t>
  </si>
  <si>
    <t>https://discord.com/channels/191975109500731392/1212839710439776287/1294090531680292975</t>
  </si>
  <si>
    <t>https://discord.com/channels/191975109500731392/1212839710439776287/1294312572740309043</t>
  </si>
  <si>
    <t>https://discord.com/channels/191975109500731392/1212839710439776287/1295850423638298744</t>
  </si>
  <si>
    <t>https://discord.com/channels/191975109500731392/1212839710439776287/1295850440369639586</t>
  </si>
  <si>
    <t>https://discord.com/channels/191975109500731392/1212839710439776287/1296094171144261705</t>
  </si>
  <si>
    <t>https://discord.com/channels/191975109500731392/1212839710439776287/1296095040355045440</t>
  </si>
  <si>
    <t>https://discord.com/channels/191975109500731392/1212839710439776287/1296125989914415135</t>
  </si>
  <si>
    <t>https://discord.com/channels/191975109500731392/1212839710439776287/1296127938869330006</t>
  </si>
  <si>
    <t>https://discord.com/channels/191975109500731392/1212839710439776287/1296140023258939493</t>
  </si>
  <si>
    <t>https://discord.com/channels/191975109500731392/1212839710439776287/1296140183669833859</t>
  </si>
  <si>
    <t>https://discord.com/channels/191975109500731392/1212839710439776287/1296156369560272926</t>
  </si>
  <si>
    <t>https://discord.com/channels/191975109500731392/1212839710439776287/1296160171176886312</t>
  </si>
  <si>
    <t>https://discord.com/channels/191975109500731392/1212839710439776287/1296167009863864361</t>
  </si>
  <si>
    <t>https://discord.com/channels/191975109500731392/1212839710439776287/1296167392430264371</t>
  </si>
  <si>
    <t>https://discord.com/channels/191975109500731392/1212839710439776287/1296168389907189800</t>
  </si>
  <si>
    <t>https://discord.com/channels/191975109500731392/1212839710439776287/1296170409355378700</t>
  </si>
  <si>
    <t>https://discord.com/channels/191975109500731392/1212839710439776287/1296170424664850453</t>
  </si>
  <si>
    <t>https://discord.com/channels/191975109500731392/1212839710439776287/1296184927087497298</t>
  </si>
  <si>
    <t>https://discord.com/channels/191975109500731392/1212839710439776287/1296243249723478079</t>
  </si>
  <si>
    <t>https://discord.com/channels/191975109500731392/1212839710439776287/1296244472010506311</t>
  </si>
  <si>
    <t>https://discord.com/channels/191975109500731392/1212839710439776287/1296261583072133141</t>
  </si>
  <si>
    <t>https://discord.com/channels/191975109500731392/1212839710439776287/1296261764849205280</t>
  </si>
  <si>
    <t>https://discord.com/channels/191975109500731392/1212839710439776287/1296534062344962069</t>
  </si>
  <si>
    <t>https://discord.com/channels/191975109500731392/1212839710439776287/1296534064710549678</t>
  </si>
  <si>
    <t>https://discord.com/channels/191975109500731392/1212839710439776287/1296550122045440091</t>
  </si>
  <si>
    <t>https://discord.com/channels/191975109500731392/1212839710439776287/1296586115175678013</t>
  </si>
  <si>
    <t>https://discord.com/channels/191975109500731392/1212839710439776287/1296595829418627104</t>
  </si>
  <si>
    <t>https://discord.com/channels/191975109500731392/1212839710439776287/1296812737988657243</t>
  </si>
  <si>
    <t>https://discord.com/channels/191975109500731392/1212839710439776287/1296813341725167616</t>
  </si>
  <si>
    <t>https://discord.com/channels/191975109500731392/1212839710439776287/1296818769628495996</t>
  </si>
  <si>
    <t>https://discord.com/channels/191975109500731392/1212839710439776287/1296818864356593738</t>
  </si>
  <si>
    <t>https://discord.com/channels/191975109500731392/1212839710439776287/1296892654545535069</t>
  </si>
  <si>
    <t>https://discord.com/channels/191975109500731392/1212839710439776287/1296897823375229111</t>
  </si>
  <si>
    <t>https://discord.com/channels/191975109500731392/1212839710439776287/1296920448038211675</t>
  </si>
  <si>
    <t>https://discord.com/channels/191975109500731392/1212839710439776287/1296968677052125234</t>
  </si>
  <si>
    <t>https://discord.com/channels/191975109500731392/1212839710439776287/1297978585549897780</t>
  </si>
  <si>
    <t>https://discord.com/channels/191975109500731392/1212839710439776287/1297981299432230923</t>
  </si>
  <si>
    <t>https://discord.com/channels/191975109500731392/1212839710439776287/1297981327802634344</t>
  </si>
  <si>
    <t>https://discord.com/channels/191975109500731392/1212839710439776287/1298313410978644029</t>
  </si>
  <si>
    <t>https://discord.com/channels/191975109500731392/1212839710439776287/1298313615656484875</t>
  </si>
  <si>
    <t>https://discord.com/channels/191975109500731392/1212839710439776287/1298319294949621828</t>
  </si>
  <si>
    <t>https://discord.com/channels/191975109500731392/1212839710439776287/1298342818225455194</t>
  </si>
  <si>
    <t>https://discord.com/channels/191975109500731392/1212839710439776287/1298387666299129907</t>
  </si>
  <si>
    <t>https://discord.com/channels/191975109500731392/1212839710439776287/1298390473110454346</t>
  </si>
  <si>
    <t>https://discord.com/channels/191975109500731392/1212839710439776287/1298440005529768017</t>
  </si>
  <si>
    <t>https://discord.com/channels/191975109500731392/1212839710439776287/1298441855142199297</t>
  </si>
  <si>
    <t>https://discord.com/channels/191975109500731392/1212839710439776287/1298442470732071040</t>
  </si>
  <si>
    <t>https://discord.com/channels/191975109500731392/1212839710439776287/1298662491810828351</t>
  </si>
  <si>
    <t>https://discord.com/channels/191975109500731392/1212839710439776287/1298662528141758545</t>
  </si>
  <si>
    <t>https://discord.com/channels/191975109500731392/1212839710439776287/1298692339421810709</t>
  </si>
  <si>
    <t>https://discord.com/channels/191975109500731392/1212839710439776287/1298692382308565053</t>
  </si>
  <si>
    <t>https://discord.com/channels/191975109500731392/1212839710439776287/1298692840171245670</t>
  </si>
  <si>
    <t>https://discord.com/channels/191975109500731392/1212839710439776287/1298696788643020852</t>
  </si>
  <si>
    <t>https://discord.com/channels/191975109500731392/1212839710439776287/1298705969605378179</t>
  </si>
  <si>
    <t>https://discord.com/channels/191975109500731392/1212839710439776287/1298739083710955621</t>
  </si>
  <si>
    <t>https://discord.com/channels/191975109500731392/1212839710439776287/1298770779873480706</t>
  </si>
  <si>
    <t>https://discord.com/channels/191975109500731392/1212839710439776287/1298770822315511890</t>
  </si>
  <si>
    <t>https://discord.com/channels/191975109500731392/1212839710439776287/1299019317358235690</t>
  </si>
  <si>
    <t>https://discord.com/channels/191975109500731392/1212839710439776287/1299045270968864839</t>
  </si>
  <si>
    <t>https://discord.com/channels/191975109500731392/1212839710439776287/1299045436115517471</t>
  </si>
  <si>
    <t>https://discord.com/channels/191975109500731392/1212839710439776287/1299045445888114763</t>
  </si>
  <si>
    <t>https://discord.com/channels/191975109500731392/1212839710439776287/1299046691739013120</t>
  </si>
  <si>
    <t>https://discord.com/channels/191975109500731392/1212839710439776287/1299052846703972396</t>
  </si>
  <si>
    <t>https://discord.com/channels/191975109500731392/1212839710439776287/1299052890467602575</t>
  </si>
  <si>
    <t>https://discord.com/channels/191975109500731392/1212839710439776287/1299113290332639245</t>
  </si>
  <si>
    <t>https://discord.com/channels/191975109500731392/1212839710439776287/1299113654519861259</t>
  </si>
  <si>
    <t>https://discord.com/channels/191975109500731392/1212839710439776287/1299129713008054345</t>
  </si>
  <si>
    <t>https://discord.com/channels/191975109500731392/1212839710439776287/1299137160464564245</t>
  </si>
  <si>
    <t>https://discord.com/channels/191975109500731392/1212839710439776287/1299137517307691068</t>
  </si>
  <si>
    <t>https://discord.com/channels/191975109500731392/1212839710439776287/1299155094134198342</t>
  </si>
  <si>
    <t>https://discord.com/channels/191975109500731392/1212839710439776287/1299385909531246673</t>
  </si>
  <si>
    <t>https://discord.com/channels/191975109500731392/1212839710439776287/1299385959946780793</t>
  </si>
  <si>
    <t>https://discord.com/channels/191975109500731392/1212839710439776287/1299386030197178398</t>
  </si>
  <si>
    <t>https://discord.com/channels/191975109500731392/1212839710439776287/1299386498159869992</t>
  </si>
  <si>
    <t>https://discord.com/channels/191975109500731392/1212839710439776287/1299544397939212330</t>
  </si>
  <si>
    <t>https://discord.com/channels/191975109500731392/1212839710439776287/1299544439684988950</t>
  </si>
  <si>
    <t>https://discord.com/channels/191975109500731392/1212839710439776287/1299819106643738646</t>
  </si>
  <si>
    <t>https://discord.com/channels/191975109500731392/1212839710439776287/1300458488551575643</t>
  </si>
  <si>
    <t>https://discord.com/channels/191975109500731392/1212839710439776287/1300459031445504021</t>
  </si>
  <si>
    <t>https://discord.com/channels/191975109500731392/1212839710439776287/1300459137607532564</t>
  </si>
  <si>
    <t>https://discord.com/channels/191975109500731392/1212839710439776287/1300459176786657331</t>
  </si>
  <si>
    <t>https://discord.com/channels/191975109500731392/1212839710439776287/1300473966758199347</t>
  </si>
  <si>
    <t>https://discord.com/channels/191975109500731392/1212839710439776287/1300473990548291696</t>
  </si>
  <si>
    <t>https://discord.com/channels/191975109500731392/1212839710439776287/1300507902179807436</t>
  </si>
  <si>
    <t>https://discord.com/channels/191975109500731392/1212839710439776287/1300516195090567219</t>
  </si>
  <si>
    <t>https://discord.com/channels/191975109500731392/1212839710439776287/1300834232586866688</t>
  </si>
  <si>
    <t>https://discord.com/channels/191975109500731392/1212839710439776287/1300867076054843522</t>
  </si>
  <si>
    <t>https://discord.com/channels/191975109500731392/1212839710439776287/1300882387923632219</t>
  </si>
  <si>
    <t>https://discord.com/channels/191975109500731392/1212839710439776287/1300896180347342848</t>
  </si>
  <si>
    <t>https://discord.com/channels/191975109500731392/1212839710439776287/1300896193584431184</t>
  </si>
  <si>
    <t>https://discord.com/channels/191975109500731392/1212839710439776287/1300896365609484341</t>
  </si>
  <si>
    <t>https://discord.com/channels/191975109500731392/1212839710439776287/1300896378377076836</t>
  </si>
  <si>
    <t>https://discord.com/channels/191975109500731392/1212839710439776287/1300931014926798918</t>
  </si>
  <si>
    <t>https://discord.com/channels/191975109500731392/1212839710439776287/1300931385921503415</t>
  </si>
  <si>
    <t>https://discord.com/channels/191975109500731392/1212839710439776287/1300931427948564501</t>
  </si>
  <si>
    <t>https://discord.com/channels/191975109500731392/1212839710439776287/1300931638296969337</t>
  </si>
  <si>
    <t>https://discord.com/channels/191975109500731392/1212839710439776287/1300950301284765736</t>
  </si>
  <si>
    <t>https://discord.com/channels/191975109500731392/1212839710439776287/1300958985662238840</t>
  </si>
  <si>
    <t>https://discord.com/channels/191975109500731392/1212839710439776287/1300969829297160324</t>
  </si>
  <si>
    <t>https://discord.com/channels/191975109500731392/1212839710439776287/1301167966271836162</t>
  </si>
  <si>
    <t>https://discord.com/channels/191975109500731392/1212839710439776287/1301167991135670354</t>
  </si>
  <si>
    <t>https://discord.com/channels/191975109500731392/1212839710439776287/1301181076215042089</t>
  </si>
  <si>
    <t>https://discord.com/channels/191975109500731392/1212839710439776287/1301201046399619202</t>
  </si>
  <si>
    <t>https://discord.com/channels/191975109500731392/1212839710439776287/1301201233666900021</t>
  </si>
  <si>
    <t>https://discord.com/channels/191975109500731392/1212839710439776287/1301201564626714704</t>
  </si>
  <si>
    <t>https://discord.com/channels/191975109500731392/1212839710439776287/1301201599846154261</t>
  </si>
  <si>
    <t>https://discord.com/channels/191975109500731392/1212839710439776287/1301231657218474105</t>
  </si>
  <si>
    <t>https://discord.com/channels/191975109500731392/1212839710439776287/1301241300988989510</t>
  </si>
  <si>
    <t>https://discord.com/channels/191975109500731392/1212839710439776287/1301241323596025986</t>
  </si>
  <si>
    <t>https://discord.com/channels/191975109500731392/1212839710439776287/1301259164135325697</t>
  </si>
  <si>
    <t>https://discord.com/channels/191975109500731392/1212839710439776287/1301264507984941182</t>
  </si>
  <si>
    <t>https://discord.com/channels/191975109500731392/1212839710439776287/1301290268015984680</t>
  </si>
  <si>
    <t>https://discord.com/channels/191975109500731392/1212839710439776287/1301321427055808643</t>
  </si>
  <si>
    <t>https://discord.com/channels/191975109500731392/1212839710439776287/1301532860066431078</t>
  </si>
  <si>
    <t>https://discord.com/channels/191975109500731392/1212839710439776287/1301582622199123978</t>
  </si>
  <si>
    <t>https://discord.com/channels/191975109500731392/1212839710439776287/1301582656395542560</t>
  </si>
  <si>
    <t>https://discord.com/channels/191975109500731392/1212839710439776287/1301625862650859530</t>
  </si>
  <si>
    <t>https://discord.com/channels/191975109500731392/1212839710439776287/1301626006012039340</t>
  </si>
  <si>
    <t>https://discord.com/channels/191975109500731392/1212839710439776287/1301627568478359602</t>
  </si>
  <si>
    <t>https://discord.com/channels/191975109500731392/1212839710439776287/1301627851375644714</t>
  </si>
  <si>
    <t>https://discord.com/channels/191975109500731392/1212839710439776287/1301630013728096387</t>
  </si>
  <si>
    <t>https://discord.com/channels/191975109500731392/1212839710439776287/1301646003325374485</t>
  </si>
  <si>
    <t>https://discord.com/channels/191975109500731392/1212839710439776287/1301742297393664012</t>
  </si>
  <si>
    <t>https://discord.com/channels/191975109500731392/1212839710439776287/1301742331631763488</t>
  </si>
  <si>
    <t>https://discord.com/channels/191975109500731392/1212839710439776287/1301919686220316757</t>
  </si>
  <si>
    <t>https://discord.com/channels/191975109500731392/1212839710439776287/1301919699117805673</t>
  </si>
  <si>
    <t>https://discord.com/channels/191975109500731392/1212839710439776287/1301969881172021338</t>
  </si>
  <si>
    <t>https://discord.com/channels/191975109500731392/1212839710439776287/1302373502787256392</t>
  </si>
  <si>
    <t>https://discord.com/channels/191975109500731392/1212839710439776287/1302690184013549669</t>
  </si>
  <si>
    <t>https://discord.com/channels/191975109500731392/1212839710439776287/1302698179560472596</t>
  </si>
  <si>
    <t>https://discord.com/channels/191975109500731392/1212839710439776287/1302797557172408320</t>
  </si>
  <si>
    <t>https://discord.com/channels/191975109500731392/1212839710439776287/1302797773501890652</t>
  </si>
  <si>
    <t>https://discord.com/channels/191975109500731392/1212839710439776287/1302843267167162379</t>
  </si>
  <si>
    <t>https://discord.com/channels/191975109500731392/1212839710439776287/1303007868261236736</t>
  </si>
  <si>
    <t>https://discord.com/channels/191975109500731392/1212839710439776287/1303020809064939580</t>
  </si>
  <si>
    <t>https://discord.com/channels/191975109500731392/1212839710439776287/1303031486206840914</t>
  </si>
  <si>
    <t>https://discord.com/channels/191975109500731392/1212839710439776287/1303032055533277204</t>
  </si>
  <si>
    <t>https://discord.com/channels/191975109500731392/1212839710439776287/1303067172477734993</t>
  </si>
  <si>
    <t>https://discord.com/channels/191975109500731392/1212839710439776287/1303105423943143425</t>
  </si>
  <si>
    <t>https://discord.com/channels/191975109500731392/1212839710439776287/1303105483858509835</t>
  </si>
  <si>
    <t>https://discord.com/channels/191975109500731392/1212839710439776287/1303122021475160114</t>
  </si>
  <si>
    <t>https://discord.com/channels/191975109500731392/1212839710439776287/1303122029377097821</t>
  </si>
  <si>
    <t>https://discord.com/channels/191975109500731392/1212839710439776287/1303128647032635482</t>
  </si>
  <si>
    <t>https://discord.com/channels/191975109500731392/1212839710439776287/1303385540112027780</t>
  </si>
  <si>
    <t>https://discord.com/channels/191975109500731392/1212839710439776287/1303410789629296661</t>
  </si>
  <si>
    <t>https://discord.com/channels/191975109500731392/1212839710439776287/1303415768654024867</t>
  </si>
  <si>
    <t>https://discord.com/channels/191975109500731392/1212839710439776287/1303429920600490044</t>
  </si>
  <si>
    <t>https://discord.com/channels/191975109500731392/1212839710439776287/1303430346809020491</t>
  </si>
  <si>
    <t>https://discord.com/channels/191975109500731392/1212839710439776287/1303752308647002214</t>
  </si>
  <si>
    <t>https://discord.com/channels/191975109500731392/1212839710439776287/1303874643798523916</t>
  </si>
  <si>
    <t>https://discord.com/channels/191975109500731392/1212839710439776287/1304247656612364320</t>
  </si>
  <si>
    <t>https://discord.com/channels/191975109500731392/1212839710439776287/1304459504380936233</t>
  </si>
  <si>
    <t>https://discord.com/channels/191975109500731392/1212839710439776287/1304459592280969246</t>
  </si>
  <si>
    <t>https://discord.com/channels/191975109500731392/1212839710439776287/1304534355435061260</t>
  </si>
  <si>
    <t>https://discord.com/channels/191975109500731392/1212839710439776287/1304534744494510080</t>
  </si>
  <si>
    <t>https://discord.com/channels/191975109500731392/1212839710439776287/1305566241100140545</t>
  </si>
  <si>
    <t>https://discord.com/channels/191975109500731392/1212839710439776287/1305629130473214055</t>
  </si>
  <si>
    <t>https://discord.com/channels/191975109500731392/1212839710439776287/1305644540702494851</t>
  </si>
  <si>
    <t>https://discord.com/channels/191975109500731392/1212839710439776287/1305644637977051196</t>
  </si>
  <si>
    <t>https://discord.com/channels/191975109500731392/1212839710439776287/1305916213112606791</t>
  </si>
  <si>
    <t>https://discord.com/channels/191975109500731392/1212839710439776287/1305916269425590292</t>
  </si>
  <si>
    <t>https://discord.com/channels/191975109500731392/1212839710439776287/1305991430577197189</t>
  </si>
  <si>
    <t>https://discord.com/channels/191975109500731392/1212839710439776287/1306269682105585744</t>
  </si>
  <si>
    <t>https://discord.com/channels/191975109500731392/1212839710439776287/1306269738594472048</t>
  </si>
  <si>
    <t>https://discord.com/channels/191975109500731392/1212839710439776287/1306286895415824486</t>
  </si>
  <si>
    <t>https://discord.com/channels/191975109500731392/1212839710439776287/1306291084233674812</t>
  </si>
  <si>
    <t>https://discord.com/channels/191975109500731392/1212839710439776287/1306320647663779951</t>
  </si>
  <si>
    <t>https://discord.com/channels/191975109500731392/1212839710439776287/1306321532456534077</t>
  </si>
  <si>
    <t>https://discord.com/channels/191975109500731392/1212839710439776287/1306322011169099806</t>
  </si>
  <si>
    <t>https://discord.com/channels/191975109500731392/1212839710439776287/1306323790631796746</t>
  </si>
  <si>
    <t>https://discord.com/channels/191975109500731392/1212839710439776287/1306325863213830194</t>
  </si>
  <si>
    <t>https://discord.com/channels/191975109500731392/1212839710439776287/1306347646314876960</t>
  </si>
  <si>
    <t>https://discord.com/channels/191975109500731392/1212839710439776287/1306348424131641394</t>
  </si>
  <si>
    <t>https://discord.com/channels/191975109500731392/1212839710439776287/1306647744668242045</t>
  </si>
  <si>
    <t>https://discord.com/channels/191975109500731392/1212839710439776287/1306647855506657343</t>
  </si>
  <si>
    <t>https://discord.com/channels/191975109500731392/1212839710439776287/1307003349559672863</t>
  </si>
  <si>
    <t>https://discord.com/channels/191975109500731392/1212839710439776287/1307003512877613138</t>
  </si>
  <si>
    <t>https://discord.com/channels/191975109500731392/1212839710439776287/1307012159531913257</t>
  </si>
  <si>
    <t>https://discord.com/channels/191975109500731392/1212839710439776287/1307087908112568380</t>
  </si>
  <si>
    <t>https://discord.com/channels/191975109500731392/1212839710439776287/1307088382123446464</t>
  </si>
  <si>
    <t>https://discord.com/channels/191975109500731392/1212839710439776287/1307405725676601464</t>
  </si>
  <si>
    <t>https://discord.com/channels/191975109500731392/1212839710439776287/1307474919642366042</t>
  </si>
  <si>
    <t>https://discord.com/channels/191975109500731392/1212839710439776287/1307765604966465546</t>
  </si>
  <si>
    <t>https://discord.com/channels/191975109500731392/1212839710439776287/1307768734617833483</t>
  </si>
  <si>
    <t>https://discord.com/channels/191975109500731392/1212839710439776287/1307852452627742730</t>
  </si>
  <si>
    <t>https://discord.com/channels/191975109500731392/1212839710439776287/1307852883529568306</t>
  </si>
  <si>
    <t>https://discord.com/channels/191975109500731392/1212839710439776287/1307853676982833152</t>
  </si>
  <si>
    <t>https://discord.com/channels/191975109500731392/1212839710439776287/1308082267284832397</t>
  </si>
  <si>
    <t>https://discord.com/channels/191975109500731392/1212839710439776287/1308102933140738151</t>
  </si>
  <si>
    <t>https://discord.com/channels/191975109500731392/1212839710439776287/1308113966425182248</t>
  </si>
  <si>
    <t>https://discord.com/channels/191975109500731392/1212839710439776287/1308121411226964082</t>
  </si>
  <si>
    <t>https://discord.com/channels/191975109500731392/1212839710439776287/1308121535399067651</t>
  </si>
  <si>
    <t>https://discord.com/channels/191975109500731392/1212839710439776287/1308124387198763048</t>
  </si>
  <si>
    <t>https://discord.com/channels/191975109500731392/1212839710439776287/1308143286195720253</t>
  </si>
  <si>
    <t>https://discord.com/channels/191975109500731392/1212839710439776287/1308143316772192276</t>
  </si>
  <si>
    <t>https://discord.com/channels/191975109500731392/1212839710439776287/1308504076975345684</t>
  </si>
  <si>
    <t>https://discord.com/channels/191975109500731392/1212839710439776287/1308854195683852301</t>
  </si>
  <si>
    <t>https://discord.com/channels/191975109500731392/1212839710439776287/1308906961777201264</t>
  </si>
  <si>
    <t>https://discord.com/channels/191975109500731392/1212839710439776287/1308944897876689008</t>
  </si>
  <si>
    <t>https://discord.com/channels/191975109500731392/1212839710439776287/1309266779520106639</t>
  </si>
  <si>
    <t>https://discord.com/channels/191975109500731392/1212839710439776287/1309266850651312210</t>
  </si>
  <si>
    <t>https://discord.com/channels/191975109500731392/1212839710439776287/1309286635040669760</t>
  </si>
  <si>
    <t>https://discord.com/channels/191975109500731392/1212839710439776287/1309298750392500224</t>
  </si>
  <si>
    <t>https://discord.com/channels/191975109500731392/1212839710439776287/1309555847516524585</t>
  </si>
  <si>
    <t>https://discord.com/channels/191975109500731392/1212839710439776287/1309556636158787696</t>
  </si>
  <si>
    <t>https://discord.com/channels/191975109500731392/1212839710439776287/1309558746346815488</t>
  </si>
  <si>
    <t>https://discord.com/channels/191975109500731392/1212839710439776287/1309559081740271716</t>
  </si>
  <si>
    <t>https://discord.com/channels/191975109500731392/1212839710439776287/1309578429578088488</t>
  </si>
  <si>
    <t>https://discord.com/channels/191975109500731392/1212839710439776287/1309591299304853606</t>
  </si>
  <si>
    <t>https://discord.com/channels/191975109500731392/1212839710439776287/1309591449180045332</t>
  </si>
  <si>
    <t>https://discord.com/channels/191975109500731392/1212839710439776287/1309632194163118111</t>
  </si>
  <si>
    <t>https://discord.com/channels/191975109500731392/1212839710439776287/1310288988925333596</t>
  </si>
  <si>
    <t>https://discord.com/channels/191975109500731392/1212839710439776287/1310289007694970911</t>
  </si>
  <si>
    <t>https://discord.com/channels/191975109500731392/1212839710439776287/1310383929705894059</t>
  </si>
  <si>
    <t>https://discord.com/channels/191975109500731392/1212839710439776287/1310384039307513866</t>
  </si>
  <si>
    <t>https://discord.com/channels/191975109500731392/1212839710439776287/1310386669328924743</t>
  </si>
  <si>
    <t>https://discord.com/channels/191975109500731392/1212839710439776287/1310386702732361849</t>
  </si>
  <si>
    <t>https://discord.com/channels/191975109500731392/1212839710439776287/1310386713373179966</t>
  </si>
  <si>
    <t>https://discord.com/channels/191975109500731392/1212839710439776287/1310647810495877181</t>
  </si>
  <si>
    <t>https://discord.com/channels/191975109500731392/1212839710439776287/1310755500517888103</t>
  </si>
  <si>
    <t>https://discord.com/channels/191975109500731392/1212839710439776287/1311030514810880082</t>
  </si>
  <si>
    <t>https://discord.com/channels/191975109500731392/1212839710439776287/1311032210320654397</t>
  </si>
  <si>
    <t>https://discord.com/channels/191975109500731392/1212839710439776287/1311060693117698192</t>
  </si>
  <si>
    <t>https://discord.com/channels/191975109500731392/1212839710439776287/1311060735585161286</t>
  </si>
  <si>
    <t>https://discord.com/channels/191975109500731392/1212839710439776287/1313173452471009412</t>
  </si>
  <si>
    <t>https://discord.com/channels/191975109500731392/1212839710439776287/1313233013265666138</t>
  </si>
  <si>
    <t>https://discord.com/channels/191975109500731392/1212839710439776287/1313252282225262672</t>
  </si>
  <si>
    <t>https://discord.com/channels/191975109500731392/1212839710439776287/1313252325305090159</t>
  </si>
  <si>
    <t>https://discord.com/channels/191975109500731392/1212839710439776287/1313257092437512223</t>
  </si>
  <si>
    <t>https://discord.com/channels/191975109500731392/1212839710439776287/1313265054287659049</t>
  </si>
  <si>
    <t>https://discord.com/channels/191975109500731392/1212839710439776287/1313573221735465011</t>
  </si>
  <si>
    <t>https://discord.com/channels/191975109500731392/1212839710439776287/1313573294737461252</t>
  </si>
  <si>
    <t>https://discord.com/channels/191975109500731392/1212839710439776287/1313582823126470769</t>
  </si>
  <si>
    <t>https://discord.com/channels/191975109500731392/1212839710439776287/1313582996934365185</t>
  </si>
  <si>
    <t>https://discord.com/channels/191975109500731392/1212839710439776287/1313651624417431644</t>
  </si>
  <si>
    <t>https://discord.com/channels/191975109500731392/1212839710439776287/1313652514222243842</t>
  </si>
  <si>
    <t>https://discord.com/channels/191975109500731392/1212839710439776287/1313880232931098706</t>
  </si>
  <si>
    <t>https://discord.com/channels/191975109500731392/1212839710439776287/1313888013629132822</t>
  </si>
  <si>
    <t>https://discord.com/channels/191975109500731392/1212839710439776287/1313978787951546418</t>
  </si>
  <si>
    <t>https://discord.com/channels/191975109500731392/1212839710439776287/1313978885066588271</t>
  </si>
  <si>
    <t>https://discord.com/channels/191975109500731392/1212839710439776287/1313979554393751704</t>
  </si>
  <si>
    <t>https://discord.com/channels/191975109500731392/1212839710439776287/1313979668109594644</t>
  </si>
  <si>
    <t>https://discord.com/channels/191975109500731392/1212839710439776287/1314256983800549419</t>
  </si>
  <si>
    <t>https://discord.com/channels/191975109500731392/1212839710439776287/1314257591911583755</t>
  </si>
  <si>
    <t>https://discord.com/channels/191975109500731392/1212839710439776287/1314257814335520838</t>
  </si>
  <si>
    <t>https://discord.com/channels/191975109500731392/1212839710439776287/1314717323059396648</t>
  </si>
  <si>
    <t>https://discord.com/channels/191975109500731392/1212839710439776287/1314764613304193036</t>
  </si>
  <si>
    <t>https://discord.com/channels/191975109500731392/1212839710439776287/1314764643943583804</t>
  </si>
  <si>
    <t>https://discord.com/channels/191975109500731392/1212839710439776287/1314992864324882665</t>
  </si>
  <si>
    <t>https://discord.com/channels/191975109500731392/1212839710439776287/1314993395613302925</t>
  </si>
  <si>
    <t>https://discord.com/channels/191975109500731392/1212839710439776287/1315741543428128778</t>
  </si>
  <si>
    <t>https://discord.com/channels/191975109500731392/1212839710439776287/1315801234598395984</t>
  </si>
  <si>
    <t>https://media.discordapp.net/attachments/1212839710439776287/1277352689910677635/IMG_9684.jpg?ex=66d8b865&amp;is=66d766e5&amp;hm=1f04f119402691c1c7c379953474404873dbc457ad84821a86985cf0d3239f08&amp;=&amp;format=webp&amp;width=657&amp;height=876</t>
  </si>
  <si>
    <t>https://media.discordapp.net/attachments/1212839710439776287/1277678736518676593/IMG_9689.jpg?ex=66d8968c&amp;is=66d7450c&amp;hm=a11669997033ca54e9ba2a6fccf0585abccd20628527f4f86b4c6460975c62f1&amp;=&amp;format=webp&amp;width=657&amp;height=876</t>
  </si>
  <si>
    <t>https://media.discordapp.net/attachments/1212839710439776287/1278367063504851005/IMG_0812.jpg?ex=66d8749a&amp;is=66d7231a&amp;hm=57547a3819aded153769ffd8af3cf7b760ec145af46b599fc15eb26a2d32abee&amp;=&amp;format=webp&amp;width=657&amp;height=876</t>
  </si>
  <si>
    <t>https://media.discordapp.net/attachments/1212839710439776287/1278458508433428555/IMG_9700.jpg?ex=66d8c9c5&amp;is=66d77845&amp;hm=82b333d6203994e5578dd04b08e7110709ebd687029c1d50431459e413a90de4&amp;=&amp;format=webp&amp;width=657&amp;height=876</t>
  </si>
  <si>
    <t>https://media.discordapp.net/attachments/1212839710439776287/1278734487240314950/IMG_3593.jpg?ex=66d8794b&amp;is=66d727cb&amp;hm=a40481608cfdca9cf9ec703b972faf3a8984f20beafa8a1aed60ff972219755f&amp;=&amp;format=webp&amp;width=915&amp;height=876</t>
  </si>
  <si>
    <t>https://media.discordapp.net/attachments/1212839710439776287/1278753785367494759/IMG_5474.jpg?ex=66d88b44&amp;is=66d739c4&amp;hm=e03b370c9bb8c684a596f4e86f03627281065cb94e2887597bb98b0161e2228d&amp;=&amp;format=webp&amp;width=657&amp;height=876</t>
  </si>
  <si>
    <t>https://media.discordapp.net/attachments/1212839710439776287/1278753593067049022/IMG_0819.jpg?ex=66d88b16&amp;is=66d73996&amp;hm=f4fe36faa51759a98e210d23c29870faa342786a30197879f765665efe17152f&amp;=&amp;format=webp&amp;width=657&amp;height=876</t>
  </si>
  <si>
    <t>https://media.discordapp.net/attachments/1212839710439776287/1279106776695836714/IMG_0843.jpg?ex=66d88284&amp;is=66d73104&amp;hm=010b512e8223a54b5a1d81d227cc367b6c3fef75279ecae536541c3e65712252&amp;=&amp;format=webp&amp;width=657&amp;height=876</t>
  </si>
  <si>
    <t>https://media.discordapp.net/attachments/1212839710439776287/1279107376691150948/IMG_0844.jpg?ex=66d88313&amp;is=66d73193&amp;hm=66e41315e43a774944f74c29dc23dddfe5e09cc7c23ca3ce40f6209b654a0479&amp;=&amp;format=webp&amp;width=1168&amp;height=876</t>
  </si>
  <si>
    <t>https://media.discordapp.net/attachments/1212839710439776287/1280577132384358520/IMG_0872.jpg?ex=66d895e4&amp;is=66d74464&amp;hm=1130131adc8d5ba29e822f1ca87db1d7063aebf23c6e12e41ebebfcd9d2c63cb&amp;=&amp;format=webp&amp;width=657&amp;height=876</t>
  </si>
  <si>
    <t>https://media.discordapp.net/attachments/1212839710439776287/1280579388139901020/IMG_9966.jpg?ex=66d897fe&amp;is=66d7467e&amp;hm=73c302d02f6ee1de7338c13995ca8d1dde9cab3f88602347cbf4fe213c5c6d17&amp;=&amp;format=webp&amp;width=657&amp;height=876</t>
  </si>
  <si>
    <t>https://media.discordapp.net/attachments/1212839710439776287/1280605895658831975/IMG_9752.jpg?ex=66d8b0ae&amp;is=66d75f2e&amp;hm=d94495abcb20d45a16577c43eae7d0f324a051516c3569c38e775301f8fab5f2&amp;=&amp;format=webp&amp;width=657&amp;height=876</t>
  </si>
  <si>
    <t>https://media.discordapp.net/attachments/1212839710439776287/1280605974172008592/IMG_6209.jpg?ex=66d8b0c0&amp;is=66d75f40&amp;hm=48bd9fde8e4c7c1c64acdec60431c7a7e545a04bb07f6dced21315e9b629e4cb&amp;=&amp;format=webp&amp;width=657&amp;height=876</t>
  </si>
  <si>
    <t>https://media.discordapp.net/attachments/1212839710439776287/1280630187544936488/IMG_9753.jpg?ex=66d8c74d&amp;is=66d775cd&amp;hm=90d2b7948f8d2b7a17f0a4cad33d5d8a3d2975dfd6330d612e1605695cb691b2&amp;=&amp;format=webp&amp;width=657&amp;height=876</t>
  </si>
  <si>
    <t>https://media.discordapp.net/attachments/1212839710439776287/1280630326091059260/PXL_20240903_204639273.jpg?ex=66d8c76e&amp;is=66d775ee&amp;hm=65a8ae2788e22f89af6a777799657322196b90324a1b781cc1c71abde196f3ef&amp;=&amp;format=webp&amp;width=492&amp;height=874</t>
  </si>
  <si>
    <t>https://media.discordapp.net/attachments/1212839710439776287/1280904760328982630/image.jpg?ex=66d9c704&amp;is=66d87584&amp;hm=cba73453ebae8a9e51455943096591d0274c7f4f90193e0bbbc93150b6d3fe3b&amp;=&amp;format=webp&amp;width=657&amp;height=876</t>
  </si>
  <si>
    <t>Involvement</t>
  </si>
  <si>
    <t>https://media.discordapp.net/attachments/1212839710439776287/1280904799382011994/IMG_0888.jpg?ex=66d9c70e&amp;is=66d8758e&amp;hm=af14c120eff3cd3fd3d7bcdedc4fb4dac0ebd45a4b5f26e2b96cc091f4bf7a46&amp;=&amp;format=webp&amp;width=657&amp;height=876</t>
  </si>
  <si>
    <t>https://media.discordapp.net/attachments/1212839710439776287/1280906666250076182/IMG_9755.jpg?ex=66d9c8cb&amp;is=66d8774b&amp;hm=e94195946302b35c2eaead8e00f8cb09510aea8175389518142a979a265556dd&amp;=&amp;format=webp&amp;width=657&amp;height=876</t>
  </si>
  <si>
    <t>https://media.discordapp.net/attachments/1212839710439776287/1280916301723865118/IMG_0024.jpg?ex=66d9d1c4&amp;is=66d88044&amp;hm=b75ac0c4a302721e8e3a8ce2eda33b33fc7232283ce9ff9b0fd16a87dd2159c9&amp;=&amp;format=webp&amp;width=657&amp;height=876</t>
  </si>
  <si>
    <t>https://media.discordapp.net/attachments/1212839710439776287/1280949676497174639/IMG_0029.jpg?ex=66d9f0d9&amp;is=66d89f59&amp;hm=9536c6c2071867f78706d4a44cc19e60cbbe0145ca9d73d99bad928264e9fbd8&amp;=&amp;format=webp&amp;width=657&amp;height=876</t>
  </si>
  <si>
    <t>https://media.discordapp.net/attachments/1212839710439776287/1280949677205880893/IMG_0031.jpg?ex=66d9f0d9&amp;is=66d89f59&amp;hm=95c63ae3123fbba409cf3f1b3a39e042671a7883f86273b1d968360625784a42&amp;=&amp;format=webp&amp;width=657&amp;height=876</t>
  </si>
  <si>
    <t>https://media.discordapp.net/attachments/1212839710439776287/1281017660481601622/6011E0D7-56D7-4C16-996D-1C335FB7A821.jpg?ex=66e01eea&amp;is=66decd6a&amp;hm=498f8d5c3c9633d3e8adefdae6800e3e2d5dff02d55f615022603c1567f25c98&amp;=&amp;format=webp&amp;width=657&amp;height=876</t>
  </si>
  <si>
    <t>https://media.discordapp.net/attachments/1212839710439776287/1281021962260451339/IMG_9758.jpg?ex=66e022ec&amp;is=66ded16c&amp;hm=83a7b63cf6146f6c88438bf3ac2642b7b5f29a7e5c3fbb847082bb49173c4728&amp;=&amp;format=webp&amp;width=657&amp;height=876</t>
  </si>
  <si>
    <t>https://media.discordapp.net/attachments/1212839710439776287/1281273353717551214/IMG_9761.jpg?ex=66e0644c&amp;is=66df12cc&amp;hm=3810ed2172daec7b4e2c440c4a5aa966b61380497260b406c63c1a10f29f3e67&amp;=&amp;format=webp&amp;width=657&amp;height=876</t>
  </si>
  <si>
    <t>https://media.discordapp.net/attachments/1212839710439776287/1281288238845399141/PXL_20240905_162109539.jpg?ex=66e07229&amp;is=66df20a9&amp;hm=8470c5ab0bb304c517e2106c13f83ce51bdb512f8ab42580251b97e9160ab88d&amp;=&amp;format=webp&amp;width=492&amp;height=874</t>
  </si>
  <si>
    <t>https://media.discordapp.net/attachments/1212839710439776287/1282083076163240027/IMG_6245.jpg?ex=66e00aa9&amp;is=66deb929&amp;hm=d42a28dacaac4c05bf07b794186f748d300585ac2c95495f0911166ab4d84212&amp;=&amp;format=webp&amp;width=657&amp;height=876</t>
  </si>
  <si>
    <t>https://media.discordapp.net/attachments/1212839710439776287/1282720914332582031/PXL_20240909_1513352522.jpg?ex=66e06271&amp;is=66df10f1&amp;hm=b2cdb44f4395a96d4ec22a541140c9ce28dcff9e81adca04046511c7b9ee6b36&amp;=&amp;format=webp&amp;width=492&amp;height=874</t>
  </si>
  <si>
    <t>https://media.discordapp.net/attachments/1212839710439776287/1282745595345240207/IMG_9781.jpg?ex=66e0796e&amp;is=66df27ee&amp;hm=da964e0128b0e77eb97a447f18ab5f856ca93640a489e27eb8e73a35362471b4&amp;=&amp;format=webp&amp;width=657&amp;height=876</t>
  </si>
  <si>
    <t>https://media.discordapp.net/attachments/1212839710439776287/1282747756225630288/image.jpg?ex=66e07b71&amp;is=66df29f1&amp;hm=a0f96c6e96335b4f9dd4ef4c06a359f8d87ecf605692ec41487652c6c43b02f3&amp;=&amp;format=webp&amp;width=657&amp;height=876</t>
  </si>
  <si>
    <t>https://media.discordapp.net/attachments/1212839710439776287/1282747813091872940/IMG_0906.jpg?ex=66e07b7e&amp;is=66df29fe&amp;hm=737ee5eb3d8d7b01f28adbf80d3b8a9df356ff9434cc8946f46a379b12b2d942&amp;=&amp;format=webp&amp;width=657&amp;height=876</t>
  </si>
  <si>
    <t>https://media.discordapp.net/attachments/1212839710439776287/1282754419263406183/IMG_0907.jpg?ex=66e081a5&amp;is=66df3025&amp;hm=a0a27f4c773019c06cc5ab5e52950030f825b859e7772789925650e143b6d742&amp;=&amp;format=webp&amp;width=657&amp;height=876</t>
  </si>
  <si>
    <t>https://media.discordapp.net/attachments/1212839710439776287/1282755803501170879/IMG_0113.jpg?ex=66e082f0&amp;is=66df3170&amp;hm=737ce410b7fc698a1fefd89455bc95977f51bc4e762e62fec4bc68b4b213e69a&amp;=&amp;format=webp&amp;width=657&amp;height=876</t>
  </si>
  <si>
    <t>https://media.discordapp.net/attachments/1212839710439776287/1282762630439899228/IMG_0908.jpg?ex=66e47dcb&amp;is=66e32c4b&amp;hm=32bb1b8402c99cffc01a9ef7653a61c4c9c606cee5e840213f50c96e9ee701f1&amp;=&amp;format=webp&amp;width=657&amp;height=876</t>
  </si>
  <si>
    <t>https://media.discordapp.net/attachments/1212839710439776287/1283455781148164116/PXL_20240911_155058535.jpg?ex=66e46057&amp;is=66e30ed7&amp;hm=c12f6d3a7fa965997c1b541cad7094438b4e8242923061cb93237db352647687&amp;=&amp;format=webp&amp;width=492&amp;height=874</t>
  </si>
  <si>
    <t>https://media.discordapp.net/attachments/1212839710439776287/1283501454258212944/IMG_9785.jpg?ex=66e48ae0&amp;is=66e33960&amp;hm=5e8339fe8485b1cf6dfe92e5cbbb183baa739119fedf006cd8231f0982b0c370&amp;=&amp;format=webp&amp;width=657&amp;height=876</t>
  </si>
  <si>
    <t>https://media.discordapp.net/attachments/1212839710439776287/1283533540964958279/IMG_5655.jpg?ex=66e40003&amp;is=66e2ae83&amp;hm=95cb63f6908820d9dc759eed0fb808a4fe869461a7b5ca615c5ae9364fd96d1b&amp;=&amp;format=webp&amp;width=657&amp;height=876</t>
  </si>
  <si>
    <t>https://media.discordapp.net/attachments/1212839710439776287/1283843454975348737/20240912_133453.jpg?ex=66e477e4&amp;is=66e32664&amp;hm=13384f356856b2409880f16f0181add6cb98a76ab905dd9cb41408f2c2bed0a6&amp;=&amp;format=webp&amp;width=1168&amp;height=876</t>
  </si>
  <si>
    <t>https://media.discordapp.net/attachments/1212839710439776287/1283843643538411561/IMG_0920.jpg?ex=66e47811&amp;is=66e32691&amp;hm=882424e9b8565bd98315bed01491f7b281fedfcf70cf99281bd834cf41cd9878&amp;=&amp;format=webp&amp;width=657&amp;height=876</t>
  </si>
  <si>
    <t>https://media.discordapp.net/attachments/1212839710439776287/1283849948168847391/IMG_0921.jpg?ex=66e47df0&amp;is=66e32c70&amp;hm=27e1226a7895f63b4242f14df4106adb90ac201eff723823d32441119d155966&amp;=&amp;format=webp&amp;width=657&amp;height=876</t>
  </si>
  <si>
    <t>https://media.discordapp.net/attachments/1212839710439776287/1283852063020810250/PXL_20240912_180905725.jpg?ex=66e47fe8&amp;is=66e32e68&amp;hm=9ac3c0083feed6ddf85d299bb5bb457c8988c3790da62d9403d173c148227141&amp;=&amp;format=webp&amp;width=492&amp;height=874</t>
  </si>
  <si>
    <t>https://media.discordapp.net/attachments/1212839710439776287/1283872800414892108/IMG_0922.jpg?ex=66e49338&amp;is=66e341b8&amp;hm=90f1579e96845b0ad80d2b76d88a3681b25d295d378e3b5f3f2247c7f0aa55ba&amp;=&amp;format=webp&amp;width=1168&amp;height=876</t>
  </si>
  <si>
    <t>https://media.discordapp.net/attachments/1212839710439776287/1283872916475215912/65EB0CCE-33C6-48A6-AE5E-E6DACDD833EF.jpg?ex=66e49354&amp;is=66e341d4&amp;hm=5bae8bdd199e9770d26eac89b84157813bef5ee5af3a0f2d9aed68f15577b522&amp;=&amp;format=webp&amp;width=657&amp;height=876</t>
  </si>
  <si>
    <t>https://media.discordapp.net/attachments/1212839710439776287/1284206593042419743/IMG_5671.jpg?ex=66e5ca17&amp;is=66e47897&amp;hm=ee7c1ead33ea9fa6b6fbfb33ee7588c647f14217b54b00179195b531ddf50dd4&amp;=&amp;format=webp&amp;width=657&amp;height=876</t>
  </si>
  <si>
    <t>https://media.discordapp.net/attachments/1212839710439776287/1284206473274069073/20240913_133733.jpg?ex=66e5c9fa&amp;is=66e4787a&amp;hm=e34ca0a1a2ca5462fb5519f08ac1ede1271d39c37c6447530dae553098ad3526&amp;=&amp;format=webp&amp;width=657&amp;height=876</t>
  </si>
  <si>
    <t>https://media.discordapp.net/attachments/1212839710439776287/1284208928892125194/IMG_0927.jpg?ex=66e5cc44&amp;is=66e47ac4&amp;hm=6f87c1bc770c0ada4da7320aad068279bcc24330dd0e774325a20c4bd87fa4bf&amp;=&amp;format=webp&amp;width=394&amp;height=525</t>
  </si>
  <si>
    <t>https://media.discordapp.net/attachments/1212839710439776287/1284209185575276574/F47ECE56-F318-4BFF-B7EE-F580DE7EC85B.jpg?ex=66e5cc81&amp;is=66e47b01&amp;hm=f34f017c4bac363c0048aa122eec58f7c091106b40811f5fbe17e7f0ab3de082&amp;=&amp;format=webp&amp;width=394&amp;height=525</t>
  </si>
  <si>
    <t>https://media.discordapp.net/attachments/1212839710439776287/1284245010111271014/IMG_9792.jpg?ex=66e9399e&amp;is=66e7e81e&amp;hm=e50e875a4769266af805aff5336b77f9d79bf01d466de121021e9280de1b64f7&amp;=&amp;format=webp&amp;width=657&amp;height=876</t>
  </si>
  <si>
    <t>Totals</t>
  </si>
  <si>
    <t>Total Snipes:</t>
  </si>
  <si>
    <t>Discord</t>
  </si>
  <si>
    <t>Seth</t>
  </si>
  <si>
    <t>Total Points:</t>
  </si>
  <si>
    <t>Most Kills:</t>
  </si>
  <si>
    <t>Most Deaths:</t>
  </si>
  <si>
    <t>Most Kill Pts:</t>
  </si>
  <si>
    <t>Most Death Pts:</t>
  </si>
  <si>
    <t>Best KDR:</t>
  </si>
  <si>
    <t>Best KpDpR:</t>
  </si>
  <si>
    <t>Data By Voice Part:</t>
  </si>
  <si>
    <t>Seth + Grady</t>
  </si>
  <si>
    <t>https://discord.com/channels/191975109500731392/1212839710439776287/1212845263862108160</t>
  </si>
  <si>
    <t>https://discord.com/channels/191975109500731392/1212839710439776287/1212845397924646943</t>
  </si>
  <si>
    <t>https://discord.com/channels/191975109500731392/1212839710439776287/1212879934528421971</t>
  </si>
  <si>
    <t>https://discord.com/channels/191975109500731392/1212839710439776287/1213187873935728680</t>
  </si>
  <si>
    <t>https://discord.com/channels/191975109500731392/1212839710439776287/1213194839336816710</t>
  </si>
  <si>
    <t>https://discord.com/channels/191975109500731392/1212839710439776287/1214299533304135760</t>
  </si>
  <si>
    <t>https://discord.com/channels/191975109500731392/1212839710439776287/1214328987526897704</t>
  </si>
  <si>
    <t>https://discord.com/channels/191975109500731392/1212839710439776287/1214411804231340092</t>
  </si>
  <si>
    <t>Worst KDR:</t>
  </si>
  <si>
    <t>https://discord.com/channels/191975109500731392/1212839710439776287/1214593533567307806</t>
  </si>
  <si>
    <t>https://discord.com/channels/191975109500731392/1212839710439776287/1214963667682992178</t>
  </si>
  <si>
    <t>Worst KpDpR:</t>
  </si>
  <si>
    <t>https://discord.com/channels/191975109500731392/1212839710439776287/1214964509249241108</t>
  </si>
  <si>
    <t>https://discord.com/channels/191975109500731392/1212839710439776287/1215015942325665893</t>
  </si>
  <si>
    <t>https://discord.com/channels/191975109500731392/1212839710439776287/1215050831033012354</t>
  </si>
  <si>
    <t>https://discord.com/channels/191975109500731392/1212839710439776287/1215326037072678973</t>
  </si>
  <si>
    <t>https://discord.com/channels/191975109500731392/1212839710439776287/1215363180306636860</t>
  </si>
  <si>
    <t>https://discord.com/channels/191975109500731392/1212839710439776287/1215371451373199452</t>
  </si>
  <si>
    <t>https://discord.com/channels/191975109500731392/1212839710439776287/1215409481089945600</t>
  </si>
  <si>
    <t>https://discord.com/channels/191975109500731392/1212839710439776287/1215409500413104139</t>
  </si>
  <si>
    <t>https://discord.com/channels/191975109500731392/1212839710439776287/1215736616535064616</t>
  </si>
  <si>
    <t>https://discord.com/channels/191975109500731392/1212839710439776287/1217278694968524851</t>
  </si>
  <si>
    <t>https://discord.com/channels/191975109500731392/1212839710439776287/1217278712123494532</t>
  </si>
  <si>
    <t>https://discord.com/channels/191975109500731392/1212839710439776287/1217278716401422427</t>
  </si>
  <si>
    <t>https://discord.com/channels/191975109500731392/1212839710439776287/1217580596029558795</t>
  </si>
  <si>
    <t>https://discord.com/channels/191975109500731392/1212839710439776287/1217581037366935612</t>
  </si>
  <si>
    <t>https://discord.com/channels/191975109500731392/1212839710439776287/1217630872862199838</t>
  </si>
  <si>
    <t>https://discord.com/channels/191975109500731392/1212839710439776287/1219245898601730089</t>
  </si>
  <si>
    <t>https://discord.com/channels/191975109500731392/1212839710439776287/1219252492815171635</t>
  </si>
  <si>
    <t>https://discord.com/channels/191975109500731392/1212839710439776287/1219266551681777768</t>
  </si>
  <si>
    <t>https://discord.com/channels/191975109500731392/1212839710439776287/1219266586351763497</t>
  </si>
  <si>
    <t>https://discord.com/channels/191975109500731392/1212839710439776287/1219268789347156079</t>
  </si>
  <si>
    <t>https://discord.com/channels/191975109500731392/1212839710439776287/1219270203163148398</t>
  </si>
  <si>
    <t>https://discord.com/channels/191975109500731392/1212839710439776287/1219272488073035776</t>
  </si>
  <si>
    <t>https://discord.com/channels/191975109500731392/1212839710439776287/1219298736786636871</t>
  </si>
  <si>
    <t>https://discord.com/channels/191975109500731392/1212839710439776287/1219345397273858078</t>
  </si>
  <si>
    <t>https://discord.com/channels/191975109500731392/1212839710439776287/1219406481494114335</t>
  </si>
  <si>
    <t>https://discord.com/channels/191975109500731392/1212839710439776287/1219421345780334592</t>
  </si>
  <si>
    <t>https://discord.com/channels/191975109500731392/1212839710439776287/1219595394082930709</t>
  </si>
  <si>
    <t>https://discord.com/channels/191975109500731392/1212839710439776287/1219710101775056970</t>
  </si>
  <si>
    <t>https://discord.com/channels/191975109500731392/1212839710439776287/1219710227507712136</t>
  </si>
  <si>
    <t>https://discord.com/channels/191975109500731392/1212839710439776287/1219711546171588628</t>
  </si>
  <si>
    <t>https://discord.com/channels/191975109500731392/1212839710439776287/1219711573963309127</t>
  </si>
  <si>
    <t>https://discord.com/channels/191975109500731392/1212839710439776287/1219711838334353451</t>
  </si>
  <si>
    <t>https://discord.com/channels/191975109500731392/1212839710439776287/1219711888896557127</t>
  </si>
  <si>
    <t>https://discord.com/channels/191975109500731392/1212839710439776287/1219717026302529607</t>
  </si>
  <si>
    <t>https://discord.com/channels/191975109500731392/1212839710439776287/1219750366896324769</t>
  </si>
  <si>
    <t>https://discord.com/channels/191975109500731392/1212839710439776287/1219796370324717590</t>
  </si>
  <si>
    <t>https://discord.com/channels/191975109500731392/1212839710439776287/1219796743496142958</t>
  </si>
  <si>
    <t>https://discord.com/channels/191975109500731392/1212839710439776287/1220096079752593451</t>
  </si>
  <si>
    <t>https://discord.com/channels/191975109500731392/1212839710439776287/1220385279660003409</t>
  </si>
  <si>
    <t>https://discord.com/channels/191975109500731392/1212839710439776287/1220406189653757993</t>
  </si>
  <si>
    <t>https://discord.com/channels/191975109500731392/1212839710439776287/1220406740907069542</t>
  </si>
  <si>
    <t>https://discord.com/channels/191975109500731392/1212839710439776287/1220408100037722192</t>
  </si>
  <si>
    <t>https://discord.com/channels/191975109500731392/1212839710439776287/1220476124786724885</t>
  </si>
  <si>
    <t>https://discord.com/channels/191975109500731392/1212839710439776287/1220488388558327938</t>
  </si>
  <si>
    <t>https://discord.com/channels/191975109500731392/1212839710439776287/1220731024535978005</t>
  </si>
  <si>
    <t>https://discord.com/channels/191975109500731392/1212839710439776287/1221263132413132891</t>
  </si>
  <si>
    <t>https://discord.com/channels/191975109500731392/1212839710439776287/1221263433807171595</t>
  </si>
  <si>
    <t>https://discord.com/channels/191975109500731392/1212839710439776287/1221263437636702349</t>
  </si>
  <si>
    <t>https://discord.com/channels/191975109500731392/1212839710439776287/1221783029178040360</t>
  </si>
  <si>
    <t>https://discord.com/channels/191975109500731392/1212839710439776287/1221910366011916398</t>
  </si>
  <si>
    <t>https://discord.com/channels/191975109500731392/1212839710439776287/1222197416833454111</t>
  </si>
  <si>
    <t>https://discord.com/channels/191975109500731392/1212839710439776287/1222215044725477477</t>
  </si>
  <si>
    <t>https://discord.com/channels/191975109500731392/1212839710439776287/1222253420258267167</t>
  </si>
  <si>
    <t>https://discord.com/channels/191975109500731392/1212839710439776287/1222253537065439355</t>
  </si>
  <si>
    <t>https://discord.com/channels/191975109500731392/1212839710439776287/1222261872129216532</t>
  </si>
  <si>
    <t>https://discord.com/channels/191975109500731392/1212839710439776287/1222277073545199706</t>
  </si>
  <si>
    <t>https://discord.com/channels/191975109500731392/1212839710439776287/1222287420687515678</t>
  </si>
  <si>
    <t>https://discord.com/channels/191975109500731392/1212839710439776287/1222287492456124456</t>
  </si>
  <si>
    <t>https://discord.com/channels/191975109500731392/1212839710439776287/1222287510219259941</t>
  </si>
  <si>
    <t>https://discord.com/channels/191975109500731392/1212839710439776287/1222298274715664525</t>
  </si>
  <si>
    <t>https://discord.com/channels/191975109500731392/1212839710439776287/1222315290457804961</t>
  </si>
  <si>
    <t>https://discord.com/channels/191975109500731392/1212839710439776287/1222315297923534959</t>
  </si>
  <si>
    <t>https://discord.com/channels/191975109500731392/1212839710439776287/1222322935625154640</t>
  </si>
  <si>
    <t>https://discord.com/channels/191975109500731392/1212839710439776287/1222368036095529073</t>
  </si>
  <si>
    <t>https://discord.com/channels/191975109500731392/1212839710439776287/1222368158862807153</t>
  </si>
  <si>
    <t>https://discord.com/channels/191975109500731392/1212839710439776287/1222533818150293554</t>
  </si>
  <si>
    <t>https://discord.com/channels/191975109500731392/1212839710439776287/1222534815576756295</t>
  </si>
  <si>
    <t>https://discord.com/channels/191975109500731392/1212839710439776287/1222558554175705188</t>
  </si>
  <si>
    <t>https://discord.com/channels/191975109500731392/1212839710439776287/1222604785233166416</t>
  </si>
  <si>
    <t>https://discord.com/channels/191975109500731392/1212839710439776287/1222700232337264701</t>
  </si>
  <si>
    <t>https://discord.com/channels/191975109500731392/1212839710439776287/1222908170171846686</t>
  </si>
  <si>
    <t>https://discord.com/channels/191975109500731392/1212839710439776287/1222908612024864868</t>
  </si>
  <si>
    <t>https://discord.com/channels/191975109500731392/1212839710439776287/1222914026804351037</t>
  </si>
  <si>
    <t>https://discord.com/channels/191975109500731392/1212839710439776287/1223013195459854458</t>
  </si>
  <si>
    <t>https://discord.com/channels/191975109500731392/1212839710439776287/1223396457541931028</t>
  </si>
  <si>
    <t>https://discord.com/channels/191975109500731392/1212839710439776287/1223800487279853629</t>
  </si>
  <si>
    <t>https://discord.com/channels/191975109500731392/1212839710439776287/1224318023197003828</t>
  </si>
  <si>
    <t>https://discord.com/channels/191975109500731392/1212839710439776287/1224413473463603351</t>
  </si>
  <si>
    <t>https://discord.com/channels/191975109500731392/1212839710439776287/1224494320686600283</t>
  </si>
  <si>
    <t>https://discord.com/channels/191975109500731392/1212839710439776287/1224494416534831134</t>
  </si>
  <si>
    <t>https://discord.com/channels/191975109500731392/1212839710439776287/1224495843927916595</t>
  </si>
  <si>
    <t>https://discord.com/channels/191975109500731392/1212839710439776287/1224495874017591317</t>
  </si>
  <si>
    <t>https://discord.com/channels/191975109500731392/1212839710439776287/1224733429761839185</t>
  </si>
  <si>
    <t>https://discord.com/channels/191975109500731392/1212839710439776287/1224795928284631160</t>
  </si>
  <si>
    <t>https://discord.com/channels/191975109500731392/1212839710439776287/1224798353326604338</t>
  </si>
  <si>
    <t>https://discord.com/channels/191975109500731392/1212839710439776287/1224798449040359524</t>
  </si>
  <si>
    <t>https://discord.com/channels/191975109500731392/1212839710439776287/1224798642817466508</t>
  </si>
  <si>
    <t>https://discord.com/channels/191975109500731392/1212839710439776287/1224798651235438613</t>
  </si>
  <si>
    <t>https://discord.com/channels/191975109500731392/1212839710439776287/1225078759875416084</t>
  </si>
  <si>
    <t>https://discord.com/channels/191975109500731392/1212839710439776287/1225095202717306910</t>
  </si>
  <si>
    <t>https://discord.com/channels/191975109500731392/1212839710439776287/1225124387020210176</t>
  </si>
  <si>
    <t>https://discord.com/channels/191975109500731392/1212839710439776287/1225124544679907410</t>
  </si>
  <si>
    <t>https://discord.com/channels/191975109500731392/1212839710439776287/1225125481498546338</t>
  </si>
  <si>
    <t>https://discord.com/channels/191975109500731392/1212839710439776287/1225129677174345839</t>
  </si>
  <si>
    <t>https://discord.com/channels/191975109500731392/1212839710439776287/1225153939230429365</t>
  </si>
  <si>
    <t>https://discord.com/channels/191975109500731392/1212839710439776287/1225154023905034301</t>
  </si>
  <si>
    <t>https://discord.com/channels/191975109500731392/1212839710439776287/1225158087925825596</t>
  </si>
  <si>
    <t>https://discord.com/channels/191975109500731392/1212839710439776287/1225158089192509640</t>
  </si>
  <si>
    <t>https://discord.com/channels/191975109500731392/1212839710439776287/1225160331194667159</t>
  </si>
  <si>
    <t>https://discord.com/channels/191975109500731392/1212839710439776287/1225160354863251517</t>
  </si>
  <si>
    <t>https://discord.com/channels/191975109500731392/1212839710439776287/1225162622731550834</t>
  </si>
  <si>
    <t>https://discord.com/channels/191975109500731392/1212839710439776287/1225162648547495966</t>
  </si>
  <si>
    <t>https://discord.com/channels/191975109500731392/1212839710439776287/1225162687030493295</t>
  </si>
  <si>
    <t>https://discord.com/channels/191975109500731392/1212839710439776287/1225167633549234309</t>
  </si>
  <si>
    <t>https://discord.com/channels/191975109500731392/1212839710439776287/1225201914510049432</t>
  </si>
  <si>
    <t>https://discord.com/channels/191975109500731392/1212839710439776287/1225203291345129482</t>
  </si>
  <si>
    <t>https://discord.com/channels/191975109500731392/1212839710439776287/1225203932528119911</t>
  </si>
  <si>
    <t>https://discord.com/channels/191975109500731392/1212839710439776287/1225459927469002934</t>
  </si>
  <si>
    <t>https://discord.com/channels/191975109500731392/1212839710439776287/1225460612138668082</t>
  </si>
  <si>
    <t>https://discord.com/channels/191975109500731392/1212839710439776287/1225468408771121293</t>
  </si>
  <si>
    <t>https://discord.com/channels/191975109500731392/1212839710439776287/1225473157562105968</t>
  </si>
  <si>
    <t>https://discord.com/channels/191975109500731392/1212839710439776287/1225478335602229248</t>
  </si>
  <si>
    <t>https://discord.com/channels/191975109500731392/1212839710439776287/1225522310396514586</t>
  </si>
  <si>
    <t>https://discord.com/channels/191975109500731392/1212839710439776287/1225522342893977621</t>
  </si>
  <si>
    <t>https://discord.com/channels/191975109500731392/1212839710439776287/1225531934365712446</t>
  </si>
  <si>
    <t>https://discord.com/channels/191975109500731392/1212839710439776287/1225532509023113329</t>
  </si>
  <si>
    <t>https://discord.com/channels/191975109500731392/1212839710439776287/1225542007179706418</t>
  </si>
  <si>
    <t>https://discord.com/channels/191975109500731392/1212839710439776287/1225543345875583128</t>
  </si>
  <si>
    <t>https://discord.com/channels/191975109500731392/1212839710439776287/1225544189668888739</t>
  </si>
  <si>
    <t>https://discord.com/channels/191975109500731392/1212839710439776287/1225545596543434863</t>
  </si>
  <si>
    <t>https://discord.com/channels/191975109500731392/1212839710439776287/1225546996954304613</t>
  </si>
  <si>
    <t>https://discord.com/channels/191975109500731392/1212839710439776287/1225559101229105335</t>
  </si>
  <si>
    <t>https://discord.com/channels/191975109500731392/1212839710439776287/1225559724305416223</t>
  </si>
  <si>
    <t>https://discord.com/channels/191975109500731392/1212839710439776287/1225559808346947614</t>
  </si>
  <si>
    <t>https://discord.com/channels/191975109500731392/1212839710439776287/1225560962870804553</t>
  </si>
  <si>
    <t>https://discord.com/channels/191975109500731392/1212839710439776287/1225561119180062873</t>
  </si>
  <si>
    <t>https://discord.com/channels/191975109500731392/1212839710439776287/1225566632504725564</t>
  </si>
  <si>
    <t>https://discord.com/channels/191975109500731392/1212839710439776287/1225566637759926324</t>
  </si>
  <si>
    <t>https://discord.com/channels/191975109500731392/1212839710439776287/1225571415940530176</t>
  </si>
  <si>
    <t>https://discord.com/channels/191975109500731392/1212839710439776287/1225571524941975563</t>
  </si>
  <si>
    <t>https://discord.com/channels/191975109500731392/1212839710439776287/1225609763468083370</t>
  </si>
  <si>
    <t>https://discord.com/channels/191975109500731392/1212839710439776287/1225881158189973594</t>
  </si>
  <si>
    <t>https://discord.com/channels/191975109500731392/1212839710439776287/1225884240932241529</t>
  </si>
  <si>
    <t>https://discord.com/channels/191975109500731392/1212839710439776287/1225903317331218574</t>
  </si>
  <si>
    <t>https://discord.com/channels/191975109500731392/1212839710439776287/1225903337447358597</t>
  </si>
  <si>
    <t>https://discord.com/channels/191975109500731392/1212839710439776287/1225965820455292928</t>
  </si>
  <si>
    <t>https://discord.com/channels/191975109500731392/1212839710439776287/1225966325097304146</t>
  </si>
  <si>
    <t>https://discord.com/channels/191975109500731392/1212839710439776287/1226242812450705479</t>
  </si>
  <si>
    <t>Overall Placings</t>
  </si>
  <si>
    <t>Places from all seaons</t>
  </si>
  <si>
    <t>Best Place:</t>
  </si>
  <si>
    <t>Average:</t>
  </si>
  <si>
    <t>Spr24</t>
  </si>
  <si>
    <t>Spr24POST</t>
  </si>
  <si>
    <t>Fall24PRE</t>
  </si>
  <si>
    <t>Fall24</t>
  </si>
  <si>
    <t>Spr25</t>
  </si>
  <si>
    <t>Fall25PRE</t>
  </si>
  <si>
    <t>Fall25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</si>
</sst>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6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b/>
      <sz val="11"/>
      <color rgb="FF000118"/>
      <name val="Aptos Narrow"/>
    </font>
    <font>
      <u/>
      <sz val="11"/>
      <color theme="10"/>
      <name val="Aptos Narrow"/>
    </font>
    <font>
      <u/>
      <sz val="11"/>
      <color rgb="FFF2F2F2"/>
      <name val="Aptos Narrow"/>
    </font>
    <font>
      <sz val="11"/>
      <color rgb="FFF2F2F2"/>
      <name val="Aptos Narrow"/>
    </font>
    <font>
      <sz val="11"/>
      <color theme="1"/>
      <name val="Aptos Narrow"/>
      <scheme val="minor"/>
    </font>
    <font>
      <sz val="11"/>
      <color theme="1"/>
      <name val="Arial"/>
    </font>
    <font>
      <b/>
      <sz val="8"/>
      <color theme="1"/>
      <name val="Aptos Narrow"/>
    </font>
    <font>
      <sz val="11"/>
      <color theme="0"/>
      <name val="Aptos Narrow"/>
    </font>
    <font>
      <sz val="11"/>
      <color rgb="FFBFBFBF"/>
      <name val="Aptos Narrow"/>
    </font>
    <font>
      <u/>
      <sz val="11"/>
      <color theme="10"/>
      <name val="Aptos Narrow"/>
    </font>
    <font>
      <u/>
      <sz val="11"/>
      <color theme="10"/>
      <name val="Aptos Narrow"/>
      <scheme val="minor"/>
    </font>
    <font>
      <sz val="11"/>
      <color theme="1"/>
      <name val="Aptos Narrow"/>
      <family val="2"/>
    </font>
  </fonts>
  <fills count="19">
    <fill>
      <patternFill patternType="none"/>
    </fill>
    <fill>
      <patternFill patternType="gray125"/>
    </fill>
    <fill>
      <patternFill patternType="solid">
        <fgColor rgb="FFB3E5A1"/>
        <bgColor rgb="FFB3E5A1"/>
      </patternFill>
    </fill>
    <fill>
      <patternFill patternType="solid">
        <fgColor rgb="FFD8D8D8"/>
        <bgColor rgb="FFD8D8D8"/>
      </patternFill>
    </fill>
    <fill>
      <patternFill patternType="solid">
        <fgColor rgb="FFFF5050"/>
        <bgColor rgb="FFFF5050"/>
      </patternFill>
    </fill>
    <fill>
      <patternFill patternType="solid">
        <fgColor rgb="FFC1E4F5"/>
        <bgColor rgb="FFC1E4F5"/>
      </patternFill>
    </fill>
    <fill>
      <patternFill patternType="solid">
        <fgColor rgb="FF83CAEB"/>
        <bgColor rgb="FF83CAEB"/>
      </patternFill>
    </fill>
    <fill>
      <patternFill patternType="solid">
        <fgColor rgb="FFCAEDFB"/>
        <bgColor rgb="FFCAEDFB"/>
      </patternFill>
    </fill>
    <fill>
      <patternFill patternType="solid">
        <fgColor rgb="FFF6C6AC"/>
        <bgColor rgb="FFF6C6AC"/>
      </patternFill>
    </fill>
    <fill>
      <patternFill patternType="solid">
        <fgColor rgb="FF7F7F7F"/>
        <bgColor rgb="FF7F7F7F"/>
      </patternFill>
    </fill>
    <fill>
      <patternFill patternType="solid">
        <fgColor rgb="FFD9F2D0"/>
        <bgColor rgb="FFD9F2D0"/>
      </patternFill>
    </fill>
    <fill>
      <patternFill patternType="solid">
        <fgColor rgb="FFF1CEEE"/>
        <bgColor rgb="FFF1CEEE"/>
      </patternFill>
    </fill>
    <fill>
      <patternFill patternType="solid">
        <fgColor rgb="FFDBE9F7"/>
        <bgColor rgb="FFDBE9F7"/>
      </patternFill>
    </fill>
    <fill>
      <patternFill patternType="solid">
        <fgColor theme="0"/>
        <bgColor theme="0"/>
      </patternFill>
    </fill>
    <fill>
      <patternFill patternType="solid">
        <fgColor rgb="FFA6C9EB"/>
        <bgColor rgb="FFA6C9EB"/>
      </patternFill>
    </fill>
    <fill>
      <patternFill patternType="solid">
        <fgColor rgb="FF95DCF7"/>
        <bgColor rgb="FF95DCF7"/>
      </patternFill>
    </fill>
    <fill>
      <patternFill patternType="solid">
        <fgColor rgb="FFFAE2D5"/>
        <bgColor rgb="FFFAE2D5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45B0E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10"/>
    <xf numFmtId="0" fontId="14" fillId="0" borderId="10"/>
  </cellStyleXfs>
  <cellXfs count="155">
    <xf numFmtId="0" fontId="0" fillId="0" borderId="0" xfId="0" applyBorder="1"/>
    <xf numFmtId="0" fontId="2" fillId="2" borderId="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3" fillId="0" borderId="0" xfId="0" applyFont="1" applyBorder="1"/>
    <xf numFmtId="0" fontId="3" fillId="0" borderId="0" xfId="0" applyFont="1" applyBorder="1" applyAlignment="1">
      <alignment horizontal="left"/>
    </xf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left"/>
    </xf>
    <xf numFmtId="0" fontId="5" fillId="0" borderId="0" xfId="0" applyFont="1" applyBorder="1"/>
    <xf numFmtId="0" fontId="6" fillId="0" borderId="0" xfId="0" applyFont="1" applyBorder="1"/>
    <xf numFmtId="0" fontId="2" fillId="6" borderId="8" xfId="0" applyFont="1" applyFill="1" applyBorder="1" applyAlignment="1">
      <alignment horizontal="right"/>
    </xf>
    <xf numFmtId="0" fontId="2" fillId="5" borderId="8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right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right"/>
    </xf>
    <xf numFmtId="0" fontId="3" fillId="6" borderId="9" xfId="0" applyFont="1" applyFill="1" applyBorder="1" applyAlignment="1">
      <alignment horizontal="right"/>
    </xf>
    <xf numFmtId="0" fontId="3" fillId="5" borderId="9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7" fillId="0" borderId="0" xfId="0" applyFont="1" applyBorder="1"/>
    <xf numFmtId="0" fontId="2" fillId="6" borderId="1" xfId="0" applyFont="1" applyFill="1" applyBorder="1" applyAlignment="1">
      <alignment horizontal="right"/>
    </xf>
    <xf numFmtId="0" fontId="3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center"/>
    </xf>
    <xf numFmtId="0" fontId="3" fillId="5" borderId="1" xfId="0" applyFont="1" applyFill="1" applyBorder="1" applyAlignment="1">
      <alignment horizontal="right"/>
    </xf>
    <xf numFmtId="2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left"/>
    </xf>
    <xf numFmtId="2" fontId="3" fillId="5" borderId="1" xfId="0" applyNumberFormat="1" applyFont="1" applyFill="1" applyBorder="1" applyAlignment="1">
      <alignment horizontal="left"/>
    </xf>
    <xf numFmtId="2" fontId="3" fillId="5" borderId="1" xfId="0" applyNumberFormat="1" applyFont="1" applyFill="1" applyBorder="1" applyAlignment="1">
      <alignment horizontal="right"/>
    </xf>
    <xf numFmtId="0" fontId="2" fillId="6" borderId="9" xfId="0" applyFont="1" applyFill="1" applyBorder="1" applyAlignment="1">
      <alignment horizontal="right"/>
    </xf>
    <xf numFmtId="0" fontId="2" fillId="5" borderId="9" xfId="0" applyFont="1" applyFill="1" applyBorder="1" applyAlignment="1">
      <alignment horizontal="right"/>
    </xf>
    <xf numFmtId="2" fontId="2" fillId="7" borderId="10" xfId="0" applyNumberFormat="1" applyFont="1" applyFill="1" applyAlignment="1">
      <alignment horizontal="center"/>
    </xf>
    <xf numFmtId="2" fontId="2" fillId="7" borderId="1" xfId="0" applyNumberFormat="1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2" fontId="3" fillId="0" borderId="1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right"/>
    </xf>
    <xf numFmtId="0" fontId="3" fillId="0" borderId="0" xfId="0" applyFont="1" applyBorder="1" applyAlignment="1">
      <alignment horizontal="center" vertical="center"/>
    </xf>
    <xf numFmtId="0" fontId="8" fillId="0" borderId="0" xfId="0" applyFont="1" applyBorder="1"/>
    <xf numFmtId="0" fontId="3" fillId="0" borderId="0" xfId="0" applyFont="1" applyBorder="1" applyAlignment="1">
      <alignment horizontal="right"/>
    </xf>
    <xf numFmtId="2" fontId="3" fillId="2" borderId="9" xfId="0" applyNumberFormat="1" applyFont="1" applyFill="1" applyBorder="1" applyAlignment="1">
      <alignment horizontal="center"/>
    </xf>
    <xf numFmtId="2" fontId="3" fillId="8" borderId="9" xfId="0" applyNumberFormat="1" applyFont="1" applyFill="1" applyBorder="1" applyAlignment="1">
      <alignment horizontal="center"/>
    </xf>
    <xf numFmtId="2" fontId="3" fillId="2" borderId="1" xfId="0" applyNumberFormat="1" applyFont="1" applyFill="1" applyBorder="1" applyAlignment="1">
      <alignment horizontal="center"/>
    </xf>
    <xf numFmtId="2" fontId="3" fillId="4" borderId="1" xfId="0" applyNumberFormat="1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9" fillId="9" borderId="1" xfId="0" applyFont="1" applyFill="1" applyBorder="1" applyAlignment="1">
      <alignment horizontal="right"/>
    </xf>
    <xf numFmtId="0" fontId="3" fillId="10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10" fontId="3" fillId="11" borderId="1" xfId="0" applyNumberFormat="1" applyFont="1" applyFill="1" applyBorder="1" applyAlignment="1">
      <alignment horizontal="center"/>
    </xf>
    <xf numFmtId="0" fontId="10" fillId="6" borderId="1" xfId="0" applyFont="1" applyFill="1" applyBorder="1" applyAlignment="1">
      <alignment horizontal="right"/>
    </xf>
    <xf numFmtId="0" fontId="2" fillId="7" borderId="1" xfId="0" applyFont="1" applyFill="1" applyBorder="1" applyAlignment="1">
      <alignment horizontal="right"/>
    </xf>
    <xf numFmtId="0" fontId="2" fillId="7" borderId="1" xfId="0" applyFont="1" applyFill="1" applyBorder="1" applyAlignment="1">
      <alignment horizontal="center"/>
    </xf>
    <xf numFmtId="2" fontId="3" fillId="0" borderId="1" xfId="0" applyNumberFormat="1" applyFont="1" applyBorder="1"/>
    <xf numFmtId="0" fontId="2" fillId="0" borderId="13" xfId="0" applyFont="1" applyBorder="1" applyAlignment="1">
      <alignment horizontal="center"/>
    </xf>
    <xf numFmtId="0" fontId="2" fillId="12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right"/>
    </xf>
    <xf numFmtId="2" fontId="3" fillId="0" borderId="14" xfId="0" applyNumberFormat="1" applyFont="1" applyBorder="1"/>
    <xf numFmtId="0" fontId="2" fillId="6" borderId="15" xfId="0" applyFont="1" applyFill="1" applyBorder="1" applyAlignment="1">
      <alignment horizontal="right"/>
    </xf>
    <xf numFmtId="2" fontId="3" fillId="0" borderId="4" xfId="0" applyNumberFormat="1" applyFont="1" applyBorder="1"/>
    <xf numFmtId="0" fontId="3" fillId="4" borderId="1" xfId="0" applyFont="1" applyFill="1" applyBorder="1"/>
    <xf numFmtId="2" fontId="3" fillId="0" borderId="16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2" fillId="6" borderId="11" xfId="0" applyFont="1" applyFill="1" applyBorder="1" applyAlignment="1">
      <alignment horizontal="right"/>
    </xf>
    <xf numFmtId="0" fontId="3" fillId="0" borderId="13" xfId="0" applyFont="1" applyBorder="1" applyAlignment="1">
      <alignment horizontal="center"/>
    </xf>
    <xf numFmtId="2" fontId="3" fillId="0" borderId="18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/>
    </xf>
    <xf numFmtId="2" fontId="3" fillId="0" borderId="0" xfId="0" applyNumberFormat="1" applyFont="1" applyBorder="1"/>
    <xf numFmtId="0" fontId="2" fillId="6" borderId="22" xfId="0" applyFont="1" applyFill="1" applyBorder="1" applyAlignment="1">
      <alignment horizontal="right"/>
    </xf>
    <xf numFmtId="0" fontId="2" fillId="0" borderId="0" xfId="0" applyFont="1" applyBorder="1"/>
    <xf numFmtId="0" fontId="2" fillId="13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4" borderId="1" xfId="0" applyFont="1" applyFill="1" applyBorder="1" applyAlignment="1">
      <alignment horizontal="right"/>
    </xf>
    <xf numFmtId="0" fontId="3" fillId="0" borderId="3" xfId="0" applyFont="1" applyBorder="1"/>
    <xf numFmtId="2" fontId="3" fillId="0" borderId="4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2" fontId="3" fillId="8" borderId="1" xfId="0" applyNumberFormat="1" applyFont="1" applyFill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1" fillId="0" borderId="0" xfId="0" applyFont="1" applyBorder="1"/>
    <xf numFmtId="0" fontId="3" fillId="0" borderId="13" xfId="0" applyFont="1" applyBorder="1" applyAlignment="1">
      <alignment horizontal="right"/>
    </xf>
    <xf numFmtId="0" fontId="12" fillId="0" borderId="0" xfId="0" applyFont="1" applyBorder="1"/>
    <xf numFmtId="0" fontId="3" fillId="0" borderId="16" xfId="0" applyFont="1" applyBorder="1"/>
    <xf numFmtId="0" fontId="3" fillId="13" borderId="10" xfId="0" applyFont="1" applyFill="1"/>
    <xf numFmtId="0" fontId="13" fillId="13" borderId="10" xfId="0" applyFont="1" applyFill="1"/>
    <xf numFmtId="0" fontId="2" fillId="5" borderId="8" xfId="0" applyFont="1" applyFill="1" applyBorder="1"/>
    <xf numFmtId="0" fontId="2" fillId="5" borderId="26" xfId="0" applyFont="1" applyFill="1" applyBorder="1" applyAlignment="1">
      <alignment horizontal="center"/>
    </xf>
    <xf numFmtId="0" fontId="2" fillId="5" borderId="2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7" fillId="13" borderId="10" xfId="0" applyFont="1" applyFill="1"/>
    <xf numFmtId="0" fontId="2" fillId="0" borderId="1" xfId="0" applyFont="1" applyBorder="1"/>
    <xf numFmtId="0" fontId="2" fillId="15" borderId="9" xfId="0" applyFont="1" applyFill="1" applyBorder="1" applyAlignment="1">
      <alignment horizontal="right"/>
    </xf>
    <xf numFmtId="0" fontId="2" fillId="16" borderId="9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3" fillId="17" borderId="9" xfId="0" applyFont="1" applyFill="1" applyBorder="1"/>
    <xf numFmtId="0" fontId="2" fillId="7" borderId="9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0" fillId="0" borderId="23" xfId="0" pivotButton="1" applyBorder="1"/>
    <xf numFmtId="0" fontId="0" fillId="0" borderId="32" xfId="0" applyBorder="1"/>
    <xf numFmtId="0" fontId="0" fillId="0" borderId="33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14" fillId="0" borderId="0" xfId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 vertical="center"/>
    </xf>
    <xf numFmtId="0" fontId="15" fillId="2" borderId="1" xfId="0" applyFont="1" applyFill="1" applyBorder="1" applyAlignment="1">
      <alignment horizontal="right"/>
    </xf>
    <xf numFmtId="0" fontId="15" fillId="4" borderId="1" xfId="0" applyFont="1" applyFill="1" applyBorder="1" applyAlignment="1">
      <alignment horizontal="left"/>
    </xf>
    <xf numFmtId="0" fontId="0" fillId="18" borderId="35" xfId="0" applyFill="1" applyBorder="1"/>
    <xf numFmtId="0" fontId="0" fillId="18" borderId="35" xfId="0" applyFill="1" applyBorder="1" applyAlignment="1">
      <alignment horizontal="right" vertical="center"/>
    </xf>
    <xf numFmtId="0" fontId="0" fillId="18" borderId="35" xfId="0" applyFill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/>
    </xf>
    <xf numFmtId="0" fontId="14" fillId="0" borderId="10" xfId="1"/>
    <xf numFmtId="0" fontId="2" fillId="0" borderId="5" xfId="0" applyFont="1" applyBorder="1" applyAlignment="1">
      <alignment horizontal="center"/>
    </xf>
    <xf numFmtId="0" fontId="0" fillId="0" borderId="2" xfId="0" applyBorder="1"/>
    <xf numFmtId="0" fontId="0" fillId="0" borderId="6" xfId="0" applyBorder="1"/>
    <xf numFmtId="0" fontId="2" fillId="0" borderId="3" xfId="0" applyFont="1" applyBorder="1" applyAlignment="1">
      <alignment horizontal="center"/>
    </xf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7" xfId="0" applyBorder="1"/>
    <xf numFmtId="0" fontId="0" fillId="0" borderId="27" xfId="0" applyBorder="1"/>
    <xf numFmtId="0" fontId="2" fillId="0" borderId="36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3" fillId="0" borderId="36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23" xfId="0" applyNumberFormat="1" applyBorder="1"/>
    <xf numFmtId="0" fontId="0" fillId="0" borderId="24" xfId="0" applyNumberFormat="1" applyBorder="1"/>
    <xf numFmtId="0" fontId="0" fillId="0" borderId="25" xfId="0" applyNumberFormat="1" applyBorder="1"/>
    <xf numFmtId="0" fontId="0" fillId="0" borderId="28" xfId="0" applyNumberFormat="1" applyBorder="1"/>
    <xf numFmtId="0" fontId="0" fillId="0" borderId="10" xfId="0" applyNumberFormat="1" applyBorder="1"/>
    <xf numFmtId="0" fontId="0" fillId="0" borderId="34" xfId="0" applyNumberFormat="1" applyBorder="1"/>
    <xf numFmtId="0" fontId="0" fillId="0" borderId="29" xfId="0" applyNumberFormat="1" applyBorder="1"/>
    <xf numFmtId="0" fontId="0" fillId="0" borderId="30" xfId="0" applyNumberFormat="1" applyBorder="1"/>
    <xf numFmtId="0" fontId="0" fillId="0" borderId="31" xfId="0" applyNumberFormat="1" applyBorder="1"/>
    <xf numFmtId="0" fontId="0" fillId="0" borderId="35" xfId="0" applyNumberForma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97">
    <dxf>
      <alignment vertical="center"/>
    </dxf>
    <dxf>
      <alignment vertical="center"/>
    </dxf>
    <dxf>
      <alignment vertical="center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 patternType="solid">
          <fgColor rgb="FFFFC7CE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0649862901216"/>
          <c:y val="0.107566988210075"/>
          <c:w val="0.86062278528033154"/>
          <c:h val="0.7298927344692846"/>
        </c:manualLayout>
      </c:layout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196B2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FALL2025!$G$29:$G$44</c:f>
              <c:strCache>
                <c:ptCount val="16"/>
                <c:pt idx="0">
                  <c:v>Mikey</c:v>
                </c:pt>
                <c:pt idx="1">
                  <c:v>Ethan</c:v>
                </c:pt>
                <c:pt idx="2">
                  <c:v>Will</c:v>
                </c:pt>
                <c:pt idx="3">
                  <c:v>Lucy</c:v>
                </c:pt>
                <c:pt idx="4">
                  <c:v>Evan</c:v>
                </c:pt>
                <c:pt idx="5">
                  <c:v>Rob</c:v>
                </c:pt>
                <c:pt idx="6">
                  <c:v>Anthony</c:v>
                </c:pt>
                <c:pt idx="7">
                  <c:v>Grady</c:v>
                </c:pt>
                <c:pt idx="8">
                  <c:v>Vignesh</c:v>
                </c:pt>
                <c:pt idx="9">
                  <c:v>Carter</c:v>
                </c:pt>
                <c:pt idx="10">
                  <c:v>Peter</c:v>
                </c:pt>
                <c:pt idx="11">
                  <c:v>Maxine</c:v>
                </c:pt>
                <c:pt idx="12">
                  <c:v>Joey</c:v>
                </c:pt>
                <c:pt idx="13">
                  <c:v>Erick</c:v>
                </c:pt>
                <c:pt idx="14">
                  <c:v>Cooper</c:v>
                </c:pt>
                <c:pt idx="15">
                  <c:v>Reuben</c:v>
                </c:pt>
              </c:strCache>
            </c:strRef>
          </c:cat>
          <c:val>
            <c:numRef>
              <c:f>FALL2025!$H$29:$H$44</c:f>
              <c:numCache>
                <c:formatCode>General</c:formatCode>
                <c:ptCount val="16"/>
                <c:pt idx="0">
                  <c:v>49</c:v>
                </c:pt>
                <c:pt idx="1">
                  <c:v>43</c:v>
                </c:pt>
                <c:pt idx="2">
                  <c:v>37</c:v>
                </c:pt>
                <c:pt idx="3">
                  <c:v>33</c:v>
                </c:pt>
                <c:pt idx="4">
                  <c:v>22</c:v>
                </c:pt>
                <c:pt idx="5">
                  <c:v>19</c:v>
                </c:pt>
                <c:pt idx="6">
                  <c:v>17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11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C83-4DD5-B5F0-4ACEA3DA4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0344361"/>
        <c:axId val="251128760"/>
      </c:barChart>
      <c:catAx>
        <c:axId val="7803443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51128760"/>
        <c:crosses val="autoZero"/>
        <c:auto val="1"/>
        <c:lblAlgn val="ctr"/>
        <c:lblOffset val="100"/>
        <c:noMultiLvlLbl val="1"/>
      </c:catAx>
      <c:valAx>
        <c:axId val="2511287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034436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61356219361469"/>
          <c:y val="0.11727272727272731"/>
          <c:w val="0.86799724108560505"/>
          <c:h val="0.71860381088727543"/>
        </c:manualLayout>
      </c:layout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196B2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FALL2025!$Q$29:$Q$44</c:f>
              <c:strCache>
                <c:ptCount val="16"/>
                <c:pt idx="0">
                  <c:v>Mikey</c:v>
                </c:pt>
                <c:pt idx="1">
                  <c:v>Ethan</c:v>
                </c:pt>
                <c:pt idx="2">
                  <c:v>Will</c:v>
                </c:pt>
                <c:pt idx="3">
                  <c:v>Lucy</c:v>
                </c:pt>
                <c:pt idx="4">
                  <c:v>Evan</c:v>
                </c:pt>
                <c:pt idx="5">
                  <c:v>Anthony</c:v>
                </c:pt>
                <c:pt idx="6">
                  <c:v>Rob</c:v>
                </c:pt>
                <c:pt idx="7">
                  <c:v>Grady</c:v>
                </c:pt>
                <c:pt idx="8">
                  <c:v>Vignesh</c:v>
                </c:pt>
                <c:pt idx="9">
                  <c:v>Carter</c:v>
                </c:pt>
                <c:pt idx="10">
                  <c:v>Peter</c:v>
                </c:pt>
                <c:pt idx="11">
                  <c:v>Maxine</c:v>
                </c:pt>
                <c:pt idx="12">
                  <c:v>Erick</c:v>
                </c:pt>
                <c:pt idx="13">
                  <c:v>Joey</c:v>
                </c:pt>
                <c:pt idx="14">
                  <c:v>Cooper</c:v>
                </c:pt>
                <c:pt idx="15">
                  <c:v>Reuben</c:v>
                </c:pt>
              </c:strCache>
            </c:strRef>
          </c:cat>
          <c:val>
            <c:numRef>
              <c:f>FALL2025!$R$29:$R$44</c:f>
              <c:numCache>
                <c:formatCode>General</c:formatCode>
                <c:ptCount val="16"/>
                <c:pt idx="0">
                  <c:v>67</c:v>
                </c:pt>
                <c:pt idx="1">
                  <c:v>66</c:v>
                </c:pt>
                <c:pt idx="2">
                  <c:v>56</c:v>
                </c:pt>
                <c:pt idx="3">
                  <c:v>43</c:v>
                </c:pt>
                <c:pt idx="4">
                  <c:v>29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22</c:v>
                </c:pt>
                <c:pt idx="9">
                  <c:v>21</c:v>
                </c:pt>
                <c:pt idx="10">
                  <c:v>16</c:v>
                </c:pt>
                <c:pt idx="11">
                  <c:v>12</c:v>
                </c:pt>
                <c:pt idx="12">
                  <c:v>7</c:v>
                </c:pt>
                <c:pt idx="13">
                  <c:v>6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340-49CC-98E0-EFAEB959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3808544"/>
        <c:axId val="926892045"/>
      </c:barChart>
      <c:catAx>
        <c:axId val="151380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26892045"/>
        <c:crosses val="autoZero"/>
        <c:auto val="1"/>
        <c:lblAlgn val="ctr"/>
        <c:lblOffset val="100"/>
        <c:noMultiLvlLbl val="1"/>
      </c:catAx>
      <c:valAx>
        <c:axId val="92689204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1380854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2852445168492"/>
          <c:y val="0.13635964912280699"/>
          <c:w val="0.85661769290332956"/>
          <c:h val="0.70702859510982174"/>
        </c:manualLayout>
      </c:layout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FALL2025!$G$47:$G$62</c:f>
              <c:strCache>
                <c:ptCount val="16"/>
                <c:pt idx="0">
                  <c:v>Mikey</c:v>
                </c:pt>
                <c:pt idx="1">
                  <c:v>Rob</c:v>
                </c:pt>
                <c:pt idx="2">
                  <c:v>Will</c:v>
                </c:pt>
                <c:pt idx="3">
                  <c:v>Ethan</c:v>
                </c:pt>
                <c:pt idx="4">
                  <c:v>Lucy</c:v>
                </c:pt>
                <c:pt idx="5">
                  <c:v>Evan</c:v>
                </c:pt>
                <c:pt idx="6">
                  <c:v>Grady</c:v>
                </c:pt>
                <c:pt idx="7">
                  <c:v>Vignesh</c:v>
                </c:pt>
                <c:pt idx="8">
                  <c:v>Anthony</c:v>
                </c:pt>
                <c:pt idx="9">
                  <c:v>Carter</c:v>
                </c:pt>
                <c:pt idx="10">
                  <c:v>Reuben</c:v>
                </c:pt>
                <c:pt idx="11">
                  <c:v>Maxine</c:v>
                </c:pt>
                <c:pt idx="12">
                  <c:v>Erick</c:v>
                </c:pt>
                <c:pt idx="13">
                  <c:v>Peter</c:v>
                </c:pt>
                <c:pt idx="14">
                  <c:v>Joey</c:v>
                </c:pt>
                <c:pt idx="15">
                  <c:v>Cooper</c:v>
                </c:pt>
              </c:strCache>
            </c:strRef>
          </c:cat>
          <c:val>
            <c:numRef>
              <c:f>FALL2025!$H$47:$H$62</c:f>
              <c:numCache>
                <c:formatCode>General</c:formatCode>
                <c:ptCount val="16"/>
                <c:pt idx="0">
                  <c:v>44</c:v>
                </c:pt>
                <c:pt idx="1">
                  <c:v>36</c:v>
                </c:pt>
                <c:pt idx="2">
                  <c:v>34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22</c:v>
                </c:pt>
                <c:pt idx="7">
                  <c:v>19</c:v>
                </c:pt>
                <c:pt idx="8">
                  <c:v>15</c:v>
                </c:pt>
                <c:pt idx="9">
                  <c:v>14</c:v>
                </c:pt>
                <c:pt idx="10">
                  <c:v>10</c:v>
                </c:pt>
                <c:pt idx="11">
                  <c:v>8</c:v>
                </c:pt>
                <c:pt idx="12">
                  <c:v>8</c:v>
                </c:pt>
                <c:pt idx="13">
                  <c:v>6</c:v>
                </c:pt>
                <c:pt idx="14">
                  <c:v>4</c:v>
                </c:pt>
                <c:pt idx="15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86B-45B5-8B74-1BB9967FD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737138"/>
        <c:axId val="394443950"/>
      </c:barChart>
      <c:catAx>
        <c:axId val="18207371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94443950"/>
        <c:crosses val="autoZero"/>
        <c:auto val="1"/>
        <c:lblAlgn val="ctr"/>
        <c:lblOffset val="100"/>
        <c:noMultiLvlLbl val="1"/>
      </c:catAx>
      <c:valAx>
        <c:axId val="3944439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2073713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539211495235599"/>
          <c:y val="0.1157692307692308"/>
          <c:w val="0.86892195393264104"/>
          <c:h val="0.70939094151692572"/>
        </c:manualLayout>
      </c:layout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FALL2025!$Q$47:$Q$62</c:f>
              <c:strCache>
                <c:ptCount val="16"/>
                <c:pt idx="0">
                  <c:v>Mikey</c:v>
                </c:pt>
                <c:pt idx="1">
                  <c:v>Rob</c:v>
                </c:pt>
                <c:pt idx="2">
                  <c:v>Will</c:v>
                </c:pt>
                <c:pt idx="3">
                  <c:v>Evan</c:v>
                </c:pt>
                <c:pt idx="4">
                  <c:v>Lucy</c:v>
                </c:pt>
                <c:pt idx="5">
                  <c:v>Grady</c:v>
                </c:pt>
                <c:pt idx="6">
                  <c:v>Ethan</c:v>
                </c:pt>
                <c:pt idx="7">
                  <c:v>Vignesh</c:v>
                </c:pt>
                <c:pt idx="8">
                  <c:v>Carter</c:v>
                </c:pt>
                <c:pt idx="9">
                  <c:v>Reuben</c:v>
                </c:pt>
                <c:pt idx="10">
                  <c:v>Anthony</c:v>
                </c:pt>
                <c:pt idx="11">
                  <c:v>Erick</c:v>
                </c:pt>
                <c:pt idx="12">
                  <c:v>Maxine</c:v>
                </c:pt>
                <c:pt idx="13">
                  <c:v>Peter</c:v>
                </c:pt>
                <c:pt idx="14">
                  <c:v>Joey</c:v>
                </c:pt>
                <c:pt idx="15">
                  <c:v>Cooper</c:v>
                </c:pt>
              </c:strCache>
            </c:strRef>
          </c:cat>
          <c:val>
            <c:numRef>
              <c:f>FALL2025!$R$47:$R$62</c:f>
              <c:numCache>
                <c:formatCode>General</c:formatCode>
                <c:ptCount val="16"/>
                <c:pt idx="0">
                  <c:v>62</c:v>
                </c:pt>
                <c:pt idx="1">
                  <c:v>56</c:v>
                </c:pt>
                <c:pt idx="2">
                  <c:v>48</c:v>
                </c:pt>
                <c:pt idx="3">
                  <c:v>37</c:v>
                </c:pt>
                <c:pt idx="4">
                  <c:v>34</c:v>
                </c:pt>
                <c:pt idx="5">
                  <c:v>33</c:v>
                </c:pt>
                <c:pt idx="6">
                  <c:v>31</c:v>
                </c:pt>
                <c:pt idx="7">
                  <c:v>27</c:v>
                </c:pt>
                <c:pt idx="8">
                  <c:v>20</c:v>
                </c:pt>
                <c:pt idx="9">
                  <c:v>18</c:v>
                </c:pt>
                <c:pt idx="10">
                  <c:v>16</c:v>
                </c:pt>
                <c:pt idx="11">
                  <c:v>12</c:v>
                </c:pt>
                <c:pt idx="12">
                  <c:v>9</c:v>
                </c:pt>
                <c:pt idx="13">
                  <c:v>7</c:v>
                </c:pt>
                <c:pt idx="14">
                  <c:v>4</c:v>
                </c:pt>
                <c:pt idx="15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841-4985-A7AD-7FF1CF81F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132193"/>
        <c:axId val="1239803283"/>
      </c:barChart>
      <c:catAx>
        <c:axId val="3531321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39803283"/>
        <c:crosses val="autoZero"/>
        <c:auto val="1"/>
        <c:lblAlgn val="ctr"/>
        <c:lblOffset val="100"/>
        <c:noMultiLvlLbl val="1"/>
      </c:catAx>
      <c:valAx>
        <c:axId val="12398032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5313219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4509559424878269E-2"/>
          <c:y val="0.15869491245624501"/>
          <c:w val="0.86340718593506072"/>
          <c:h val="0.66713226400919068"/>
        </c:manualLayout>
      </c:layout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FALL2025!$G$65:$G$80</c:f>
              <c:strCache>
                <c:ptCount val="16"/>
                <c:pt idx="0">
                  <c:v>Peter</c:v>
                </c:pt>
                <c:pt idx="1">
                  <c:v>Ethan</c:v>
                </c:pt>
                <c:pt idx="2">
                  <c:v>Lucy</c:v>
                </c:pt>
                <c:pt idx="3">
                  <c:v>Joey</c:v>
                </c:pt>
                <c:pt idx="4">
                  <c:v>Maxine</c:v>
                </c:pt>
                <c:pt idx="5">
                  <c:v>Anthony</c:v>
                </c:pt>
                <c:pt idx="6">
                  <c:v>Mikey</c:v>
                </c:pt>
                <c:pt idx="7">
                  <c:v>Will</c:v>
                </c:pt>
                <c:pt idx="8">
                  <c:v>Carter</c:v>
                </c:pt>
                <c:pt idx="9">
                  <c:v>Evan</c:v>
                </c:pt>
                <c:pt idx="10">
                  <c:v>Vignesh</c:v>
                </c:pt>
                <c:pt idx="11">
                  <c:v>Grady</c:v>
                </c:pt>
                <c:pt idx="12">
                  <c:v>Cooper</c:v>
                </c:pt>
                <c:pt idx="13">
                  <c:v>Erick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FALL2025!$H$65:$H$80</c:f>
              <c:numCache>
                <c:formatCode>0.00</c:formatCode>
                <c:ptCount val="16"/>
                <c:pt idx="0">
                  <c:v>1.8333333333333333</c:v>
                </c:pt>
                <c:pt idx="1">
                  <c:v>1.5925925925925926</c:v>
                </c:pt>
                <c:pt idx="2">
                  <c:v>1.2692307692307692</c:v>
                </c:pt>
                <c:pt idx="3">
                  <c:v>1.25</c:v>
                </c:pt>
                <c:pt idx="4">
                  <c:v>1.25</c:v>
                </c:pt>
                <c:pt idx="5">
                  <c:v>1.1333333333333333</c:v>
                </c:pt>
                <c:pt idx="6">
                  <c:v>1.1136363636363635</c:v>
                </c:pt>
                <c:pt idx="7">
                  <c:v>1.088235294117647</c:v>
                </c:pt>
                <c:pt idx="8">
                  <c:v>1.0714285714285714</c:v>
                </c:pt>
                <c:pt idx="9">
                  <c:v>0.88</c:v>
                </c:pt>
                <c:pt idx="10">
                  <c:v>0.84210526315789469</c:v>
                </c:pt>
                <c:pt idx="11">
                  <c:v>0.77272727272727271</c:v>
                </c:pt>
                <c:pt idx="12">
                  <c:v>0.66666666666666663</c:v>
                </c:pt>
                <c:pt idx="13">
                  <c:v>0.625</c:v>
                </c:pt>
                <c:pt idx="14">
                  <c:v>0.52777777777777779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687-4585-BA01-9FED60566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0631612"/>
        <c:axId val="2120824982"/>
      </c:barChart>
      <c:catAx>
        <c:axId val="18606316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20824982"/>
        <c:crosses val="autoZero"/>
        <c:auto val="1"/>
        <c:lblAlgn val="ctr"/>
        <c:lblOffset val="100"/>
        <c:noMultiLvlLbl val="1"/>
      </c:catAx>
      <c:valAx>
        <c:axId val="212082498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6063161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FALL2025!$Q$65:$Q$80</c:f>
              <c:strCache>
                <c:ptCount val="16"/>
                <c:pt idx="0">
                  <c:v>Peter</c:v>
                </c:pt>
                <c:pt idx="1">
                  <c:v>Ethan</c:v>
                </c:pt>
                <c:pt idx="2">
                  <c:v>Anthony</c:v>
                </c:pt>
                <c:pt idx="3">
                  <c:v>Joey</c:v>
                </c:pt>
                <c:pt idx="4">
                  <c:v>Maxine</c:v>
                </c:pt>
                <c:pt idx="5">
                  <c:v>Lucy</c:v>
                </c:pt>
                <c:pt idx="6">
                  <c:v>Will</c:v>
                </c:pt>
                <c:pt idx="7">
                  <c:v>Mikey</c:v>
                </c:pt>
                <c:pt idx="8">
                  <c:v>Carter</c:v>
                </c:pt>
                <c:pt idx="9">
                  <c:v>Vignesh</c:v>
                </c:pt>
                <c:pt idx="10">
                  <c:v>Evan</c:v>
                </c:pt>
                <c:pt idx="11">
                  <c:v>Grady</c:v>
                </c:pt>
                <c:pt idx="12">
                  <c:v>Cooper</c:v>
                </c:pt>
                <c:pt idx="13">
                  <c:v>Erick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FALL2025!$R$65:$R$80</c:f>
              <c:numCache>
                <c:formatCode>0.00</c:formatCode>
                <c:ptCount val="16"/>
                <c:pt idx="0">
                  <c:v>2.2857142857142856</c:v>
                </c:pt>
                <c:pt idx="1">
                  <c:v>2.129032258064516</c:v>
                </c:pt>
                <c:pt idx="2">
                  <c:v>1.5625</c:v>
                </c:pt>
                <c:pt idx="3">
                  <c:v>1.5</c:v>
                </c:pt>
                <c:pt idx="4">
                  <c:v>1.3333333333333333</c:v>
                </c:pt>
                <c:pt idx="5">
                  <c:v>1.2647058823529411</c:v>
                </c:pt>
                <c:pt idx="6">
                  <c:v>1.1666666666666667</c:v>
                </c:pt>
                <c:pt idx="7">
                  <c:v>1.0806451612903225</c:v>
                </c:pt>
                <c:pt idx="8">
                  <c:v>1.05</c:v>
                </c:pt>
                <c:pt idx="9">
                  <c:v>0.81481481481481477</c:v>
                </c:pt>
                <c:pt idx="10">
                  <c:v>0.78378378378378377</c:v>
                </c:pt>
                <c:pt idx="11">
                  <c:v>0.66666666666666663</c:v>
                </c:pt>
                <c:pt idx="12">
                  <c:v>0.66666666666666663</c:v>
                </c:pt>
                <c:pt idx="13">
                  <c:v>0.58333333333333337</c:v>
                </c:pt>
                <c:pt idx="14">
                  <c:v>0.4107142857142857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13F-4EE5-AD10-5777A65B8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6697265"/>
        <c:axId val="660815733"/>
      </c:barChart>
      <c:catAx>
        <c:axId val="21366972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60815733"/>
        <c:crosses val="autoZero"/>
        <c:auto val="1"/>
        <c:lblAlgn val="ctr"/>
        <c:lblOffset val="100"/>
        <c:noMultiLvlLbl val="1"/>
      </c:catAx>
      <c:valAx>
        <c:axId val="66081573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3669726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FALL2025!$G$83:$G$86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FALL2025!$H$83:$H$86</c:f>
              <c:numCache>
                <c:formatCode>0.00</c:formatCode>
                <c:ptCount val="4"/>
                <c:pt idx="0">
                  <c:v>5.5</c:v>
                </c:pt>
                <c:pt idx="1">
                  <c:v>20.25</c:v>
                </c:pt>
                <c:pt idx="2">
                  <c:v>20.75</c:v>
                </c:pt>
                <c:pt idx="3">
                  <c:v>29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F59-4AF0-828F-8060A6B6C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5154773"/>
        <c:axId val="2068104030"/>
      </c:barChart>
      <c:catAx>
        <c:axId val="189515477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68104030"/>
        <c:crosses val="autoZero"/>
        <c:auto val="1"/>
        <c:lblAlgn val="ctr"/>
        <c:lblOffset val="100"/>
        <c:noMultiLvlLbl val="1"/>
      </c:catAx>
      <c:valAx>
        <c:axId val="206810403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9515477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FALL2025!$Q$83:$Q$86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FALL2025!$R$83:$R$86</c:f>
              <c:numCache>
                <c:formatCode>0.00</c:formatCode>
                <c:ptCount val="4"/>
                <c:pt idx="0">
                  <c:v>8</c:v>
                </c:pt>
                <c:pt idx="1">
                  <c:v>27</c:v>
                </c:pt>
                <c:pt idx="2">
                  <c:v>27.5</c:v>
                </c:pt>
                <c:pt idx="3">
                  <c:v>42.5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AD2-4DA8-888B-B4D8EFFD4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1493050"/>
        <c:axId val="1889015140"/>
      </c:barChart>
      <c:catAx>
        <c:axId val="132149305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89015140"/>
        <c:crosses val="autoZero"/>
        <c:auto val="1"/>
        <c:lblAlgn val="ctr"/>
        <c:lblOffset val="100"/>
        <c:noMultiLvlLbl val="1"/>
      </c:catAx>
      <c:valAx>
        <c:axId val="188901514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2149305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FALL2025!$G$94:$G$97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FALL2025!$H$94:$H$97</c:f>
              <c:numCache>
                <c:formatCode>0.00</c:formatCode>
                <c:ptCount val="4"/>
                <c:pt idx="0">
                  <c:v>8</c:v>
                </c:pt>
                <c:pt idx="1">
                  <c:v>20</c:v>
                </c:pt>
                <c:pt idx="2">
                  <c:v>20.25</c:v>
                </c:pt>
                <c:pt idx="3">
                  <c:v>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2C8-4272-ADB1-2A75C2316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8419321"/>
        <c:axId val="514099902"/>
      </c:barChart>
      <c:catAx>
        <c:axId val="140841932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14099902"/>
        <c:crosses val="autoZero"/>
        <c:auto val="1"/>
        <c:lblAlgn val="ctr"/>
        <c:lblOffset val="100"/>
        <c:noMultiLvlLbl val="1"/>
      </c:catAx>
      <c:valAx>
        <c:axId val="51409990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841932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FALL2025!$Q$94:$Q$97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FALL2025!$R$94:$R$97</c:f>
              <c:numCache>
                <c:formatCode>0.00</c:formatCode>
                <c:ptCount val="4"/>
                <c:pt idx="0">
                  <c:v>12.5</c:v>
                </c:pt>
                <c:pt idx="1">
                  <c:v>27.75</c:v>
                </c:pt>
                <c:pt idx="2">
                  <c:v>28.5</c:v>
                </c:pt>
                <c:pt idx="3">
                  <c:v>37.75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398-4923-9650-C749A1CC2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4006493"/>
        <c:axId val="2025916010"/>
      </c:barChart>
      <c:catAx>
        <c:axId val="93400649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25916010"/>
        <c:crosses val="autoZero"/>
        <c:auto val="1"/>
        <c:lblAlgn val="ctr"/>
        <c:lblOffset val="100"/>
        <c:noMultiLvlLbl val="1"/>
      </c:catAx>
      <c:valAx>
        <c:axId val="202591601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3400649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FALL2025!$G$105:$G$108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FALL2025!$H$105:$H$108</c:f>
              <c:numCache>
                <c:formatCode>0.00</c:formatCode>
                <c:ptCount val="4"/>
                <c:pt idx="0">
                  <c:v>0.6875</c:v>
                </c:pt>
                <c:pt idx="1">
                  <c:v>1</c:v>
                </c:pt>
                <c:pt idx="2">
                  <c:v>1.0357142857142858</c:v>
                </c:pt>
                <c:pt idx="3">
                  <c:v>1.0375000000000001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674-4EFE-B550-05E0A484B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3801035"/>
        <c:axId val="1713987804"/>
      </c:barChart>
      <c:catAx>
        <c:axId val="75380103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13987804"/>
        <c:crosses val="autoZero"/>
        <c:auto val="1"/>
        <c:lblAlgn val="ctr"/>
        <c:lblOffset val="100"/>
        <c:noMultiLvlLbl val="1"/>
      </c:catAx>
      <c:valAx>
        <c:axId val="171398780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53801035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FALL2025!$Q$105:$Q$108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FALL2025!$R$105:$R$108</c:f>
              <c:numCache>
                <c:formatCode>0.00</c:formatCode>
                <c:ptCount val="4"/>
                <c:pt idx="0">
                  <c:v>0.64</c:v>
                </c:pt>
                <c:pt idx="1">
                  <c:v>0.94736842105263153</c:v>
                </c:pt>
                <c:pt idx="2">
                  <c:v>0.99099099099099097</c:v>
                </c:pt>
                <c:pt idx="3">
                  <c:v>1.1258278145695364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18D-4C56-83AC-5D59EC8E0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150820"/>
        <c:axId val="1744579337"/>
      </c:barChart>
      <c:catAx>
        <c:axId val="185515082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44579337"/>
        <c:crosses val="autoZero"/>
        <c:auto val="1"/>
        <c:lblAlgn val="ctr"/>
        <c:lblOffset val="100"/>
        <c:noMultiLvlLbl val="1"/>
      </c:catAx>
      <c:valAx>
        <c:axId val="174457933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5515082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Individual Winner Chart (adjusted scores)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1082430485663"/>
          <c:y val="0.10473938757655291"/>
          <c:w val="0.86208023997000371"/>
          <c:h val="0.75559727034120738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FALL2025!$AN$36:$AN$51</c:f>
              <c:strCache>
                <c:ptCount val="16"/>
                <c:pt idx="0">
                  <c:v>Ethan</c:v>
                </c:pt>
                <c:pt idx="1">
                  <c:v>Mikey</c:v>
                </c:pt>
                <c:pt idx="2">
                  <c:v>Lucy</c:v>
                </c:pt>
                <c:pt idx="3">
                  <c:v>Will</c:v>
                </c:pt>
                <c:pt idx="4">
                  <c:v>Anthony</c:v>
                </c:pt>
                <c:pt idx="5">
                  <c:v>Peter</c:v>
                </c:pt>
                <c:pt idx="6">
                  <c:v>Carter</c:v>
                </c:pt>
                <c:pt idx="7">
                  <c:v>Maxine</c:v>
                </c:pt>
                <c:pt idx="8">
                  <c:v>Evan</c:v>
                </c:pt>
                <c:pt idx="9">
                  <c:v>Vignesh</c:v>
                </c:pt>
                <c:pt idx="10">
                  <c:v>Grady</c:v>
                </c:pt>
                <c:pt idx="11">
                  <c:v>Joey</c:v>
                </c:pt>
                <c:pt idx="12">
                  <c:v>Erick</c:v>
                </c:pt>
                <c:pt idx="13">
                  <c:v>Cooper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FALL2025!$AP$36:$AP$51</c:f>
              <c:numCache>
                <c:formatCode>0.00</c:formatCode>
                <c:ptCount val="16"/>
                <c:pt idx="0">
                  <c:v>1050.4419993887361</c:v>
                </c:pt>
                <c:pt idx="1">
                  <c:v>703.6888253835258</c:v>
                </c:pt>
                <c:pt idx="2">
                  <c:v>678.92184286301938</c:v>
                </c:pt>
                <c:pt idx="3">
                  <c:v>658.90752517223109</c:v>
                </c:pt>
                <c:pt idx="4">
                  <c:v>601.14093137254895</c:v>
                </c:pt>
                <c:pt idx="5">
                  <c:v>542.0670995670996</c:v>
                </c:pt>
                <c:pt idx="6">
                  <c:v>525.79761904761904</c:v>
                </c:pt>
                <c:pt idx="7">
                  <c:v>466.25</c:v>
                </c:pt>
                <c:pt idx="8">
                  <c:v>422.35823095823093</c:v>
                </c:pt>
                <c:pt idx="9">
                  <c:v>387.66861598440545</c:v>
                </c:pt>
                <c:pt idx="10">
                  <c:v>379.53386809269159</c:v>
                </c:pt>
                <c:pt idx="11">
                  <c:v>374.25</c:v>
                </c:pt>
                <c:pt idx="12">
                  <c:v>295.54166666666663</c:v>
                </c:pt>
                <c:pt idx="13">
                  <c:v>274.16666666666669</c:v>
                </c:pt>
                <c:pt idx="14">
                  <c:v>154.22838345864662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F7E-461D-A75D-D51B02ED6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731323"/>
        <c:axId val="612911171"/>
      </c:barChart>
      <c:catAx>
        <c:axId val="4047313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12911171"/>
        <c:crosses val="autoZero"/>
        <c:auto val="1"/>
        <c:lblAlgn val="ctr"/>
        <c:lblOffset val="100"/>
        <c:noMultiLvlLbl val="1"/>
      </c:catAx>
      <c:valAx>
        <c:axId val="6129111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0473132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Part Winner Chart (adjusted scores)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304092081868369"/>
          <c:y val="0.1234218289085546"/>
          <c:w val="0.86149610755361861"/>
          <c:h val="0.77359998141825193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FALL2025!$AN$66:$AN$70</c:f>
              <c:strCache>
                <c:ptCount val="5"/>
                <c:pt idx="0">
                  <c:v>Basses (No Reuben)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  <c:pt idx="4">
                  <c:v>Basses</c:v>
                </c:pt>
              </c:strCache>
            </c:strRef>
          </c:cat>
          <c:val>
            <c:numRef>
              <c:f>FALL2025!$AP$66:$AP$70</c:f>
              <c:numCache>
                <c:formatCode>0.00</c:formatCode>
                <c:ptCount val="5"/>
                <c:pt idx="0">
                  <c:v>234.70535714285711</c:v>
                </c:pt>
                <c:pt idx="1">
                  <c:v>210.73120252948692</c:v>
                </c:pt>
                <c:pt idx="2">
                  <c:v>127.43988978025124</c:v>
                </c:pt>
                <c:pt idx="3">
                  <c:v>110.79931995392519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5D5-4A0F-B6AC-49718897A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950209"/>
        <c:axId val="1947208376"/>
      </c:barChart>
      <c:catAx>
        <c:axId val="11949502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47208376"/>
        <c:crosses val="autoZero"/>
        <c:auto val="1"/>
        <c:lblAlgn val="ctr"/>
        <c:lblOffset val="100"/>
        <c:noMultiLvlLbl val="1"/>
      </c:catAx>
      <c:valAx>
        <c:axId val="19472083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949502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0649862901216"/>
          <c:y val="0.107566988210075"/>
          <c:w val="0.86062278528033154"/>
          <c:h val="0.7298927344692846"/>
        </c:manualLayout>
      </c:layout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196B2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(2)'!$G$29:$G$44</c:f>
              <c:strCache>
                <c:ptCount val="16"/>
                <c:pt idx="0">
                  <c:v>Mikey</c:v>
                </c:pt>
                <c:pt idx="1">
                  <c:v>Ethan</c:v>
                </c:pt>
                <c:pt idx="2">
                  <c:v>Will</c:v>
                </c:pt>
                <c:pt idx="3">
                  <c:v>Lucy</c:v>
                </c:pt>
                <c:pt idx="4">
                  <c:v>Evan</c:v>
                </c:pt>
                <c:pt idx="5">
                  <c:v>Rob</c:v>
                </c:pt>
                <c:pt idx="6">
                  <c:v>Anthony</c:v>
                </c:pt>
                <c:pt idx="7">
                  <c:v>Grady</c:v>
                </c:pt>
                <c:pt idx="8">
                  <c:v>Vignesh</c:v>
                </c:pt>
                <c:pt idx="9">
                  <c:v>Carter</c:v>
                </c:pt>
                <c:pt idx="10">
                  <c:v>Peter</c:v>
                </c:pt>
                <c:pt idx="11">
                  <c:v>Maxine</c:v>
                </c:pt>
                <c:pt idx="12">
                  <c:v>Joey</c:v>
                </c:pt>
                <c:pt idx="13">
                  <c:v>Erick</c:v>
                </c:pt>
                <c:pt idx="14">
                  <c:v>Cooper</c:v>
                </c:pt>
                <c:pt idx="15">
                  <c:v>Reuben</c:v>
                </c:pt>
              </c:strCache>
            </c:strRef>
          </c:cat>
          <c:val>
            <c:numRef>
              <c:f>'FALL2025 (2)'!$H$29:$H$44</c:f>
              <c:numCache>
                <c:formatCode>General</c:formatCode>
                <c:ptCount val="16"/>
                <c:pt idx="0">
                  <c:v>49</c:v>
                </c:pt>
                <c:pt idx="1">
                  <c:v>43</c:v>
                </c:pt>
                <c:pt idx="2">
                  <c:v>37</c:v>
                </c:pt>
                <c:pt idx="3">
                  <c:v>33</c:v>
                </c:pt>
                <c:pt idx="4">
                  <c:v>22</c:v>
                </c:pt>
                <c:pt idx="5">
                  <c:v>19</c:v>
                </c:pt>
                <c:pt idx="6">
                  <c:v>17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11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381-4954-964D-99A13E222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0344361"/>
        <c:axId val="251128760"/>
      </c:barChart>
      <c:catAx>
        <c:axId val="7803443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51128760"/>
        <c:crosses val="autoZero"/>
        <c:auto val="1"/>
        <c:lblAlgn val="ctr"/>
        <c:lblOffset val="100"/>
        <c:noMultiLvlLbl val="1"/>
      </c:catAx>
      <c:valAx>
        <c:axId val="2511287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034436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61356219361469"/>
          <c:y val="0.11727272727272731"/>
          <c:w val="0.86799724108560505"/>
          <c:h val="0.71860381088727543"/>
        </c:manualLayout>
      </c:layout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196B2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(2)'!$Q$29:$Q$44</c:f>
              <c:strCache>
                <c:ptCount val="16"/>
                <c:pt idx="0">
                  <c:v>Mikey</c:v>
                </c:pt>
                <c:pt idx="1">
                  <c:v>Ethan</c:v>
                </c:pt>
                <c:pt idx="2">
                  <c:v>Will</c:v>
                </c:pt>
                <c:pt idx="3">
                  <c:v>Lucy</c:v>
                </c:pt>
                <c:pt idx="4">
                  <c:v>Evan</c:v>
                </c:pt>
                <c:pt idx="5">
                  <c:v>Anthony</c:v>
                </c:pt>
                <c:pt idx="6">
                  <c:v>Rob</c:v>
                </c:pt>
                <c:pt idx="7">
                  <c:v>Grady</c:v>
                </c:pt>
                <c:pt idx="8">
                  <c:v>Vignesh</c:v>
                </c:pt>
                <c:pt idx="9">
                  <c:v>Carter</c:v>
                </c:pt>
                <c:pt idx="10">
                  <c:v>Peter</c:v>
                </c:pt>
                <c:pt idx="11">
                  <c:v>Maxine</c:v>
                </c:pt>
                <c:pt idx="12">
                  <c:v>Erick</c:v>
                </c:pt>
                <c:pt idx="13">
                  <c:v>Joey</c:v>
                </c:pt>
                <c:pt idx="14">
                  <c:v>Cooper</c:v>
                </c:pt>
                <c:pt idx="15">
                  <c:v>Reuben</c:v>
                </c:pt>
              </c:strCache>
            </c:strRef>
          </c:cat>
          <c:val>
            <c:numRef>
              <c:f>'FALL2025 (2)'!$R$29:$R$44</c:f>
              <c:numCache>
                <c:formatCode>General</c:formatCode>
                <c:ptCount val="16"/>
                <c:pt idx="0">
                  <c:v>67</c:v>
                </c:pt>
                <c:pt idx="1">
                  <c:v>66</c:v>
                </c:pt>
                <c:pt idx="2">
                  <c:v>56</c:v>
                </c:pt>
                <c:pt idx="3">
                  <c:v>43</c:v>
                </c:pt>
                <c:pt idx="4">
                  <c:v>29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22</c:v>
                </c:pt>
                <c:pt idx="9">
                  <c:v>21</c:v>
                </c:pt>
                <c:pt idx="10">
                  <c:v>16</c:v>
                </c:pt>
                <c:pt idx="11">
                  <c:v>12</c:v>
                </c:pt>
                <c:pt idx="12">
                  <c:v>7</c:v>
                </c:pt>
                <c:pt idx="13">
                  <c:v>6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EAF-4F19-9EAE-C044F605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3808544"/>
        <c:axId val="926892045"/>
      </c:barChart>
      <c:catAx>
        <c:axId val="151380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26892045"/>
        <c:crosses val="autoZero"/>
        <c:auto val="1"/>
        <c:lblAlgn val="ctr"/>
        <c:lblOffset val="100"/>
        <c:noMultiLvlLbl val="1"/>
      </c:catAx>
      <c:valAx>
        <c:axId val="92689204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1380854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2852445168492"/>
          <c:y val="0.13635964912280699"/>
          <c:w val="0.85661769290332956"/>
          <c:h val="0.70702859510982174"/>
        </c:manualLayout>
      </c:layout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(2)'!$G$47:$G$62</c:f>
              <c:strCache>
                <c:ptCount val="16"/>
                <c:pt idx="0">
                  <c:v>Mikey</c:v>
                </c:pt>
                <c:pt idx="1">
                  <c:v>Rob</c:v>
                </c:pt>
                <c:pt idx="2">
                  <c:v>Will</c:v>
                </c:pt>
                <c:pt idx="3">
                  <c:v>Ethan</c:v>
                </c:pt>
                <c:pt idx="4">
                  <c:v>Lucy</c:v>
                </c:pt>
                <c:pt idx="5">
                  <c:v>Evan</c:v>
                </c:pt>
                <c:pt idx="6">
                  <c:v>Grady</c:v>
                </c:pt>
                <c:pt idx="7">
                  <c:v>Vignesh</c:v>
                </c:pt>
                <c:pt idx="8">
                  <c:v>Anthony</c:v>
                </c:pt>
                <c:pt idx="9">
                  <c:v>Carter</c:v>
                </c:pt>
                <c:pt idx="10">
                  <c:v>Reuben</c:v>
                </c:pt>
                <c:pt idx="11">
                  <c:v>Maxine</c:v>
                </c:pt>
                <c:pt idx="12">
                  <c:v>Erick</c:v>
                </c:pt>
                <c:pt idx="13">
                  <c:v>Peter</c:v>
                </c:pt>
                <c:pt idx="14">
                  <c:v>Joey</c:v>
                </c:pt>
                <c:pt idx="15">
                  <c:v>Cooper</c:v>
                </c:pt>
              </c:strCache>
            </c:strRef>
          </c:cat>
          <c:val>
            <c:numRef>
              <c:f>'FALL2025 (2)'!$H$47:$H$62</c:f>
              <c:numCache>
                <c:formatCode>General</c:formatCode>
                <c:ptCount val="16"/>
                <c:pt idx="0">
                  <c:v>44</c:v>
                </c:pt>
                <c:pt idx="1">
                  <c:v>36</c:v>
                </c:pt>
                <c:pt idx="2">
                  <c:v>34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22</c:v>
                </c:pt>
                <c:pt idx="7">
                  <c:v>19</c:v>
                </c:pt>
                <c:pt idx="8">
                  <c:v>15</c:v>
                </c:pt>
                <c:pt idx="9">
                  <c:v>14</c:v>
                </c:pt>
                <c:pt idx="10">
                  <c:v>10</c:v>
                </c:pt>
                <c:pt idx="11">
                  <c:v>8</c:v>
                </c:pt>
                <c:pt idx="12">
                  <c:v>8</c:v>
                </c:pt>
                <c:pt idx="13">
                  <c:v>6</c:v>
                </c:pt>
                <c:pt idx="14">
                  <c:v>4</c:v>
                </c:pt>
                <c:pt idx="15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C50-41D7-A613-B76711F16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737138"/>
        <c:axId val="394443950"/>
      </c:barChart>
      <c:catAx>
        <c:axId val="18207371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94443950"/>
        <c:crosses val="autoZero"/>
        <c:auto val="1"/>
        <c:lblAlgn val="ctr"/>
        <c:lblOffset val="100"/>
        <c:noMultiLvlLbl val="1"/>
      </c:catAx>
      <c:valAx>
        <c:axId val="3944439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2073713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539211495235599"/>
          <c:y val="0.1157692307692308"/>
          <c:w val="0.86892195393264104"/>
          <c:h val="0.70939094151692572"/>
        </c:manualLayout>
      </c:layout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(2)'!$Q$47:$Q$62</c:f>
              <c:strCache>
                <c:ptCount val="16"/>
                <c:pt idx="0">
                  <c:v>Mikey</c:v>
                </c:pt>
                <c:pt idx="1">
                  <c:v>Rob</c:v>
                </c:pt>
                <c:pt idx="2">
                  <c:v>Will</c:v>
                </c:pt>
                <c:pt idx="3">
                  <c:v>Evan</c:v>
                </c:pt>
                <c:pt idx="4">
                  <c:v>Lucy</c:v>
                </c:pt>
                <c:pt idx="5">
                  <c:v>Grady</c:v>
                </c:pt>
                <c:pt idx="6">
                  <c:v>Ethan</c:v>
                </c:pt>
                <c:pt idx="7">
                  <c:v>Vignesh</c:v>
                </c:pt>
                <c:pt idx="8">
                  <c:v>Carter</c:v>
                </c:pt>
                <c:pt idx="9">
                  <c:v>Reuben</c:v>
                </c:pt>
                <c:pt idx="10">
                  <c:v>Anthony</c:v>
                </c:pt>
                <c:pt idx="11">
                  <c:v>Erick</c:v>
                </c:pt>
                <c:pt idx="12">
                  <c:v>Maxine</c:v>
                </c:pt>
                <c:pt idx="13">
                  <c:v>Peter</c:v>
                </c:pt>
                <c:pt idx="14">
                  <c:v>Joey</c:v>
                </c:pt>
                <c:pt idx="15">
                  <c:v>Cooper</c:v>
                </c:pt>
              </c:strCache>
            </c:strRef>
          </c:cat>
          <c:val>
            <c:numRef>
              <c:f>'FALL2025 (2)'!$R$47:$R$62</c:f>
              <c:numCache>
                <c:formatCode>General</c:formatCode>
                <c:ptCount val="16"/>
                <c:pt idx="0">
                  <c:v>62</c:v>
                </c:pt>
                <c:pt idx="1">
                  <c:v>56</c:v>
                </c:pt>
                <c:pt idx="2">
                  <c:v>48</c:v>
                </c:pt>
                <c:pt idx="3">
                  <c:v>37</c:v>
                </c:pt>
                <c:pt idx="4">
                  <c:v>34</c:v>
                </c:pt>
                <c:pt idx="5">
                  <c:v>33</c:v>
                </c:pt>
                <c:pt idx="6">
                  <c:v>31</c:v>
                </c:pt>
                <c:pt idx="7">
                  <c:v>27</c:v>
                </c:pt>
                <c:pt idx="8">
                  <c:v>20</c:v>
                </c:pt>
                <c:pt idx="9">
                  <c:v>18</c:v>
                </c:pt>
                <c:pt idx="10">
                  <c:v>16</c:v>
                </c:pt>
                <c:pt idx="11">
                  <c:v>12</c:v>
                </c:pt>
                <c:pt idx="12">
                  <c:v>9</c:v>
                </c:pt>
                <c:pt idx="13">
                  <c:v>7</c:v>
                </c:pt>
                <c:pt idx="14">
                  <c:v>4</c:v>
                </c:pt>
                <c:pt idx="15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5E2-43ED-B77E-03A4387BE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132193"/>
        <c:axId val="1239803283"/>
      </c:barChart>
      <c:catAx>
        <c:axId val="3531321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39803283"/>
        <c:crosses val="autoZero"/>
        <c:auto val="1"/>
        <c:lblAlgn val="ctr"/>
        <c:lblOffset val="100"/>
        <c:noMultiLvlLbl val="1"/>
      </c:catAx>
      <c:valAx>
        <c:axId val="12398032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5313219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4509559424878269E-2"/>
          <c:y val="0.15869491245624501"/>
          <c:w val="0.86340718593506072"/>
          <c:h val="0.66713226400919068"/>
        </c:manualLayout>
      </c:layout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(2)'!$G$65:$G$80</c:f>
              <c:strCache>
                <c:ptCount val="16"/>
                <c:pt idx="0">
                  <c:v>Peter</c:v>
                </c:pt>
                <c:pt idx="1">
                  <c:v>Ethan</c:v>
                </c:pt>
                <c:pt idx="2">
                  <c:v>Lucy</c:v>
                </c:pt>
                <c:pt idx="3">
                  <c:v>Joey</c:v>
                </c:pt>
                <c:pt idx="4">
                  <c:v>Maxine</c:v>
                </c:pt>
                <c:pt idx="5">
                  <c:v>Anthony</c:v>
                </c:pt>
                <c:pt idx="6">
                  <c:v>Mikey</c:v>
                </c:pt>
                <c:pt idx="7">
                  <c:v>Will</c:v>
                </c:pt>
                <c:pt idx="8">
                  <c:v>Carter</c:v>
                </c:pt>
                <c:pt idx="9">
                  <c:v>Evan</c:v>
                </c:pt>
                <c:pt idx="10">
                  <c:v>Vignesh</c:v>
                </c:pt>
                <c:pt idx="11">
                  <c:v>Grady</c:v>
                </c:pt>
                <c:pt idx="12">
                  <c:v>Cooper</c:v>
                </c:pt>
                <c:pt idx="13">
                  <c:v>Erick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'FALL2025 (2)'!$H$65:$H$80</c:f>
              <c:numCache>
                <c:formatCode>0.00</c:formatCode>
                <c:ptCount val="16"/>
                <c:pt idx="0">
                  <c:v>1.8333333333333333</c:v>
                </c:pt>
                <c:pt idx="1">
                  <c:v>1.5925925925925926</c:v>
                </c:pt>
                <c:pt idx="2">
                  <c:v>1.2692307692307692</c:v>
                </c:pt>
                <c:pt idx="3">
                  <c:v>1.25</c:v>
                </c:pt>
                <c:pt idx="4">
                  <c:v>1.25</c:v>
                </c:pt>
                <c:pt idx="5">
                  <c:v>1.1333333333333333</c:v>
                </c:pt>
                <c:pt idx="6">
                  <c:v>1.1136363636363635</c:v>
                </c:pt>
                <c:pt idx="7">
                  <c:v>1.088235294117647</c:v>
                </c:pt>
                <c:pt idx="8">
                  <c:v>1.0714285714285714</c:v>
                </c:pt>
                <c:pt idx="9">
                  <c:v>0.88</c:v>
                </c:pt>
                <c:pt idx="10">
                  <c:v>0.84210526315789469</c:v>
                </c:pt>
                <c:pt idx="11">
                  <c:v>0.77272727272727271</c:v>
                </c:pt>
                <c:pt idx="12">
                  <c:v>0.66666666666666663</c:v>
                </c:pt>
                <c:pt idx="13">
                  <c:v>0.625</c:v>
                </c:pt>
                <c:pt idx="14">
                  <c:v>0.52777777777777779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191-4451-BD0B-6D752805C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0631612"/>
        <c:axId val="2120824982"/>
      </c:barChart>
      <c:catAx>
        <c:axId val="18606316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20824982"/>
        <c:crosses val="autoZero"/>
        <c:auto val="1"/>
        <c:lblAlgn val="ctr"/>
        <c:lblOffset val="100"/>
        <c:noMultiLvlLbl val="1"/>
      </c:catAx>
      <c:valAx>
        <c:axId val="212082498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6063161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(2)'!$Q$65:$Q$80</c:f>
              <c:strCache>
                <c:ptCount val="16"/>
                <c:pt idx="0">
                  <c:v>Peter</c:v>
                </c:pt>
                <c:pt idx="1">
                  <c:v>Ethan</c:v>
                </c:pt>
                <c:pt idx="2">
                  <c:v>Anthony</c:v>
                </c:pt>
                <c:pt idx="3">
                  <c:v>Joey</c:v>
                </c:pt>
                <c:pt idx="4">
                  <c:v>Maxine</c:v>
                </c:pt>
                <c:pt idx="5">
                  <c:v>Lucy</c:v>
                </c:pt>
                <c:pt idx="6">
                  <c:v>Will</c:v>
                </c:pt>
                <c:pt idx="7">
                  <c:v>Mikey</c:v>
                </c:pt>
                <c:pt idx="8">
                  <c:v>Carter</c:v>
                </c:pt>
                <c:pt idx="9">
                  <c:v>Vignesh</c:v>
                </c:pt>
                <c:pt idx="10">
                  <c:v>Evan</c:v>
                </c:pt>
                <c:pt idx="11">
                  <c:v>Grady</c:v>
                </c:pt>
                <c:pt idx="12">
                  <c:v>Cooper</c:v>
                </c:pt>
                <c:pt idx="13">
                  <c:v>Erick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'FALL2025 (2)'!$R$65:$R$80</c:f>
              <c:numCache>
                <c:formatCode>0.00</c:formatCode>
                <c:ptCount val="16"/>
                <c:pt idx="0">
                  <c:v>2.2857142857142856</c:v>
                </c:pt>
                <c:pt idx="1">
                  <c:v>2.129032258064516</c:v>
                </c:pt>
                <c:pt idx="2">
                  <c:v>1.5625</c:v>
                </c:pt>
                <c:pt idx="3">
                  <c:v>1.5</c:v>
                </c:pt>
                <c:pt idx="4">
                  <c:v>1.3333333333333333</c:v>
                </c:pt>
                <c:pt idx="5">
                  <c:v>1.2647058823529411</c:v>
                </c:pt>
                <c:pt idx="6">
                  <c:v>1.1666666666666667</c:v>
                </c:pt>
                <c:pt idx="7">
                  <c:v>1.0806451612903225</c:v>
                </c:pt>
                <c:pt idx="8">
                  <c:v>1.05</c:v>
                </c:pt>
                <c:pt idx="9">
                  <c:v>0.81481481481481477</c:v>
                </c:pt>
                <c:pt idx="10">
                  <c:v>0.78378378378378377</c:v>
                </c:pt>
                <c:pt idx="11">
                  <c:v>0.66666666666666663</c:v>
                </c:pt>
                <c:pt idx="12">
                  <c:v>0.66666666666666663</c:v>
                </c:pt>
                <c:pt idx="13">
                  <c:v>0.58333333333333337</c:v>
                </c:pt>
                <c:pt idx="14">
                  <c:v>0.4107142857142857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B03-4C51-B4A9-705C46079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6697265"/>
        <c:axId val="660815733"/>
      </c:barChart>
      <c:catAx>
        <c:axId val="21366972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60815733"/>
        <c:crosses val="autoZero"/>
        <c:auto val="1"/>
        <c:lblAlgn val="ctr"/>
        <c:lblOffset val="100"/>
        <c:noMultiLvlLbl val="1"/>
      </c:catAx>
      <c:valAx>
        <c:axId val="66081573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3669726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(2)'!$G$83:$G$86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'FALL2025 (2)'!$H$83:$H$86</c:f>
              <c:numCache>
                <c:formatCode>0.00</c:formatCode>
                <c:ptCount val="4"/>
                <c:pt idx="0">
                  <c:v>5.5</c:v>
                </c:pt>
                <c:pt idx="1">
                  <c:v>20.25</c:v>
                </c:pt>
                <c:pt idx="2">
                  <c:v>20.75</c:v>
                </c:pt>
                <c:pt idx="3">
                  <c:v>29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F1A-4CF5-9D3E-3DDDB19EC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5154773"/>
        <c:axId val="2068104030"/>
      </c:barChart>
      <c:catAx>
        <c:axId val="189515477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68104030"/>
        <c:crosses val="autoZero"/>
        <c:auto val="1"/>
        <c:lblAlgn val="ctr"/>
        <c:lblOffset val="100"/>
        <c:noMultiLvlLbl val="1"/>
      </c:catAx>
      <c:valAx>
        <c:axId val="206810403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9515477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(2)'!$Q$83:$Q$86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'FALL2025 (2)'!$R$83:$R$86</c:f>
              <c:numCache>
                <c:formatCode>0.00</c:formatCode>
                <c:ptCount val="4"/>
                <c:pt idx="0">
                  <c:v>8</c:v>
                </c:pt>
                <c:pt idx="1">
                  <c:v>27</c:v>
                </c:pt>
                <c:pt idx="2">
                  <c:v>27.5</c:v>
                </c:pt>
                <c:pt idx="3">
                  <c:v>42.5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D9E-4D46-B345-1497E7F10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1493050"/>
        <c:axId val="1889015140"/>
      </c:barChart>
      <c:catAx>
        <c:axId val="132149305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89015140"/>
        <c:crosses val="autoZero"/>
        <c:auto val="1"/>
        <c:lblAlgn val="ctr"/>
        <c:lblOffset val="100"/>
        <c:noMultiLvlLbl val="1"/>
      </c:catAx>
      <c:valAx>
        <c:axId val="188901514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2149305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(2)'!$G$94:$G$97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'FALL2025 (2)'!$H$94:$H$97</c:f>
              <c:numCache>
                <c:formatCode>0.00</c:formatCode>
                <c:ptCount val="4"/>
                <c:pt idx="0">
                  <c:v>8</c:v>
                </c:pt>
                <c:pt idx="1">
                  <c:v>20</c:v>
                </c:pt>
                <c:pt idx="2">
                  <c:v>20.25</c:v>
                </c:pt>
                <c:pt idx="3">
                  <c:v>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1EB-43A5-AAE1-AF804A449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8419321"/>
        <c:axId val="514099902"/>
      </c:barChart>
      <c:catAx>
        <c:axId val="140841932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14099902"/>
        <c:crosses val="autoZero"/>
        <c:auto val="1"/>
        <c:lblAlgn val="ctr"/>
        <c:lblOffset val="100"/>
        <c:noMultiLvlLbl val="1"/>
      </c:catAx>
      <c:valAx>
        <c:axId val="51409990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841932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(2)'!$Q$94:$Q$97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'FALL2025 (2)'!$R$94:$R$97</c:f>
              <c:numCache>
                <c:formatCode>0.00</c:formatCode>
                <c:ptCount val="4"/>
                <c:pt idx="0">
                  <c:v>12.5</c:v>
                </c:pt>
                <c:pt idx="1">
                  <c:v>27.75</c:v>
                </c:pt>
                <c:pt idx="2">
                  <c:v>28.5</c:v>
                </c:pt>
                <c:pt idx="3">
                  <c:v>37.75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C52-4EF7-862F-C1DDF1DED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4006493"/>
        <c:axId val="2025916010"/>
      </c:barChart>
      <c:catAx>
        <c:axId val="93400649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25916010"/>
        <c:crosses val="autoZero"/>
        <c:auto val="1"/>
        <c:lblAlgn val="ctr"/>
        <c:lblOffset val="100"/>
        <c:noMultiLvlLbl val="1"/>
      </c:catAx>
      <c:valAx>
        <c:axId val="202591601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3400649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(2)'!$G$105:$G$108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'FALL2025 (2)'!$H$105:$H$108</c:f>
              <c:numCache>
                <c:formatCode>0.00</c:formatCode>
                <c:ptCount val="4"/>
                <c:pt idx="0">
                  <c:v>0.6875</c:v>
                </c:pt>
                <c:pt idx="1">
                  <c:v>1</c:v>
                </c:pt>
                <c:pt idx="2">
                  <c:v>1.0357142857142858</c:v>
                </c:pt>
                <c:pt idx="3">
                  <c:v>1.0375000000000001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996-4697-8C97-BA7EB5B06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3801035"/>
        <c:axId val="1713987804"/>
      </c:barChart>
      <c:catAx>
        <c:axId val="75380103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13987804"/>
        <c:crosses val="autoZero"/>
        <c:auto val="1"/>
        <c:lblAlgn val="ctr"/>
        <c:lblOffset val="100"/>
        <c:noMultiLvlLbl val="1"/>
      </c:catAx>
      <c:valAx>
        <c:axId val="171398780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53801035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'FALL2025 (2)'!$Q$105:$Q$108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'FALL2025 (2)'!$R$105:$R$108</c:f>
              <c:numCache>
                <c:formatCode>0.00</c:formatCode>
                <c:ptCount val="4"/>
                <c:pt idx="0">
                  <c:v>0.64</c:v>
                </c:pt>
                <c:pt idx="1">
                  <c:v>0.94736842105263153</c:v>
                </c:pt>
                <c:pt idx="2">
                  <c:v>0.99099099099099097</c:v>
                </c:pt>
                <c:pt idx="3">
                  <c:v>1.1258278145695364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DEF-4EF0-94BF-9757D99B1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150820"/>
        <c:axId val="1744579337"/>
      </c:barChart>
      <c:catAx>
        <c:axId val="185515082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44579337"/>
        <c:crosses val="autoZero"/>
        <c:auto val="1"/>
        <c:lblAlgn val="ctr"/>
        <c:lblOffset val="100"/>
        <c:noMultiLvlLbl val="1"/>
      </c:catAx>
      <c:valAx>
        <c:axId val="174457933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5515082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Individual Winner Chart (adjusted scores)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1082430485663"/>
          <c:y val="0.10473938757655291"/>
          <c:w val="0.86208023997000371"/>
          <c:h val="0.75559727034120738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'FALL2025 (2)'!$AN$36:$AN$51</c:f>
              <c:strCache>
                <c:ptCount val="16"/>
                <c:pt idx="0">
                  <c:v>Ethan</c:v>
                </c:pt>
                <c:pt idx="1">
                  <c:v>Mikey</c:v>
                </c:pt>
                <c:pt idx="2">
                  <c:v>Lucy</c:v>
                </c:pt>
                <c:pt idx="3">
                  <c:v>Will</c:v>
                </c:pt>
                <c:pt idx="4">
                  <c:v>Anthony</c:v>
                </c:pt>
                <c:pt idx="5">
                  <c:v>Peter</c:v>
                </c:pt>
                <c:pt idx="6">
                  <c:v>Carter</c:v>
                </c:pt>
                <c:pt idx="7">
                  <c:v>Maxine</c:v>
                </c:pt>
                <c:pt idx="8">
                  <c:v>Evan</c:v>
                </c:pt>
                <c:pt idx="9">
                  <c:v>Vignesh</c:v>
                </c:pt>
                <c:pt idx="10">
                  <c:v>Grady</c:v>
                </c:pt>
                <c:pt idx="11">
                  <c:v>Joey</c:v>
                </c:pt>
                <c:pt idx="12">
                  <c:v>Erick</c:v>
                </c:pt>
                <c:pt idx="13">
                  <c:v>Cooper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'FALL2025 (2)'!$AP$36:$AP$51</c:f>
              <c:numCache>
                <c:formatCode>0.00</c:formatCode>
                <c:ptCount val="16"/>
                <c:pt idx="0">
                  <c:v>1050.4419993887361</c:v>
                </c:pt>
                <c:pt idx="1">
                  <c:v>703.6888253835258</c:v>
                </c:pt>
                <c:pt idx="2">
                  <c:v>678.92184286301938</c:v>
                </c:pt>
                <c:pt idx="3">
                  <c:v>658.90752517223109</c:v>
                </c:pt>
                <c:pt idx="4">
                  <c:v>601.14093137254895</c:v>
                </c:pt>
                <c:pt idx="5">
                  <c:v>542.0670995670996</c:v>
                </c:pt>
                <c:pt idx="6">
                  <c:v>525.79761904761904</c:v>
                </c:pt>
                <c:pt idx="7">
                  <c:v>466.25</c:v>
                </c:pt>
                <c:pt idx="8">
                  <c:v>422.35823095823093</c:v>
                </c:pt>
                <c:pt idx="9">
                  <c:v>387.66861598440545</c:v>
                </c:pt>
                <c:pt idx="10">
                  <c:v>379.53386809269159</c:v>
                </c:pt>
                <c:pt idx="11">
                  <c:v>374.25</c:v>
                </c:pt>
                <c:pt idx="12">
                  <c:v>295.54166666666663</c:v>
                </c:pt>
                <c:pt idx="13">
                  <c:v>274.16666666666669</c:v>
                </c:pt>
                <c:pt idx="14">
                  <c:v>154.22838345864662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248-4B0A-B8F9-941C6FBF3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731323"/>
        <c:axId val="612911171"/>
      </c:barChart>
      <c:catAx>
        <c:axId val="4047313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12911171"/>
        <c:crosses val="autoZero"/>
        <c:auto val="1"/>
        <c:lblAlgn val="ctr"/>
        <c:lblOffset val="100"/>
        <c:noMultiLvlLbl val="1"/>
      </c:catAx>
      <c:valAx>
        <c:axId val="6129111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0473132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Part Winner Chart (adjusted scores)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304092081868369"/>
          <c:y val="0.1234218289085546"/>
          <c:w val="0.86149610755361861"/>
          <c:h val="0.77359998141825193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'FALL2025 (2)'!$AN$66:$AN$70</c:f>
              <c:strCache>
                <c:ptCount val="5"/>
                <c:pt idx="0">
                  <c:v>Basses (No Reuben)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  <c:pt idx="4">
                  <c:v>Basses</c:v>
                </c:pt>
              </c:strCache>
            </c:strRef>
          </c:cat>
          <c:val>
            <c:numRef>
              <c:f>'FALL2025 (2)'!$AP$66:$AP$70</c:f>
              <c:numCache>
                <c:formatCode>0.00</c:formatCode>
                <c:ptCount val="5"/>
                <c:pt idx="0">
                  <c:v>234.70535714285711</c:v>
                </c:pt>
                <c:pt idx="1">
                  <c:v>210.73120252948692</c:v>
                </c:pt>
                <c:pt idx="2">
                  <c:v>127.43988978025124</c:v>
                </c:pt>
                <c:pt idx="3">
                  <c:v>110.79931995392519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C0F-48C4-A4D0-45DAAC102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950209"/>
        <c:axId val="1947208376"/>
      </c:barChart>
      <c:catAx>
        <c:axId val="11949502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47208376"/>
        <c:crosses val="autoZero"/>
        <c:auto val="1"/>
        <c:lblAlgn val="ctr"/>
        <c:lblOffset val="100"/>
        <c:noMultiLvlLbl val="1"/>
      </c:catAx>
      <c:valAx>
        <c:axId val="19472083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949502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196B2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Fall2025PRE!$G$26:$G$36</c:f>
              <c:strCache>
                <c:ptCount val="11"/>
                <c:pt idx="0">
                  <c:v>Ethan</c:v>
                </c:pt>
                <c:pt idx="1">
                  <c:v>Maxine</c:v>
                </c:pt>
                <c:pt idx="2">
                  <c:v>Anthony</c:v>
                </c:pt>
                <c:pt idx="3">
                  <c:v>Evan</c:v>
                </c:pt>
                <c:pt idx="4">
                  <c:v>Peter</c:v>
                </c:pt>
                <c:pt idx="5">
                  <c:v>Joey</c:v>
                </c:pt>
                <c:pt idx="6">
                  <c:v>Carter</c:v>
                </c:pt>
                <c:pt idx="7">
                  <c:v>Grady</c:v>
                </c:pt>
                <c:pt idx="8">
                  <c:v>Cooper</c:v>
                </c:pt>
                <c:pt idx="9">
                  <c:v>Erick</c:v>
                </c:pt>
                <c:pt idx="10">
                  <c:v>Reuben</c:v>
                </c:pt>
              </c:strCache>
            </c:strRef>
          </c:cat>
          <c:val>
            <c:numRef>
              <c:f>Fall2025PRE!$H$26:$H$36</c:f>
              <c:numCache>
                <c:formatCode>General</c:formatCode>
                <c:ptCount val="11"/>
                <c:pt idx="0">
                  <c:v>18</c:v>
                </c:pt>
                <c:pt idx="1">
                  <c:v>13</c:v>
                </c:pt>
                <c:pt idx="2">
                  <c:v>11</c:v>
                </c:pt>
                <c:pt idx="3">
                  <c:v>10</c:v>
                </c:pt>
                <c:pt idx="4">
                  <c:v>7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C7B-4AC7-BB17-E0B4B5FB6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133275"/>
        <c:axId val="1451642483"/>
      </c:barChart>
      <c:catAx>
        <c:axId val="13971332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51642483"/>
        <c:crosses val="autoZero"/>
        <c:auto val="1"/>
        <c:lblAlgn val="ctr"/>
        <c:lblOffset val="100"/>
        <c:noMultiLvlLbl val="1"/>
      </c:catAx>
      <c:valAx>
        <c:axId val="14516424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9713327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196B2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Fall2025PRE!$Q$26:$Q$36</c:f>
              <c:strCache>
                <c:ptCount val="11"/>
                <c:pt idx="0">
                  <c:v>Ethan</c:v>
                </c:pt>
                <c:pt idx="1">
                  <c:v>Maxine</c:v>
                </c:pt>
                <c:pt idx="2">
                  <c:v>Anthony</c:v>
                </c:pt>
                <c:pt idx="3">
                  <c:v>Evan</c:v>
                </c:pt>
                <c:pt idx="4">
                  <c:v>Peter</c:v>
                </c:pt>
                <c:pt idx="5">
                  <c:v>Joey</c:v>
                </c:pt>
                <c:pt idx="6">
                  <c:v>Carter</c:v>
                </c:pt>
                <c:pt idx="7">
                  <c:v>Cooper</c:v>
                </c:pt>
                <c:pt idx="8">
                  <c:v>Grady</c:v>
                </c:pt>
                <c:pt idx="9">
                  <c:v>Erick</c:v>
                </c:pt>
                <c:pt idx="10">
                  <c:v>Reuben</c:v>
                </c:pt>
              </c:strCache>
            </c:strRef>
          </c:cat>
          <c:val>
            <c:numRef>
              <c:f>Fall2025PRE!$R$26:$R$36</c:f>
              <c:numCache>
                <c:formatCode>General</c:formatCode>
                <c:ptCount val="11"/>
                <c:pt idx="0">
                  <c:v>28</c:v>
                </c:pt>
                <c:pt idx="1">
                  <c:v>21</c:v>
                </c:pt>
                <c:pt idx="2">
                  <c:v>18</c:v>
                </c:pt>
                <c:pt idx="3">
                  <c:v>13</c:v>
                </c:pt>
                <c:pt idx="4">
                  <c:v>11</c:v>
                </c:pt>
                <c:pt idx="5">
                  <c:v>10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9B8-47F1-B295-8CC4157E8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9262821"/>
        <c:axId val="37186842"/>
      </c:barChart>
      <c:catAx>
        <c:axId val="159926282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7186842"/>
        <c:crosses val="autoZero"/>
        <c:auto val="1"/>
        <c:lblAlgn val="ctr"/>
        <c:lblOffset val="100"/>
        <c:noMultiLvlLbl val="1"/>
      </c:catAx>
      <c:valAx>
        <c:axId val="3718684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9926282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Fall2025PRE!$G$42:$G$52</c:f>
              <c:strCache>
                <c:ptCount val="11"/>
                <c:pt idx="0">
                  <c:v>Evan</c:v>
                </c:pt>
                <c:pt idx="1">
                  <c:v>Grady</c:v>
                </c:pt>
                <c:pt idx="2">
                  <c:v>Ethan</c:v>
                </c:pt>
                <c:pt idx="3">
                  <c:v>Maxine</c:v>
                </c:pt>
                <c:pt idx="4">
                  <c:v>Erick</c:v>
                </c:pt>
                <c:pt idx="5">
                  <c:v>Anthony</c:v>
                </c:pt>
                <c:pt idx="6">
                  <c:v>Reuben</c:v>
                </c:pt>
                <c:pt idx="7">
                  <c:v>Cooper</c:v>
                </c:pt>
                <c:pt idx="8">
                  <c:v>Carter</c:v>
                </c:pt>
                <c:pt idx="9">
                  <c:v>Peter</c:v>
                </c:pt>
                <c:pt idx="10">
                  <c:v>Joey</c:v>
                </c:pt>
              </c:strCache>
            </c:strRef>
          </c:cat>
          <c:val>
            <c:numRef>
              <c:f>Fall2025PRE!$H$42:$H$52</c:f>
              <c:numCache>
                <c:formatCode>General</c:formatCode>
                <c:ptCount val="11"/>
                <c:pt idx="0">
                  <c:v>13</c:v>
                </c:pt>
                <c:pt idx="1">
                  <c:v>12</c:v>
                </c:pt>
                <c:pt idx="2">
                  <c:v>8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C3D-4DD5-9F4B-7BBA54529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4078155"/>
        <c:axId val="952674538"/>
      </c:barChart>
      <c:catAx>
        <c:axId val="7040781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52674538"/>
        <c:crosses val="autoZero"/>
        <c:auto val="1"/>
        <c:lblAlgn val="ctr"/>
        <c:lblOffset val="100"/>
        <c:noMultiLvlLbl val="1"/>
      </c:catAx>
      <c:valAx>
        <c:axId val="95267453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0407815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Fall2025PRE!$Q$42:$Q$52</c:f>
              <c:strCache>
                <c:ptCount val="11"/>
                <c:pt idx="0">
                  <c:v>Grady</c:v>
                </c:pt>
                <c:pt idx="1">
                  <c:v>Evan</c:v>
                </c:pt>
                <c:pt idx="2">
                  <c:v>Ethan</c:v>
                </c:pt>
                <c:pt idx="3">
                  <c:v>Maxine</c:v>
                </c:pt>
                <c:pt idx="4">
                  <c:v>Erick</c:v>
                </c:pt>
                <c:pt idx="5">
                  <c:v>Reuben</c:v>
                </c:pt>
                <c:pt idx="6">
                  <c:v>Peter</c:v>
                </c:pt>
                <c:pt idx="7">
                  <c:v>Cooper</c:v>
                </c:pt>
                <c:pt idx="8">
                  <c:v>Carter</c:v>
                </c:pt>
                <c:pt idx="9">
                  <c:v>Anthony</c:v>
                </c:pt>
                <c:pt idx="10">
                  <c:v>Joey</c:v>
                </c:pt>
              </c:strCache>
            </c:strRef>
          </c:cat>
          <c:val>
            <c:numRef>
              <c:f>Fall2025PRE!$R$42:$R$52</c:f>
              <c:numCache>
                <c:formatCode>General</c:formatCode>
                <c:ptCount val="11"/>
                <c:pt idx="0">
                  <c:v>20</c:v>
                </c:pt>
                <c:pt idx="1">
                  <c:v>19</c:v>
                </c:pt>
                <c:pt idx="2">
                  <c:v>10</c:v>
                </c:pt>
                <c:pt idx="3">
                  <c:v>9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6</c:v>
                </c:pt>
                <c:pt idx="8">
                  <c:v>5</c:v>
                </c:pt>
                <c:pt idx="9">
                  <c:v>5</c:v>
                </c:pt>
                <c:pt idx="1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B04-40D5-8998-671F58A5B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3271725"/>
        <c:axId val="1054861025"/>
      </c:barChart>
      <c:catAx>
        <c:axId val="13032717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4861025"/>
        <c:crosses val="autoZero"/>
        <c:auto val="1"/>
        <c:lblAlgn val="ctr"/>
        <c:lblOffset val="100"/>
        <c:noMultiLvlLbl val="1"/>
      </c:catAx>
      <c:valAx>
        <c:axId val="105486102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0327172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Fall2025PRE!$G$58:$G$68</c:f>
              <c:strCache>
                <c:ptCount val="11"/>
                <c:pt idx="0">
                  <c:v>Ethan</c:v>
                </c:pt>
                <c:pt idx="1">
                  <c:v>Anthony</c:v>
                </c:pt>
                <c:pt idx="2">
                  <c:v>Maxine</c:v>
                </c:pt>
                <c:pt idx="3">
                  <c:v>Peter</c:v>
                </c:pt>
                <c:pt idx="4">
                  <c:v>Joey</c:v>
                </c:pt>
                <c:pt idx="5">
                  <c:v>Evan</c:v>
                </c:pt>
                <c:pt idx="6">
                  <c:v>Carter</c:v>
                </c:pt>
                <c:pt idx="7">
                  <c:v>Cooper</c:v>
                </c:pt>
                <c:pt idx="8">
                  <c:v>Grady</c:v>
                </c:pt>
                <c:pt idx="9">
                  <c:v>Erick</c:v>
                </c:pt>
                <c:pt idx="10">
                  <c:v>Reuben</c:v>
                </c:pt>
              </c:strCache>
            </c:strRef>
          </c:cat>
          <c:val>
            <c:numRef>
              <c:f>Fall2025PRE!$H$58:$H$68</c:f>
              <c:numCache>
                <c:formatCode>0.00</c:formatCode>
                <c:ptCount val="11"/>
                <c:pt idx="0">
                  <c:v>2.25</c:v>
                </c:pt>
                <c:pt idx="1">
                  <c:v>2.2000000000000002</c:v>
                </c:pt>
                <c:pt idx="2">
                  <c:v>1.8571428571428572</c:v>
                </c:pt>
                <c:pt idx="3">
                  <c:v>1.75</c:v>
                </c:pt>
                <c:pt idx="4">
                  <c:v>1.6666666666666667</c:v>
                </c:pt>
                <c:pt idx="5">
                  <c:v>0.76923076923076927</c:v>
                </c:pt>
                <c:pt idx="6">
                  <c:v>0.75</c:v>
                </c:pt>
                <c:pt idx="7">
                  <c:v>0.6</c:v>
                </c:pt>
                <c:pt idx="8">
                  <c:v>0.25</c:v>
                </c:pt>
                <c:pt idx="9">
                  <c:v>0.2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0DA-4F74-A635-EABC5C622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7150529"/>
        <c:axId val="1986108013"/>
      </c:barChart>
      <c:catAx>
        <c:axId val="197715052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86108013"/>
        <c:crosses val="autoZero"/>
        <c:auto val="1"/>
        <c:lblAlgn val="ctr"/>
        <c:lblOffset val="100"/>
        <c:noMultiLvlLbl val="1"/>
      </c:catAx>
      <c:valAx>
        <c:axId val="198610801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7715052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Fall2025PRE!$Q$58:$Q$68</c:f>
              <c:strCache>
                <c:ptCount val="11"/>
                <c:pt idx="0">
                  <c:v>Anthony</c:v>
                </c:pt>
                <c:pt idx="1">
                  <c:v>Ethan</c:v>
                </c:pt>
                <c:pt idx="2">
                  <c:v>Joey</c:v>
                </c:pt>
                <c:pt idx="3">
                  <c:v>Maxine</c:v>
                </c:pt>
                <c:pt idx="4">
                  <c:v>Peter</c:v>
                </c:pt>
                <c:pt idx="5">
                  <c:v>Carter</c:v>
                </c:pt>
                <c:pt idx="6">
                  <c:v>Evan</c:v>
                </c:pt>
                <c:pt idx="7">
                  <c:v>Cooper</c:v>
                </c:pt>
                <c:pt idx="8">
                  <c:v>Grady</c:v>
                </c:pt>
                <c:pt idx="9">
                  <c:v>Erick</c:v>
                </c:pt>
                <c:pt idx="10">
                  <c:v>Reuben</c:v>
                </c:pt>
              </c:strCache>
            </c:strRef>
          </c:cat>
          <c:val>
            <c:numRef>
              <c:f>Fall2025PRE!$R$58:$R$68</c:f>
              <c:numCache>
                <c:formatCode>0.00</c:formatCode>
                <c:ptCount val="11"/>
                <c:pt idx="0">
                  <c:v>3.6</c:v>
                </c:pt>
                <c:pt idx="1">
                  <c:v>2.8</c:v>
                </c:pt>
                <c:pt idx="2">
                  <c:v>2.5</c:v>
                </c:pt>
                <c:pt idx="3">
                  <c:v>2.3333333333333335</c:v>
                </c:pt>
                <c:pt idx="4">
                  <c:v>1.8333333333333333</c:v>
                </c:pt>
                <c:pt idx="5">
                  <c:v>0.8</c:v>
                </c:pt>
                <c:pt idx="6">
                  <c:v>0.68421052631578949</c:v>
                </c:pt>
                <c:pt idx="7">
                  <c:v>0.66666666666666663</c:v>
                </c:pt>
                <c:pt idx="8">
                  <c:v>0.15</c:v>
                </c:pt>
                <c:pt idx="9">
                  <c:v>0.14285714285714285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0E9-4A96-AFD7-3F7676212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4579727"/>
        <c:axId val="1865907647"/>
      </c:barChart>
      <c:catAx>
        <c:axId val="1404579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65907647"/>
        <c:crosses val="autoZero"/>
        <c:auto val="1"/>
        <c:lblAlgn val="ctr"/>
        <c:lblOffset val="100"/>
        <c:noMultiLvlLbl val="1"/>
      </c:catAx>
      <c:valAx>
        <c:axId val="1865907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457972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Fall2025PRE!$G$74:$G$77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Fall2025PRE!$H$74:$H$77</c:f>
              <c:numCache>
                <c:formatCode>0.00</c:formatCode>
                <c:ptCount val="4"/>
                <c:pt idx="0">
                  <c:v>3</c:v>
                </c:pt>
                <c:pt idx="1">
                  <c:v>3.25</c:v>
                </c:pt>
                <c:pt idx="2">
                  <c:v>8.6666666666666661</c:v>
                </c:pt>
                <c:pt idx="3">
                  <c:v>14.5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930-4EB4-AD24-A2CCB64A2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950880"/>
        <c:axId val="1292934444"/>
      </c:barChart>
      <c:catAx>
        <c:axId val="14095088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92934444"/>
        <c:crosses val="autoZero"/>
        <c:auto val="1"/>
        <c:lblAlgn val="ctr"/>
        <c:lblOffset val="100"/>
        <c:noMultiLvlLbl val="1"/>
      </c:catAx>
      <c:valAx>
        <c:axId val="129293444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95088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Fall2025PRE!$Q$74:$Q$77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Fall2025PRE!$R$74:$R$77</c:f>
              <c:numCache>
                <c:formatCode>0.00</c:formatCode>
                <c:ptCount val="4"/>
                <c:pt idx="0">
                  <c:v>3.5</c:v>
                </c:pt>
                <c:pt idx="1">
                  <c:v>5.5</c:v>
                </c:pt>
                <c:pt idx="2">
                  <c:v>12.666666666666666</c:v>
                </c:pt>
                <c:pt idx="3">
                  <c:v>23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672-4B2F-AF39-4261AC517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3000854"/>
        <c:axId val="405368120"/>
      </c:barChart>
      <c:catAx>
        <c:axId val="97300085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05368120"/>
        <c:crosses val="autoZero"/>
        <c:auto val="1"/>
        <c:lblAlgn val="ctr"/>
        <c:lblOffset val="100"/>
        <c:noMultiLvlLbl val="1"/>
      </c:catAx>
      <c:valAx>
        <c:axId val="40536812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73000854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Fall2025PRE!$G$85:$G$88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Fall2025PRE!$H$85:$H$88</c:f>
              <c:numCache>
                <c:formatCode>0.00</c:formatCode>
                <c:ptCount val="4"/>
                <c:pt idx="0">
                  <c:v>4.25</c:v>
                </c:pt>
                <c:pt idx="1">
                  <c:v>6.5</c:v>
                </c:pt>
                <c:pt idx="2">
                  <c:v>8</c:v>
                </c:pt>
                <c:pt idx="3">
                  <c:v>8.3333333333333339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339-47FA-B24C-5A2EB2AB9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2718951"/>
        <c:axId val="350877854"/>
      </c:barChart>
      <c:catAx>
        <c:axId val="139271895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50877854"/>
        <c:crosses val="autoZero"/>
        <c:auto val="1"/>
        <c:lblAlgn val="ctr"/>
        <c:lblOffset val="100"/>
        <c:noMultiLvlLbl val="1"/>
      </c:catAx>
      <c:valAx>
        <c:axId val="35087785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9271895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Fall2025PRE!$Q$85:$Q$88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Fall2025PRE!$R$85:$R$88</c:f>
              <c:numCache>
                <c:formatCode>0.00</c:formatCode>
                <c:ptCount val="4"/>
                <c:pt idx="0">
                  <c:v>6</c:v>
                </c:pt>
                <c:pt idx="1">
                  <c:v>7.5</c:v>
                </c:pt>
                <c:pt idx="2">
                  <c:v>11.333333333333334</c:v>
                </c:pt>
                <c:pt idx="3">
                  <c:v>12.5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3A9-4765-A62E-12DC3418C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895348"/>
        <c:axId val="1546475505"/>
      </c:barChart>
      <c:catAx>
        <c:axId val="7289534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46475505"/>
        <c:crosses val="autoZero"/>
        <c:auto val="1"/>
        <c:lblAlgn val="ctr"/>
        <c:lblOffset val="100"/>
        <c:noMultiLvlLbl val="1"/>
      </c:catAx>
      <c:valAx>
        <c:axId val="154647550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2895348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Fall2025PRE!$G$96:$G$99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Fall2025PRE!$H$96:$H$99</c:f>
              <c:numCache>
                <c:formatCode>0.00</c:formatCode>
                <c:ptCount val="4"/>
                <c:pt idx="0">
                  <c:v>0.375</c:v>
                </c:pt>
                <c:pt idx="1">
                  <c:v>0.76470588235294112</c:v>
                </c:pt>
                <c:pt idx="2">
                  <c:v>1.0399999999999998</c:v>
                </c:pt>
                <c:pt idx="3">
                  <c:v>2.2307692307692308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2BE-470D-A063-0C1248219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4192059"/>
        <c:axId val="2063672325"/>
      </c:barChart>
      <c:catAx>
        <c:axId val="180419205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63672325"/>
        <c:crosses val="autoZero"/>
        <c:auto val="1"/>
        <c:lblAlgn val="ctr"/>
        <c:lblOffset val="100"/>
        <c:noMultiLvlLbl val="1"/>
      </c:catAx>
      <c:valAx>
        <c:axId val="206367232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04192059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Fall2025PRE!$Q$96:$Q$99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Fall2025PRE!$R$96:$R$99</c:f>
              <c:numCache>
                <c:formatCode>0.00</c:formatCode>
                <c:ptCount val="4"/>
                <c:pt idx="0">
                  <c:v>0.28000000000000003</c:v>
                </c:pt>
                <c:pt idx="1">
                  <c:v>0.91666666666666663</c:v>
                </c:pt>
                <c:pt idx="2">
                  <c:v>1.1176470588235292</c:v>
                </c:pt>
                <c:pt idx="3">
                  <c:v>3.0666666666666669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0E2-463A-9972-D43B1FCBC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50509"/>
        <c:axId val="378389705"/>
      </c:barChart>
      <c:catAx>
        <c:axId val="7865050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78389705"/>
        <c:crosses val="autoZero"/>
        <c:auto val="1"/>
        <c:lblAlgn val="ctr"/>
        <c:lblOffset val="100"/>
        <c:noMultiLvlLbl val="1"/>
      </c:catAx>
      <c:valAx>
        <c:axId val="37838970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650509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Individual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7373856273273219E-2"/>
          <c:y val="0.11504154755647079"/>
          <c:w val="0.94981466090858457"/>
          <c:h val="0.81033988439865767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Fall2025PRE!$AI$34:$AI$44</c:f>
              <c:strCache>
                <c:ptCount val="11"/>
                <c:pt idx="0">
                  <c:v>Ethan</c:v>
                </c:pt>
                <c:pt idx="1">
                  <c:v>Maxine</c:v>
                </c:pt>
                <c:pt idx="2">
                  <c:v>Anthony</c:v>
                </c:pt>
                <c:pt idx="3">
                  <c:v>Joey</c:v>
                </c:pt>
                <c:pt idx="4">
                  <c:v>Peter</c:v>
                </c:pt>
                <c:pt idx="5">
                  <c:v>Evan</c:v>
                </c:pt>
                <c:pt idx="6">
                  <c:v>Cooper</c:v>
                </c:pt>
                <c:pt idx="7">
                  <c:v>Carter</c:v>
                </c:pt>
                <c:pt idx="8">
                  <c:v>Erick</c:v>
                </c:pt>
                <c:pt idx="9">
                  <c:v>Reuben</c:v>
                </c:pt>
                <c:pt idx="10">
                  <c:v>Grady</c:v>
                </c:pt>
              </c:strCache>
            </c:strRef>
          </c:cat>
          <c:val>
            <c:numRef>
              <c:f>Fall2025PRE!$AK$34:$AK$44</c:f>
              <c:numCache>
                <c:formatCode>0.00</c:formatCode>
                <c:ptCount val="11"/>
                <c:pt idx="0">
                  <c:v>699.69444444444446</c:v>
                </c:pt>
                <c:pt idx="1">
                  <c:v>594.18864468864467</c:v>
                </c:pt>
                <c:pt idx="2">
                  <c:v>588.06060606060612</c:v>
                </c:pt>
                <c:pt idx="3">
                  <c:v>428.33333333333337</c:v>
                </c:pt>
                <c:pt idx="4">
                  <c:v>356.34523809523807</c:v>
                </c:pt>
                <c:pt idx="5">
                  <c:v>249.43859649122808</c:v>
                </c:pt>
                <c:pt idx="6">
                  <c:v>204.16666666666669</c:v>
                </c:pt>
                <c:pt idx="7">
                  <c:v>197.75</c:v>
                </c:pt>
                <c:pt idx="8">
                  <c:v>73.404761904761912</c:v>
                </c:pt>
                <c:pt idx="9">
                  <c:v>3.8333333333333428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B14-4BEF-BC1D-9751CFED4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6753039"/>
        <c:axId val="1793225413"/>
      </c:barChart>
      <c:catAx>
        <c:axId val="506753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93225413"/>
        <c:crosses val="autoZero"/>
        <c:auto val="1"/>
        <c:lblAlgn val="ctr"/>
        <c:lblOffset val="100"/>
        <c:noMultiLvlLbl val="1"/>
      </c:catAx>
      <c:valAx>
        <c:axId val="179322541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0675303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Part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5462962962962962E-2"/>
          <c:y val="9.9419935947669319E-2"/>
          <c:w val="0.94907407407407407"/>
          <c:h val="0.81379971140459939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Fall2025PRE!$AI$61:$AI$65</c:f>
              <c:strCache>
                <c:ptCount val="5"/>
                <c:pt idx="0">
                  <c:v>Baris</c:v>
                </c:pt>
                <c:pt idx="1">
                  <c:v>Leads</c:v>
                </c:pt>
                <c:pt idx="2">
                  <c:v>Basses (No Reuben)</c:v>
                </c:pt>
                <c:pt idx="3">
                  <c:v>Basses</c:v>
                </c:pt>
                <c:pt idx="4">
                  <c:v>Tenors</c:v>
                </c:pt>
              </c:strCache>
            </c:strRef>
          </c:cat>
          <c:val>
            <c:numRef>
              <c:f>Fall2025PRE!$AK$61:$AK$65</c:f>
              <c:numCache>
                <c:formatCode>0.00</c:formatCode>
                <c:ptCount val="5"/>
                <c:pt idx="0">
                  <c:v>426.12477895667553</c:v>
                </c:pt>
                <c:pt idx="1">
                  <c:v>173.51361236802413</c:v>
                </c:pt>
                <c:pt idx="2">
                  <c:v>167.49076168929108</c:v>
                </c:pt>
                <c:pt idx="3">
                  <c:v>122.81184012066365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00C-4C63-A3F2-5C6C2C537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0932165"/>
        <c:axId val="976027371"/>
      </c:barChart>
      <c:catAx>
        <c:axId val="14609321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76027371"/>
        <c:crosses val="autoZero"/>
        <c:auto val="1"/>
        <c:lblAlgn val="ctr"/>
        <c:lblOffset val="100"/>
        <c:noMultiLvlLbl val="1"/>
      </c:catAx>
      <c:valAx>
        <c:axId val="9760273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6093216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196B2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Spring2025!$G$26:$G$37</c:f>
              <c:strCache>
                <c:ptCount val="12"/>
                <c:pt idx="0">
                  <c:v>Ethan</c:v>
                </c:pt>
                <c:pt idx="1">
                  <c:v>David</c:v>
                </c:pt>
                <c:pt idx="2">
                  <c:v>Evan</c:v>
                </c:pt>
                <c:pt idx="3">
                  <c:v>Grady</c:v>
                </c:pt>
                <c:pt idx="4">
                  <c:v>Carter</c:v>
                </c:pt>
                <c:pt idx="5">
                  <c:v>Maxine</c:v>
                </c:pt>
                <c:pt idx="6">
                  <c:v>Anthony</c:v>
                </c:pt>
                <c:pt idx="7">
                  <c:v>Cooper</c:v>
                </c:pt>
                <c:pt idx="8">
                  <c:v>Tyler</c:v>
                </c:pt>
                <c:pt idx="9">
                  <c:v>Erick</c:v>
                </c:pt>
                <c:pt idx="10">
                  <c:v>Joey</c:v>
                </c:pt>
                <c:pt idx="11">
                  <c:v>Reuben</c:v>
                </c:pt>
              </c:strCache>
            </c:strRef>
          </c:cat>
          <c:val>
            <c:numRef>
              <c:f>Spring2025!$H$26:$H$37</c:f>
              <c:numCache>
                <c:formatCode>General</c:formatCode>
                <c:ptCount val="12"/>
                <c:pt idx="0">
                  <c:v>77</c:v>
                </c:pt>
                <c:pt idx="1">
                  <c:v>54</c:v>
                </c:pt>
                <c:pt idx="2">
                  <c:v>50</c:v>
                </c:pt>
                <c:pt idx="3">
                  <c:v>42</c:v>
                </c:pt>
                <c:pt idx="4">
                  <c:v>28</c:v>
                </c:pt>
                <c:pt idx="5">
                  <c:v>19</c:v>
                </c:pt>
                <c:pt idx="6">
                  <c:v>15</c:v>
                </c:pt>
                <c:pt idx="7">
                  <c:v>6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491-4B6D-980B-7220D5C9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9429940"/>
        <c:axId val="2142790641"/>
      </c:barChart>
      <c:catAx>
        <c:axId val="9594299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42790641"/>
        <c:crosses val="autoZero"/>
        <c:auto val="1"/>
        <c:lblAlgn val="ctr"/>
        <c:lblOffset val="100"/>
        <c:noMultiLvlLbl val="1"/>
      </c:catAx>
      <c:valAx>
        <c:axId val="214279064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59429940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196B2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Spring2025!$Q$26:$Q$37</c:f>
              <c:strCache>
                <c:ptCount val="12"/>
                <c:pt idx="0">
                  <c:v>Ethan</c:v>
                </c:pt>
                <c:pt idx="1">
                  <c:v>David</c:v>
                </c:pt>
                <c:pt idx="2">
                  <c:v>Evan</c:v>
                </c:pt>
                <c:pt idx="3">
                  <c:v>Grady</c:v>
                </c:pt>
                <c:pt idx="4">
                  <c:v>Carter</c:v>
                </c:pt>
                <c:pt idx="5">
                  <c:v>Maxine</c:v>
                </c:pt>
                <c:pt idx="6">
                  <c:v>Anthony</c:v>
                </c:pt>
                <c:pt idx="7">
                  <c:v>Cooper</c:v>
                </c:pt>
                <c:pt idx="8">
                  <c:v>Tyler</c:v>
                </c:pt>
                <c:pt idx="9">
                  <c:v>Erick</c:v>
                </c:pt>
                <c:pt idx="10">
                  <c:v>Joey</c:v>
                </c:pt>
                <c:pt idx="11">
                  <c:v>Reuben</c:v>
                </c:pt>
              </c:strCache>
            </c:strRef>
          </c:cat>
          <c:val>
            <c:numRef>
              <c:f>Spring2025!$R$26:$R$37</c:f>
              <c:numCache>
                <c:formatCode>General</c:formatCode>
                <c:ptCount val="12"/>
                <c:pt idx="0">
                  <c:v>117</c:v>
                </c:pt>
                <c:pt idx="1">
                  <c:v>67</c:v>
                </c:pt>
                <c:pt idx="2">
                  <c:v>62</c:v>
                </c:pt>
                <c:pt idx="3">
                  <c:v>56</c:v>
                </c:pt>
                <c:pt idx="4">
                  <c:v>33</c:v>
                </c:pt>
                <c:pt idx="5">
                  <c:v>0</c:v>
                </c:pt>
                <c:pt idx="6">
                  <c:v>22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39E-49DC-A169-48E8C5F34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4358983"/>
        <c:axId val="519196746"/>
      </c:barChart>
      <c:catAx>
        <c:axId val="1154358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19196746"/>
        <c:crosses val="autoZero"/>
        <c:auto val="1"/>
        <c:lblAlgn val="ctr"/>
        <c:lblOffset val="100"/>
        <c:noMultiLvlLbl val="1"/>
      </c:catAx>
      <c:valAx>
        <c:axId val="51919674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5435898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Spring2025!$G$42:$G$53</c:f>
              <c:strCache>
                <c:ptCount val="12"/>
                <c:pt idx="0">
                  <c:v>Evan</c:v>
                </c:pt>
                <c:pt idx="1">
                  <c:v>Reuben</c:v>
                </c:pt>
                <c:pt idx="2">
                  <c:v>Ethan</c:v>
                </c:pt>
                <c:pt idx="3">
                  <c:v>David</c:v>
                </c:pt>
                <c:pt idx="4">
                  <c:v>Grady</c:v>
                </c:pt>
                <c:pt idx="5">
                  <c:v>Carter</c:v>
                </c:pt>
                <c:pt idx="6">
                  <c:v>Maxine</c:v>
                </c:pt>
                <c:pt idx="7">
                  <c:v>Cooper</c:v>
                </c:pt>
                <c:pt idx="8">
                  <c:v>Anthony</c:v>
                </c:pt>
                <c:pt idx="9">
                  <c:v>Tyler</c:v>
                </c:pt>
                <c:pt idx="10">
                  <c:v>Joey</c:v>
                </c:pt>
                <c:pt idx="11">
                  <c:v>Erick</c:v>
                </c:pt>
              </c:strCache>
            </c:strRef>
          </c:cat>
          <c:val>
            <c:numRef>
              <c:f>Spring2025!$H$42:$H$53</c:f>
              <c:numCache>
                <c:formatCode>General</c:formatCode>
                <c:ptCount val="12"/>
                <c:pt idx="0">
                  <c:v>63</c:v>
                </c:pt>
                <c:pt idx="1">
                  <c:v>45</c:v>
                </c:pt>
                <c:pt idx="2">
                  <c:v>43</c:v>
                </c:pt>
                <c:pt idx="3">
                  <c:v>42</c:v>
                </c:pt>
                <c:pt idx="4">
                  <c:v>25</c:v>
                </c:pt>
                <c:pt idx="5">
                  <c:v>25</c:v>
                </c:pt>
                <c:pt idx="6">
                  <c:v>17</c:v>
                </c:pt>
                <c:pt idx="7">
                  <c:v>16</c:v>
                </c:pt>
                <c:pt idx="8">
                  <c:v>14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4B8-456A-BF0B-2294B775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6733063"/>
        <c:axId val="496152060"/>
      </c:barChart>
      <c:catAx>
        <c:axId val="1666733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96152060"/>
        <c:crosses val="autoZero"/>
        <c:auto val="1"/>
        <c:lblAlgn val="ctr"/>
        <c:lblOffset val="100"/>
        <c:noMultiLvlLbl val="1"/>
      </c:catAx>
      <c:valAx>
        <c:axId val="4961520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6673306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Spring2025!$Q$42:$Q$53</c:f>
              <c:strCache>
                <c:ptCount val="12"/>
                <c:pt idx="0">
                  <c:v>Evan</c:v>
                </c:pt>
                <c:pt idx="1">
                  <c:v>Reuben</c:v>
                </c:pt>
                <c:pt idx="2">
                  <c:v>Ethan</c:v>
                </c:pt>
                <c:pt idx="3">
                  <c:v>David</c:v>
                </c:pt>
                <c:pt idx="4">
                  <c:v>Carter</c:v>
                </c:pt>
                <c:pt idx="5">
                  <c:v>Grady</c:v>
                </c:pt>
                <c:pt idx="6">
                  <c:v>Cooper</c:v>
                </c:pt>
                <c:pt idx="7">
                  <c:v>Maxine</c:v>
                </c:pt>
                <c:pt idx="8">
                  <c:v>Anthony</c:v>
                </c:pt>
                <c:pt idx="9">
                  <c:v>Tyler</c:v>
                </c:pt>
                <c:pt idx="10">
                  <c:v>Joey</c:v>
                </c:pt>
                <c:pt idx="11">
                  <c:v>Erick</c:v>
                </c:pt>
              </c:strCache>
            </c:strRef>
          </c:cat>
          <c:val>
            <c:numRef>
              <c:f>Spring2025!$R$42:$R$53</c:f>
              <c:numCache>
                <c:formatCode>General</c:formatCode>
                <c:ptCount val="12"/>
                <c:pt idx="0">
                  <c:v>87</c:v>
                </c:pt>
                <c:pt idx="1">
                  <c:v>77</c:v>
                </c:pt>
                <c:pt idx="2">
                  <c:v>53</c:v>
                </c:pt>
                <c:pt idx="3">
                  <c:v>48</c:v>
                </c:pt>
                <c:pt idx="4">
                  <c:v>33</c:v>
                </c:pt>
                <c:pt idx="5">
                  <c:v>34</c:v>
                </c:pt>
                <c:pt idx="6">
                  <c:v>22</c:v>
                </c:pt>
                <c:pt idx="7">
                  <c:v>0</c:v>
                </c:pt>
                <c:pt idx="8">
                  <c:v>15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448-4DCA-B1A4-E539585EF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141922"/>
        <c:axId val="1675563785"/>
      </c:barChart>
      <c:catAx>
        <c:axId val="10231419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75563785"/>
        <c:crosses val="autoZero"/>
        <c:auto val="1"/>
        <c:lblAlgn val="ctr"/>
        <c:lblOffset val="100"/>
        <c:noMultiLvlLbl val="1"/>
      </c:catAx>
      <c:valAx>
        <c:axId val="167556378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2314192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Spring2025!$G$58:$G$69</c:f>
              <c:strCache>
                <c:ptCount val="12"/>
                <c:pt idx="0">
                  <c:v>Erick</c:v>
                </c:pt>
                <c:pt idx="1">
                  <c:v>Ethan</c:v>
                </c:pt>
                <c:pt idx="2">
                  <c:v>Grady</c:v>
                </c:pt>
                <c:pt idx="3">
                  <c:v>David</c:v>
                </c:pt>
                <c:pt idx="4">
                  <c:v>Carter</c:v>
                </c:pt>
                <c:pt idx="5">
                  <c:v>Maxine</c:v>
                </c:pt>
                <c:pt idx="6">
                  <c:v>Anthony</c:v>
                </c:pt>
                <c:pt idx="7">
                  <c:v>Tyler</c:v>
                </c:pt>
                <c:pt idx="8">
                  <c:v>Joey</c:v>
                </c:pt>
                <c:pt idx="9">
                  <c:v>Evan</c:v>
                </c:pt>
                <c:pt idx="10">
                  <c:v>Cooper</c:v>
                </c:pt>
                <c:pt idx="11">
                  <c:v>Reuben</c:v>
                </c:pt>
              </c:strCache>
            </c:strRef>
          </c:cat>
          <c:val>
            <c:numRef>
              <c:f>Spring2025!$H$58:$H$69</c:f>
              <c:numCache>
                <c:formatCode>0.00</c:formatCode>
                <c:ptCount val="12"/>
                <c:pt idx="0">
                  <c:v>2</c:v>
                </c:pt>
                <c:pt idx="1">
                  <c:v>1.7906976744186047</c:v>
                </c:pt>
                <c:pt idx="2">
                  <c:v>1.68</c:v>
                </c:pt>
                <c:pt idx="3">
                  <c:v>1.2857142857142858</c:v>
                </c:pt>
                <c:pt idx="4">
                  <c:v>1.1200000000000001</c:v>
                </c:pt>
                <c:pt idx="5">
                  <c:v>1.1176470588235294</c:v>
                </c:pt>
                <c:pt idx="6">
                  <c:v>1.0714285714285714</c:v>
                </c:pt>
                <c:pt idx="7">
                  <c:v>1</c:v>
                </c:pt>
                <c:pt idx="8">
                  <c:v>1</c:v>
                </c:pt>
                <c:pt idx="9">
                  <c:v>0.79365079365079361</c:v>
                </c:pt>
                <c:pt idx="10">
                  <c:v>0.375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302-49B4-B8F5-219CE6A46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971213"/>
        <c:axId val="1877575035"/>
      </c:barChart>
      <c:catAx>
        <c:axId val="4079712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77575035"/>
        <c:crosses val="autoZero"/>
        <c:auto val="1"/>
        <c:lblAlgn val="ctr"/>
        <c:lblOffset val="100"/>
        <c:noMultiLvlLbl val="1"/>
      </c:catAx>
      <c:valAx>
        <c:axId val="187757503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0797121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Spring2025!$Q$58:$Q$69</c:f>
              <c:strCache>
                <c:ptCount val="12"/>
                <c:pt idx="0">
                  <c:v>Erick</c:v>
                </c:pt>
                <c:pt idx="1">
                  <c:v>Ethan</c:v>
                </c:pt>
                <c:pt idx="2">
                  <c:v>Tyler</c:v>
                </c:pt>
                <c:pt idx="3">
                  <c:v>Joey</c:v>
                </c:pt>
                <c:pt idx="4">
                  <c:v>Grady</c:v>
                </c:pt>
                <c:pt idx="5">
                  <c:v>Anthony</c:v>
                </c:pt>
                <c:pt idx="6">
                  <c:v>David</c:v>
                </c:pt>
                <c:pt idx="7">
                  <c:v>Maxine</c:v>
                </c:pt>
                <c:pt idx="8">
                  <c:v>Carter</c:v>
                </c:pt>
                <c:pt idx="9">
                  <c:v>Evan</c:v>
                </c:pt>
                <c:pt idx="10">
                  <c:v>Cooper</c:v>
                </c:pt>
                <c:pt idx="11">
                  <c:v>Reuben</c:v>
                </c:pt>
              </c:strCache>
            </c:strRef>
          </c:cat>
          <c:val>
            <c:numRef>
              <c:f>Spring2025!$R$58:$R$69</c:f>
              <c:numCache>
                <c:formatCode>0.00</c:formatCode>
                <c:ptCount val="12"/>
                <c:pt idx="0">
                  <c:v>2</c:v>
                </c:pt>
                <c:pt idx="1">
                  <c:v>2.2075471698113209</c:v>
                </c:pt>
                <c:pt idx="2">
                  <c:v>2</c:v>
                </c:pt>
                <c:pt idx="3">
                  <c:v>2</c:v>
                </c:pt>
                <c:pt idx="4">
                  <c:v>1.6470588235294117</c:v>
                </c:pt>
                <c:pt idx="5">
                  <c:v>1.4666666666666666</c:v>
                </c:pt>
                <c:pt idx="6">
                  <c:v>1.3958333333333333</c:v>
                </c:pt>
                <c:pt idx="7">
                  <c:v>0</c:v>
                </c:pt>
                <c:pt idx="8">
                  <c:v>1</c:v>
                </c:pt>
                <c:pt idx="9">
                  <c:v>0.71264367816091956</c:v>
                </c:pt>
                <c:pt idx="10">
                  <c:v>0.36363636363636365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207-4D8B-A866-1D05759B8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479119"/>
        <c:axId val="1832430578"/>
      </c:barChart>
      <c:catAx>
        <c:axId val="1473479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32430578"/>
        <c:crosses val="autoZero"/>
        <c:auto val="1"/>
        <c:lblAlgn val="ctr"/>
        <c:lblOffset val="100"/>
        <c:noMultiLvlLbl val="1"/>
      </c:catAx>
      <c:valAx>
        <c:axId val="183243057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7347911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Spring2025!$G$74:$G$77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Spring2025!$H$74:$H$77</c:f>
              <c:numCache>
                <c:formatCode>0.00</c:formatCode>
                <c:ptCount val="4"/>
                <c:pt idx="0">
                  <c:v>1</c:v>
                </c:pt>
                <c:pt idx="1">
                  <c:v>31.333333333333332</c:v>
                </c:pt>
                <c:pt idx="2">
                  <c:v>32.25</c:v>
                </c:pt>
                <c:pt idx="3">
                  <c:v>35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2D0-47BF-9E0E-05C970AD9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636967"/>
        <c:axId val="2024987995"/>
      </c:barChart>
      <c:catAx>
        <c:axId val="107563696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24987995"/>
        <c:crosses val="autoZero"/>
        <c:auto val="1"/>
        <c:lblAlgn val="ctr"/>
        <c:lblOffset val="100"/>
        <c:noMultiLvlLbl val="1"/>
      </c:catAx>
      <c:valAx>
        <c:axId val="202498799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75636967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Spring2025!$Q$74:$Q$77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Spring2025!$R$74:$R$77</c:f>
              <c:numCache>
                <c:formatCode>0.00</c:formatCode>
                <c:ptCount val="4"/>
                <c:pt idx="0">
                  <c:v>1.3333333333333333</c:v>
                </c:pt>
                <c:pt idx="1">
                  <c:v>34.25</c:v>
                </c:pt>
                <c:pt idx="2">
                  <c:v>44.5</c:v>
                </c:pt>
                <c:pt idx="3">
                  <c:v>47.666666666666664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F99-4CC3-9FC8-AB5E17E4A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208620"/>
        <c:axId val="304183280"/>
      </c:barChart>
      <c:catAx>
        <c:axId val="157720862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04183280"/>
        <c:crosses val="autoZero"/>
        <c:auto val="1"/>
        <c:lblAlgn val="ctr"/>
        <c:lblOffset val="100"/>
        <c:noMultiLvlLbl val="1"/>
      </c:catAx>
      <c:valAx>
        <c:axId val="30418328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7720862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Spring2025!$G$85:$G$88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Spring2025!$H$85:$H$88</c:f>
              <c:numCache>
                <c:formatCode>0.00</c:formatCode>
                <c:ptCount val="4"/>
                <c:pt idx="0">
                  <c:v>15.666666666666666</c:v>
                </c:pt>
                <c:pt idx="1">
                  <c:v>19.666666666666668</c:v>
                </c:pt>
                <c:pt idx="2">
                  <c:v>25</c:v>
                </c:pt>
                <c:pt idx="3">
                  <c:v>34.5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C62-462B-93CC-A11C0BB47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4695296"/>
        <c:axId val="1065131285"/>
      </c:barChart>
      <c:catAx>
        <c:axId val="145469529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65131285"/>
        <c:crosses val="autoZero"/>
        <c:auto val="1"/>
        <c:lblAlgn val="ctr"/>
        <c:lblOffset val="100"/>
        <c:noMultiLvlLbl val="1"/>
      </c:catAx>
      <c:valAx>
        <c:axId val="106513128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54695296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Spring2025!$Q$85:$Q$88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Spring2025!$R$85:$R$88</c:f>
              <c:numCache>
                <c:formatCode>0.00</c:formatCode>
                <c:ptCount val="4"/>
                <c:pt idx="0">
                  <c:v>23.333333333333332</c:v>
                </c:pt>
                <c:pt idx="1">
                  <c:v>26.333333333333332</c:v>
                </c:pt>
                <c:pt idx="2">
                  <c:v>33.5</c:v>
                </c:pt>
                <c:pt idx="3">
                  <c:v>39.25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5CB-4446-AD74-1643F13F3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848971"/>
        <c:axId val="1774123661"/>
      </c:barChart>
      <c:catAx>
        <c:axId val="20284897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74123661"/>
        <c:crosses val="autoZero"/>
        <c:auto val="1"/>
        <c:lblAlgn val="ctr"/>
        <c:lblOffset val="100"/>
        <c:noMultiLvlLbl val="1"/>
      </c:catAx>
      <c:valAx>
        <c:axId val="177412366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284897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Spring2025!$G$96:$G$99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Spring2025!$H$96:$H$99</c:f>
              <c:numCache>
                <c:formatCode>0.00</c:formatCode>
                <c:ptCount val="4"/>
                <c:pt idx="0">
                  <c:v>6.3829787234042562E-2</c:v>
                </c:pt>
                <c:pt idx="1">
                  <c:v>0.93478260869565222</c:v>
                </c:pt>
                <c:pt idx="2">
                  <c:v>1.4</c:v>
                </c:pt>
                <c:pt idx="3">
                  <c:v>1.5932203389830506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224-4459-A670-CB4C748D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3562367"/>
        <c:axId val="902763730"/>
      </c:barChart>
      <c:catAx>
        <c:axId val="112356236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02763730"/>
        <c:crosses val="autoZero"/>
        <c:auto val="1"/>
        <c:lblAlgn val="ctr"/>
        <c:lblOffset val="100"/>
        <c:noMultiLvlLbl val="1"/>
      </c:catAx>
      <c:valAx>
        <c:axId val="90276373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23562367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Spring2025!$Q$96:$Q$99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Spring2025!$R$96:$R$99</c:f>
              <c:numCache>
                <c:formatCode>0.00</c:formatCode>
                <c:ptCount val="4"/>
                <c:pt idx="0">
                  <c:v>5.0632911392405063E-2</c:v>
                </c:pt>
                <c:pt idx="1">
                  <c:v>0.87261146496815289</c:v>
                </c:pt>
                <c:pt idx="2">
                  <c:v>1.3283582089552239</c:v>
                </c:pt>
                <c:pt idx="3">
                  <c:v>2.0428571428571427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9D3-40B2-9040-927878603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9713751"/>
        <c:axId val="766169803"/>
      </c:barChart>
      <c:catAx>
        <c:axId val="170971375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66169803"/>
        <c:crosses val="autoZero"/>
        <c:auto val="1"/>
        <c:lblAlgn val="ctr"/>
        <c:lblOffset val="100"/>
        <c:noMultiLvlLbl val="1"/>
      </c:catAx>
      <c:valAx>
        <c:axId val="766169803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0971375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Overall Individual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7373821322590249E-2"/>
          <c:y val="1.514814814814815E-2"/>
          <c:w val="0.94981466090858457"/>
          <c:h val="0.91404345290172062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Spring2025!$AI$34:$AI$45</c:f>
              <c:strCache>
                <c:ptCount val="12"/>
                <c:pt idx="0">
                  <c:v>Ethan</c:v>
                </c:pt>
                <c:pt idx="1">
                  <c:v>David</c:v>
                </c:pt>
                <c:pt idx="2">
                  <c:v>Grady</c:v>
                </c:pt>
                <c:pt idx="3">
                  <c:v>Maxine</c:v>
                </c:pt>
                <c:pt idx="4">
                  <c:v>Carter</c:v>
                </c:pt>
                <c:pt idx="5">
                  <c:v>Anthony</c:v>
                </c:pt>
                <c:pt idx="6">
                  <c:v>Erick</c:v>
                </c:pt>
                <c:pt idx="7">
                  <c:v>Tyler</c:v>
                </c:pt>
                <c:pt idx="8">
                  <c:v>Joey</c:v>
                </c:pt>
                <c:pt idx="9">
                  <c:v>Evan</c:v>
                </c:pt>
                <c:pt idx="10">
                  <c:v>Cooper</c:v>
                </c:pt>
                <c:pt idx="11">
                  <c:v>Reuben</c:v>
                </c:pt>
              </c:strCache>
            </c:strRef>
          </c:cat>
          <c:val>
            <c:numRef>
              <c:f>Spring2025!$AK$34:$AK$45</c:f>
              <c:numCache>
                <c:formatCode>0.00</c:formatCode>
                <c:ptCount val="12"/>
                <c:pt idx="0">
                  <c:v>2004.9167909268831</c:v>
                </c:pt>
                <c:pt idx="1">
                  <c:v>1471.7185846560847</c:v>
                </c:pt>
                <c:pt idx="2">
                  <c:v>1474.032026143791</c:v>
                </c:pt>
                <c:pt idx="3">
                  <c:v>873.16339869281046</c:v>
                </c:pt>
                <c:pt idx="4">
                  <c:v>1105.8936507936507</c:v>
                </c:pt>
                <c:pt idx="5">
                  <c:v>1098.2460317460318</c:v>
                </c:pt>
                <c:pt idx="6">
                  <c:v>945.05555555555554</c:v>
                </c:pt>
                <c:pt idx="7">
                  <c:v>965.3888888888888</c:v>
                </c:pt>
                <c:pt idx="8">
                  <c:v>932.55555555555554</c:v>
                </c:pt>
                <c:pt idx="9">
                  <c:v>902.22720306513406</c:v>
                </c:pt>
                <c:pt idx="10">
                  <c:v>779.68813131313129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C83-483E-8FB5-FBF9111D4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9924346"/>
        <c:axId val="862192345"/>
      </c:barChart>
      <c:catAx>
        <c:axId val="17499243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862192345"/>
        <c:crosses val="autoZero"/>
        <c:auto val="1"/>
        <c:lblAlgn val="ctr"/>
        <c:lblOffset val="100"/>
        <c:noMultiLvlLbl val="1"/>
      </c:catAx>
      <c:valAx>
        <c:axId val="86219234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4992434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Overall Part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5462962962962962E-2"/>
          <c:y val="3.412162162162162E-2"/>
          <c:w val="0.94907407407407407"/>
          <c:h val="0.87909809415714923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Spring2025!$AI$61:$AI$65</c:f>
              <c:strCache>
                <c:ptCount val="5"/>
                <c:pt idx="0">
                  <c:v>Baris</c:v>
                </c:pt>
                <c:pt idx="1">
                  <c:v>Tenors</c:v>
                </c:pt>
                <c:pt idx="2">
                  <c:v>Basses (No Reuben)</c:v>
                </c:pt>
                <c:pt idx="3">
                  <c:v>Leads</c:v>
                </c:pt>
                <c:pt idx="4">
                  <c:v>Basses</c:v>
                </c:pt>
              </c:strCache>
            </c:strRef>
          </c:cat>
          <c:val>
            <c:numRef>
              <c:f>Spring2025!$AK$61:$AK$65</c:f>
              <c:numCache>
                <c:formatCode>0.00</c:formatCode>
                <c:ptCount val="5"/>
                <c:pt idx="0">
                  <c:v>718.52077587917768</c:v>
                </c:pt>
                <c:pt idx="1">
                  <c:v>590.25964713005328</c:v>
                </c:pt>
                <c:pt idx="2">
                  <c:v>360.33878714426788</c:v>
                </c:pt>
                <c:pt idx="3">
                  <c:v>364.96865920830993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A79-4D9F-B2AE-92C0FE9B6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1783593"/>
        <c:axId val="299217836"/>
      </c:barChart>
      <c:catAx>
        <c:axId val="18117835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99217836"/>
        <c:crosses val="autoZero"/>
        <c:auto val="1"/>
        <c:lblAlgn val="ctr"/>
        <c:lblOffset val="100"/>
        <c:noMultiLvlLbl val="1"/>
      </c:catAx>
      <c:valAx>
        <c:axId val="2992178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1178359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138186369088"/>
          <c:y val="0.1027157634707426"/>
          <c:w val="0.86557925292451021"/>
          <c:h val="0.817584993052339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Fall2024!$AI$34:$AI$46</c:f>
              <c:strCache>
                <c:ptCount val="13"/>
                <c:pt idx="0">
                  <c:v>David</c:v>
                </c:pt>
                <c:pt idx="1">
                  <c:v>Sam</c:v>
                </c:pt>
                <c:pt idx="2">
                  <c:v>Ethan</c:v>
                </c:pt>
                <c:pt idx="3">
                  <c:v>Peter</c:v>
                </c:pt>
                <c:pt idx="4">
                  <c:v>Maxine</c:v>
                </c:pt>
                <c:pt idx="5">
                  <c:v>Tyler</c:v>
                </c:pt>
                <c:pt idx="6">
                  <c:v>Jon</c:v>
                </c:pt>
                <c:pt idx="7">
                  <c:v>Evan</c:v>
                </c:pt>
                <c:pt idx="8">
                  <c:v>Erick</c:v>
                </c:pt>
                <c:pt idx="9">
                  <c:v>Carter</c:v>
                </c:pt>
                <c:pt idx="10">
                  <c:v>Cooper</c:v>
                </c:pt>
                <c:pt idx="11">
                  <c:v>Grady</c:v>
                </c:pt>
                <c:pt idx="12">
                  <c:v>Reuben</c:v>
                </c:pt>
              </c:strCache>
            </c:strRef>
          </c:cat>
          <c:val>
            <c:numRef>
              <c:f>Fall2024!$AK$34:$AK$46</c:f>
              <c:numCache>
                <c:formatCode>0.00</c:formatCode>
                <c:ptCount val="13"/>
                <c:pt idx="0">
                  <c:v>2530.4209085933221</c:v>
                </c:pt>
                <c:pt idx="1">
                  <c:v>2258.1606410005861</c:v>
                </c:pt>
                <c:pt idx="2">
                  <c:v>2105.8816386865169</c:v>
                </c:pt>
                <c:pt idx="3">
                  <c:v>1896.7373321123321</c:v>
                </c:pt>
                <c:pt idx="4">
                  <c:v>1367.2726574500768</c:v>
                </c:pt>
                <c:pt idx="5">
                  <c:v>1693.1325684119802</c:v>
                </c:pt>
                <c:pt idx="6">
                  <c:v>1521.0447994987469</c:v>
                </c:pt>
                <c:pt idx="7">
                  <c:v>1546.453216374269</c:v>
                </c:pt>
                <c:pt idx="8">
                  <c:v>1351.4437229437231</c:v>
                </c:pt>
                <c:pt idx="9">
                  <c:v>1302.8333959292863</c:v>
                </c:pt>
                <c:pt idx="10">
                  <c:v>1196.3528138528138</c:v>
                </c:pt>
                <c:pt idx="11">
                  <c:v>1158.5339845339845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2B2-4A49-9586-E53E2AFCD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425401"/>
        <c:axId val="612408697"/>
      </c:barChart>
      <c:catAx>
        <c:axId val="19554254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612408697"/>
        <c:crosses val="autoZero"/>
        <c:auto val="1"/>
        <c:lblAlgn val="ctr"/>
        <c:lblOffset val="100"/>
        <c:noMultiLvlLbl val="1"/>
      </c:catAx>
      <c:valAx>
        <c:axId val="61240869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55425401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6488018266009437E-2"/>
          <c:y val="0.16526264696365009"/>
          <c:w val="0.8896637432516058"/>
          <c:h val="0.73280444396505229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Fall2024!$AI$61:$AI$65</c:f>
              <c:strCache>
                <c:ptCount val="5"/>
                <c:pt idx="0">
                  <c:v>Baris</c:v>
                </c:pt>
                <c:pt idx="1">
                  <c:v>Leads</c:v>
                </c:pt>
                <c:pt idx="2">
                  <c:v>Basses (No Reuben)</c:v>
                </c:pt>
                <c:pt idx="3">
                  <c:v>Basses</c:v>
                </c:pt>
                <c:pt idx="4">
                  <c:v>Tenors</c:v>
                </c:pt>
              </c:strCache>
            </c:strRef>
          </c:cat>
          <c:val>
            <c:numRef>
              <c:f>Fall2024!$AK$61:$AK$65</c:f>
              <c:numCache>
                <c:formatCode>0.00</c:formatCode>
                <c:ptCount val="5"/>
                <c:pt idx="0">
                  <c:v>763.51466738209649</c:v>
                </c:pt>
                <c:pt idx="1">
                  <c:v>533.58064029951959</c:v>
                </c:pt>
                <c:pt idx="2">
                  <c:v>389.31118094054989</c:v>
                </c:pt>
                <c:pt idx="3">
                  <c:v>13.948510872522775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59B-4CFB-9C1A-990F972E0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437775"/>
        <c:axId val="1632496995"/>
      </c:barChart>
      <c:catAx>
        <c:axId val="2051437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632496995"/>
        <c:crosses val="autoZero"/>
        <c:auto val="1"/>
        <c:lblAlgn val="ctr"/>
        <c:lblOffset val="100"/>
        <c:noMultiLvlLbl val="1"/>
      </c:catAx>
      <c:valAx>
        <c:axId val="163249699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51437775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Fall2024!$G$26:$G$38</c:f>
              <c:strCache>
                <c:ptCount val="13"/>
                <c:pt idx="0">
                  <c:v>David</c:v>
                </c:pt>
                <c:pt idx="1">
                  <c:v>Ethan</c:v>
                </c:pt>
                <c:pt idx="2">
                  <c:v>Carter</c:v>
                </c:pt>
                <c:pt idx="3">
                  <c:v>Sam</c:v>
                </c:pt>
                <c:pt idx="4">
                  <c:v>Maxine</c:v>
                </c:pt>
                <c:pt idx="5">
                  <c:v>Evan</c:v>
                </c:pt>
                <c:pt idx="6">
                  <c:v>Peter</c:v>
                </c:pt>
                <c:pt idx="7">
                  <c:v>Jon</c:v>
                </c:pt>
                <c:pt idx="8">
                  <c:v>Grady</c:v>
                </c:pt>
                <c:pt idx="9">
                  <c:v>Tyler</c:v>
                </c:pt>
                <c:pt idx="10">
                  <c:v>Erick</c:v>
                </c:pt>
                <c:pt idx="11">
                  <c:v>Cooper</c:v>
                </c:pt>
                <c:pt idx="12">
                  <c:v>Reuben</c:v>
                </c:pt>
              </c:strCache>
            </c:strRef>
          </c:cat>
          <c:val>
            <c:numRef>
              <c:f>Fall2024!$H$26:$H$38</c:f>
              <c:numCache>
                <c:formatCode>General</c:formatCode>
                <c:ptCount val="13"/>
                <c:pt idx="0">
                  <c:v>87</c:v>
                </c:pt>
                <c:pt idx="1">
                  <c:v>60</c:v>
                </c:pt>
                <c:pt idx="2">
                  <c:v>55</c:v>
                </c:pt>
                <c:pt idx="3">
                  <c:v>43</c:v>
                </c:pt>
                <c:pt idx="4">
                  <c:v>43</c:v>
                </c:pt>
                <c:pt idx="5">
                  <c:v>38</c:v>
                </c:pt>
                <c:pt idx="6">
                  <c:v>32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10</c:v>
                </c:pt>
                <c:pt idx="11">
                  <c:v>4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A03-46B1-B84B-B59A7EEE7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2506646"/>
        <c:axId val="1108912861"/>
      </c:barChart>
      <c:catAx>
        <c:axId val="8125066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108912861"/>
        <c:crosses val="autoZero"/>
        <c:auto val="1"/>
        <c:lblAlgn val="ctr"/>
        <c:lblOffset val="100"/>
        <c:noMultiLvlLbl val="1"/>
      </c:catAx>
      <c:valAx>
        <c:axId val="110891286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12506646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Fall2024!$G$42:$G$54</c:f>
              <c:strCache>
                <c:ptCount val="13"/>
                <c:pt idx="0">
                  <c:v>Carter</c:v>
                </c:pt>
                <c:pt idx="1">
                  <c:v>Reuben</c:v>
                </c:pt>
                <c:pt idx="2">
                  <c:v>David</c:v>
                </c:pt>
                <c:pt idx="3">
                  <c:v>Evan</c:v>
                </c:pt>
                <c:pt idx="4">
                  <c:v>Ethan</c:v>
                </c:pt>
                <c:pt idx="5">
                  <c:v>Grady</c:v>
                </c:pt>
                <c:pt idx="6">
                  <c:v>Maxine</c:v>
                </c:pt>
                <c:pt idx="7">
                  <c:v>Jon</c:v>
                </c:pt>
                <c:pt idx="8">
                  <c:v>Peter</c:v>
                </c:pt>
                <c:pt idx="9">
                  <c:v>Sam</c:v>
                </c:pt>
                <c:pt idx="10">
                  <c:v>Erick</c:v>
                </c:pt>
                <c:pt idx="11">
                  <c:v>Tyler</c:v>
                </c:pt>
                <c:pt idx="12">
                  <c:v>Cooper</c:v>
                </c:pt>
              </c:strCache>
            </c:strRef>
          </c:cat>
          <c:val>
            <c:numRef>
              <c:f>Fall2024!$H$42:$H$54</c:f>
              <c:numCache>
                <c:formatCode>General</c:formatCode>
                <c:ptCount val="13"/>
                <c:pt idx="0">
                  <c:v>73</c:v>
                </c:pt>
                <c:pt idx="1">
                  <c:v>63</c:v>
                </c:pt>
                <c:pt idx="2">
                  <c:v>51</c:v>
                </c:pt>
                <c:pt idx="3">
                  <c:v>42</c:v>
                </c:pt>
                <c:pt idx="4">
                  <c:v>41</c:v>
                </c:pt>
                <c:pt idx="5">
                  <c:v>39</c:v>
                </c:pt>
                <c:pt idx="6">
                  <c:v>31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12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B3E-4934-9D5B-A3F0937BA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497310"/>
        <c:axId val="1271105427"/>
      </c:barChart>
      <c:catAx>
        <c:axId val="4544973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271105427"/>
        <c:crosses val="autoZero"/>
        <c:auto val="1"/>
        <c:lblAlgn val="ctr"/>
        <c:lblOffset val="100"/>
        <c:noMultiLvlLbl val="1"/>
      </c:catAx>
      <c:valAx>
        <c:axId val="12711054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454497310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Fall2024!$G$58:$G$70</c:f>
              <c:strCache>
                <c:ptCount val="13"/>
                <c:pt idx="0">
                  <c:v>Sam</c:v>
                </c:pt>
                <c:pt idx="1">
                  <c:v>Peter</c:v>
                </c:pt>
                <c:pt idx="2">
                  <c:v>David</c:v>
                </c:pt>
                <c:pt idx="3">
                  <c:v>Ethan</c:v>
                </c:pt>
                <c:pt idx="4">
                  <c:v>Tyler</c:v>
                </c:pt>
                <c:pt idx="5">
                  <c:v>Maxine</c:v>
                </c:pt>
                <c:pt idx="6">
                  <c:v>Jon</c:v>
                </c:pt>
                <c:pt idx="7">
                  <c:v>Evan</c:v>
                </c:pt>
                <c:pt idx="8">
                  <c:v>Erick</c:v>
                </c:pt>
                <c:pt idx="9">
                  <c:v>Carter</c:v>
                </c:pt>
                <c:pt idx="10">
                  <c:v>Cooper</c:v>
                </c:pt>
                <c:pt idx="11">
                  <c:v>Grady</c:v>
                </c:pt>
                <c:pt idx="12">
                  <c:v>Reuben</c:v>
                </c:pt>
              </c:strCache>
            </c:strRef>
          </c:cat>
          <c:val>
            <c:numRef>
              <c:f>Fall2024!$H$58:$H$70</c:f>
              <c:numCache>
                <c:formatCode>0.00</c:formatCode>
                <c:ptCount val="13"/>
                <c:pt idx="0">
                  <c:v>2.5294117647058822</c:v>
                </c:pt>
                <c:pt idx="1">
                  <c:v>1.7777777777777777</c:v>
                </c:pt>
                <c:pt idx="2">
                  <c:v>1.7058823529411764</c:v>
                </c:pt>
                <c:pt idx="3">
                  <c:v>1.4634146341463414</c:v>
                </c:pt>
                <c:pt idx="4">
                  <c:v>1.4166666666666667</c:v>
                </c:pt>
                <c:pt idx="5">
                  <c:v>1.3870967741935485</c:v>
                </c:pt>
                <c:pt idx="6">
                  <c:v>1</c:v>
                </c:pt>
                <c:pt idx="7">
                  <c:v>0.90476190476190477</c:v>
                </c:pt>
                <c:pt idx="8">
                  <c:v>0.83333333333333337</c:v>
                </c:pt>
                <c:pt idx="9">
                  <c:v>0.75342465753424659</c:v>
                </c:pt>
                <c:pt idx="10">
                  <c:v>0.5</c:v>
                </c:pt>
                <c:pt idx="11">
                  <c:v>0.46153846153846156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76F-4651-B226-7BDF188B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2926511"/>
        <c:axId val="859992562"/>
      </c:barChart>
      <c:catAx>
        <c:axId val="832926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59992562"/>
        <c:crosses val="autoZero"/>
        <c:auto val="1"/>
        <c:lblAlgn val="ctr"/>
        <c:lblOffset val="100"/>
        <c:noMultiLvlLbl val="1"/>
      </c:catAx>
      <c:valAx>
        <c:axId val="85999256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32926511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Fall2024!$Q$26:$Q$38</c:f>
              <c:strCache>
                <c:ptCount val="13"/>
                <c:pt idx="0">
                  <c:v>David</c:v>
                </c:pt>
                <c:pt idx="1">
                  <c:v>Ethan</c:v>
                </c:pt>
                <c:pt idx="2">
                  <c:v>Carter</c:v>
                </c:pt>
                <c:pt idx="3">
                  <c:v>Sam</c:v>
                </c:pt>
                <c:pt idx="4">
                  <c:v>Maxine</c:v>
                </c:pt>
                <c:pt idx="5">
                  <c:v>Evan</c:v>
                </c:pt>
                <c:pt idx="6">
                  <c:v>Peter</c:v>
                </c:pt>
                <c:pt idx="7">
                  <c:v>Tyler</c:v>
                </c:pt>
                <c:pt idx="8">
                  <c:v>Jon</c:v>
                </c:pt>
                <c:pt idx="9">
                  <c:v>Grady</c:v>
                </c:pt>
                <c:pt idx="10">
                  <c:v>Erick</c:v>
                </c:pt>
                <c:pt idx="11">
                  <c:v>Cooper</c:v>
                </c:pt>
                <c:pt idx="12">
                  <c:v>Reuben</c:v>
                </c:pt>
              </c:strCache>
            </c:strRef>
          </c:cat>
          <c:val>
            <c:numRef>
              <c:f>Fall2024!$R$26:$R$38</c:f>
              <c:numCache>
                <c:formatCode>General</c:formatCode>
                <c:ptCount val="13"/>
                <c:pt idx="0">
                  <c:v>115</c:v>
                </c:pt>
                <c:pt idx="1">
                  <c:v>91</c:v>
                </c:pt>
                <c:pt idx="2">
                  <c:v>70</c:v>
                </c:pt>
                <c:pt idx="3">
                  <c:v>72</c:v>
                </c:pt>
                <c:pt idx="4">
                  <c:v>0</c:v>
                </c:pt>
                <c:pt idx="5">
                  <c:v>51</c:v>
                </c:pt>
                <c:pt idx="6">
                  <c:v>53</c:v>
                </c:pt>
                <c:pt idx="7">
                  <c:v>28</c:v>
                </c:pt>
                <c:pt idx="8">
                  <c:v>27</c:v>
                </c:pt>
                <c:pt idx="9">
                  <c:v>26</c:v>
                </c:pt>
                <c:pt idx="10">
                  <c:v>16</c:v>
                </c:pt>
                <c:pt idx="11">
                  <c:v>4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192-4DB3-8A0F-C725F219D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4220092"/>
        <c:axId val="2032124420"/>
      </c:barChart>
      <c:catAx>
        <c:axId val="10442200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032124420"/>
        <c:crosses val="autoZero"/>
        <c:auto val="1"/>
        <c:lblAlgn val="ctr"/>
        <c:lblOffset val="100"/>
        <c:noMultiLvlLbl val="1"/>
      </c:catAx>
      <c:valAx>
        <c:axId val="203212442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044220092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Fall2024!$Q$42:$Q$54</c:f>
              <c:strCache>
                <c:ptCount val="13"/>
                <c:pt idx="0">
                  <c:v>Reuben</c:v>
                </c:pt>
                <c:pt idx="1">
                  <c:v>Carter</c:v>
                </c:pt>
                <c:pt idx="2">
                  <c:v>Evan</c:v>
                </c:pt>
                <c:pt idx="3">
                  <c:v>Grady</c:v>
                </c:pt>
                <c:pt idx="4">
                  <c:v>Ethan</c:v>
                </c:pt>
                <c:pt idx="5">
                  <c:v>David</c:v>
                </c:pt>
                <c:pt idx="6">
                  <c:v>Maxine</c:v>
                </c:pt>
                <c:pt idx="7">
                  <c:v>Peter</c:v>
                </c:pt>
                <c:pt idx="8">
                  <c:v>Jon</c:v>
                </c:pt>
                <c:pt idx="9">
                  <c:v>Sam</c:v>
                </c:pt>
                <c:pt idx="10">
                  <c:v>Erick</c:v>
                </c:pt>
                <c:pt idx="11">
                  <c:v>Tyler</c:v>
                </c:pt>
                <c:pt idx="12">
                  <c:v>Cooper</c:v>
                </c:pt>
              </c:strCache>
            </c:strRef>
          </c:cat>
          <c:val>
            <c:numRef>
              <c:f>Fall2024!$R$42:$R$54</c:f>
              <c:numCache>
                <c:formatCode>General</c:formatCode>
                <c:ptCount val="13"/>
                <c:pt idx="0">
                  <c:v>120</c:v>
                </c:pt>
                <c:pt idx="1">
                  <c:v>108</c:v>
                </c:pt>
                <c:pt idx="2">
                  <c:v>54</c:v>
                </c:pt>
                <c:pt idx="3">
                  <c:v>54</c:v>
                </c:pt>
                <c:pt idx="4">
                  <c:v>55</c:v>
                </c:pt>
                <c:pt idx="5">
                  <c:v>45</c:v>
                </c:pt>
                <c:pt idx="6">
                  <c:v>0</c:v>
                </c:pt>
                <c:pt idx="7">
                  <c:v>26</c:v>
                </c:pt>
                <c:pt idx="8">
                  <c:v>24</c:v>
                </c:pt>
                <c:pt idx="9">
                  <c:v>21</c:v>
                </c:pt>
                <c:pt idx="10">
                  <c:v>22</c:v>
                </c:pt>
                <c:pt idx="11">
                  <c:v>13</c:v>
                </c:pt>
                <c:pt idx="12">
                  <c:v>11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F30-4CE8-9A93-D39C9EDF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0321059"/>
        <c:axId val="1519720261"/>
      </c:barChart>
      <c:catAx>
        <c:axId val="8503210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519720261"/>
        <c:crosses val="autoZero"/>
        <c:auto val="1"/>
        <c:lblAlgn val="ctr"/>
        <c:lblOffset val="100"/>
        <c:noMultiLvlLbl val="1"/>
      </c:catAx>
      <c:valAx>
        <c:axId val="151972026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50321059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Fall2024!$Q$58:$Q$70</c:f>
              <c:strCache>
                <c:ptCount val="13"/>
                <c:pt idx="0">
                  <c:v>Sam</c:v>
                </c:pt>
                <c:pt idx="1">
                  <c:v>David</c:v>
                </c:pt>
                <c:pt idx="2">
                  <c:v>Peter</c:v>
                </c:pt>
                <c:pt idx="3">
                  <c:v>Tyler</c:v>
                </c:pt>
                <c:pt idx="4">
                  <c:v>Ethan</c:v>
                </c:pt>
                <c:pt idx="5">
                  <c:v>Maxine</c:v>
                </c:pt>
                <c:pt idx="6">
                  <c:v>Jon</c:v>
                </c:pt>
                <c:pt idx="7">
                  <c:v>Evan</c:v>
                </c:pt>
                <c:pt idx="8">
                  <c:v>Erick</c:v>
                </c:pt>
                <c:pt idx="9">
                  <c:v>Carter</c:v>
                </c:pt>
                <c:pt idx="10">
                  <c:v>Grady</c:v>
                </c:pt>
                <c:pt idx="11">
                  <c:v>Cooper</c:v>
                </c:pt>
                <c:pt idx="12">
                  <c:v>Reuben</c:v>
                </c:pt>
              </c:strCache>
            </c:strRef>
          </c:cat>
          <c:val>
            <c:numRef>
              <c:f>Fall2024!$R$58:$R$70</c:f>
              <c:numCache>
                <c:formatCode>0.00</c:formatCode>
                <c:ptCount val="13"/>
                <c:pt idx="0">
                  <c:v>3.4285714285714284</c:v>
                </c:pt>
                <c:pt idx="1">
                  <c:v>2.5555555555555554</c:v>
                </c:pt>
                <c:pt idx="2">
                  <c:v>2.0384615384615383</c:v>
                </c:pt>
                <c:pt idx="3">
                  <c:v>2.1538461538461537</c:v>
                </c:pt>
                <c:pt idx="4">
                  <c:v>1.6545454545454545</c:v>
                </c:pt>
                <c:pt idx="5">
                  <c:v>0</c:v>
                </c:pt>
                <c:pt idx="6">
                  <c:v>1.125</c:v>
                </c:pt>
                <c:pt idx="7">
                  <c:v>0.94444444444444442</c:v>
                </c:pt>
                <c:pt idx="8">
                  <c:v>0.72727272727272729</c:v>
                </c:pt>
                <c:pt idx="9">
                  <c:v>0.64814814814814814</c:v>
                </c:pt>
                <c:pt idx="10">
                  <c:v>0.48148148148148145</c:v>
                </c:pt>
                <c:pt idx="11">
                  <c:v>0.36363636363636365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4D0-425C-8648-263C4646A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4696889"/>
        <c:axId val="1637284349"/>
      </c:barChart>
      <c:catAx>
        <c:axId val="17246968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637284349"/>
        <c:crosses val="autoZero"/>
        <c:auto val="1"/>
        <c:lblAlgn val="ctr"/>
        <c:lblOffset val="100"/>
        <c:noMultiLvlLbl val="1"/>
      </c:catAx>
      <c:valAx>
        <c:axId val="163728434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724696889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Fall2024!$G$74:$G$77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Fall2024!$H$74:$H$77</c:f>
              <c:numCache>
                <c:formatCode>0.00</c:formatCode>
                <c:ptCount val="4"/>
                <c:pt idx="0">
                  <c:v>15.25</c:v>
                </c:pt>
                <c:pt idx="1">
                  <c:v>36.5</c:v>
                </c:pt>
                <c:pt idx="2">
                  <c:v>40</c:v>
                </c:pt>
                <c:pt idx="3">
                  <c:v>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749-45A2-B010-0C19613FA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274198"/>
        <c:axId val="2131501668"/>
      </c:barChart>
      <c:catAx>
        <c:axId val="21727419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131501668"/>
        <c:crosses val="autoZero"/>
        <c:auto val="1"/>
        <c:lblAlgn val="ctr"/>
        <c:lblOffset val="100"/>
        <c:noMultiLvlLbl val="1"/>
      </c:catAx>
      <c:valAx>
        <c:axId val="213150166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17274198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Fall2024!$Q$74:$Q$77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Fall2024!$R$74:$R$77</c:f>
              <c:numCache>
                <c:formatCode>0.00</c:formatCode>
                <c:ptCount val="4"/>
                <c:pt idx="0">
                  <c:v>24</c:v>
                </c:pt>
                <c:pt idx="1">
                  <c:v>48</c:v>
                </c:pt>
                <c:pt idx="2">
                  <c:v>63.666666666666664</c:v>
                </c:pt>
                <c:pt idx="3">
                  <c:v>42.5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8B1-44B0-A5AF-50AF25168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5204329"/>
        <c:axId val="585711698"/>
      </c:barChart>
      <c:catAx>
        <c:axId val="177520432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585711698"/>
        <c:crosses val="autoZero"/>
        <c:auto val="1"/>
        <c:lblAlgn val="ctr"/>
        <c:lblOffset val="100"/>
        <c:noMultiLvlLbl val="1"/>
      </c:catAx>
      <c:valAx>
        <c:axId val="58571169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775204329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Fall2024!$G$85:$G$88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Fall2024!$H$85:$H$88</c:f>
              <c:numCache>
                <c:formatCode>0.00</c:formatCode>
                <c:ptCount val="4"/>
                <c:pt idx="0">
                  <c:v>23.333333333333332</c:v>
                </c:pt>
                <c:pt idx="1">
                  <c:v>28</c:v>
                </c:pt>
                <c:pt idx="2">
                  <c:v>33</c:v>
                </c:pt>
                <c:pt idx="3">
                  <c:v>56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714-4483-A60F-D60D0D94C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8086201"/>
        <c:axId val="1094296772"/>
      </c:barChart>
      <c:catAx>
        <c:axId val="156808620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094296772"/>
        <c:crosses val="autoZero"/>
        <c:auto val="1"/>
        <c:lblAlgn val="ctr"/>
        <c:lblOffset val="100"/>
        <c:noMultiLvlLbl val="1"/>
      </c:catAx>
      <c:valAx>
        <c:axId val="109429677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568086201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Fall2024!$Q$85:$Q$88</c:f>
              <c:strCache>
                <c:ptCount val="4"/>
                <c:pt idx="0">
                  <c:v>Baris</c:v>
                </c:pt>
                <c:pt idx="1">
                  <c:v>Leads</c:v>
                </c:pt>
                <c:pt idx="2">
                  <c:v>Basses</c:v>
                </c:pt>
                <c:pt idx="3">
                  <c:v>Tenors</c:v>
                </c:pt>
              </c:strCache>
            </c:strRef>
          </c:cat>
          <c:val>
            <c:numRef>
              <c:f>Fall2024!$R$85:$R$88</c:f>
              <c:numCache>
                <c:formatCode>0.00</c:formatCode>
                <c:ptCount val="4"/>
                <c:pt idx="0">
                  <c:v>29.666666666666668</c:v>
                </c:pt>
                <c:pt idx="1">
                  <c:v>27.5</c:v>
                </c:pt>
                <c:pt idx="2">
                  <c:v>48</c:v>
                </c:pt>
                <c:pt idx="3">
                  <c:v>81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3D0-48D8-A245-421AF8CC3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327216"/>
        <c:axId val="1413797106"/>
      </c:barChart>
      <c:catAx>
        <c:axId val="132232721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413797106"/>
        <c:crosses val="autoZero"/>
        <c:auto val="1"/>
        <c:lblAlgn val="ctr"/>
        <c:lblOffset val="100"/>
        <c:noMultiLvlLbl val="1"/>
      </c:catAx>
      <c:valAx>
        <c:axId val="1413797106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322327216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Fall2024!$G$96:$G$99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Fall2024!$H$96:$H$99</c:f>
              <c:numCache>
                <c:formatCode>0.00</c:formatCode>
                <c:ptCount val="4"/>
                <c:pt idx="0">
                  <c:v>0.5446428571428571</c:v>
                </c:pt>
                <c:pt idx="1">
                  <c:v>0.6517857142857143</c:v>
                </c:pt>
                <c:pt idx="2">
                  <c:v>1.303030303030303</c:v>
                </c:pt>
                <c:pt idx="3">
                  <c:v>1.7142857142857144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2D2-451E-B37B-434525042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0544036"/>
        <c:axId val="1809838822"/>
      </c:barChart>
      <c:catAx>
        <c:axId val="176054403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809838822"/>
        <c:crosses val="autoZero"/>
        <c:auto val="1"/>
        <c:lblAlgn val="ctr"/>
        <c:lblOffset val="100"/>
        <c:noMultiLvlLbl val="1"/>
      </c:catAx>
      <c:valAx>
        <c:axId val="180983882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760544036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Fall2024!$Q$96:$Q$99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Fall2024!$R$96:$R$99</c:f>
              <c:numCache>
                <c:formatCode>0.00</c:formatCode>
                <c:ptCount val="4"/>
                <c:pt idx="0">
                  <c:v>0.5</c:v>
                </c:pt>
                <c:pt idx="1">
                  <c:v>0.59259259259259256</c:v>
                </c:pt>
                <c:pt idx="2">
                  <c:v>1.5454545454545454</c:v>
                </c:pt>
                <c:pt idx="3">
                  <c:v>2.1460674157303368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2A2-465A-9A0A-29AF32C0F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3474892"/>
        <c:axId val="1522474985"/>
      </c:barChart>
      <c:catAx>
        <c:axId val="119347489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522474985"/>
        <c:crosses val="autoZero"/>
        <c:auto val="1"/>
        <c:lblAlgn val="ctr"/>
        <c:lblOffset val="100"/>
        <c:noMultiLvlLbl val="1"/>
      </c:catAx>
      <c:valAx>
        <c:axId val="152247498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193474892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7.4645888013998254E-2"/>
          <c:y val="0.152510498687664"/>
          <c:w val="0.89890244969378819"/>
          <c:h val="0.72894050743657035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Fall2024PRE!$G$37:$G$46</c:f>
              <c:strCache>
                <c:ptCount val="10"/>
                <c:pt idx="0">
                  <c:v>Carter</c:v>
                </c:pt>
                <c:pt idx="1">
                  <c:v>Jon</c:v>
                </c:pt>
                <c:pt idx="2">
                  <c:v>David</c:v>
                </c:pt>
                <c:pt idx="3">
                  <c:v>Grady</c:v>
                </c:pt>
                <c:pt idx="4">
                  <c:v>Sam</c:v>
                </c:pt>
                <c:pt idx="5">
                  <c:v>Erick</c:v>
                </c:pt>
                <c:pt idx="6">
                  <c:v>Tyler</c:v>
                </c:pt>
                <c:pt idx="7">
                  <c:v>Peter</c:v>
                </c:pt>
                <c:pt idx="8">
                  <c:v>Cooper</c:v>
                </c:pt>
                <c:pt idx="9">
                  <c:v>Maxine</c:v>
                </c:pt>
              </c:strCache>
            </c:strRef>
          </c:cat>
          <c:val>
            <c:numRef>
              <c:f>Fall2024PRE!$H$37:$H$46</c:f>
              <c:numCache>
                <c:formatCode>General</c:formatCode>
                <c:ptCount val="10"/>
                <c:pt idx="0">
                  <c:v>12</c:v>
                </c:pt>
                <c:pt idx="1">
                  <c:v>10</c:v>
                </c:pt>
                <c:pt idx="2">
                  <c:v>7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C6B-4152-B937-DEA13BBC9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1822757"/>
        <c:axId val="1264763657"/>
      </c:barChart>
      <c:catAx>
        <c:axId val="14418227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264763657"/>
        <c:crosses val="autoZero"/>
        <c:auto val="1"/>
        <c:lblAlgn val="ctr"/>
        <c:lblOffset val="100"/>
        <c:noMultiLvlLbl val="1"/>
      </c:catAx>
      <c:valAx>
        <c:axId val="126476365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41822757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7547462817147856E-2"/>
          <c:y val="0.1447296587926509"/>
          <c:w val="0.86926771653543311"/>
          <c:h val="0.74069816272965883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Fall2024PRE!$G$51:$G$60</c:f>
              <c:strCache>
                <c:ptCount val="10"/>
                <c:pt idx="0">
                  <c:v>Maxine</c:v>
                </c:pt>
                <c:pt idx="1">
                  <c:v>Sam</c:v>
                </c:pt>
                <c:pt idx="2">
                  <c:v>Peter</c:v>
                </c:pt>
                <c:pt idx="3">
                  <c:v>David</c:v>
                </c:pt>
                <c:pt idx="4">
                  <c:v>Erick</c:v>
                </c:pt>
                <c:pt idx="5">
                  <c:v>Carter</c:v>
                </c:pt>
                <c:pt idx="6">
                  <c:v>Jon</c:v>
                </c:pt>
                <c:pt idx="7">
                  <c:v>Grady</c:v>
                </c:pt>
                <c:pt idx="8">
                  <c:v>Cooper</c:v>
                </c:pt>
                <c:pt idx="9">
                  <c:v>Tyler</c:v>
                </c:pt>
              </c:strCache>
            </c:strRef>
          </c:cat>
          <c:val>
            <c:numRef>
              <c:f>Fall2024PRE!$H$51:$H$60</c:f>
              <c:numCache>
                <c:formatCode>0.00</c:formatCode>
                <c:ptCount val="10"/>
                <c:pt idx="0">
                  <c:v>5</c:v>
                </c:pt>
                <c:pt idx="1">
                  <c:v>3</c:v>
                </c:pt>
                <c:pt idx="2">
                  <c:v>2.5</c:v>
                </c:pt>
                <c:pt idx="3">
                  <c:v>1.8571428571428572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0.2</c:v>
                </c:pt>
                <c:pt idx="7">
                  <c:v>0.16666666666666666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373-4CB6-8B52-B6F143DAC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7869944"/>
        <c:axId val="1588131270"/>
      </c:barChart>
      <c:catAx>
        <c:axId val="1057869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588131270"/>
        <c:crosses val="autoZero"/>
        <c:auto val="1"/>
        <c:lblAlgn val="ctr"/>
        <c:lblOffset val="100"/>
        <c:noMultiLvlLbl val="1"/>
      </c:catAx>
      <c:valAx>
        <c:axId val="158813127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7869944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Kills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7.4448381452318454E-2"/>
          <c:y val="0.16107436570428699"/>
          <c:w val="0.88249103237095361"/>
          <c:h val="0.7382685914260717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Fall2024PRE!$Q$23:$Q$32</c:f>
              <c:strCache>
                <c:ptCount val="10"/>
                <c:pt idx="0">
                  <c:v>Sam</c:v>
                </c:pt>
                <c:pt idx="1">
                  <c:v>David</c:v>
                </c:pt>
                <c:pt idx="2">
                  <c:v>Carter</c:v>
                </c:pt>
                <c:pt idx="3">
                  <c:v>Peter</c:v>
                </c:pt>
                <c:pt idx="4">
                  <c:v>Maxine</c:v>
                </c:pt>
                <c:pt idx="5">
                  <c:v>Erick</c:v>
                </c:pt>
                <c:pt idx="6">
                  <c:v>Jon</c:v>
                </c:pt>
                <c:pt idx="7">
                  <c:v>Grady</c:v>
                </c:pt>
                <c:pt idx="8">
                  <c:v>Tyler</c:v>
                </c:pt>
                <c:pt idx="9">
                  <c:v>Cooper</c:v>
                </c:pt>
              </c:strCache>
            </c:strRef>
          </c:cat>
          <c:val>
            <c:numRef>
              <c:f>Fall2024PRE!$R$23:$R$32</c:f>
              <c:numCache>
                <c:formatCode>General</c:formatCode>
                <c:ptCount val="10"/>
                <c:pt idx="0">
                  <c:v>23</c:v>
                </c:pt>
                <c:pt idx="1">
                  <c:v>16</c:v>
                </c:pt>
                <c:pt idx="2">
                  <c:v>12</c:v>
                </c:pt>
                <c:pt idx="3">
                  <c:v>10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AC5-4D9A-A174-EE1164BD2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2028246"/>
        <c:axId val="853548949"/>
      </c:barChart>
      <c:catAx>
        <c:axId val="10520282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53548949"/>
        <c:crosses val="autoZero"/>
        <c:auto val="1"/>
        <c:lblAlgn val="ctr"/>
        <c:lblOffset val="100"/>
        <c:noMultiLvlLbl val="1"/>
      </c:catAx>
      <c:valAx>
        <c:axId val="85354894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2028246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6.4414479440069977E-2"/>
          <c:y val="0.16635345581802269"/>
          <c:w val="0.89961329833770765"/>
          <c:h val="0.7329895013123359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Fall2024PRE!$Q$37:$Q$46</c:f>
              <c:strCache>
                <c:ptCount val="10"/>
                <c:pt idx="0">
                  <c:v>Jon</c:v>
                </c:pt>
                <c:pt idx="1">
                  <c:v>Carter</c:v>
                </c:pt>
                <c:pt idx="2">
                  <c:v>Grady</c:v>
                </c:pt>
                <c:pt idx="3">
                  <c:v>David</c:v>
                </c:pt>
                <c:pt idx="4">
                  <c:v>Sam</c:v>
                </c:pt>
                <c:pt idx="5">
                  <c:v>Erick</c:v>
                </c:pt>
                <c:pt idx="6">
                  <c:v>Tyler</c:v>
                </c:pt>
                <c:pt idx="7">
                  <c:v>Peter</c:v>
                </c:pt>
                <c:pt idx="8">
                  <c:v>Cooper</c:v>
                </c:pt>
                <c:pt idx="9">
                  <c:v>Maxine</c:v>
                </c:pt>
              </c:strCache>
            </c:strRef>
          </c:cat>
          <c:val>
            <c:numRef>
              <c:f>Fall2024PRE!$R$37:$R$46</c:f>
              <c:numCache>
                <c:formatCode>General</c:formatCode>
                <c:ptCount val="10"/>
                <c:pt idx="0">
                  <c:v>12</c:v>
                </c:pt>
                <c:pt idx="1">
                  <c:v>16</c:v>
                </c:pt>
                <c:pt idx="2">
                  <c:v>12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A2D-4CBF-9479-09D407440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5048032"/>
        <c:axId val="1609992467"/>
      </c:barChart>
      <c:catAx>
        <c:axId val="1585048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609992467"/>
        <c:crosses val="autoZero"/>
        <c:auto val="1"/>
        <c:lblAlgn val="ctr"/>
        <c:lblOffset val="100"/>
        <c:noMultiLvlLbl val="1"/>
      </c:catAx>
      <c:valAx>
        <c:axId val="16099924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85048032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599168853893264E-2"/>
          <c:y val="0.16635345581802269"/>
          <c:w val="0.86806539807524052"/>
          <c:h val="0.7329895013123359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Fall2024PRE!$Q$51:$Q$60</c:f>
              <c:strCache>
                <c:ptCount val="10"/>
                <c:pt idx="0">
                  <c:v>Maxine</c:v>
                </c:pt>
                <c:pt idx="1">
                  <c:v>Sam</c:v>
                </c:pt>
                <c:pt idx="2">
                  <c:v>Peter</c:v>
                </c:pt>
                <c:pt idx="3">
                  <c:v>David</c:v>
                </c:pt>
                <c:pt idx="4">
                  <c:v>Carter</c:v>
                </c:pt>
                <c:pt idx="5">
                  <c:v>Erick</c:v>
                </c:pt>
                <c:pt idx="6">
                  <c:v>Jon</c:v>
                </c:pt>
                <c:pt idx="7">
                  <c:v>Grady</c:v>
                </c:pt>
                <c:pt idx="8">
                  <c:v>Cooper</c:v>
                </c:pt>
                <c:pt idx="9">
                  <c:v>Tyler</c:v>
                </c:pt>
              </c:strCache>
            </c:strRef>
          </c:cat>
          <c:val>
            <c:numRef>
              <c:f>Fall2024PRE!$R$51:$R$60</c:f>
              <c:numCache>
                <c:formatCode>0.00</c:formatCode>
                <c:ptCount val="10"/>
                <c:pt idx="0">
                  <c:v>0</c:v>
                </c:pt>
                <c:pt idx="1">
                  <c:v>3.8333333333333335</c:v>
                </c:pt>
                <c:pt idx="2">
                  <c:v>5</c:v>
                </c:pt>
                <c:pt idx="3">
                  <c:v>1.6</c:v>
                </c:pt>
                <c:pt idx="4">
                  <c:v>0.75</c:v>
                </c:pt>
                <c:pt idx="5">
                  <c:v>1</c:v>
                </c:pt>
                <c:pt idx="6">
                  <c:v>0.25</c:v>
                </c:pt>
                <c:pt idx="7">
                  <c:v>8.3333333333333329E-2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4AD-4A46-8D7E-96E71E56F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8429423"/>
        <c:axId val="1347397097"/>
      </c:barChart>
      <c:catAx>
        <c:axId val="438429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347397097"/>
        <c:crosses val="autoZero"/>
        <c:auto val="1"/>
        <c:lblAlgn val="ctr"/>
        <c:lblOffset val="100"/>
        <c:noMultiLvlLbl val="1"/>
      </c:catAx>
      <c:valAx>
        <c:axId val="134739709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38429423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97064741907261"/>
          <c:y val="0.16433537832310841"/>
          <c:w val="0.84831430446194223"/>
          <c:h val="0.67235141619567496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Fall2024PRE!$G$65:$G$68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Fall2024PRE!$H$65:$H$68</c:f>
              <c:numCache>
                <c:formatCode>0.00</c:formatCode>
                <c:ptCount val="4"/>
                <c:pt idx="0">
                  <c:v>3</c:v>
                </c:pt>
                <c:pt idx="1">
                  <c:v>4.5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C6F-436B-87FE-E01703B6E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7709162"/>
        <c:axId val="262122242"/>
      </c:barChart>
      <c:catAx>
        <c:axId val="136770916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62122242"/>
        <c:crosses val="autoZero"/>
        <c:auto val="1"/>
        <c:lblAlgn val="ctr"/>
        <c:lblOffset val="100"/>
        <c:noMultiLvlLbl val="1"/>
      </c:catAx>
      <c:valAx>
        <c:axId val="2621222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67709162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80398075240595"/>
          <c:y val="0.1806952965235174"/>
          <c:w val="0.83350874890638671"/>
          <c:h val="0.6559914979952659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Fall2024PRE!$Q$65:$Q$68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Fall2024PRE!$R$65:$R$68</c:f>
              <c:numCache>
                <c:formatCode>0.00</c:formatCode>
                <c:ptCount val="4"/>
                <c:pt idx="0">
                  <c:v>5.333333333333333</c:v>
                </c:pt>
                <c:pt idx="1">
                  <c:v>6.5</c:v>
                </c:pt>
                <c:pt idx="2">
                  <c:v>5.333333333333333</c:v>
                </c:pt>
                <c:pt idx="3">
                  <c:v>11.5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9BF-4F6C-B1B5-F683B9FE1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669515"/>
        <c:axId val="2129217042"/>
      </c:barChart>
      <c:catAx>
        <c:axId val="27966951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129217042"/>
        <c:crosses val="autoZero"/>
        <c:auto val="1"/>
        <c:lblAlgn val="ctr"/>
        <c:lblOffset val="100"/>
        <c:noMultiLvlLbl val="1"/>
      </c:catAx>
      <c:valAx>
        <c:axId val="21292170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79669515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19426946631671"/>
          <c:y val="0.1970552147239264"/>
          <c:w val="0.8357169728783902"/>
          <c:h val="0.62977440703347654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Fall2024PRE!$G$74:$G$77</c:f>
              <c:strCache>
                <c:ptCount val="4"/>
                <c:pt idx="0">
                  <c:v>Leads</c:v>
                </c:pt>
                <c:pt idx="1">
                  <c:v>Baris</c:v>
                </c:pt>
                <c:pt idx="2">
                  <c:v>Basses</c:v>
                </c:pt>
                <c:pt idx="3">
                  <c:v>Tenors</c:v>
                </c:pt>
              </c:strCache>
            </c:strRef>
          </c:cat>
          <c:val>
            <c:numRef>
              <c:f>Fall2024PRE!$H$74:$H$77</c:f>
              <c:numCache>
                <c:formatCode>0.00</c:formatCode>
                <c:ptCount val="4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AA6-40F3-B1F1-A4326B1ED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52762"/>
        <c:axId val="787354448"/>
      </c:barChart>
      <c:catAx>
        <c:axId val="2805276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787354448"/>
        <c:crosses val="autoZero"/>
        <c:auto val="1"/>
        <c:lblAlgn val="ctr"/>
        <c:lblOffset val="100"/>
        <c:noMultiLvlLbl val="1"/>
      </c:catAx>
      <c:valAx>
        <c:axId val="78735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8052762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27602799650051"/>
          <c:y val="0.1970552147239264"/>
          <c:w val="0.84127252843394573"/>
          <c:h val="0.62977440703347654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Fall2024PRE!$Q$74:$Q$77</c:f>
              <c:strCache>
                <c:ptCount val="4"/>
                <c:pt idx="0">
                  <c:v>Leads</c:v>
                </c:pt>
                <c:pt idx="1">
                  <c:v>Baris</c:v>
                </c:pt>
                <c:pt idx="2">
                  <c:v>Basses</c:v>
                </c:pt>
                <c:pt idx="3">
                  <c:v>Tenors</c:v>
                </c:pt>
              </c:strCache>
            </c:strRef>
          </c:cat>
          <c:val>
            <c:numRef>
              <c:f>Fall2024PRE!$R$74:$R$77</c:f>
              <c:numCache>
                <c:formatCode>0.00</c:formatCode>
                <c:ptCount val="4"/>
                <c:pt idx="0">
                  <c:v>4.333333333333333</c:v>
                </c:pt>
                <c:pt idx="1">
                  <c:v>5</c:v>
                </c:pt>
                <c:pt idx="2">
                  <c:v>5.666666666666667</c:v>
                </c:pt>
                <c:pt idx="3">
                  <c:v>14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98C-4F81-B627-7710DD0AB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6753646"/>
        <c:axId val="1862466168"/>
      </c:barChart>
      <c:catAx>
        <c:axId val="168675364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862466168"/>
        <c:crosses val="autoZero"/>
        <c:auto val="1"/>
        <c:lblAlgn val="ctr"/>
        <c:lblOffset val="100"/>
        <c:noMultiLvlLbl val="1"/>
      </c:catAx>
      <c:valAx>
        <c:axId val="1862466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86753646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8595363079615042E-2"/>
          <c:y val="0.1806952965235174"/>
          <c:w val="0.84698118985126869"/>
          <c:h val="0.65431428433409011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Fall2024PRE!$G$83:$G$86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Fall2024PRE!$H$83:$H$86</c:f>
              <c:numCache>
                <c:formatCode>0.00</c:formatCode>
                <c:ptCount val="4"/>
                <c:pt idx="0">
                  <c:v>0.5</c:v>
                </c:pt>
                <c:pt idx="1">
                  <c:v>0.6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EFA-4DE7-8AC9-117CF9DF1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7318718"/>
        <c:axId val="1886963972"/>
      </c:barChart>
      <c:catAx>
        <c:axId val="203731871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886963972"/>
        <c:crosses val="autoZero"/>
        <c:auto val="1"/>
        <c:lblAlgn val="ctr"/>
        <c:lblOffset val="100"/>
        <c:noMultiLvlLbl val="1"/>
      </c:catAx>
      <c:valAx>
        <c:axId val="18869639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37318718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8595363079615042E-2"/>
          <c:y val="0.1888752556237219"/>
          <c:w val="0.85999496937882769"/>
          <c:h val="0.62159444793327212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Fall2024PRE!$Q$83:$Q$86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Fall2024PRE!$R$83:$R$86</c:f>
              <c:numCache>
                <c:formatCode>0.00</c:formatCode>
                <c:ptCount val="4"/>
                <c:pt idx="0">
                  <c:v>0.4642857142857143</c:v>
                </c:pt>
                <c:pt idx="1">
                  <c:v>0.94117647058823517</c:v>
                </c:pt>
                <c:pt idx="2">
                  <c:v>1.2307692307692308</c:v>
                </c:pt>
                <c:pt idx="3">
                  <c:v>2.2999999999999998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068-4A1E-8AB1-67C0F1199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0680442"/>
        <c:axId val="1411451444"/>
      </c:barChart>
      <c:catAx>
        <c:axId val="198068044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411451444"/>
        <c:crosses val="autoZero"/>
        <c:auto val="1"/>
        <c:lblAlgn val="ctr"/>
        <c:lblOffset val="100"/>
        <c:noMultiLvlLbl val="1"/>
      </c:catAx>
      <c:valAx>
        <c:axId val="14114514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80680442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138186369088"/>
          <c:y val="0.1458530183727034"/>
          <c:w val="0.86557925292451021"/>
          <c:h val="0.77444773815037826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Fall2024PRE!$AF$34:$AF$43</c:f>
              <c:strCache>
                <c:ptCount val="10"/>
                <c:pt idx="0">
                  <c:v>Maxine</c:v>
                </c:pt>
                <c:pt idx="1">
                  <c:v>Sam</c:v>
                </c:pt>
                <c:pt idx="2">
                  <c:v>David</c:v>
                </c:pt>
                <c:pt idx="3">
                  <c:v>Peter</c:v>
                </c:pt>
                <c:pt idx="4">
                  <c:v>Carter</c:v>
                </c:pt>
                <c:pt idx="5">
                  <c:v>Erick</c:v>
                </c:pt>
                <c:pt idx="6">
                  <c:v>Cooper</c:v>
                </c:pt>
                <c:pt idx="7">
                  <c:v>Jon</c:v>
                </c:pt>
                <c:pt idx="8">
                  <c:v>Tyler</c:v>
                </c:pt>
                <c:pt idx="9">
                  <c:v>Grady</c:v>
                </c:pt>
              </c:strCache>
            </c:strRef>
          </c:cat>
          <c:val>
            <c:numRef>
              <c:f>Fall2024PRE!$AH$34:$AH$43</c:f>
              <c:numCache>
                <c:formatCode>0.00</c:formatCode>
                <c:ptCount val="10"/>
                <c:pt idx="0">
                  <c:v>255.13888888888891</c:v>
                </c:pt>
                <c:pt idx="1">
                  <c:v>604.97222222222229</c:v>
                </c:pt>
                <c:pt idx="2">
                  <c:v>406.05586080586085</c:v>
                </c:pt>
                <c:pt idx="3">
                  <c:v>450.08333333333337</c:v>
                </c:pt>
                <c:pt idx="4">
                  <c:v>210.72222222222223</c:v>
                </c:pt>
                <c:pt idx="5">
                  <c:v>169.52777777777777</c:v>
                </c:pt>
                <c:pt idx="6">
                  <c:v>19.1388888888889</c:v>
                </c:pt>
                <c:pt idx="7">
                  <c:v>62.611111111111121</c:v>
                </c:pt>
                <c:pt idx="8">
                  <c:v>2.6388888888888999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F0A-4D79-8512-569D7C7FC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3779423"/>
        <c:axId val="601410362"/>
      </c:barChart>
      <c:catAx>
        <c:axId val="1273779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601410362"/>
        <c:crosses val="autoZero"/>
        <c:auto val="1"/>
        <c:lblAlgn val="ctr"/>
        <c:lblOffset val="100"/>
        <c:noMultiLvlLbl val="1"/>
      </c:catAx>
      <c:valAx>
        <c:axId val="60141036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3779423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6488018266009437E-2"/>
          <c:y val="0.16526264696365009"/>
          <c:w val="0.8896637432516058"/>
          <c:h val="0.73280444396505229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Fall2024PRE!$AF$60:$AF$63</c:f>
              <c:strCache>
                <c:ptCount val="4"/>
                <c:pt idx="0">
                  <c:v>Baris</c:v>
                </c:pt>
                <c:pt idx="1">
                  <c:v>Leads</c:v>
                </c:pt>
                <c:pt idx="2">
                  <c:v>Basses</c:v>
                </c:pt>
                <c:pt idx="3">
                  <c:v>Tenors</c:v>
                </c:pt>
              </c:strCache>
            </c:strRef>
          </c:cat>
          <c:val>
            <c:numRef>
              <c:f>Fall2024PRE!$AH$60:$AH$63</c:f>
              <c:numCache>
                <c:formatCode>0.00</c:formatCode>
                <c:ptCount val="4"/>
                <c:pt idx="0">
                  <c:v>219.51084656084655</c:v>
                </c:pt>
                <c:pt idx="1">
                  <c:v>126.21041921041922</c:v>
                </c:pt>
                <c:pt idx="2">
                  <c:v>66.966365805581503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013-4378-A719-F84D34396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1913759"/>
        <c:axId val="816180972"/>
      </c:barChart>
      <c:catAx>
        <c:axId val="551913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16180972"/>
        <c:crosses val="autoZero"/>
        <c:auto val="1"/>
        <c:lblAlgn val="ctr"/>
        <c:lblOffset val="100"/>
        <c:noMultiLvlLbl val="1"/>
      </c:catAx>
      <c:valAx>
        <c:axId val="8161809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51913759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6.6569817181156871E-2"/>
          <c:y val="0.15822659667541561"/>
          <c:w val="0.89801269650982207"/>
          <c:h val="0.7411163604549431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Fall2024PRE!$G$23:$G$32</c:f>
              <c:strCache>
                <c:ptCount val="10"/>
                <c:pt idx="0">
                  <c:v>David</c:v>
                </c:pt>
                <c:pt idx="1">
                  <c:v>Sam</c:v>
                </c:pt>
                <c:pt idx="2">
                  <c:v>Carter</c:v>
                </c:pt>
                <c:pt idx="3">
                  <c:v>Maxine</c:v>
                </c:pt>
                <c:pt idx="4">
                  <c:v>Peter</c:v>
                </c:pt>
                <c:pt idx="5">
                  <c:v>Erick</c:v>
                </c:pt>
                <c:pt idx="6">
                  <c:v>Jon</c:v>
                </c:pt>
                <c:pt idx="7">
                  <c:v>Grady</c:v>
                </c:pt>
                <c:pt idx="8">
                  <c:v>Cooper</c:v>
                </c:pt>
                <c:pt idx="9">
                  <c:v>Tyler</c:v>
                </c:pt>
              </c:strCache>
            </c:strRef>
          </c:cat>
          <c:val>
            <c:numRef>
              <c:f>Fall2024PRE!$H$23:$H$32</c:f>
              <c:numCache>
                <c:formatCode>General</c:formatCode>
                <c:ptCount val="10"/>
                <c:pt idx="0">
                  <c:v>13</c:v>
                </c:pt>
                <c:pt idx="1">
                  <c:v>12</c:v>
                </c:pt>
                <c:pt idx="2">
                  <c:v>8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A76-4394-895F-F2CB607D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4133634"/>
        <c:axId val="1915785367"/>
      </c:barChart>
      <c:catAx>
        <c:axId val="14941336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915785367"/>
        <c:crosses val="autoZero"/>
        <c:auto val="1"/>
        <c:lblAlgn val="ctr"/>
        <c:lblOffset val="100"/>
        <c:noMultiLvlLbl val="1"/>
      </c:catAx>
      <c:valAx>
        <c:axId val="19157853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94133634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4074904098526151E-2"/>
          <c:y val="0.15576470588235289"/>
          <c:w val="0.88536967494447805"/>
          <c:h val="0.6521583037414441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Spring2024POST!$G$23:$G$34</c:f>
              <c:strCache>
                <c:ptCount val="12"/>
                <c:pt idx="0">
                  <c:v>Carter</c:v>
                </c:pt>
                <c:pt idx="1">
                  <c:v>Sam</c:v>
                </c:pt>
                <c:pt idx="2">
                  <c:v>Peter</c:v>
                </c:pt>
                <c:pt idx="3">
                  <c:v>Erick</c:v>
                </c:pt>
                <c:pt idx="4">
                  <c:v>Anthony</c:v>
                </c:pt>
                <c:pt idx="5">
                  <c:v>David</c:v>
                </c:pt>
                <c:pt idx="6">
                  <c:v>Tyler</c:v>
                </c:pt>
                <c:pt idx="7">
                  <c:v>Jon</c:v>
                </c:pt>
                <c:pt idx="8">
                  <c:v>Cooper</c:v>
                </c:pt>
                <c:pt idx="9">
                  <c:v>Grady</c:v>
                </c:pt>
                <c:pt idx="10">
                  <c:v>Maxine</c:v>
                </c:pt>
                <c:pt idx="11">
                  <c:v>Seth</c:v>
                </c:pt>
              </c:strCache>
            </c:strRef>
          </c:cat>
          <c:val>
            <c:numRef>
              <c:f>Spring2024POST!$H$23:$H$34</c:f>
              <c:numCache>
                <c:formatCode>General</c:formatCode>
                <c:ptCount val="12"/>
                <c:pt idx="0">
                  <c:v>22</c:v>
                </c:pt>
                <c:pt idx="1">
                  <c:v>22</c:v>
                </c:pt>
                <c:pt idx="2">
                  <c:v>17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FC2-4A20-9D1E-4158BBB01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3787430"/>
        <c:axId val="935461826"/>
      </c:barChart>
      <c:catAx>
        <c:axId val="157378743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935461826"/>
        <c:crosses val="autoZero"/>
        <c:auto val="1"/>
        <c:lblAlgn val="ctr"/>
        <c:lblOffset val="100"/>
        <c:noMultiLvlLbl val="1"/>
      </c:catAx>
      <c:valAx>
        <c:axId val="93546182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73787430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8000967249535267E-2"/>
          <c:y val="0.15902080333343549"/>
          <c:w val="0.88144341842106588"/>
          <c:h val="0.6557263805059386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Spring2024POST!$G$37:$G$48</c:f>
              <c:strCache>
                <c:ptCount val="12"/>
                <c:pt idx="0">
                  <c:v>Carter</c:v>
                </c:pt>
                <c:pt idx="1">
                  <c:v>Erick</c:v>
                </c:pt>
                <c:pt idx="2">
                  <c:v>Sam</c:v>
                </c:pt>
                <c:pt idx="3">
                  <c:v>Tyler</c:v>
                </c:pt>
                <c:pt idx="4">
                  <c:v>Peter</c:v>
                </c:pt>
                <c:pt idx="5">
                  <c:v>David</c:v>
                </c:pt>
                <c:pt idx="6">
                  <c:v>Seth</c:v>
                </c:pt>
                <c:pt idx="7">
                  <c:v>Anthony</c:v>
                </c:pt>
                <c:pt idx="8">
                  <c:v>Grady</c:v>
                </c:pt>
                <c:pt idx="9">
                  <c:v>Cooper</c:v>
                </c:pt>
                <c:pt idx="10">
                  <c:v>Maxine</c:v>
                </c:pt>
                <c:pt idx="11">
                  <c:v>Jon</c:v>
                </c:pt>
              </c:strCache>
            </c:strRef>
          </c:cat>
          <c:val>
            <c:numRef>
              <c:f>Spring2024POST!$H$37:$H$48</c:f>
              <c:numCache>
                <c:formatCode>General</c:formatCode>
                <c:ptCount val="12"/>
                <c:pt idx="0">
                  <c:v>21</c:v>
                </c:pt>
                <c:pt idx="1">
                  <c:v>14</c:v>
                </c:pt>
                <c:pt idx="2">
                  <c:v>13</c:v>
                </c:pt>
                <c:pt idx="3">
                  <c:v>10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5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FC0-432E-BD2D-F4198C19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0382097"/>
        <c:axId val="1831343410"/>
      </c:barChart>
      <c:catAx>
        <c:axId val="18703820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31343410"/>
        <c:crosses val="autoZero"/>
        <c:auto val="1"/>
        <c:lblAlgn val="ctr"/>
        <c:lblOffset val="100"/>
        <c:noMultiLvlLbl val="1"/>
      </c:catAx>
      <c:valAx>
        <c:axId val="183134341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7038209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37544922269332"/>
          <c:y val="0.15813293608569201"/>
          <c:w val="0.86569008681607107"/>
          <c:h val="0.65804477143059825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Spring2024POST!$G$51:$G$62</c:f>
              <c:strCache>
                <c:ptCount val="12"/>
                <c:pt idx="0">
                  <c:v>Jon</c:v>
                </c:pt>
                <c:pt idx="1">
                  <c:v>Peter</c:v>
                </c:pt>
                <c:pt idx="2">
                  <c:v>Sam</c:v>
                </c:pt>
                <c:pt idx="3">
                  <c:v>Anthony</c:v>
                </c:pt>
                <c:pt idx="4">
                  <c:v>Carter</c:v>
                </c:pt>
                <c:pt idx="5">
                  <c:v>Maxine</c:v>
                </c:pt>
                <c:pt idx="6">
                  <c:v>David</c:v>
                </c:pt>
                <c:pt idx="7">
                  <c:v>Erick</c:v>
                </c:pt>
                <c:pt idx="8">
                  <c:v>Cooper</c:v>
                </c:pt>
                <c:pt idx="9">
                  <c:v>Tyler</c:v>
                </c:pt>
                <c:pt idx="10">
                  <c:v>Grady</c:v>
                </c:pt>
                <c:pt idx="11">
                  <c:v>Seth</c:v>
                </c:pt>
              </c:strCache>
            </c:strRef>
          </c:cat>
          <c:val>
            <c:numRef>
              <c:f>Spring2024POST!$H$51:$H$62</c:f>
              <c:numCache>
                <c:formatCode>0.00</c:formatCode>
                <c:ptCount val="12"/>
                <c:pt idx="0">
                  <c:v>4</c:v>
                </c:pt>
                <c:pt idx="1">
                  <c:v>1.8888888888888888</c:v>
                </c:pt>
                <c:pt idx="2">
                  <c:v>1.6923076923076923</c:v>
                </c:pt>
                <c:pt idx="3">
                  <c:v>1.1428571428571428</c:v>
                </c:pt>
                <c:pt idx="4">
                  <c:v>1.0476190476190477</c:v>
                </c:pt>
                <c:pt idx="5">
                  <c:v>1</c:v>
                </c:pt>
                <c:pt idx="6">
                  <c:v>0.875</c:v>
                </c:pt>
                <c:pt idx="7">
                  <c:v>0.7142857142857143</c:v>
                </c:pt>
                <c:pt idx="8">
                  <c:v>0.6</c:v>
                </c:pt>
                <c:pt idx="9">
                  <c:v>0.6</c:v>
                </c:pt>
                <c:pt idx="10">
                  <c:v>0.42857142857142855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A92-4632-8088-A8A9D17B6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5087992"/>
        <c:axId val="578468883"/>
      </c:barChart>
      <c:catAx>
        <c:axId val="515087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78468883"/>
        <c:crosses val="autoZero"/>
        <c:auto val="1"/>
        <c:lblAlgn val="ctr"/>
        <c:lblOffset val="100"/>
        <c:noMultiLvlLbl val="1"/>
      </c:catAx>
      <c:valAx>
        <c:axId val="5784688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1508799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607180820247759"/>
          <c:y val="0.20624512844985279"/>
          <c:w val="0.83504244311111786"/>
          <c:h val="0.54546472600015905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Spring2024POST!$G$65:$G$68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Spring2024POST!$H$65:$H$68</c:f>
              <c:numCache>
                <c:formatCode>General</c:formatCode>
                <c:ptCount val="4"/>
                <c:pt idx="0">
                  <c:v>36</c:v>
                </c:pt>
                <c:pt idx="1">
                  <c:v>31</c:v>
                </c:pt>
                <c:pt idx="2">
                  <c:v>25</c:v>
                </c:pt>
                <c:pt idx="3">
                  <c:v>12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600-47C5-BFD5-A729DFC93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1611501"/>
        <c:axId val="1038603680"/>
      </c:barChart>
      <c:catAx>
        <c:axId val="78161150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038603680"/>
        <c:crosses val="autoZero"/>
        <c:auto val="1"/>
        <c:lblAlgn val="ctr"/>
        <c:lblOffset val="100"/>
        <c:noMultiLvlLbl val="1"/>
      </c:catAx>
      <c:valAx>
        <c:axId val="103860368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1611501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8394265016297139E-2"/>
          <c:y val="0.2265325167687372"/>
          <c:w val="0.84271998629729838"/>
          <c:h val="0.52043679725219538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Spring2024POST!$G$74:$G$77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Spring2024POST!$H$74:$H$77</c:f>
              <c:numCache>
                <c:formatCode>General</c:formatCode>
                <c:ptCount val="4"/>
                <c:pt idx="0">
                  <c:v>35</c:v>
                </c:pt>
                <c:pt idx="1">
                  <c:v>30</c:v>
                </c:pt>
                <c:pt idx="2">
                  <c:v>24</c:v>
                </c:pt>
                <c:pt idx="3">
                  <c:v>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6DF-40E1-8EFB-CE0BF900F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8490151"/>
        <c:axId val="411842075"/>
      </c:barChart>
      <c:catAx>
        <c:axId val="131849015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11842075"/>
        <c:crosses val="autoZero"/>
        <c:auto val="1"/>
        <c:lblAlgn val="ctr"/>
        <c:lblOffset val="100"/>
        <c:noMultiLvlLbl val="1"/>
      </c:catAx>
      <c:valAx>
        <c:axId val="41184207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1849015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0836418960105997E-2"/>
          <c:y val="0.20462759520329421"/>
          <c:w val="0.84057672253540272"/>
          <c:h val="0.54969682681880339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Spring2024POST!$G$83:$G$86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Spring2024POST!$H$83:$H$86</c:f>
              <c:numCache>
                <c:formatCode>0.00</c:formatCode>
                <c:ptCount val="4"/>
                <c:pt idx="0">
                  <c:v>1.2916666666666667</c:v>
                </c:pt>
                <c:pt idx="1">
                  <c:v>1.2</c:v>
                </c:pt>
                <c:pt idx="2">
                  <c:v>0.8</c:v>
                </c:pt>
                <c:pt idx="3">
                  <c:v>0.7142857142857143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FC2-44C8-8220-4EE0ED899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930827"/>
        <c:axId val="691157178"/>
      </c:barChart>
      <c:catAx>
        <c:axId val="18193082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91157178"/>
        <c:crosses val="autoZero"/>
        <c:auto val="1"/>
        <c:lblAlgn val="ctr"/>
        <c:lblOffset val="100"/>
        <c:noMultiLvlLbl val="1"/>
      </c:catAx>
      <c:valAx>
        <c:axId val="69115717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1930827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7584226152058867E-2"/>
          <c:y val="0.1596703330371641"/>
          <c:w val="0.88186007486769069"/>
          <c:h val="0.6550768508022100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Spring2024POST!$Q$23:$Q$34</c:f>
              <c:strCache>
                <c:ptCount val="12"/>
                <c:pt idx="0">
                  <c:v>Sam</c:v>
                </c:pt>
                <c:pt idx="1">
                  <c:v>Carter</c:v>
                </c:pt>
                <c:pt idx="2">
                  <c:v>Peter</c:v>
                </c:pt>
                <c:pt idx="3">
                  <c:v>Erick</c:v>
                </c:pt>
                <c:pt idx="4">
                  <c:v>Anthony</c:v>
                </c:pt>
                <c:pt idx="5">
                  <c:v>David</c:v>
                </c:pt>
                <c:pt idx="6">
                  <c:v>Tyler</c:v>
                </c:pt>
                <c:pt idx="7">
                  <c:v>Jon</c:v>
                </c:pt>
                <c:pt idx="8">
                  <c:v>Grady</c:v>
                </c:pt>
                <c:pt idx="9">
                  <c:v>Cooper</c:v>
                </c:pt>
                <c:pt idx="10">
                  <c:v>Maxine</c:v>
                </c:pt>
                <c:pt idx="11">
                  <c:v>Seth</c:v>
                </c:pt>
              </c:strCache>
            </c:strRef>
          </c:cat>
          <c:val>
            <c:numRef>
              <c:f>Spring2024POST!$R$23:$R$34</c:f>
              <c:numCache>
                <c:formatCode>General</c:formatCode>
                <c:ptCount val="12"/>
                <c:pt idx="0">
                  <c:v>38</c:v>
                </c:pt>
                <c:pt idx="1">
                  <c:v>27</c:v>
                </c:pt>
                <c:pt idx="2">
                  <c:v>26</c:v>
                </c:pt>
                <c:pt idx="3">
                  <c:v>14</c:v>
                </c:pt>
                <c:pt idx="4">
                  <c:v>12</c:v>
                </c:pt>
                <c:pt idx="5">
                  <c:v>11</c:v>
                </c:pt>
                <c:pt idx="6">
                  <c:v>9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487-41AE-8743-A0E0DDE0E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1181450"/>
        <c:axId val="1458830965"/>
      </c:barChart>
      <c:catAx>
        <c:axId val="100118145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458830965"/>
        <c:crosses val="autoZero"/>
        <c:auto val="1"/>
        <c:lblAlgn val="ctr"/>
        <c:lblOffset val="100"/>
        <c:noMultiLvlLbl val="1"/>
      </c:catAx>
      <c:valAx>
        <c:axId val="145883096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01181450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1496599734849096E-2"/>
          <c:y val="0.161205721377851"/>
          <c:w val="0.87794792522100384"/>
          <c:h val="0.65425949663268834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Spring2024POST!$Q$37:$Q$48</c:f>
              <c:strCache>
                <c:ptCount val="12"/>
                <c:pt idx="0">
                  <c:v>Carter</c:v>
                </c:pt>
                <c:pt idx="1">
                  <c:v>Erick</c:v>
                </c:pt>
                <c:pt idx="2">
                  <c:v>Tyler</c:v>
                </c:pt>
                <c:pt idx="3">
                  <c:v>Sam</c:v>
                </c:pt>
                <c:pt idx="4">
                  <c:v>Seth</c:v>
                </c:pt>
                <c:pt idx="5">
                  <c:v>Grady</c:v>
                </c:pt>
                <c:pt idx="6">
                  <c:v>Peter</c:v>
                </c:pt>
                <c:pt idx="7">
                  <c:v>David</c:v>
                </c:pt>
                <c:pt idx="8">
                  <c:v>Anthony</c:v>
                </c:pt>
                <c:pt idx="9">
                  <c:v>Cooper</c:v>
                </c:pt>
                <c:pt idx="10">
                  <c:v>Maxine</c:v>
                </c:pt>
                <c:pt idx="11">
                  <c:v>Jon</c:v>
                </c:pt>
              </c:strCache>
            </c:strRef>
          </c:cat>
          <c:val>
            <c:numRef>
              <c:f>Spring2024POST!$R$37:$R$48</c:f>
              <c:numCache>
                <c:formatCode>General</c:formatCode>
                <c:ptCount val="12"/>
                <c:pt idx="0">
                  <c:v>30</c:v>
                </c:pt>
                <c:pt idx="1">
                  <c:v>23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3</c:v>
                </c:pt>
                <c:pt idx="11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B07-454A-8679-FA3B87AA1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9712848"/>
        <c:axId val="911002101"/>
      </c:barChart>
      <c:catAx>
        <c:axId val="78971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11002101"/>
        <c:crosses val="autoZero"/>
        <c:auto val="1"/>
        <c:lblAlgn val="ctr"/>
        <c:lblOffset val="100"/>
        <c:noMultiLvlLbl val="1"/>
      </c:catAx>
      <c:valAx>
        <c:axId val="91100210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971284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85542790757713"/>
          <c:y val="0.15720062335957999"/>
          <c:w val="0.86089002194397835"/>
          <c:h val="0.6568229166666667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Spring2024POST!$Q$51:$Q$62</c:f>
              <c:strCache>
                <c:ptCount val="12"/>
                <c:pt idx="0">
                  <c:v>Jon</c:v>
                </c:pt>
                <c:pt idx="1">
                  <c:v>Sam</c:v>
                </c:pt>
                <c:pt idx="2">
                  <c:v>Peter</c:v>
                </c:pt>
                <c:pt idx="3">
                  <c:v>Maxine</c:v>
                </c:pt>
                <c:pt idx="4">
                  <c:v>Anthony</c:v>
                </c:pt>
                <c:pt idx="5">
                  <c:v>David</c:v>
                </c:pt>
                <c:pt idx="6">
                  <c:v>Carter</c:v>
                </c:pt>
                <c:pt idx="7">
                  <c:v>Erick</c:v>
                </c:pt>
                <c:pt idx="8">
                  <c:v>Tyler</c:v>
                </c:pt>
                <c:pt idx="9">
                  <c:v>Cooper</c:v>
                </c:pt>
                <c:pt idx="10">
                  <c:v>Grady</c:v>
                </c:pt>
                <c:pt idx="11">
                  <c:v>Seth</c:v>
                </c:pt>
              </c:strCache>
            </c:strRef>
          </c:cat>
          <c:val>
            <c:numRef>
              <c:f>Spring2024POST!$R$51:$R$62</c:f>
              <c:numCache>
                <c:formatCode>0.00</c:formatCode>
                <c:ptCount val="12"/>
                <c:pt idx="0">
                  <c:v>4</c:v>
                </c:pt>
                <c:pt idx="1">
                  <c:v>2.5333333333333332</c:v>
                </c:pt>
                <c:pt idx="2">
                  <c:v>2.1666666666666665</c:v>
                </c:pt>
                <c:pt idx="3">
                  <c:v>1.3333333333333333</c:v>
                </c:pt>
                <c:pt idx="4">
                  <c:v>1.2</c:v>
                </c:pt>
                <c:pt idx="5">
                  <c:v>1</c:v>
                </c:pt>
                <c:pt idx="6">
                  <c:v>0.9</c:v>
                </c:pt>
                <c:pt idx="7">
                  <c:v>0.60869565217391308</c:v>
                </c:pt>
                <c:pt idx="8">
                  <c:v>0.5625</c:v>
                </c:pt>
                <c:pt idx="9">
                  <c:v>0.44444444444444442</c:v>
                </c:pt>
                <c:pt idx="10">
                  <c:v>0.38461538461538464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885-48C6-A4FB-7DEF899C8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9301651"/>
        <c:axId val="1407753772"/>
      </c:barChart>
      <c:catAx>
        <c:axId val="18493016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7753772"/>
        <c:crosses val="autoZero"/>
        <c:auto val="1"/>
        <c:lblAlgn val="ctr"/>
        <c:lblOffset val="100"/>
        <c:noMultiLvlLbl val="1"/>
      </c:catAx>
      <c:valAx>
        <c:axId val="14077537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4930165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01736155931328"/>
          <c:y val="0.20571319494154139"/>
          <c:w val="0.83902478378727241"/>
          <c:h val="0.54622126779607094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Spring2024POST!$Q$65:$Q$68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Spring2024POST!$R$65:$R$68</c:f>
              <c:numCache>
                <c:formatCode>General</c:formatCode>
                <c:ptCount val="4"/>
                <c:pt idx="0">
                  <c:v>59</c:v>
                </c:pt>
                <c:pt idx="1">
                  <c:v>48</c:v>
                </c:pt>
                <c:pt idx="2">
                  <c:v>32</c:v>
                </c:pt>
                <c:pt idx="3">
                  <c:v>19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F7A-402A-AA4E-49CB9A4CE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4818553"/>
        <c:axId val="478555970"/>
      </c:barChart>
      <c:catAx>
        <c:axId val="112481855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478555970"/>
        <c:crosses val="autoZero"/>
        <c:auto val="1"/>
        <c:lblAlgn val="ctr"/>
        <c:lblOffset val="100"/>
        <c:noMultiLvlLbl val="1"/>
      </c:catAx>
      <c:valAx>
        <c:axId val="47855597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24818553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7410575218138812E-2"/>
          <c:y val="0.21569741282339711"/>
          <c:w val="0.84172592388990386"/>
          <c:h val="0.53826521684789397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Spring2024POST!$Q$74:$Q$77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Spring2024POST!$R$74:$R$77</c:f>
              <c:numCache>
                <c:formatCode>General</c:formatCode>
                <c:ptCount val="4"/>
                <c:pt idx="0">
                  <c:v>57</c:v>
                </c:pt>
                <c:pt idx="1">
                  <c:v>41</c:v>
                </c:pt>
                <c:pt idx="2">
                  <c:v>37</c:v>
                </c:pt>
                <c:pt idx="3">
                  <c:v>23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4F4-4AFA-B6EF-9FF10AF3B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9001776"/>
        <c:axId val="10927423"/>
      </c:barChart>
      <c:catAx>
        <c:axId val="161900177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927423"/>
        <c:crosses val="autoZero"/>
        <c:auto val="1"/>
        <c:lblAlgn val="ctr"/>
        <c:lblOffset val="100"/>
        <c:noMultiLvlLbl val="1"/>
      </c:catAx>
      <c:valAx>
        <c:axId val="10927423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19001776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218188383536247"/>
          <c:y val="0.20773528308961381"/>
          <c:w val="0.83736670493190402"/>
          <c:h val="0.60178290213723296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Spring2024POST!$Q$83:$Q$86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Spring2024POST!$R$83:$R$86</c:f>
              <c:numCache>
                <c:formatCode>0.00</c:formatCode>
                <c:ptCount val="4"/>
                <c:pt idx="0">
                  <c:v>1.4390243902439024</c:v>
                </c:pt>
                <c:pt idx="1">
                  <c:v>1.2972972972972974</c:v>
                </c:pt>
                <c:pt idx="2">
                  <c:v>0.82608695652173914</c:v>
                </c:pt>
                <c:pt idx="3">
                  <c:v>0.56140350877192979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3C2-4AEF-9BA2-955BA8168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7781003"/>
        <c:axId val="981564354"/>
      </c:barChart>
      <c:catAx>
        <c:axId val="175778100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81564354"/>
        <c:crosses val="autoZero"/>
        <c:auto val="1"/>
        <c:lblAlgn val="ctr"/>
        <c:lblOffset val="100"/>
        <c:noMultiLvlLbl val="1"/>
      </c:catAx>
      <c:valAx>
        <c:axId val="98156435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5778100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Winner Chart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2747170470569157E-2"/>
          <c:y val="0.1480299290946841"/>
          <c:w val="0.89457454109836909"/>
          <c:h val="0.73526039095859286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Spring2024POST!$AE$33:$AE$44</c:f>
              <c:strCache>
                <c:ptCount val="12"/>
                <c:pt idx="0">
                  <c:v>Sam</c:v>
                </c:pt>
                <c:pt idx="1">
                  <c:v>Peter</c:v>
                </c:pt>
                <c:pt idx="2">
                  <c:v>Carter</c:v>
                </c:pt>
                <c:pt idx="3">
                  <c:v>Jon</c:v>
                </c:pt>
                <c:pt idx="4">
                  <c:v>Anthony</c:v>
                </c:pt>
                <c:pt idx="5">
                  <c:v>David</c:v>
                </c:pt>
                <c:pt idx="6">
                  <c:v>Erick</c:v>
                </c:pt>
                <c:pt idx="7">
                  <c:v>Maxine</c:v>
                </c:pt>
                <c:pt idx="8">
                  <c:v>Tyler</c:v>
                </c:pt>
                <c:pt idx="9">
                  <c:v>Cooper</c:v>
                </c:pt>
                <c:pt idx="10">
                  <c:v>Grady</c:v>
                </c:pt>
                <c:pt idx="11">
                  <c:v>Seth</c:v>
                </c:pt>
              </c:strCache>
            </c:strRef>
          </c:cat>
          <c:val>
            <c:numRef>
              <c:f>Spring2024POST!$AG$33:$AG$44</c:f>
              <c:numCache>
                <c:formatCode>0.00</c:formatCode>
                <c:ptCount val="12"/>
                <c:pt idx="0">
                  <c:v>778.24592074592078</c:v>
                </c:pt>
                <c:pt idx="1">
                  <c:v>652.62863933452172</c:v>
                </c:pt>
                <c:pt idx="2">
                  <c:v>498.80086580086584</c:v>
                </c:pt>
                <c:pt idx="3">
                  <c:v>471.27272727272725</c:v>
                </c:pt>
                <c:pt idx="4">
                  <c:v>374.5454545454545</c:v>
                </c:pt>
                <c:pt idx="5">
                  <c:v>327.75811688311688</c:v>
                </c:pt>
                <c:pt idx="6">
                  <c:v>266.08102766798419</c:v>
                </c:pt>
                <c:pt idx="7">
                  <c:v>265.0151515151515</c:v>
                </c:pt>
                <c:pt idx="8">
                  <c:v>248.10795454545453</c:v>
                </c:pt>
                <c:pt idx="9">
                  <c:v>189.05050505050505</c:v>
                </c:pt>
                <c:pt idx="10">
                  <c:v>158.2019647019647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7C4-4FA4-8565-A04ADDA23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4440362"/>
        <c:axId val="314861850"/>
      </c:barChart>
      <c:catAx>
        <c:axId val="16744403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14861850"/>
        <c:crosses val="autoZero"/>
        <c:auto val="1"/>
        <c:lblAlgn val="ctr"/>
        <c:lblOffset val="100"/>
        <c:noMultiLvlLbl val="1"/>
      </c:catAx>
      <c:valAx>
        <c:axId val="3148618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7444036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Winner Chart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6432141484044599E-2"/>
          <c:y val="8.9128624382449853E-2"/>
          <c:w val="0.9471357170319108"/>
          <c:h val="0.8257024672313613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Spring2024POST!$AE$60:$AE$65</c:f>
              <c:strCache>
                <c:ptCount val="6"/>
                <c:pt idx="0">
                  <c:v>Baris</c:v>
                </c:pt>
                <c:pt idx="1">
                  <c:v>Basses</c:v>
                </c:pt>
                <c:pt idx="2">
                  <c:v>Leads</c:v>
                </c:pt>
                <c:pt idx="3">
                  <c:v>Tenors</c:v>
                </c:pt>
                <c:pt idx="4">
                  <c:v>Carter</c:v>
                </c:pt>
                <c:pt idx="5">
                  <c:v>Seth + Grady</c:v>
                </c:pt>
              </c:strCache>
            </c:strRef>
          </c:cat>
          <c:val>
            <c:numRef>
              <c:f>Spring2024POST!$AG$60:$AG$65</c:f>
              <c:numCache>
                <c:formatCode>0.00</c:formatCode>
                <c:ptCount val="6"/>
                <c:pt idx="0">
                  <c:v>877.67263495312272</c:v>
                </c:pt>
                <c:pt idx="1">
                  <c:v>758.11108845383046</c:v>
                </c:pt>
                <c:pt idx="2">
                  <c:v>378.90475466562418</c:v>
                </c:pt>
                <c:pt idx="3">
                  <c:v>361.17338275759323</c:v>
                </c:pt>
                <c:pt idx="4">
                  <c:v>355.33591408591406</c:v>
                </c:pt>
                <c:pt idx="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036-4DAA-AD46-94FDA219D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228332"/>
        <c:axId val="1909995552"/>
      </c:barChart>
      <c:catAx>
        <c:axId val="3572283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09995552"/>
        <c:crosses val="autoZero"/>
        <c:auto val="1"/>
        <c:lblAlgn val="ctr"/>
        <c:lblOffset val="100"/>
        <c:noMultiLvlLbl val="1"/>
      </c:catAx>
      <c:valAx>
        <c:axId val="190999555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5722833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5937615236112014E-2"/>
          <c:y val="0.15128524597075971"/>
          <c:w val="0.87993709464002945"/>
          <c:h val="0.6575100401606425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Spring2024!$F$37:$F$48</c:f>
              <c:strCache>
                <c:ptCount val="12"/>
                <c:pt idx="0">
                  <c:v>Sam</c:v>
                </c:pt>
                <c:pt idx="1">
                  <c:v>Carter</c:v>
                </c:pt>
                <c:pt idx="2">
                  <c:v>David</c:v>
                </c:pt>
                <c:pt idx="3">
                  <c:v>Jon</c:v>
                </c:pt>
                <c:pt idx="4">
                  <c:v>Erick</c:v>
                </c:pt>
                <c:pt idx="5">
                  <c:v>Maxine</c:v>
                </c:pt>
                <c:pt idx="6">
                  <c:v>Peter</c:v>
                </c:pt>
                <c:pt idx="7">
                  <c:v>Grady</c:v>
                </c:pt>
                <c:pt idx="8">
                  <c:v>Cooper</c:v>
                </c:pt>
                <c:pt idx="9">
                  <c:v>Anthony</c:v>
                </c:pt>
                <c:pt idx="10">
                  <c:v>Tyler</c:v>
                </c:pt>
                <c:pt idx="11">
                  <c:v>Seth</c:v>
                </c:pt>
              </c:strCache>
            </c:strRef>
          </c:cat>
          <c:val>
            <c:numRef>
              <c:f>Spring2024!$G$37:$G$48</c:f>
              <c:numCache>
                <c:formatCode>General</c:formatCode>
                <c:ptCount val="12"/>
                <c:pt idx="0">
                  <c:v>24</c:v>
                </c:pt>
                <c:pt idx="1">
                  <c:v>24</c:v>
                </c:pt>
                <c:pt idx="2">
                  <c:v>23</c:v>
                </c:pt>
                <c:pt idx="3">
                  <c:v>15</c:v>
                </c:pt>
                <c:pt idx="4">
                  <c:v>14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324-4785-845E-8F046CE1E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8730694"/>
        <c:axId val="260356949"/>
      </c:barChart>
      <c:catAx>
        <c:axId val="166873069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60356949"/>
        <c:crosses val="autoZero"/>
        <c:auto val="1"/>
        <c:lblAlgn val="ctr"/>
        <c:lblOffset val="100"/>
        <c:noMultiLvlLbl val="1"/>
      </c:catAx>
      <c:valAx>
        <c:axId val="26035694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6873069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51603450816049"/>
          <c:y val="0.1429875613374415"/>
          <c:w val="0.8488132226714904"/>
          <c:h val="0.6446385110952039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Spring2024!$F$51:$F$62</c:f>
              <c:strCache>
                <c:ptCount val="12"/>
                <c:pt idx="0">
                  <c:v>Peter</c:v>
                </c:pt>
                <c:pt idx="1">
                  <c:v>Maxine</c:v>
                </c:pt>
                <c:pt idx="2">
                  <c:v>David</c:v>
                </c:pt>
                <c:pt idx="3">
                  <c:v>Sam</c:v>
                </c:pt>
                <c:pt idx="4">
                  <c:v>Jon</c:v>
                </c:pt>
                <c:pt idx="5">
                  <c:v>Erick</c:v>
                </c:pt>
                <c:pt idx="6">
                  <c:v>Carter</c:v>
                </c:pt>
                <c:pt idx="7">
                  <c:v>Anthony</c:v>
                </c:pt>
                <c:pt idx="8">
                  <c:v>Cooper</c:v>
                </c:pt>
                <c:pt idx="9">
                  <c:v>Seth</c:v>
                </c:pt>
                <c:pt idx="10">
                  <c:v>Tyler</c:v>
                </c:pt>
                <c:pt idx="11">
                  <c:v>Grady</c:v>
                </c:pt>
              </c:strCache>
            </c:strRef>
          </c:cat>
          <c:val>
            <c:numRef>
              <c:f>Spring2024!$G$51:$G$62</c:f>
              <c:numCache>
                <c:formatCode>0.00</c:formatCode>
                <c:ptCount val="12"/>
                <c:pt idx="0">
                  <c:v>2.2222222222222223</c:v>
                </c:pt>
                <c:pt idx="1">
                  <c:v>2.1818181818181817</c:v>
                </c:pt>
                <c:pt idx="2">
                  <c:v>1.3478260869565217</c:v>
                </c:pt>
                <c:pt idx="3">
                  <c:v>1.2916666666666667</c:v>
                </c:pt>
                <c:pt idx="4">
                  <c:v>0.8666666666666667</c:v>
                </c:pt>
                <c:pt idx="5">
                  <c:v>0.8571428571428571</c:v>
                </c:pt>
                <c:pt idx="6">
                  <c:v>0.75</c:v>
                </c:pt>
                <c:pt idx="7">
                  <c:v>0.5714285714285714</c:v>
                </c:pt>
                <c:pt idx="8">
                  <c:v>0.25</c:v>
                </c:pt>
                <c:pt idx="9">
                  <c:v>0.16666666666666666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DA0-4FBC-8A9F-6894113CD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518877"/>
        <c:axId val="1355400282"/>
      </c:barChart>
      <c:catAx>
        <c:axId val="14425188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55400282"/>
        <c:crosses val="autoZero"/>
        <c:auto val="1"/>
        <c:lblAlgn val="ctr"/>
        <c:lblOffset val="100"/>
        <c:noMultiLvlLbl val="1"/>
      </c:catAx>
      <c:valAx>
        <c:axId val="135540028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4251887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Kills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1449172785986"/>
          <c:y val="0.1594596508769737"/>
          <c:w val="0.86305629773806369"/>
          <c:h val="0.65161188184810237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Spring2024!$P$23:$P$34</c:f>
              <c:strCache>
                <c:ptCount val="12"/>
                <c:pt idx="0">
                  <c:v>Sam</c:v>
                </c:pt>
                <c:pt idx="1">
                  <c:v>David</c:v>
                </c:pt>
                <c:pt idx="2">
                  <c:v>Maxine</c:v>
                </c:pt>
                <c:pt idx="3">
                  <c:v>Peter</c:v>
                </c:pt>
                <c:pt idx="4">
                  <c:v>Carter</c:v>
                </c:pt>
                <c:pt idx="5">
                  <c:v>Jon</c:v>
                </c:pt>
                <c:pt idx="6">
                  <c:v>Erick</c:v>
                </c:pt>
                <c:pt idx="7">
                  <c:v>Anthony</c:v>
                </c:pt>
                <c:pt idx="8">
                  <c:v>Cooper</c:v>
                </c:pt>
                <c:pt idx="9">
                  <c:v>Tyler</c:v>
                </c:pt>
                <c:pt idx="10">
                  <c:v>Seth</c:v>
                </c:pt>
                <c:pt idx="11">
                  <c:v>Grady</c:v>
                </c:pt>
              </c:strCache>
            </c:strRef>
          </c:cat>
          <c:val>
            <c:numRef>
              <c:f>Spring2024!$Q$23:$Q$34</c:f>
              <c:numCache>
                <c:formatCode>General</c:formatCode>
                <c:ptCount val="12"/>
                <c:pt idx="0">
                  <c:v>47</c:v>
                </c:pt>
                <c:pt idx="1">
                  <c:v>43</c:v>
                </c:pt>
                <c:pt idx="2">
                  <c:v>0</c:v>
                </c:pt>
                <c:pt idx="3">
                  <c:v>28</c:v>
                </c:pt>
                <c:pt idx="4">
                  <c:v>26</c:v>
                </c:pt>
                <c:pt idx="5">
                  <c:v>20</c:v>
                </c:pt>
                <c:pt idx="6">
                  <c:v>17</c:v>
                </c:pt>
                <c:pt idx="7">
                  <c:v>6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CFD-4CDD-A029-19396F097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5726472"/>
        <c:axId val="1828685681"/>
      </c:barChart>
      <c:catAx>
        <c:axId val="1385726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28685681"/>
        <c:crosses val="autoZero"/>
        <c:auto val="1"/>
        <c:lblAlgn val="ctr"/>
        <c:lblOffset val="100"/>
        <c:noMultiLvlLbl val="1"/>
      </c:catAx>
      <c:valAx>
        <c:axId val="182868568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8572647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501041629886"/>
          <c:y val="0.1648674592966716"/>
          <c:w val="0.85053140778927294"/>
          <c:h val="0.6151591011282953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Spring2024!$P$37:$P$48</c:f>
              <c:strCache>
                <c:ptCount val="12"/>
                <c:pt idx="0">
                  <c:v>Carter</c:v>
                </c:pt>
                <c:pt idx="1">
                  <c:v>Sam</c:v>
                </c:pt>
                <c:pt idx="2">
                  <c:v>David</c:v>
                </c:pt>
                <c:pt idx="3">
                  <c:v>Jon</c:v>
                </c:pt>
                <c:pt idx="4">
                  <c:v>Erick</c:v>
                </c:pt>
                <c:pt idx="5">
                  <c:v>Grady</c:v>
                </c:pt>
                <c:pt idx="6">
                  <c:v>Maxine</c:v>
                </c:pt>
                <c:pt idx="7">
                  <c:v>Tyler</c:v>
                </c:pt>
                <c:pt idx="8">
                  <c:v>Peter</c:v>
                </c:pt>
                <c:pt idx="9">
                  <c:v>Anthony</c:v>
                </c:pt>
                <c:pt idx="10">
                  <c:v>Seth</c:v>
                </c:pt>
                <c:pt idx="11">
                  <c:v>Cooper</c:v>
                </c:pt>
              </c:strCache>
            </c:strRef>
          </c:cat>
          <c:val>
            <c:numRef>
              <c:f>Spring2024!$Q$37:$Q$48</c:f>
              <c:numCache>
                <c:formatCode>General</c:formatCode>
                <c:ptCount val="12"/>
                <c:pt idx="0">
                  <c:v>36</c:v>
                </c:pt>
                <c:pt idx="1">
                  <c:v>20</c:v>
                </c:pt>
                <c:pt idx="2">
                  <c:v>30</c:v>
                </c:pt>
                <c:pt idx="3">
                  <c:v>19</c:v>
                </c:pt>
                <c:pt idx="4">
                  <c:v>21</c:v>
                </c:pt>
                <c:pt idx="5">
                  <c:v>13</c:v>
                </c:pt>
                <c:pt idx="6">
                  <c:v>0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12</c:v>
                </c:pt>
                <c:pt idx="11">
                  <c:v>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4BB-484F-BD33-D2FD896AB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160766"/>
        <c:axId val="493431017"/>
      </c:barChart>
      <c:catAx>
        <c:axId val="21121607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93431017"/>
        <c:crosses val="autoZero"/>
        <c:auto val="1"/>
        <c:lblAlgn val="ctr"/>
        <c:lblOffset val="100"/>
        <c:noMultiLvlLbl val="1"/>
      </c:catAx>
      <c:valAx>
        <c:axId val="49343101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1216076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2071666988174359"/>
          <c:y val="0.16461112321434129"/>
          <c:w val="0.84112819973227182"/>
          <c:h val="0.64720716234581355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Spring2024!$P$51:$P$62</c:f>
              <c:strCache>
                <c:ptCount val="12"/>
                <c:pt idx="0">
                  <c:v>Maxine</c:v>
                </c:pt>
                <c:pt idx="1">
                  <c:v>Peter</c:v>
                </c:pt>
                <c:pt idx="2">
                  <c:v>Sam</c:v>
                </c:pt>
                <c:pt idx="3">
                  <c:v>David</c:v>
                </c:pt>
                <c:pt idx="4">
                  <c:v>Jon</c:v>
                </c:pt>
                <c:pt idx="5">
                  <c:v>Erick</c:v>
                </c:pt>
                <c:pt idx="6">
                  <c:v>Carter</c:v>
                </c:pt>
                <c:pt idx="7">
                  <c:v>Anthony</c:v>
                </c:pt>
                <c:pt idx="8">
                  <c:v>Cooper</c:v>
                </c:pt>
                <c:pt idx="9">
                  <c:v>Seth</c:v>
                </c:pt>
                <c:pt idx="10">
                  <c:v>Tyler</c:v>
                </c:pt>
                <c:pt idx="11">
                  <c:v>Grady</c:v>
                </c:pt>
              </c:strCache>
            </c:strRef>
          </c:cat>
          <c:val>
            <c:numRef>
              <c:f>Spring2024!$Q$51:$Q$62</c:f>
              <c:numCache>
                <c:formatCode>0.00</c:formatCode>
                <c:ptCount val="12"/>
                <c:pt idx="0">
                  <c:v>0</c:v>
                </c:pt>
                <c:pt idx="1">
                  <c:v>2.5454545454545454</c:v>
                </c:pt>
                <c:pt idx="2">
                  <c:v>2.35</c:v>
                </c:pt>
                <c:pt idx="3">
                  <c:v>1.4333333333333333</c:v>
                </c:pt>
                <c:pt idx="4">
                  <c:v>1.0526315789473684</c:v>
                </c:pt>
                <c:pt idx="5">
                  <c:v>0.80952380952380953</c:v>
                </c:pt>
                <c:pt idx="6">
                  <c:v>0.72222222222222221</c:v>
                </c:pt>
                <c:pt idx="7">
                  <c:v>0.5</c:v>
                </c:pt>
                <c:pt idx="8">
                  <c:v>0.3</c:v>
                </c:pt>
                <c:pt idx="9">
                  <c:v>0.16666666666666666</c:v>
                </c:pt>
                <c:pt idx="10">
                  <c:v>0.2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D86-4A92-8769-EEDC3461F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474245"/>
        <c:axId val="1474049648"/>
      </c:barChart>
      <c:catAx>
        <c:axId val="5204742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74049648"/>
        <c:crosses val="autoZero"/>
        <c:auto val="1"/>
        <c:lblAlgn val="ctr"/>
        <c:lblOffset val="100"/>
        <c:noMultiLvlLbl val="1"/>
      </c:catAx>
      <c:valAx>
        <c:axId val="1474049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2047424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710308248890926"/>
          <c:y val="0.29436507936507939"/>
          <c:w val="0.78442309056482284"/>
          <c:h val="0.47412635920509938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Spring2024!$F$65:$F$68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Spring2024!$G$65:$G$68</c:f>
              <c:numCache>
                <c:formatCode>General</c:formatCode>
                <c:ptCount val="4"/>
                <c:pt idx="0">
                  <c:v>19</c:v>
                </c:pt>
                <c:pt idx="1">
                  <c:v>36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106-4FC8-AE3F-DB111B8C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5039993"/>
        <c:axId val="505203246"/>
      </c:barChart>
      <c:catAx>
        <c:axId val="140503999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05203246"/>
        <c:crosses val="autoZero"/>
        <c:auto val="1"/>
        <c:lblAlgn val="ctr"/>
        <c:lblOffset val="100"/>
        <c:noMultiLvlLbl val="1"/>
      </c:catAx>
      <c:valAx>
        <c:axId val="5052032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503999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8362907761529809"/>
          <c:y val="0.17428007889546351"/>
          <c:w val="0.76099901574803153"/>
          <c:h val="0.65080805727686397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Spring2024!$P$65:$P$68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Spring2024!$Q$65:$Q$68</c:f>
              <c:numCache>
                <c:formatCode>General</c:formatCode>
                <c:ptCount val="4"/>
                <c:pt idx="0">
                  <c:v>28</c:v>
                </c:pt>
                <c:pt idx="1">
                  <c:v>55</c:v>
                </c:pt>
                <c:pt idx="2">
                  <c:v>65</c:v>
                </c:pt>
                <c:pt idx="3">
                  <c:v>46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F7B-44D0-BE9C-C290526F2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4645754"/>
        <c:axId val="2048760177"/>
      </c:barChart>
      <c:catAx>
        <c:axId val="203464575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48760177"/>
        <c:crosses val="autoZero"/>
        <c:auto val="1"/>
        <c:lblAlgn val="ctr"/>
        <c:lblOffset val="100"/>
        <c:noMultiLvlLbl val="1"/>
      </c:catAx>
      <c:valAx>
        <c:axId val="20487601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34645754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7138713910761161"/>
          <c:y val="0.22293650793650799"/>
          <c:w val="0.78397397200349961"/>
          <c:h val="0.61698350206224217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Spring2024!$F$74:$F$77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Spring2024!$G$74:$G$77</c:f>
              <c:numCache>
                <c:formatCode>General</c:formatCode>
                <c:ptCount val="4"/>
                <c:pt idx="0">
                  <c:v>38</c:v>
                </c:pt>
                <c:pt idx="1">
                  <c:v>38</c:v>
                </c:pt>
                <c:pt idx="2">
                  <c:v>39</c:v>
                </c:pt>
                <c:pt idx="3">
                  <c:v>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812-4B44-A88B-B06009468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6578192"/>
        <c:axId val="399535262"/>
      </c:barChart>
      <c:catAx>
        <c:axId val="190657819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99535262"/>
        <c:crosses val="autoZero"/>
        <c:auto val="1"/>
        <c:lblAlgn val="ctr"/>
        <c:lblOffset val="100"/>
        <c:noMultiLvlLbl val="1"/>
      </c:catAx>
      <c:valAx>
        <c:axId val="3995352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06578192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8281294838145229"/>
          <c:y val="0.19119047619047619"/>
          <c:w val="0.76957223680373288"/>
          <c:h val="0.58523747031621043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Spring2024!$P$74:$P$77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Baris</c:v>
                </c:pt>
                <c:pt idx="3">
                  <c:v>Tenors</c:v>
                </c:pt>
              </c:strCache>
            </c:strRef>
          </c:cat>
          <c:val>
            <c:numRef>
              <c:f>Spring2024!$Q$74:$Q$77</c:f>
              <c:numCache>
                <c:formatCode>General</c:formatCode>
                <c:ptCount val="4"/>
                <c:pt idx="0">
                  <c:v>51</c:v>
                </c:pt>
                <c:pt idx="1">
                  <c:v>40</c:v>
                </c:pt>
                <c:pt idx="2">
                  <c:v>42</c:v>
                </c:pt>
                <c:pt idx="3">
                  <c:v>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F67-40F5-B2D6-8BE0A317B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1871679"/>
        <c:axId val="103719042"/>
      </c:barChart>
      <c:catAx>
        <c:axId val="129187167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3719042"/>
        <c:crosses val="autoZero"/>
        <c:auto val="1"/>
        <c:lblAlgn val="ctr"/>
        <c:lblOffset val="100"/>
        <c:noMultiLvlLbl val="1"/>
      </c:catAx>
      <c:valAx>
        <c:axId val="1037190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91871679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7138713910761161"/>
          <c:y val="0.20706349206349209"/>
          <c:w val="0.77331430446194227"/>
          <c:h val="0.63448381452318459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Spring2024!$F$83:$F$86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Spring2024!$G$83:$G$86</c:f>
              <c:numCache>
                <c:formatCode>0.00</c:formatCode>
                <c:ptCount val="4"/>
                <c:pt idx="0">
                  <c:v>0.48717948717948717</c:v>
                </c:pt>
                <c:pt idx="1">
                  <c:v>0.94736842105263153</c:v>
                </c:pt>
                <c:pt idx="2">
                  <c:v>1.1842105263157894</c:v>
                </c:pt>
                <c:pt idx="3">
                  <c:v>1.3571428571428572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482-4CBB-86DC-653BC452F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7930050"/>
        <c:axId val="1329770612"/>
      </c:barChart>
      <c:catAx>
        <c:axId val="189793005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29770612"/>
        <c:crosses val="autoZero"/>
        <c:auto val="1"/>
        <c:lblAlgn val="ctr"/>
        <c:lblOffset val="100"/>
        <c:noMultiLvlLbl val="1"/>
      </c:catAx>
      <c:valAx>
        <c:axId val="13297706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9793005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8403988092092519"/>
          <c:y val="0.20830339321357291"/>
          <c:w val="0.75657911888530716"/>
          <c:h val="0.60670595816241535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Spring2024!$P$83:$P$86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Spring2024!$Q$83:$Q$86</c:f>
              <c:numCache>
                <c:formatCode>0.00</c:formatCode>
                <c:ptCount val="4"/>
                <c:pt idx="0">
                  <c:v>0.45901639344262296</c:v>
                </c:pt>
                <c:pt idx="1">
                  <c:v>1.3095238095238095</c:v>
                </c:pt>
                <c:pt idx="2">
                  <c:v>1.2745098039215685</c:v>
                </c:pt>
                <c:pt idx="3">
                  <c:v>1.1499999999999999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9CD-4A8F-A14F-3F0F13CFC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2590772"/>
        <c:axId val="612095483"/>
      </c:barChart>
      <c:catAx>
        <c:axId val="213259077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12095483"/>
        <c:crosses val="autoZero"/>
        <c:auto val="1"/>
        <c:lblAlgn val="ctr"/>
        <c:lblOffset val="100"/>
        <c:noMultiLvlLbl val="1"/>
      </c:catAx>
      <c:valAx>
        <c:axId val="6120954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32590772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Winner Chart (adjusted scores)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Spring2024!$AD$33:$AD$44</c:f>
              <c:strCache>
                <c:ptCount val="12"/>
                <c:pt idx="0">
                  <c:v>Maxine</c:v>
                </c:pt>
                <c:pt idx="1">
                  <c:v>Peter</c:v>
                </c:pt>
                <c:pt idx="2">
                  <c:v>Sam</c:v>
                </c:pt>
                <c:pt idx="3">
                  <c:v>David</c:v>
                </c:pt>
                <c:pt idx="4">
                  <c:v>Jon</c:v>
                </c:pt>
                <c:pt idx="5">
                  <c:v>Erick</c:v>
                </c:pt>
                <c:pt idx="6">
                  <c:v>Anthony</c:v>
                </c:pt>
                <c:pt idx="7">
                  <c:v>Carter</c:v>
                </c:pt>
                <c:pt idx="8">
                  <c:v>Cooper</c:v>
                </c:pt>
                <c:pt idx="9">
                  <c:v>Seth</c:v>
                </c:pt>
                <c:pt idx="10">
                  <c:v>Tyler</c:v>
                </c:pt>
                <c:pt idx="11">
                  <c:v>Grady</c:v>
                </c:pt>
              </c:strCache>
            </c:strRef>
          </c:cat>
          <c:val>
            <c:numRef>
              <c:f>Spring2024!$AF$33:$AF$44</c:f>
              <c:numCache>
                <c:formatCode>0.00</c:formatCode>
                <c:ptCount val="12"/>
                <c:pt idx="0">
                  <c:v>341.54433221099885</c:v>
                </c:pt>
                <c:pt idx="1">
                  <c:v>547.30078563411894</c:v>
                </c:pt>
                <c:pt idx="2">
                  <c:v>616.62919155714849</c:v>
                </c:pt>
                <c:pt idx="3">
                  <c:v>492.59571277682539</c:v>
                </c:pt>
                <c:pt idx="4">
                  <c:v>275.62991952816515</c:v>
                </c:pt>
                <c:pt idx="5">
                  <c:v>223.09038800705468</c:v>
                </c:pt>
                <c:pt idx="6">
                  <c:v>158.05731922398587</c:v>
                </c:pt>
                <c:pt idx="7">
                  <c:v>179.37037037037035</c:v>
                </c:pt>
                <c:pt idx="8">
                  <c:v>122.80493827160493</c:v>
                </c:pt>
                <c:pt idx="9">
                  <c:v>98.827160493827137</c:v>
                </c:pt>
                <c:pt idx="10">
                  <c:v>117.9763668430335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6B3-451F-8072-625484D02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6722011"/>
        <c:axId val="419861358"/>
      </c:barChart>
      <c:catAx>
        <c:axId val="18567220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19861358"/>
        <c:crosses val="autoZero"/>
        <c:auto val="1"/>
        <c:lblAlgn val="ctr"/>
        <c:lblOffset val="100"/>
        <c:noMultiLvlLbl val="1"/>
      </c:catAx>
      <c:valAx>
        <c:axId val="41986135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5672201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Winner Chart (adjusted scores)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Spring2024!$AD$59:$AD$62</c:f>
              <c:strCache>
                <c:ptCount val="4"/>
                <c:pt idx="0">
                  <c:v>Leads</c:v>
                </c:pt>
                <c:pt idx="1">
                  <c:v>Basses</c:v>
                </c:pt>
                <c:pt idx="2">
                  <c:v>Baris</c:v>
                </c:pt>
                <c:pt idx="3">
                  <c:v>Tenors</c:v>
                </c:pt>
              </c:strCache>
            </c:strRef>
          </c:cat>
          <c:val>
            <c:numRef>
              <c:f>Spring2024!$AF$59:$AF$62</c:f>
              <c:numCache>
                <c:formatCode>0.00</c:formatCode>
                <c:ptCount val="4"/>
                <c:pt idx="0">
                  <c:v>584.05532002909058</c:v>
                </c:pt>
                <c:pt idx="1">
                  <c:v>602.7872664528843</c:v>
                </c:pt>
                <c:pt idx="2">
                  <c:v>515.00723221696762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720-469E-9C0D-5F54F0BD1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0908081"/>
        <c:axId val="633082334"/>
      </c:barChart>
      <c:catAx>
        <c:axId val="206090808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33082334"/>
        <c:crosses val="autoZero"/>
        <c:auto val="1"/>
        <c:lblAlgn val="ctr"/>
        <c:lblOffset val="100"/>
        <c:noMultiLvlLbl val="1"/>
      </c:catAx>
      <c:valAx>
        <c:axId val="63308233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6090808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4623274177968111E-2"/>
          <c:y val="0.17386880856760381"/>
          <c:w val="0.88529277122191441"/>
          <c:h val="0.5860671030579008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Spring2024!$F$23:$F$34</c:f>
              <c:strCache>
                <c:ptCount val="12"/>
                <c:pt idx="0">
                  <c:v>David</c:v>
                </c:pt>
                <c:pt idx="1">
                  <c:v>Sam</c:v>
                </c:pt>
                <c:pt idx="2">
                  <c:v>Maxine</c:v>
                </c:pt>
                <c:pt idx="3">
                  <c:v>Peter</c:v>
                </c:pt>
                <c:pt idx="4">
                  <c:v>Carter</c:v>
                </c:pt>
                <c:pt idx="5">
                  <c:v>Jon</c:v>
                </c:pt>
                <c:pt idx="6">
                  <c:v>Erick</c:v>
                </c:pt>
                <c:pt idx="7">
                  <c:v>Anthony</c:v>
                </c:pt>
                <c:pt idx="8">
                  <c:v>Cooper</c:v>
                </c:pt>
                <c:pt idx="9">
                  <c:v>Tyler</c:v>
                </c:pt>
                <c:pt idx="10">
                  <c:v>Seth</c:v>
                </c:pt>
                <c:pt idx="11">
                  <c:v>Grady</c:v>
                </c:pt>
              </c:strCache>
            </c:strRef>
          </c:cat>
          <c:val>
            <c:numRef>
              <c:f>Spring2024!$G$23:$G$34</c:f>
              <c:numCache>
                <c:formatCode>General</c:formatCode>
                <c:ptCount val="12"/>
                <c:pt idx="0">
                  <c:v>31</c:v>
                </c:pt>
                <c:pt idx="1">
                  <c:v>31</c:v>
                </c:pt>
                <c:pt idx="2">
                  <c:v>24</c:v>
                </c:pt>
                <c:pt idx="3">
                  <c:v>20</c:v>
                </c:pt>
                <c:pt idx="4">
                  <c:v>18</c:v>
                </c:pt>
                <c:pt idx="5">
                  <c:v>13</c:v>
                </c:pt>
                <c:pt idx="6">
                  <c:v>12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4C4-40A5-B704-2D198352E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5934528"/>
        <c:axId val="1302103434"/>
      </c:barChart>
      <c:catAx>
        <c:axId val="775934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02103434"/>
        <c:crosses val="autoZero"/>
        <c:auto val="1"/>
        <c:lblAlgn val="ctr"/>
        <c:lblOffset val="100"/>
        <c:noMultiLvlLbl val="1"/>
      </c:catAx>
      <c:valAx>
        <c:axId val="130210343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7593452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Best Overall Placing (lower is better)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Best Place: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OVERALL!$P$2:$P$22</c:f>
              <c:strCache>
                <c:ptCount val="21"/>
                <c:pt idx="0">
                  <c:v>David</c:v>
                </c:pt>
                <c:pt idx="1">
                  <c:v>Ethan</c:v>
                </c:pt>
                <c:pt idx="2">
                  <c:v>Maxine</c:v>
                </c:pt>
                <c:pt idx="3">
                  <c:v>Sam</c:v>
                </c:pt>
                <c:pt idx="4">
                  <c:v>Peter</c:v>
                </c:pt>
                <c:pt idx="5">
                  <c:v>Anthony</c:v>
                </c:pt>
                <c:pt idx="6">
                  <c:v>Carter</c:v>
                </c:pt>
                <c:pt idx="7">
                  <c:v>Grady</c:v>
                </c:pt>
                <c:pt idx="8">
                  <c:v>Joey</c:v>
                </c:pt>
                <c:pt idx="9">
                  <c:v>Jon</c:v>
                </c:pt>
                <c:pt idx="10">
                  <c:v>Mikey</c:v>
                </c:pt>
                <c:pt idx="11">
                  <c:v>Erick</c:v>
                </c:pt>
                <c:pt idx="12">
                  <c:v>Evan</c:v>
                </c:pt>
                <c:pt idx="13">
                  <c:v>Tyler</c:v>
                </c:pt>
                <c:pt idx="14">
                  <c:v>Will</c:v>
                </c:pt>
                <c:pt idx="15">
                  <c:v>Cooper</c:v>
                </c:pt>
                <c:pt idx="16">
                  <c:v>Lucy</c:v>
                </c:pt>
                <c:pt idx="17">
                  <c:v>Vignesh</c:v>
                </c:pt>
                <c:pt idx="18">
                  <c:v>Reuben</c:v>
                </c:pt>
                <c:pt idx="19">
                  <c:v>Seth</c:v>
                </c:pt>
                <c:pt idx="20">
                  <c:v>Rob</c:v>
                </c:pt>
              </c:strCache>
            </c:strRef>
          </c:cat>
          <c:val>
            <c:numRef>
              <c:f>OVERALL!$Q$2:$Q$22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7</c:v>
                </c:pt>
                <c:pt idx="16">
                  <c:v>3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DD2-4B5E-87F9-2798DABBD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8230125"/>
        <c:axId val="903127276"/>
      </c:barChart>
      <c:catAx>
        <c:axId val="8882301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903127276"/>
        <c:crosses val="autoZero"/>
        <c:auto val="1"/>
        <c:lblAlgn val="ctr"/>
        <c:lblOffset val="100"/>
        <c:noMultiLvlLbl val="1"/>
      </c:catAx>
      <c:valAx>
        <c:axId val="9031272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88230125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Average Overall Placing (lower is better)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Average:</c:v>
          </c:tx>
          <c:spPr>
            <a:solidFill>
              <a:srgbClr val="156082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OVERALL!$AA$2:$AA$22</c:f>
              <c:strCache>
                <c:ptCount val="21"/>
                <c:pt idx="0">
                  <c:v>Ethan</c:v>
                </c:pt>
                <c:pt idx="1">
                  <c:v>Sam</c:v>
                </c:pt>
                <c:pt idx="2">
                  <c:v>Peter</c:v>
                </c:pt>
                <c:pt idx="3">
                  <c:v>David</c:v>
                </c:pt>
                <c:pt idx="4">
                  <c:v>Maxine</c:v>
                </c:pt>
                <c:pt idx="5">
                  <c:v>Anthony</c:v>
                </c:pt>
                <c:pt idx="6">
                  <c:v>Mikey</c:v>
                </c:pt>
                <c:pt idx="7">
                  <c:v>Carter</c:v>
                </c:pt>
                <c:pt idx="8">
                  <c:v>Jon</c:v>
                </c:pt>
                <c:pt idx="9">
                  <c:v>Will</c:v>
                </c:pt>
                <c:pt idx="10">
                  <c:v>Lucy</c:v>
                </c:pt>
                <c:pt idx="11">
                  <c:v>Joey</c:v>
                </c:pt>
                <c:pt idx="12">
                  <c:v>Erick</c:v>
                </c:pt>
                <c:pt idx="13">
                  <c:v>Vignesh</c:v>
                </c:pt>
                <c:pt idx="14">
                  <c:v>Tyler</c:v>
                </c:pt>
                <c:pt idx="15">
                  <c:v>Evan</c:v>
                </c:pt>
                <c:pt idx="16">
                  <c:v>Grady</c:v>
                </c:pt>
                <c:pt idx="17">
                  <c:v>Cooper</c:v>
                </c:pt>
                <c:pt idx="18">
                  <c:v>Seth</c:v>
                </c:pt>
                <c:pt idx="19">
                  <c:v>Reuben</c:v>
                </c:pt>
                <c:pt idx="20">
                  <c:v>Rob</c:v>
                </c:pt>
              </c:strCache>
            </c:strRef>
          </c:cat>
          <c:val>
            <c:numRef>
              <c:f>OVERALL!$AB$2:$AB$22</c:f>
              <c:numCache>
                <c:formatCode>0.00</c:formatCode>
                <c:ptCount val="21"/>
                <c:pt idx="0">
                  <c:v>1.5</c:v>
                </c:pt>
                <c:pt idx="1">
                  <c:v>2</c:v>
                </c:pt>
                <c:pt idx="2">
                  <c:v>3.8333333333333335</c:v>
                </c:pt>
                <c:pt idx="3">
                  <c:v>3.2</c:v>
                </c:pt>
                <c:pt idx="4">
                  <c:v>4.1428571428571432</c:v>
                </c:pt>
                <c:pt idx="5">
                  <c:v>5.2</c:v>
                </c:pt>
                <c:pt idx="6">
                  <c:v>2</c:v>
                </c:pt>
                <c:pt idx="7">
                  <c:v>6.5714285714285712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8.3333333333333339</c:v>
                </c:pt>
                <c:pt idx="12">
                  <c:v>8.1428571428571423</c:v>
                </c:pt>
                <c:pt idx="13">
                  <c:v>10</c:v>
                </c:pt>
                <c:pt idx="14">
                  <c:v>8.6</c:v>
                </c:pt>
                <c:pt idx="15">
                  <c:v>8.25</c:v>
                </c:pt>
                <c:pt idx="16">
                  <c:v>10</c:v>
                </c:pt>
                <c:pt idx="17">
                  <c:v>9.8571428571428577</c:v>
                </c:pt>
                <c:pt idx="18">
                  <c:v>11</c:v>
                </c:pt>
                <c:pt idx="19">
                  <c:v>12.75</c:v>
                </c:pt>
                <c:pt idx="20">
                  <c:v>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AFF-4479-ABD0-9313288D9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874869"/>
        <c:axId val="337203047"/>
      </c:barChart>
      <c:catAx>
        <c:axId val="18168748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337203047"/>
        <c:crosses val="autoZero"/>
        <c:auto val="1"/>
        <c:lblAlgn val="ctr"/>
        <c:lblOffset val="100"/>
        <c:noMultiLvlLbl val="1"/>
      </c:catAx>
      <c:valAx>
        <c:axId val="3372030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816874869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4.xml"/><Relationship Id="rId13" Type="http://schemas.openxmlformats.org/officeDocument/2006/relationships/chart" Target="../charts/chart69.xml"/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12" Type="http://schemas.openxmlformats.org/officeDocument/2006/relationships/chart" Target="../charts/chart68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11" Type="http://schemas.openxmlformats.org/officeDocument/2006/relationships/chart" Target="../charts/chart67.xml"/><Relationship Id="rId5" Type="http://schemas.openxmlformats.org/officeDocument/2006/relationships/chart" Target="../charts/chart61.xml"/><Relationship Id="rId10" Type="http://schemas.openxmlformats.org/officeDocument/2006/relationships/chart" Target="../charts/chart66.xml"/><Relationship Id="rId4" Type="http://schemas.openxmlformats.org/officeDocument/2006/relationships/chart" Target="../charts/chart60.xml"/><Relationship Id="rId9" Type="http://schemas.openxmlformats.org/officeDocument/2006/relationships/chart" Target="../charts/chart65.xml"/><Relationship Id="rId14" Type="http://schemas.openxmlformats.org/officeDocument/2006/relationships/chart" Target="../charts/chart7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8.xml"/><Relationship Id="rId13" Type="http://schemas.openxmlformats.org/officeDocument/2006/relationships/chart" Target="../charts/chart83.xml"/><Relationship Id="rId3" Type="http://schemas.openxmlformats.org/officeDocument/2006/relationships/chart" Target="../charts/chart73.xml"/><Relationship Id="rId7" Type="http://schemas.openxmlformats.org/officeDocument/2006/relationships/chart" Target="../charts/chart77.xml"/><Relationship Id="rId12" Type="http://schemas.openxmlformats.org/officeDocument/2006/relationships/chart" Target="../charts/chart82.xml"/><Relationship Id="rId2" Type="http://schemas.openxmlformats.org/officeDocument/2006/relationships/chart" Target="../charts/chart72.xml"/><Relationship Id="rId1" Type="http://schemas.openxmlformats.org/officeDocument/2006/relationships/chart" Target="../charts/chart71.xml"/><Relationship Id="rId6" Type="http://schemas.openxmlformats.org/officeDocument/2006/relationships/chart" Target="../charts/chart76.xml"/><Relationship Id="rId11" Type="http://schemas.openxmlformats.org/officeDocument/2006/relationships/chart" Target="../charts/chart81.xml"/><Relationship Id="rId5" Type="http://schemas.openxmlformats.org/officeDocument/2006/relationships/chart" Target="../charts/chart75.xml"/><Relationship Id="rId10" Type="http://schemas.openxmlformats.org/officeDocument/2006/relationships/chart" Target="../charts/chart80.xml"/><Relationship Id="rId4" Type="http://schemas.openxmlformats.org/officeDocument/2006/relationships/chart" Target="../charts/chart74.xml"/><Relationship Id="rId9" Type="http://schemas.openxmlformats.org/officeDocument/2006/relationships/chart" Target="../charts/chart79.xml"/><Relationship Id="rId14" Type="http://schemas.openxmlformats.org/officeDocument/2006/relationships/chart" Target="../charts/chart84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2.xml"/><Relationship Id="rId13" Type="http://schemas.openxmlformats.org/officeDocument/2006/relationships/chart" Target="../charts/chart97.xml"/><Relationship Id="rId3" Type="http://schemas.openxmlformats.org/officeDocument/2006/relationships/chart" Target="../charts/chart87.xml"/><Relationship Id="rId7" Type="http://schemas.openxmlformats.org/officeDocument/2006/relationships/chart" Target="../charts/chart91.xml"/><Relationship Id="rId12" Type="http://schemas.openxmlformats.org/officeDocument/2006/relationships/chart" Target="../charts/chart96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6" Type="http://schemas.openxmlformats.org/officeDocument/2006/relationships/chart" Target="../charts/chart90.xml"/><Relationship Id="rId11" Type="http://schemas.openxmlformats.org/officeDocument/2006/relationships/chart" Target="../charts/chart95.xml"/><Relationship Id="rId5" Type="http://schemas.openxmlformats.org/officeDocument/2006/relationships/chart" Target="../charts/chart89.xml"/><Relationship Id="rId10" Type="http://schemas.openxmlformats.org/officeDocument/2006/relationships/chart" Target="../charts/chart94.xml"/><Relationship Id="rId4" Type="http://schemas.openxmlformats.org/officeDocument/2006/relationships/chart" Target="../charts/chart88.xml"/><Relationship Id="rId9" Type="http://schemas.openxmlformats.org/officeDocument/2006/relationships/chart" Target="../charts/chart93.xml"/><Relationship Id="rId14" Type="http://schemas.openxmlformats.org/officeDocument/2006/relationships/chart" Target="../charts/chart98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6.xml"/><Relationship Id="rId13" Type="http://schemas.openxmlformats.org/officeDocument/2006/relationships/chart" Target="../charts/chart111.xml"/><Relationship Id="rId3" Type="http://schemas.openxmlformats.org/officeDocument/2006/relationships/chart" Target="../charts/chart101.xml"/><Relationship Id="rId7" Type="http://schemas.openxmlformats.org/officeDocument/2006/relationships/chart" Target="../charts/chart105.xml"/><Relationship Id="rId12" Type="http://schemas.openxmlformats.org/officeDocument/2006/relationships/chart" Target="../charts/chart110.xml"/><Relationship Id="rId2" Type="http://schemas.openxmlformats.org/officeDocument/2006/relationships/chart" Target="../charts/chart100.xml"/><Relationship Id="rId1" Type="http://schemas.openxmlformats.org/officeDocument/2006/relationships/chart" Target="../charts/chart99.xml"/><Relationship Id="rId6" Type="http://schemas.openxmlformats.org/officeDocument/2006/relationships/chart" Target="../charts/chart104.xml"/><Relationship Id="rId11" Type="http://schemas.openxmlformats.org/officeDocument/2006/relationships/chart" Target="../charts/chart109.xml"/><Relationship Id="rId5" Type="http://schemas.openxmlformats.org/officeDocument/2006/relationships/chart" Target="../charts/chart103.xml"/><Relationship Id="rId10" Type="http://schemas.openxmlformats.org/officeDocument/2006/relationships/chart" Target="../charts/chart108.xml"/><Relationship Id="rId4" Type="http://schemas.openxmlformats.org/officeDocument/2006/relationships/chart" Target="../charts/chart102.xml"/><Relationship Id="rId9" Type="http://schemas.openxmlformats.org/officeDocument/2006/relationships/chart" Target="../charts/chart107.xml"/><Relationship Id="rId14" Type="http://schemas.openxmlformats.org/officeDocument/2006/relationships/chart" Target="../charts/chart11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4.xml"/><Relationship Id="rId1" Type="http://schemas.openxmlformats.org/officeDocument/2006/relationships/chart" Target="../charts/chart11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97972</xdr:colOff>
      <xdr:row>27</xdr:row>
      <xdr:rowOff>51708</xdr:rowOff>
    </xdr:from>
    <xdr:ext cx="5114925" cy="29622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18</xdr:col>
      <xdr:colOff>161925</xdr:colOff>
      <xdr:row>27</xdr:row>
      <xdr:rowOff>28575</xdr:rowOff>
    </xdr:from>
    <xdr:ext cx="5400675" cy="29337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247650</xdr:colOff>
      <xdr:row>45</xdr:row>
      <xdr:rowOff>57150</xdr:rowOff>
    </xdr:from>
    <xdr:ext cx="4972050" cy="28956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104775</xdr:colOff>
      <xdr:row>45</xdr:row>
      <xdr:rowOff>19050</xdr:rowOff>
    </xdr:from>
    <xdr:ext cx="5438775" cy="29718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238125</xdr:colOff>
      <xdr:row>63</xdr:row>
      <xdr:rowOff>57150</xdr:rowOff>
    </xdr:from>
    <xdr:ext cx="5000625" cy="291465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63</xdr:row>
      <xdr:rowOff>57150</xdr:rowOff>
    </xdr:from>
    <xdr:ext cx="5438775" cy="295275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8</xdr:col>
      <xdr:colOff>209550</xdr:colOff>
      <xdr:row>80</xdr:row>
      <xdr:rowOff>114300</xdr:rowOff>
    </xdr:from>
    <xdr:ext cx="4972050" cy="189547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80</xdr:row>
      <xdr:rowOff>104775</xdr:rowOff>
    </xdr:from>
    <xdr:ext cx="5467350" cy="201930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238125</xdr:colOff>
      <xdr:row>91</xdr:row>
      <xdr:rowOff>114300</xdr:rowOff>
    </xdr:from>
    <xdr:ext cx="4972050" cy="202882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92</xdr:row>
      <xdr:rowOff>9525</xdr:rowOff>
    </xdr:from>
    <xdr:ext cx="5467350" cy="195262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257175</xdr:colOff>
      <xdr:row>103</xdr:row>
      <xdr:rowOff>95250</xdr:rowOff>
    </xdr:from>
    <xdr:ext cx="4972050" cy="1990725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152400</xdr:colOff>
      <xdr:row>103</xdr:row>
      <xdr:rowOff>66675</xdr:rowOff>
    </xdr:from>
    <xdr:ext cx="5410200" cy="1990725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42</xdr:col>
      <xdr:colOff>123825</xdr:colOff>
      <xdr:row>34</xdr:row>
      <xdr:rowOff>38100</xdr:rowOff>
    </xdr:from>
    <xdr:ext cx="6334125" cy="3571875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42</xdr:col>
      <xdr:colOff>85725</xdr:colOff>
      <xdr:row>63</xdr:row>
      <xdr:rowOff>133350</xdr:rowOff>
    </xdr:from>
    <xdr:ext cx="5610225" cy="3228975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97972</xdr:colOff>
      <xdr:row>27</xdr:row>
      <xdr:rowOff>51708</xdr:rowOff>
    </xdr:from>
    <xdr:ext cx="5114925" cy="29622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18</xdr:col>
      <xdr:colOff>161925</xdr:colOff>
      <xdr:row>27</xdr:row>
      <xdr:rowOff>28575</xdr:rowOff>
    </xdr:from>
    <xdr:ext cx="5400675" cy="29337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247650</xdr:colOff>
      <xdr:row>45</xdr:row>
      <xdr:rowOff>57150</xdr:rowOff>
    </xdr:from>
    <xdr:ext cx="4972050" cy="28956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104775</xdr:colOff>
      <xdr:row>45</xdr:row>
      <xdr:rowOff>19050</xdr:rowOff>
    </xdr:from>
    <xdr:ext cx="5438775" cy="29718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238125</xdr:colOff>
      <xdr:row>63</xdr:row>
      <xdr:rowOff>57150</xdr:rowOff>
    </xdr:from>
    <xdr:ext cx="5000625" cy="291465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63</xdr:row>
      <xdr:rowOff>57150</xdr:rowOff>
    </xdr:from>
    <xdr:ext cx="5438775" cy="295275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8</xdr:col>
      <xdr:colOff>209550</xdr:colOff>
      <xdr:row>80</xdr:row>
      <xdr:rowOff>114300</xdr:rowOff>
    </xdr:from>
    <xdr:ext cx="4972050" cy="189547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80</xdr:row>
      <xdr:rowOff>104775</xdr:rowOff>
    </xdr:from>
    <xdr:ext cx="5467350" cy="201930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238125</xdr:colOff>
      <xdr:row>91</xdr:row>
      <xdr:rowOff>114300</xdr:rowOff>
    </xdr:from>
    <xdr:ext cx="4972050" cy="202882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92</xdr:row>
      <xdr:rowOff>9525</xdr:rowOff>
    </xdr:from>
    <xdr:ext cx="5467350" cy="195262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257175</xdr:colOff>
      <xdr:row>103</xdr:row>
      <xdr:rowOff>95250</xdr:rowOff>
    </xdr:from>
    <xdr:ext cx="4972050" cy="1990725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152400</xdr:colOff>
      <xdr:row>103</xdr:row>
      <xdr:rowOff>66675</xdr:rowOff>
    </xdr:from>
    <xdr:ext cx="5410200" cy="1990725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42</xdr:col>
      <xdr:colOff>123825</xdr:colOff>
      <xdr:row>34</xdr:row>
      <xdr:rowOff>38100</xdr:rowOff>
    </xdr:from>
    <xdr:ext cx="6334125" cy="3571875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42</xdr:col>
      <xdr:colOff>85725</xdr:colOff>
      <xdr:row>63</xdr:row>
      <xdr:rowOff>133350</xdr:rowOff>
    </xdr:from>
    <xdr:ext cx="5610225" cy="3228975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24</xdr:row>
      <xdr:rowOff>38100</xdr:rowOff>
    </xdr:from>
    <xdr:ext cx="4933950" cy="26098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18</xdr:col>
      <xdr:colOff>161925</xdr:colOff>
      <xdr:row>24</xdr:row>
      <xdr:rowOff>28575</xdr:rowOff>
    </xdr:from>
    <xdr:ext cx="5133975" cy="26098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247650</xdr:colOff>
      <xdr:row>40</xdr:row>
      <xdr:rowOff>57150</xdr:rowOff>
    </xdr:from>
    <xdr:ext cx="4933950" cy="25908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104775</xdr:colOff>
      <xdr:row>40</xdr:row>
      <xdr:rowOff>19050</xdr:rowOff>
    </xdr:from>
    <xdr:ext cx="5133975" cy="25908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238125</xdr:colOff>
      <xdr:row>56</xdr:row>
      <xdr:rowOff>57150</xdr:rowOff>
    </xdr:from>
    <xdr:ext cx="4933950" cy="260985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56</xdr:row>
      <xdr:rowOff>57150</xdr:rowOff>
    </xdr:from>
    <xdr:ext cx="5133975" cy="260985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8</xdr:col>
      <xdr:colOff>209550</xdr:colOff>
      <xdr:row>71</xdr:row>
      <xdr:rowOff>114300</xdr:rowOff>
    </xdr:from>
    <xdr:ext cx="4933950" cy="189547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71</xdr:row>
      <xdr:rowOff>104775</xdr:rowOff>
    </xdr:from>
    <xdr:ext cx="5133975" cy="201930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238125</xdr:colOff>
      <xdr:row>82</xdr:row>
      <xdr:rowOff>114300</xdr:rowOff>
    </xdr:from>
    <xdr:ext cx="4933950" cy="202882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83</xdr:row>
      <xdr:rowOff>9525</xdr:rowOff>
    </xdr:from>
    <xdr:ext cx="5133975" cy="195262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257175</xdr:colOff>
      <xdr:row>94</xdr:row>
      <xdr:rowOff>95250</xdr:rowOff>
    </xdr:from>
    <xdr:ext cx="4933950" cy="1990725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152400</xdr:colOff>
      <xdr:row>94</xdr:row>
      <xdr:rowOff>66675</xdr:rowOff>
    </xdr:from>
    <xdr:ext cx="5133975" cy="1990725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37</xdr:col>
      <xdr:colOff>123825</xdr:colOff>
      <xdr:row>29</xdr:row>
      <xdr:rowOff>38100</xdr:rowOff>
    </xdr:from>
    <xdr:ext cx="5619750" cy="3257550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37</xdr:col>
      <xdr:colOff>85725</xdr:colOff>
      <xdr:row>58</xdr:row>
      <xdr:rowOff>133350</xdr:rowOff>
    </xdr:from>
    <xdr:ext cx="5543550" cy="3228975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24</xdr:row>
      <xdr:rowOff>38100</xdr:rowOff>
    </xdr:from>
    <xdr:ext cx="4714875" cy="26098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18</xdr:col>
      <xdr:colOff>161925</xdr:colOff>
      <xdr:row>24</xdr:row>
      <xdr:rowOff>28575</xdr:rowOff>
    </xdr:from>
    <xdr:ext cx="4838700" cy="26098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247650</xdr:colOff>
      <xdr:row>40</xdr:row>
      <xdr:rowOff>57150</xdr:rowOff>
    </xdr:from>
    <xdr:ext cx="4714875" cy="25908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104775</xdr:colOff>
      <xdr:row>40</xdr:row>
      <xdr:rowOff>19050</xdr:rowOff>
    </xdr:from>
    <xdr:ext cx="4838700" cy="25908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238125</xdr:colOff>
      <xdr:row>56</xdr:row>
      <xdr:rowOff>57150</xdr:rowOff>
    </xdr:from>
    <xdr:ext cx="4714875" cy="260985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56</xdr:row>
      <xdr:rowOff>57150</xdr:rowOff>
    </xdr:from>
    <xdr:ext cx="4838700" cy="260985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8</xdr:col>
      <xdr:colOff>209550</xdr:colOff>
      <xdr:row>71</xdr:row>
      <xdr:rowOff>114300</xdr:rowOff>
    </xdr:from>
    <xdr:ext cx="4714875" cy="189547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71</xdr:row>
      <xdr:rowOff>104775</xdr:rowOff>
    </xdr:from>
    <xdr:ext cx="4838700" cy="201930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238125</xdr:colOff>
      <xdr:row>82</xdr:row>
      <xdr:rowOff>114300</xdr:rowOff>
    </xdr:from>
    <xdr:ext cx="4714875" cy="202882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83</xdr:row>
      <xdr:rowOff>9525</xdr:rowOff>
    </xdr:from>
    <xdr:ext cx="4838700" cy="195262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257175</xdr:colOff>
      <xdr:row>94</xdr:row>
      <xdr:rowOff>95250</xdr:rowOff>
    </xdr:from>
    <xdr:ext cx="4714875" cy="1990725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152400</xdr:colOff>
      <xdr:row>94</xdr:row>
      <xdr:rowOff>66675</xdr:rowOff>
    </xdr:from>
    <xdr:ext cx="4838700" cy="1990725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37</xdr:col>
      <xdr:colOff>123825</xdr:colOff>
      <xdr:row>29</xdr:row>
      <xdr:rowOff>38100</xdr:rowOff>
    </xdr:from>
    <xdr:ext cx="5562600" cy="3257550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37</xdr:col>
      <xdr:colOff>85725</xdr:colOff>
      <xdr:row>58</xdr:row>
      <xdr:rowOff>133350</xdr:rowOff>
    </xdr:from>
    <xdr:ext cx="5486400" cy="3228975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37</xdr:col>
      <xdr:colOff>76200</xdr:colOff>
      <xdr:row>30</xdr:row>
      <xdr:rowOff>95250</xdr:rowOff>
    </xdr:from>
    <xdr:ext cx="5753100" cy="3238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37</xdr:col>
      <xdr:colOff>142875</xdr:colOff>
      <xdr:row>59</xdr:row>
      <xdr:rowOff>47625</xdr:rowOff>
    </xdr:from>
    <xdr:ext cx="5857875" cy="27813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85725</xdr:colOff>
      <xdr:row>24</xdr:row>
      <xdr:rowOff>19050</xdr:rowOff>
    </xdr:from>
    <xdr:ext cx="4991100" cy="273367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8</xdr:col>
      <xdr:colOff>76200</xdr:colOff>
      <xdr:row>40</xdr:row>
      <xdr:rowOff>28575</xdr:rowOff>
    </xdr:from>
    <xdr:ext cx="4991100" cy="273367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95250</xdr:colOff>
      <xdr:row>55</xdr:row>
      <xdr:rowOff>171450</xdr:rowOff>
    </xdr:from>
    <xdr:ext cx="4991100" cy="27432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24</xdr:row>
      <xdr:rowOff>9525</xdr:rowOff>
    </xdr:from>
    <xdr:ext cx="4962525" cy="2733675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18</xdr:col>
      <xdr:colOff>123825</xdr:colOff>
      <xdr:row>40</xdr:row>
      <xdr:rowOff>19050</xdr:rowOff>
    </xdr:from>
    <xdr:ext cx="4962525" cy="273367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95250</xdr:colOff>
      <xdr:row>56</xdr:row>
      <xdr:rowOff>38100</xdr:rowOff>
    </xdr:from>
    <xdr:ext cx="4962525" cy="2733675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114300</xdr:colOff>
      <xdr:row>72</xdr:row>
      <xdr:rowOff>38100</xdr:rowOff>
    </xdr:from>
    <xdr:ext cx="5000625" cy="181927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114300</xdr:colOff>
      <xdr:row>72</xdr:row>
      <xdr:rowOff>57150</xdr:rowOff>
    </xdr:from>
    <xdr:ext cx="4914900" cy="183832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133350</xdr:colOff>
      <xdr:row>83</xdr:row>
      <xdr:rowOff>19050</xdr:rowOff>
    </xdr:from>
    <xdr:ext cx="5010150" cy="1838325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104775</xdr:colOff>
      <xdr:row>83</xdr:row>
      <xdr:rowOff>47625</xdr:rowOff>
    </xdr:from>
    <xdr:ext cx="4972050" cy="1838325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8</xdr:col>
      <xdr:colOff>123825</xdr:colOff>
      <xdr:row>94</xdr:row>
      <xdr:rowOff>9525</xdr:rowOff>
    </xdr:from>
    <xdr:ext cx="5010150" cy="1838325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18</xdr:col>
      <xdr:colOff>104775</xdr:colOff>
      <xdr:row>94</xdr:row>
      <xdr:rowOff>9525</xdr:rowOff>
    </xdr:from>
    <xdr:ext cx="4972050" cy="1838325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35</xdr:row>
      <xdr:rowOff>0</xdr:rowOff>
    </xdr:from>
    <xdr:ext cx="4572000" cy="228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8</xdr:col>
      <xdr:colOff>180975</xdr:colOff>
      <xdr:row>48</xdr:row>
      <xdr:rowOff>123825</xdr:rowOff>
    </xdr:from>
    <xdr:ext cx="4572000" cy="2286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18</xdr:col>
      <xdr:colOff>57150</xdr:colOff>
      <xdr:row>21</xdr:row>
      <xdr:rowOff>38100</xdr:rowOff>
    </xdr:from>
    <xdr:ext cx="4572000" cy="2286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38100</xdr:colOff>
      <xdr:row>35</xdr:row>
      <xdr:rowOff>19050</xdr:rowOff>
    </xdr:from>
    <xdr:ext cx="4572000" cy="2286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18</xdr:col>
      <xdr:colOff>47625</xdr:colOff>
      <xdr:row>49</xdr:row>
      <xdr:rowOff>19050</xdr:rowOff>
    </xdr:from>
    <xdr:ext cx="4572000" cy="2286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8</xdr:col>
      <xdr:colOff>171450</xdr:colOff>
      <xdr:row>62</xdr:row>
      <xdr:rowOff>123825</xdr:rowOff>
    </xdr:from>
    <xdr:ext cx="4572000" cy="1552575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18</xdr:col>
      <xdr:colOff>57150</xdr:colOff>
      <xdr:row>63</xdr:row>
      <xdr:rowOff>0</xdr:rowOff>
    </xdr:from>
    <xdr:ext cx="4572000" cy="155257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8</xdr:col>
      <xdr:colOff>161925</xdr:colOff>
      <xdr:row>72</xdr:row>
      <xdr:rowOff>9525</xdr:rowOff>
    </xdr:from>
    <xdr:ext cx="4572000" cy="1552575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18</xdr:col>
      <xdr:colOff>47625</xdr:colOff>
      <xdr:row>72</xdr:row>
      <xdr:rowOff>38100</xdr:rowOff>
    </xdr:from>
    <xdr:ext cx="4572000" cy="155257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8</xdr:col>
      <xdr:colOff>161925</xdr:colOff>
      <xdr:row>81</xdr:row>
      <xdr:rowOff>19050</xdr:rowOff>
    </xdr:from>
    <xdr:ext cx="4572000" cy="155257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18</xdr:col>
      <xdr:colOff>57150</xdr:colOff>
      <xdr:row>81</xdr:row>
      <xdr:rowOff>95250</xdr:rowOff>
    </xdr:from>
    <xdr:ext cx="4572000" cy="1552575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34</xdr:col>
      <xdr:colOff>152400</xdr:colOff>
      <xdr:row>31</xdr:row>
      <xdr:rowOff>123825</xdr:rowOff>
    </xdr:from>
    <xdr:ext cx="5753100" cy="323850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34</xdr:col>
      <xdr:colOff>142875</xdr:colOff>
      <xdr:row>57</xdr:row>
      <xdr:rowOff>133350</xdr:rowOff>
    </xdr:from>
    <xdr:ext cx="5857875" cy="2781300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8</xdr:col>
      <xdr:colOff>161925</xdr:colOff>
      <xdr:row>21</xdr:row>
      <xdr:rowOff>38100</xdr:rowOff>
    </xdr:from>
    <xdr:ext cx="4581525" cy="2286000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104775</xdr:colOff>
      <xdr:row>21</xdr:row>
      <xdr:rowOff>19050</xdr:rowOff>
    </xdr:from>
    <xdr:ext cx="4953000" cy="24288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8</xdr:col>
      <xdr:colOff>114300</xdr:colOff>
      <xdr:row>35</xdr:row>
      <xdr:rowOff>0</xdr:rowOff>
    </xdr:from>
    <xdr:ext cx="4962525" cy="2447925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104775</xdr:colOff>
      <xdr:row>49</xdr:row>
      <xdr:rowOff>0</xdr:rowOff>
    </xdr:from>
    <xdr:ext cx="4953000" cy="246697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8</xdr:col>
      <xdr:colOff>104775</xdr:colOff>
      <xdr:row>63</xdr:row>
      <xdr:rowOff>28575</xdr:rowOff>
    </xdr:from>
    <xdr:ext cx="4962525" cy="157162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104775</xdr:colOff>
      <xdr:row>72</xdr:row>
      <xdr:rowOff>19050</xdr:rowOff>
    </xdr:from>
    <xdr:ext cx="4962525" cy="154305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8</xdr:col>
      <xdr:colOff>104775</xdr:colOff>
      <xdr:row>81</xdr:row>
      <xdr:rowOff>9525</xdr:rowOff>
    </xdr:from>
    <xdr:ext cx="4962525" cy="1590675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18</xdr:col>
      <xdr:colOff>95250</xdr:colOff>
      <xdr:row>21</xdr:row>
      <xdr:rowOff>19050</xdr:rowOff>
    </xdr:from>
    <xdr:ext cx="4648200" cy="244792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35</xdr:row>
      <xdr:rowOff>19050</xdr:rowOff>
    </xdr:from>
    <xdr:ext cx="4657725" cy="245745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18</xdr:col>
      <xdr:colOff>95250</xdr:colOff>
      <xdr:row>49</xdr:row>
      <xdr:rowOff>9525</xdr:rowOff>
    </xdr:from>
    <xdr:ext cx="4648200" cy="2438400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63</xdr:row>
      <xdr:rowOff>19050</xdr:rowOff>
    </xdr:from>
    <xdr:ext cx="4648200" cy="157162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18</xdr:col>
      <xdr:colOff>104775</xdr:colOff>
      <xdr:row>72</xdr:row>
      <xdr:rowOff>9525</xdr:rowOff>
    </xdr:from>
    <xdr:ext cx="4638675" cy="1600200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104775</xdr:colOff>
      <xdr:row>81</xdr:row>
      <xdr:rowOff>9525</xdr:rowOff>
    </xdr:from>
    <xdr:ext cx="4638675" cy="160020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33</xdr:col>
      <xdr:colOff>76200</xdr:colOff>
      <xdr:row>30</xdr:row>
      <xdr:rowOff>66675</xdr:rowOff>
    </xdr:from>
    <xdr:ext cx="6010275" cy="3190875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33</xdr:col>
      <xdr:colOff>38100</xdr:colOff>
      <xdr:row>58</xdr:row>
      <xdr:rowOff>19050</xdr:rowOff>
    </xdr:from>
    <xdr:ext cx="7762875" cy="3362325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152400</xdr:colOff>
      <xdr:row>34</xdr:row>
      <xdr:rowOff>161925</xdr:rowOff>
    </xdr:from>
    <xdr:ext cx="4610100" cy="23717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180975</xdr:colOff>
      <xdr:row>48</xdr:row>
      <xdr:rowOff>123825</xdr:rowOff>
    </xdr:from>
    <xdr:ext cx="4581525" cy="2409825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17</xdr:col>
      <xdr:colOff>57150</xdr:colOff>
      <xdr:row>21</xdr:row>
      <xdr:rowOff>38100</xdr:rowOff>
    </xdr:from>
    <xdr:ext cx="4238625" cy="24003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17</xdr:col>
      <xdr:colOff>57150</xdr:colOff>
      <xdr:row>35</xdr:row>
      <xdr:rowOff>19050</xdr:rowOff>
    </xdr:from>
    <xdr:ext cx="4248150" cy="239077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17</xdr:col>
      <xdr:colOff>47625</xdr:colOff>
      <xdr:row>49</xdr:row>
      <xdr:rowOff>19050</xdr:rowOff>
    </xdr:from>
    <xdr:ext cx="4276725" cy="2409825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7</xdr:col>
      <xdr:colOff>161925</xdr:colOff>
      <xdr:row>62</xdr:row>
      <xdr:rowOff>114300</xdr:rowOff>
    </xdr:from>
    <xdr:ext cx="4581525" cy="16002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17</xdr:col>
      <xdr:colOff>57150</xdr:colOff>
      <xdr:row>63</xdr:row>
      <xdr:rowOff>0</xdr:rowOff>
    </xdr:from>
    <xdr:ext cx="4267200" cy="160972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7</xdr:col>
      <xdr:colOff>152400</xdr:colOff>
      <xdr:row>72</xdr:row>
      <xdr:rowOff>0</xdr:rowOff>
    </xdr:from>
    <xdr:ext cx="4572000" cy="160020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17</xdr:col>
      <xdr:colOff>47625</xdr:colOff>
      <xdr:row>72</xdr:row>
      <xdr:rowOff>38100</xdr:rowOff>
    </xdr:from>
    <xdr:ext cx="4286250" cy="1600200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7</xdr:col>
      <xdr:colOff>152400</xdr:colOff>
      <xdr:row>81</xdr:row>
      <xdr:rowOff>19050</xdr:rowOff>
    </xdr:from>
    <xdr:ext cx="4572000" cy="1600200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17</xdr:col>
      <xdr:colOff>66675</xdr:colOff>
      <xdr:row>81</xdr:row>
      <xdr:rowOff>95250</xdr:rowOff>
    </xdr:from>
    <xdr:ext cx="4257675" cy="1590675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32</xdr:col>
      <xdr:colOff>152400</xdr:colOff>
      <xdr:row>30</xdr:row>
      <xdr:rowOff>123825</xdr:rowOff>
    </xdr:from>
    <xdr:ext cx="5638800" cy="323850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32</xdr:col>
      <xdr:colOff>142875</xdr:colOff>
      <xdr:row>56</xdr:row>
      <xdr:rowOff>133350</xdr:rowOff>
    </xdr:from>
    <xdr:ext cx="5743575" cy="2781300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7</xdr:col>
      <xdr:colOff>152400</xdr:colOff>
      <xdr:row>21</xdr:row>
      <xdr:rowOff>19050</xdr:rowOff>
    </xdr:from>
    <xdr:ext cx="4667250" cy="2371725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190500</xdr:colOff>
      <xdr:row>0</xdr:row>
      <xdr:rowOff>38100</xdr:rowOff>
    </xdr:from>
    <xdr:ext cx="6648450" cy="38576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28</xdr:col>
      <xdr:colOff>180975</xdr:colOff>
      <xdr:row>0</xdr:row>
      <xdr:rowOff>47625</xdr:rowOff>
    </xdr:from>
    <xdr:ext cx="6991350" cy="3857625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" refreshedDate="46008.639923495371" refreshedVersion="8" recordCount="158" xr:uid="{00000000-000A-0000-FFFF-FFFF0B000000}">
  <cacheSource type="worksheet">
    <worksheetSource ref="A1:C159" sheet="Spring2024"/>
  </cacheSource>
  <cacheFields count="3">
    <cacheField name="Sniper" numFmtId="0">
      <sharedItems containsBlank="1" count="12">
        <s v="David"/>
        <s v="Peter"/>
        <s v="Sam"/>
        <s v="Maxine"/>
        <s v="Carter"/>
        <s v="Jon"/>
        <s v="Cooper"/>
        <s v="Erick"/>
        <s v="Anthony"/>
        <s v="Tyler"/>
        <s v="Seth"/>
        <m/>
      </sharedItems>
    </cacheField>
    <cacheField name="Points" numFmtId="0">
      <sharedItems containsString="0" containsBlank="1" containsNumber="1" containsInteger="1" minValue="0" maxValue="2"/>
    </cacheField>
    <cacheField name="Snipee" numFmtId="0">
      <sharedItems containsBlank="1" count="13">
        <s v="Peter"/>
        <s v="David"/>
        <s v="Tyler"/>
        <s v="Erick"/>
        <s v="Cooper"/>
        <s v="Sam"/>
        <s v="Carter"/>
        <s v="Grady"/>
        <s v="Maxine"/>
        <s v="Anthony"/>
        <s v="Jon"/>
        <s v="Set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" refreshedDate="46008.63992361111" refreshedVersion="8" recordCount="104" xr:uid="{00000000-000A-0000-FFFF-FFFF10000000}">
  <cacheSource type="worksheet">
    <worksheetSource ref="A1:C105" sheet="Spring2024POST"/>
  </cacheSource>
  <cacheFields count="3">
    <cacheField name="Sniper" numFmtId="0">
      <sharedItems count="11">
        <s v="Anthony"/>
        <s v="Peter"/>
        <s v="Maxine"/>
        <s v="Grady"/>
        <s v="Carter"/>
        <s v="Sam"/>
        <s v="Tyler"/>
        <s v="David"/>
        <s v="Erick"/>
        <s v="Jon"/>
        <s v="Cooper"/>
      </sharedItems>
    </cacheField>
    <cacheField name="Points" numFmtId="0">
      <sharedItems containsSemiMixedTypes="0" containsString="0" containsNumber="1" containsInteger="1" minValue="1" maxValue="2"/>
    </cacheField>
    <cacheField name="Snipee" numFmtId="0">
      <sharedItems count="12">
        <s v="Grady"/>
        <s v="Tyler"/>
        <s v="Erick"/>
        <s v="Maxine"/>
        <s v="Peter"/>
        <s v="Carter"/>
        <s v="Sam"/>
        <s v="Cooper"/>
        <s v="Seth"/>
        <s v="David"/>
        <s v="Anthony"/>
        <s v="J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" refreshedDate="46008.63992361111" refreshedVersion="8" recordCount="64" xr:uid="{00000000-000A-0000-FFFF-FFFF15000000}">
  <cacheSource type="worksheet">
    <worksheetSource ref="A1:C159" sheet="Fall2024PRE"/>
  </cacheSource>
  <cacheFields count="3">
    <cacheField name="Sniper" numFmtId="0">
      <sharedItems containsBlank="1" count="9">
        <s v="Sam"/>
        <s v="David"/>
        <s v="Grady"/>
        <s v="Carter"/>
        <s v="Maxine"/>
        <s v="Erick"/>
        <s v="Peter"/>
        <s v="Jon"/>
        <m/>
      </sharedItems>
    </cacheField>
    <cacheField name="Points" numFmtId="0">
      <sharedItems containsString="0" containsBlank="1" containsNumber="1" containsInteger="1" minValue="1" maxValue="2"/>
    </cacheField>
    <cacheField name="Snipee" numFmtId="0">
      <sharedItems containsBlank="1" count="10">
        <s v="Erick"/>
        <s v="Grady"/>
        <s v="Carter"/>
        <s v="Sam"/>
        <s v="David"/>
        <s v="Cooper"/>
        <s v="Jon"/>
        <s v="Peter"/>
        <s v="Tyle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" refreshedDate="46008.639923842595" refreshedVersion="8" recordCount="626" xr:uid="{00000000-000A-0000-FFFF-FFFF1A000000}">
  <cacheSource type="worksheet">
    <worksheetSource ref="A1:C627" sheet="Fall2024"/>
  </cacheSource>
  <cacheFields count="3">
    <cacheField name="Sniper" numFmtId="0">
      <sharedItems containsBlank="1" count="13">
        <s v="Cooper"/>
        <s v="Maxine"/>
        <s v="Sam"/>
        <s v="David"/>
        <s v="Carter"/>
        <s v="Ethan"/>
        <s v="Jon"/>
        <s v="Peter"/>
        <s v="Tyler"/>
        <s v="Erick"/>
        <s v="Grady"/>
        <s v="Evan"/>
        <m/>
      </sharedItems>
    </cacheField>
    <cacheField name="Points" numFmtId="0">
      <sharedItems containsString="0" containsBlank="1" containsNumber="1" containsInteger="1" minValue="1" maxValue="2"/>
    </cacheField>
    <cacheField name="Snipee" numFmtId="0">
      <sharedItems containsBlank="1" count="14">
        <s v="Jon"/>
        <s v="Tyler"/>
        <s v="Peter"/>
        <s v="Carter"/>
        <s v="David"/>
        <s v="Ethan"/>
        <s v="Reuben"/>
        <s v="Maxine"/>
        <s v="Cooper"/>
        <s v="Erick"/>
        <s v="Grady"/>
        <s v="Sam"/>
        <s v="Eva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" refreshedDate="46008.639923958333" refreshedVersion="8" recordCount="422" xr:uid="{00000000-000A-0000-FFFF-FFFF1F000000}">
  <cacheSource type="worksheet">
    <worksheetSource ref="A1:C423" sheet="Spring2025"/>
  </cacheSource>
  <cacheFields count="3">
    <cacheField name="Sniper" numFmtId="0">
      <sharedItems containsBlank="1" count="12">
        <s v="David"/>
        <s v="Ethan"/>
        <s v="Evan"/>
        <s v="Carter"/>
        <s v="Maxine"/>
        <s v="Anthony"/>
        <s v="Grady"/>
        <s v="Cooper"/>
        <s v="Erick"/>
        <s v="Joey"/>
        <s v="Tyler"/>
        <m/>
      </sharedItems>
    </cacheField>
    <cacheField name="Points" numFmtId="0">
      <sharedItems containsString="0" containsBlank="1" containsNumber="1" containsInteger="1" minValue="1" maxValue="5"/>
    </cacheField>
    <cacheField name="Snipee" numFmtId="0">
      <sharedItems containsBlank="1" count="13">
        <s v="Joey"/>
        <s v="Evan"/>
        <s v="Ethan"/>
        <s v="Maxine"/>
        <s v="David"/>
        <s v="Reuben"/>
        <s v="Carter"/>
        <s v="Grady"/>
        <s v="Anthony"/>
        <s v="Cooper"/>
        <s v="Tyler"/>
        <m/>
        <s v="Eric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" refreshedDate="46008.639924074072" refreshedVersion="8" recordCount="298" xr:uid="{00000000-000A-0000-FFFF-FFFF24000000}">
  <cacheSource type="worksheet">
    <worksheetSource ref="A1:C299" sheet="Fall2025PRE"/>
  </cacheSource>
  <cacheFields count="3">
    <cacheField name="Sniper" numFmtId="0">
      <sharedItems containsBlank="1" count="11">
        <s v="Anthony"/>
        <s v="Cooper"/>
        <s v="Ethan"/>
        <s v="Joey"/>
        <s v="Carter"/>
        <s v="Maxine"/>
        <s v="Evan"/>
        <s v="Grady"/>
        <s v="Erick"/>
        <s v="Peter"/>
        <m/>
      </sharedItems>
    </cacheField>
    <cacheField name="Points" numFmtId="0">
      <sharedItems containsString="0" containsBlank="1" containsNumber="1" containsInteger="1" minValue="1" maxValue="5"/>
    </cacheField>
    <cacheField name="Snipee" numFmtId="0">
      <sharedItems containsBlank="1" count="13">
        <s v="Cooper"/>
        <s v="Anthony"/>
        <s v="Erick"/>
        <s v="Reuben"/>
        <s v="Maxine"/>
        <s v="Carter"/>
        <s v="Peter"/>
        <s v="Grady"/>
        <s v="Evan"/>
        <s v="Joey"/>
        <s v="Ethan"/>
        <s v="Alumni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" refreshedDate="46008.639924189818" refreshedVersion="8" recordCount="308" xr:uid="{00000000-000A-0000-FFFF-FFFF29000000}">
  <cacheSource type="worksheet">
    <worksheetSource ref="A1:C309" sheet="FALL2025"/>
  </cacheSource>
  <cacheFields count="3">
    <cacheField name="Sniper" numFmtId="0">
      <sharedItems containsBlank="1" count="17">
        <s v="Will"/>
        <s v="Ethan"/>
        <s v="Mikey"/>
        <s v="Rob"/>
        <s v="Erick"/>
        <s v="Carter"/>
        <s v="Lucy"/>
        <s v="Anthony"/>
        <s v="Maxine"/>
        <s v="Joey"/>
        <s v="Grady"/>
        <s v="Vignesh"/>
        <s v="Evan"/>
        <s v="Peter"/>
        <s v="Cooper"/>
        <s v="entropete_"/>
        <m/>
      </sharedItems>
    </cacheField>
    <cacheField name="Points" numFmtId="0">
      <sharedItems containsString="0" containsBlank="1" containsNumber="1" containsInteger="1" minValue="1" maxValue="2"/>
    </cacheField>
    <cacheField name="Snipee" numFmtId="0">
      <sharedItems containsBlank="1" count="18">
        <s v="Ethan"/>
        <s v="Will"/>
        <s v="Reuben"/>
        <s v="Rob"/>
        <s v="Mikey"/>
        <s v="Erick"/>
        <s v="Lucy"/>
        <s v="Anthony"/>
        <s v="Carter"/>
        <s v="Maxine"/>
        <s v="Grady"/>
        <s v="Joey"/>
        <s v="Vignesh"/>
        <s v="Evan"/>
        <s v="Peter"/>
        <s v="Cooper"/>
        <s v="entropete_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">
  <r>
    <x v="0"/>
    <n v="1"/>
    <x v="0"/>
  </r>
  <r>
    <x v="1"/>
    <n v="1"/>
    <x v="1"/>
  </r>
  <r>
    <x v="2"/>
    <n v="2"/>
    <x v="1"/>
  </r>
  <r>
    <x v="3"/>
    <n v="2"/>
    <x v="2"/>
  </r>
  <r>
    <x v="4"/>
    <n v="2"/>
    <x v="3"/>
  </r>
  <r>
    <x v="2"/>
    <n v="1"/>
    <x v="4"/>
  </r>
  <r>
    <x v="4"/>
    <n v="2"/>
    <x v="1"/>
  </r>
  <r>
    <x v="3"/>
    <n v="2"/>
    <x v="5"/>
  </r>
  <r>
    <x v="1"/>
    <n v="1"/>
    <x v="5"/>
  </r>
  <r>
    <x v="2"/>
    <n v="2"/>
    <x v="6"/>
  </r>
  <r>
    <x v="0"/>
    <n v="2"/>
    <x v="6"/>
  </r>
  <r>
    <x v="2"/>
    <n v="2"/>
    <x v="4"/>
  </r>
  <r>
    <x v="5"/>
    <n v="2"/>
    <x v="6"/>
  </r>
  <r>
    <x v="1"/>
    <n v="1"/>
    <x v="7"/>
  </r>
  <r>
    <x v="5"/>
    <n v="2"/>
    <x v="1"/>
  </r>
  <r>
    <x v="4"/>
    <n v="2"/>
    <x v="3"/>
  </r>
  <r>
    <x v="0"/>
    <n v="2"/>
    <x v="2"/>
  </r>
  <r>
    <x v="3"/>
    <n v="2"/>
    <x v="2"/>
  </r>
  <r>
    <x v="0"/>
    <n v="1"/>
    <x v="3"/>
  </r>
  <r>
    <x v="0"/>
    <n v="1"/>
    <x v="8"/>
  </r>
  <r>
    <x v="0"/>
    <n v="1"/>
    <x v="5"/>
  </r>
  <r>
    <x v="2"/>
    <n v="1"/>
    <x v="1"/>
  </r>
  <r>
    <x v="2"/>
    <n v="1"/>
    <x v="8"/>
  </r>
  <r>
    <x v="3"/>
    <n v="1"/>
    <x v="5"/>
  </r>
  <r>
    <x v="3"/>
    <n v="1"/>
    <x v="1"/>
  </r>
  <r>
    <x v="0"/>
    <n v="2"/>
    <x v="5"/>
  </r>
  <r>
    <x v="1"/>
    <n v="1"/>
    <x v="1"/>
  </r>
  <r>
    <x v="3"/>
    <n v="2"/>
    <x v="5"/>
  </r>
  <r>
    <x v="4"/>
    <n v="2"/>
    <x v="3"/>
  </r>
  <r>
    <x v="0"/>
    <n v="2"/>
    <x v="3"/>
  </r>
  <r>
    <x v="1"/>
    <n v="1"/>
    <x v="8"/>
  </r>
  <r>
    <x v="3"/>
    <n v="1"/>
    <x v="0"/>
  </r>
  <r>
    <x v="3"/>
    <n v="1"/>
    <x v="1"/>
  </r>
  <r>
    <x v="3"/>
    <n v="1"/>
    <x v="5"/>
  </r>
  <r>
    <x v="0"/>
    <n v="1"/>
    <x v="8"/>
  </r>
  <r>
    <x v="0"/>
    <n v="2"/>
    <x v="5"/>
  </r>
  <r>
    <x v="1"/>
    <n v="1"/>
    <x v="3"/>
  </r>
  <r>
    <x v="0"/>
    <n v="1"/>
    <x v="9"/>
  </r>
  <r>
    <x v="2"/>
    <n v="2"/>
    <x v="8"/>
  </r>
  <r>
    <x v="3"/>
    <n v="2"/>
    <x v="5"/>
  </r>
  <r>
    <x v="2"/>
    <n v="2"/>
    <x v="1"/>
  </r>
  <r>
    <x v="0"/>
    <n v="2"/>
    <x v="6"/>
  </r>
  <r>
    <x v="2"/>
    <n v="1"/>
    <x v="6"/>
  </r>
  <r>
    <x v="4"/>
    <n v="1"/>
    <x v="5"/>
  </r>
  <r>
    <x v="0"/>
    <n v="1"/>
    <x v="5"/>
  </r>
  <r>
    <x v="2"/>
    <n v="1"/>
    <x v="1"/>
  </r>
  <r>
    <x v="2"/>
    <n v="2"/>
    <x v="2"/>
  </r>
  <r>
    <x v="1"/>
    <n v="2"/>
    <x v="9"/>
  </r>
  <r>
    <x v="5"/>
    <n v="1"/>
    <x v="4"/>
  </r>
  <r>
    <x v="6"/>
    <n v="1"/>
    <x v="10"/>
  </r>
  <r>
    <x v="1"/>
    <n v="2"/>
    <x v="10"/>
  </r>
  <r>
    <x v="2"/>
    <n v="2"/>
    <x v="9"/>
  </r>
  <r>
    <x v="2"/>
    <n v="2"/>
    <x v="7"/>
  </r>
  <r>
    <x v="5"/>
    <n v="2"/>
    <x v="7"/>
  </r>
  <r>
    <x v="2"/>
    <n v="2"/>
    <x v="0"/>
  </r>
  <r>
    <x v="2"/>
    <n v="2"/>
    <x v="1"/>
  </r>
  <r>
    <x v="3"/>
    <n v="2"/>
    <x v="6"/>
  </r>
  <r>
    <x v="0"/>
    <n v="2"/>
    <x v="3"/>
  </r>
  <r>
    <x v="3"/>
    <n v="1"/>
    <x v="10"/>
  </r>
  <r>
    <x v="3"/>
    <n v="1"/>
    <x v="5"/>
  </r>
  <r>
    <x v="3"/>
    <n v="1"/>
    <x v="1"/>
  </r>
  <r>
    <x v="0"/>
    <n v="2"/>
    <x v="8"/>
  </r>
  <r>
    <x v="4"/>
    <n v="2"/>
    <x v="3"/>
  </r>
  <r>
    <x v="7"/>
    <n v="2"/>
    <x v="7"/>
  </r>
  <r>
    <x v="2"/>
    <n v="2"/>
    <x v="7"/>
  </r>
  <r>
    <x v="2"/>
    <n v="2"/>
    <x v="11"/>
  </r>
  <r>
    <x v="0"/>
    <n v="2"/>
    <x v="5"/>
  </r>
  <r>
    <x v="4"/>
    <n v="2"/>
    <x v="5"/>
  </r>
  <r>
    <x v="4"/>
    <n v="2"/>
    <x v="1"/>
  </r>
  <r>
    <x v="2"/>
    <n v="2"/>
    <x v="6"/>
  </r>
  <r>
    <x v="0"/>
    <n v="2"/>
    <x v="5"/>
  </r>
  <r>
    <x v="8"/>
    <n v="1"/>
    <x v="4"/>
  </r>
  <r>
    <x v="2"/>
    <n v="2"/>
    <x v="6"/>
  </r>
  <r>
    <x v="6"/>
    <n v="2"/>
    <x v="9"/>
  </r>
  <r>
    <x v="5"/>
    <n v="2"/>
    <x v="1"/>
  </r>
  <r>
    <x v="0"/>
    <n v="1"/>
    <x v="9"/>
  </r>
  <r>
    <x v="8"/>
    <n v="1"/>
    <x v="1"/>
  </r>
  <r>
    <x v="7"/>
    <n v="1"/>
    <x v="4"/>
  </r>
  <r>
    <x v="2"/>
    <n v="1"/>
    <x v="8"/>
  </r>
  <r>
    <x v="3"/>
    <n v="1"/>
    <x v="5"/>
  </r>
  <r>
    <x v="3"/>
    <n v="2"/>
    <x v="5"/>
  </r>
  <r>
    <x v="3"/>
    <n v="2"/>
    <x v="4"/>
  </r>
  <r>
    <x v="2"/>
    <n v="2"/>
    <x v="10"/>
  </r>
  <r>
    <x v="4"/>
    <n v="2"/>
    <x v="1"/>
  </r>
  <r>
    <x v="7"/>
    <n v="2"/>
    <x v="6"/>
  </r>
  <r>
    <x v="5"/>
    <n v="2"/>
    <x v="11"/>
  </r>
  <r>
    <x v="3"/>
    <n v="2"/>
    <x v="10"/>
  </r>
  <r>
    <x v="5"/>
    <n v="2"/>
    <x v="8"/>
  </r>
  <r>
    <x v="2"/>
    <n v="2"/>
    <x v="2"/>
  </r>
  <r>
    <x v="4"/>
    <n v="1"/>
    <x v="3"/>
  </r>
  <r>
    <x v="3"/>
    <n v="2"/>
    <x v="5"/>
  </r>
  <r>
    <x v="7"/>
    <n v="2"/>
    <x v="6"/>
  </r>
  <r>
    <x v="0"/>
    <n v="2"/>
    <x v="6"/>
  </r>
  <r>
    <x v="3"/>
    <n v="1"/>
    <x v="5"/>
  </r>
  <r>
    <x v="2"/>
    <n v="1"/>
    <x v="8"/>
  </r>
  <r>
    <x v="2"/>
    <n v="2"/>
    <x v="6"/>
  </r>
  <r>
    <x v="3"/>
    <n v="2"/>
    <x v="6"/>
  </r>
  <r>
    <x v="2"/>
    <n v="2"/>
    <x v="11"/>
  </r>
  <r>
    <x v="0"/>
    <n v="2"/>
    <x v="6"/>
  </r>
  <r>
    <x v="0"/>
    <n v="2"/>
    <x v="0"/>
  </r>
  <r>
    <x v="1"/>
    <n v="1"/>
    <x v="1"/>
  </r>
  <r>
    <x v="0"/>
    <n v="2"/>
    <x v="9"/>
  </r>
  <r>
    <x v="1"/>
    <n v="2"/>
    <x v="9"/>
  </r>
  <r>
    <x v="9"/>
    <n v="2"/>
    <x v="4"/>
  </r>
  <r>
    <x v="5"/>
    <n v="2"/>
    <x v="0"/>
  </r>
  <r>
    <x v="5"/>
    <n v="1"/>
    <x v="0"/>
  </r>
  <r>
    <x v="1"/>
    <n v="1"/>
    <x v="10"/>
  </r>
  <r>
    <x v="1"/>
    <n v="2"/>
    <x v="4"/>
  </r>
  <r>
    <x v="2"/>
    <n v="2"/>
    <x v="10"/>
  </r>
  <r>
    <x v="4"/>
    <n v="1"/>
    <x v="3"/>
  </r>
  <r>
    <x v="7"/>
    <n v="1"/>
    <x v="6"/>
  </r>
  <r>
    <x v="3"/>
    <n v="2"/>
    <x v="10"/>
  </r>
  <r>
    <x v="0"/>
    <n v="2"/>
    <x v="10"/>
  </r>
  <r>
    <x v="7"/>
    <n v="1"/>
    <x v="1"/>
  </r>
  <r>
    <x v="7"/>
    <n v="1"/>
    <x v="8"/>
  </r>
  <r>
    <x v="0"/>
    <n v="1"/>
    <x v="3"/>
  </r>
  <r>
    <x v="0"/>
    <n v="1"/>
    <x v="6"/>
  </r>
  <r>
    <x v="3"/>
    <n v="1"/>
    <x v="6"/>
  </r>
  <r>
    <x v="4"/>
    <n v="1"/>
    <x v="8"/>
  </r>
  <r>
    <x v="4"/>
    <n v="1"/>
    <x v="1"/>
  </r>
  <r>
    <x v="3"/>
    <n v="2"/>
    <x v="7"/>
  </r>
  <r>
    <x v="5"/>
    <n v="2"/>
    <x v="3"/>
  </r>
  <r>
    <x v="7"/>
    <n v="1"/>
    <x v="10"/>
  </r>
  <r>
    <x v="0"/>
    <n v="1"/>
    <x v="10"/>
  </r>
  <r>
    <x v="8"/>
    <n v="2"/>
    <x v="11"/>
  </r>
  <r>
    <x v="8"/>
    <n v="2"/>
    <x v="5"/>
  </r>
  <r>
    <x v="2"/>
    <n v="2"/>
    <x v="11"/>
  </r>
  <r>
    <x v="0"/>
    <n v="0"/>
    <x v="7"/>
  </r>
  <r>
    <x v="10"/>
    <n v="2"/>
    <x v="2"/>
  </r>
  <r>
    <x v="2"/>
    <n v="1"/>
    <x v="6"/>
  </r>
  <r>
    <x v="4"/>
    <n v="1"/>
    <x v="5"/>
  </r>
  <r>
    <x v="1"/>
    <n v="2"/>
    <x v="6"/>
  </r>
  <r>
    <x v="4"/>
    <n v="1"/>
    <x v="0"/>
  </r>
  <r>
    <x v="7"/>
    <n v="2"/>
    <x v="1"/>
  </r>
  <r>
    <x v="4"/>
    <n v="2"/>
    <x v="10"/>
  </r>
  <r>
    <x v="0"/>
    <n v="2"/>
    <x v="6"/>
  </r>
  <r>
    <x v="7"/>
    <n v="2"/>
    <x v="6"/>
  </r>
  <r>
    <x v="7"/>
    <n v="2"/>
    <x v="1"/>
  </r>
  <r>
    <x v="1"/>
    <n v="1"/>
    <x v="3"/>
  </r>
  <r>
    <x v="7"/>
    <n v="1"/>
    <x v="5"/>
  </r>
  <r>
    <x v="2"/>
    <n v="1"/>
    <x v="3"/>
  </r>
  <r>
    <x v="1"/>
    <n v="1"/>
    <x v="6"/>
  </r>
  <r>
    <x v="4"/>
    <n v="1"/>
    <x v="0"/>
  </r>
  <r>
    <x v="1"/>
    <n v="1"/>
    <x v="1"/>
  </r>
  <r>
    <x v="0"/>
    <n v="1"/>
    <x v="0"/>
  </r>
  <r>
    <x v="0"/>
    <n v="1"/>
    <x v="6"/>
  </r>
  <r>
    <x v="4"/>
    <n v="1"/>
    <x v="1"/>
  </r>
  <r>
    <x v="1"/>
    <n v="2"/>
    <x v="6"/>
  </r>
  <r>
    <x v="5"/>
    <n v="2"/>
    <x v="7"/>
  </r>
  <r>
    <x v="0"/>
    <n v="2"/>
    <x v="10"/>
  </r>
  <r>
    <x v="5"/>
    <n v="1"/>
    <x v="5"/>
  </r>
  <r>
    <x v="2"/>
    <n v="1"/>
    <x v="10"/>
  </r>
  <r>
    <x v="2"/>
    <n v="2"/>
    <x v="10"/>
  </r>
  <r>
    <x v="5"/>
    <n v="1"/>
    <x v="5"/>
  </r>
  <r>
    <x v="1"/>
    <n v="2"/>
    <x v="11"/>
  </r>
  <r>
    <x v="1"/>
    <n v="2"/>
    <x v="2"/>
  </r>
  <r>
    <x v="1"/>
    <n v="2"/>
    <x v="7"/>
  </r>
  <r>
    <x v="11"/>
    <m/>
    <x v="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n v="2"/>
    <x v="0"/>
  </r>
  <r>
    <x v="1"/>
    <n v="1"/>
    <x v="1"/>
  </r>
  <r>
    <x v="2"/>
    <n v="2"/>
    <x v="0"/>
  </r>
  <r>
    <x v="1"/>
    <n v="2"/>
    <x v="2"/>
  </r>
  <r>
    <x v="3"/>
    <n v="1"/>
    <x v="3"/>
  </r>
  <r>
    <x v="4"/>
    <n v="1"/>
    <x v="4"/>
  </r>
  <r>
    <x v="1"/>
    <n v="2"/>
    <x v="5"/>
  </r>
  <r>
    <x v="5"/>
    <n v="1"/>
    <x v="2"/>
  </r>
  <r>
    <x v="4"/>
    <n v="1"/>
    <x v="6"/>
  </r>
  <r>
    <x v="5"/>
    <n v="1"/>
    <x v="5"/>
  </r>
  <r>
    <x v="5"/>
    <n v="1"/>
    <x v="5"/>
  </r>
  <r>
    <x v="4"/>
    <n v="1"/>
    <x v="6"/>
  </r>
  <r>
    <x v="5"/>
    <n v="2"/>
    <x v="1"/>
  </r>
  <r>
    <x v="6"/>
    <n v="2"/>
    <x v="7"/>
  </r>
  <r>
    <x v="7"/>
    <n v="2"/>
    <x v="4"/>
  </r>
  <r>
    <x v="4"/>
    <n v="2"/>
    <x v="4"/>
  </r>
  <r>
    <x v="5"/>
    <n v="2"/>
    <x v="8"/>
  </r>
  <r>
    <x v="5"/>
    <n v="2"/>
    <x v="7"/>
  </r>
  <r>
    <x v="7"/>
    <n v="2"/>
    <x v="2"/>
  </r>
  <r>
    <x v="7"/>
    <n v="2"/>
    <x v="4"/>
  </r>
  <r>
    <x v="1"/>
    <n v="1"/>
    <x v="9"/>
  </r>
  <r>
    <x v="7"/>
    <n v="1"/>
    <x v="5"/>
  </r>
  <r>
    <x v="1"/>
    <n v="1"/>
    <x v="5"/>
  </r>
  <r>
    <x v="4"/>
    <n v="1"/>
    <x v="4"/>
  </r>
  <r>
    <x v="4"/>
    <n v="1"/>
    <x v="9"/>
  </r>
  <r>
    <x v="4"/>
    <n v="2"/>
    <x v="9"/>
  </r>
  <r>
    <x v="1"/>
    <n v="2"/>
    <x v="8"/>
  </r>
  <r>
    <x v="5"/>
    <n v="2"/>
    <x v="8"/>
  </r>
  <r>
    <x v="6"/>
    <n v="2"/>
    <x v="8"/>
  </r>
  <r>
    <x v="8"/>
    <n v="2"/>
    <x v="6"/>
  </r>
  <r>
    <x v="5"/>
    <n v="2"/>
    <x v="5"/>
  </r>
  <r>
    <x v="4"/>
    <n v="1"/>
    <x v="6"/>
  </r>
  <r>
    <x v="0"/>
    <n v="1"/>
    <x v="6"/>
  </r>
  <r>
    <x v="5"/>
    <n v="1"/>
    <x v="10"/>
  </r>
  <r>
    <x v="1"/>
    <n v="2"/>
    <x v="10"/>
  </r>
  <r>
    <x v="5"/>
    <n v="2"/>
    <x v="5"/>
  </r>
  <r>
    <x v="1"/>
    <n v="2"/>
    <x v="9"/>
  </r>
  <r>
    <x v="0"/>
    <n v="1"/>
    <x v="1"/>
  </r>
  <r>
    <x v="6"/>
    <n v="1"/>
    <x v="10"/>
  </r>
  <r>
    <x v="1"/>
    <n v="1"/>
    <x v="6"/>
  </r>
  <r>
    <x v="1"/>
    <n v="1"/>
    <x v="6"/>
  </r>
  <r>
    <x v="5"/>
    <n v="1"/>
    <x v="4"/>
  </r>
  <r>
    <x v="1"/>
    <n v="2"/>
    <x v="10"/>
  </r>
  <r>
    <x v="8"/>
    <n v="2"/>
    <x v="5"/>
  </r>
  <r>
    <x v="5"/>
    <n v="2"/>
    <x v="2"/>
  </r>
  <r>
    <x v="8"/>
    <n v="1"/>
    <x v="6"/>
  </r>
  <r>
    <x v="4"/>
    <n v="1"/>
    <x v="2"/>
  </r>
  <r>
    <x v="8"/>
    <n v="1"/>
    <x v="5"/>
  </r>
  <r>
    <x v="1"/>
    <n v="1"/>
    <x v="5"/>
  </r>
  <r>
    <x v="4"/>
    <n v="1"/>
    <x v="4"/>
  </r>
  <r>
    <x v="1"/>
    <n v="1"/>
    <x v="5"/>
  </r>
  <r>
    <x v="4"/>
    <n v="1"/>
    <x v="4"/>
  </r>
  <r>
    <x v="4"/>
    <n v="1"/>
    <x v="2"/>
  </r>
  <r>
    <x v="8"/>
    <n v="1"/>
    <x v="5"/>
  </r>
  <r>
    <x v="9"/>
    <n v="2"/>
    <x v="0"/>
  </r>
  <r>
    <x v="4"/>
    <n v="1"/>
    <x v="7"/>
  </r>
  <r>
    <x v="10"/>
    <n v="1"/>
    <x v="5"/>
  </r>
  <r>
    <x v="4"/>
    <n v="1"/>
    <x v="10"/>
  </r>
  <r>
    <x v="0"/>
    <n v="1"/>
    <x v="5"/>
  </r>
  <r>
    <x v="5"/>
    <n v="2"/>
    <x v="8"/>
  </r>
  <r>
    <x v="4"/>
    <n v="2"/>
    <x v="2"/>
  </r>
  <r>
    <x v="0"/>
    <n v="2"/>
    <x v="9"/>
  </r>
  <r>
    <x v="5"/>
    <n v="2"/>
    <x v="8"/>
  </r>
  <r>
    <x v="5"/>
    <n v="2"/>
    <x v="5"/>
  </r>
  <r>
    <x v="4"/>
    <n v="1"/>
    <x v="6"/>
  </r>
  <r>
    <x v="5"/>
    <n v="2"/>
    <x v="5"/>
  </r>
  <r>
    <x v="4"/>
    <n v="1"/>
    <x v="6"/>
  </r>
  <r>
    <x v="1"/>
    <n v="2"/>
    <x v="11"/>
  </r>
  <r>
    <x v="9"/>
    <n v="2"/>
    <x v="0"/>
  </r>
  <r>
    <x v="4"/>
    <n v="2"/>
    <x v="2"/>
  </r>
  <r>
    <x v="4"/>
    <n v="1"/>
    <x v="1"/>
  </r>
  <r>
    <x v="6"/>
    <n v="1"/>
    <x v="5"/>
  </r>
  <r>
    <x v="0"/>
    <n v="2"/>
    <x v="1"/>
  </r>
  <r>
    <x v="1"/>
    <n v="2"/>
    <x v="8"/>
  </r>
  <r>
    <x v="1"/>
    <n v="2"/>
    <x v="7"/>
  </r>
  <r>
    <x v="10"/>
    <n v="1"/>
    <x v="9"/>
  </r>
  <r>
    <x v="8"/>
    <n v="2"/>
    <x v="5"/>
  </r>
  <r>
    <x v="4"/>
    <n v="1"/>
    <x v="2"/>
  </r>
  <r>
    <x v="4"/>
    <n v="2"/>
    <x v="2"/>
  </r>
  <r>
    <x v="3"/>
    <n v="2"/>
    <x v="3"/>
  </r>
  <r>
    <x v="4"/>
    <n v="1"/>
    <x v="4"/>
  </r>
  <r>
    <x v="1"/>
    <n v="1"/>
    <x v="5"/>
  </r>
  <r>
    <x v="9"/>
    <n v="2"/>
    <x v="10"/>
  </r>
  <r>
    <x v="5"/>
    <n v="2"/>
    <x v="5"/>
  </r>
  <r>
    <x v="0"/>
    <n v="1"/>
    <x v="6"/>
  </r>
  <r>
    <x v="5"/>
    <n v="1"/>
    <x v="10"/>
  </r>
  <r>
    <x v="5"/>
    <n v="2"/>
    <x v="2"/>
  </r>
  <r>
    <x v="8"/>
    <n v="1"/>
    <x v="6"/>
  </r>
  <r>
    <x v="8"/>
    <n v="2"/>
    <x v="5"/>
  </r>
  <r>
    <x v="5"/>
    <n v="2"/>
    <x v="1"/>
  </r>
  <r>
    <x v="10"/>
    <n v="2"/>
    <x v="6"/>
  </r>
  <r>
    <x v="5"/>
    <n v="2"/>
    <x v="1"/>
  </r>
  <r>
    <x v="8"/>
    <n v="1"/>
    <x v="0"/>
  </r>
  <r>
    <x v="0"/>
    <n v="2"/>
    <x v="7"/>
  </r>
  <r>
    <x v="2"/>
    <n v="2"/>
    <x v="1"/>
  </r>
  <r>
    <x v="7"/>
    <n v="2"/>
    <x v="0"/>
  </r>
  <r>
    <x v="6"/>
    <n v="2"/>
    <x v="0"/>
  </r>
  <r>
    <x v="6"/>
    <n v="1"/>
    <x v="9"/>
  </r>
  <r>
    <x v="7"/>
    <n v="1"/>
    <x v="1"/>
  </r>
  <r>
    <x v="8"/>
    <n v="1"/>
    <x v="9"/>
  </r>
  <r>
    <x v="7"/>
    <n v="1"/>
    <x v="2"/>
  </r>
  <r>
    <x v="5"/>
    <n v="2"/>
    <x v="2"/>
  </r>
  <r>
    <x v="9"/>
    <n v="2"/>
    <x v="2"/>
  </r>
  <r>
    <x v="3"/>
    <n v="2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n v="2"/>
    <x v="0"/>
  </r>
  <r>
    <x v="0"/>
    <n v="2"/>
    <x v="1"/>
  </r>
  <r>
    <x v="1"/>
    <n v="1"/>
    <x v="2"/>
  </r>
  <r>
    <x v="0"/>
    <n v="2"/>
    <x v="2"/>
  </r>
  <r>
    <x v="2"/>
    <n v="1"/>
    <x v="3"/>
  </r>
  <r>
    <x v="3"/>
    <n v="2"/>
    <x v="4"/>
  </r>
  <r>
    <x v="1"/>
    <n v="1"/>
    <x v="2"/>
  </r>
  <r>
    <x v="1"/>
    <n v="1"/>
    <x v="5"/>
  </r>
  <r>
    <x v="1"/>
    <n v="2"/>
    <x v="1"/>
  </r>
  <r>
    <x v="1"/>
    <n v="2"/>
    <x v="6"/>
  </r>
  <r>
    <x v="4"/>
    <n v="1"/>
    <x v="6"/>
  </r>
  <r>
    <x v="0"/>
    <n v="1"/>
    <x v="0"/>
  </r>
  <r>
    <x v="5"/>
    <n v="1"/>
    <x v="3"/>
  </r>
  <r>
    <x v="0"/>
    <n v="2"/>
    <x v="7"/>
  </r>
  <r>
    <x v="0"/>
    <n v="2"/>
    <x v="8"/>
  </r>
  <r>
    <x v="6"/>
    <n v="2"/>
    <x v="8"/>
  </r>
  <r>
    <x v="3"/>
    <n v="1"/>
    <x v="4"/>
  </r>
  <r>
    <x v="1"/>
    <n v="1"/>
    <x v="2"/>
  </r>
  <r>
    <x v="0"/>
    <n v="2"/>
    <x v="1"/>
  </r>
  <r>
    <x v="4"/>
    <n v="2"/>
    <x v="6"/>
  </r>
  <r>
    <x v="4"/>
    <n v="2"/>
    <x v="7"/>
  </r>
  <r>
    <x v="4"/>
    <n v="2"/>
    <x v="0"/>
  </r>
  <r>
    <x v="3"/>
    <n v="2"/>
    <x v="4"/>
  </r>
  <r>
    <x v="0"/>
    <n v="2"/>
    <x v="6"/>
  </r>
  <r>
    <x v="0"/>
    <n v="2"/>
    <x v="6"/>
  </r>
  <r>
    <x v="6"/>
    <n v="2"/>
    <x v="2"/>
  </r>
  <r>
    <x v="5"/>
    <n v="2"/>
    <x v="5"/>
  </r>
  <r>
    <x v="6"/>
    <n v="2"/>
    <x v="3"/>
  </r>
  <r>
    <x v="0"/>
    <n v="2"/>
    <x v="1"/>
  </r>
  <r>
    <x v="3"/>
    <n v="1"/>
    <x v="4"/>
  </r>
  <r>
    <x v="1"/>
    <n v="1"/>
    <x v="2"/>
  </r>
  <r>
    <x v="1"/>
    <n v="1"/>
    <x v="6"/>
  </r>
  <r>
    <x v="4"/>
    <n v="2"/>
    <x v="6"/>
  </r>
  <r>
    <x v="1"/>
    <n v="1"/>
    <x v="2"/>
  </r>
  <r>
    <x v="6"/>
    <n v="2"/>
    <x v="1"/>
  </r>
  <r>
    <x v="0"/>
    <n v="2"/>
    <x v="1"/>
  </r>
  <r>
    <x v="3"/>
    <n v="2"/>
    <x v="3"/>
  </r>
  <r>
    <x v="7"/>
    <n v="2"/>
    <x v="4"/>
  </r>
  <r>
    <x v="1"/>
    <n v="1"/>
    <x v="6"/>
  </r>
  <r>
    <x v="1"/>
    <n v="2"/>
    <x v="2"/>
  </r>
  <r>
    <x v="6"/>
    <n v="2"/>
    <x v="2"/>
  </r>
  <r>
    <x v="1"/>
    <n v="1"/>
    <x v="2"/>
  </r>
  <r>
    <x v="3"/>
    <n v="1"/>
    <x v="4"/>
  </r>
  <r>
    <x v="3"/>
    <n v="2"/>
    <x v="6"/>
  </r>
  <r>
    <x v="7"/>
    <n v="1"/>
    <x v="2"/>
  </r>
  <r>
    <x v="1"/>
    <n v="1"/>
    <x v="2"/>
  </r>
  <r>
    <x v="3"/>
    <n v="1"/>
    <x v="4"/>
  </r>
  <r>
    <x v="0"/>
    <n v="2"/>
    <x v="6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6">
  <r>
    <x v="0"/>
    <n v="1"/>
    <x v="0"/>
  </r>
  <r>
    <x v="1"/>
    <n v="1"/>
    <x v="1"/>
  </r>
  <r>
    <x v="2"/>
    <n v="2"/>
    <x v="2"/>
  </r>
  <r>
    <x v="3"/>
    <n v="1"/>
    <x v="3"/>
  </r>
  <r>
    <x v="4"/>
    <n v="1"/>
    <x v="4"/>
  </r>
  <r>
    <x v="2"/>
    <n v="2"/>
    <x v="5"/>
  </r>
  <r>
    <x v="5"/>
    <n v="2"/>
    <x v="0"/>
  </r>
  <r>
    <x v="6"/>
    <n v="2"/>
    <x v="6"/>
  </r>
  <r>
    <x v="2"/>
    <n v="1"/>
    <x v="0"/>
  </r>
  <r>
    <x v="4"/>
    <n v="2"/>
    <x v="6"/>
  </r>
  <r>
    <x v="7"/>
    <n v="2"/>
    <x v="3"/>
  </r>
  <r>
    <x v="8"/>
    <n v="2"/>
    <x v="7"/>
  </r>
  <r>
    <x v="5"/>
    <n v="1"/>
    <x v="8"/>
  </r>
  <r>
    <x v="4"/>
    <n v="2"/>
    <x v="6"/>
  </r>
  <r>
    <x v="7"/>
    <n v="2"/>
    <x v="6"/>
  </r>
  <r>
    <x v="9"/>
    <n v="1"/>
    <x v="0"/>
  </r>
  <r>
    <x v="6"/>
    <n v="1"/>
    <x v="9"/>
  </r>
  <r>
    <x v="1"/>
    <n v="1"/>
    <x v="10"/>
  </r>
  <r>
    <x v="10"/>
    <n v="1"/>
    <x v="7"/>
  </r>
  <r>
    <x v="9"/>
    <n v="2"/>
    <x v="10"/>
  </r>
  <r>
    <x v="3"/>
    <n v="1"/>
    <x v="3"/>
  </r>
  <r>
    <x v="4"/>
    <n v="1"/>
    <x v="4"/>
  </r>
  <r>
    <x v="10"/>
    <n v="2"/>
    <x v="11"/>
  </r>
  <r>
    <x v="1"/>
    <n v="1"/>
    <x v="0"/>
  </r>
  <r>
    <x v="6"/>
    <n v="1"/>
    <x v="7"/>
  </r>
  <r>
    <x v="3"/>
    <n v="2"/>
    <x v="6"/>
  </r>
  <r>
    <x v="1"/>
    <n v="2"/>
    <x v="3"/>
  </r>
  <r>
    <x v="2"/>
    <n v="2"/>
    <x v="5"/>
  </r>
  <r>
    <x v="1"/>
    <n v="2"/>
    <x v="11"/>
  </r>
  <r>
    <x v="1"/>
    <n v="2"/>
    <x v="10"/>
  </r>
  <r>
    <x v="10"/>
    <n v="1"/>
    <x v="7"/>
  </r>
  <r>
    <x v="8"/>
    <n v="2"/>
    <x v="11"/>
  </r>
  <r>
    <x v="2"/>
    <n v="1"/>
    <x v="1"/>
  </r>
  <r>
    <x v="4"/>
    <n v="1"/>
    <x v="4"/>
  </r>
  <r>
    <x v="3"/>
    <n v="1"/>
    <x v="3"/>
  </r>
  <r>
    <x v="6"/>
    <n v="2"/>
    <x v="7"/>
  </r>
  <r>
    <x v="1"/>
    <n v="1"/>
    <x v="0"/>
  </r>
  <r>
    <x v="3"/>
    <n v="1"/>
    <x v="7"/>
  </r>
  <r>
    <x v="1"/>
    <n v="1"/>
    <x v="4"/>
  </r>
  <r>
    <x v="5"/>
    <n v="2"/>
    <x v="12"/>
  </r>
  <r>
    <x v="5"/>
    <n v="1"/>
    <x v="3"/>
  </r>
  <r>
    <x v="4"/>
    <n v="1"/>
    <x v="5"/>
  </r>
  <r>
    <x v="8"/>
    <n v="2"/>
    <x v="6"/>
  </r>
  <r>
    <x v="5"/>
    <n v="1"/>
    <x v="0"/>
  </r>
  <r>
    <x v="10"/>
    <n v="2"/>
    <x v="0"/>
  </r>
  <r>
    <x v="4"/>
    <n v="2"/>
    <x v="0"/>
  </r>
  <r>
    <x v="4"/>
    <n v="2"/>
    <x v="6"/>
  </r>
  <r>
    <x v="2"/>
    <n v="2"/>
    <x v="2"/>
  </r>
  <r>
    <x v="6"/>
    <n v="2"/>
    <x v="6"/>
  </r>
  <r>
    <x v="11"/>
    <n v="2"/>
    <x v="6"/>
  </r>
  <r>
    <x v="3"/>
    <n v="2"/>
    <x v="3"/>
  </r>
  <r>
    <x v="10"/>
    <n v="2"/>
    <x v="6"/>
  </r>
  <r>
    <x v="3"/>
    <n v="2"/>
    <x v="6"/>
  </r>
  <r>
    <x v="3"/>
    <n v="2"/>
    <x v="6"/>
  </r>
  <r>
    <x v="2"/>
    <n v="2"/>
    <x v="2"/>
  </r>
  <r>
    <x v="8"/>
    <n v="2"/>
    <x v="2"/>
  </r>
  <r>
    <x v="7"/>
    <n v="1"/>
    <x v="1"/>
  </r>
  <r>
    <x v="8"/>
    <n v="2"/>
    <x v="6"/>
  </r>
  <r>
    <x v="8"/>
    <n v="2"/>
    <x v="12"/>
  </r>
  <r>
    <x v="3"/>
    <n v="1"/>
    <x v="2"/>
  </r>
  <r>
    <x v="7"/>
    <n v="1"/>
    <x v="4"/>
  </r>
  <r>
    <x v="2"/>
    <n v="2"/>
    <x v="6"/>
  </r>
  <r>
    <x v="7"/>
    <n v="2"/>
    <x v="6"/>
  </r>
  <r>
    <x v="2"/>
    <n v="1"/>
    <x v="10"/>
  </r>
  <r>
    <x v="10"/>
    <n v="1"/>
    <x v="11"/>
  </r>
  <r>
    <x v="3"/>
    <n v="2"/>
    <x v="6"/>
  </r>
  <r>
    <x v="3"/>
    <n v="1"/>
    <x v="3"/>
  </r>
  <r>
    <x v="4"/>
    <n v="1"/>
    <x v="4"/>
  </r>
  <r>
    <x v="2"/>
    <n v="2"/>
    <x v="3"/>
  </r>
  <r>
    <x v="2"/>
    <n v="2"/>
    <x v="3"/>
  </r>
  <r>
    <x v="1"/>
    <n v="1"/>
    <x v="5"/>
  </r>
  <r>
    <x v="5"/>
    <n v="1"/>
    <x v="7"/>
  </r>
  <r>
    <x v="3"/>
    <n v="2"/>
    <x v="6"/>
  </r>
  <r>
    <x v="3"/>
    <n v="2"/>
    <x v="3"/>
  </r>
  <r>
    <x v="2"/>
    <n v="2"/>
    <x v="6"/>
  </r>
  <r>
    <x v="4"/>
    <n v="2"/>
    <x v="11"/>
  </r>
  <r>
    <x v="2"/>
    <n v="1"/>
    <x v="3"/>
  </r>
  <r>
    <x v="2"/>
    <n v="2"/>
    <x v="2"/>
  </r>
  <r>
    <x v="7"/>
    <n v="2"/>
    <x v="3"/>
  </r>
  <r>
    <x v="3"/>
    <n v="2"/>
    <x v="2"/>
  </r>
  <r>
    <x v="4"/>
    <n v="1"/>
    <x v="2"/>
  </r>
  <r>
    <x v="2"/>
    <n v="2"/>
    <x v="10"/>
  </r>
  <r>
    <x v="2"/>
    <n v="2"/>
    <x v="3"/>
  </r>
  <r>
    <x v="4"/>
    <n v="1"/>
    <x v="11"/>
  </r>
  <r>
    <x v="3"/>
    <n v="1"/>
    <x v="3"/>
  </r>
  <r>
    <x v="4"/>
    <n v="1"/>
    <x v="4"/>
  </r>
  <r>
    <x v="3"/>
    <n v="2"/>
    <x v="3"/>
  </r>
  <r>
    <x v="7"/>
    <n v="1"/>
    <x v="4"/>
  </r>
  <r>
    <x v="8"/>
    <n v="2"/>
    <x v="5"/>
  </r>
  <r>
    <x v="10"/>
    <n v="2"/>
    <x v="3"/>
  </r>
  <r>
    <x v="5"/>
    <n v="1"/>
    <x v="1"/>
  </r>
  <r>
    <x v="10"/>
    <n v="2"/>
    <x v="4"/>
  </r>
  <r>
    <x v="7"/>
    <n v="2"/>
    <x v="3"/>
  </r>
  <r>
    <x v="7"/>
    <n v="2"/>
    <x v="4"/>
  </r>
  <r>
    <x v="1"/>
    <n v="2"/>
    <x v="12"/>
  </r>
  <r>
    <x v="1"/>
    <n v="2"/>
    <x v="10"/>
  </r>
  <r>
    <x v="5"/>
    <n v="2"/>
    <x v="4"/>
  </r>
  <r>
    <x v="2"/>
    <n v="2"/>
    <x v="12"/>
  </r>
  <r>
    <x v="1"/>
    <n v="1"/>
    <x v="3"/>
  </r>
  <r>
    <x v="4"/>
    <n v="1"/>
    <x v="7"/>
  </r>
  <r>
    <x v="3"/>
    <n v="2"/>
    <x v="12"/>
  </r>
  <r>
    <x v="5"/>
    <n v="1"/>
    <x v="12"/>
  </r>
  <r>
    <x v="11"/>
    <n v="1"/>
    <x v="5"/>
  </r>
  <r>
    <x v="2"/>
    <n v="1"/>
    <x v="3"/>
  </r>
  <r>
    <x v="4"/>
    <n v="1"/>
    <x v="11"/>
  </r>
  <r>
    <x v="3"/>
    <n v="2"/>
    <x v="3"/>
  </r>
  <r>
    <x v="1"/>
    <n v="2"/>
    <x v="3"/>
  </r>
  <r>
    <x v="3"/>
    <n v="1"/>
    <x v="2"/>
  </r>
  <r>
    <x v="7"/>
    <n v="1"/>
    <x v="4"/>
  </r>
  <r>
    <x v="4"/>
    <n v="1"/>
    <x v="2"/>
  </r>
  <r>
    <x v="11"/>
    <n v="2"/>
    <x v="6"/>
  </r>
  <r>
    <x v="7"/>
    <n v="2"/>
    <x v="10"/>
  </r>
  <r>
    <x v="9"/>
    <n v="2"/>
    <x v="4"/>
  </r>
  <r>
    <x v="2"/>
    <n v="2"/>
    <x v="9"/>
  </r>
  <r>
    <x v="3"/>
    <n v="2"/>
    <x v="9"/>
  </r>
  <r>
    <x v="3"/>
    <n v="2"/>
    <x v="7"/>
  </r>
  <r>
    <x v="1"/>
    <n v="1"/>
    <x v="4"/>
  </r>
  <r>
    <x v="9"/>
    <n v="1"/>
    <x v="0"/>
  </r>
  <r>
    <x v="6"/>
    <n v="1"/>
    <x v="9"/>
  </r>
  <r>
    <x v="7"/>
    <n v="2"/>
    <x v="6"/>
  </r>
  <r>
    <x v="3"/>
    <n v="2"/>
    <x v="6"/>
  </r>
  <r>
    <x v="3"/>
    <n v="2"/>
    <x v="3"/>
  </r>
  <r>
    <x v="10"/>
    <n v="2"/>
    <x v="5"/>
  </r>
  <r>
    <x v="2"/>
    <n v="1"/>
    <x v="0"/>
  </r>
  <r>
    <x v="11"/>
    <n v="1"/>
    <x v="10"/>
  </r>
  <r>
    <x v="10"/>
    <n v="1"/>
    <x v="12"/>
  </r>
  <r>
    <x v="3"/>
    <n v="1"/>
    <x v="3"/>
  </r>
  <r>
    <x v="4"/>
    <n v="1"/>
    <x v="4"/>
  </r>
  <r>
    <x v="11"/>
    <n v="1"/>
    <x v="5"/>
  </r>
  <r>
    <x v="4"/>
    <n v="1"/>
    <x v="4"/>
  </r>
  <r>
    <x v="3"/>
    <n v="1"/>
    <x v="3"/>
  </r>
  <r>
    <x v="4"/>
    <n v="1"/>
    <x v="2"/>
  </r>
  <r>
    <x v="7"/>
    <n v="1"/>
    <x v="3"/>
  </r>
  <r>
    <x v="1"/>
    <n v="1"/>
    <x v="5"/>
  </r>
  <r>
    <x v="5"/>
    <n v="1"/>
    <x v="7"/>
  </r>
  <r>
    <x v="1"/>
    <n v="2"/>
    <x v="12"/>
  </r>
  <r>
    <x v="3"/>
    <n v="1"/>
    <x v="7"/>
  </r>
  <r>
    <x v="1"/>
    <n v="1"/>
    <x v="4"/>
  </r>
  <r>
    <x v="6"/>
    <n v="2"/>
    <x v="3"/>
  </r>
  <r>
    <x v="4"/>
    <n v="1"/>
    <x v="11"/>
  </r>
  <r>
    <x v="8"/>
    <n v="2"/>
    <x v="6"/>
  </r>
  <r>
    <x v="5"/>
    <n v="2"/>
    <x v="3"/>
  </r>
  <r>
    <x v="4"/>
    <n v="1"/>
    <x v="5"/>
  </r>
  <r>
    <x v="5"/>
    <n v="1"/>
    <x v="3"/>
  </r>
  <r>
    <x v="7"/>
    <n v="1"/>
    <x v="5"/>
  </r>
  <r>
    <x v="5"/>
    <n v="1"/>
    <x v="2"/>
  </r>
  <r>
    <x v="3"/>
    <n v="2"/>
    <x v="5"/>
  </r>
  <r>
    <x v="3"/>
    <n v="2"/>
    <x v="6"/>
  </r>
  <r>
    <x v="3"/>
    <n v="2"/>
    <x v="3"/>
  </r>
  <r>
    <x v="11"/>
    <n v="2"/>
    <x v="9"/>
  </r>
  <r>
    <x v="3"/>
    <n v="2"/>
    <x v="9"/>
  </r>
  <r>
    <x v="7"/>
    <n v="2"/>
    <x v="10"/>
  </r>
  <r>
    <x v="7"/>
    <n v="1"/>
    <x v="10"/>
  </r>
  <r>
    <x v="3"/>
    <n v="1"/>
    <x v="3"/>
  </r>
  <r>
    <x v="4"/>
    <n v="1"/>
    <x v="4"/>
  </r>
  <r>
    <x v="10"/>
    <n v="1"/>
    <x v="5"/>
  </r>
  <r>
    <x v="7"/>
    <n v="2"/>
    <x v="10"/>
  </r>
  <r>
    <x v="5"/>
    <n v="2"/>
    <x v="3"/>
  </r>
  <r>
    <x v="7"/>
    <n v="1"/>
    <x v="3"/>
  </r>
  <r>
    <x v="4"/>
    <n v="2"/>
    <x v="2"/>
  </r>
  <r>
    <x v="3"/>
    <n v="1"/>
    <x v="7"/>
  </r>
  <r>
    <x v="1"/>
    <n v="1"/>
    <x v="4"/>
  </r>
  <r>
    <x v="3"/>
    <n v="2"/>
    <x v="7"/>
  </r>
  <r>
    <x v="1"/>
    <n v="1"/>
    <x v="4"/>
  </r>
  <r>
    <x v="3"/>
    <n v="1"/>
    <x v="3"/>
  </r>
  <r>
    <x v="4"/>
    <n v="1"/>
    <x v="5"/>
  </r>
  <r>
    <x v="5"/>
    <n v="1"/>
    <x v="3"/>
  </r>
  <r>
    <x v="4"/>
    <n v="2"/>
    <x v="12"/>
  </r>
  <r>
    <x v="4"/>
    <n v="1"/>
    <x v="10"/>
  </r>
  <r>
    <x v="10"/>
    <n v="1"/>
    <x v="3"/>
  </r>
  <r>
    <x v="5"/>
    <n v="2"/>
    <x v="10"/>
  </r>
  <r>
    <x v="4"/>
    <n v="2"/>
    <x v="9"/>
  </r>
  <r>
    <x v="9"/>
    <n v="2"/>
    <x v="3"/>
  </r>
  <r>
    <x v="10"/>
    <n v="2"/>
    <x v="4"/>
  </r>
  <r>
    <x v="3"/>
    <n v="1"/>
    <x v="10"/>
  </r>
  <r>
    <x v="3"/>
    <n v="2"/>
    <x v="3"/>
  </r>
  <r>
    <x v="2"/>
    <n v="2"/>
    <x v="10"/>
  </r>
  <r>
    <x v="11"/>
    <n v="2"/>
    <x v="3"/>
  </r>
  <r>
    <x v="4"/>
    <n v="1"/>
    <x v="12"/>
  </r>
  <r>
    <x v="3"/>
    <n v="2"/>
    <x v="10"/>
  </r>
  <r>
    <x v="10"/>
    <n v="1"/>
    <x v="4"/>
  </r>
  <r>
    <x v="3"/>
    <n v="2"/>
    <x v="3"/>
  </r>
  <r>
    <x v="1"/>
    <n v="2"/>
    <x v="12"/>
  </r>
  <r>
    <x v="3"/>
    <n v="2"/>
    <x v="12"/>
  </r>
  <r>
    <x v="3"/>
    <n v="1"/>
    <x v="7"/>
  </r>
  <r>
    <x v="1"/>
    <n v="1"/>
    <x v="4"/>
  </r>
  <r>
    <x v="3"/>
    <n v="2"/>
    <x v="7"/>
  </r>
  <r>
    <x v="3"/>
    <n v="2"/>
    <x v="5"/>
  </r>
  <r>
    <x v="5"/>
    <n v="1"/>
    <x v="4"/>
  </r>
  <r>
    <x v="5"/>
    <n v="1"/>
    <x v="12"/>
  </r>
  <r>
    <x v="11"/>
    <n v="1"/>
    <x v="5"/>
  </r>
  <r>
    <x v="4"/>
    <n v="1"/>
    <x v="1"/>
  </r>
  <r>
    <x v="8"/>
    <n v="2"/>
    <x v="3"/>
  </r>
  <r>
    <x v="8"/>
    <n v="1"/>
    <x v="6"/>
  </r>
  <r>
    <x v="5"/>
    <n v="2"/>
    <x v="6"/>
  </r>
  <r>
    <x v="5"/>
    <n v="2"/>
    <x v="6"/>
  </r>
  <r>
    <x v="3"/>
    <n v="2"/>
    <x v="7"/>
  </r>
  <r>
    <x v="1"/>
    <n v="1"/>
    <x v="4"/>
  </r>
  <r>
    <x v="1"/>
    <n v="2"/>
    <x v="10"/>
  </r>
  <r>
    <x v="3"/>
    <n v="2"/>
    <x v="10"/>
  </r>
  <r>
    <x v="2"/>
    <n v="2"/>
    <x v="10"/>
  </r>
  <r>
    <x v="7"/>
    <n v="2"/>
    <x v="12"/>
  </r>
  <r>
    <x v="8"/>
    <n v="2"/>
    <x v="9"/>
  </r>
  <r>
    <x v="5"/>
    <n v="2"/>
    <x v="6"/>
  </r>
  <r>
    <x v="11"/>
    <n v="2"/>
    <x v="10"/>
  </r>
  <r>
    <x v="11"/>
    <n v="1"/>
    <x v="7"/>
  </r>
  <r>
    <x v="1"/>
    <n v="1"/>
    <x v="12"/>
  </r>
  <r>
    <x v="3"/>
    <n v="2"/>
    <x v="5"/>
  </r>
  <r>
    <x v="1"/>
    <n v="2"/>
    <x v="5"/>
  </r>
  <r>
    <x v="2"/>
    <n v="1"/>
    <x v="6"/>
  </r>
  <r>
    <x v="5"/>
    <n v="2"/>
    <x v="6"/>
  </r>
  <r>
    <x v="9"/>
    <n v="2"/>
    <x v="6"/>
  </r>
  <r>
    <x v="9"/>
    <n v="2"/>
    <x v="1"/>
  </r>
  <r>
    <x v="5"/>
    <n v="2"/>
    <x v="6"/>
  </r>
  <r>
    <x v="4"/>
    <n v="2"/>
    <x v="6"/>
  </r>
  <r>
    <x v="3"/>
    <n v="2"/>
    <x v="3"/>
  </r>
  <r>
    <x v="4"/>
    <n v="1"/>
    <x v="4"/>
  </r>
  <r>
    <x v="11"/>
    <n v="2"/>
    <x v="10"/>
  </r>
  <r>
    <x v="7"/>
    <n v="2"/>
    <x v="6"/>
  </r>
  <r>
    <x v="3"/>
    <n v="1"/>
    <x v="3"/>
  </r>
  <r>
    <x v="4"/>
    <n v="1"/>
    <x v="4"/>
  </r>
  <r>
    <x v="5"/>
    <n v="2"/>
    <x v="10"/>
  </r>
  <r>
    <x v="10"/>
    <n v="2"/>
    <x v="6"/>
  </r>
  <r>
    <x v="2"/>
    <n v="2"/>
    <x v="10"/>
  </r>
  <r>
    <x v="5"/>
    <n v="1"/>
    <x v="6"/>
  </r>
  <r>
    <x v="5"/>
    <n v="1"/>
    <x v="12"/>
  </r>
  <r>
    <x v="11"/>
    <n v="1"/>
    <x v="5"/>
  </r>
  <r>
    <x v="7"/>
    <n v="2"/>
    <x v="6"/>
  </r>
  <r>
    <x v="3"/>
    <n v="2"/>
    <x v="7"/>
  </r>
  <r>
    <x v="1"/>
    <n v="1"/>
    <x v="4"/>
  </r>
  <r>
    <x v="7"/>
    <n v="2"/>
    <x v="6"/>
  </r>
  <r>
    <x v="3"/>
    <n v="2"/>
    <x v="5"/>
  </r>
  <r>
    <x v="3"/>
    <n v="1"/>
    <x v="3"/>
  </r>
  <r>
    <x v="4"/>
    <n v="1"/>
    <x v="4"/>
  </r>
  <r>
    <x v="2"/>
    <n v="1"/>
    <x v="8"/>
  </r>
  <r>
    <x v="0"/>
    <n v="1"/>
    <x v="11"/>
  </r>
  <r>
    <x v="11"/>
    <n v="2"/>
    <x v="5"/>
  </r>
  <r>
    <x v="3"/>
    <n v="1"/>
    <x v="2"/>
  </r>
  <r>
    <x v="7"/>
    <n v="1"/>
    <x v="4"/>
  </r>
  <r>
    <x v="4"/>
    <n v="2"/>
    <x v="6"/>
  </r>
  <r>
    <x v="3"/>
    <n v="2"/>
    <x v="6"/>
  </r>
  <r>
    <x v="11"/>
    <n v="1"/>
    <x v="5"/>
  </r>
  <r>
    <x v="5"/>
    <n v="1"/>
    <x v="12"/>
  </r>
  <r>
    <x v="3"/>
    <n v="2"/>
    <x v="12"/>
  </r>
  <r>
    <x v="3"/>
    <n v="1"/>
    <x v="3"/>
  </r>
  <r>
    <x v="4"/>
    <n v="1"/>
    <x v="4"/>
  </r>
  <r>
    <x v="3"/>
    <n v="1"/>
    <x v="10"/>
  </r>
  <r>
    <x v="8"/>
    <n v="2"/>
    <x v="8"/>
  </r>
  <r>
    <x v="4"/>
    <n v="1"/>
    <x v="1"/>
  </r>
  <r>
    <x v="8"/>
    <n v="1"/>
    <x v="3"/>
  </r>
  <r>
    <x v="3"/>
    <n v="2"/>
    <x v="1"/>
  </r>
  <r>
    <x v="2"/>
    <n v="1"/>
    <x v="2"/>
  </r>
  <r>
    <x v="7"/>
    <n v="1"/>
    <x v="11"/>
  </r>
  <r>
    <x v="10"/>
    <n v="2"/>
    <x v="6"/>
  </r>
  <r>
    <x v="11"/>
    <n v="2"/>
    <x v="10"/>
  </r>
  <r>
    <x v="7"/>
    <n v="2"/>
    <x v="6"/>
  </r>
  <r>
    <x v="6"/>
    <n v="2"/>
    <x v="3"/>
  </r>
  <r>
    <x v="3"/>
    <n v="2"/>
    <x v="5"/>
  </r>
  <r>
    <x v="11"/>
    <n v="1"/>
    <x v="11"/>
  </r>
  <r>
    <x v="2"/>
    <n v="1"/>
    <x v="12"/>
  </r>
  <r>
    <x v="11"/>
    <n v="1"/>
    <x v="4"/>
  </r>
  <r>
    <x v="3"/>
    <n v="1"/>
    <x v="12"/>
  </r>
  <r>
    <x v="11"/>
    <n v="2"/>
    <x v="6"/>
  </r>
  <r>
    <x v="11"/>
    <n v="1"/>
    <x v="5"/>
  </r>
  <r>
    <x v="5"/>
    <n v="1"/>
    <x v="12"/>
  </r>
  <r>
    <x v="5"/>
    <n v="2"/>
    <x v="6"/>
  </r>
  <r>
    <x v="4"/>
    <n v="2"/>
    <x v="12"/>
  </r>
  <r>
    <x v="5"/>
    <n v="2"/>
    <x v="6"/>
  </r>
  <r>
    <x v="11"/>
    <n v="2"/>
    <x v="6"/>
  </r>
  <r>
    <x v="1"/>
    <n v="1"/>
    <x v="12"/>
  </r>
  <r>
    <x v="11"/>
    <n v="1"/>
    <x v="7"/>
  </r>
  <r>
    <x v="1"/>
    <n v="1"/>
    <x v="10"/>
  </r>
  <r>
    <x v="2"/>
    <n v="2"/>
    <x v="10"/>
  </r>
  <r>
    <x v="4"/>
    <n v="2"/>
    <x v="11"/>
  </r>
  <r>
    <x v="2"/>
    <n v="1"/>
    <x v="2"/>
  </r>
  <r>
    <x v="7"/>
    <n v="1"/>
    <x v="11"/>
  </r>
  <r>
    <x v="7"/>
    <n v="2"/>
    <x v="10"/>
  </r>
  <r>
    <x v="4"/>
    <n v="1"/>
    <x v="6"/>
  </r>
  <r>
    <x v="11"/>
    <n v="1"/>
    <x v="7"/>
  </r>
  <r>
    <x v="1"/>
    <n v="2"/>
    <x v="12"/>
  </r>
  <r>
    <x v="1"/>
    <n v="2"/>
    <x v="10"/>
  </r>
  <r>
    <x v="3"/>
    <n v="2"/>
    <x v="7"/>
  </r>
  <r>
    <x v="2"/>
    <n v="2"/>
    <x v="3"/>
  </r>
  <r>
    <x v="5"/>
    <n v="2"/>
    <x v="6"/>
  </r>
  <r>
    <x v="7"/>
    <n v="2"/>
    <x v="3"/>
  </r>
  <r>
    <x v="6"/>
    <n v="1"/>
    <x v="2"/>
  </r>
  <r>
    <x v="7"/>
    <n v="2"/>
    <x v="0"/>
  </r>
  <r>
    <x v="1"/>
    <n v="1"/>
    <x v="3"/>
  </r>
  <r>
    <x v="4"/>
    <n v="1"/>
    <x v="7"/>
  </r>
  <r>
    <x v="11"/>
    <n v="2"/>
    <x v="6"/>
  </r>
  <r>
    <x v="6"/>
    <n v="2"/>
    <x v="3"/>
  </r>
  <r>
    <x v="6"/>
    <n v="2"/>
    <x v="9"/>
  </r>
  <r>
    <x v="2"/>
    <n v="2"/>
    <x v="3"/>
  </r>
  <r>
    <x v="5"/>
    <n v="1"/>
    <x v="3"/>
  </r>
  <r>
    <x v="4"/>
    <n v="1"/>
    <x v="5"/>
  </r>
  <r>
    <x v="6"/>
    <n v="2"/>
    <x v="5"/>
  </r>
  <r>
    <x v="5"/>
    <n v="1"/>
    <x v="0"/>
  </r>
  <r>
    <x v="5"/>
    <n v="2"/>
    <x v="6"/>
  </r>
  <r>
    <x v="11"/>
    <n v="2"/>
    <x v="8"/>
  </r>
  <r>
    <x v="5"/>
    <n v="2"/>
    <x v="12"/>
  </r>
  <r>
    <x v="11"/>
    <n v="2"/>
    <x v="5"/>
  </r>
  <r>
    <x v="3"/>
    <n v="2"/>
    <x v="5"/>
  </r>
  <r>
    <x v="5"/>
    <n v="1"/>
    <x v="4"/>
  </r>
  <r>
    <x v="11"/>
    <n v="2"/>
    <x v="6"/>
  </r>
  <r>
    <x v="3"/>
    <n v="2"/>
    <x v="10"/>
  </r>
  <r>
    <x v="2"/>
    <n v="2"/>
    <x v="3"/>
  </r>
  <r>
    <x v="11"/>
    <n v="2"/>
    <x v="6"/>
  </r>
  <r>
    <x v="1"/>
    <n v="1"/>
    <x v="6"/>
  </r>
  <r>
    <x v="11"/>
    <n v="1"/>
    <x v="10"/>
  </r>
  <r>
    <x v="3"/>
    <n v="1"/>
    <x v="5"/>
  </r>
  <r>
    <x v="5"/>
    <n v="1"/>
    <x v="4"/>
  </r>
  <r>
    <x v="8"/>
    <n v="1"/>
    <x v="11"/>
  </r>
  <r>
    <x v="2"/>
    <n v="1"/>
    <x v="1"/>
  </r>
  <r>
    <x v="8"/>
    <n v="2"/>
    <x v="5"/>
  </r>
  <r>
    <x v="7"/>
    <n v="2"/>
    <x v="3"/>
  </r>
  <r>
    <x v="5"/>
    <n v="2"/>
    <x v="3"/>
  </r>
  <r>
    <x v="6"/>
    <n v="2"/>
    <x v="3"/>
  </r>
  <r>
    <x v="2"/>
    <n v="2"/>
    <x v="9"/>
  </r>
  <r>
    <x v="2"/>
    <n v="2"/>
    <x v="0"/>
  </r>
  <r>
    <x v="11"/>
    <n v="2"/>
    <x v="6"/>
  </r>
  <r>
    <x v="5"/>
    <n v="1"/>
    <x v="3"/>
  </r>
  <r>
    <x v="4"/>
    <n v="1"/>
    <x v="5"/>
  </r>
  <r>
    <x v="5"/>
    <n v="2"/>
    <x v="6"/>
  </r>
  <r>
    <x v="3"/>
    <n v="1"/>
    <x v="12"/>
  </r>
  <r>
    <x v="11"/>
    <n v="1"/>
    <x v="4"/>
  </r>
  <r>
    <x v="10"/>
    <n v="1"/>
    <x v="1"/>
  </r>
  <r>
    <x v="8"/>
    <n v="1"/>
    <x v="10"/>
  </r>
  <r>
    <x v="2"/>
    <n v="2"/>
    <x v="10"/>
  </r>
  <r>
    <x v="3"/>
    <n v="2"/>
    <x v="3"/>
  </r>
  <r>
    <x v="11"/>
    <n v="1"/>
    <x v="5"/>
  </r>
  <r>
    <x v="5"/>
    <n v="1"/>
    <x v="12"/>
  </r>
  <r>
    <x v="3"/>
    <n v="1"/>
    <x v="7"/>
  </r>
  <r>
    <x v="1"/>
    <n v="1"/>
    <x v="4"/>
  </r>
  <r>
    <x v="2"/>
    <n v="2"/>
    <x v="9"/>
  </r>
  <r>
    <x v="1"/>
    <n v="1"/>
    <x v="12"/>
  </r>
  <r>
    <x v="11"/>
    <n v="1"/>
    <x v="7"/>
  </r>
  <r>
    <x v="3"/>
    <n v="1"/>
    <x v="3"/>
  </r>
  <r>
    <x v="7"/>
    <n v="2"/>
    <x v="10"/>
  </r>
  <r>
    <x v="4"/>
    <n v="2"/>
    <x v="4"/>
  </r>
  <r>
    <x v="4"/>
    <n v="2"/>
    <x v="9"/>
  </r>
  <r>
    <x v="3"/>
    <n v="2"/>
    <x v="3"/>
  </r>
  <r>
    <x v="9"/>
    <n v="1"/>
    <x v="4"/>
  </r>
  <r>
    <x v="9"/>
    <n v="1"/>
    <x v="3"/>
  </r>
  <r>
    <x v="10"/>
    <n v="2"/>
    <x v="6"/>
  </r>
  <r>
    <x v="1"/>
    <n v="2"/>
    <x v="10"/>
  </r>
  <r>
    <x v="3"/>
    <n v="1"/>
    <x v="10"/>
  </r>
  <r>
    <x v="3"/>
    <n v="1"/>
    <x v="7"/>
  </r>
  <r>
    <x v="1"/>
    <n v="1"/>
    <x v="4"/>
  </r>
  <r>
    <x v="3"/>
    <n v="2"/>
    <x v="7"/>
  </r>
  <r>
    <x v="1"/>
    <n v="1"/>
    <x v="4"/>
  </r>
  <r>
    <x v="5"/>
    <n v="2"/>
    <x v="12"/>
  </r>
  <r>
    <x v="5"/>
    <n v="2"/>
    <x v="11"/>
  </r>
  <r>
    <x v="2"/>
    <n v="1"/>
    <x v="5"/>
  </r>
  <r>
    <x v="3"/>
    <n v="2"/>
    <x v="0"/>
  </r>
  <r>
    <x v="0"/>
    <n v="1"/>
    <x v="0"/>
  </r>
  <r>
    <x v="5"/>
    <n v="2"/>
    <x v="12"/>
  </r>
  <r>
    <x v="11"/>
    <n v="1"/>
    <x v="5"/>
  </r>
  <r>
    <x v="11"/>
    <n v="2"/>
    <x v="3"/>
  </r>
  <r>
    <x v="4"/>
    <n v="1"/>
    <x v="12"/>
  </r>
  <r>
    <x v="5"/>
    <n v="2"/>
    <x v="12"/>
  </r>
  <r>
    <x v="4"/>
    <n v="2"/>
    <x v="12"/>
  </r>
  <r>
    <x v="7"/>
    <n v="2"/>
    <x v="10"/>
  </r>
  <r>
    <x v="5"/>
    <n v="2"/>
    <x v="12"/>
  </r>
  <r>
    <x v="6"/>
    <n v="1"/>
    <x v="8"/>
  </r>
  <r>
    <x v="0"/>
    <n v="1"/>
    <x v="0"/>
  </r>
  <r>
    <x v="2"/>
    <n v="2"/>
    <x v="8"/>
  </r>
  <r>
    <x v="11"/>
    <n v="1"/>
    <x v="7"/>
  </r>
  <r>
    <x v="1"/>
    <n v="2"/>
    <x v="12"/>
  </r>
  <r>
    <x v="6"/>
    <n v="1"/>
    <x v="8"/>
  </r>
  <r>
    <x v="6"/>
    <n v="2"/>
    <x v="10"/>
  </r>
  <r>
    <x v="5"/>
    <n v="2"/>
    <x v="6"/>
  </r>
  <r>
    <x v="5"/>
    <n v="2"/>
    <x v="6"/>
  </r>
  <r>
    <x v="3"/>
    <n v="1"/>
    <x v="7"/>
  </r>
  <r>
    <x v="1"/>
    <n v="1"/>
    <x v="4"/>
  </r>
  <r>
    <x v="5"/>
    <n v="2"/>
    <x v="6"/>
  </r>
  <r>
    <x v="4"/>
    <n v="2"/>
    <x v="1"/>
  </r>
  <r>
    <x v="4"/>
    <n v="2"/>
    <x v="0"/>
  </r>
  <r>
    <x v="6"/>
    <n v="2"/>
    <x v="3"/>
  </r>
  <r>
    <x v="4"/>
    <n v="2"/>
    <x v="4"/>
  </r>
  <r>
    <x v="3"/>
    <n v="1"/>
    <x v="3"/>
  </r>
  <r>
    <x v="6"/>
    <n v="1"/>
    <x v="8"/>
  </r>
  <r>
    <x v="3"/>
    <n v="2"/>
    <x v="3"/>
  </r>
  <r>
    <x v="4"/>
    <n v="1"/>
    <x v="4"/>
  </r>
  <r>
    <x v="5"/>
    <n v="2"/>
    <x v="6"/>
  </r>
  <r>
    <x v="4"/>
    <n v="1"/>
    <x v="11"/>
  </r>
  <r>
    <x v="2"/>
    <n v="1"/>
    <x v="3"/>
  </r>
  <r>
    <x v="3"/>
    <n v="2"/>
    <x v="3"/>
  </r>
  <r>
    <x v="4"/>
    <n v="1"/>
    <x v="4"/>
  </r>
  <r>
    <x v="3"/>
    <n v="1"/>
    <x v="7"/>
  </r>
  <r>
    <x v="1"/>
    <n v="1"/>
    <x v="4"/>
  </r>
  <r>
    <x v="1"/>
    <n v="1"/>
    <x v="3"/>
  </r>
  <r>
    <x v="4"/>
    <n v="1"/>
    <x v="7"/>
  </r>
  <r>
    <x v="2"/>
    <n v="2"/>
    <x v="12"/>
  </r>
  <r>
    <x v="9"/>
    <n v="2"/>
    <x v="6"/>
  </r>
  <r>
    <x v="5"/>
    <n v="2"/>
    <x v="12"/>
  </r>
  <r>
    <x v="3"/>
    <n v="2"/>
    <x v="12"/>
  </r>
  <r>
    <x v="6"/>
    <n v="1"/>
    <x v="12"/>
  </r>
  <r>
    <x v="11"/>
    <n v="1"/>
    <x v="0"/>
  </r>
  <r>
    <x v="5"/>
    <n v="2"/>
    <x v="2"/>
  </r>
  <r>
    <x v="5"/>
    <n v="2"/>
    <x v="12"/>
  </r>
  <r>
    <x v="3"/>
    <n v="1"/>
    <x v="5"/>
  </r>
  <r>
    <x v="5"/>
    <n v="1"/>
    <x v="4"/>
  </r>
  <r>
    <x v="3"/>
    <n v="2"/>
    <x v="6"/>
  </r>
  <r>
    <x v="3"/>
    <n v="2"/>
    <x v="3"/>
  </r>
  <r>
    <x v="3"/>
    <n v="2"/>
    <x v="3"/>
  </r>
  <r>
    <x v="4"/>
    <n v="1"/>
    <x v="4"/>
  </r>
  <r>
    <x v="3"/>
    <n v="1"/>
    <x v="5"/>
  </r>
  <r>
    <x v="5"/>
    <n v="2"/>
    <x v="4"/>
  </r>
  <r>
    <x v="11"/>
    <n v="2"/>
    <x v="5"/>
  </r>
  <r>
    <x v="5"/>
    <n v="1"/>
    <x v="12"/>
  </r>
  <r>
    <x v="3"/>
    <n v="1"/>
    <x v="10"/>
  </r>
  <r>
    <x v="2"/>
    <n v="2"/>
    <x v="6"/>
  </r>
  <r>
    <x v="3"/>
    <n v="2"/>
    <x v="12"/>
  </r>
  <r>
    <x v="11"/>
    <n v="1"/>
    <x v="4"/>
  </r>
  <r>
    <x v="3"/>
    <n v="1"/>
    <x v="5"/>
  </r>
  <r>
    <x v="5"/>
    <n v="1"/>
    <x v="4"/>
  </r>
  <r>
    <x v="3"/>
    <n v="2"/>
    <x v="7"/>
  </r>
  <r>
    <x v="1"/>
    <n v="1"/>
    <x v="1"/>
  </r>
  <r>
    <x v="1"/>
    <n v="1"/>
    <x v="4"/>
  </r>
  <r>
    <x v="5"/>
    <n v="2"/>
    <x v="3"/>
  </r>
  <r>
    <x v="4"/>
    <n v="1"/>
    <x v="5"/>
  </r>
  <r>
    <x v="5"/>
    <n v="1"/>
    <x v="3"/>
  </r>
  <r>
    <x v="2"/>
    <n v="2"/>
    <x v="5"/>
  </r>
  <r>
    <x v="5"/>
    <n v="1"/>
    <x v="11"/>
  </r>
  <r>
    <x v="3"/>
    <n v="2"/>
    <x v="6"/>
  </r>
  <r>
    <x v="8"/>
    <n v="2"/>
    <x v="5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">
  <r>
    <x v="0"/>
    <n v="1"/>
    <x v="0"/>
  </r>
  <r>
    <x v="1"/>
    <n v="1"/>
    <x v="1"/>
  </r>
  <r>
    <x v="2"/>
    <n v="1"/>
    <x v="2"/>
  </r>
  <r>
    <x v="3"/>
    <n v="2"/>
    <x v="1"/>
  </r>
  <r>
    <x v="0"/>
    <n v="2"/>
    <x v="3"/>
  </r>
  <r>
    <x v="4"/>
    <n v="1"/>
    <x v="4"/>
  </r>
  <r>
    <x v="0"/>
    <n v="1"/>
    <x v="5"/>
  </r>
  <r>
    <x v="0"/>
    <n v="1"/>
    <x v="6"/>
  </r>
  <r>
    <x v="3"/>
    <n v="1"/>
    <x v="4"/>
  </r>
  <r>
    <x v="2"/>
    <n v="1"/>
    <x v="3"/>
  </r>
  <r>
    <x v="4"/>
    <n v="1"/>
    <x v="1"/>
  </r>
  <r>
    <x v="2"/>
    <n v="1"/>
    <x v="2"/>
  </r>
  <r>
    <x v="1"/>
    <n v="1"/>
    <x v="1"/>
  </r>
  <r>
    <x v="1"/>
    <n v="2"/>
    <x v="5"/>
  </r>
  <r>
    <x v="5"/>
    <n v="1"/>
    <x v="7"/>
  </r>
  <r>
    <x v="6"/>
    <n v="1"/>
    <x v="8"/>
  </r>
  <r>
    <x v="6"/>
    <n v="2"/>
    <x v="1"/>
  </r>
  <r>
    <x v="2"/>
    <n v="1"/>
    <x v="7"/>
  </r>
  <r>
    <x v="0"/>
    <n v="2"/>
    <x v="7"/>
  </r>
  <r>
    <x v="2"/>
    <n v="1"/>
    <x v="4"/>
  </r>
  <r>
    <x v="0"/>
    <n v="1"/>
    <x v="1"/>
  </r>
  <r>
    <x v="6"/>
    <n v="1"/>
    <x v="4"/>
  </r>
  <r>
    <x v="1"/>
    <n v="2"/>
    <x v="5"/>
  </r>
  <r>
    <x v="5"/>
    <n v="1"/>
    <x v="1"/>
  </r>
  <r>
    <x v="2"/>
    <n v="1"/>
    <x v="8"/>
  </r>
  <r>
    <x v="3"/>
    <n v="2"/>
    <x v="1"/>
  </r>
  <r>
    <x v="0"/>
    <n v="1"/>
    <x v="1"/>
  </r>
  <r>
    <x v="2"/>
    <n v="1"/>
    <x v="4"/>
  </r>
  <r>
    <x v="4"/>
    <n v="2"/>
    <x v="1"/>
  </r>
  <r>
    <x v="2"/>
    <n v="1"/>
    <x v="3"/>
  </r>
  <r>
    <x v="1"/>
    <n v="2"/>
    <x v="7"/>
  </r>
  <r>
    <x v="6"/>
    <n v="1"/>
    <x v="2"/>
  </r>
  <r>
    <x v="1"/>
    <n v="1"/>
    <x v="4"/>
  </r>
  <r>
    <x v="0"/>
    <n v="2"/>
    <x v="2"/>
  </r>
  <r>
    <x v="0"/>
    <n v="1"/>
    <x v="9"/>
  </r>
  <r>
    <x v="7"/>
    <n v="1"/>
    <x v="4"/>
  </r>
  <r>
    <x v="1"/>
    <n v="2"/>
    <x v="5"/>
  </r>
  <r>
    <x v="2"/>
    <n v="2"/>
    <x v="2"/>
  </r>
  <r>
    <x v="1"/>
    <n v="2"/>
    <x v="1"/>
  </r>
  <r>
    <x v="3"/>
    <n v="1"/>
    <x v="4"/>
  </r>
  <r>
    <x v="0"/>
    <n v="2"/>
    <x v="6"/>
  </r>
  <r>
    <x v="0"/>
    <n v="1"/>
    <x v="5"/>
  </r>
  <r>
    <x v="1"/>
    <n v="2"/>
    <x v="6"/>
  </r>
  <r>
    <x v="1"/>
    <n v="1"/>
    <x v="1"/>
  </r>
  <r>
    <x v="2"/>
    <n v="1"/>
    <x v="2"/>
  </r>
  <r>
    <x v="1"/>
    <n v="2"/>
    <x v="1"/>
  </r>
  <r>
    <x v="1"/>
    <n v="2"/>
    <x v="5"/>
  </r>
  <r>
    <x v="8"/>
    <n v="2"/>
    <x v="4"/>
  </r>
  <r>
    <x v="8"/>
    <n v="2"/>
    <x v="3"/>
  </r>
  <r>
    <x v="0"/>
    <n v="2"/>
    <x v="6"/>
  </r>
  <r>
    <x v="4"/>
    <n v="1"/>
    <x v="6"/>
  </r>
  <r>
    <x v="3"/>
    <n v="1"/>
    <x v="3"/>
  </r>
  <r>
    <x v="3"/>
    <n v="1"/>
    <x v="4"/>
  </r>
  <r>
    <x v="0"/>
    <n v="1"/>
    <x v="2"/>
  </r>
  <r>
    <x v="1"/>
    <n v="1"/>
    <x v="4"/>
  </r>
  <r>
    <x v="3"/>
    <n v="2"/>
    <x v="4"/>
  </r>
  <r>
    <x v="0"/>
    <n v="1"/>
    <x v="6"/>
  </r>
  <r>
    <x v="2"/>
    <n v="2"/>
    <x v="5"/>
  </r>
  <r>
    <x v="3"/>
    <n v="1"/>
    <x v="4"/>
  </r>
  <r>
    <x v="0"/>
    <n v="1"/>
    <x v="6"/>
  </r>
  <r>
    <x v="1"/>
    <n v="2"/>
    <x v="1"/>
  </r>
  <r>
    <x v="2"/>
    <n v="2"/>
    <x v="5"/>
  </r>
  <r>
    <x v="3"/>
    <n v="2"/>
    <x v="2"/>
  </r>
  <r>
    <x v="1"/>
    <n v="1"/>
    <x v="6"/>
  </r>
  <r>
    <x v="4"/>
    <n v="2"/>
    <x v="6"/>
  </r>
  <r>
    <x v="4"/>
    <n v="2"/>
    <x v="2"/>
  </r>
  <r>
    <x v="3"/>
    <n v="1"/>
    <x v="3"/>
  </r>
  <r>
    <x v="1"/>
    <n v="1"/>
    <x v="3"/>
  </r>
  <r>
    <x v="2"/>
    <n v="1"/>
    <x v="2"/>
  </r>
  <r>
    <x v="1"/>
    <n v="1"/>
    <x v="1"/>
  </r>
  <r>
    <x v="6"/>
    <n v="2"/>
    <x v="8"/>
  </r>
  <r>
    <x v="5"/>
    <n v="1"/>
    <x v="7"/>
  </r>
  <r>
    <x v="6"/>
    <n v="2"/>
    <x v="5"/>
  </r>
  <r>
    <x v="0"/>
    <n v="1"/>
    <x v="6"/>
  </r>
  <r>
    <x v="3"/>
    <n v="1"/>
    <x v="4"/>
  </r>
  <r>
    <x v="2"/>
    <n v="2"/>
    <x v="5"/>
  </r>
  <r>
    <x v="1"/>
    <n v="1"/>
    <x v="4"/>
  </r>
  <r>
    <x v="0"/>
    <n v="1"/>
    <x v="2"/>
  </r>
  <r>
    <x v="1"/>
    <n v="2"/>
    <x v="7"/>
  </r>
  <r>
    <x v="1"/>
    <n v="2"/>
    <x v="1"/>
  </r>
  <r>
    <x v="6"/>
    <n v="1"/>
    <x v="9"/>
  </r>
  <r>
    <x v="6"/>
    <n v="2"/>
    <x v="5"/>
  </r>
  <r>
    <x v="2"/>
    <n v="2"/>
    <x v="5"/>
  </r>
  <r>
    <x v="0"/>
    <n v="2"/>
    <x v="5"/>
  </r>
  <r>
    <x v="6"/>
    <n v="2"/>
    <x v="5"/>
  </r>
  <r>
    <x v="1"/>
    <n v="2"/>
    <x v="1"/>
  </r>
  <r>
    <x v="1"/>
    <n v="1"/>
    <x v="1"/>
  </r>
  <r>
    <x v="6"/>
    <n v="1"/>
    <x v="9"/>
  </r>
  <r>
    <x v="6"/>
    <n v="2"/>
    <x v="5"/>
  </r>
  <r>
    <x v="2"/>
    <n v="1"/>
    <x v="2"/>
  </r>
  <r>
    <x v="2"/>
    <n v="2"/>
    <x v="5"/>
  </r>
  <r>
    <x v="0"/>
    <n v="2"/>
    <x v="6"/>
  </r>
  <r>
    <x v="3"/>
    <n v="1"/>
    <x v="4"/>
  </r>
  <r>
    <x v="3"/>
    <n v="2"/>
    <x v="4"/>
  </r>
  <r>
    <x v="2"/>
    <n v="1"/>
    <x v="2"/>
  </r>
  <r>
    <x v="1"/>
    <n v="1"/>
    <x v="1"/>
  </r>
  <r>
    <x v="0"/>
    <n v="1"/>
    <x v="2"/>
  </r>
  <r>
    <x v="1"/>
    <n v="1"/>
    <x v="4"/>
  </r>
  <r>
    <x v="0"/>
    <n v="2"/>
    <x v="5"/>
  </r>
  <r>
    <x v="4"/>
    <n v="2"/>
    <x v="5"/>
  </r>
  <r>
    <x v="1"/>
    <n v="2"/>
    <x v="1"/>
  </r>
  <r>
    <x v="1"/>
    <n v="1"/>
    <x v="4"/>
  </r>
  <r>
    <x v="0"/>
    <n v="1"/>
    <x v="2"/>
  </r>
  <r>
    <x v="6"/>
    <n v="1"/>
    <x v="10"/>
  </r>
  <r>
    <x v="0"/>
    <n v="2"/>
    <x v="5"/>
  </r>
  <r>
    <x v="9"/>
    <n v="2"/>
    <x v="2"/>
  </r>
  <r>
    <x v="7"/>
    <n v="2"/>
    <x v="5"/>
  </r>
  <r>
    <x v="1"/>
    <n v="2"/>
    <x v="6"/>
  </r>
  <r>
    <x v="1"/>
    <n v="2"/>
    <x v="5"/>
  </r>
  <r>
    <x v="1"/>
    <n v="2"/>
    <x v="1"/>
  </r>
  <r>
    <x v="2"/>
    <n v="1"/>
    <x v="2"/>
  </r>
  <r>
    <x v="1"/>
    <n v="2"/>
    <x v="6"/>
  </r>
  <r>
    <x v="3"/>
    <n v="2"/>
    <x v="8"/>
  </r>
  <r>
    <x v="1"/>
    <n v="2"/>
    <x v="5"/>
  </r>
  <r>
    <x v="1"/>
    <n v="2"/>
    <x v="5"/>
  </r>
  <r>
    <x v="1"/>
    <n v="2"/>
    <x v="5"/>
  </r>
  <r>
    <x v="0"/>
    <n v="1"/>
    <x v="2"/>
  </r>
  <r>
    <x v="4"/>
    <n v="1"/>
    <x v="2"/>
  </r>
  <r>
    <x v="1"/>
    <n v="1"/>
    <x v="3"/>
  </r>
  <r>
    <x v="1"/>
    <n v="1"/>
    <x v="4"/>
  </r>
  <r>
    <x v="3"/>
    <n v="1"/>
    <x v="1"/>
  </r>
  <r>
    <x v="6"/>
    <n v="2"/>
    <x v="6"/>
  </r>
  <r>
    <x v="0"/>
    <n v="1"/>
    <x v="5"/>
  </r>
  <r>
    <x v="5"/>
    <n v="2"/>
    <x v="5"/>
  </r>
  <r>
    <x v="0"/>
    <n v="2"/>
    <x v="5"/>
  </r>
  <r>
    <x v="1"/>
    <n v="2"/>
    <x v="5"/>
  </r>
  <r>
    <x v="1"/>
    <n v="1"/>
    <x v="1"/>
  </r>
  <r>
    <x v="2"/>
    <n v="2"/>
    <x v="5"/>
  </r>
  <r>
    <x v="2"/>
    <n v="1"/>
    <x v="2"/>
  </r>
  <r>
    <x v="6"/>
    <n v="2"/>
    <x v="5"/>
  </r>
  <r>
    <x v="1"/>
    <n v="2"/>
    <x v="1"/>
  </r>
  <r>
    <x v="2"/>
    <n v="1"/>
    <x v="5"/>
  </r>
  <r>
    <x v="0"/>
    <n v="2"/>
    <x v="5"/>
  </r>
  <r>
    <x v="1"/>
    <n v="1"/>
    <x v="1"/>
  </r>
  <r>
    <x v="2"/>
    <n v="1"/>
    <x v="2"/>
  </r>
  <r>
    <x v="2"/>
    <n v="2"/>
    <x v="7"/>
  </r>
  <r>
    <x v="1"/>
    <n v="2"/>
    <x v="7"/>
  </r>
  <r>
    <x v="6"/>
    <n v="1"/>
    <x v="2"/>
  </r>
  <r>
    <x v="6"/>
    <n v="1"/>
    <x v="1"/>
  </r>
  <r>
    <x v="4"/>
    <n v="1"/>
    <x v="5"/>
  </r>
  <r>
    <x v="3"/>
    <n v="1"/>
    <x v="5"/>
  </r>
  <r>
    <x v="5"/>
    <n v="2"/>
    <x v="5"/>
  </r>
  <r>
    <x v="1"/>
    <n v="2"/>
    <x v="1"/>
  </r>
  <r>
    <x v="7"/>
    <n v="2"/>
    <x v="1"/>
  </r>
  <r>
    <x v="3"/>
    <n v="2"/>
    <x v="5"/>
  </r>
  <r>
    <x v="1"/>
    <n v="2"/>
    <x v="7"/>
  </r>
  <r>
    <x v="6"/>
    <n v="1"/>
    <x v="5"/>
  </r>
  <r>
    <x v="1"/>
    <n v="1"/>
    <x v="5"/>
  </r>
  <r>
    <x v="10"/>
    <n v="2"/>
    <x v="1"/>
  </r>
  <r>
    <x v="5"/>
    <n v="2"/>
    <x v="1"/>
  </r>
  <r>
    <x v="2"/>
    <n v="1"/>
    <x v="2"/>
  </r>
  <r>
    <x v="1"/>
    <n v="2"/>
    <x v="1"/>
  </r>
  <r>
    <x v="1"/>
    <n v="1"/>
    <x v="1"/>
  </r>
  <r>
    <x v="1"/>
    <n v="2"/>
    <x v="1"/>
  </r>
  <r>
    <x v="2"/>
    <n v="1"/>
    <x v="2"/>
  </r>
  <r>
    <x v="6"/>
    <n v="1"/>
    <x v="9"/>
  </r>
  <r>
    <x v="6"/>
    <n v="2"/>
    <x v="9"/>
  </r>
  <r>
    <x v="1"/>
    <n v="1"/>
    <x v="5"/>
  </r>
  <r>
    <x v="2"/>
    <n v="2"/>
    <x v="5"/>
  </r>
  <r>
    <x v="1"/>
    <n v="1"/>
    <x v="1"/>
  </r>
  <r>
    <x v="2"/>
    <n v="1"/>
    <x v="2"/>
  </r>
  <r>
    <x v="6"/>
    <n v="1"/>
    <x v="5"/>
  </r>
  <r>
    <x v="1"/>
    <n v="2"/>
    <x v="1"/>
  </r>
  <r>
    <x v="2"/>
    <n v="1"/>
    <x v="2"/>
  </r>
  <r>
    <x v="0"/>
    <n v="2"/>
    <x v="2"/>
  </r>
  <r>
    <x v="1"/>
    <n v="1"/>
    <x v="4"/>
  </r>
  <r>
    <x v="0"/>
    <n v="1"/>
    <x v="3"/>
  </r>
  <r>
    <x v="4"/>
    <n v="1"/>
    <x v="4"/>
  </r>
  <r>
    <x v="1"/>
    <n v="1"/>
    <x v="4"/>
  </r>
  <r>
    <x v="1"/>
    <n v="2"/>
    <x v="1"/>
  </r>
  <r>
    <x v="2"/>
    <n v="1"/>
    <x v="2"/>
  </r>
  <r>
    <x v="6"/>
    <n v="2"/>
    <x v="2"/>
  </r>
  <r>
    <x v="6"/>
    <n v="2"/>
    <x v="1"/>
  </r>
  <r>
    <x v="2"/>
    <n v="2"/>
    <x v="7"/>
  </r>
  <r>
    <x v="1"/>
    <n v="1"/>
    <x v="7"/>
  </r>
  <r>
    <x v="2"/>
    <n v="2"/>
    <x v="5"/>
  </r>
  <r>
    <x v="7"/>
    <n v="1"/>
    <x v="7"/>
  </r>
  <r>
    <x v="6"/>
    <n v="1"/>
    <x v="9"/>
  </r>
  <r>
    <x v="2"/>
    <n v="1"/>
    <x v="2"/>
  </r>
  <r>
    <x v="1"/>
    <n v="1"/>
    <x v="1"/>
  </r>
  <r>
    <x v="7"/>
    <n v="1"/>
    <x v="7"/>
  </r>
  <r>
    <x v="6"/>
    <n v="1"/>
    <x v="9"/>
  </r>
  <r>
    <x v="0"/>
    <n v="2"/>
    <x v="3"/>
  </r>
  <r>
    <x v="1"/>
    <n v="1"/>
    <x v="1"/>
  </r>
  <r>
    <x v="2"/>
    <n v="1"/>
    <x v="2"/>
  </r>
  <r>
    <x v="0"/>
    <n v="1"/>
    <x v="6"/>
  </r>
  <r>
    <x v="3"/>
    <n v="1"/>
    <x v="4"/>
  </r>
  <r>
    <x v="1"/>
    <n v="2"/>
    <x v="5"/>
  </r>
  <r>
    <x v="1"/>
    <n v="2"/>
    <x v="1"/>
  </r>
  <r>
    <x v="0"/>
    <n v="2"/>
    <x v="1"/>
  </r>
  <r>
    <x v="1"/>
    <n v="2"/>
    <x v="4"/>
  </r>
  <r>
    <x v="0"/>
    <n v="2"/>
    <x v="7"/>
  </r>
  <r>
    <x v="6"/>
    <n v="1"/>
    <x v="4"/>
  </r>
  <r>
    <x v="2"/>
    <n v="1"/>
    <x v="4"/>
  </r>
  <r>
    <x v="0"/>
    <n v="1"/>
    <x v="1"/>
  </r>
  <r>
    <x v="1"/>
    <n v="2"/>
    <x v="4"/>
  </r>
  <r>
    <x v="1"/>
    <n v="2"/>
    <x v="6"/>
  </r>
  <r>
    <x v="3"/>
    <n v="1"/>
    <x v="2"/>
  </r>
  <r>
    <x v="1"/>
    <n v="2"/>
    <x v="6"/>
  </r>
  <r>
    <x v="3"/>
    <n v="1"/>
    <x v="2"/>
  </r>
  <r>
    <x v="6"/>
    <n v="2"/>
    <x v="9"/>
  </r>
  <r>
    <x v="2"/>
    <n v="2"/>
    <x v="2"/>
  </r>
  <r>
    <x v="1"/>
    <n v="1"/>
    <x v="1"/>
  </r>
  <r>
    <x v="2"/>
    <n v="1"/>
    <x v="8"/>
  </r>
  <r>
    <x v="5"/>
    <n v="1"/>
    <x v="1"/>
  </r>
  <r>
    <x v="0"/>
    <n v="1"/>
    <x v="7"/>
  </r>
  <r>
    <x v="2"/>
    <n v="1"/>
    <x v="2"/>
  </r>
  <r>
    <x v="1"/>
    <n v="1"/>
    <x v="1"/>
  </r>
  <r>
    <x v="0"/>
    <n v="2"/>
    <x v="1"/>
  </r>
  <r>
    <x v="1"/>
    <n v="2"/>
    <x v="4"/>
  </r>
  <r>
    <x v="1"/>
    <n v="2"/>
    <x v="1"/>
  </r>
  <r>
    <x v="0"/>
    <n v="2"/>
    <x v="2"/>
  </r>
  <r>
    <x v="2"/>
    <n v="2"/>
    <x v="2"/>
  </r>
  <r>
    <x v="1"/>
    <n v="2"/>
    <x v="1"/>
  </r>
  <r>
    <x v="3"/>
    <n v="1"/>
    <x v="4"/>
  </r>
  <r>
    <x v="0"/>
    <n v="1"/>
    <x v="6"/>
  </r>
  <r>
    <x v="0"/>
    <n v="1"/>
    <x v="6"/>
  </r>
  <r>
    <x v="3"/>
    <n v="2"/>
    <x v="4"/>
  </r>
  <r>
    <x v="2"/>
    <n v="1"/>
    <x v="7"/>
  </r>
  <r>
    <x v="4"/>
    <n v="2"/>
    <x v="7"/>
  </r>
  <r>
    <x v="4"/>
    <n v="2"/>
    <x v="1"/>
  </r>
  <r>
    <x v="0"/>
    <n v="1"/>
    <x v="1"/>
  </r>
  <r>
    <x v="0"/>
    <n v="1"/>
    <x v="7"/>
  </r>
  <r>
    <x v="2"/>
    <n v="1"/>
    <x v="4"/>
  </r>
  <r>
    <x v="6"/>
    <n v="1"/>
    <x v="4"/>
  </r>
  <r>
    <x v="6"/>
    <n v="1"/>
    <x v="1"/>
  </r>
  <r>
    <x v="0"/>
    <n v="1"/>
    <x v="3"/>
  </r>
  <r>
    <x v="4"/>
    <n v="1"/>
    <x v="4"/>
  </r>
  <r>
    <x v="4"/>
    <n v="1"/>
    <x v="7"/>
  </r>
  <r>
    <x v="4"/>
    <n v="1"/>
    <x v="1"/>
  </r>
  <r>
    <x v="2"/>
    <n v="1"/>
    <x v="3"/>
  </r>
  <r>
    <x v="6"/>
    <n v="1"/>
    <x v="3"/>
  </r>
  <r>
    <x v="6"/>
    <n v="1"/>
    <x v="4"/>
  </r>
  <r>
    <x v="6"/>
    <n v="1"/>
    <x v="1"/>
  </r>
  <r>
    <x v="0"/>
    <n v="1"/>
    <x v="7"/>
  </r>
  <r>
    <x v="0"/>
    <n v="1"/>
    <x v="1"/>
  </r>
  <r>
    <x v="2"/>
    <n v="1"/>
    <x v="4"/>
  </r>
  <r>
    <x v="2"/>
    <n v="1"/>
    <x v="7"/>
  </r>
  <r>
    <x v="0"/>
    <n v="2"/>
    <x v="6"/>
  </r>
  <r>
    <x v="3"/>
    <n v="1"/>
    <x v="4"/>
  </r>
  <r>
    <x v="0"/>
    <n v="5"/>
    <x v="11"/>
  </r>
  <r>
    <x v="5"/>
    <n v="2"/>
    <x v="1"/>
  </r>
  <r>
    <x v="1"/>
    <n v="2"/>
    <x v="7"/>
  </r>
  <r>
    <x v="6"/>
    <n v="1"/>
    <x v="2"/>
  </r>
  <r>
    <x v="1"/>
    <n v="2"/>
    <x v="5"/>
  </r>
  <r>
    <x v="6"/>
    <n v="2"/>
    <x v="9"/>
  </r>
  <r>
    <x v="6"/>
    <n v="1"/>
    <x v="8"/>
  </r>
  <r>
    <x v="5"/>
    <n v="2"/>
    <x v="2"/>
  </r>
  <r>
    <x v="1"/>
    <n v="1"/>
    <x v="8"/>
  </r>
  <r>
    <x v="0"/>
    <n v="2"/>
    <x v="2"/>
  </r>
  <r>
    <x v="1"/>
    <n v="2"/>
    <x v="4"/>
  </r>
  <r>
    <x v="2"/>
    <n v="2"/>
    <x v="4"/>
  </r>
  <r>
    <x v="5"/>
    <n v="2"/>
    <x v="1"/>
  </r>
  <r>
    <x v="5"/>
    <n v="2"/>
    <x v="4"/>
  </r>
  <r>
    <x v="0"/>
    <n v="1"/>
    <x v="1"/>
  </r>
  <r>
    <x v="1"/>
    <n v="1"/>
    <x v="1"/>
  </r>
  <r>
    <x v="2"/>
    <n v="1"/>
    <x v="2"/>
  </r>
  <r>
    <x v="2"/>
    <n v="1"/>
    <x v="8"/>
  </r>
  <r>
    <x v="0"/>
    <n v="1"/>
    <x v="8"/>
  </r>
  <r>
    <x v="6"/>
    <n v="1"/>
    <x v="9"/>
  </r>
  <r>
    <x v="6"/>
    <n v="1"/>
    <x v="9"/>
  </r>
  <r>
    <x v="0"/>
    <n v="2"/>
    <x v="5"/>
  </r>
  <r>
    <x v="1"/>
    <n v="5"/>
    <x v="11"/>
  </r>
  <r>
    <x v="1"/>
    <n v="2"/>
    <x v="6"/>
  </r>
  <r>
    <x v="3"/>
    <n v="1"/>
    <x v="2"/>
  </r>
  <r>
    <x v="5"/>
    <n v="2"/>
    <x v="7"/>
  </r>
  <r>
    <x v="1"/>
    <n v="1"/>
    <x v="8"/>
  </r>
  <r>
    <x v="1"/>
    <n v="1"/>
    <x v="1"/>
  </r>
  <r>
    <x v="0"/>
    <n v="1"/>
    <x v="3"/>
  </r>
  <r>
    <x v="4"/>
    <n v="1"/>
    <x v="4"/>
  </r>
  <r>
    <x v="6"/>
    <n v="1"/>
    <x v="8"/>
  </r>
  <r>
    <x v="6"/>
    <n v="1"/>
    <x v="9"/>
  </r>
  <r>
    <x v="3"/>
    <n v="1"/>
    <x v="4"/>
  </r>
  <r>
    <x v="0"/>
    <n v="1"/>
    <x v="6"/>
  </r>
  <r>
    <x v="6"/>
    <n v="1"/>
    <x v="10"/>
  </r>
  <r>
    <x v="10"/>
    <n v="2"/>
    <x v="7"/>
  </r>
  <r>
    <x v="6"/>
    <n v="1"/>
    <x v="9"/>
  </r>
  <r>
    <x v="7"/>
    <n v="1"/>
    <x v="7"/>
  </r>
  <r>
    <x v="6"/>
    <n v="2"/>
    <x v="9"/>
  </r>
  <r>
    <x v="2"/>
    <n v="2"/>
    <x v="2"/>
  </r>
  <r>
    <x v="1"/>
    <n v="1"/>
    <x v="1"/>
  </r>
  <r>
    <x v="0"/>
    <n v="1"/>
    <x v="12"/>
  </r>
  <r>
    <x v="5"/>
    <n v="1"/>
    <x v="1"/>
  </r>
  <r>
    <x v="2"/>
    <n v="1"/>
    <x v="8"/>
  </r>
  <r>
    <x v="1"/>
    <n v="2"/>
    <x v="1"/>
  </r>
  <r>
    <x v="3"/>
    <n v="2"/>
    <x v="9"/>
  </r>
  <r>
    <x v="4"/>
    <n v="1"/>
    <x v="8"/>
  </r>
  <r>
    <x v="5"/>
    <n v="1"/>
    <x v="3"/>
  </r>
  <r>
    <x v="4"/>
    <n v="1"/>
    <x v="6"/>
  </r>
  <r>
    <x v="3"/>
    <n v="1"/>
    <x v="3"/>
  </r>
  <r>
    <x v="0"/>
    <n v="2"/>
    <x v="6"/>
  </r>
  <r>
    <x v="4"/>
    <n v="1"/>
    <x v="6"/>
  </r>
  <r>
    <x v="3"/>
    <n v="1"/>
    <x v="3"/>
  </r>
  <r>
    <x v="6"/>
    <n v="2"/>
    <x v="9"/>
  </r>
  <r>
    <x v="2"/>
    <n v="1"/>
    <x v="8"/>
  </r>
  <r>
    <x v="5"/>
    <n v="1"/>
    <x v="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8">
  <r>
    <x v="0"/>
    <n v="1"/>
    <x v="0"/>
  </r>
  <r>
    <x v="1"/>
    <n v="1"/>
    <x v="1"/>
  </r>
  <r>
    <x v="2"/>
    <n v="1"/>
    <x v="2"/>
  </r>
  <r>
    <x v="3"/>
    <n v="1"/>
    <x v="3"/>
  </r>
  <r>
    <x v="4"/>
    <n v="2"/>
    <x v="4"/>
  </r>
  <r>
    <x v="5"/>
    <n v="1"/>
    <x v="5"/>
  </r>
  <r>
    <x v="6"/>
    <n v="2"/>
    <x v="2"/>
  </r>
  <r>
    <x v="2"/>
    <n v="2"/>
    <x v="6"/>
  </r>
  <r>
    <x v="5"/>
    <n v="1"/>
    <x v="1"/>
  </r>
  <r>
    <x v="0"/>
    <n v="1"/>
    <x v="4"/>
  </r>
  <r>
    <x v="5"/>
    <n v="2"/>
    <x v="7"/>
  </r>
  <r>
    <x v="3"/>
    <n v="2"/>
    <x v="4"/>
  </r>
  <r>
    <x v="0"/>
    <n v="1"/>
    <x v="7"/>
  </r>
  <r>
    <x v="7"/>
    <n v="1"/>
    <x v="8"/>
  </r>
  <r>
    <x v="6"/>
    <n v="2"/>
    <x v="7"/>
  </r>
  <r>
    <x v="2"/>
    <n v="2"/>
    <x v="7"/>
  </r>
  <r>
    <x v="4"/>
    <n v="1"/>
    <x v="9"/>
  </r>
  <r>
    <x v="3"/>
    <n v="1"/>
    <x v="5"/>
  </r>
  <r>
    <x v="5"/>
    <n v="1"/>
    <x v="8"/>
  </r>
  <r>
    <x v="6"/>
    <n v="1"/>
    <x v="2"/>
  </r>
  <r>
    <x v="6"/>
    <n v="1"/>
    <x v="4"/>
  </r>
  <r>
    <x v="8"/>
    <n v="1"/>
    <x v="8"/>
  </r>
  <r>
    <x v="3"/>
    <n v="1"/>
    <x v="10"/>
  </r>
  <r>
    <x v="2"/>
    <n v="1"/>
    <x v="9"/>
  </r>
  <r>
    <x v="2"/>
    <n v="2"/>
    <x v="9"/>
  </r>
  <r>
    <x v="5"/>
    <n v="1"/>
    <x v="3"/>
  </r>
  <r>
    <x v="5"/>
    <n v="1"/>
    <x v="5"/>
  </r>
  <r>
    <x v="4"/>
    <n v="1"/>
    <x v="4"/>
  </r>
  <r>
    <x v="2"/>
    <n v="2"/>
    <x v="8"/>
  </r>
  <r>
    <x v="0"/>
    <n v="2"/>
    <x v="7"/>
  </r>
  <r>
    <x v="2"/>
    <n v="1"/>
    <x v="2"/>
  </r>
  <r>
    <x v="2"/>
    <n v="1"/>
    <x v="8"/>
  </r>
  <r>
    <x v="6"/>
    <n v="1"/>
    <x v="10"/>
  </r>
  <r>
    <x v="9"/>
    <n v="2"/>
    <x v="8"/>
  </r>
  <r>
    <x v="0"/>
    <n v="2"/>
    <x v="8"/>
  </r>
  <r>
    <x v="2"/>
    <n v="2"/>
    <x v="3"/>
  </r>
  <r>
    <x v="0"/>
    <n v="1"/>
    <x v="10"/>
  </r>
  <r>
    <x v="2"/>
    <n v="1"/>
    <x v="1"/>
  </r>
  <r>
    <x v="5"/>
    <n v="2"/>
    <x v="7"/>
  </r>
  <r>
    <x v="0"/>
    <n v="2"/>
    <x v="7"/>
  </r>
  <r>
    <x v="2"/>
    <n v="1"/>
    <x v="3"/>
  </r>
  <r>
    <x v="2"/>
    <n v="2"/>
    <x v="6"/>
  </r>
  <r>
    <x v="1"/>
    <n v="2"/>
    <x v="5"/>
  </r>
  <r>
    <x v="0"/>
    <n v="1"/>
    <x v="0"/>
  </r>
  <r>
    <x v="2"/>
    <n v="2"/>
    <x v="8"/>
  </r>
  <r>
    <x v="6"/>
    <n v="1"/>
    <x v="7"/>
  </r>
  <r>
    <x v="7"/>
    <n v="1"/>
    <x v="8"/>
  </r>
  <r>
    <x v="0"/>
    <n v="1"/>
    <x v="10"/>
  </r>
  <r>
    <x v="2"/>
    <n v="1"/>
    <x v="1"/>
  </r>
  <r>
    <x v="0"/>
    <n v="5"/>
    <x v="11"/>
  </r>
  <r>
    <x v="6"/>
    <n v="1"/>
    <x v="6"/>
  </r>
  <r>
    <x v="9"/>
    <n v="1"/>
    <x v="8"/>
  </r>
  <r>
    <x v="9"/>
    <n v="2"/>
    <x v="10"/>
  </r>
  <r>
    <x v="9"/>
    <n v="1"/>
    <x v="0"/>
  </r>
  <r>
    <x v="0"/>
    <n v="1"/>
    <x v="7"/>
  </r>
  <r>
    <x v="7"/>
    <n v="1"/>
    <x v="1"/>
  </r>
  <r>
    <x v="2"/>
    <n v="2"/>
    <x v="2"/>
  </r>
  <r>
    <x v="6"/>
    <n v="2"/>
    <x v="7"/>
  </r>
  <r>
    <x v="5"/>
    <n v="1"/>
    <x v="10"/>
  </r>
  <r>
    <x v="2"/>
    <n v="1"/>
    <x v="4"/>
  </r>
  <r>
    <x v="9"/>
    <n v="2"/>
    <x v="8"/>
  </r>
  <r>
    <x v="2"/>
    <n v="2"/>
    <x v="8"/>
  </r>
  <r>
    <x v="6"/>
    <n v="1"/>
    <x v="10"/>
  </r>
  <r>
    <x v="2"/>
    <n v="2"/>
    <x v="3"/>
  </r>
  <r>
    <x v="5"/>
    <n v="1"/>
    <x v="7"/>
  </r>
  <r>
    <x v="5"/>
    <n v="1"/>
    <x v="0"/>
  </r>
  <r>
    <x v="1"/>
    <n v="1"/>
    <x v="4"/>
  </r>
  <r>
    <x v="9"/>
    <n v="1"/>
    <x v="8"/>
  </r>
  <r>
    <x v="6"/>
    <n v="1"/>
    <x v="6"/>
  </r>
  <r>
    <x v="9"/>
    <n v="2"/>
    <x v="10"/>
  </r>
  <r>
    <x v="3"/>
    <n v="5"/>
    <x v="11"/>
  </r>
  <r>
    <x v="5"/>
    <n v="5"/>
    <x v="11"/>
  </r>
  <r>
    <x v="5"/>
    <n v="2"/>
    <x v="7"/>
  </r>
  <r>
    <x v="5"/>
    <n v="2"/>
    <x v="0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8">
  <r>
    <x v="0"/>
    <n v="2"/>
    <x v="0"/>
  </r>
  <r>
    <x v="1"/>
    <n v="1"/>
    <x v="1"/>
  </r>
  <r>
    <x v="1"/>
    <n v="2"/>
    <x v="2"/>
  </r>
  <r>
    <x v="2"/>
    <n v="1"/>
    <x v="3"/>
  </r>
  <r>
    <x v="3"/>
    <n v="1"/>
    <x v="4"/>
  </r>
  <r>
    <x v="2"/>
    <n v="2"/>
    <x v="1"/>
  </r>
  <r>
    <x v="1"/>
    <n v="1"/>
    <x v="5"/>
  </r>
  <r>
    <x v="4"/>
    <n v="1"/>
    <x v="0"/>
  </r>
  <r>
    <x v="2"/>
    <n v="2"/>
    <x v="3"/>
  </r>
  <r>
    <x v="5"/>
    <n v="2"/>
    <x v="2"/>
  </r>
  <r>
    <x v="1"/>
    <n v="1"/>
    <x v="4"/>
  </r>
  <r>
    <x v="2"/>
    <n v="1"/>
    <x v="0"/>
  </r>
  <r>
    <x v="0"/>
    <n v="1"/>
    <x v="6"/>
  </r>
  <r>
    <x v="6"/>
    <n v="1"/>
    <x v="1"/>
  </r>
  <r>
    <x v="7"/>
    <n v="1"/>
    <x v="3"/>
  </r>
  <r>
    <x v="3"/>
    <n v="1"/>
    <x v="7"/>
  </r>
  <r>
    <x v="7"/>
    <n v="2"/>
    <x v="4"/>
  </r>
  <r>
    <x v="5"/>
    <n v="1"/>
    <x v="0"/>
  </r>
  <r>
    <x v="1"/>
    <n v="1"/>
    <x v="8"/>
  </r>
  <r>
    <x v="1"/>
    <n v="1"/>
    <x v="7"/>
  </r>
  <r>
    <x v="7"/>
    <n v="1"/>
    <x v="0"/>
  </r>
  <r>
    <x v="7"/>
    <n v="1"/>
    <x v="8"/>
  </r>
  <r>
    <x v="5"/>
    <n v="1"/>
    <x v="9"/>
  </r>
  <r>
    <x v="8"/>
    <n v="1"/>
    <x v="8"/>
  </r>
  <r>
    <x v="8"/>
    <n v="1"/>
    <x v="0"/>
  </r>
  <r>
    <x v="1"/>
    <n v="1"/>
    <x v="9"/>
  </r>
  <r>
    <x v="7"/>
    <n v="1"/>
    <x v="9"/>
  </r>
  <r>
    <x v="8"/>
    <n v="1"/>
    <x v="7"/>
  </r>
  <r>
    <x v="5"/>
    <n v="1"/>
    <x v="7"/>
  </r>
  <r>
    <x v="9"/>
    <n v="1"/>
    <x v="10"/>
  </r>
  <r>
    <x v="10"/>
    <n v="1"/>
    <x v="11"/>
  </r>
  <r>
    <x v="11"/>
    <n v="1"/>
    <x v="6"/>
  </r>
  <r>
    <x v="6"/>
    <n v="1"/>
    <x v="12"/>
  </r>
  <r>
    <x v="2"/>
    <n v="2"/>
    <x v="13"/>
  </r>
  <r>
    <x v="12"/>
    <n v="1"/>
    <x v="4"/>
  </r>
  <r>
    <x v="13"/>
    <n v="2"/>
    <x v="4"/>
  </r>
  <r>
    <x v="0"/>
    <n v="2"/>
    <x v="13"/>
  </r>
  <r>
    <x v="1"/>
    <n v="2"/>
    <x v="4"/>
  </r>
  <r>
    <x v="2"/>
    <n v="1"/>
    <x v="0"/>
  </r>
  <r>
    <x v="1"/>
    <n v="2"/>
    <x v="2"/>
  </r>
  <r>
    <x v="2"/>
    <n v="2"/>
    <x v="2"/>
  </r>
  <r>
    <x v="1"/>
    <n v="2"/>
    <x v="4"/>
  </r>
  <r>
    <x v="1"/>
    <n v="2"/>
    <x v="2"/>
  </r>
  <r>
    <x v="5"/>
    <n v="1"/>
    <x v="5"/>
  </r>
  <r>
    <x v="4"/>
    <n v="1"/>
    <x v="8"/>
  </r>
  <r>
    <x v="7"/>
    <n v="1"/>
    <x v="8"/>
  </r>
  <r>
    <x v="5"/>
    <n v="1"/>
    <x v="7"/>
  </r>
  <r>
    <x v="1"/>
    <n v="1"/>
    <x v="10"/>
  </r>
  <r>
    <x v="10"/>
    <n v="1"/>
    <x v="0"/>
  </r>
  <r>
    <x v="6"/>
    <n v="2"/>
    <x v="4"/>
  </r>
  <r>
    <x v="9"/>
    <n v="1"/>
    <x v="10"/>
  </r>
  <r>
    <x v="2"/>
    <n v="1"/>
    <x v="1"/>
  </r>
  <r>
    <x v="0"/>
    <n v="1"/>
    <x v="4"/>
  </r>
  <r>
    <x v="1"/>
    <n v="1"/>
    <x v="12"/>
  </r>
  <r>
    <x v="11"/>
    <n v="1"/>
    <x v="0"/>
  </r>
  <r>
    <x v="2"/>
    <n v="2"/>
    <x v="13"/>
  </r>
  <r>
    <x v="5"/>
    <n v="2"/>
    <x v="12"/>
  </r>
  <r>
    <x v="1"/>
    <n v="1"/>
    <x v="1"/>
  </r>
  <r>
    <x v="0"/>
    <n v="1"/>
    <x v="0"/>
  </r>
  <r>
    <x v="0"/>
    <n v="2"/>
    <x v="3"/>
  </r>
  <r>
    <x v="2"/>
    <n v="2"/>
    <x v="3"/>
  </r>
  <r>
    <x v="1"/>
    <n v="2"/>
    <x v="2"/>
  </r>
  <r>
    <x v="2"/>
    <n v="1"/>
    <x v="1"/>
  </r>
  <r>
    <x v="0"/>
    <n v="1"/>
    <x v="4"/>
  </r>
  <r>
    <x v="0"/>
    <n v="2"/>
    <x v="6"/>
  </r>
  <r>
    <x v="6"/>
    <n v="1"/>
    <x v="1"/>
  </r>
  <r>
    <x v="0"/>
    <n v="2"/>
    <x v="0"/>
  </r>
  <r>
    <x v="1"/>
    <n v="1"/>
    <x v="1"/>
  </r>
  <r>
    <x v="6"/>
    <n v="2"/>
    <x v="0"/>
  </r>
  <r>
    <x v="10"/>
    <n v="2"/>
    <x v="4"/>
  </r>
  <r>
    <x v="0"/>
    <n v="1"/>
    <x v="4"/>
  </r>
  <r>
    <x v="2"/>
    <n v="1"/>
    <x v="1"/>
  </r>
  <r>
    <x v="7"/>
    <n v="2"/>
    <x v="4"/>
  </r>
  <r>
    <x v="7"/>
    <n v="2"/>
    <x v="1"/>
  </r>
  <r>
    <x v="0"/>
    <n v="1"/>
    <x v="7"/>
  </r>
  <r>
    <x v="2"/>
    <n v="1"/>
    <x v="7"/>
  </r>
  <r>
    <x v="2"/>
    <n v="1"/>
    <x v="6"/>
  </r>
  <r>
    <x v="6"/>
    <n v="1"/>
    <x v="4"/>
  </r>
  <r>
    <x v="1"/>
    <n v="1"/>
    <x v="10"/>
  </r>
  <r>
    <x v="0"/>
    <n v="2"/>
    <x v="10"/>
  </r>
  <r>
    <x v="10"/>
    <n v="1"/>
    <x v="0"/>
  </r>
  <r>
    <x v="12"/>
    <n v="1"/>
    <x v="10"/>
  </r>
  <r>
    <x v="10"/>
    <n v="1"/>
    <x v="13"/>
  </r>
  <r>
    <x v="2"/>
    <n v="1"/>
    <x v="3"/>
  </r>
  <r>
    <x v="3"/>
    <n v="1"/>
    <x v="4"/>
  </r>
  <r>
    <x v="3"/>
    <n v="2"/>
    <x v="4"/>
  </r>
  <r>
    <x v="2"/>
    <n v="2"/>
    <x v="1"/>
  </r>
  <r>
    <x v="9"/>
    <n v="1"/>
    <x v="8"/>
  </r>
  <r>
    <x v="5"/>
    <n v="1"/>
    <x v="11"/>
  </r>
  <r>
    <x v="3"/>
    <n v="1"/>
    <x v="12"/>
  </r>
  <r>
    <x v="11"/>
    <n v="1"/>
    <x v="3"/>
  </r>
  <r>
    <x v="13"/>
    <n v="2"/>
    <x v="0"/>
  </r>
  <r>
    <x v="5"/>
    <n v="1"/>
    <x v="3"/>
  </r>
  <r>
    <x v="3"/>
    <n v="1"/>
    <x v="8"/>
  </r>
  <r>
    <x v="11"/>
    <n v="2"/>
    <x v="13"/>
  </r>
  <r>
    <x v="12"/>
    <n v="2"/>
    <x v="6"/>
  </r>
  <r>
    <x v="12"/>
    <n v="1"/>
    <x v="14"/>
  </r>
  <r>
    <x v="13"/>
    <n v="1"/>
    <x v="13"/>
  </r>
  <r>
    <x v="1"/>
    <n v="2"/>
    <x v="13"/>
  </r>
  <r>
    <x v="12"/>
    <n v="1"/>
    <x v="0"/>
  </r>
  <r>
    <x v="7"/>
    <n v="2"/>
    <x v="10"/>
  </r>
  <r>
    <x v="10"/>
    <n v="1"/>
    <x v="7"/>
  </r>
  <r>
    <x v="2"/>
    <n v="1"/>
    <x v="12"/>
  </r>
  <r>
    <x v="11"/>
    <n v="1"/>
    <x v="4"/>
  </r>
  <r>
    <x v="2"/>
    <n v="1"/>
    <x v="1"/>
  </r>
  <r>
    <x v="0"/>
    <n v="1"/>
    <x v="4"/>
  </r>
  <r>
    <x v="2"/>
    <n v="1"/>
    <x v="10"/>
  </r>
  <r>
    <x v="10"/>
    <n v="1"/>
    <x v="4"/>
  </r>
  <r>
    <x v="7"/>
    <n v="2"/>
    <x v="4"/>
  </r>
  <r>
    <x v="2"/>
    <n v="2"/>
    <x v="12"/>
  </r>
  <r>
    <x v="11"/>
    <n v="1"/>
    <x v="4"/>
  </r>
  <r>
    <x v="10"/>
    <n v="1"/>
    <x v="13"/>
  </r>
  <r>
    <x v="12"/>
    <n v="1"/>
    <x v="10"/>
  </r>
  <r>
    <x v="1"/>
    <n v="1"/>
    <x v="3"/>
  </r>
  <r>
    <x v="3"/>
    <n v="1"/>
    <x v="0"/>
  </r>
  <r>
    <x v="6"/>
    <n v="2"/>
    <x v="4"/>
  </r>
  <r>
    <x v="2"/>
    <n v="1"/>
    <x v="6"/>
  </r>
  <r>
    <x v="0"/>
    <n v="2"/>
    <x v="6"/>
  </r>
  <r>
    <x v="13"/>
    <n v="1"/>
    <x v="13"/>
  </r>
  <r>
    <x v="12"/>
    <n v="1"/>
    <x v="14"/>
  </r>
  <r>
    <x v="12"/>
    <n v="1"/>
    <x v="12"/>
  </r>
  <r>
    <x v="11"/>
    <n v="1"/>
    <x v="13"/>
  </r>
  <r>
    <x v="13"/>
    <n v="1"/>
    <x v="0"/>
  </r>
  <r>
    <x v="1"/>
    <n v="1"/>
    <x v="14"/>
  </r>
  <r>
    <x v="12"/>
    <n v="2"/>
    <x v="4"/>
  </r>
  <r>
    <x v="2"/>
    <n v="1"/>
    <x v="13"/>
  </r>
  <r>
    <x v="12"/>
    <n v="1"/>
    <x v="1"/>
  </r>
  <r>
    <x v="0"/>
    <n v="1"/>
    <x v="13"/>
  </r>
  <r>
    <x v="5"/>
    <n v="2"/>
    <x v="1"/>
  </r>
  <r>
    <x v="0"/>
    <n v="1"/>
    <x v="12"/>
  </r>
  <r>
    <x v="11"/>
    <n v="1"/>
    <x v="1"/>
  </r>
  <r>
    <x v="2"/>
    <n v="2"/>
    <x v="3"/>
  </r>
  <r>
    <x v="0"/>
    <n v="2"/>
    <x v="3"/>
  </r>
  <r>
    <x v="4"/>
    <n v="2"/>
    <x v="13"/>
  </r>
  <r>
    <x v="2"/>
    <n v="2"/>
    <x v="3"/>
  </r>
  <r>
    <x v="1"/>
    <n v="2"/>
    <x v="2"/>
  </r>
  <r>
    <x v="0"/>
    <n v="1"/>
    <x v="4"/>
  </r>
  <r>
    <x v="2"/>
    <n v="1"/>
    <x v="1"/>
  </r>
  <r>
    <x v="0"/>
    <n v="1"/>
    <x v="3"/>
  </r>
  <r>
    <x v="3"/>
    <n v="1"/>
    <x v="1"/>
  </r>
  <r>
    <x v="13"/>
    <n v="2"/>
    <x v="12"/>
  </r>
  <r>
    <x v="13"/>
    <n v="2"/>
    <x v="13"/>
  </r>
  <r>
    <x v="0"/>
    <n v="2"/>
    <x v="6"/>
  </r>
  <r>
    <x v="6"/>
    <n v="1"/>
    <x v="1"/>
  </r>
  <r>
    <x v="12"/>
    <n v="2"/>
    <x v="1"/>
  </r>
  <r>
    <x v="2"/>
    <n v="2"/>
    <x v="3"/>
  </r>
  <r>
    <x v="0"/>
    <n v="1"/>
    <x v="13"/>
  </r>
  <r>
    <x v="5"/>
    <n v="2"/>
    <x v="1"/>
  </r>
  <r>
    <x v="5"/>
    <n v="2"/>
    <x v="4"/>
  </r>
  <r>
    <x v="2"/>
    <n v="1"/>
    <x v="6"/>
  </r>
  <r>
    <x v="6"/>
    <n v="1"/>
    <x v="4"/>
  </r>
  <r>
    <x v="1"/>
    <n v="2"/>
    <x v="6"/>
  </r>
  <r>
    <x v="0"/>
    <n v="2"/>
    <x v="3"/>
  </r>
  <r>
    <x v="6"/>
    <n v="1"/>
    <x v="0"/>
  </r>
  <r>
    <x v="2"/>
    <n v="1"/>
    <x v="12"/>
  </r>
  <r>
    <x v="11"/>
    <n v="1"/>
    <x v="4"/>
  </r>
  <r>
    <x v="11"/>
    <n v="1"/>
    <x v="10"/>
  </r>
  <r>
    <x v="10"/>
    <n v="1"/>
    <x v="12"/>
  </r>
  <r>
    <x v="0"/>
    <n v="2"/>
    <x v="12"/>
  </r>
  <r>
    <x v="10"/>
    <n v="2"/>
    <x v="8"/>
  </r>
  <r>
    <x v="1"/>
    <n v="2"/>
    <x v="5"/>
  </r>
  <r>
    <x v="12"/>
    <n v="1"/>
    <x v="0"/>
  </r>
  <r>
    <x v="1"/>
    <n v="1"/>
    <x v="13"/>
  </r>
  <r>
    <x v="1"/>
    <n v="2"/>
    <x v="8"/>
  </r>
  <r>
    <x v="0"/>
    <n v="1"/>
    <x v="3"/>
  </r>
  <r>
    <x v="3"/>
    <n v="1"/>
    <x v="1"/>
  </r>
  <r>
    <x v="6"/>
    <n v="2"/>
    <x v="1"/>
  </r>
  <r>
    <x v="6"/>
    <n v="1"/>
    <x v="3"/>
  </r>
  <r>
    <x v="0"/>
    <n v="1"/>
    <x v="6"/>
  </r>
  <r>
    <x v="2"/>
    <n v="2"/>
    <x v="2"/>
  </r>
  <r>
    <x v="6"/>
    <n v="2"/>
    <x v="7"/>
  </r>
  <r>
    <x v="9"/>
    <n v="1"/>
    <x v="10"/>
  </r>
  <r>
    <x v="10"/>
    <n v="1"/>
    <x v="11"/>
  </r>
  <r>
    <x v="8"/>
    <n v="1"/>
    <x v="0"/>
  </r>
  <r>
    <x v="1"/>
    <n v="1"/>
    <x v="9"/>
  </r>
  <r>
    <x v="7"/>
    <n v="2"/>
    <x v="1"/>
  </r>
  <r>
    <x v="13"/>
    <n v="1"/>
    <x v="6"/>
  </r>
  <r>
    <x v="6"/>
    <n v="1"/>
    <x v="14"/>
  </r>
  <r>
    <x v="1"/>
    <n v="2"/>
    <x v="13"/>
  </r>
  <r>
    <x v="6"/>
    <n v="2"/>
    <x v="1"/>
  </r>
  <r>
    <x v="3"/>
    <n v="2"/>
    <x v="10"/>
  </r>
  <r>
    <x v="1"/>
    <n v="2"/>
    <x v="4"/>
  </r>
  <r>
    <x v="6"/>
    <n v="1"/>
    <x v="13"/>
  </r>
  <r>
    <x v="12"/>
    <n v="1"/>
    <x v="6"/>
  </r>
  <r>
    <x v="0"/>
    <n v="2"/>
    <x v="6"/>
  </r>
  <r>
    <x v="6"/>
    <n v="1"/>
    <x v="1"/>
  </r>
  <r>
    <x v="12"/>
    <n v="1"/>
    <x v="12"/>
  </r>
  <r>
    <x v="11"/>
    <n v="2"/>
    <x v="13"/>
  </r>
  <r>
    <x v="0"/>
    <n v="1"/>
    <x v="6"/>
  </r>
  <r>
    <x v="6"/>
    <n v="1"/>
    <x v="1"/>
  </r>
  <r>
    <x v="1"/>
    <n v="2"/>
    <x v="3"/>
  </r>
  <r>
    <x v="2"/>
    <n v="2"/>
    <x v="1"/>
  </r>
  <r>
    <x v="0"/>
    <n v="2"/>
    <x v="3"/>
  </r>
  <r>
    <x v="13"/>
    <n v="2"/>
    <x v="4"/>
  </r>
  <r>
    <x v="12"/>
    <n v="2"/>
    <x v="4"/>
  </r>
  <r>
    <x v="2"/>
    <n v="1"/>
    <x v="13"/>
  </r>
  <r>
    <x v="7"/>
    <n v="1"/>
    <x v="15"/>
  </r>
  <r>
    <x v="11"/>
    <n v="2"/>
    <x v="3"/>
  </r>
  <r>
    <x v="8"/>
    <n v="1"/>
    <x v="15"/>
  </r>
  <r>
    <x v="14"/>
    <n v="1"/>
    <x v="9"/>
  </r>
  <r>
    <x v="0"/>
    <n v="2"/>
    <x v="3"/>
  </r>
  <r>
    <x v="12"/>
    <n v="2"/>
    <x v="10"/>
  </r>
  <r>
    <x v="1"/>
    <n v="2"/>
    <x v="8"/>
  </r>
  <r>
    <x v="0"/>
    <n v="2"/>
    <x v="10"/>
  </r>
  <r>
    <x v="2"/>
    <n v="1"/>
    <x v="3"/>
  </r>
  <r>
    <x v="3"/>
    <n v="1"/>
    <x v="4"/>
  </r>
  <r>
    <x v="11"/>
    <n v="2"/>
    <x v="10"/>
  </r>
  <r>
    <x v="11"/>
    <n v="1"/>
    <x v="6"/>
  </r>
  <r>
    <x v="6"/>
    <n v="1"/>
    <x v="12"/>
  </r>
  <r>
    <x v="2"/>
    <n v="2"/>
    <x v="10"/>
  </r>
  <r>
    <x v="14"/>
    <n v="1"/>
    <x v="10"/>
  </r>
  <r>
    <x v="10"/>
    <n v="1"/>
    <x v="15"/>
  </r>
  <r>
    <x v="7"/>
    <n v="1"/>
    <x v="6"/>
  </r>
  <r>
    <x v="6"/>
    <n v="1"/>
    <x v="7"/>
  </r>
  <r>
    <x v="12"/>
    <n v="2"/>
    <x v="14"/>
  </r>
  <r>
    <x v="13"/>
    <n v="1"/>
    <x v="13"/>
  </r>
  <r>
    <x v="7"/>
    <n v="2"/>
    <x v="6"/>
  </r>
  <r>
    <x v="1"/>
    <n v="2"/>
    <x v="6"/>
  </r>
  <r>
    <x v="6"/>
    <n v="1"/>
    <x v="7"/>
  </r>
  <r>
    <x v="6"/>
    <n v="1"/>
    <x v="0"/>
  </r>
  <r>
    <x v="12"/>
    <n v="1"/>
    <x v="7"/>
  </r>
  <r>
    <x v="12"/>
    <n v="1"/>
    <x v="0"/>
  </r>
  <r>
    <x v="2"/>
    <n v="2"/>
    <x v="3"/>
  </r>
  <r>
    <x v="2"/>
    <n v="1"/>
    <x v="1"/>
  </r>
  <r>
    <x v="0"/>
    <n v="1"/>
    <x v="4"/>
  </r>
  <r>
    <x v="3"/>
    <n v="1"/>
    <x v="4"/>
  </r>
  <r>
    <x v="6"/>
    <n v="1"/>
    <x v="2"/>
  </r>
  <r>
    <x v="2"/>
    <n v="2"/>
    <x v="3"/>
  </r>
  <r>
    <x v="2"/>
    <n v="1"/>
    <x v="3"/>
  </r>
  <r>
    <x v="2"/>
    <n v="1"/>
    <x v="3"/>
  </r>
  <r>
    <x v="3"/>
    <n v="1"/>
    <x v="4"/>
  </r>
  <r>
    <x v="1"/>
    <n v="2"/>
    <x v="8"/>
  </r>
  <r>
    <x v="1"/>
    <n v="2"/>
    <x v="5"/>
  </r>
  <r>
    <x v="3"/>
    <n v="2"/>
    <x v="13"/>
  </r>
  <r>
    <x v="0"/>
    <n v="2"/>
    <x v="10"/>
  </r>
  <r>
    <x v="1"/>
    <n v="2"/>
    <x v="10"/>
  </r>
  <r>
    <x v="2"/>
    <n v="1"/>
    <x v="3"/>
  </r>
  <r>
    <x v="3"/>
    <n v="1"/>
    <x v="4"/>
  </r>
  <r>
    <x v="8"/>
    <n v="1"/>
    <x v="3"/>
  </r>
  <r>
    <x v="3"/>
    <n v="1"/>
    <x v="9"/>
  </r>
  <r>
    <x v="7"/>
    <n v="1"/>
    <x v="10"/>
  </r>
  <r>
    <x v="10"/>
    <n v="1"/>
    <x v="7"/>
  </r>
  <r>
    <x v="10"/>
    <n v="2"/>
    <x v="3"/>
  </r>
  <r>
    <x v="12"/>
    <n v="1"/>
    <x v="7"/>
  </r>
  <r>
    <x v="6"/>
    <n v="2"/>
    <x v="4"/>
  </r>
  <r>
    <x v="1"/>
    <n v="2"/>
    <x v="13"/>
  </r>
  <r>
    <x v="12"/>
    <n v="1"/>
    <x v="0"/>
  </r>
  <r>
    <x v="1"/>
    <n v="1"/>
    <x v="13"/>
  </r>
  <r>
    <x v="6"/>
    <n v="2"/>
    <x v="13"/>
  </r>
  <r>
    <x v="2"/>
    <n v="2"/>
    <x v="3"/>
  </r>
  <r>
    <x v="2"/>
    <n v="1"/>
    <x v="0"/>
  </r>
  <r>
    <x v="1"/>
    <n v="1"/>
    <x v="4"/>
  </r>
  <r>
    <x v="7"/>
    <n v="1"/>
    <x v="6"/>
  </r>
  <r>
    <x v="6"/>
    <n v="1"/>
    <x v="7"/>
  </r>
  <r>
    <x v="1"/>
    <n v="1"/>
    <x v="4"/>
  </r>
  <r>
    <x v="2"/>
    <n v="1"/>
    <x v="0"/>
  </r>
  <r>
    <x v="9"/>
    <n v="2"/>
    <x v="9"/>
  </r>
  <r>
    <x v="8"/>
    <n v="1"/>
    <x v="11"/>
  </r>
  <r>
    <x v="0"/>
    <n v="2"/>
    <x v="4"/>
  </r>
  <r>
    <x v="2"/>
    <n v="1"/>
    <x v="1"/>
  </r>
  <r>
    <x v="12"/>
    <n v="2"/>
    <x v="3"/>
  </r>
  <r>
    <x v="8"/>
    <n v="1"/>
    <x v="3"/>
  </r>
  <r>
    <x v="3"/>
    <n v="1"/>
    <x v="9"/>
  </r>
  <r>
    <x v="10"/>
    <n v="2"/>
    <x v="1"/>
  </r>
  <r>
    <x v="4"/>
    <n v="2"/>
    <x v="10"/>
  </r>
  <r>
    <x v="0"/>
    <n v="2"/>
    <x v="12"/>
  </r>
  <r>
    <x v="1"/>
    <n v="2"/>
    <x v="12"/>
  </r>
  <r>
    <x v="7"/>
    <n v="2"/>
    <x v="12"/>
  </r>
  <r>
    <x v="3"/>
    <n v="2"/>
    <x v="12"/>
  </r>
  <r>
    <x v="2"/>
    <n v="2"/>
    <x v="3"/>
  </r>
  <r>
    <x v="1"/>
    <n v="1"/>
    <x v="2"/>
  </r>
  <r>
    <x v="0"/>
    <n v="1"/>
    <x v="5"/>
  </r>
  <r>
    <x v="4"/>
    <n v="1"/>
    <x v="1"/>
  </r>
  <r>
    <x v="10"/>
    <n v="2"/>
    <x v="1"/>
  </r>
  <r>
    <x v="11"/>
    <n v="2"/>
    <x v="10"/>
  </r>
  <r>
    <x v="10"/>
    <n v="1"/>
    <x v="12"/>
  </r>
  <r>
    <x v="1"/>
    <n v="2"/>
    <x v="4"/>
  </r>
  <r>
    <x v="2"/>
    <n v="1"/>
    <x v="0"/>
  </r>
  <r>
    <x v="8"/>
    <n v="2"/>
    <x v="5"/>
  </r>
  <r>
    <x v="11"/>
    <n v="2"/>
    <x v="3"/>
  </r>
  <r>
    <x v="6"/>
    <n v="1"/>
    <x v="8"/>
  </r>
  <r>
    <x v="5"/>
    <n v="1"/>
    <x v="6"/>
  </r>
  <r>
    <x v="6"/>
    <n v="2"/>
    <x v="1"/>
  </r>
  <r>
    <x v="1"/>
    <n v="2"/>
    <x v="8"/>
  </r>
  <r>
    <x v="5"/>
    <n v="1"/>
    <x v="0"/>
  </r>
  <r>
    <x v="1"/>
    <n v="1"/>
    <x v="5"/>
  </r>
  <r>
    <x v="5"/>
    <n v="2"/>
    <x v="5"/>
  </r>
  <r>
    <x v="8"/>
    <n v="2"/>
    <x v="8"/>
  </r>
  <r>
    <x v="2"/>
    <n v="1"/>
    <x v="6"/>
  </r>
  <r>
    <x v="6"/>
    <n v="1"/>
    <x v="4"/>
  </r>
  <r>
    <x v="0"/>
    <n v="2"/>
    <x v="3"/>
  </r>
  <r>
    <x v="2"/>
    <n v="1"/>
    <x v="6"/>
  </r>
  <r>
    <x v="6"/>
    <n v="1"/>
    <x v="4"/>
  </r>
  <r>
    <x v="6"/>
    <n v="1"/>
    <x v="3"/>
  </r>
  <r>
    <x v="3"/>
    <n v="1"/>
    <x v="6"/>
  </r>
  <r>
    <x v="6"/>
    <n v="2"/>
    <x v="1"/>
  </r>
  <r>
    <x v="0"/>
    <n v="1"/>
    <x v="6"/>
  </r>
  <r>
    <x v="2"/>
    <n v="1"/>
    <x v="14"/>
  </r>
  <r>
    <x v="13"/>
    <n v="1"/>
    <x v="4"/>
  </r>
  <r>
    <x v="6"/>
    <n v="1"/>
    <x v="4"/>
  </r>
  <r>
    <x v="2"/>
    <n v="1"/>
    <x v="6"/>
  </r>
  <r>
    <x v="15"/>
    <n v="2"/>
    <x v="16"/>
  </r>
  <r>
    <x v="16"/>
    <m/>
    <x v="17"/>
  </r>
  <r>
    <x v="16"/>
    <m/>
    <x v="17"/>
  </r>
  <r>
    <x v="16"/>
    <m/>
    <x v="17"/>
  </r>
  <r>
    <x v="16"/>
    <m/>
    <x v="17"/>
  </r>
  <r>
    <x v="16"/>
    <m/>
    <x v="17"/>
  </r>
  <r>
    <x v="16"/>
    <m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ALL2025" cacheId="41" applyNumberFormats="0" applyBorderFormats="0" applyFontFormats="0" applyPatternFormats="0" applyAlignmentFormats="0" applyWidthHeightFormats="0" dataCaption="" updatedVersion="8" compact="0" compactData="0" multipleFieldFilters="0">
  <location ref="R2:AI19" firstHeaderRow="1" firstDataRow="2" firstDataCol="1"/>
  <pivotFields count="3">
    <pivotField name="Sniper" axis="axisRow" compact="0" outline="0" multipleItemSelectionAllowed="1" showAll="0" sortType="descending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h="1" x="16"/>
        <item x="14"/>
        <item h="1" x="15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7"/>
        <item x="15"/>
        <item h="1" x="16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6">
    <i>
      <x v="2"/>
    </i>
    <i>
      <x v="1"/>
    </i>
    <i>
      <x/>
    </i>
    <i>
      <x v="6"/>
    </i>
    <i>
      <x v="12"/>
    </i>
    <i>
      <x v="7"/>
    </i>
    <i>
      <x v="3"/>
    </i>
    <i>
      <x v="11"/>
    </i>
    <i>
      <x v="10"/>
    </i>
    <i>
      <x v="5"/>
    </i>
    <i>
      <x v="13"/>
    </i>
    <i>
      <x v="8"/>
    </i>
    <i>
      <x v="4"/>
    </i>
    <i>
      <x v="9"/>
    </i>
    <i>
      <x v="15"/>
    </i>
    <i t="grand">
      <x/>
    </i>
  </rowItems>
  <colFields count="1">
    <field x="2"/>
  </colFields>
  <colItems count="17">
    <i>
      <x v="4"/>
    </i>
    <i>
      <x v="3"/>
    </i>
    <i>
      <x v="1"/>
    </i>
    <i>
      <x v="13"/>
    </i>
    <i>
      <x v="6"/>
    </i>
    <i>
      <x v="10"/>
    </i>
    <i>
      <x/>
    </i>
    <i>
      <x v="12"/>
    </i>
    <i>
      <x v="8"/>
    </i>
    <i>
      <x v="2"/>
    </i>
    <i>
      <x v="7"/>
    </i>
    <i>
      <x v="5"/>
    </i>
    <i>
      <x v="9"/>
    </i>
    <i>
      <x v="14"/>
    </i>
    <i>
      <x v="11"/>
    </i>
    <i>
      <x v="16"/>
    </i>
    <i t="grand">
      <x/>
    </i>
  </colItems>
  <dataFields count="1">
    <dataField name="Sum of Points" fld="1" baseField="0"/>
  </dataFields>
  <formats count="22">
    <format dxfId="95">
      <pivotArea field="0" type="button" dataOnly="0" labelOnly="1" outline="0" axis="axisRow" fieldPosition="0"/>
    </format>
    <format dxfId="94">
      <pivotArea dataOnly="0" labelOnly="1" outline="0" fieldPosition="0">
        <references count="1">
          <reference field="0" count="0"/>
        </references>
      </pivotArea>
    </format>
    <format dxfId="93">
      <pivotArea dataOnly="0" labelOnly="1" grandRow="1" outline="0" fieldPosition="0"/>
    </format>
    <format dxfId="92">
      <pivotArea field="0" type="button" dataOnly="0" labelOnly="1" outline="0" axis="axisRow" fieldPosition="0"/>
    </format>
    <format dxfId="91">
      <pivotArea dataOnly="0" labelOnly="1" outline="0" fieldPosition="0">
        <references count="1">
          <reference field="0" count="0"/>
        </references>
      </pivotArea>
    </format>
    <format dxfId="90">
      <pivotArea dataOnly="0" labelOnly="1" grandRow="1" outline="0" fieldPosition="0"/>
    </format>
    <format dxfId="89">
      <pivotArea outline="0" fieldPosition="0"/>
    </format>
    <format dxfId="88">
      <pivotArea dataOnly="0" labelOnly="1" outline="0" fieldPosition="0">
        <references count="1">
          <reference field="2" count="0"/>
        </references>
      </pivotArea>
    </format>
    <format dxfId="87">
      <pivotArea dataOnly="0" labelOnly="1" grandCol="1" outline="0" fieldPosition="0"/>
    </format>
    <format dxfId="86">
      <pivotArea outline="0" fieldPosition="0"/>
    </format>
    <format dxfId="85">
      <pivotArea dataOnly="0" labelOnly="1" outline="0" fieldPosition="0">
        <references count="1">
          <reference field="2" count="0"/>
        </references>
      </pivotArea>
    </format>
    <format dxfId="84">
      <pivotArea dataOnly="0" labelOnly="1" grandCol="1" outline="0" fieldPosition="0"/>
    </format>
    <format dxfId="83">
      <pivotArea field="0" type="button" dataOnly="0" labelOnly="1" outline="0" axis="axisRow" fieldPosition="0"/>
    </format>
    <format dxfId="82">
      <pivotArea dataOnly="0" labelOnly="1" outline="0" fieldPosition="0">
        <references count="1">
          <reference field="0" count="0"/>
        </references>
      </pivotArea>
    </format>
    <format dxfId="81">
      <pivotArea dataOnly="0" labelOnly="1" grandRow="1" outline="0" fieldPosition="0"/>
    </format>
    <format dxfId="80">
      <pivotArea type="origin" dataOnly="0" labelOnly="1" outline="0" fieldPosition="0"/>
    </format>
    <format dxfId="79">
      <pivotArea field="2" type="button" dataOnly="0" labelOnly="1" outline="0" axis="axisCol" fieldPosition="0"/>
    </format>
    <format dxfId="78">
      <pivotArea type="topRight" dataOnly="0" labelOnly="1" outline="0" fieldPosition="0"/>
    </format>
    <format dxfId="77">
      <pivotArea field="0" type="button" dataOnly="0" labelOnly="1" outline="0" axis="axisRow" fieldPosition="0"/>
    </format>
    <format dxfId="76">
      <pivotArea dataOnly="0" labelOnly="1" outline="0" fieldPosition="0">
        <references count="1">
          <reference field="2" count="0"/>
        </references>
      </pivotArea>
    </format>
    <format dxfId="75">
      <pivotArea dataOnly="0" labelOnly="1" grandCol="1" outline="0" fieldPosition="0"/>
    </format>
    <format dxfId="74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FALL2025" cacheId="41" applyNumberFormats="0" applyBorderFormats="0" applyFontFormats="0" applyPatternFormats="0" applyAlignmentFormats="0" applyWidthHeightFormats="0" dataCaption="" updatedVersion="8" compact="0" compactData="0" multipleFieldFilters="0">
  <location ref="R2:AI19" firstHeaderRow="1" firstDataRow="2" firstDataCol="1"/>
  <pivotFields count="3">
    <pivotField name="Sniper" axis="axisRow" compact="0" outline="0" multipleItemSelectionAllowed="1" showAll="0" sortType="descending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h="1" x="16"/>
        <item x="14"/>
        <item h="1" x="15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7"/>
        <item x="15"/>
        <item h="1" x="16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6">
    <i>
      <x v="2"/>
    </i>
    <i>
      <x v="1"/>
    </i>
    <i>
      <x/>
    </i>
    <i>
      <x v="6"/>
    </i>
    <i>
      <x v="12"/>
    </i>
    <i>
      <x v="7"/>
    </i>
    <i>
      <x v="3"/>
    </i>
    <i>
      <x v="11"/>
    </i>
    <i>
      <x v="10"/>
    </i>
    <i>
      <x v="5"/>
    </i>
    <i>
      <x v="13"/>
    </i>
    <i>
      <x v="8"/>
    </i>
    <i>
      <x v="4"/>
    </i>
    <i>
      <x v="9"/>
    </i>
    <i>
      <x v="15"/>
    </i>
    <i t="grand">
      <x/>
    </i>
  </rowItems>
  <colFields count="1">
    <field x="2"/>
  </colFields>
  <colItems count="17">
    <i>
      <x v="4"/>
    </i>
    <i>
      <x v="3"/>
    </i>
    <i>
      <x v="1"/>
    </i>
    <i>
      <x v="13"/>
    </i>
    <i>
      <x v="6"/>
    </i>
    <i>
      <x v="10"/>
    </i>
    <i>
      <x/>
    </i>
    <i>
      <x v="12"/>
    </i>
    <i>
      <x v="8"/>
    </i>
    <i>
      <x v="2"/>
    </i>
    <i>
      <x v="7"/>
    </i>
    <i>
      <x v="5"/>
    </i>
    <i>
      <x v="9"/>
    </i>
    <i>
      <x v="14"/>
    </i>
    <i>
      <x v="11"/>
    </i>
    <i>
      <x v="16"/>
    </i>
    <i t="grand">
      <x/>
    </i>
  </colItems>
  <dataFields count="1">
    <dataField name="Sum of Points" fld="1" baseField="0"/>
  </dataFields>
  <formats count="22">
    <format dxfId="72">
      <pivotArea field="0" type="button" dataOnly="0" labelOnly="1" outline="0" axis="axisRow" fieldPosition="0"/>
    </format>
    <format dxfId="71">
      <pivotArea dataOnly="0" labelOnly="1" outline="0" fieldPosition="0">
        <references count="1">
          <reference field="0" count="0"/>
        </references>
      </pivotArea>
    </format>
    <format dxfId="70">
      <pivotArea dataOnly="0" labelOnly="1" grandRow="1" outline="0" fieldPosition="0"/>
    </format>
    <format dxfId="69">
      <pivotArea field="0" type="button" dataOnly="0" labelOnly="1" outline="0" axis="axisRow" fieldPosition="0"/>
    </format>
    <format dxfId="68">
      <pivotArea dataOnly="0" labelOnly="1" outline="0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outline="0" fieldPosition="0"/>
    </format>
    <format dxfId="65">
      <pivotArea dataOnly="0" labelOnly="1" outline="0" fieldPosition="0">
        <references count="1">
          <reference field="2" count="0"/>
        </references>
      </pivotArea>
    </format>
    <format dxfId="64">
      <pivotArea dataOnly="0" labelOnly="1" grandCol="1" outline="0" fieldPosition="0"/>
    </format>
    <format dxfId="63">
      <pivotArea outline="0" fieldPosition="0"/>
    </format>
    <format dxfId="62">
      <pivotArea dataOnly="0" labelOnly="1" outline="0" fieldPosition="0">
        <references count="1">
          <reference field="2" count="0"/>
        </references>
      </pivotArea>
    </format>
    <format dxfId="61">
      <pivotArea dataOnly="0" labelOnly="1" grandCol="1" outline="0" fieldPosition="0"/>
    </format>
    <format dxfId="60">
      <pivotArea field="0" type="button" dataOnly="0" labelOnly="1" outline="0" axis="axisRow" fieldPosition="0"/>
    </format>
    <format dxfId="59">
      <pivotArea dataOnly="0" labelOnly="1" outline="0" fieldPosition="0">
        <references count="1">
          <reference field="0" count="0"/>
        </references>
      </pivotArea>
    </format>
    <format dxfId="58">
      <pivotArea dataOnly="0" labelOnly="1" grandRow="1" outline="0" fieldPosition="0"/>
    </format>
    <format dxfId="57">
      <pivotArea type="origin" dataOnly="0" labelOnly="1" outline="0" fieldPosition="0"/>
    </format>
    <format dxfId="56">
      <pivotArea field="2" type="button" dataOnly="0" labelOnly="1" outline="0" axis="axisCol" fieldPosition="0"/>
    </format>
    <format dxfId="55">
      <pivotArea type="topRight" dataOnly="0" labelOnly="1" outline="0" fieldPosition="0"/>
    </format>
    <format dxfId="54">
      <pivotArea field="0" type="button" dataOnly="0" labelOnly="1" outline="0" axis="axisRow" fieldPosition="0"/>
    </format>
    <format dxfId="53">
      <pivotArea dataOnly="0" labelOnly="1" outline="0" fieldPosition="0">
        <references count="1">
          <reference field="2" count="0"/>
        </references>
      </pivotArea>
    </format>
    <format dxfId="52">
      <pivotArea dataOnly="0" labelOnly="1" grandCol="1" outline="0" fieldPosition="0"/>
    </format>
    <format dxfId="51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Fall2025PRE" cacheId="36" applyNumberFormats="0" applyBorderFormats="0" applyFontFormats="0" applyPatternFormats="0" applyAlignmentFormats="0" applyWidthHeightFormats="0" dataCaption="" updatedVersion="8" compact="0" compactData="0" multipleFieldFilters="0">
  <location ref="R2:AE14" firstHeaderRow="1" firstDataRow="2" firstDataCol="1"/>
  <pivotFields count="3">
    <pivotField name="Sniper" axis="axisRow" compact="0" outline="0" multipleItemSelectionAllowed="1" showAll="0" sortType="descending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1">
    <i>
      <x v="2"/>
    </i>
    <i>
      <x v="5"/>
    </i>
    <i>
      <x/>
    </i>
    <i>
      <x v="6"/>
    </i>
    <i>
      <x v="9"/>
    </i>
    <i>
      <x v="3"/>
    </i>
    <i>
      <x v="1"/>
    </i>
    <i>
      <x v="4"/>
    </i>
    <i>
      <x v="7"/>
    </i>
    <i>
      <x v="8"/>
    </i>
    <i t="grand">
      <x/>
    </i>
  </rowItems>
  <colFields count="1">
    <field x="2"/>
  </colFields>
  <colItems count="13">
    <i>
      <x v="7"/>
    </i>
    <i>
      <x v="8"/>
    </i>
    <i>
      <x v="11"/>
    </i>
    <i>
      <x v="10"/>
    </i>
    <i>
      <x v="4"/>
    </i>
    <i>
      <x v="3"/>
    </i>
    <i>
      <x v="2"/>
    </i>
    <i>
      <x/>
    </i>
    <i>
      <x v="6"/>
    </i>
    <i>
      <x v="1"/>
    </i>
    <i>
      <x v="5"/>
    </i>
    <i>
      <x v="9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Spring2025" cacheId="31" applyNumberFormats="0" applyBorderFormats="0" applyFontFormats="0" applyPatternFormats="0" applyAlignmentFormats="0" applyWidthHeightFormats="0" dataCaption="" updatedVersion="8" compact="0" compactData="0" multipleFieldFilters="0">
  <location ref="R2:AD14" firstHeaderRow="1" firstDataRow="2" firstDataCol="1"/>
  <pivotFields count="3">
    <pivotField name="Sniper" axis="axisRow" compact="0" outline="0" multipleItemSelectionAllowed="1" showAll="0" sortType="descending">
      <items count="13">
        <item x="0"/>
        <item x="1"/>
        <item x="2"/>
        <item x="3"/>
        <item h="1" x="4"/>
        <item x="5"/>
        <item x="6"/>
        <item x="7"/>
        <item x="8"/>
        <item x="9"/>
        <item x="10"/>
        <item h="1" x="11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4">
        <item x="0"/>
        <item x="1"/>
        <item x="2"/>
        <item h="1" x="3"/>
        <item x="4"/>
        <item x="5"/>
        <item x="6"/>
        <item x="7"/>
        <item x="8"/>
        <item x="9"/>
        <item x="10"/>
        <item h="1" x="11"/>
        <item x="12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1">
    <i>
      <x v="1"/>
    </i>
    <i>
      <x/>
    </i>
    <i>
      <x v="2"/>
    </i>
    <i>
      <x v="6"/>
    </i>
    <i>
      <x v="3"/>
    </i>
    <i>
      <x v="5"/>
    </i>
    <i>
      <x v="7"/>
    </i>
    <i>
      <x v="10"/>
    </i>
    <i>
      <x v="9"/>
    </i>
    <i>
      <x v="8"/>
    </i>
    <i t="grand">
      <x/>
    </i>
  </rowItems>
  <colFields count="1">
    <field x="2"/>
  </colFields>
  <colItems count="12">
    <i>
      <x v="1"/>
    </i>
    <i>
      <x v="5"/>
    </i>
    <i>
      <x v="2"/>
    </i>
    <i>
      <x v="4"/>
    </i>
    <i>
      <x v="7"/>
    </i>
    <i>
      <x v="6"/>
    </i>
    <i>
      <x v="9"/>
    </i>
    <i>
      <x v="8"/>
    </i>
    <i>
      <x v="10"/>
    </i>
    <i>
      <x v="12"/>
    </i>
    <i>
      <x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Fall2024" cacheId="26" applyNumberFormats="0" applyBorderFormats="0" applyFontFormats="0" applyPatternFormats="0" applyAlignmentFormats="0" applyWidthHeightFormats="0" dataCaption="" updatedVersion="8" compact="0" compactData="0" multipleFieldFilters="0">
  <location ref="R2:AE15" firstHeaderRow="1" firstDataRow="2" firstDataCol="1"/>
  <pivotFields count="3">
    <pivotField name="Sniper" axis="axisRow" compact="0" outline="0" multipleItemSelectionAllowed="1" showAll="0" sortType="descending">
      <items count="14">
        <item x="0"/>
        <item h="1"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5">
        <item x="0"/>
        <item x="1"/>
        <item x="2"/>
        <item x="3"/>
        <item x="4"/>
        <item x="5"/>
        <item x="6"/>
        <item h="1" x="7"/>
        <item x="8"/>
        <item x="9"/>
        <item x="10"/>
        <item x="11"/>
        <item x="12"/>
        <item h="1" x="13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2">
    <i>
      <x v="3"/>
    </i>
    <i>
      <x v="5"/>
    </i>
    <i>
      <x v="2"/>
    </i>
    <i>
      <x v="4"/>
    </i>
    <i>
      <x v="7"/>
    </i>
    <i>
      <x v="11"/>
    </i>
    <i>
      <x v="8"/>
    </i>
    <i>
      <x v="6"/>
    </i>
    <i>
      <x v="10"/>
    </i>
    <i>
      <x v="9"/>
    </i>
    <i>
      <x/>
    </i>
    <i t="grand">
      <x/>
    </i>
  </rowItems>
  <colFields count="1">
    <field x="2"/>
  </colFields>
  <colItems count="13">
    <i>
      <x v="6"/>
    </i>
    <i>
      <x v="3"/>
    </i>
    <i>
      <x v="5"/>
    </i>
    <i>
      <x v="10"/>
    </i>
    <i>
      <x v="12"/>
    </i>
    <i>
      <x v="4"/>
    </i>
    <i>
      <x v="2"/>
    </i>
    <i>
      <x/>
    </i>
    <i>
      <x v="9"/>
    </i>
    <i>
      <x v="11"/>
    </i>
    <i>
      <x v="1"/>
    </i>
    <i>
      <x v="8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Fall2024PRE" cacheId="21" applyNumberFormats="0" applyBorderFormats="0" applyFontFormats="0" applyPatternFormats="0" applyAlignmentFormats="0" applyWidthHeightFormats="0" dataCaption="" updatedVersion="8" compact="0" compactData="0" multipleFieldFilters="0">
  <location ref="R2:AB11" firstHeaderRow="1" firstDataRow="2" firstDataCol="1"/>
  <pivotFields count="3">
    <pivotField name="Sniper" axis="axisRow" compact="0" outline="0" multipleItemSelectionAllowed="1" showAll="0" sortType="descending">
      <items count="10">
        <item x="0"/>
        <item x="1"/>
        <item x="2"/>
        <item x="3"/>
        <item h="1" x="4"/>
        <item x="5"/>
        <item x="6"/>
        <item x="7"/>
        <item h="1" x="8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8">
    <i>
      <x/>
    </i>
    <i>
      <x v="1"/>
    </i>
    <i>
      <x v="3"/>
    </i>
    <i>
      <x v="6"/>
    </i>
    <i>
      <x v="7"/>
    </i>
    <i>
      <x v="5"/>
    </i>
    <i>
      <x v="2"/>
    </i>
    <i t="grand">
      <x/>
    </i>
  </rowItems>
  <colFields count="1">
    <field x="2"/>
  </colFields>
  <colItems count="10">
    <i>
      <x v="2"/>
    </i>
    <i>
      <x v="6"/>
    </i>
    <i>
      <x v="1"/>
    </i>
    <i>
      <x v="4"/>
    </i>
    <i>
      <x v="3"/>
    </i>
    <i>
      <x v="8"/>
    </i>
    <i>
      <x v="5"/>
    </i>
    <i>
      <x/>
    </i>
    <i>
      <x v="7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Spring2024POST" cacheId="16" applyNumberFormats="0" applyBorderFormats="0" applyFontFormats="0" applyPatternFormats="0" applyAlignmentFormats="0" applyWidthHeightFormats="0" dataCaption="" updatedVersion="8" compact="0" compactData="0" multipleFieldFilters="0">
  <location ref="R2:AE15" firstHeaderRow="1" firstDataRow="2" firstDataCol="1"/>
  <pivotFields count="3">
    <pivotField name="Sniper" axis="axisRow" compact="0" outline="0" multipleItemSelectionAllowed="1" showAll="0" sortType="descending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2">
    <i>
      <x v="5"/>
    </i>
    <i>
      <x v="4"/>
    </i>
    <i>
      <x v="1"/>
    </i>
    <i>
      <x v="8"/>
    </i>
    <i>
      <x/>
    </i>
    <i>
      <x v="7"/>
    </i>
    <i>
      <x v="6"/>
    </i>
    <i>
      <x v="9"/>
    </i>
    <i>
      <x v="3"/>
    </i>
    <i>
      <x v="10"/>
    </i>
    <i>
      <x v="2"/>
    </i>
    <i t="grand">
      <x/>
    </i>
  </rowItems>
  <colFields count="1">
    <field x="2"/>
  </colFields>
  <colItems count="13">
    <i>
      <x v="5"/>
    </i>
    <i>
      <x v="2"/>
    </i>
    <i>
      <x v="1"/>
    </i>
    <i>
      <x v="6"/>
    </i>
    <i>
      <x v="8"/>
    </i>
    <i>
      <x/>
    </i>
    <i>
      <x v="4"/>
    </i>
    <i>
      <x v="9"/>
    </i>
    <i>
      <x v="10"/>
    </i>
    <i>
      <x v="7"/>
    </i>
    <i>
      <x v="3"/>
    </i>
    <i>
      <x v="11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Spring2024" cacheId="11" applyNumberFormats="0" applyBorderFormats="0" applyFontFormats="0" applyPatternFormats="0" applyAlignmentFormats="0" applyWidthHeightFormats="0" dataCaption="" updatedVersion="8" compact="0" compactData="0" multipleFieldFilters="0">
  <location ref="Q2:AC14" firstHeaderRow="1" firstDataRow="2" firstDataCol="1"/>
  <pivotFields count="3">
    <pivotField name="Sniper" axis="axisRow" compact="0" outline="0" multipleItemSelectionAllowed="1" showAll="0" sortType="descending">
      <items count="13">
        <item x="0"/>
        <item x="1"/>
        <item x="2"/>
        <item h="1" x="3"/>
        <item x="4"/>
        <item x="5"/>
        <item x="6"/>
        <item x="7"/>
        <item x="8"/>
        <item x="9"/>
        <item x="10"/>
        <item h="1" x="11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4">
        <item x="0"/>
        <item x="1"/>
        <item x="2"/>
        <item x="3"/>
        <item x="4"/>
        <item x="5"/>
        <item x="6"/>
        <item x="7"/>
        <item h="1" x="8"/>
        <item x="9"/>
        <item x="10"/>
        <item x="11"/>
        <item h="1" x="12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1">
    <i>
      <x v="2"/>
    </i>
    <i>
      <x/>
    </i>
    <i>
      <x v="1"/>
    </i>
    <i>
      <x v="4"/>
    </i>
    <i>
      <x v="5"/>
    </i>
    <i>
      <x v="7"/>
    </i>
    <i>
      <x v="8"/>
    </i>
    <i>
      <x v="6"/>
    </i>
    <i>
      <x v="10"/>
    </i>
    <i>
      <x v="9"/>
    </i>
    <i t="grand">
      <x/>
    </i>
  </rowItems>
  <colFields count="1">
    <field x="2"/>
  </colFields>
  <colItems count="12">
    <i>
      <x v="6"/>
    </i>
    <i>
      <x v="1"/>
    </i>
    <i>
      <x v="3"/>
    </i>
    <i>
      <x v="5"/>
    </i>
    <i>
      <x v="10"/>
    </i>
    <i>
      <x v="7"/>
    </i>
    <i>
      <x v="11"/>
    </i>
    <i>
      <x v="9"/>
    </i>
    <i>
      <x/>
    </i>
    <i>
      <x v="4"/>
    </i>
    <i>
      <x v="2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discord.com/channels/191975109500731392/1212839710439776287/1432781582556725298" TargetMode="External"/><Relationship Id="rId3" Type="http://schemas.openxmlformats.org/officeDocument/2006/relationships/hyperlink" Target="https://discord.com/channels/191975109500731392/1212839710439776287/1420158594686521365" TargetMode="External"/><Relationship Id="rId7" Type="http://schemas.openxmlformats.org/officeDocument/2006/relationships/hyperlink" Target="https://discord.com/channels/191975109500731392/1212839710439776287/1428771201802829969" TargetMode="External"/><Relationship Id="rId2" Type="http://schemas.openxmlformats.org/officeDocument/2006/relationships/hyperlink" Target="https://discord.com/channels/191975109500731392/1212839710439776287/1420102383278624777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https://discord.com/channels/191975109500731392/1212839710439776287/1426205592493752341" TargetMode="External"/><Relationship Id="rId5" Type="http://schemas.openxmlformats.org/officeDocument/2006/relationships/hyperlink" Target="https://discord.com/channels/191975109500731392/1212839710439776287/1424816644093513919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discord.com/channels/191975109500731392/1212839710439776287/1420785838920302643" TargetMode="External"/><Relationship Id="rId9" Type="http://schemas.openxmlformats.org/officeDocument/2006/relationships/hyperlink" Target="https://discord.com/channels/191975109500731392/1212839710439776287/1433113874529390762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discord.com/channels/191975109500731392/1212839710439776287/1432781582556725298" TargetMode="External"/><Relationship Id="rId3" Type="http://schemas.openxmlformats.org/officeDocument/2006/relationships/hyperlink" Target="https://discord.com/channels/191975109500731392/1212839710439776287/1420158594686521365" TargetMode="External"/><Relationship Id="rId7" Type="http://schemas.openxmlformats.org/officeDocument/2006/relationships/hyperlink" Target="https://discord.com/channels/191975109500731392/1212839710439776287/1428771201802829969" TargetMode="External"/><Relationship Id="rId2" Type="http://schemas.openxmlformats.org/officeDocument/2006/relationships/hyperlink" Target="https://discord.com/channels/191975109500731392/1212839710439776287/1420102383278624777" TargetMode="External"/><Relationship Id="rId1" Type="http://schemas.openxmlformats.org/officeDocument/2006/relationships/pivotTable" Target="../pivotTables/pivotTable2.xml"/><Relationship Id="rId6" Type="http://schemas.openxmlformats.org/officeDocument/2006/relationships/hyperlink" Target="https://discord.com/channels/191975109500731392/1212839710439776287/1426205592493752341" TargetMode="External"/><Relationship Id="rId5" Type="http://schemas.openxmlformats.org/officeDocument/2006/relationships/hyperlink" Target="https://discord.com/channels/191975109500731392/1212839710439776287/1424816644093513919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discord.com/channels/191975109500731392/1212839710439776287/1420785838920302643" TargetMode="External"/><Relationship Id="rId9" Type="http://schemas.openxmlformats.org/officeDocument/2006/relationships/hyperlink" Target="https://discord.com/channels/191975109500731392/1212839710439776287/143311387452939076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discord.com/channels/191975109500731392/1212839710439776287/1418581366886367354" TargetMode="External"/><Relationship Id="rId2" Type="http://schemas.openxmlformats.org/officeDocument/2006/relationships/hyperlink" Target="https://discord.com/channels/191975109500731392/1212839710439776287/1410732645112877098" TargetMode="Externa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discord.com/channels/191975109500731392/1212839710439776287/1329161563461910689" TargetMode="External"/><Relationship Id="rId13" Type="http://schemas.openxmlformats.org/officeDocument/2006/relationships/hyperlink" Target="https://discord.com/channels/191975109500731392/1212839710439776287/1331786975774244975" TargetMode="External"/><Relationship Id="rId18" Type="http://schemas.openxmlformats.org/officeDocument/2006/relationships/hyperlink" Target="https://discord.com/channels/191975109500731392/1212839710439776287/1351252845374083104" TargetMode="External"/><Relationship Id="rId3" Type="http://schemas.openxmlformats.org/officeDocument/2006/relationships/hyperlink" Target="https://discord.com/channels/191975109500731392/1212839710439776287/1328431903224627242" TargetMode="External"/><Relationship Id="rId21" Type="http://schemas.openxmlformats.org/officeDocument/2006/relationships/drawing" Target="../drawings/drawing4.xml"/><Relationship Id="rId7" Type="http://schemas.openxmlformats.org/officeDocument/2006/relationships/hyperlink" Target="https://discord.com/channels/191975109500731392/1212839710439776287/1329131398652629064" TargetMode="External"/><Relationship Id="rId12" Type="http://schemas.openxmlformats.org/officeDocument/2006/relationships/hyperlink" Target="https://discord.com/channels/191975109500731392/1212839710439776287/1331654158717288450" TargetMode="External"/><Relationship Id="rId17" Type="http://schemas.openxmlformats.org/officeDocument/2006/relationships/hyperlink" Target="https://discord.com/channels/191975109500731392/1212839710439776287/1341446113479098399" TargetMode="External"/><Relationship Id="rId2" Type="http://schemas.openxmlformats.org/officeDocument/2006/relationships/hyperlink" Target="https://discord.com/channels/191975109500731392/1212839710439776287/1328421980986146921" TargetMode="External"/><Relationship Id="rId16" Type="http://schemas.openxmlformats.org/officeDocument/2006/relationships/hyperlink" Target="https://discord.com/channels/191975109500731392/1212839710439776287/1340814596830920714" TargetMode="External"/><Relationship Id="rId20" Type="http://schemas.openxmlformats.org/officeDocument/2006/relationships/hyperlink" Target="https://discord.com/channels/191975109500731392/1212839710439776287/1354853809394024635" TargetMode="External"/><Relationship Id="rId1" Type="http://schemas.openxmlformats.org/officeDocument/2006/relationships/pivotTable" Target="../pivotTables/pivotTable4.xml"/><Relationship Id="rId6" Type="http://schemas.openxmlformats.org/officeDocument/2006/relationships/hyperlink" Target="https://discord.com/channels/191975109500731392/1212839710439776287/1329131165818290278" TargetMode="External"/><Relationship Id="rId11" Type="http://schemas.openxmlformats.org/officeDocument/2006/relationships/hyperlink" Target="https://discord.com/channels/191975109500731392/1212839710439776287/1331407502687862784" TargetMode="External"/><Relationship Id="rId5" Type="http://schemas.openxmlformats.org/officeDocument/2006/relationships/hyperlink" Target="https://discord.com/channels/191975109500731392/1212839710439776287/1329116512476205076" TargetMode="External"/><Relationship Id="rId15" Type="http://schemas.openxmlformats.org/officeDocument/2006/relationships/hyperlink" Target="https://discord.com/channels/191975109500731392/1212839710439776287/1332104635577532449" TargetMode="External"/><Relationship Id="rId10" Type="http://schemas.openxmlformats.org/officeDocument/2006/relationships/hyperlink" Target="https://discord.com/channels/191975109500731392/1212839710439776287/1330341537489616977" TargetMode="External"/><Relationship Id="rId19" Type="http://schemas.openxmlformats.org/officeDocument/2006/relationships/hyperlink" Target="https://discord.com/channels/191975109500731392/1212839710439776287/1351672302345130024" TargetMode="External"/><Relationship Id="rId4" Type="http://schemas.openxmlformats.org/officeDocument/2006/relationships/hyperlink" Target="https://discord.com/channels/191975109500731392/1212839710439776287/1328444788130709625" TargetMode="External"/><Relationship Id="rId9" Type="http://schemas.openxmlformats.org/officeDocument/2006/relationships/hyperlink" Target="https://discord.com/channels/191975109500731392/1212839710439776287/1329904517151719514" TargetMode="External"/><Relationship Id="rId14" Type="http://schemas.openxmlformats.org/officeDocument/2006/relationships/hyperlink" Target="https://discord.com/channels/191975109500731392/1212839710439776287/133209688929377087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discord.com/channels/191975109500731392/1212839710439776287/1306325863213830194" TargetMode="External"/><Relationship Id="rId2" Type="http://schemas.openxmlformats.org/officeDocument/2006/relationships/hyperlink" Target="https://discord.com/channels/191975109500731392/1212839710439776287/1298696788643020852" TargetMode="Externa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media.discordapp.net/attachments/1212839710439776287/1282083076163240027/IMG_6245.jpg?ex=66e00aa9&amp;is=66deb929&amp;hm=d42a28dacaac4c05bf07b794186f748d300585ac2c95495f0911166ab4d84212&amp;=&amp;format=webp&amp;width=657&amp;height=876" TargetMode="External"/><Relationship Id="rId18" Type="http://schemas.openxmlformats.org/officeDocument/2006/relationships/hyperlink" Target="https://media.discordapp.net/attachments/1212839710439776287/1282754419263406183/IMG_0907.jpg?ex=66e081a5&amp;is=66df3025&amp;hm=a0a27f4c773019c06cc5ab5e52950030f825b859e7772789925650e143b6d742&amp;=&amp;format=webp&amp;width=657&amp;height=876" TargetMode="External"/><Relationship Id="rId26" Type="http://schemas.openxmlformats.org/officeDocument/2006/relationships/hyperlink" Target="https://media.discordapp.net/attachments/1212839710439776287/1283849948168847391/IMG_0921.jpg?ex=66e47df0&amp;is=66e32c70&amp;hm=27e1226a7895f63b4242f14df4106adb90ac201eff723823d32441119d155966&amp;=&amp;format=webp&amp;width=657&amp;height=876" TargetMode="External"/><Relationship Id="rId3" Type="http://schemas.openxmlformats.org/officeDocument/2006/relationships/hyperlink" Target="https://media.discordapp.net/attachments/1212839710439776287/1280904760328982630/image.jpg?ex=66d9c704&amp;is=66d87584&amp;hm=cba73453ebae8a9e51455943096591d0274c7f4f90193e0bbbc93150b6d3fe3b&amp;=&amp;format=webp&amp;width=657&amp;height=876" TargetMode="External"/><Relationship Id="rId21" Type="http://schemas.openxmlformats.org/officeDocument/2006/relationships/hyperlink" Target="https://media.discordapp.net/attachments/1212839710439776287/1283455781148164116/PXL_20240911_155058535.jpg?ex=66e46057&amp;is=66e30ed7&amp;hm=c12f6d3a7fa965997c1b541cad7094438b4e8242923061cb93237db352647687&amp;=&amp;format=webp&amp;width=492&amp;height=874" TargetMode="External"/><Relationship Id="rId34" Type="http://schemas.openxmlformats.org/officeDocument/2006/relationships/hyperlink" Target="https://media.discordapp.net/attachments/1212839710439776287/1284245010111271014/IMG_9792.jpg?ex=66e9399e&amp;is=66e7e81e&amp;hm=e50e875a4769266af805aff5336b77f9d79bf01d466de121021e9280de1b64f7&amp;=&amp;format=webp&amp;width=657&amp;height=876" TargetMode="External"/><Relationship Id="rId7" Type="http://schemas.openxmlformats.org/officeDocument/2006/relationships/hyperlink" Target="https://media.discordapp.net/attachments/1212839710439776287/1280949676497174639/IMG_0029.jpg?ex=66d9f0d9&amp;is=66d89f59&amp;hm=9536c6c2071867f78706d4a44cc19e60cbbe0145ca9d73d99bad928264e9fbd8&amp;=&amp;format=webp&amp;width=657&amp;height=876" TargetMode="External"/><Relationship Id="rId12" Type="http://schemas.openxmlformats.org/officeDocument/2006/relationships/hyperlink" Target="https://media.discordapp.net/attachments/1212839710439776287/1281288238845399141/PXL_20240905_162109539.jpg?ex=66e07229&amp;is=66df20a9&amp;hm=8470c5ab0bb304c517e2106c13f83ce51bdb512f8ab42580251b97e9160ab88d&amp;=&amp;format=webp&amp;width=492&amp;height=874" TargetMode="External"/><Relationship Id="rId17" Type="http://schemas.openxmlformats.org/officeDocument/2006/relationships/hyperlink" Target="https://media.discordapp.net/attachments/1212839710439776287/1282747813091872940/IMG_0906.jpg?ex=66e07b7e&amp;is=66df29fe&amp;hm=737ee5eb3d8d7b01f28adbf80d3b8a9df356ff9434cc8946f46a379b12b2d942&amp;=&amp;format=webp&amp;width=657&amp;height=876" TargetMode="External"/><Relationship Id="rId25" Type="http://schemas.openxmlformats.org/officeDocument/2006/relationships/hyperlink" Target="https://media.discordapp.net/attachments/1212839710439776287/1283843643538411561/IMG_0920.jpg?ex=66e47811&amp;is=66e32691&amp;hm=882424e9b8565bd98315bed01491f7b281fedfcf70cf99281bd834cf41cd9878&amp;=&amp;format=webp&amp;width=657&amp;height=876" TargetMode="External"/><Relationship Id="rId33" Type="http://schemas.openxmlformats.org/officeDocument/2006/relationships/hyperlink" Target="https://media.discordapp.net/attachments/1212839710439776287/1284209185575276574/F47ECE56-F318-4BFF-B7EE-F580DE7EC85B.jpg?ex=66e5cc81&amp;is=66e47b01&amp;hm=f34f017c4bac363c0048aa122eec58f7c091106b40811f5fbe17e7f0ab3de082&amp;=&amp;format=webp&amp;width=394&amp;height=525" TargetMode="External"/><Relationship Id="rId2" Type="http://schemas.openxmlformats.org/officeDocument/2006/relationships/hyperlink" Target="https://media.discordapp.net/attachments/1212839710439776287/1277352689910677635/IMG_9684.jpg?ex=66d8b865&amp;is=66d766e5&amp;hm=1f04f119402691c1c7c379953474404873dbc457ad84821a86985cf0d3239f08&amp;=&amp;format=webp&amp;width=657&amp;height=876" TargetMode="External"/><Relationship Id="rId16" Type="http://schemas.openxmlformats.org/officeDocument/2006/relationships/hyperlink" Target="https://media.discordapp.net/attachments/1212839710439776287/1282747756225630288/image.jpg?ex=66e07b71&amp;is=66df29f1&amp;hm=a0f96c6e96335b4f9dd4ef4c06a359f8d87ecf605692ec41487652c6c43b02f3&amp;=&amp;format=webp&amp;width=657&amp;height=876" TargetMode="External"/><Relationship Id="rId20" Type="http://schemas.openxmlformats.org/officeDocument/2006/relationships/hyperlink" Target="https://media.discordapp.net/attachments/1212839710439776287/1282762630439899228/IMG_0908.jpg?ex=66e47dcb&amp;is=66e32c4b&amp;hm=32bb1b8402c99cffc01a9ef7653a61c4c9c606cee5e840213f50c96e9ee701f1&amp;=&amp;format=webp&amp;width=657&amp;height=876" TargetMode="External"/><Relationship Id="rId29" Type="http://schemas.openxmlformats.org/officeDocument/2006/relationships/hyperlink" Target="https://media.discordapp.net/attachments/1212839710439776287/1283872916475215912/65EB0CCE-33C6-48A6-AE5E-E6DACDD833EF.jpg?ex=66e49354&amp;is=66e341d4&amp;hm=5bae8bdd199e9770d26eac89b84157813bef5ee5af3a0f2d9aed68f15577b522&amp;=&amp;format=webp&amp;width=657&amp;height=876" TargetMode="External"/><Relationship Id="rId1" Type="http://schemas.openxmlformats.org/officeDocument/2006/relationships/pivotTable" Target="../pivotTables/pivotTable6.xml"/><Relationship Id="rId6" Type="http://schemas.openxmlformats.org/officeDocument/2006/relationships/hyperlink" Target="https://media.discordapp.net/attachments/1212839710439776287/1280916301723865118/IMG_0024.jpg?ex=66d9d1c4&amp;is=66d88044&amp;hm=b75ac0c4a302721e8e3a8ce2eda33b33fc7232283ce9ff9b0fd16a87dd2159c9&amp;=&amp;format=webp&amp;width=657&amp;height=876" TargetMode="External"/><Relationship Id="rId11" Type="http://schemas.openxmlformats.org/officeDocument/2006/relationships/hyperlink" Target="https://media.discordapp.net/attachments/1212839710439776287/1281273353717551214/IMG_9761.jpg?ex=66e0644c&amp;is=66df12cc&amp;hm=3810ed2172daec7b4e2c440c4a5aa966b61380497260b406c63c1a10f29f3e67&amp;=&amp;format=webp&amp;width=657&amp;height=876" TargetMode="External"/><Relationship Id="rId24" Type="http://schemas.openxmlformats.org/officeDocument/2006/relationships/hyperlink" Target="https://media.discordapp.net/attachments/1212839710439776287/1283843454975348737/20240912_133453.jpg?ex=66e477e4&amp;is=66e32664&amp;hm=13384f356856b2409880f16f0181add6cb98a76ab905dd9cb41408f2c2bed0a6&amp;=&amp;format=webp&amp;width=1168&amp;height=876" TargetMode="External"/><Relationship Id="rId32" Type="http://schemas.openxmlformats.org/officeDocument/2006/relationships/hyperlink" Target="https://media.discordapp.net/attachments/1212839710439776287/1284208928892125194/IMG_0927.jpg?ex=66e5cc44&amp;is=66e47ac4&amp;hm=6f87c1bc770c0ada4da7320aad068279bcc24330dd0e774325a20c4bd87fa4bf&amp;=&amp;format=webp&amp;width=394&amp;height=525" TargetMode="External"/><Relationship Id="rId5" Type="http://schemas.openxmlformats.org/officeDocument/2006/relationships/hyperlink" Target="https://media.discordapp.net/attachments/1212839710439776287/1280906666250076182/IMG_9755.jpg?ex=66d9c8cb&amp;is=66d8774b&amp;hm=e94195946302b35c2eaead8e00f8cb09510aea8175389518142a979a265556dd&amp;=&amp;format=webp&amp;width=657&amp;height=876" TargetMode="External"/><Relationship Id="rId15" Type="http://schemas.openxmlformats.org/officeDocument/2006/relationships/hyperlink" Target="https://media.discordapp.net/attachments/1212839710439776287/1282745595345240207/IMG_9781.jpg?ex=66e0796e&amp;is=66df27ee&amp;hm=da964e0128b0e77eb97a447f18ab5f856ca93640a489e27eb8e73a35362471b4&amp;=&amp;format=webp&amp;width=657&amp;height=876" TargetMode="External"/><Relationship Id="rId23" Type="http://schemas.openxmlformats.org/officeDocument/2006/relationships/hyperlink" Target="https://media.discordapp.net/attachments/1212839710439776287/1283533540964958279/IMG_5655.jpg?ex=66e40003&amp;is=66e2ae83&amp;hm=95cb63f6908820d9dc759eed0fb808a4fe869461a7b5ca615c5ae9364fd96d1b&amp;=&amp;format=webp&amp;width=657&amp;height=876" TargetMode="External"/><Relationship Id="rId28" Type="http://schemas.openxmlformats.org/officeDocument/2006/relationships/hyperlink" Target="https://media.discordapp.net/attachments/1212839710439776287/1283872800414892108/IMG_0922.jpg?ex=66e49338&amp;is=66e341b8&amp;hm=90f1579e96845b0ad80d2b76d88a3681b25d295d378e3b5f3f2247c7f0aa55ba&amp;=&amp;format=webp&amp;width=1168&amp;height=876" TargetMode="External"/><Relationship Id="rId10" Type="http://schemas.openxmlformats.org/officeDocument/2006/relationships/hyperlink" Target="https://media.discordapp.net/attachments/1212839710439776287/1281021962260451339/IMG_9758.jpg?ex=66e022ec&amp;is=66ded16c&amp;hm=83a7b63cf6146f6c88438bf3ac2642b7b5f29a7e5c3fbb847082bb49173c4728&amp;=&amp;format=webp&amp;width=657&amp;height=876" TargetMode="External"/><Relationship Id="rId19" Type="http://schemas.openxmlformats.org/officeDocument/2006/relationships/hyperlink" Target="https://media.discordapp.net/attachments/1212839710439776287/1282755803501170879/IMG_0113.jpg?ex=66e082f0&amp;is=66df3170&amp;hm=737ce410b7fc698a1fefd89455bc95977f51bc4e762e62fec4bc68b4b213e69a&amp;=&amp;format=webp&amp;width=657&amp;height=876" TargetMode="External"/><Relationship Id="rId31" Type="http://schemas.openxmlformats.org/officeDocument/2006/relationships/hyperlink" Target="https://media.discordapp.net/attachments/1212839710439776287/1284206473274069073/20240913_133733.jpg?ex=66e5c9fa&amp;is=66e4787a&amp;hm=e34ca0a1a2ca5462fb5519f08ac1ede1271d39c37c6447530dae553098ad3526&amp;=&amp;format=webp&amp;width=657&amp;height=876" TargetMode="External"/><Relationship Id="rId4" Type="http://schemas.openxmlformats.org/officeDocument/2006/relationships/hyperlink" Target="https://media.discordapp.net/attachments/1212839710439776287/1280904799382011994/IMG_0888.jpg?ex=66d9c70e&amp;is=66d8758e&amp;hm=af14c120eff3cd3fd3d7bcdedc4fb4dac0ebd45a4b5f26e2b96cc091f4bf7a46&amp;=&amp;format=webp&amp;width=657&amp;height=876" TargetMode="External"/><Relationship Id="rId9" Type="http://schemas.openxmlformats.org/officeDocument/2006/relationships/hyperlink" Target="https://media.discordapp.net/attachments/1212839710439776287/1281017660481601622/6011E0D7-56D7-4C16-996D-1C335FB7A821.jpg?ex=66e01eea&amp;is=66decd6a&amp;hm=498f8d5c3c9633d3e8adefdae6800e3e2d5dff02d55f615022603c1567f25c98&amp;=&amp;format=webp&amp;width=657&amp;height=876" TargetMode="External"/><Relationship Id="rId14" Type="http://schemas.openxmlformats.org/officeDocument/2006/relationships/hyperlink" Target="https://media.discordapp.net/attachments/1212839710439776287/1282720914332582031/PXL_20240909_1513352522.jpg?ex=66e06271&amp;is=66df10f1&amp;hm=b2cdb44f4395a96d4ec22a541140c9ce28dcff9e81adca04046511c7b9ee6b36&amp;=&amp;format=webp&amp;width=492&amp;height=874" TargetMode="External"/><Relationship Id="rId22" Type="http://schemas.openxmlformats.org/officeDocument/2006/relationships/hyperlink" Target="https://media.discordapp.net/attachments/1212839710439776287/1283501454258212944/IMG_9785.jpg?ex=66e48ae0&amp;is=66e33960&amp;hm=5e8339fe8485b1cf6dfe92e5cbbb183baa739119fedf006cd8231f0982b0c370&amp;=&amp;format=webp&amp;width=657&amp;height=876" TargetMode="External"/><Relationship Id="rId27" Type="http://schemas.openxmlformats.org/officeDocument/2006/relationships/hyperlink" Target="https://media.discordapp.net/attachments/1212839710439776287/1283852063020810250/PXL_20240912_180905725.jpg?ex=66e47fe8&amp;is=66e32e68&amp;hm=9ac3c0083feed6ddf85d299bb5bb457c8988c3790da62d9403d173c148227141&amp;=&amp;format=webp&amp;width=492&amp;height=874" TargetMode="External"/><Relationship Id="rId30" Type="http://schemas.openxmlformats.org/officeDocument/2006/relationships/hyperlink" Target="https://media.discordapp.net/attachments/1212839710439776287/1284206593042419743/IMG_5671.jpg?ex=66e5ca17&amp;is=66e47897&amp;hm=ee7c1ead33ea9fa6b6fbfb33ee7588c647f14217b54b00179195b531ddf50dd4&amp;=&amp;format=webp&amp;width=657&amp;height=876" TargetMode="External"/><Relationship Id="rId35" Type="http://schemas.openxmlformats.org/officeDocument/2006/relationships/drawing" Target="../drawings/drawing6.xml"/><Relationship Id="rId8" Type="http://schemas.openxmlformats.org/officeDocument/2006/relationships/hyperlink" Target="https://media.discordapp.net/attachments/1212839710439776287/1280949677205880893/IMG_0031.jpg?ex=66d9f0d9&amp;is=66d89f59&amp;hm=95c63ae3123fbba409cf3f1b3a39e042671a7883f86273b1d968360625784a42&amp;=&amp;format=webp&amp;width=657&amp;height=876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discord.com/channels/191975109500731392/1212839710439776287/1227718158215811112" TargetMode="External"/><Relationship Id="rId21" Type="http://schemas.openxmlformats.org/officeDocument/2006/relationships/hyperlink" Target="https://discord.com/channels/191975109500731392/1212839710439776287/1227677100924866602" TargetMode="External"/><Relationship Id="rId42" Type="http://schemas.openxmlformats.org/officeDocument/2006/relationships/hyperlink" Target="https://discord.com/channels/191975109500731392/1212839710439776287/1228344958021537935" TargetMode="External"/><Relationship Id="rId47" Type="http://schemas.openxmlformats.org/officeDocument/2006/relationships/hyperlink" Target="https://discord.com/channels/191975109500731392/1212839710439776287/1228801813075988570" TargetMode="External"/><Relationship Id="rId63" Type="http://schemas.openxmlformats.org/officeDocument/2006/relationships/hyperlink" Target="https://discord.com/channels/191975109500731392/1212839710439776287/1229827842142113844" TargetMode="External"/><Relationship Id="rId68" Type="http://schemas.openxmlformats.org/officeDocument/2006/relationships/hyperlink" Target="https://discord.com/channels/191975109500731392/1212839710439776287/1230169762168836138" TargetMode="External"/><Relationship Id="rId84" Type="http://schemas.openxmlformats.org/officeDocument/2006/relationships/hyperlink" Target="https://discord.com/channels/191975109500731392/1212839710439776287/1232426661799133226" TargetMode="External"/><Relationship Id="rId89" Type="http://schemas.openxmlformats.org/officeDocument/2006/relationships/hyperlink" Target="https://discord.com/channels/191975109500731392/1212839710439776287/1232857376789626940" TargetMode="External"/><Relationship Id="rId16" Type="http://schemas.openxmlformats.org/officeDocument/2006/relationships/hyperlink" Target="https://discord.com/channels/191975109500731392/1212839710439776287/1227361158491803680" TargetMode="External"/><Relationship Id="rId11" Type="http://schemas.openxmlformats.org/officeDocument/2006/relationships/hyperlink" Target="https://discord.com/channels/191975109500731392/1212839710439776287/1227335825466069012" TargetMode="External"/><Relationship Id="rId32" Type="http://schemas.openxmlformats.org/officeDocument/2006/relationships/hyperlink" Target="https://discord.com/channels/191975109500731392/1212839710439776287/1228039555077115928" TargetMode="External"/><Relationship Id="rId37" Type="http://schemas.openxmlformats.org/officeDocument/2006/relationships/hyperlink" Target="https://discord.com/channels/191975109500731392/1212839710439776287/1228061053292904520" TargetMode="External"/><Relationship Id="rId53" Type="http://schemas.openxmlformats.org/officeDocument/2006/relationships/hyperlink" Target="https://discord.com/channels/191975109500731392/1212839710439776287/1229392542655709196" TargetMode="External"/><Relationship Id="rId58" Type="http://schemas.openxmlformats.org/officeDocument/2006/relationships/hyperlink" Target="https://discord.com/channels/191975109500731392/1212839710439776287/1229542966687694889" TargetMode="External"/><Relationship Id="rId74" Type="http://schemas.openxmlformats.org/officeDocument/2006/relationships/hyperlink" Target="https://discord.com/channels/191975109500731392/1212839710439776287/1230531713101336597" TargetMode="External"/><Relationship Id="rId79" Type="http://schemas.openxmlformats.org/officeDocument/2006/relationships/hyperlink" Target="https://discord.com/channels/191975109500731392/1212839710439776287/1231927878027841556" TargetMode="External"/><Relationship Id="rId102" Type="http://schemas.openxmlformats.org/officeDocument/2006/relationships/hyperlink" Target="https://discord.com/channels/191975109500731392/1212839710439776287/1233870071068229753" TargetMode="External"/><Relationship Id="rId5" Type="http://schemas.openxmlformats.org/officeDocument/2006/relationships/hyperlink" Target="https://discord.com/channels/191975109500731392/1212839710439776287/1227296332406980761" TargetMode="External"/><Relationship Id="rId90" Type="http://schemas.openxmlformats.org/officeDocument/2006/relationships/hyperlink" Target="https://discord.com/channels/191975109500731392/1212839710439776287/1233108942478114886" TargetMode="External"/><Relationship Id="rId95" Type="http://schemas.openxmlformats.org/officeDocument/2006/relationships/hyperlink" Target="https://discord.com/channels/191975109500731392/1212839710439776287/1233462276095213598" TargetMode="External"/><Relationship Id="rId22" Type="http://schemas.openxmlformats.org/officeDocument/2006/relationships/hyperlink" Target="https://discord.com/channels/191975109500731392/1212839710439776287/1227679778409021491" TargetMode="External"/><Relationship Id="rId27" Type="http://schemas.openxmlformats.org/officeDocument/2006/relationships/hyperlink" Target="https://discord.com/channels/191975109500731392/1212839710439776287/1227995877449404447" TargetMode="External"/><Relationship Id="rId43" Type="http://schemas.openxmlformats.org/officeDocument/2006/relationships/hyperlink" Target="https://discord.com/channels/191975109500731392/1212839710439776287/1228347484514811944" TargetMode="External"/><Relationship Id="rId48" Type="http://schemas.openxmlformats.org/officeDocument/2006/relationships/hyperlink" Target="https://discord.com/channels/191975109500731392/1212839710439776287/1228802395853688862" TargetMode="External"/><Relationship Id="rId64" Type="http://schemas.openxmlformats.org/officeDocument/2006/relationships/hyperlink" Target="https://discord.com/channels/191975109500731392/1212839710439776287/1229852811357847642" TargetMode="External"/><Relationship Id="rId69" Type="http://schemas.openxmlformats.org/officeDocument/2006/relationships/hyperlink" Target="https://discord.com/channels/191975109500731392/1212839710439776287/1230185006010339328" TargetMode="External"/><Relationship Id="rId80" Type="http://schemas.openxmlformats.org/officeDocument/2006/relationships/hyperlink" Target="https://discord.com/channels/191975109500731392/1212839710439776287/1232004665718345811" TargetMode="External"/><Relationship Id="rId85" Type="http://schemas.openxmlformats.org/officeDocument/2006/relationships/hyperlink" Target="https://discord.com/channels/191975109500731392/1212839710439776287/1232433815545446420" TargetMode="External"/><Relationship Id="rId12" Type="http://schemas.openxmlformats.org/officeDocument/2006/relationships/hyperlink" Target="https://discord.com/channels/191975109500731392/1212839710439776287/1227335808147521597" TargetMode="External"/><Relationship Id="rId17" Type="http://schemas.openxmlformats.org/officeDocument/2006/relationships/hyperlink" Target="https://discord.com/channels/191975109500731392/1212839710439776287/1227362805548847126" TargetMode="External"/><Relationship Id="rId33" Type="http://schemas.openxmlformats.org/officeDocument/2006/relationships/hyperlink" Target="https://discord.com/channels/191975109500731392/1212839710439776287/1228040054237298739" TargetMode="External"/><Relationship Id="rId38" Type="http://schemas.openxmlformats.org/officeDocument/2006/relationships/hyperlink" Target="https://discord.com/channels/191975109500731392/1212839710439776287/1228062794700685453" TargetMode="External"/><Relationship Id="rId59" Type="http://schemas.openxmlformats.org/officeDocument/2006/relationships/hyperlink" Target="https://discord.com/channels/191975109500731392/1212839710439776287/1229542948002070650" TargetMode="External"/><Relationship Id="rId103" Type="http://schemas.openxmlformats.org/officeDocument/2006/relationships/hyperlink" Target="https://discord.com/channels/191975109500731392/1212839710439776287/1233913372622192652" TargetMode="External"/><Relationship Id="rId20" Type="http://schemas.openxmlformats.org/officeDocument/2006/relationships/hyperlink" Target="https://discord.com/channels/191975109500731392/1212839710439776287/1227676904061145118" TargetMode="External"/><Relationship Id="rId41" Type="http://schemas.openxmlformats.org/officeDocument/2006/relationships/hyperlink" Target="https://discord.com/channels/191975109500731392/1212839710439776287/1228345219498381332" TargetMode="External"/><Relationship Id="rId54" Type="http://schemas.openxmlformats.org/officeDocument/2006/relationships/hyperlink" Target="https://discord.com/channels/191975109500731392/1212839710439776287/1229392965240229969" TargetMode="External"/><Relationship Id="rId62" Type="http://schemas.openxmlformats.org/officeDocument/2006/relationships/hyperlink" Target="https://discord.com/channels/191975109500731392/1212839710439776287/1229822211351777280" TargetMode="External"/><Relationship Id="rId70" Type="http://schemas.openxmlformats.org/officeDocument/2006/relationships/hyperlink" Target="https://discord.com/channels/191975109500731392/1212839710439776287/1230480680220360766" TargetMode="External"/><Relationship Id="rId75" Type="http://schemas.openxmlformats.org/officeDocument/2006/relationships/hyperlink" Target="https://discord.com/channels/191975109500731392/1212839710439776287/1230577377948602469" TargetMode="External"/><Relationship Id="rId83" Type="http://schemas.openxmlformats.org/officeDocument/2006/relationships/hyperlink" Target="https://discord.com/channels/191975109500731392/1212839710439776287/1232088861924921344" TargetMode="External"/><Relationship Id="rId88" Type="http://schemas.openxmlformats.org/officeDocument/2006/relationships/hyperlink" Target="https://discord.com/channels/191975109500731392/1212839710439776287/1232662204344434801" TargetMode="External"/><Relationship Id="rId91" Type="http://schemas.openxmlformats.org/officeDocument/2006/relationships/hyperlink" Target="https://discord.com/channels/191975109500731392/1212839710439776287/1233113953610109009" TargetMode="External"/><Relationship Id="rId96" Type="http://schemas.openxmlformats.org/officeDocument/2006/relationships/hyperlink" Target="https://discord.com/channels/191975109500731392/1212839710439776287/1233507913855795381" TargetMode="External"/><Relationship Id="rId1" Type="http://schemas.openxmlformats.org/officeDocument/2006/relationships/pivotTable" Target="../pivotTables/pivotTable7.xml"/><Relationship Id="rId6" Type="http://schemas.openxmlformats.org/officeDocument/2006/relationships/hyperlink" Target="https://discord.com/channels/191975109500731392/1212839710439776287/1227297185087881307" TargetMode="External"/><Relationship Id="rId15" Type="http://schemas.openxmlformats.org/officeDocument/2006/relationships/hyperlink" Target="https://discord.com/channels/191975109500731392/1212839710439776287/1227360711596839027" TargetMode="External"/><Relationship Id="rId23" Type="http://schemas.openxmlformats.org/officeDocument/2006/relationships/hyperlink" Target="https://discord.com/channels/191975109500731392/1212839710439776287/1227679431997526116" TargetMode="External"/><Relationship Id="rId28" Type="http://schemas.openxmlformats.org/officeDocument/2006/relationships/hyperlink" Target="https://discord.com/channels/191975109500731392/1212839710439776287/1227995955228573786" TargetMode="External"/><Relationship Id="rId36" Type="http://schemas.openxmlformats.org/officeDocument/2006/relationships/hyperlink" Target="https://discord.com/channels/191975109500731392/1212839710439776287/1228059971455942706" TargetMode="External"/><Relationship Id="rId49" Type="http://schemas.openxmlformats.org/officeDocument/2006/relationships/hyperlink" Target="https://discord.com/channels/191975109500731392/1212839710439776287/1229103427703930890" TargetMode="External"/><Relationship Id="rId57" Type="http://schemas.openxmlformats.org/officeDocument/2006/relationships/hyperlink" Target="https://discord.com/channels/191975109500731392/1212839710439776287/1229470571776053288" TargetMode="External"/><Relationship Id="rId10" Type="http://schemas.openxmlformats.org/officeDocument/2006/relationships/hyperlink" Target="https://discord.com/channels/191975109500731392/1212839710439776287/1227316956189687898" TargetMode="External"/><Relationship Id="rId31" Type="http://schemas.openxmlformats.org/officeDocument/2006/relationships/hyperlink" Target="https://discord.com/channels/191975109500731392/1212839710439776287/1228039511351496725" TargetMode="External"/><Relationship Id="rId44" Type="http://schemas.openxmlformats.org/officeDocument/2006/relationships/hyperlink" Target="https://discord.com/channels/191975109500731392/1212839710439776287/1228430505586855986" TargetMode="External"/><Relationship Id="rId52" Type="http://schemas.openxmlformats.org/officeDocument/2006/relationships/hyperlink" Target="https://discord.com/channels/191975109500731392/1212839710439776287/1229192981668561006" TargetMode="External"/><Relationship Id="rId60" Type="http://schemas.openxmlformats.org/officeDocument/2006/relationships/hyperlink" Target="https://discord.com/channels/191975109500731392/1212839710439776287/1229807547913867346" TargetMode="External"/><Relationship Id="rId65" Type="http://schemas.openxmlformats.org/officeDocument/2006/relationships/hyperlink" Target="https://discord.com/channels/191975109500731392/1212839710439776287/1229852814314967051" TargetMode="External"/><Relationship Id="rId73" Type="http://schemas.openxmlformats.org/officeDocument/2006/relationships/hyperlink" Target="https://discord.com/channels/191975109500731392/1212839710439776287/1230530598372774022" TargetMode="External"/><Relationship Id="rId78" Type="http://schemas.openxmlformats.org/officeDocument/2006/relationships/hyperlink" Target="https://discord.com/channels/191975109500731392/1212839710439776287/1231322624374734868" TargetMode="External"/><Relationship Id="rId81" Type="http://schemas.openxmlformats.org/officeDocument/2006/relationships/hyperlink" Target="https://discord.com/channels/191975109500731392/1212839710439776287/1232072341144469605" TargetMode="External"/><Relationship Id="rId86" Type="http://schemas.openxmlformats.org/officeDocument/2006/relationships/hyperlink" Target="https://discord.com/channels/191975109500731392/1212839710439776287/1232433840409022596" TargetMode="External"/><Relationship Id="rId94" Type="http://schemas.openxmlformats.org/officeDocument/2006/relationships/hyperlink" Target="https://discord.com/channels/191975109500731392/1212839710439776287/1233433892590194730" TargetMode="External"/><Relationship Id="rId99" Type="http://schemas.openxmlformats.org/officeDocument/2006/relationships/hyperlink" Target="https://discord.com/channels/191975109500731392/1212839710439776287/1233508186200473720" TargetMode="External"/><Relationship Id="rId101" Type="http://schemas.openxmlformats.org/officeDocument/2006/relationships/hyperlink" Target="https://discord.com/channels/191975109500731392/1212839710439776287/1233575341268664391" TargetMode="External"/><Relationship Id="rId4" Type="http://schemas.openxmlformats.org/officeDocument/2006/relationships/hyperlink" Target="https://discord.com/channels/191975109500731392/1212839710439776287/1227292812127506555" TargetMode="External"/><Relationship Id="rId9" Type="http://schemas.openxmlformats.org/officeDocument/2006/relationships/hyperlink" Target="https://discord.com/channels/191975109500731392/1212839710439776287/1227316801554219029" TargetMode="External"/><Relationship Id="rId13" Type="http://schemas.openxmlformats.org/officeDocument/2006/relationships/hyperlink" Target="https://discord.com/channels/191975109500731392/1212839710439776287/1227336916362461364" TargetMode="External"/><Relationship Id="rId18" Type="http://schemas.openxmlformats.org/officeDocument/2006/relationships/hyperlink" Target="https://discord.com/channels/191975109500731392/1212839710439776287/1227615365614276660" TargetMode="External"/><Relationship Id="rId39" Type="http://schemas.openxmlformats.org/officeDocument/2006/relationships/hyperlink" Target="https://discord.com/channels/191975109500731392/1212839710439776287/1228062819442753536" TargetMode="External"/><Relationship Id="rId34" Type="http://schemas.openxmlformats.org/officeDocument/2006/relationships/hyperlink" Target="https://discord.com/channels/191975109500731392/1212839710439776287/1228040076462653541" TargetMode="External"/><Relationship Id="rId50" Type="http://schemas.openxmlformats.org/officeDocument/2006/relationships/hyperlink" Target="https://discord.com/channels/191975109500731392/1212839710439776287/1229103484364914739" TargetMode="External"/><Relationship Id="rId55" Type="http://schemas.openxmlformats.org/officeDocument/2006/relationships/hyperlink" Target="https://discord.com/channels/191975109500731392/1212839710439776287/1229461901029937252" TargetMode="External"/><Relationship Id="rId76" Type="http://schemas.openxmlformats.org/officeDocument/2006/relationships/hyperlink" Target="https://discord.com/channels/191975109500731392/1212839710439776287/1230624562161647667" TargetMode="External"/><Relationship Id="rId97" Type="http://schemas.openxmlformats.org/officeDocument/2006/relationships/hyperlink" Target="https://discord.com/channels/191975109500731392/1212839710439776287/1233508085201506315" TargetMode="External"/><Relationship Id="rId104" Type="http://schemas.openxmlformats.org/officeDocument/2006/relationships/hyperlink" Target="https://discord.com/channels/191975109500731392/1212839710439776287/1234649979440857179" TargetMode="External"/><Relationship Id="rId7" Type="http://schemas.openxmlformats.org/officeDocument/2006/relationships/hyperlink" Target="https://discord.com/channels/191975109500731392/1212839710439776287/1227297264800763925" TargetMode="External"/><Relationship Id="rId71" Type="http://schemas.openxmlformats.org/officeDocument/2006/relationships/hyperlink" Target="https://discord.com/channels/191975109500731392/1212839710439776287/1230522577647177865" TargetMode="External"/><Relationship Id="rId92" Type="http://schemas.openxmlformats.org/officeDocument/2006/relationships/hyperlink" Target="https://discord.com/channels/191975109500731392/1212839710439776287/1233136534924824637" TargetMode="External"/><Relationship Id="rId2" Type="http://schemas.openxmlformats.org/officeDocument/2006/relationships/hyperlink" Target="https://discord.com/channels/191975109500731392/1212839710439776287/1227291398378881164" TargetMode="External"/><Relationship Id="rId29" Type="http://schemas.openxmlformats.org/officeDocument/2006/relationships/hyperlink" Target="https://discord.com/channels/191975109500731392/1212839710439776287/1228016558236762193" TargetMode="External"/><Relationship Id="rId24" Type="http://schemas.openxmlformats.org/officeDocument/2006/relationships/hyperlink" Target="https://discord.com/channels/191975109500731392/1212839710439776287/1227679422417604710" TargetMode="External"/><Relationship Id="rId40" Type="http://schemas.openxmlformats.org/officeDocument/2006/relationships/hyperlink" Target="https://discord.com/channels/191975109500731392/1212839710439776287/1228136224481476619" TargetMode="External"/><Relationship Id="rId45" Type="http://schemas.openxmlformats.org/officeDocument/2006/relationships/hyperlink" Target="https://discord.com/channels/191975109500731392/1212839710439776287/1228468638919561368" TargetMode="External"/><Relationship Id="rId66" Type="http://schemas.openxmlformats.org/officeDocument/2006/relationships/hyperlink" Target="https://discord.com/channels/191975109500731392/1212839710439776287/1229873318379786290" TargetMode="External"/><Relationship Id="rId87" Type="http://schemas.openxmlformats.org/officeDocument/2006/relationships/hyperlink" Target="https://discord.com/channels/191975109500731392/1212839710439776287/1232662168802033725" TargetMode="External"/><Relationship Id="rId61" Type="http://schemas.openxmlformats.org/officeDocument/2006/relationships/hyperlink" Target="https://discord.com/channels/191975109500731392/1212839710439776287/1229821710853865522" TargetMode="External"/><Relationship Id="rId82" Type="http://schemas.openxmlformats.org/officeDocument/2006/relationships/hyperlink" Target="https://discord.com/channels/191975109500731392/1212839710439776287/1232072352674611282" TargetMode="External"/><Relationship Id="rId19" Type="http://schemas.openxmlformats.org/officeDocument/2006/relationships/hyperlink" Target="https://discord.com/channels/191975109500731392/1212839710439776287/1227674894162985102" TargetMode="External"/><Relationship Id="rId14" Type="http://schemas.openxmlformats.org/officeDocument/2006/relationships/hyperlink" Target="https://discord.com/channels/191975109500731392/1212839710439776287/1227338381516869762" TargetMode="External"/><Relationship Id="rId30" Type="http://schemas.openxmlformats.org/officeDocument/2006/relationships/hyperlink" Target="https://discord.com/channels/191975109500731392/1212839710439776287/1228038997184348231" TargetMode="External"/><Relationship Id="rId35" Type="http://schemas.openxmlformats.org/officeDocument/2006/relationships/hyperlink" Target="https://discord.com/channels/191975109500731392/1212839710439776287/1228040964749398157" TargetMode="External"/><Relationship Id="rId56" Type="http://schemas.openxmlformats.org/officeDocument/2006/relationships/hyperlink" Target="https://discord.com/channels/191975109500731392/1212839710439776287/1229470001149513834" TargetMode="External"/><Relationship Id="rId77" Type="http://schemas.openxmlformats.org/officeDocument/2006/relationships/hyperlink" Target="https://discord.com/channels/191975109500731392/1212839710439776287/1231261763463417937" TargetMode="External"/><Relationship Id="rId100" Type="http://schemas.openxmlformats.org/officeDocument/2006/relationships/hyperlink" Target="https://discord.com/channels/191975109500731392/1212839710439776287/1233575499121295400" TargetMode="External"/><Relationship Id="rId105" Type="http://schemas.openxmlformats.org/officeDocument/2006/relationships/drawing" Target="../drawings/drawing7.xml"/><Relationship Id="rId8" Type="http://schemas.openxmlformats.org/officeDocument/2006/relationships/hyperlink" Target="https://discord.com/channels/191975109500731392/1212839710439776287/1227315392998019102" TargetMode="External"/><Relationship Id="rId51" Type="http://schemas.openxmlformats.org/officeDocument/2006/relationships/hyperlink" Target="https://discord.com/channels/191975109500731392/1212839710439776287/1229192908729487370" TargetMode="External"/><Relationship Id="rId72" Type="http://schemas.openxmlformats.org/officeDocument/2006/relationships/hyperlink" Target="https://discord.com/channels/191975109500731392/1212839710439776287/1230522672501362758" TargetMode="External"/><Relationship Id="rId93" Type="http://schemas.openxmlformats.org/officeDocument/2006/relationships/hyperlink" Target="https://discord.com/channels/191975109500731392/1212839710439776287/1233174769319546920" TargetMode="External"/><Relationship Id="rId98" Type="http://schemas.openxmlformats.org/officeDocument/2006/relationships/hyperlink" Target="https://discord.com/channels/191975109500731392/1212839710439776287/1233508182685651124" TargetMode="External"/><Relationship Id="rId3" Type="http://schemas.openxmlformats.org/officeDocument/2006/relationships/hyperlink" Target="https://discord.com/channels/191975109500731392/1212839710439776287/1227292812127506555" TargetMode="External"/><Relationship Id="rId25" Type="http://schemas.openxmlformats.org/officeDocument/2006/relationships/hyperlink" Target="https://discord.com/channels/191975109500731392/1212839710439776287/1227679422417604710" TargetMode="External"/><Relationship Id="rId46" Type="http://schemas.openxmlformats.org/officeDocument/2006/relationships/hyperlink" Target="https://discord.com/channels/191975109500731392/1212839710439776287/1228469525444427928" TargetMode="External"/><Relationship Id="rId67" Type="http://schemas.openxmlformats.org/officeDocument/2006/relationships/hyperlink" Target="https://discord.com/channels/191975109500731392/1212839710439776287/1229873354853318666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discord.com/channels/191975109500731392/1212839710439776287/1214328987526897704" TargetMode="External"/><Relationship Id="rId13" Type="http://schemas.openxmlformats.org/officeDocument/2006/relationships/hyperlink" Target="https://discord.com/channels/191975109500731392/1212839710439776287/1215326037072678973" TargetMode="External"/><Relationship Id="rId18" Type="http://schemas.openxmlformats.org/officeDocument/2006/relationships/hyperlink" Target="https://discord.com/channels/191975109500731392/1212839710439776287/1215736616535064616" TargetMode="External"/><Relationship Id="rId3" Type="http://schemas.openxmlformats.org/officeDocument/2006/relationships/hyperlink" Target="https://discord.com/channels/191975109500731392/1212839710439776287/1212845397924646943" TargetMode="External"/><Relationship Id="rId21" Type="http://schemas.openxmlformats.org/officeDocument/2006/relationships/hyperlink" Target="https://discord.com/channels/191975109500731392/1212839710439776287/1217278716401422427" TargetMode="External"/><Relationship Id="rId7" Type="http://schemas.openxmlformats.org/officeDocument/2006/relationships/hyperlink" Target="https://discord.com/channels/191975109500731392/1212839710439776287/1214299533304135760" TargetMode="External"/><Relationship Id="rId12" Type="http://schemas.openxmlformats.org/officeDocument/2006/relationships/hyperlink" Target="https://discord.com/channels/191975109500731392/1212839710439776287/1215050831033012354" TargetMode="External"/><Relationship Id="rId17" Type="http://schemas.openxmlformats.org/officeDocument/2006/relationships/hyperlink" Target="https://discord.com/channels/191975109500731392/1212839710439776287/1215409500413104139" TargetMode="External"/><Relationship Id="rId2" Type="http://schemas.openxmlformats.org/officeDocument/2006/relationships/hyperlink" Target="https://discord.com/channels/191975109500731392/1212839710439776287/1212845263862108160" TargetMode="External"/><Relationship Id="rId16" Type="http://schemas.openxmlformats.org/officeDocument/2006/relationships/hyperlink" Target="https://discord.com/channels/191975109500731392/1212839710439776287/1215409481089945600" TargetMode="External"/><Relationship Id="rId20" Type="http://schemas.openxmlformats.org/officeDocument/2006/relationships/hyperlink" Target="https://discord.com/channels/191975109500731392/1212839710439776287/1217278712123494532" TargetMode="External"/><Relationship Id="rId1" Type="http://schemas.openxmlformats.org/officeDocument/2006/relationships/pivotTable" Target="../pivotTables/pivotTable8.xml"/><Relationship Id="rId6" Type="http://schemas.openxmlformats.org/officeDocument/2006/relationships/hyperlink" Target="https://discord.com/channels/191975109500731392/1212839710439776287/1213194839336816710" TargetMode="External"/><Relationship Id="rId11" Type="http://schemas.openxmlformats.org/officeDocument/2006/relationships/hyperlink" Target="https://discord.com/channels/191975109500731392/1212839710439776287/1215015942325665893" TargetMode="External"/><Relationship Id="rId5" Type="http://schemas.openxmlformats.org/officeDocument/2006/relationships/hyperlink" Target="https://discord.com/channels/191975109500731392/1212839710439776287/1213187873935728680" TargetMode="External"/><Relationship Id="rId15" Type="http://schemas.openxmlformats.org/officeDocument/2006/relationships/hyperlink" Target="https://discord.com/channels/191975109500731392/1212839710439776287/1215371451373199452" TargetMode="External"/><Relationship Id="rId23" Type="http://schemas.openxmlformats.org/officeDocument/2006/relationships/drawing" Target="../drawings/drawing8.xml"/><Relationship Id="rId10" Type="http://schemas.openxmlformats.org/officeDocument/2006/relationships/hyperlink" Target="https://discord.com/channels/191975109500731392/1212839710439776287/1214964509249241108" TargetMode="External"/><Relationship Id="rId19" Type="http://schemas.openxmlformats.org/officeDocument/2006/relationships/hyperlink" Target="https://discord.com/channels/191975109500731392/1212839710439776287/1217278694968524851" TargetMode="External"/><Relationship Id="rId4" Type="http://schemas.openxmlformats.org/officeDocument/2006/relationships/hyperlink" Target="https://discord.com/channels/191975109500731392/1212839710439776287/1212879934528421971" TargetMode="External"/><Relationship Id="rId9" Type="http://schemas.openxmlformats.org/officeDocument/2006/relationships/hyperlink" Target="https://discord.com/channels/191975109500731392/1212839710439776287/1214963667682992178" TargetMode="External"/><Relationship Id="rId14" Type="http://schemas.openxmlformats.org/officeDocument/2006/relationships/hyperlink" Target="https://discord.com/channels/191975109500731392/1212839710439776287/1215363180306636860" TargetMode="External"/><Relationship Id="rId22" Type="http://schemas.openxmlformats.org/officeDocument/2006/relationships/hyperlink" Target="https://discord.com/channels/191975109500731392/1212839710439776287/1217278716401422427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AX1000"/>
  <sheetViews>
    <sheetView tabSelected="1" zoomScale="80" zoomScaleNormal="80" workbookViewId="0">
      <selection activeCell="F303" sqref="F303"/>
    </sheetView>
  </sheetViews>
  <sheetFormatPr defaultColWidth="12.61328125" defaultRowHeight="15" customHeight="1" x14ac:dyDescent="0.4"/>
  <cols>
    <col min="1" max="1" width="7.3828125" customWidth="1"/>
    <col min="2" max="2" width="6.61328125" customWidth="1"/>
    <col min="3" max="3" width="7.3828125" customWidth="1"/>
    <col min="4" max="4" width="19.15234375" customWidth="1"/>
    <col min="5" max="5" width="2.23046875" customWidth="1"/>
    <col min="6" max="6" width="8.61328125" customWidth="1"/>
    <col min="7" max="7" width="12.61328125" customWidth="1"/>
    <col min="8" max="9" width="7.23046875" customWidth="1"/>
    <col min="10" max="10" width="5.4609375" customWidth="1"/>
    <col min="11" max="11" width="9.765625" customWidth="1"/>
    <col min="12" max="12" width="12.23046875" customWidth="1"/>
    <col min="13" max="13" width="7.15234375" customWidth="1"/>
    <col min="14" max="14" width="8.4609375" customWidth="1"/>
    <col min="15" max="15" width="11.15234375" customWidth="1"/>
    <col min="16" max="16" width="13.23046875" customWidth="1"/>
    <col min="17" max="17" width="7.3828125" customWidth="1"/>
    <col min="18" max="18" width="13.23046875" bestFit="1" customWidth="1"/>
    <col min="19" max="19" width="9.23046875" bestFit="1" customWidth="1"/>
    <col min="20" max="20" width="4.15234375" bestFit="1" customWidth="1"/>
    <col min="21" max="21" width="3.921875" bestFit="1" customWidth="1"/>
    <col min="22" max="22" width="7.07421875" bestFit="1" customWidth="1"/>
    <col min="23" max="23" width="4.69140625" bestFit="1" customWidth="1"/>
    <col min="24" max="24" width="5.69140625" bestFit="1" customWidth="1"/>
    <col min="25" max="25" width="5.53515625" bestFit="1" customWidth="1"/>
    <col min="26" max="26" width="7.23046875" bestFit="1" customWidth="1"/>
    <col min="27" max="27" width="5.921875" bestFit="1" customWidth="1"/>
    <col min="28" max="28" width="7.07421875" bestFit="1" customWidth="1"/>
    <col min="29" max="29" width="7.61328125" customWidth="1"/>
    <col min="30" max="30" width="4.765625" bestFit="1" customWidth="1"/>
    <col min="31" max="31" width="6.61328125" bestFit="1" customWidth="1"/>
    <col min="32" max="32" width="5.15234375" customWidth="1"/>
    <col min="33" max="33" width="4.3046875" bestFit="1" customWidth="1"/>
    <col min="34" max="34" width="6.84375" bestFit="1" customWidth="1"/>
    <col min="35" max="36" width="10.15234375" bestFit="1" customWidth="1"/>
    <col min="37" max="37" width="6.61328125" customWidth="1"/>
    <col min="38" max="39" width="8.61328125" customWidth="1"/>
    <col min="40" max="40" width="12.61328125" customWidth="1"/>
    <col min="41" max="41" width="8.3828125" customWidth="1"/>
    <col min="42" max="42" width="8.4609375" customWidth="1"/>
    <col min="43" max="43" width="7.15234375" customWidth="1"/>
    <col min="44" max="44" width="9.23046875" customWidth="1"/>
    <col min="45" max="45" width="13.84375" customWidth="1"/>
    <col min="46" max="46" width="7.61328125" customWidth="1"/>
    <col min="47" max="47" width="8.15234375" customWidth="1"/>
    <col min="48" max="48" width="10.765625" customWidth="1"/>
    <col min="49" max="49" width="12" customWidth="1"/>
    <col min="50" max="50" width="8.15234375" customWidth="1"/>
    <col min="51" max="51" width="8.61328125" customWidth="1"/>
  </cols>
  <sheetData>
    <row r="1" spans="1:50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1" t="s">
        <v>4</v>
      </c>
      <c r="H1" s="132"/>
      <c r="I1" s="132"/>
      <c r="J1" s="132"/>
      <c r="K1" s="132"/>
      <c r="L1" s="132"/>
      <c r="M1" s="132"/>
      <c r="N1" s="132"/>
      <c r="O1" s="132"/>
      <c r="P1" s="133"/>
      <c r="Q1" s="5"/>
      <c r="R1" s="134" t="s">
        <v>5</v>
      </c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6"/>
      <c r="AP1" s="7" t="s">
        <v>6</v>
      </c>
      <c r="AQ1" s="8" t="s">
        <v>7</v>
      </c>
      <c r="AR1" s="9" t="s">
        <v>8</v>
      </c>
      <c r="AS1" s="10" t="s">
        <v>9</v>
      </c>
      <c r="AT1" s="11" t="s">
        <v>8</v>
      </c>
      <c r="AU1" s="8" t="s">
        <v>10</v>
      </c>
      <c r="AV1" s="7" t="s">
        <v>6</v>
      </c>
    </row>
    <row r="2" spans="1:50" ht="14.25" customHeight="1" x14ac:dyDescent="0.4">
      <c r="A2" s="12" t="s">
        <v>11</v>
      </c>
      <c r="B2" s="13">
        <v>2</v>
      </c>
      <c r="C2" s="14" t="s">
        <v>12</v>
      </c>
      <c r="D2" s="15" t="s">
        <v>13</v>
      </c>
      <c r="E2" s="4"/>
      <c r="F2" s="16"/>
      <c r="G2" s="17" t="s">
        <v>14</v>
      </c>
      <c r="H2" s="18" t="s">
        <v>15</v>
      </c>
      <c r="I2" s="18" t="s">
        <v>16</v>
      </c>
      <c r="J2" s="18" t="s">
        <v>17</v>
      </c>
      <c r="K2" s="18" t="s">
        <v>18</v>
      </c>
      <c r="L2" s="18" t="s">
        <v>19</v>
      </c>
      <c r="M2" s="18" t="s">
        <v>20</v>
      </c>
      <c r="N2" s="18" t="s">
        <v>21</v>
      </c>
      <c r="O2" s="18" t="s">
        <v>22</v>
      </c>
      <c r="P2" s="19" t="s">
        <v>23</v>
      </c>
      <c r="Q2" s="5"/>
      <c r="R2" s="126" t="s">
        <v>24</v>
      </c>
      <c r="S2" s="126" t="s">
        <v>2</v>
      </c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K2" s="21" t="s">
        <v>25</v>
      </c>
      <c r="AP2" s="22"/>
      <c r="AQ2" s="23"/>
      <c r="AR2" s="24">
        <f>COUNT(B$1:B$155)</f>
        <v>154</v>
      </c>
      <c r="AS2" s="25" t="s">
        <v>26</v>
      </c>
      <c r="AT2" s="24">
        <f>COUNT(B$1:B$155)</f>
        <v>154</v>
      </c>
      <c r="AU2" s="22"/>
      <c r="AV2" s="22"/>
    </row>
    <row r="3" spans="1:50" ht="14.6" customHeight="1" x14ac:dyDescent="0.4">
      <c r="A3" s="12" t="s">
        <v>12</v>
      </c>
      <c r="B3" s="13">
        <v>1</v>
      </c>
      <c r="C3" s="14" t="s">
        <v>11</v>
      </c>
      <c r="D3" s="15" t="s">
        <v>27</v>
      </c>
      <c r="E3" s="4"/>
      <c r="F3" s="26"/>
      <c r="G3" s="27" t="s">
        <v>28</v>
      </c>
      <c r="H3" s="28">
        <f t="shared" ref="H3:H18" si="0">COUNTIF($A:$A,G3)</f>
        <v>15</v>
      </c>
      <c r="I3" s="28">
        <f t="shared" ref="I3:I18" si="1">COUNTIF($C:$C,G3)</f>
        <v>14</v>
      </c>
      <c r="J3" s="29">
        <f t="shared" ref="J3:J18" si="2">IF(I3,H3/I3,H3)</f>
        <v>1.0714285714285714</v>
      </c>
      <c r="K3" s="28">
        <f t="shared" ref="K3:K18" si="3">IFERROR(GETPIVOTDATA("Points",$R$2,"Sniper",G3),0)</f>
        <v>21</v>
      </c>
      <c r="L3" s="28">
        <f t="shared" ref="L3:L18" si="4">IFERROR(GETPIVOTDATA("Points",$R$2,"Snipee",G3),0)</f>
        <v>20</v>
      </c>
      <c r="M3" s="29">
        <f t="shared" ref="M3:M18" si="5">IF(L3,K3/L3,K3)</f>
        <v>1.05</v>
      </c>
      <c r="N3" s="29">
        <f t="shared" ref="N3:N18" si="6">IF(H3,K3/H3,0)</f>
        <v>1.4</v>
      </c>
      <c r="O3" s="29">
        <f t="shared" ref="O3:O18" si="7">IF(I3,L3/I3,0)</f>
        <v>1.4285714285714286</v>
      </c>
      <c r="P3" s="30">
        <f t="shared" ref="P3:P18" si="8">IFERROR(VLOOKUP(G3,R:AK,20,FALSE)/15,0)</f>
        <v>0.73333333333333328</v>
      </c>
      <c r="Q3" s="5"/>
      <c r="R3" s="127" t="s">
        <v>0</v>
      </c>
      <c r="S3" s="128" t="s">
        <v>29</v>
      </c>
      <c r="T3" s="128" t="s">
        <v>30</v>
      </c>
      <c r="U3" s="128" t="s">
        <v>11</v>
      </c>
      <c r="V3" s="128" t="s">
        <v>31</v>
      </c>
      <c r="W3" s="128" t="s">
        <v>32</v>
      </c>
      <c r="X3" s="128" t="s">
        <v>33</v>
      </c>
      <c r="Y3" s="128" t="s">
        <v>12</v>
      </c>
      <c r="Z3" s="128" t="s">
        <v>34</v>
      </c>
      <c r="AA3" s="128" t="s">
        <v>28</v>
      </c>
      <c r="AB3" s="128" t="s">
        <v>35</v>
      </c>
      <c r="AC3" s="128" t="s">
        <v>36</v>
      </c>
      <c r="AD3" s="128" t="s">
        <v>37</v>
      </c>
      <c r="AE3" s="128" t="s">
        <v>38</v>
      </c>
      <c r="AF3" s="128" t="s">
        <v>39</v>
      </c>
      <c r="AG3" s="128" t="s">
        <v>40</v>
      </c>
      <c r="AH3" s="128" t="s">
        <v>41</v>
      </c>
      <c r="AI3" s="128" t="s">
        <v>42</v>
      </c>
      <c r="AK3" s="21" t="s">
        <v>15</v>
      </c>
      <c r="AP3" s="22"/>
      <c r="AQ3" s="22"/>
      <c r="AR3" s="32">
        <f>IFERROR(GETPIVOTDATA("Points",R2),0)</f>
        <v>417</v>
      </c>
      <c r="AS3" s="33" t="s">
        <v>43</v>
      </c>
      <c r="AT3" s="32">
        <f>IFERROR(GETPIVOTDATA("Points",R2),0)</f>
        <v>417</v>
      </c>
      <c r="AU3" s="22"/>
      <c r="AV3" s="22"/>
    </row>
    <row r="4" spans="1:50" ht="14.6" customHeight="1" x14ac:dyDescent="0.4">
      <c r="A4" s="12" t="s">
        <v>12</v>
      </c>
      <c r="B4" s="13">
        <v>2</v>
      </c>
      <c r="C4" s="14" t="s">
        <v>35</v>
      </c>
      <c r="D4" s="15" t="s">
        <v>44</v>
      </c>
      <c r="E4" s="4"/>
      <c r="F4" s="26"/>
      <c r="G4" s="27" t="s">
        <v>33</v>
      </c>
      <c r="H4" s="28">
        <f t="shared" si="0"/>
        <v>17</v>
      </c>
      <c r="I4" s="28">
        <f t="shared" si="1"/>
        <v>22</v>
      </c>
      <c r="J4" s="29">
        <f t="shared" si="2"/>
        <v>0.77272727272727271</v>
      </c>
      <c r="K4" s="28">
        <f t="shared" si="3"/>
        <v>22</v>
      </c>
      <c r="L4" s="28">
        <f t="shared" si="4"/>
        <v>33</v>
      </c>
      <c r="M4" s="29">
        <f t="shared" si="5"/>
        <v>0.66666666666666663</v>
      </c>
      <c r="N4" s="29">
        <f t="shared" si="6"/>
        <v>1.2941176470588236</v>
      </c>
      <c r="O4" s="29">
        <f t="shared" si="7"/>
        <v>1.5</v>
      </c>
      <c r="P4" s="30">
        <f t="shared" si="8"/>
        <v>0.66666666666666663</v>
      </c>
      <c r="Q4" s="5"/>
      <c r="R4" s="127" t="s">
        <v>29</v>
      </c>
      <c r="S4" s="154"/>
      <c r="T4" s="154">
        <v>24</v>
      </c>
      <c r="U4" s="154">
        <v>13</v>
      </c>
      <c r="V4" s="154">
        <v>6</v>
      </c>
      <c r="W4" s="154">
        <v>6</v>
      </c>
      <c r="X4" s="154">
        <v>3</v>
      </c>
      <c r="Y4" s="154">
        <v>5</v>
      </c>
      <c r="Z4" s="154">
        <v>4</v>
      </c>
      <c r="AA4" s="154"/>
      <c r="AB4" s="154">
        <v>4</v>
      </c>
      <c r="AC4" s="154">
        <v>1</v>
      </c>
      <c r="AD4" s="154"/>
      <c r="AE4" s="154"/>
      <c r="AF4" s="154">
        <v>1</v>
      </c>
      <c r="AG4" s="154"/>
      <c r="AH4" s="154"/>
      <c r="AI4" s="154">
        <v>67</v>
      </c>
      <c r="AK4" s="21">
        <f t="shared" ref="AK4:AK18" si="9">IF(COUNT(S4:AJ4)&lt;&gt;0,COUNT(S4:AJ4)-1,"")</f>
        <v>10</v>
      </c>
      <c r="AP4" s="35">
        <f>COUNTIF(H3:H17,AR4)</f>
        <v>1</v>
      </c>
      <c r="AQ4" s="36" t="str">
        <f>$G$29</f>
        <v>Mikey</v>
      </c>
      <c r="AR4" s="32">
        <f>MAX(H3:H18)</f>
        <v>49</v>
      </c>
      <c r="AS4" s="33" t="s">
        <v>45</v>
      </c>
      <c r="AT4" s="37" t="e">
        <f ca="1">Maxine(H22:H25)</f>
        <v>#NAME?</v>
      </c>
      <c r="AU4" s="38" t="str">
        <f>$G$86</f>
        <v>Baris</v>
      </c>
      <c r="AV4" s="35">
        <f ca="1">COUNTIF(H22:H25,AT4)</f>
        <v>0</v>
      </c>
    </row>
    <row r="5" spans="1:50" ht="14.6" customHeight="1" x14ac:dyDescent="0.4">
      <c r="A5" s="12" t="s">
        <v>29</v>
      </c>
      <c r="B5" s="13">
        <v>1</v>
      </c>
      <c r="C5" s="14" t="s">
        <v>30</v>
      </c>
      <c r="D5" s="15" t="s">
        <v>46</v>
      </c>
      <c r="F5" s="26"/>
      <c r="G5" s="27" t="s">
        <v>32</v>
      </c>
      <c r="H5" s="28">
        <f t="shared" si="0"/>
        <v>33</v>
      </c>
      <c r="I5" s="28">
        <f t="shared" si="1"/>
        <v>26</v>
      </c>
      <c r="J5" s="29">
        <f t="shared" si="2"/>
        <v>1.2692307692307692</v>
      </c>
      <c r="K5" s="28">
        <f t="shared" si="3"/>
        <v>43</v>
      </c>
      <c r="L5" s="28">
        <f t="shared" si="4"/>
        <v>34</v>
      </c>
      <c r="M5" s="29">
        <f t="shared" si="5"/>
        <v>1.2647058823529411</v>
      </c>
      <c r="N5" s="29">
        <f t="shared" si="6"/>
        <v>1.303030303030303</v>
      </c>
      <c r="O5" s="29">
        <f t="shared" si="7"/>
        <v>1.3076923076923077</v>
      </c>
      <c r="P5" s="30">
        <f t="shared" si="8"/>
        <v>0.66666666666666663</v>
      </c>
      <c r="Q5" s="5"/>
      <c r="R5" s="127" t="s">
        <v>12</v>
      </c>
      <c r="S5" s="154">
        <v>11</v>
      </c>
      <c r="T5" s="154">
        <v>3</v>
      </c>
      <c r="U5" s="154">
        <v>3</v>
      </c>
      <c r="V5" s="154">
        <v>8</v>
      </c>
      <c r="W5" s="154">
        <v>4</v>
      </c>
      <c r="X5" s="154">
        <v>4</v>
      </c>
      <c r="Y5" s="154"/>
      <c r="Z5" s="154">
        <v>3</v>
      </c>
      <c r="AA5" s="154">
        <v>9</v>
      </c>
      <c r="AB5" s="154">
        <v>11</v>
      </c>
      <c r="AC5" s="154">
        <v>1</v>
      </c>
      <c r="AD5" s="154">
        <v>6</v>
      </c>
      <c r="AE5" s="154">
        <v>2</v>
      </c>
      <c r="AF5" s="154">
        <v>1</v>
      </c>
      <c r="AG5" s="154"/>
      <c r="AH5" s="154"/>
      <c r="AI5" s="154">
        <v>66</v>
      </c>
      <c r="AK5" s="21">
        <f t="shared" si="9"/>
        <v>13</v>
      </c>
      <c r="AP5" s="35">
        <f>COUNTIF(I3:I17,AR5)</f>
        <v>1</v>
      </c>
      <c r="AQ5" s="36" t="str">
        <f>$G$47</f>
        <v>Mikey</v>
      </c>
      <c r="AR5" s="32">
        <f>MAX(H47:H62)</f>
        <v>44</v>
      </c>
      <c r="AS5" s="33" t="s">
        <v>47</v>
      </c>
      <c r="AT5" s="37" t="e">
        <f ca="1">Maxine(I22:I25)</f>
        <v>#NAME?</v>
      </c>
      <c r="AU5" s="39" t="str">
        <f>$G$97</f>
        <v>Baris</v>
      </c>
      <c r="AV5" s="35">
        <f ca="1">COUNTIF(I22:I25,AT5)</f>
        <v>0</v>
      </c>
    </row>
    <row r="6" spans="1:50" ht="14.6" customHeight="1" x14ac:dyDescent="0.4">
      <c r="A6" s="12" t="s">
        <v>30</v>
      </c>
      <c r="B6" s="13">
        <v>1</v>
      </c>
      <c r="C6" s="14" t="s">
        <v>29</v>
      </c>
      <c r="D6" s="15" t="s">
        <v>48</v>
      </c>
      <c r="F6" s="26"/>
      <c r="G6" s="27" t="s">
        <v>34</v>
      </c>
      <c r="H6" s="28">
        <f t="shared" si="0"/>
        <v>16</v>
      </c>
      <c r="I6" s="28">
        <f t="shared" si="1"/>
        <v>19</v>
      </c>
      <c r="J6" s="29">
        <f t="shared" si="2"/>
        <v>0.84210526315789469</v>
      </c>
      <c r="K6" s="28">
        <f t="shared" si="3"/>
        <v>22</v>
      </c>
      <c r="L6" s="28">
        <f t="shared" si="4"/>
        <v>27</v>
      </c>
      <c r="M6" s="29">
        <f t="shared" si="5"/>
        <v>0.81481481481481477</v>
      </c>
      <c r="N6" s="29">
        <f t="shared" si="6"/>
        <v>1.375</v>
      </c>
      <c r="O6" s="29">
        <f t="shared" si="7"/>
        <v>1.4210526315789473</v>
      </c>
      <c r="P6" s="30">
        <f t="shared" si="8"/>
        <v>0.46666666666666667</v>
      </c>
      <c r="Q6" s="5"/>
      <c r="R6" s="127" t="s">
        <v>11</v>
      </c>
      <c r="S6" s="154">
        <v>8</v>
      </c>
      <c r="T6" s="154">
        <v>14</v>
      </c>
      <c r="U6" s="154"/>
      <c r="V6" s="154">
        <v>4</v>
      </c>
      <c r="W6" s="154">
        <v>12</v>
      </c>
      <c r="X6" s="154">
        <v>6</v>
      </c>
      <c r="Y6" s="154">
        <v>5</v>
      </c>
      <c r="Z6" s="154">
        <v>5</v>
      </c>
      <c r="AA6" s="154"/>
      <c r="AB6" s="154"/>
      <c r="AC6" s="154">
        <v>1</v>
      </c>
      <c r="AD6" s="154">
        <v>1</v>
      </c>
      <c r="AE6" s="154"/>
      <c r="AF6" s="154"/>
      <c r="AG6" s="154"/>
      <c r="AH6" s="154"/>
      <c r="AI6" s="154">
        <v>56</v>
      </c>
      <c r="AK6" s="21">
        <f t="shared" si="9"/>
        <v>9</v>
      </c>
      <c r="AP6" s="35">
        <f>COUNTIF(K3:K17,AR6)</f>
        <v>1</v>
      </c>
      <c r="AQ6" s="36" t="str">
        <f>$Q$29</f>
        <v>Mikey</v>
      </c>
      <c r="AR6" s="32">
        <f>MAX(R29:R44)</f>
        <v>67</v>
      </c>
      <c r="AS6" s="33" t="s">
        <v>49</v>
      </c>
      <c r="AT6" s="37" t="e">
        <f ca="1">Maxine(K22:K25)</f>
        <v>#NAME?</v>
      </c>
      <c r="AU6" s="39" t="str">
        <f>$Q$86</f>
        <v>Baris</v>
      </c>
      <c r="AV6" s="35">
        <f ca="1">COUNTIF(K22:K25,AT6)</f>
        <v>0</v>
      </c>
    </row>
    <row r="7" spans="1:50" ht="14.6" customHeight="1" x14ac:dyDescent="0.4">
      <c r="A7" s="12" t="s">
        <v>29</v>
      </c>
      <c r="B7" s="13">
        <v>2</v>
      </c>
      <c r="C7" s="14" t="s">
        <v>11</v>
      </c>
      <c r="D7" s="15" t="s">
        <v>50</v>
      </c>
      <c r="F7" s="26"/>
      <c r="G7" s="27" t="s">
        <v>41</v>
      </c>
      <c r="H7" s="28">
        <f t="shared" si="0"/>
        <v>2</v>
      </c>
      <c r="I7" s="28">
        <f t="shared" si="1"/>
        <v>3</v>
      </c>
      <c r="J7" s="29">
        <f t="shared" si="2"/>
        <v>0.66666666666666663</v>
      </c>
      <c r="K7" s="28">
        <f t="shared" si="3"/>
        <v>2</v>
      </c>
      <c r="L7" s="28">
        <f t="shared" si="4"/>
        <v>3</v>
      </c>
      <c r="M7" s="29">
        <f t="shared" si="5"/>
        <v>0.66666666666666663</v>
      </c>
      <c r="N7" s="29">
        <f t="shared" si="6"/>
        <v>1</v>
      </c>
      <c r="O7" s="29">
        <f t="shared" si="7"/>
        <v>1</v>
      </c>
      <c r="P7" s="30">
        <f t="shared" si="8"/>
        <v>0.13333333333333333</v>
      </c>
      <c r="Q7" s="5"/>
      <c r="R7" s="127" t="s">
        <v>32</v>
      </c>
      <c r="S7" s="154">
        <v>11</v>
      </c>
      <c r="T7" s="154">
        <v>2</v>
      </c>
      <c r="U7" s="154">
        <v>13</v>
      </c>
      <c r="V7" s="154">
        <v>3</v>
      </c>
      <c r="W7" s="154"/>
      <c r="X7" s="154"/>
      <c r="Y7" s="154">
        <v>4</v>
      </c>
      <c r="Z7" s="154">
        <v>2</v>
      </c>
      <c r="AA7" s="154">
        <v>1</v>
      </c>
      <c r="AB7" s="154">
        <v>1</v>
      </c>
      <c r="AC7" s="154">
        <v>5</v>
      </c>
      <c r="AD7" s="154"/>
      <c r="AE7" s="154"/>
      <c r="AF7" s="154">
        <v>1</v>
      </c>
      <c r="AG7" s="154"/>
      <c r="AH7" s="154"/>
      <c r="AI7" s="154">
        <v>43</v>
      </c>
      <c r="AK7" s="21">
        <f t="shared" si="9"/>
        <v>10</v>
      </c>
      <c r="AP7" s="35">
        <f>COUNTIF(L3:L17,AR7)</f>
        <v>1</v>
      </c>
      <c r="AQ7" s="36" t="str">
        <f>$Q$47</f>
        <v>Mikey</v>
      </c>
      <c r="AR7" s="32">
        <f>MAX(R47:R62)</f>
        <v>62</v>
      </c>
      <c r="AS7" s="33" t="s">
        <v>51</v>
      </c>
      <c r="AT7" s="37" t="e">
        <f ca="1">Maxine(L22:L25)</f>
        <v>#NAME?</v>
      </c>
      <c r="AU7" s="39" t="str">
        <f>$Q$97</f>
        <v>Baris</v>
      </c>
      <c r="AV7" s="35">
        <f ca="1">COUNTIF(L22:L25,AT7)</f>
        <v>0</v>
      </c>
    </row>
    <row r="8" spans="1:50" ht="14.6" customHeight="1" x14ac:dyDescent="0.4">
      <c r="A8" s="12" t="s">
        <v>12</v>
      </c>
      <c r="B8" s="13">
        <v>1</v>
      </c>
      <c r="C8" s="14" t="s">
        <v>37</v>
      </c>
      <c r="D8" s="15" t="s">
        <v>52</v>
      </c>
      <c r="F8" s="26"/>
      <c r="G8" s="27" t="s">
        <v>31</v>
      </c>
      <c r="H8" s="28">
        <f t="shared" si="0"/>
        <v>22</v>
      </c>
      <c r="I8" s="28">
        <f t="shared" si="1"/>
        <v>25</v>
      </c>
      <c r="J8" s="29">
        <f t="shared" si="2"/>
        <v>0.88</v>
      </c>
      <c r="K8" s="28">
        <f t="shared" si="3"/>
        <v>29</v>
      </c>
      <c r="L8" s="28">
        <f t="shared" si="4"/>
        <v>37</v>
      </c>
      <c r="M8" s="29">
        <f t="shared" si="5"/>
        <v>0.78378378378378377</v>
      </c>
      <c r="N8" s="29">
        <f t="shared" si="6"/>
        <v>1.3181818181818181</v>
      </c>
      <c r="O8" s="29">
        <f t="shared" si="7"/>
        <v>1.48</v>
      </c>
      <c r="P8" s="30">
        <f t="shared" si="8"/>
        <v>0.6</v>
      </c>
      <c r="Q8" s="5"/>
      <c r="R8" s="127" t="s">
        <v>31</v>
      </c>
      <c r="S8" s="154">
        <v>5</v>
      </c>
      <c r="T8" s="154">
        <v>2</v>
      </c>
      <c r="U8" s="154">
        <v>3</v>
      </c>
      <c r="V8" s="154"/>
      <c r="W8" s="154">
        <v>3</v>
      </c>
      <c r="X8" s="154">
        <v>4</v>
      </c>
      <c r="Y8" s="154">
        <v>4</v>
      </c>
      <c r="Z8" s="154">
        <v>2</v>
      </c>
      <c r="AA8" s="154"/>
      <c r="AB8" s="154"/>
      <c r="AC8" s="154">
        <v>2</v>
      </c>
      <c r="AD8" s="154"/>
      <c r="AE8" s="154"/>
      <c r="AF8" s="154">
        <v>4</v>
      </c>
      <c r="AG8" s="154"/>
      <c r="AH8" s="154"/>
      <c r="AI8" s="154">
        <v>29</v>
      </c>
      <c r="AK8" s="21">
        <f t="shared" si="9"/>
        <v>9</v>
      </c>
      <c r="AP8" s="35">
        <f ca="1">COUNTIF(J3:J17,AR8)</f>
        <v>0</v>
      </c>
      <c r="AQ8" s="40" t="str">
        <f>$G$65</f>
        <v>Peter</v>
      </c>
      <c r="AR8" s="37" t="e">
        <f ca="1">Maxine(J3:J17)</f>
        <v>#NAME?</v>
      </c>
      <c r="AS8" s="33" t="s">
        <v>53</v>
      </c>
      <c r="AT8" s="37" t="e">
        <f ca="1">Maxine(J22:J25)</f>
        <v>#NAME?</v>
      </c>
      <c r="AU8" s="39" t="str">
        <f>$G$108</f>
        <v>Leads</v>
      </c>
      <c r="AV8" s="35">
        <f ca="1">COUNTIF(J22:J25,AT8)</f>
        <v>0</v>
      </c>
    </row>
    <row r="9" spans="1:50" ht="14.6" customHeight="1" x14ac:dyDescent="0.4">
      <c r="A9" s="12" t="s">
        <v>37</v>
      </c>
      <c r="B9" s="13">
        <v>1</v>
      </c>
      <c r="C9" s="14" t="s">
        <v>12</v>
      </c>
      <c r="D9" s="15" t="s">
        <v>54</v>
      </c>
      <c r="F9" s="15"/>
      <c r="G9" s="27" t="s">
        <v>38</v>
      </c>
      <c r="H9" s="28">
        <f t="shared" si="0"/>
        <v>10</v>
      </c>
      <c r="I9" s="28">
        <f t="shared" si="1"/>
        <v>8</v>
      </c>
      <c r="J9" s="29">
        <f t="shared" si="2"/>
        <v>1.25</v>
      </c>
      <c r="K9" s="28">
        <f t="shared" si="3"/>
        <v>12</v>
      </c>
      <c r="L9" s="28">
        <f t="shared" si="4"/>
        <v>9</v>
      </c>
      <c r="M9" s="29">
        <f t="shared" si="5"/>
        <v>1.3333333333333333</v>
      </c>
      <c r="N9" s="29">
        <f t="shared" si="6"/>
        <v>1.2</v>
      </c>
      <c r="O9" s="29">
        <f t="shared" si="7"/>
        <v>1.125</v>
      </c>
      <c r="P9" s="30">
        <f t="shared" si="8"/>
        <v>0.46666666666666667</v>
      </c>
      <c r="Q9" s="5"/>
      <c r="R9" s="127" t="s">
        <v>36</v>
      </c>
      <c r="S9" s="154">
        <v>6</v>
      </c>
      <c r="T9" s="154">
        <v>1</v>
      </c>
      <c r="U9" s="154">
        <v>4</v>
      </c>
      <c r="V9" s="154"/>
      <c r="W9" s="154">
        <v>4</v>
      </c>
      <c r="X9" s="154">
        <v>3</v>
      </c>
      <c r="Y9" s="154">
        <v>1</v>
      </c>
      <c r="Z9" s="154">
        <v>2</v>
      </c>
      <c r="AA9" s="154">
        <v>2</v>
      </c>
      <c r="AB9" s="154"/>
      <c r="AC9" s="154"/>
      <c r="AD9" s="154"/>
      <c r="AE9" s="154">
        <v>1</v>
      </c>
      <c r="AF9" s="154"/>
      <c r="AG9" s="154"/>
      <c r="AH9" s="154">
        <v>1</v>
      </c>
      <c r="AI9" s="154">
        <v>25</v>
      </c>
      <c r="AK9" s="21">
        <f t="shared" si="9"/>
        <v>10</v>
      </c>
      <c r="AP9" s="35">
        <f>COUNTIF(J3:J17,AR9)</f>
        <v>1</v>
      </c>
      <c r="AQ9" s="40" t="str">
        <f>$G$80</f>
        <v>Reuben</v>
      </c>
      <c r="AR9" s="37">
        <f>MIN(J3:J17)</f>
        <v>0.52777777777777779</v>
      </c>
      <c r="AS9" s="33" t="s">
        <v>55</v>
      </c>
      <c r="AT9" s="37">
        <f>MIN(J22:J25)</f>
        <v>0.6875</v>
      </c>
      <c r="AU9" s="39" t="str">
        <f>$G$105</f>
        <v>Basses</v>
      </c>
      <c r="AV9" s="35">
        <f>COUNTIF(J22:J25,AT9)</f>
        <v>1</v>
      </c>
    </row>
    <row r="10" spans="1:50" ht="14.6" customHeight="1" x14ac:dyDescent="0.4">
      <c r="A10" s="12" t="s">
        <v>29</v>
      </c>
      <c r="B10" s="13">
        <v>2</v>
      </c>
      <c r="C10" s="14" t="s">
        <v>30</v>
      </c>
      <c r="D10" s="15" t="s">
        <v>56</v>
      </c>
      <c r="F10" s="15"/>
      <c r="G10" s="27" t="s">
        <v>29</v>
      </c>
      <c r="H10" s="28">
        <f t="shared" si="0"/>
        <v>49</v>
      </c>
      <c r="I10" s="28">
        <f t="shared" si="1"/>
        <v>44</v>
      </c>
      <c r="J10" s="29">
        <f t="shared" si="2"/>
        <v>1.1136363636363635</v>
      </c>
      <c r="K10" s="28">
        <f t="shared" si="3"/>
        <v>67</v>
      </c>
      <c r="L10" s="28">
        <f t="shared" si="4"/>
        <v>62</v>
      </c>
      <c r="M10" s="29">
        <f t="shared" si="5"/>
        <v>1.0806451612903225</v>
      </c>
      <c r="N10" s="29">
        <f t="shared" si="6"/>
        <v>1.3673469387755102</v>
      </c>
      <c r="O10" s="29">
        <f t="shared" si="7"/>
        <v>1.4090909090909092</v>
      </c>
      <c r="P10" s="30">
        <f t="shared" si="8"/>
        <v>0.66666666666666663</v>
      </c>
      <c r="Q10" s="5"/>
      <c r="R10" s="127" t="s">
        <v>30</v>
      </c>
      <c r="S10" s="154">
        <v>8</v>
      </c>
      <c r="T10" s="154"/>
      <c r="U10" s="154">
        <v>2</v>
      </c>
      <c r="V10" s="154">
        <v>2</v>
      </c>
      <c r="W10" s="154">
        <v>1</v>
      </c>
      <c r="X10" s="154">
        <v>2</v>
      </c>
      <c r="Y10" s="154">
        <v>1</v>
      </c>
      <c r="Z10" s="154">
        <v>3</v>
      </c>
      <c r="AA10" s="154">
        <v>1</v>
      </c>
      <c r="AB10" s="154"/>
      <c r="AC10" s="154">
        <v>1</v>
      </c>
      <c r="AD10" s="154"/>
      <c r="AE10" s="154">
        <v>2</v>
      </c>
      <c r="AF10" s="154"/>
      <c r="AG10" s="154"/>
      <c r="AH10" s="154"/>
      <c r="AI10" s="154">
        <v>23</v>
      </c>
      <c r="AK10" s="21">
        <f t="shared" si="9"/>
        <v>10</v>
      </c>
      <c r="AP10" s="35">
        <f ca="1">COUNTIF(M3:M17,AR10)</f>
        <v>0</v>
      </c>
      <c r="AQ10" s="40" t="str">
        <f>$Q$65</f>
        <v>Peter</v>
      </c>
      <c r="AR10" s="37" t="e">
        <f ca="1">Maxine(M3:M17)</f>
        <v>#NAME?</v>
      </c>
      <c r="AS10" s="33" t="s">
        <v>57</v>
      </c>
      <c r="AT10" s="37" t="e">
        <f ca="1">Maxine(M22:M25)</f>
        <v>#NAME?</v>
      </c>
      <c r="AU10" s="39" t="str">
        <f>$Q$108</f>
        <v>Baris</v>
      </c>
      <c r="AV10" s="35">
        <f ca="1">COUNTIF(M22:M25,AT10)</f>
        <v>0</v>
      </c>
    </row>
    <row r="11" spans="1:50" ht="14.6" customHeight="1" x14ac:dyDescent="0.4">
      <c r="A11" s="12" t="s">
        <v>28</v>
      </c>
      <c r="B11" s="13">
        <v>2</v>
      </c>
      <c r="C11" s="14" t="s">
        <v>35</v>
      </c>
      <c r="D11" s="15" t="s">
        <v>58</v>
      </c>
      <c r="E11" s="4"/>
      <c r="F11" s="26"/>
      <c r="G11" s="27" t="s">
        <v>36</v>
      </c>
      <c r="H11" s="28">
        <f t="shared" si="0"/>
        <v>17</v>
      </c>
      <c r="I11" s="28">
        <f t="shared" si="1"/>
        <v>15</v>
      </c>
      <c r="J11" s="29">
        <f t="shared" si="2"/>
        <v>1.1333333333333333</v>
      </c>
      <c r="K11" s="28">
        <f t="shared" si="3"/>
        <v>25</v>
      </c>
      <c r="L11" s="28">
        <f t="shared" si="4"/>
        <v>16</v>
      </c>
      <c r="M11" s="29">
        <f t="shared" si="5"/>
        <v>1.5625</v>
      </c>
      <c r="N11" s="29">
        <f t="shared" si="6"/>
        <v>1.4705882352941178</v>
      </c>
      <c r="O11" s="29">
        <f t="shared" si="7"/>
        <v>1.0666666666666667</v>
      </c>
      <c r="P11" s="30">
        <f t="shared" si="8"/>
        <v>0.66666666666666663</v>
      </c>
      <c r="Q11" s="5"/>
      <c r="R11" s="127" t="s">
        <v>34</v>
      </c>
      <c r="S11" s="154">
        <v>3</v>
      </c>
      <c r="T11" s="154">
        <v>5</v>
      </c>
      <c r="U11" s="154">
        <v>1</v>
      </c>
      <c r="V11" s="154">
        <v>5</v>
      </c>
      <c r="W11" s="154">
        <v>2</v>
      </c>
      <c r="X11" s="154">
        <v>5</v>
      </c>
      <c r="Y11" s="154">
        <v>1</v>
      </c>
      <c r="Z11" s="154"/>
      <c r="AA11" s="154"/>
      <c r="AB11" s="154"/>
      <c r="AC11" s="154"/>
      <c r="AD11" s="154"/>
      <c r="AE11" s="154"/>
      <c r="AF11" s="154"/>
      <c r="AG11" s="154"/>
      <c r="AH11" s="154"/>
      <c r="AI11" s="154">
        <v>22</v>
      </c>
      <c r="AK11" s="21">
        <f t="shared" si="9"/>
        <v>7</v>
      </c>
      <c r="AP11" s="35">
        <f>COUNTIF(M3:M17,AR11)</f>
        <v>1</v>
      </c>
      <c r="AQ11" s="40" t="str">
        <f>$Q$80</f>
        <v>Reuben</v>
      </c>
      <c r="AR11" s="37">
        <f>MIN(M3:M17)</f>
        <v>0.4107142857142857</v>
      </c>
      <c r="AS11" s="33" t="s">
        <v>59</v>
      </c>
      <c r="AT11" s="37">
        <f>MIN(M22:M25)</f>
        <v>0.64</v>
      </c>
      <c r="AU11" s="39" t="str">
        <f>$Q$105</f>
        <v>Basses</v>
      </c>
      <c r="AV11" s="35">
        <f>COUNTIF(M22:M25,AT11)</f>
        <v>1</v>
      </c>
    </row>
    <row r="12" spans="1:50" ht="14.6" customHeight="1" x14ac:dyDescent="0.4">
      <c r="A12" s="12" t="s">
        <v>12</v>
      </c>
      <c r="B12" s="13">
        <v>1</v>
      </c>
      <c r="C12" s="14" t="s">
        <v>29</v>
      </c>
      <c r="D12" s="15" t="s">
        <v>60</v>
      </c>
      <c r="F12" s="26"/>
      <c r="G12" s="27" t="s">
        <v>12</v>
      </c>
      <c r="H12" s="28">
        <f t="shared" si="0"/>
        <v>43</v>
      </c>
      <c r="I12" s="28">
        <f t="shared" si="1"/>
        <v>27</v>
      </c>
      <c r="J12" s="29">
        <f t="shared" si="2"/>
        <v>1.5925925925925926</v>
      </c>
      <c r="K12" s="28">
        <f t="shared" si="3"/>
        <v>66</v>
      </c>
      <c r="L12" s="28">
        <f t="shared" si="4"/>
        <v>31</v>
      </c>
      <c r="M12" s="29">
        <f t="shared" si="5"/>
        <v>2.129032258064516</v>
      </c>
      <c r="N12" s="29">
        <f t="shared" si="6"/>
        <v>1.5348837209302326</v>
      </c>
      <c r="O12" s="29">
        <f t="shared" si="7"/>
        <v>1.1481481481481481</v>
      </c>
      <c r="P12" s="30">
        <f t="shared" si="8"/>
        <v>0.8666666666666667</v>
      </c>
      <c r="Q12" s="5"/>
      <c r="R12" s="127" t="s">
        <v>33</v>
      </c>
      <c r="S12" s="154">
        <v>3</v>
      </c>
      <c r="T12" s="154">
        <v>2</v>
      </c>
      <c r="U12" s="154">
        <v>4</v>
      </c>
      <c r="V12" s="154">
        <v>2</v>
      </c>
      <c r="W12" s="154"/>
      <c r="X12" s="154"/>
      <c r="Y12" s="154">
        <v>2</v>
      </c>
      <c r="Z12" s="154">
        <v>2</v>
      </c>
      <c r="AA12" s="154">
        <v>2</v>
      </c>
      <c r="AB12" s="154"/>
      <c r="AC12" s="154">
        <v>2</v>
      </c>
      <c r="AD12" s="154"/>
      <c r="AE12" s="154"/>
      <c r="AF12" s="154"/>
      <c r="AG12" s="154">
        <v>2</v>
      </c>
      <c r="AH12" s="154">
        <v>1</v>
      </c>
      <c r="AI12" s="154">
        <v>22</v>
      </c>
      <c r="AK12" s="21">
        <f t="shared" si="9"/>
        <v>10</v>
      </c>
    </row>
    <row r="13" spans="1:50" ht="14.6" customHeight="1" x14ac:dyDescent="0.4">
      <c r="A13" s="12" t="s">
        <v>29</v>
      </c>
      <c r="B13" s="13">
        <v>1</v>
      </c>
      <c r="C13" s="14" t="s">
        <v>12</v>
      </c>
      <c r="D13" s="15" t="s">
        <v>61</v>
      </c>
      <c r="F13" s="26"/>
      <c r="G13" s="27" t="s">
        <v>30</v>
      </c>
      <c r="H13" s="28">
        <f t="shared" si="0"/>
        <v>19</v>
      </c>
      <c r="I13" s="28">
        <f t="shared" si="1"/>
        <v>36</v>
      </c>
      <c r="J13" s="29">
        <f t="shared" si="2"/>
        <v>0.52777777777777779</v>
      </c>
      <c r="K13" s="28">
        <f t="shared" si="3"/>
        <v>23</v>
      </c>
      <c r="L13" s="28">
        <f t="shared" si="4"/>
        <v>56</v>
      </c>
      <c r="M13" s="29">
        <f t="shared" si="5"/>
        <v>0.4107142857142857</v>
      </c>
      <c r="N13" s="29">
        <f t="shared" si="6"/>
        <v>1.2105263157894737</v>
      </c>
      <c r="O13" s="29">
        <f t="shared" si="7"/>
        <v>1.5555555555555556</v>
      </c>
      <c r="P13" s="30">
        <f t="shared" si="8"/>
        <v>0.66666666666666663</v>
      </c>
      <c r="Q13" s="5"/>
      <c r="R13" s="127" t="s">
        <v>28</v>
      </c>
      <c r="S13" s="154">
        <v>2</v>
      </c>
      <c r="T13" s="154">
        <v>1</v>
      </c>
      <c r="U13" s="154">
        <v>4</v>
      </c>
      <c r="V13" s="154"/>
      <c r="W13" s="154">
        <v>1</v>
      </c>
      <c r="X13" s="154"/>
      <c r="Y13" s="154">
        <v>2</v>
      </c>
      <c r="Z13" s="154">
        <v>2</v>
      </c>
      <c r="AA13" s="154"/>
      <c r="AB13" s="154">
        <v>2</v>
      </c>
      <c r="AC13" s="154">
        <v>2</v>
      </c>
      <c r="AD13" s="154">
        <v>3</v>
      </c>
      <c r="AE13" s="154">
        <v>1</v>
      </c>
      <c r="AF13" s="154"/>
      <c r="AG13" s="154">
        <v>1</v>
      </c>
      <c r="AH13" s="154"/>
      <c r="AI13" s="154">
        <v>21</v>
      </c>
      <c r="AK13" s="21">
        <f t="shared" si="9"/>
        <v>11</v>
      </c>
      <c r="AN13" s="131" t="s">
        <v>62</v>
      </c>
      <c r="AO13" s="132"/>
      <c r="AP13" s="132"/>
      <c r="AQ13" s="132"/>
      <c r="AR13" s="132"/>
      <c r="AS13" s="132"/>
      <c r="AT13" s="132"/>
      <c r="AU13" s="132"/>
      <c r="AV13" s="132"/>
      <c r="AW13" s="133"/>
    </row>
    <row r="14" spans="1:50" ht="14.6" customHeight="1" x14ac:dyDescent="0.4">
      <c r="A14" s="12" t="s">
        <v>11</v>
      </c>
      <c r="B14" s="13">
        <v>1</v>
      </c>
      <c r="C14" s="14" t="s">
        <v>32</v>
      </c>
      <c r="D14" s="15" t="s">
        <v>63</v>
      </c>
      <c r="F14" s="26"/>
      <c r="G14" s="27" t="s">
        <v>11</v>
      </c>
      <c r="H14" s="28">
        <f t="shared" si="0"/>
        <v>37</v>
      </c>
      <c r="I14" s="28">
        <f t="shared" si="1"/>
        <v>34</v>
      </c>
      <c r="J14" s="29">
        <f t="shared" si="2"/>
        <v>1.088235294117647</v>
      </c>
      <c r="K14" s="28">
        <f t="shared" si="3"/>
        <v>56</v>
      </c>
      <c r="L14" s="28">
        <f t="shared" si="4"/>
        <v>48</v>
      </c>
      <c r="M14" s="29">
        <f t="shared" si="5"/>
        <v>1.1666666666666667</v>
      </c>
      <c r="N14" s="29">
        <f t="shared" si="6"/>
        <v>1.5135135135135136</v>
      </c>
      <c r="O14" s="29">
        <f t="shared" si="7"/>
        <v>1.411764705882353</v>
      </c>
      <c r="P14" s="30">
        <f t="shared" si="8"/>
        <v>0.6</v>
      </c>
      <c r="Q14" s="5"/>
      <c r="R14" s="127" t="s">
        <v>39</v>
      </c>
      <c r="S14" s="154">
        <v>5</v>
      </c>
      <c r="T14" s="154"/>
      <c r="U14" s="154"/>
      <c r="V14" s="154">
        <v>5</v>
      </c>
      <c r="W14" s="154">
        <v>1</v>
      </c>
      <c r="X14" s="154"/>
      <c r="Y14" s="154">
        <v>3</v>
      </c>
      <c r="Z14" s="154">
        <v>2</v>
      </c>
      <c r="AA14" s="154"/>
      <c r="AB14" s="154"/>
      <c r="AC14" s="154"/>
      <c r="AD14" s="154"/>
      <c r="AE14" s="154"/>
      <c r="AF14" s="154"/>
      <c r="AG14" s="154"/>
      <c r="AH14" s="154"/>
      <c r="AI14" s="154">
        <v>16</v>
      </c>
      <c r="AK14" s="21">
        <f t="shared" si="9"/>
        <v>5</v>
      </c>
      <c r="AN14" s="41" t="s">
        <v>14</v>
      </c>
      <c r="AO14" s="25" t="s">
        <v>15</v>
      </c>
      <c r="AP14" s="25" t="s">
        <v>16</v>
      </c>
      <c r="AQ14" s="25" t="s">
        <v>17</v>
      </c>
      <c r="AR14" s="25" t="s">
        <v>18</v>
      </c>
      <c r="AS14" s="25" t="s">
        <v>19</v>
      </c>
      <c r="AT14" s="25" t="s">
        <v>20</v>
      </c>
      <c r="AU14" s="25" t="s">
        <v>21</v>
      </c>
      <c r="AV14" s="25" t="s">
        <v>22</v>
      </c>
      <c r="AW14" s="42" t="s">
        <v>23</v>
      </c>
    </row>
    <row r="15" spans="1:50" ht="14.6" customHeight="1" x14ac:dyDescent="0.4">
      <c r="A15" s="12" t="s">
        <v>32</v>
      </c>
      <c r="B15" s="13">
        <v>1</v>
      </c>
      <c r="C15" s="14" t="s">
        <v>11</v>
      </c>
      <c r="D15" s="15" t="s">
        <v>64</v>
      </c>
      <c r="F15" s="26"/>
      <c r="G15" s="27" t="s">
        <v>37</v>
      </c>
      <c r="H15" s="28">
        <f t="shared" si="0"/>
        <v>5</v>
      </c>
      <c r="I15" s="28">
        <f t="shared" si="1"/>
        <v>8</v>
      </c>
      <c r="J15" s="29">
        <f t="shared" si="2"/>
        <v>0.625</v>
      </c>
      <c r="K15" s="28">
        <f t="shared" si="3"/>
        <v>7</v>
      </c>
      <c r="L15" s="28">
        <f t="shared" si="4"/>
        <v>12</v>
      </c>
      <c r="M15" s="29">
        <f t="shared" si="5"/>
        <v>0.58333333333333337</v>
      </c>
      <c r="N15" s="29">
        <f t="shared" si="6"/>
        <v>1.4</v>
      </c>
      <c r="O15" s="29">
        <f t="shared" si="7"/>
        <v>1.5</v>
      </c>
      <c r="P15" s="30">
        <f t="shared" si="8"/>
        <v>0.33333333333333331</v>
      </c>
      <c r="Q15" s="5"/>
      <c r="R15" s="127" t="s">
        <v>38</v>
      </c>
      <c r="S15" s="154"/>
      <c r="T15" s="154">
        <v>2</v>
      </c>
      <c r="U15" s="154"/>
      <c r="V15" s="154"/>
      <c r="W15" s="154"/>
      <c r="X15" s="154"/>
      <c r="Y15" s="154">
        <v>2</v>
      </c>
      <c r="Z15" s="154"/>
      <c r="AA15" s="154">
        <v>3</v>
      </c>
      <c r="AB15" s="154"/>
      <c r="AC15" s="154">
        <v>1</v>
      </c>
      <c r="AD15" s="154">
        <v>2</v>
      </c>
      <c r="AE15" s="154"/>
      <c r="AF15" s="154"/>
      <c r="AG15" s="154">
        <v>1</v>
      </c>
      <c r="AH15" s="154">
        <v>1</v>
      </c>
      <c r="AI15" s="154">
        <v>12</v>
      </c>
      <c r="AK15" s="21">
        <f t="shared" si="9"/>
        <v>7</v>
      </c>
      <c r="AN15" s="34" t="s">
        <v>65</v>
      </c>
      <c r="AO15" s="43">
        <v>7.5</v>
      </c>
      <c r="AP15" s="44">
        <v>-6</v>
      </c>
      <c r="AQ15" s="44">
        <v>25</v>
      </c>
      <c r="AR15" s="44">
        <v>8.5</v>
      </c>
      <c r="AS15" s="44">
        <v>-6.5</v>
      </c>
      <c r="AT15" s="44">
        <v>25</v>
      </c>
      <c r="AU15" s="44">
        <v>20</v>
      </c>
      <c r="AV15" s="44">
        <v>-20</v>
      </c>
      <c r="AW15" s="45">
        <v>250</v>
      </c>
      <c r="AX15" s="33" t="s">
        <v>66</v>
      </c>
    </row>
    <row r="16" spans="1:50" ht="14.6" customHeight="1" x14ac:dyDescent="0.4">
      <c r="A16" s="12" t="s">
        <v>36</v>
      </c>
      <c r="B16" s="13">
        <v>1</v>
      </c>
      <c r="C16" s="14" t="s">
        <v>30</v>
      </c>
      <c r="D16" s="15" t="s">
        <v>67</v>
      </c>
      <c r="F16" s="26"/>
      <c r="G16" s="27" t="s">
        <v>40</v>
      </c>
      <c r="H16" s="28">
        <f t="shared" si="0"/>
        <v>5</v>
      </c>
      <c r="I16" s="28">
        <f t="shared" si="1"/>
        <v>4</v>
      </c>
      <c r="J16" s="29">
        <f t="shared" si="2"/>
        <v>1.25</v>
      </c>
      <c r="K16" s="28">
        <f t="shared" si="3"/>
        <v>6</v>
      </c>
      <c r="L16" s="28">
        <f t="shared" si="4"/>
        <v>4</v>
      </c>
      <c r="M16" s="29">
        <f t="shared" si="5"/>
        <v>1.5</v>
      </c>
      <c r="N16" s="29">
        <f t="shared" si="6"/>
        <v>1.2</v>
      </c>
      <c r="O16" s="29">
        <f t="shared" si="7"/>
        <v>1</v>
      </c>
      <c r="P16" s="30">
        <f t="shared" si="8"/>
        <v>0.2</v>
      </c>
      <c r="Q16" s="46"/>
      <c r="R16" s="127" t="s">
        <v>37</v>
      </c>
      <c r="S16" s="154"/>
      <c r="T16" s="154"/>
      <c r="U16" s="154">
        <v>1</v>
      </c>
      <c r="V16" s="154">
        <v>2</v>
      </c>
      <c r="W16" s="154"/>
      <c r="X16" s="154">
        <v>2</v>
      </c>
      <c r="Y16" s="154">
        <v>1</v>
      </c>
      <c r="Z16" s="154"/>
      <c r="AA16" s="154">
        <v>1</v>
      </c>
      <c r="AB16" s="154"/>
      <c r="AC16" s="154"/>
      <c r="AD16" s="154"/>
      <c r="AE16" s="154"/>
      <c r="AF16" s="154"/>
      <c r="AG16" s="154"/>
      <c r="AH16" s="154"/>
      <c r="AI16" s="154">
        <v>7</v>
      </c>
      <c r="AK16" s="21">
        <f t="shared" si="9"/>
        <v>5</v>
      </c>
      <c r="AN16" s="27" t="s">
        <v>28</v>
      </c>
      <c r="AO16" s="28">
        <f t="shared" ref="AO16:AO31" si="10">VLOOKUP(AN16,$G$1:$P$18,2,FALSE) *$AO$15</f>
        <v>112.5</v>
      </c>
      <c r="AP16" s="47">
        <f t="shared" ref="AP16:AP31" si="11">VLOOKUP(AN16,$G$1:$P$18,3,FALSE) *$AP$15</f>
        <v>-84</v>
      </c>
      <c r="AQ16" s="48">
        <f t="shared" ref="AQ16:AQ31" si="12">VLOOKUP(AN16,$G$1:$P$18,4,FALSE) * $AQ$15</f>
        <v>26.785714285714285</v>
      </c>
      <c r="AR16" s="28">
        <f t="shared" ref="AR16:AR31" si="13">VLOOKUP(AN16,$G$1:$P$18,5,FALSE) *$AR$15</f>
        <v>178.5</v>
      </c>
      <c r="AS16" s="47">
        <f t="shared" ref="AS16:AS31" si="14">VLOOKUP(AN16,$G$1:$P$18,6,FALSE) *$AS$15</f>
        <v>-130</v>
      </c>
      <c r="AT16" s="48">
        <f t="shared" ref="AT16:AT31" si="15">VLOOKUP(AN16,$G$1:$P$18,7,FALSE) * $AT$15</f>
        <v>26.25</v>
      </c>
      <c r="AU16" s="28">
        <f t="shared" ref="AU16:AU31" si="16">VLOOKUP(AN16,$G$1:$P$18,8,FALSE) *$AU$15</f>
        <v>28</v>
      </c>
      <c r="AV16" s="129">
        <f t="shared" ref="AV16:AV31" si="17">VLOOKUP(AN16,$G$1:$P$18,9,FALSE) *$AV$15</f>
        <v>-28.571428571428573</v>
      </c>
      <c r="AW16" s="48">
        <f t="shared" ref="AW16:AW31" si="18">VLOOKUP(AN16,$G$1:$P$18,10,FALSE) * $AW$15</f>
        <v>183.33333333333331</v>
      </c>
      <c r="AX16" s="49">
        <f t="shared" ref="AX16:AX31" si="19">SUM(AO16:AW16)</f>
        <v>312.79761904761904</v>
      </c>
    </row>
    <row r="17" spans="1:50" ht="14.25" customHeight="1" x14ac:dyDescent="0.4">
      <c r="A17" s="12" t="s">
        <v>30</v>
      </c>
      <c r="B17" s="13">
        <v>1</v>
      </c>
      <c r="C17" s="14" t="s">
        <v>36</v>
      </c>
      <c r="D17" s="15" t="s">
        <v>68</v>
      </c>
      <c r="F17" s="26"/>
      <c r="G17" s="27" t="s">
        <v>39</v>
      </c>
      <c r="H17" s="28">
        <f t="shared" si="0"/>
        <v>11</v>
      </c>
      <c r="I17" s="28">
        <f t="shared" si="1"/>
        <v>6</v>
      </c>
      <c r="J17" s="29">
        <f t="shared" si="2"/>
        <v>1.8333333333333333</v>
      </c>
      <c r="K17" s="28">
        <f t="shared" si="3"/>
        <v>16</v>
      </c>
      <c r="L17" s="28">
        <f t="shared" si="4"/>
        <v>7</v>
      </c>
      <c r="M17" s="29">
        <f t="shared" si="5"/>
        <v>2.2857142857142856</v>
      </c>
      <c r="N17" s="29">
        <f t="shared" si="6"/>
        <v>1.4545454545454546</v>
      </c>
      <c r="O17" s="29">
        <f t="shared" si="7"/>
        <v>1.1666666666666667</v>
      </c>
      <c r="P17" s="30">
        <f t="shared" si="8"/>
        <v>0.33333333333333331</v>
      </c>
      <c r="R17" s="127" t="s">
        <v>40</v>
      </c>
      <c r="S17" s="154"/>
      <c r="T17" s="154"/>
      <c r="U17" s="154"/>
      <c r="V17" s="154"/>
      <c r="W17" s="154"/>
      <c r="X17" s="154">
        <v>3</v>
      </c>
      <c r="Y17" s="154"/>
      <c r="Z17" s="154"/>
      <c r="AA17" s="154">
        <v>1</v>
      </c>
      <c r="AB17" s="154"/>
      <c r="AC17" s="154"/>
      <c r="AD17" s="154"/>
      <c r="AE17" s="154">
        <v>2</v>
      </c>
      <c r="AF17" s="154"/>
      <c r="AG17" s="154"/>
      <c r="AH17" s="154"/>
      <c r="AI17" s="154">
        <v>6</v>
      </c>
      <c r="AK17" s="21">
        <f t="shared" si="9"/>
        <v>3</v>
      </c>
      <c r="AN17" s="27" t="s">
        <v>33</v>
      </c>
      <c r="AO17" s="28">
        <f t="shared" si="10"/>
        <v>127.5</v>
      </c>
      <c r="AP17" s="47">
        <f t="shared" si="11"/>
        <v>-132</v>
      </c>
      <c r="AQ17" s="48">
        <f t="shared" si="12"/>
        <v>19.318181818181817</v>
      </c>
      <c r="AR17" s="28">
        <f t="shared" si="13"/>
        <v>187</v>
      </c>
      <c r="AS17" s="47">
        <f t="shared" si="14"/>
        <v>-214.5</v>
      </c>
      <c r="AT17" s="48">
        <f t="shared" si="15"/>
        <v>16.666666666666664</v>
      </c>
      <c r="AU17" s="28">
        <f t="shared" si="16"/>
        <v>25.882352941176471</v>
      </c>
      <c r="AV17" s="129">
        <f t="shared" si="17"/>
        <v>-30</v>
      </c>
      <c r="AW17" s="48">
        <f t="shared" si="18"/>
        <v>166.66666666666666</v>
      </c>
      <c r="AX17" s="49">
        <f t="shared" si="19"/>
        <v>166.53386809269159</v>
      </c>
    </row>
    <row r="18" spans="1:50" ht="14.25" customHeight="1" x14ac:dyDescent="0.4">
      <c r="A18" s="12" t="s">
        <v>36</v>
      </c>
      <c r="B18" s="13">
        <v>2</v>
      </c>
      <c r="C18" s="14" t="s">
        <v>29</v>
      </c>
      <c r="D18" s="15" t="s">
        <v>69</v>
      </c>
      <c r="F18" s="26"/>
      <c r="G18" s="27" t="s">
        <v>35</v>
      </c>
      <c r="H18" s="28">
        <f t="shared" si="0"/>
        <v>0</v>
      </c>
      <c r="I18" s="28">
        <f t="shared" si="1"/>
        <v>10</v>
      </c>
      <c r="J18" s="29">
        <f t="shared" si="2"/>
        <v>0</v>
      </c>
      <c r="K18" s="28">
        <f t="shared" si="3"/>
        <v>0</v>
      </c>
      <c r="L18" s="28">
        <f t="shared" si="4"/>
        <v>18</v>
      </c>
      <c r="M18" s="29">
        <f t="shared" si="5"/>
        <v>0</v>
      </c>
      <c r="N18" s="29">
        <f t="shared" si="6"/>
        <v>0</v>
      </c>
      <c r="O18" s="29">
        <f t="shared" si="7"/>
        <v>1.8</v>
      </c>
      <c r="P18" s="30">
        <f t="shared" si="8"/>
        <v>0</v>
      </c>
      <c r="R18" s="127" t="s">
        <v>41</v>
      </c>
      <c r="S18" s="154"/>
      <c r="T18" s="154"/>
      <c r="U18" s="154"/>
      <c r="V18" s="154"/>
      <c r="W18" s="154"/>
      <c r="X18" s="154">
        <v>1</v>
      </c>
      <c r="Y18" s="154"/>
      <c r="Z18" s="154"/>
      <c r="AA18" s="154"/>
      <c r="AB18" s="154"/>
      <c r="AC18" s="154"/>
      <c r="AD18" s="154"/>
      <c r="AE18" s="154">
        <v>1</v>
      </c>
      <c r="AF18" s="154"/>
      <c r="AG18" s="154"/>
      <c r="AH18" s="154"/>
      <c r="AI18" s="154">
        <v>2</v>
      </c>
      <c r="AK18" s="21">
        <f t="shared" si="9"/>
        <v>2</v>
      </c>
      <c r="AN18" s="27" t="s">
        <v>32</v>
      </c>
      <c r="AO18" s="28">
        <f t="shared" si="10"/>
        <v>247.5</v>
      </c>
      <c r="AP18" s="47">
        <f t="shared" si="11"/>
        <v>-156</v>
      </c>
      <c r="AQ18" s="48">
        <f t="shared" si="12"/>
        <v>31.73076923076923</v>
      </c>
      <c r="AR18" s="28">
        <f t="shared" si="13"/>
        <v>365.5</v>
      </c>
      <c r="AS18" s="47">
        <f t="shared" si="14"/>
        <v>-221</v>
      </c>
      <c r="AT18" s="48">
        <f t="shared" si="15"/>
        <v>31.617647058823529</v>
      </c>
      <c r="AU18" s="28">
        <f t="shared" si="16"/>
        <v>26.060606060606059</v>
      </c>
      <c r="AV18" s="129">
        <f t="shared" si="17"/>
        <v>-26.153846153846153</v>
      </c>
      <c r="AW18" s="48">
        <f t="shared" si="18"/>
        <v>166.66666666666666</v>
      </c>
      <c r="AX18" s="49">
        <f t="shared" si="19"/>
        <v>465.92184286301938</v>
      </c>
    </row>
    <row r="19" spans="1:50" ht="14.25" customHeight="1" x14ac:dyDescent="0.4">
      <c r="A19" s="12" t="s">
        <v>28</v>
      </c>
      <c r="B19" s="13">
        <v>1</v>
      </c>
      <c r="C19" s="14" t="s">
        <v>12</v>
      </c>
      <c r="D19" s="15" t="s">
        <v>70</v>
      </c>
      <c r="F19" s="26"/>
      <c r="R19" s="127" t="s">
        <v>42</v>
      </c>
      <c r="S19" s="154">
        <v>62</v>
      </c>
      <c r="T19" s="154">
        <v>56</v>
      </c>
      <c r="U19" s="154">
        <v>48</v>
      </c>
      <c r="V19" s="154">
        <v>37</v>
      </c>
      <c r="W19" s="154">
        <v>34</v>
      </c>
      <c r="X19" s="154">
        <v>33</v>
      </c>
      <c r="Y19" s="154">
        <v>31</v>
      </c>
      <c r="Z19" s="154">
        <v>27</v>
      </c>
      <c r="AA19" s="154">
        <v>20</v>
      </c>
      <c r="AB19" s="154">
        <v>18</v>
      </c>
      <c r="AC19" s="154">
        <v>16</v>
      </c>
      <c r="AD19" s="154">
        <v>12</v>
      </c>
      <c r="AE19" s="154">
        <v>9</v>
      </c>
      <c r="AF19" s="154">
        <v>7</v>
      </c>
      <c r="AG19" s="154">
        <v>4</v>
      </c>
      <c r="AH19" s="154">
        <v>3</v>
      </c>
      <c r="AI19" s="154">
        <v>417</v>
      </c>
      <c r="AK19" s="51">
        <f>IF(COUNT(AB19:AE19)&lt;&gt;0,COUNT(AB19:AE19)-1,"")</f>
        <v>3</v>
      </c>
      <c r="AN19" s="27" t="s">
        <v>34</v>
      </c>
      <c r="AO19" s="28">
        <f t="shared" si="10"/>
        <v>120</v>
      </c>
      <c r="AP19" s="47">
        <f t="shared" si="11"/>
        <v>-114</v>
      </c>
      <c r="AQ19" s="48">
        <f t="shared" si="12"/>
        <v>21.052631578947366</v>
      </c>
      <c r="AR19" s="28">
        <f t="shared" si="13"/>
        <v>187</v>
      </c>
      <c r="AS19" s="47">
        <f t="shared" si="14"/>
        <v>-175.5</v>
      </c>
      <c r="AT19" s="48">
        <f t="shared" si="15"/>
        <v>20.37037037037037</v>
      </c>
      <c r="AU19" s="28">
        <f t="shared" si="16"/>
        <v>27.5</v>
      </c>
      <c r="AV19" s="129">
        <f t="shared" si="17"/>
        <v>-28.421052631578945</v>
      </c>
      <c r="AW19" s="48">
        <f t="shared" si="18"/>
        <v>116.66666666666667</v>
      </c>
      <c r="AX19" s="49">
        <f t="shared" si="19"/>
        <v>174.66861598440545</v>
      </c>
    </row>
    <row r="20" spans="1:50" ht="14.6" customHeight="1" x14ac:dyDescent="0.4">
      <c r="A20" s="12" t="s">
        <v>12</v>
      </c>
      <c r="B20" s="13">
        <v>1</v>
      </c>
      <c r="C20" s="14" t="s">
        <v>28</v>
      </c>
      <c r="D20" s="15" t="s">
        <v>71</v>
      </c>
      <c r="E20" s="52">
        <v>1</v>
      </c>
      <c r="F20" s="26"/>
      <c r="G20" s="131" t="s">
        <v>72</v>
      </c>
      <c r="H20" s="132"/>
      <c r="I20" s="132"/>
      <c r="J20" s="132"/>
      <c r="K20" s="132"/>
      <c r="L20" s="132"/>
      <c r="M20" s="132"/>
      <c r="N20" s="132"/>
      <c r="O20" s="133"/>
      <c r="AK20" s="51" t="str">
        <f>IF(COUNT(S20:AE20)&lt;&gt;0,COUNT(S20:AE20)-1,"")</f>
        <v/>
      </c>
      <c r="AN20" s="27" t="s">
        <v>41</v>
      </c>
      <c r="AO20" s="28">
        <f t="shared" si="10"/>
        <v>15</v>
      </c>
      <c r="AP20" s="47">
        <f t="shared" si="11"/>
        <v>-18</v>
      </c>
      <c r="AQ20" s="48">
        <f t="shared" si="12"/>
        <v>16.666666666666664</v>
      </c>
      <c r="AR20" s="28">
        <f t="shared" si="13"/>
        <v>17</v>
      </c>
      <c r="AS20" s="47">
        <f t="shared" si="14"/>
        <v>-19.5</v>
      </c>
      <c r="AT20" s="48">
        <f t="shared" si="15"/>
        <v>16.666666666666664</v>
      </c>
      <c r="AU20" s="28">
        <f t="shared" si="16"/>
        <v>20</v>
      </c>
      <c r="AV20" s="129">
        <f t="shared" si="17"/>
        <v>-20</v>
      </c>
      <c r="AW20" s="48">
        <f t="shared" si="18"/>
        <v>33.333333333333336</v>
      </c>
      <c r="AX20" s="49">
        <f t="shared" si="19"/>
        <v>61.166666666666664</v>
      </c>
    </row>
    <row r="21" spans="1:50" ht="14.25" customHeight="1" x14ac:dyDescent="0.4">
      <c r="A21" s="12" t="s">
        <v>12</v>
      </c>
      <c r="B21" s="13">
        <v>1</v>
      </c>
      <c r="C21" s="14" t="s">
        <v>36</v>
      </c>
      <c r="D21" s="15" t="s">
        <v>73</v>
      </c>
      <c r="E21" s="4"/>
      <c r="F21" s="26"/>
      <c r="G21" s="41" t="s">
        <v>74</v>
      </c>
      <c r="H21" s="25" t="s">
        <v>15</v>
      </c>
      <c r="I21" s="25" t="s">
        <v>16</v>
      </c>
      <c r="J21" s="25" t="s">
        <v>17</v>
      </c>
      <c r="K21" s="25" t="s">
        <v>18</v>
      </c>
      <c r="L21" s="25" t="s">
        <v>19</v>
      </c>
      <c r="M21" s="25" t="s">
        <v>20</v>
      </c>
      <c r="N21" s="18" t="s">
        <v>21</v>
      </c>
      <c r="O21" s="25" t="s">
        <v>22</v>
      </c>
      <c r="R21" s="53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K21" s="51" t="str">
        <f>IF(COUNT(S21:AE21)&lt;&gt;0,COUNT(S21:AE21)-1,"")</f>
        <v/>
      </c>
      <c r="AN21" s="27" t="s">
        <v>31</v>
      </c>
      <c r="AO21" s="28">
        <f t="shared" si="10"/>
        <v>165</v>
      </c>
      <c r="AP21" s="47">
        <f t="shared" si="11"/>
        <v>-150</v>
      </c>
      <c r="AQ21" s="48">
        <f t="shared" si="12"/>
        <v>22</v>
      </c>
      <c r="AR21" s="28">
        <f t="shared" si="13"/>
        <v>246.5</v>
      </c>
      <c r="AS21" s="47">
        <f t="shared" si="14"/>
        <v>-240.5</v>
      </c>
      <c r="AT21" s="48">
        <f t="shared" si="15"/>
        <v>19.594594594594593</v>
      </c>
      <c r="AU21" s="28">
        <f t="shared" si="16"/>
        <v>26.363636363636363</v>
      </c>
      <c r="AV21" s="129">
        <f t="shared" si="17"/>
        <v>-29.6</v>
      </c>
      <c r="AW21" s="48">
        <f t="shared" si="18"/>
        <v>150</v>
      </c>
      <c r="AX21" s="49">
        <f t="shared" si="19"/>
        <v>209.35823095823096</v>
      </c>
    </row>
    <row r="22" spans="1:50" ht="14.25" customHeight="1" x14ac:dyDescent="0.4">
      <c r="A22" s="12" t="s">
        <v>36</v>
      </c>
      <c r="B22" s="13">
        <v>1</v>
      </c>
      <c r="C22" s="14" t="s">
        <v>12</v>
      </c>
      <c r="D22" s="15" t="s">
        <v>75</v>
      </c>
      <c r="F22" s="15"/>
      <c r="G22" s="27" t="s">
        <v>76</v>
      </c>
      <c r="H22" s="54">
        <f>SUM(H3:H6)/COUNT(H3:H6)</f>
        <v>20.25</v>
      </c>
      <c r="I22" s="54">
        <f>SUM(I3:I6)/COUNT(I3:I6)</f>
        <v>20.25</v>
      </c>
      <c r="J22" s="55">
        <f>IF(I22,H22/I22,H22)</f>
        <v>1</v>
      </c>
      <c r="K22" s="54">
        <f>SUM(K3:K6)/COUNT(K3:K6)</f>
        <v>27</v>
      </c>
      <c r="L22" s="54">
        <f>SUM(L3:L6)/COUNT(L3:L6)</f>
        <v>28.5</v>
      </c>
      <c r="M22" s="55">
        <f>IF(L22,K22/L22,K22)</f>
        <v>0.94736842105263153</v>
      </c>
      <c r="N22" s="56">
        <f t="shared" ref="N22:O26" si="20">IF(H22,K22/H22,0)</f>
        <v>1.3333333333333333</v>
      </c>
      <c r="O22" s="57">
        <f t="shared" si="20"/>
        <v>1.4074074074074074</v>
      </c>
      <c r="Q22" s="58"/>
      <c r="R22" s="53"/>
      <c r="AK22" s="51" t="str">
        <f>IF(COUNT(S22:AE22)&lt;&gt;0,COUNT(S22:AE22)-1,"")</f>
        <v/>
      </c>
      <c r="AN22" s="27" t="s">
        <v>38</v>
      </c>
      <c r="AO22" s="28">
        <f t="shared" si="10"/>
        <v>75</v>
      </c>
      <c r="AP22" s="47">
        <f t="shared" si="11"/>
        <v>-48</v>
      </c>
      <c r="AQ22" s="48">
        <f t="shared" si="12"/>
        <v>31.25</v>
      </c>
      <c r="AR22" s="28">
        <f t="shared" si="13"/>
        <v>102</v>
      </c>
      <c r="AS22" s="47">
        <f t="shared" si="14"/>
        <v>-58.5</v>
      </c>
      <c r="AT22" s="48">
        <f t="shared" si="15"/>
        <v>33.333333333333329</v>
      </c>
      <c r="AU22" s="28">
        <f t="shared" si="16"/>
        <v>24</v>
      </c>
      <c r="AV22" s="129">
        <f t="shared" si="17"/>
        <v>-22.5</v>
      </c>
      <c r="AW22" s="48">
        <f t="shared" si="18"/>
        <v>116.66666666666667</v>
      </c>
      <c r="AX22" s="49">
        <f t="shared" si="19"/>
        <v>253.25</v>
      </c>
    </row>
    <row r="23" spans="1:50" ht="14.25" customHeight="1" x14ac:dyDescent="0.4">
      <c r="A23" s="12" t="s">
        <v>36</v>
      </c>
      <c r="B23" s="13">
        <v>1</v>
      </c>
      <c r="C23" s="14" t="s">
        <v>28</v>
      </c>
      <c r="D23" s="15" t="s">
        <v>75</v>
      </c>
      <c r="E23" s="52">
        <v>1</v>
      </c>
      <c r="F23" s="26"/>
      <c r="G23" s="27" t="s">
        <v>77</v>
      </c>
      <c r="H23" s="54">
        <f>SUM(H7:H10)/COUNT(H7:H10)</f>
        <v>20.75</v>
      </c>
      <c r="I23" s="54">
        <f>SUM(I7:I10)/COUNT(I7:I10)</f>
        <v>20</v>
      </c>
      <c r="J23" s="55">
        <f>IF(I23,H23/I23,H23)</f>
        <v>1.0375000000000001</v>
      </c>
      <c r="K23" s="54">
        <f>SUM(K7:K10)/COUNT(K7:K10)</f>
        <v>27.5</v>
      </c>
      <c r="L23" s="54">
        <f>SUM(L7:L10)/COUNT(L7:L10)</f>
        <v>27.75</v>
      </c>
      <c r="M23" s="55">
        <f>IF(L23,K23/L23,K23)</f>
        <v>0.99099099099099097</v>
      </c>
      <c r="N23" s="56">
        <f t="shared" si="20"/>
        <v>1.3253012048192772</v>
      </c>
      <c r="O23" s="57">
        <f t="shared" si="20"/>
        <v>1.3875</v>
      </c>
      <c r="Q23" s="58"/>
      <c r="R23" s="53"/>
      <c r="AN23" s="27" t="s">
        <v>29</v>
      </c>
      <c r="AO23" s="28">
        <f t="shared" si="10"/>
        <v>367.5</v>
      </c>
      <c r="AP23" s="47">
        <f t="shared" si="11"/>
        <v>-264</v>
      </c>
      <c r="AQ23" s="48">
        <f t="shared" si="12"/>
        <v>27.84090909090909</v>
      </c>
      <c r="AR23" s="28">
        <f t="shared" si="13"/>
        <v>569.5</v>
      </c>
      <c r="AS23" s="47">
        <f t="shared" si="14"/>
        <v>-403</v>
      </c>
      <c r="AT23" s="48">
        <f t="shared" si="15"/>
        <v>27.016129032258064</v>
      </c>
      <c r="AU23" s="28">
        <f t="shared" si="16"/>
        <v>27.346938775510203</v>
      </c>
      <c r="AV23" s="129">
        <f t="shared" si="17"/>
        <v>-28.181818181818183</v>
      </c>
      <c r="AW23" s="48">
        <f t="shared" si="18"/>
        <v>166.66666666666666</v>
      </c>
      <c r="AX23" s="49">
        <f t="shared" si="19"/>
        <v>490.6888253835258</v>
      </c>
    </row>
    <row r="24" spans="1:50" ht="14.25" customHeight="1" x14ac:dyDescent="0.4">
      <c r="A24" s="12" t="s">
        <v>28</v>
      </c>
      <c r="B24" s="13">
        <v>1</v>
      </c>
      <c r="C24" s="14" t="s">
        <v>38</v>
      </c>
      <c r="D24" s="15" t="s">
        <v>78</v>
      </c>
      <c r="F24" s="15"/>
      <c r="G24" s="27" t="s">
        <v>79</v>
      </c>
      <c r="H24" s="54">
        <f>SUM(H11:H14)/COUNT(H11:H14)</f>
        <v>29</v>
      </c>
      <c r="I24" s="54">
        <f>SUM(I11:I14)/COUNT(I11:I14)</f>
        <v>28</v>
      </c>
      <c r="J24" s="55">
        <f>IF(I24,H24/I24,H24)</f>
        <v>1.0357142857142858</v>
      </c>
      <c r="K24" s="54">
        <f>SUM(K11:K14)/COUNT(K11:K14)</f>
        <v>42.5</v>
      </c>
      <c r="L24" s="54">
        <f>SUM(L11:L14)/COUNT(L11:L14)</f>
        <v>37.75</v>
      </c>
      <c r="M24" s="55">
        <f>IF(L24,K24/L24,K24)</f>
        <v>1.1258278145695364</v>
      </c>
      <c r="N24" s="56">
        <f t="shared" si="20"/>
        <v>1.4655172413793103</v>
      </c>
      <c r="O24" s="57">
        <f t="shared" si="20"/>
        <v>1.3482142857142858</v>
      </c>
      <c r="Q24" s="5"/>
      <c r="R24" s="59" t="s">
        <v>80</v>
      </c>
      <c r="S24" s="32" t="s">
        <v>81</v>
      </c>
      <c r="T24" s="60" t="s">
        <v>82</v>
      </c>
      <c r="U24" s="61" t="s">
        <v>83</v>
      </c>
      <c r="V24" s="62" t="s">
        <v>84</v>
      </c>
      <c r="AD24" s="53"/>
      <c r="AN24" s="27" t="s">
        <v>36</v>
      </c>
      <c r="AO24" s="28">
        <f t="shared" si="10"/>
        <v>127.5</v>
      </c>
      <c r="AP24" s="47">
        <f t="shared" si="11"/>
        <v>-90</v>
      </c>
      <c r="AQ24" s="48">
        <f t="shared" si="12"/>
        <v>28.333333333333332</v>
      </c>
      <c r="AR24" s="28">
        <f t="shared" si="13"/>
        <v>212.5</v>
      </c>
      <c r="AS24" s="47">
        <f t="shared" si="14"/>
        <v>-104</v>
      </c>
      <c r="AT24" s="48">
        <f t="shared" si="15"/>
        <v>39.0625</v>
      </c>
      <c r="AU24" s="28">
        <f t="shared" si="16"/>
        <v>29.411764705882355</v>
      </c>
      <c r="AV24" s="129">
        <f t="shared" si="17"/>
        <v>-21.333333333333332</v>
      </c>
      <c r="AW24" s="48">
        <f t="shared" si="18"/>
        <v>166.66666666666666</v>
      </c>
      <c r="AX24" s="49">
        <f t="shared" si="19"/>
        <v>388.14093137254895</v>
      </c>
    </row>
    <row r="25" spans="1:50" ht="14.25" customHeight="1" x14ac:dyDescent="0.4">
      <c r="A25" s="12" t="s">
        <v>38</v>
      </c>
      <c r="B25" s="13">
        <v>1</v>
      </c>
      <c r="C25" s="14" t="s">
        <v>28</v>
      </c>
      <c r="D25" s="15" t="s">
        <v>85</v>
      </c>
      <c r="E25" s="52">
        <v>1</v>
      </c>
      <c r="F25" s="26"/>
      <c r="G25" s="27" t="s">
        <v>86</v>
      </c>
      <c r="H25" s="54">
        <f>SUM(H17:H18)/COUNT(H17:H18)</f>
        <v>5.5</v>
      </c>
      <c r="I25" s="54">
        <f>SUM(I17:I18)/COUNT(I17:I18)</f>
        <v>8</v>
      </c>
      <c r="J25" s="55">
        <f>IF(I25,H25/I25,H25)</f>
        <v>0.6875</v>
      </c>
      <c r="K25" s="54">
        <f>SUM(K17:K18)/COUNT(K17:K18)</f>
        <v>8</v>
      </c>
      <c r="L25" s="54">
        <f>SUM(L17:L18)/COUNT(L17:L18)</f>
        <v>12.5</v>
      </c>
      <c r="M25" s="55">
        <f>IF(L25,K25/L25,K25)</f>
        <v>0.64</v>
      </c>
      <c r="N25" s="56">
        <f t="shared" si="20"/>
        <v>1.4545454545454546</v>
      </c>
      <c r="O25" s="57">
        <f t="shared" si="20"/>
        <v>1.5625</v>
      </c>
      <c r="R25" s="36" t="s">
        <v>87</v>
      </c>
      <c r="S25" s="32">
        <f>COUNT(E:E)</f>
        <v>13</v>
      </c>
      <c r="T25" s="60">
        <f>COUNTIF(E:E,1)</f>
        <v>9</v>
      </c>
      <c r="U25" s="61">
        <f>S25-T25</f>
        <v>4</v>
      </c>
      <c r="V25" s="63">
        <f>IFERROR(T25/S25,0)</f>
        <v>0.69230769230769229</v>
      </c>
      <c r="AN25" s="27" t="s">
        <v>12</v>
      </c>
      <c r="AO25" s="28">
        <f t="shared" si="10"/>
        <v>322.5</v>
      </c>
      <c r="AP25" s="47">
        <f t="shared" si="11"/>
        <v>-162</v>
      </c>
      <c r="AQ25" s="48">
        <f t="shared" si="12"/>
        <v>39.814814814814817</v>
      </c>
      <c r="AR25" s="28">
        <f t="shared" si="13"/>
        <v>561</v>
      </c>
      <c r="AS25" s="47">
        <f t="shared" si="14"/>
        <v>-201.5</v>
      </c>
      <c r="AT25" s="48">
        <f t="shared" si="15"/>
        <v>53.225806451612897</v>
      </c>
      <c r="AU25" s="28">
        <f t="shared" si="16"/>
        <v>30.697674418604652</v>
      </c>
      <c r="AV25" s="129">
        <f t="shared" si="17"/>
        <v>-22.962962962962962</v>
      </c>
      <c r="AW25" s="48">
        <f t="shared" si="18"/>
        <v>216.66666666666669</v>
      </c>
      <c r="AX25" s="49">
        <f t="shared" si="19"/>
        <v>837.44199938873612</v>
      </c>
    </row>
    <row r="26" spans="1:50" ht="14.25" customHeight="1" x14ac:dyDescent="0.4">
      <c r="A26" s="12" t="s">
        <v>38</v>
      </c>
      <c r="B26" s="13">
        <v>1</v>
      </c>
      <c r="C26" s="14" t="s">
        <v>12</v>
      </c>
      <c r="D26" s="15" t="s">
        <v>85</v>
      </c>
      <c r="F26" s="26"/>
      <c r="G26" s="64" t="s">
        <v>88</v>
      </c>
      <c r="H26" s="54">
        <f>SUM(H17)/COUNT(H17)</f>
        <v>11</v>
      </c>
      <c r="I26" s="54">
        <f>SUM(I17)/COUNT(I17)</f>
        <v>6</v>
      </c>
      <c r="J26" s="55">
        <f>IF(I26,H26/I26,H26)</f>
        <v>1.8333333333333333</v>
      </c>
      <c r="K26" s="54">
        <f>SUM(K17)/COUNT(K17)</f>
        <v>16</v>
      </c>
      <c r="L26" s="54">
        <f>SUM(L17)/COUNT(L17)</f>
        <v>7</v>
      </c>
      <c r="M26" s="55">
        <f>IF(L26,K26/L26,K26)</f>
        <v>2.2857142857142856</v>
      </c>
      <c r="N26" s="56">
        <f t="shared" si="20"/>
        <v>1.4545454545454546</v>
      </c>
      <c r="O26" s="57">
        <f t="shared" si="20"/>
        <v>1.1666666666666667</v>
      </c>
      <c r="AN26" s="27" t="s">
        <v>30</v>
      </c>
      <c r="AO26" s="28">
        <f t="shared" si="10"/>
        <v>142.5</v>
      </c>
      <c r="AP26" s="47">
        <f t="shared" si="11"/>
        <v>-216</v>
      </c>
      <c r="AQ26" s="48">
        <f t="shared" si="12"/>
        <v>13.194444444444445</v>
      </c>
      <c r="AR26" s="28">
        <f t="shared" si="13"/>
        <v>195.5</v>
      </c>
      <c r="AS26" s="47">
        <f t="shared" si="14"/>
        <v>-364</v>
      </c>
      <c r="AT26" s="48">
        <f t="shared" si="15"/>
        <v>10.267857142857142</v>
      </c>
      <c r="AU26" s="28">
        <f t="shared" si="16"/>
        <v>24.210526315789473</v>
      </c>
      <c r="AV26" s="129">
        <f t="shared" si="17"/>
        <v>-31.111111111111111</v>
      </c>
      <c r="AW26" s="48">
        <f t="shared" si="18"/>
        <v>166.66666666666666</v>
      </c>
      <c r="AX26" s="49">
        <f t="shared" si="19"/>
        <v>-58.771616541353382</v>
      </c>
    </row>
    <row r="27" spans="1:50" ht="14.25" customHeight="1" x14ac:dyDescent="0.4">
      <c r="A27" s="12" t="s">
        <v>12</v>
      </c>
      <c r="B27" s="13">
        <v>1</v>
      </c>
      <c r="C27" s="14" t="s">
        <v>38</v>
      </c>
      <c r="D27" s="15" t="s">
        <v>89</v>
      </c>
      <c r="F27" s="15"/>
      <c r="AN27" s="27" t="s">
        <v>11</v>
      </c>
      <c r="AO27" s="28">
        <f t="shared" si="10"/>
        <v>277.5</v>
      </c>
      <c r="AP27" s="47">
        <f t="shared" si="11"/>
        <v>-204</v>
      </c>
      <c r="AQ27" s="48">
        <f t="shared" si="12"/>
        <v>27.205882352941174</v>
      </c>
      <c r="AR27" s="28">
        <f t="shared" si="13"/>
        <v>476</v>
      </c>
      <c r="AS27" s="47">
        <f t="shared" si="14"/>
        <v>-312</v>
      </c>
      <c r="AT27" s="48">
        <f t="shared" si="15"/>
        <v>29.166666666666668</v>
      </c>
      <c r="AU27" s="28">
        <f t="shared" si="16"/>
        <v>30.270270270270274</v>
      </c>
      <c r="AV27" s="129">
        <f t="shared" si="17"/>
        <v>-28.235294117647062</v>
      </c>
      <c r="AW27" s="48">
        <f t="shared" si="18"/>
        <v>150</v>
      </c>
      <c r="AX27" s="49">
        <f t="shared" si="19"/>
        <v>445.90752517223109</v>
      </c>
    </row>
    <row r="28" spans="1:50" ht="14.25" customHeight="1" x14ac:dyDescent="0.4">
      <c r="A28" s="12" t="s">
        <v>36</v>
      </c>
      <c r="B28" s="13">
        <v>1</v>
      </c>
      <c r="C28" s="14" t="s">
        <v>38</v>
      </c>
      <c r="D28" s="15" t="s">
        <v>90</v>
      </c>
      <c r="F28" s="26"/>
      <c r="G28" s="27" t="s">
        <v>14</v>
      </c>
      <c r="H28" s="33" t="s">
        <v>15</v>
      </c>
      <c r="Q28" s="27" t="s">
        <v>14</v>
      </c>
      <c r="R28" s="33" t="s">
        <v>18</v>
      </c>
      <c r="AN28" s="27" t="s">
        <v>37</v>
      </c>
      <c r="AO28" s="28">
        <f t="shared" si="10"/>
        <v>37.5</v>
      </c>
      <c r="AP28" s="47">
        <f t="shared" si="11"/>
        <v>-48</v>
      </c>
      <c r="AQ28" s="48">
        <f t="shared" si="12"/>
        <v>15.625</v>
      </c>
      <c r="AR28" s="28">
        <f t="shared" si="13"/>
        <v>59.5</v>
      </c>
      <c r="AS28" s="47">
        <f t="shared" si="14"/>
        <v>-78</v>
      </c>
      <c r="AT28" s="48">
        <f t="shared" si="15"/>
        <v>14.583333333333334</v>
      </c>
      <c r="AU28" s="28">
        <f t="shared" si="16"/>
        <v>28</v>
      </c>
      <c r="AV28" s="129">
        <f t="shared" si="17"/>
        <v>-30</v>
      </c>
      <c r="AW28" s="48">
        <f t="shared" si="18"/>
        <v>83.333333333333329</v>
      </c>
      <c r="AX28" s="49">
        <f t="shared" si="19"/>
        <v>82.541666666666657</v>
      </c>
    </row>
    <row r="29" spans="1:50" ht="14.25" customHeight="1" x14ac:dyDescent="0.4">
      <c r="A29" s="12" t="s">
        <v>38</v>
      </c>
      <c r="B29" s="13">
        <v>1</v>
      </c>
      <c r="C29" s="14" t="s">
        <v>36</v>
      </c>
      <c r="D29" s="15" t="s">
        <v>91</v>
      </c>
      <c r="F29" s="15"/>
      <c r="G29" s="27" t="s">
        <v>29</v>
      </c>
      <c r="H29" s="28">
        <f t="shared" ref="H29:H44" si="21">VLOOKUP(G29,$G$1:$P$18,2,FALSE)</f>
        <v>49</v>
      </c>
      <c r="Q29" s="27" t="s">
        <v>29</v>
      </c>
      <c r="R29" s="28">
        <f t="shared" ref="R29:R44" si="22">VLOOKUP(Q29,$G$1:$P$18,5,FALSE)</f>
        <v>67</v>
      </c>
      <c r="AN29" s="27" t="s">
        <v>40</v>
      </c>
      <c r="AO29" s="28">
        <f t="shared" si="10"/>
        <v>37.5</v>
      </c>
      <c r="AP29" s="47">
        <f t="shared" si="11"/>
        <v>-24</v>
      </c>
      <c r="AQ29" s="48">
        <f t="shared" si="12"/>
        <v>31.25</v>
      </c>
      <c r="AR29" s="28">
        <f t="shared" si="13"/>
        <v>51</v>
      </c>
      <c r="AS29" s="47">
        <f t="shared" si="14"/>
        <v>-26</v>
      </c>
      <c r="AT29" s="48">
        <f t="shared" si="15"/>
        <v>37.5</v>
      </c>
      <c r="AU29" s="28">
        <f t="shared" si="16"/>
        <v>24</v>
      </c>
      <c r="AV29" s="129">
        <f t="shared" si="17"/>
        <v>-20</v>
      </c>
      <c r="AW29" s="48">
        <f t="shared" si="18"/>
        <v>50</v>
      </c>
      <c r="AX29" s="49">
        <f t="shared" si="19"/>
        <v>161.25</v>
      </c>
    </row>
    <row r="30" spans="1:50" ht="14.25" customHeight="1" x14ac:dyDescent="0.4">
      <c r="A30" s="12" t="s">
        <v>28</v>
      </c>
      <c r="B30" s="13">
        <v>1</v>
      </c>
      <c r="C30" s="14" t="s">
        <v>36</v>
      </c>
      <c r="D30" s="15" t="s">
        <v>92</v>
      </c>
      <c r="F30" s="26"/>
      <c r="G30" s="27" t="s">
        <v>12</v>
      </c>
      <c r="H30" s="28">
        <f t="shared" si="21"/>
        <v>43</v>
      </c>
      <c r="Q30" s="27" t="s">
        <v>12</v>
      </c>
      <c r="R30" s="28">
        <f t="shared" si="22"/>
        <v>66</v>
      </c>
      <c r="AN30" s="27" t="s">
        <v>39</v>
      </c>
      <c r="AO30" s="28">
        <f t="shared" si="10"/>
        <v>82.5</v>
      </c>
      <c r="AP30" s="47">
        <f t="shared" si="11"/>
        <v>-36</v>
      </c>
      <c r="AQ30" s="48">
        <f t="shared" si="12"/>
        <v>45.833333333333329</v>
      </c>
      <c r="AR30" s="28">
        <f t="shared" si="13"/>
        <v>136</v>
      </c>
      <c r="AS30" s="47">
        <f t="shared" si="14"/>
        <v>-45.5</v>
      </c>
      <c r="AT30" s="48">
        <f t="shared" si="15"/>
        <v>57.142857142857139</v>
      </c>
      <c r="AU30" s="28">
        <f t="shared" si="16"/>
        <v>29.090909090909093</v>
      </c>
      <c r="AV30" s="129">
        <f t="shared" si="17"/>
        <v>-23.333333333333336</v>
      </c>
      <c r="AW30" s="48">
        <f t="shared" si="18"/>
        <v>83.333333333333329</v>
      </c>
      <c r="AX30" s="49">
        <f t="shared" si="19"/>
        <v>329.06709956709955</v>
      </c>
    </row>
    <row r="31" spans="1:50" ht="14.25" customHeight="1" x14ac:dyDescent="0.4">
      <c r="A31" s="12" t="s">
        <v>40</v>
      </c>
      <c r="B31" s="13">
        <v>1</v>
      </c>
      <c r="C31" s="14" t="s">
        <v>33</v>
      </c>
      <c r="D31" s="15" t="s">
        <v>93</v>
      </c>
      <c r="F31" s="26"/>
      <c r="G31" s="27" t="s">
        <v>11</v>
      </c>
      <c r="H31" s="28">
        <f t="shared" si="21"/>
        <v>37</v>
      </c>
      <c r="Q31" s="27" t="s">
        <v>11</v>
      </c>
      <c r="R31" s="28">
        <f t="shared" si="22"/>
        <v>56</v>
      </c>
      <c r="AN31" s="27" t="s">
        <v>35</v>
      </c>
      <c r="AO31" s="28">
        <f t="shared" si="10"/>
        <v>0</v>
      </c>
      <c r="AP31" s="47">
        <f t="shared" si="11"/>
        <v>-60</v>
      </c>
      <c r="AQ31" s="48">
        <f t="shared" si="12"/>
        <v>0</v>
      </c>
      <c r="AR31" s="28">
        <f t="shared" si="13"/>
        <v>0</v>
      </c>
      <c r="AS31" s="47">
        <f t="shared" si="14"/>
        <v>-117</v>
      </c>
      <c r="AT31" s="48">
        <f t="shared" si="15"/>
        <v>0</v>
      </c>
      <c r="AU31" s="28">
        <f t="shared" si="16"/>
        <v>0</v>
      </c>
      <c r="AV31" s="129">
        <f t="shared" si="17"/>
        <v>-36</v>
      </c>
      <c r="AW31" s="48">
        <f t="shared" si="18"/>
        <v>0</v>
      </c>
      <c r="AX31" s="49">
        <f t="shared" si="19"/>
        <v>-213</v>
      </c>
    </row>
    <row r="32" spans="1:50" ht="14.25" customHeight="1" x14ac:dyDescent="0.4">
      <c r="A32" s="12" t="s">
        <v>33</v>
      </c>
      <c r="B32" s="13">
        <v>1</v>
      </c>
      <c r="C32" s="14" t="s">
        <v>40</v>
      </c>
      <c r="D32" s="15" t="s">
        <v>94</v>
      </c>
      <c r="F32" s="26"/>
      <c r="G32" s="27" t="s">
        <v>32</v>
      </c>
      <c r="H32" s="28">
        <f t="shared" si="21"/>
        <v>33</v>
      </c>
      <c r="Q32" s="27" t="s">
        <v>32</v>
      </c>
      <c r="R32" s="28">
        <f t="shared" si="22"/>
        <v>43</v>
      </c>
    </row>
    <row r="33" spans="1:43" ht="14.25" customHeight="1" x14ac:dyDescent="0.4">
      <c r="A33" s="12" t="s">
        <v>34</v>
      </c>
      <c r="B33" s="13">
        <v>1</v>
      </c>
      <c r="C33" s="14" t="s">
        <v>32</v>
      </c>
      <c r="D33" s="15" t="s">
        <v>95</v>
      </c>
      <c r="F33" s="26"/>
      <c r="G33" s="27" t="s">
        <v>31</v>
      </c>
      <c r="H33" s="28">
        <f t="shared" si="21"/>
        <v>22</v>
      </c>
      <c r="Q33" s="27" t="s">
        <v>31</v>
      </c>
      <c r="R33" s="28">
        <f t="shared" si="22"/>
        <v>29</v>
      </c>
      <c r="AH33" s="53"/>
    </row>
    <row r="34" spans="1:43" ht="14.25" customHeight="1" x14ac:dyDescent="0.4">
      <c r="A34" s="12" t="s">
        <v>32</v>
      </c>
      <c r="B34" s="13">
        <v>1</v>
      </c>
      <c r="C34" s="14" t="s">
        <v>34</v>
      </c>
      <c r="D34" s="15" t="s">
        <v>96</v>
      </c>
      <c r="F34" s="26"/>
      <c r="G34" s="27" t="s">
        <v>30</v>
      </c>
      <c r="H34" s="28">
        <f t="shared" si="21"/>
        <v>19</v>
      </c>
      <c r="Q34" s="27" t="s">
        <v>36</v>
      </c>
      <c r="R34" s="28">
        <f t="shared" si="22"/>
        <v>25</v>
      </c>
      <c r="AH34" s="53"/>
    </row>
    <row r="35" spans="1:43" ht="14.25" customHeight="1" x14ac:dyDescent="0.4">
      <c r="A35" s="12" t="s">
        <v>29</v>
      </c>
      <c r="B35" s="13">
        <v>2</v>
      </c>
      <c r="C35" s="14" t="s">
        <v>31</v>
      </c>
      <c r="D35" s="15" t="s">
        <v>97</v>
      </c>
      <c r="F35" s="15"/>
      <c r="G35" s="27" t="s">
        <v>36</v>
      </c>
      <c r="H35" s="28">
        <f t="shared" si="21"/>
        <v>17</v>
      </c>
      <c r="Q35" s="27" t="s">
        <v>30</v>
      </c>
      <c r="R35" s="28">
        <f t="shared" si="22"/>
        <v>23</v>
      </c>
      <c r="AH35" s="53"/>
      <c r="AN35" s="65" t="s">
        <v>14</v>
      </c>
      <c r="AO35" s="66" t="s">
        <v>98</v>
      </c>
      <c r="AP35" s="66" t="s">
        <v>99</v>
      </c>
      <c r="AQ35" s="53"/>
    </row>
    <row r="36" spans="1:43" ht="14.25" customHeight="1" x14ac:dyDescent="0.4">
      <c r="A36" s="12" t="s">
        <v>31</v>
      </c>
      <c r="B36" s="13">
        <v>1</v>
      </c>
      <c r="C36" s="14" t="s">
        <v>29</v>
      </c>
      <c r="D36" s="15" t="s">
        <v>100</v>
      </c>
      <c r="F36" s="26"/>
      <c r="G36" s="27" t="s">
        <v>33</v>
      </c>
      <c r="H36" s="28">
        <f t="shared" si="21"/>
        <v>17</v>
      </c>
      <c r="Q36" s="27" t="s">
        <v>33</v>
      </c>
      <c r="R36" s="28">
        <f t="shared" si="22"/>
        <v>22</v>
      </c>
      <c r="AH36" s="53"/>
      <c r="AN36" s="27" t="s">
        <v>12</v>
      </c>
      <c r="AO36" s="49">
        <f t="shared" ref="AO36:AO51" si="23">VLOOKUP(AN36,$AN$13:$AX$31,11,FALSE)</f>
        <v>837.44199938873612</v>
      </c>
      <c r="AP36" s="67">
        <f t="shared" ref="AP36:AP51" si="24">AO36-$AO$51</f>
        <v>1050.4419993887361</v>
      </c>
      <c r="AQ36" s="52">
        <v>1</v>
      </c>
    </row>
    <row r="37" spans="1:43" ht="14.25" customHeight="1" x14ac:dyDescent="0.4">
      <c r="A37" s="12" t="s">
        <v>39</v>
      </c>
      <c r="B37" s="13">
        <v>2</v>
      </c>
      <c r="C37" s="14" t="s">
        <v>29</v>
      </c>
      <c r="D37" s="15" t="s">
        <v>101</v>
      </c>
      <c r="F37" s="15"/>
      <c r="G37" s="27" t="s">
        <v>34</v>
      </c>
      <c r="H37" s="28">
        <f t="shared" si="21"/>
        <v>16</v>
      </c>
      <c r="Q37" s="27" t="s">
        <v>34</v>
      </c>
      <c r="R37" s="28">
        <f t="shared" si="22"/>
        <v>22</v>
      </c>
      <c r="AH37" s="53"/>
      <c r="AN37" s="27" t="s">
        <v>29</v>
      </c>
      <c r="AO37" s="49">
        <f t="shared" si="23"/>
        <v>490.6888253835258</v>
      </c>
      <c r="AP37" s="67">
        <f t="shared" si="24"/>
        <v>703.6888253835258</v>
      </c>
      <c r="AQ37" s="52">
        <v>2</v>
      </c>
    </row>
    <row r="38" spans="1:43" ht="14.25" customHeight="1" x14ac:dyDescent="0.4">
      <c r="A38" s="12" t="s">
        <v>11</v>
      </c>
      <c r="B38" s="13">
        <v>2</v>
      </c>
      <c r="C38" s="14" t="s">
        <v>31</v>
      </c>
      <c r="D38" s="15" t="s">
        <v>102</v>
      </c>
      <c r="F38" s="26"/>
      <c r="G38" s="27" t="s">
        <v>28</v>
      </c>
      <c r="H38" s="28">
        <f t="shared" si="21"/>
        <v>15</v>
      </c>
      <c r="Q38" s="27" t="s">
        <v>28</v>
      </c>
      <c r="R38" s="28">
        <f t="shared" si="22"/>
        <v>21</v>
      </c>
      <c r="AH38" s="53"/>
      <c r="AN38" s="27" t="s">
        <v>32</v>
      </c>
      <c r="AO38" s="49">
        <f t="shared" si="23"/>
        <v>465.92184286301938</v>
      </c>
      <c r="AP38" s="67">
        <f t="shared" si="24"/>
        <v>678.92184286301938</v>
      </c>
      <c r="AQ38" s="52">
        <v>3</v>
      </c>
    </row>
    <row r="39" spans="1:43" ht="14.25" customHeight="1" x14ac:dyDescent="0.4">
      <c r="A39" s="12" t="s">
        <v>12</v>
      </c>
      <c r="B39" s="13">
        <v>2</v>
      </c>
      <c r="C39" s="14" t="s">
        <v>29</v>
      </c>
      <c r="D39" s="15" t="s">
        <v>103</v>
      </c>
      <c r="F39" s="26"/>
      <c r="G39" s="27" t="s">
        <v>39</v>
      </c>
      <c r="H39" s="28">
        <f t="shared" si="21"/>
        <v>11</v>
      </c>
      <c r="Q39" s="27" t="s">
        <v>39</v>
      </c>
      <c r="R39" s="28">
        <f t="shared" si="22"/>
        <v>16</v>
      </c>
      <c r="AH39" s="53"/>
      <c r="AN39" s="27" t="s">
        <v>11</v>
      </c>
      <c r="AO39" s="49">
        <f t="shared" si="23"/>
        <v>445.90752517223109</v>
      </c>
      <c r="AP39" s="67">
        <f t="shared" si="24"/>
        <v>658.90752517223109</v>
      </c>
      <c r="AQ39" s="52">
        <v>4</v>
      </c>
    </row>
    <row r="40" spans="1:43" ht="14.25" customHeight="1" x14ac:dyDescent="0.4">
      <c r="A40" s="12" t="s">
        <v>29</v>
      </c>
      <c r="B40" s="13">
        <v>1</v>
      </c>
      <c r="C40" s="14" t="s">
        <v>12</v>
      </c>
      <c r="D40" s="15" t="s">
        <v>104</v>
      </c>
      <c r="F40" s="26"/>
      <c r="G40" s="27" t="s">
        <v>38</v>
      </c>
      <c r="H40" s="28">
        <f t="shared" si="21"/>
        <v>10</v>
      </c>
      <c r="Q40" s="27" t="s">
        <v>38</v>
      </c>
      <c r="R40" s="28">
        <f t="shared" si="22"/>
        <v>12</v>
      </c>
      <c r="AH40" s="53"/>
      <c r="AN40" s="27" t="s">
        <v>36</v>
      </c>
      <c r="AO40" s="49">
        <f t="shared" si="23"/>
        <v>388.14093137254895</v>
      </c>
      <c r="AP40" s="67">
        <f t="shared" si="24"/>
        <v>601.14093137254895</v>
      </c>
      <c r="AQ40" s="52">
        <v>5</v>
      </c>
    </row>
    <row r="41" spans="1:43" ht="14.25" customHeight="1" x14ac:dyDescent="0.4">
      <c r="A41" s="12" t="s">
        <v>12</v>
      </c>
      <c r="B41" s="13">
        <v>2</v>
      </c>
      <c r="C41" s="14" t="s">
        <v>35</v>
      </c>
      <c r="D41" s="15" t="s">
        <v>105</v>
      </c>
      <c r="F41" s="15"/>
      <c r="G41" s="27" t="s">
        <v>40</v>
      </c>
      <c r="H41" s="28">
        <f t="shared" si="21"/>
        <v>5</v>
      </c>
      <c r="Q41" s="27" t="s">
        <v>37</v>
      </c>
      <c r="R41" s="28">
        <f t="shared" si="22"/>
        <v>7</v>
      </c>
      <c r="AH41" s="53"/>
      <c r="AN41" s="27" t="s">
        <v>39</v>
      </c>
      <c r="AO41" s="49">
        <f t="shared" si="23"/>
        <v>329.06709956709955</v>
      </c>
      <c r="AP41" s="67">
        <f t="shared" si="24"/>
        <v>542.0670995670996</v>
      </c>
      <c r="AQ41" s="52">
        <v>6</v>
      </c>
    </row>
    <row r="42" spans="1:43" ht="14.25" customHeight="1" x14ac:dyDescent="0.4">
      <c r="A42" s="12" t="s">
        <v>29</v>
      </c>
      <c r="B42" s="13">
        <v>2</v>
      </c>
      <c r="C42" s="14" t="s">
        <v>35</v>
      </c>
      <c r="D42" s="15" t="s">
        <v>106</v>
      </c>
      <c r="F42" s="26"/>
      <c r="G42" s="27" t="s">
        <v>37</v>
      </c>
      <c r="H42" s="28">
        <f t="shared" si="21"/>
        <v>5</v>
      </c>
      <c r="Q42" s="27" t="s">
        <v>40</v>
      </c>
      <c r="R42" s="28">
        <f t="shared" si="22"/>
        <v>6</v>
      </c>
      <c r="AH42" s="53"/>
      <c r="AN42" s="27" t="s">
        <v>28</v>
      </c>
      <c r="AO42" s="49">
        <f t="shared" si="23"/>
        <v>312.79761904761904</v>
      </c>
      <c r="AP42" s="67">
        <f t="shared" si="24"/>
        <v>525.79761904761904</v>
      </c>
      <c r="AQ42" s="52">
        <v>7</v>
      </c>
    </row>
    <row r="43" spans="1:43" ht="14.25" customHeight="1" x14ac:dyDescent="0.4">
      <c r="A43" s="12" t="s">
        <v>12</v>
      </c>
      <c r="B43" s="13">
        <v>2</v>
      </c>
      <c r="C43" s="14" t="s">
        <v>29</v>
      </c>
      <c r="D43" s="15" t="s">
        <v>107</v>
      </c>
      <c r="F43" s="26"/>
      <c r="G43" s="27" t="s">
        <v>41</v>
      </c>
      <c r="H43" s="28">
        <f t="shared" si="21"/>
        <v>2</v>
      </c>
      <c r="Q43" s="27" t="s">
        <v>41</v>
      </c>
      <c r="R43" s="28">
        <f t="shared" si="22"/>
        <v>2</v>
      </c>
      <c r="AH43" s="53"/>
      <c r="AN43" s="27" t="s">
        <v>38</v>
      </c>
      <c r="AO43" s="49">
        <f t="shared" si="23"/>
        <v>253.25</v>
      </c>
      <c r="AP43" s="67">
        <f t="shared" si="24"/>
        <v>466.25</v>
      </c>
      <c r="AQ43" s="52">
        <v>8</v>
      </c>
    </row>
    <row r="44" spans="1:43" ht="14.25" customHeight="1" x14ac:dyDescent="0.4">
      <c r="A44" s="12" t="s">
        <v>12</v>
      </c>
      <c r="B44" s="13">
        <v>2</v>
      </c>
      <c r="C44" s="14" t="s">
        <v>35</v>
      </c>
      <c r="D44" s="15" t="s">
        <v>108</v>
      </c>
      <c r="F44" s="26"/>
      <c r="G44" s="27" t="s">
        <v>35</v>
      </c>
      <c r="H44" s="28">
        <f t="shared" si="21"/>
        <v>0</v>
      </c>
      <c r="Q44" s="27" t="s">
        <v>35</v>
      </c>
      <c r="R44" s="28">
        <f t="shared" si="22"/>
        <v>0</v>
      </c>
      <c r="AH44" s="53"/>
      <c r="AN44" s="27" t="s">
        <v>31</v>
      </c>
      <c r="AO44" s="49">
        <f t="shared" si="23"/>
        <v>209.35823095823096</v>
      </c>
      <c r="AP44" s="67">
        <f t="shared" si="24"/>
        <v>422.35823095823093</v>
      </c>
      <c r="AQ44" s="52">
        <v>9</v>
      </c>
    </row>
    <row r="45" spans="1:43" ht="14.25" customHeight="1" x14ac:dyDescent="0.4">
      <c r="A45" s="12" t="s">
        <v>28</v>
      </c>
      <c r="B45" s="13">
        <v>1</v>
      </c>
      <c r="C45" s="14" t="s">
        <v>37</v>
      </c>
      <c r="D45" s="15" t="s">
        <v>109</v>
      </c>
      <c r="F45" s="15"/>
      <c r="AH45" s="53"/>
      <c r="AN45" s="27" t="s">
        <v>34</v>
      </c>
      <c r="AO45" s="49">
        <f t="shared" si="23"/>
        <v>174.66861598440545</v>
      </c>
      <c r="AP45" s="67">
        <f t="shared" si="24"/>
        <v>387.66861598440545</v>
      </c>
      <c r="AQ45" s="52">
        <v>10</v>
      </c>
    </row>
    <row r="46" spans="1:43" ht="14.25" customHeight="1" x14ac:dyDescent="0.4">
      <c r="A46" s="12" t="s">
        <v>37</v>
      </c>
      <c r="B46" s="13">
        <v>1</v>
      </c>
      <c r="C46" s="14" t="s">
        <v>28</v>
      </c>
      <c r="D46" s="15" t="s">
        <v>110</v>
      </c>
      <c r="E46" s="52">
        <v>0</v>
      </c>
      <c r="F46" s="26"/>
      <c r="G46" s="27" t="s">
        <v>14</v>
      </c>
      <c r="H46" s="33" t="s">
        <v>16</v>
      </c>
      <c r="Q46" s="27" t="s">
        <v>14</v>
      </c>
      <c r="R46" s="33" t="s">
        <v>19</v>
      </c>
      <c r="AN46" s="27" t="s">
        <v>33</v>
      </c>
      <c r="AO46" s="49">
        <f t="shared" si="23"/>
        <v>166.53386809269159</v>
      </c>
      <c r="AP46" s="67">
        <f t="shared" si="24"/>
        <v>379.53386809269159</v>
      </c>
      <c r="AQ46" s="52">
        <v>11</v>
      </c>
    </row>
    <row r="47" spans="1:43" ht="14.25" customHeight="1" x14ac:dyDescent="0.4">
      <c r="A47" s="12" t="s">
        <v>36</v>
      </c>
      <c r="B47" s="13">
        <v>1</v>
      </c>
      <c r="C47" s="14" t="s">
        <v>28</v>
      </c>
      <c r="D47" s="15" t="s">
        <v>111</v>
      </c>
      <c r="E47" s="52">
        <v>1</v>
      </c>
      <c r="F47" s="26"/>
      <c r="G47" s="27" t="s">
        <v>29</v>
      </c>
      <c r="H47" s="28">
        <f t="shared" ref="H47:H62" si="25">VLOOKUP(G47,$G$1:$P$18,3,FALSE)</f>
        <v>44</v>
      </c>
      <c r="Q47" s="27" t="s">
        <v>29</v>
      </c>
      <c r="R47" s="28">
        <f t="shared" ref="R47:R62" si="26">VLOOKUP(Q47,$G$1:$P$18,6,FALSE)</f>
        <v>62</v>
      </c>
      <c r="AN47" s="27" t="s">
        <v>40</v>
      </c>
      <c r="AO47" s="49">
        <f t="shared" si="23"/>
        <v>161.25</v>
      </c>
      <c r="AP47" s="67">
        <f t="shared" si="24"/>
        <v>374.25</v>
      </c>
      <c r="AQ47" s="52">
        <v>12</v>
      </c>
    </row>
    <row r="48" spans="1:43" ht="14.25" customHeight="1" x14ac:dyDescent="0.4">
      <c r="A48" s="12" t="s">
        <v>28</v>
      </c>
      <c r="B48" s="13">
        <v>1</v>
      </c>
      <c r="C48" s="14" t="s">
        <v>36</v>
      </c>
      <c r="D48" s="15" t="s">
        <v>112</v>
      </c>
      <c r="F48" s="26"/>
      <c r="G48" s="27" t="s">
        <v>30</v>
      </c>
      <c r="H48" s="28">
        <f t="shared" si="25"/>
        <v>36</v>
      </c>
      <c r="Q48" s="27" t="s">
        <v>30</v>
      </c>
      <c r="R48" s="28">
        <f t="shared" si="26"/>
        <v>56</v>
      </c>
      <c r="AN48" s="27" t="s">
        <v>37</v>
      </c>
      <c r="AO48" s="49">
        <f t="shared" si="23"/>
        <v>82.541666666666657</v>
      </c>
      <c r="AP48" s="67">
        <f t="shared" si="24"/>
        <v>295.54166666666663</v>
      </c>
      <c r="AQ48" s="52">
        <v>13</v>
      </c>
    </row>
    <row r="49" spans="1:49" ht="14.25" customHeight="1" x14ac:dyDescent="0.4">
      <c r="A49" s="12" t="s">
        <v>12</v>
      </c>
      <c r="B49" s="13">
        <v>1</v>
      </c>
      <c r="C49" s="14" t="s">
        <v>33</v>
      </c>
      <c r="D49" s="15" t="s">
        <v>113</v>
      </c>
      <c r="F49" s="26"/>
      <c r="G49" s="27" t="s">
        <v>11</v>
      </c>
      <c r="H49" s="28">
        <f t="shared" si="25"/>
        <v>34</v>
      </c>
      <c r="Q49" s="27" t="s">
        <v>11</v>
      </c>
      <c r="R49" s="28">
        <f t="shared" si="26"/>
        <v>48</v>
      </c>
      <c r="AN49" s="27" t="s">
        <v>41</v>
      </c>
      <c r="AO49" s="49">
        <f t="shared" si="23"/>
        <v>61.166666666666664</v>
      </c>
      <c r="AP49" s="67">
        <f t="shared" si="24"/>
        <v>274.16666666666669</v>
      </c>
      <c r="AQ49" s="52">
        <v>14</v>
      </c>
    </row>
    <row r="50" spans="1:49" ht="14.25" customHeight="1" x14ac:dyDescent="0.4">
      <c r="A50" s="12" t="s">
        <v>33</v>
      </c>
      <c r="B50" s="13">
        <v>1</v>
      </c>
      <c r="C50" s="14" t="s">
        <v>12</v>
      </c>
      <c r="D50" s="15" t="s">
        <v>114</v>
      </c>
      <c r="F50" s="26"/>
      <c r="G50" s="27" t="s">
        <v>12</v>
      </c>
      <c r="H50" s="28">
        <f t="shared" si="25"/>
        <v>27</v>
      </c>
      <c r="Q50" s="27" t="s">
        <v>31</v>
      </c>
      <c r="R50" s="28">
        <f t="shared" si="26"/>
        <v>37</v>
      </c>
      <c r="AN50" s="27" t="s">
        <v>30</v>
      </c>
      <c r="AO50" s="49">
        <f t="shared" si="23"/>
        <v>-58.771616541353382</v>
      </c>
      <c r="AP50" s="67">
        <f t="shared" si="24"/>
        <v>154.22838345864662</v>
      </c>
      <c r="AQ50" s="52">
        <v>15</v>
      </c>
    </row>
    <row r="51" spans="1:49" ht="14.25" customHeight="1" x14ac:dyDescent="0.4">
      <c r="A51" s="12" t="s">
        <v>32</v>
      </c>
      <c r="B51" s="13">
        <v>2</v>
      </c>
      <c r="C51" s="14" t="s">
        <v>29</v>
      </c>
      <c r="D51" s="15" t="s">
        <v>115</v>
      </c>
      <c r="F51" s="26"/>
      <c r="G51" s="27" t="s">
        <v>32</v>
      </c>
      <c r="H51" s="28">
        <f t="shared" si="25"/>
        <v>26</v>
      </c>
      <c r="Q51" s="27" t="s">
        <v>32</v>
      </c>
      <c r="R51" s="28">
        <f t="shared" si="26"/>
        <v>34</v>
      </c>
      <c r="AN51" s="27" t="s">
        <v>35</v>
      </c>
      <c r="AO51" s="49">
        <f t="shared" si="23"/>
        <v>-213</v>
      </c>
      <c r="AP51" s="67">
        <f t="shared" si="24"/>
        <v>0</v>
      </c>
      <c r="AQ51" s="52">
        <v>16</v>
      </c>
    </row>
    <row r="52" spans="1:49" ht="14.25" customHeight="1" x14ac:dyDescent="0.4">
      <c r="A52" s="12" t="s">
        <v>40</v>
      </c>
      <c r="B52" s="13">
        <v>1</v>
      </c>
      <c r="C52" s="14" t="s">
        <v>33</v>
      </c>
      <c r="D52" s="15" t="s">
        <v>116</v>
      </c>
      <c r="F52" s="26"/>
      <c r="G52" s="27" t="s">
        <v>31</v>
      </c>
      <c r="H52" s="28">
        <f t="shared" si="25"/>
        <v>25</v>
      </c>
      <c r="Q52" s="27" t="s">
        <v>33</v>
      </c>
      <c r="R52" s="28">
        <f t="shared" si="26"/>
        <v>33</v>
      </c>
    </row>
    <row r="53" spans="1:49" ht="14.25" customHeight="1" x14ac:dyDescent="0.4">
      <c r="A53" s="12" t="s">
        <v>29</v>
      </c>
      <c r="B53" s="13">
        <v>1</v>
      </c>
      <c r="C53" s="14" t="s">
        <v>11</v>
      </c>
      <c r="D53" s="15" t="s">
        <v>117</v>
      </c>
      <c r="F53" s="26"/>
      <c r="G53" s="27" t="s">
        <v>33</v>
      </c>
      <c r="H53" s="28">
        <f t="shared" si="25"/>
        <v>22</v>
      </c>
      <c r="Q53" s="27" t="s">
        <v>12</v>
      </c>
      <c r="R53" s="28">
        <f t="shared" si="26"/>
        <v>31</v>
      </c>
    </row>
    <row r="54" spans="1:49" ht="14.25" customHeight="1" x14ac:dyDescent="0.4">
      <c r="A54" s="12" t="s">
        <v>11</v>
      </c>
      <c r="B54" s="13">
        <v>1</v>
      </c>
      <c r="C54" s="14" t="s">
        <v>29</v>
      </c>
      <c r="D54" s="15" t="s">
        <v>118</v>
      </c>
      <c r="F54" s="26"/>
      <c r="G54" s="27" t="s">
        <v>34</v>
      </c>
      <c r="H54" s="28">
        <f t="shared" si="25"/>
        <v>19</v>
      </c>
      <c r="Q54" s="27" t="s">
        <v>34</v>
      </c>
      <c r="R54" s="28">
        <f t="shared" si="26"/>
        <v>27</v>
      </c>
    </row>
    <row r="55" spans="1:49" ht="14.25" customHeight="1" x14ac:dyDescent="0.4">
      <c r="A55" s="12" t="s">
        <v>12</v>
      </c>
      <c r="B55" s="13">
        <v>1</v>
      </c>
      <c r="C55" s="14" t="s">
        <v>34</v>
      </c>
      <c r="D55" s="15" t="s">
        <v>119</v>
      </c>
      <c r="F55" s="26"/>
      <c r="G55" s="27" t="s">
        <v>36</v>
      </c>
      <c r="H55" s="28">
        <f t="shared" si="25"/>
        <v>15</v>
      </c>
      <c r="Q55" s="27" t="s">
        <v>28</v>
      </c>
      <c r="R55" s="28">
        <f t="shared" si="26"/>
        <v>20</v>
      </c>
      <c r="AN55" s="53"/>
      <c r="AO55" s="53"/>
      <c r="AP55" s="53"/>
    </row>
    <row r="56" spans="1:49" ht="14.25" customHeight="1" x14ac:dyDescent="0.4">
      <c r="A56" s="12" t="s">
        <v>34</v>
      </c>
      <c r="B56" s="13">
        <v>1</v>
      </c>
      <c r="C56" s="14" t="s">
        <v>12</v>
      </c>
      <c r="D56" s="15" t="s">
        <v>120</v>
      </c>
      <c r="F56" s="26"/>
      <c r="G56" s="27" t="s">
        <v>28</v>
      </c>
      <c r="H56" s="28">
        <f t="shared" si="25"/>
        <v>14</v>
      </c>
      <c r="Q56" s="27" t="s">
        <v>35</v>
      </c>
      <c r="R56" s="28">
        <f t="shared" si="26"/>
        <v>18</v>
      </c>
      <c r="AN56" s="131" t="s">
        <v>121</v>
      </c>
      <c r="AO56" s="132"/>
      <c r="AP56" s="132"/>
      <c r="AQ56" s="132"/>
      <c r="AR56" s="132"/>
      <c r="AS56" s="132"/>
      <c r="AT56" s="132"/>
      <c r="AU56" s="132"/>
      <c r="AV56" s="133"/>
    </row>
    <row r="57" spans="1:49" ht="14.25" customHeight="1" x14ac:dyDescent="0.4">
      <c r="A57" s="12" t="s">
        <v>29</v>
      </c>
      <c r="B57" s="13">
        <v>2</v>
      </c>
      <c r="C57" s="14" t="s">
        <v>31</v>
      </c>
      <c r="D57" s="15" t="s">
        <v>122</v>
      </c>
      <c r="F57" s="26"/>
      <c r="G57" s="27" t="s">
        <v>35</v>
      </c>
      <c r="H57" s="28">
        <f t="shared" si="25"/>
        <v>10</v>
      </c>
      <c r="Q57" s="27" t="s">
        <v>36</v>
      </c>
      <c r="R57" s="28">
        <f t="shared" si="26"/>
        <v>16</v>
      </c>
      <c r="AN57" s="68" t="s">
        <v>123</v>
      </c>
      <c r="AO57" s="69" t="s">
        <v>15</v>
      </c>
      <c r="AP57" s="69" t="s">
        <v>16</v>
      </c>
      <c r="AQ57" s="69" t="s">
        <v>17</v>
      </c>
      <c r="AR57" s="69" t="s">
        <v>18</v>
      </c>
      <c r="AS57" s="69" t="s">
        <v>19</v>
      </c>
      <c r="AT57" s="69" t="s">
        <v>20</v>
      </c>
      <c r="AU57" s="69" t="s">
        <v>21</v>
      </c>
      <c r="AV57" s="69" t="s">
        <v>22</v>
      </c>
    </row>
    <row r="58" spans="1:49" ht="14.25" customHeight="1" x14ac:dyDescent="0.4">
      <c r="A58" s="12" t="s">
        <v>28</v>
      </c>
      <c r="B58" s="13">
        <v>2</v>
      </c>
      <c r="C58" s="14" t="s">
        <v>34</v>
      </c>
      <c r="D58" s="15" t="s">
        <v>124</v>
      </c>
      <c r="F58" s="26"/>
      <c r="G58" s="27" t="s">
        <v>38</v>
      </c>
      <c r="H58" s="28">
        <f t="shared" si="25"/>
        <v>8</v>
      </c>
      <c r="Q58" s="27" t="s">
        <v>37</v>
      </c>
      <c r="R58" s="28">
        <f t="shared" si="26"/>
        <v>12</v>
      </c>
      <c r="AN58" s="27" t="s">
        <v>65</v>
      </c>
      <c r="AO58" s="43">
        <v>7.5</v>
      </c>
      <c r="AP58" s="44">
        <v>-6</v>
      </c>
      <c r="AQ58" s="44">
        <v>25</v>
      </c>
      <c r="AR58" s="44">
        <v>8.5</v>
      </c>
      <c r="AS58" s="44">
        <v>-6.5</v>
      </c>
      <c r="AT58" s="44">
        <v>25</v>
      </c>
      <c r="AU58" s="44">
        <v>20</v>
      </c>
      <c r="AV58" s="44">
        <v>-20</v>
      </c>
      <c r="AW58" s="33" t="s">
        <v>66</v>
      </c>
    </row>
    <row r="59" spans="1:49" ht="14.25" customHeight="1" x14ac:dyDescent="0.4">
      <c r="A59" s="12" t="s">
        <v>12</v>
      </c>
      <c r="B59" s="13">
        <v>1</v>
      </c>
      <c r="C59" s="14" t="s">
        <v>11</v>
      </c>
      <c r="D59" s="15" t="s">
        <v>125</v>
      </c>
      <c r="F59" s="26"/>
      <c r="G59" s="27" t="s">
        <v>37</v>
      </c>
      <c r="H59" s="28">
        <f t="shared" si="25"/>
        <v>8</v>
      </c>
      <c r="Q59" s="27" t="s">
        <v>38</v>
      </c>
      <c r="R59" s="28">
        <f t="shared" si="26"/>
        <v>9</v>
      </c>
      <c r="AN59" s="41" t="s">
        <v>76</v>
      </c>
      <c r="AO59" s="29">
        <f>H22*$AO$58</f>
        <v>151.875</v>
      </c>
      <c r="AP59" s="29">
        <f>I22*$AP$58</f>
        <v>-121.5</v>
      </c>
      <c r="AQ59" s="29">
        <f>J22*$AQ$58</f>
        <v>25</v>
      </c>
      <c r="AR59" s="29">
        <f>K22*$AR$58</f>
        <v>229.5</v>
      </c>
      <c r="AS59" s="29">
        <f>L22*$AS$58</f>
        <v>-185.25</v>
      </c>
      <c r="AT59" s="29">
        <f>M22*$AT$58</f>
        <v>23.684210526315788</v>
      </c>
      <c r="AU59" s="29">
        <f>N22*$AU$58</f>
        <v>26.666666666666664</v>
      </c>
      <c r="AV59" s="29">
        <f>O22*$AV$58</f>
        <v>-28.148148148148149</v>
      </c>
      <c r="AW59" s="29">
        <f>SUM(AO59:AV59)</f>
        <v>121.82772904483429</v>
      </c>
    </row>
    <row r="60" spans="1:49" ht="14.25" customHeight="1" x14ac:dyDescent="0.4">
      <c r="A60" s="12" t="s">
        <v>11</v>
      </c>
      <c r="B60" s="13">
        <v>1</v>
      </c>
      <c r="C60" s="14" t="s">
        <v>12</v>
      </c>
      <c r="D60" s="15" t="s">
        <v>126</v>
      </c>
      <c r="F60" s="26"/>
      <c r="G60" s="27" t="s">
        <v>39</v>
      </c>
      <c r="H60" s="28">
        <f t="shared" si="25"/>
        <v>6</v>
      </c>
      <c r="Q60" s="27" t="s">
        <v>39</v>
      </c>
      <c r="R60" s="28">
        <f t="shared" si="26"/>
        <v>7</v>
      </c>
      <c r="AN60" s="27" t="s">
        <v>77</v>
      </c>
      <c r="AO60" s="29">
        <f>H23*$AO$58</f>
        <v>155.625</v>
      </c>
      <c r="AP60" s="29">
        <f>I23*$AP$58</f>
        <v>-120</v>
      </c>
      <c r="AQ60" s="29">
        <f>J23*$AQ$58</f>
        <v>25.937500000000004</v>
      </c>
      <c r="AR60" s="29">
        <f>K23*$AR$58</f>
        <v>233.75</v>
      </c>
      <c r="AS60" s="29">
        <f>L23*$AS$58</f>
        <v>-180.375</v>
      </c>
      <c r="AT60" s="29">
        <f>M23*$AT$58</f>
        <v>24.774774774774773</v>
      </c>
      <c r="AU60" s="29">
        <f>N23*$AU$58</f>
        <v>26.506024096385545</v>
      </c>
      <c r="AV60" s="29">
        <f>O23*$AV$58</f>
        <v>-27.75</v>
      </c>
      <c r="AW60" s="29">
        <f>SUM(AO60:AV60)</f>
        <v>138.46829887116033</v>
      </c>
    </row>
    <row r="61" spans="1:49" ht="14.25" customHeight="1" x14ac:dyDescent="0.4">
      <c r="A61" s="12" t="s">
        <v>11</v>
      </c>
      <c r="B61" s="13">
        <v>2</v>
      </c>
      <c r="C61" s="14" t="s">
        <v>30</v>
      </c>
      <c r="D61" s="15" t="s">
        <v>127</v>
      </c>
      <c r="F61" s="15"/>
      <c r="G61" s="27" t="s">
        <v>40</v>
      </c>
      <c r="H61" s="28">
        <f t="shared" si="25"/>
        <v>4</v>
      </c>
      <c r="Q61" s="27" t="s">
        <v>40</v>
      </c>
      <c r="R61" s="28">
        <f t="shared" si="26"/>
        <v>4</v>
      </c>
      <c r="AN61" s="27" t="s">
        <v>79</v>
      </c>
      <c r="AO61" s="29">
        <f>H24*$AO$58</f>
        <v>217.5</v>
      </c>
      <c r="AP61" s="29">
        <f>I24*$AP$58</f>
        <v>-168</v>
      </c>
      <c r="AQ61" s="29">
        <f>J24*$AQ$58</f>
        <v>25.892857142857146</v>
      </c>
      <c r="AR61" s="29">
        <f>K24*$AR$58</f>
        <v>361.25</v>
      </c>
      <c r="AS61" s="29">
        <f>L24*$AS$58</f>
        <v>-245.375</v>
      </c>
      <c r="AT61" s="29">
        <f>M24*$AT$58</f>
        <v>28.14569536423841</v>
      </c>
      <c r="AU61" s="29">
        <f>N24*$AU$58</f>
        <v>29.310344827586206</v>
      </c>
      <c r="AV61" s="29">
        <f>O24*$AV$58</f>
        <v>-26.964285714285715</v>
      </c>
      <c r="AW61" s="29">
        <f>SUM(AO61:AV61)</f>
        <v>221.75961162039602</v>
      </c>
    </row>
    <row r="62" spans="1:49" ht="14.25" customHeight="1" x14ac:dyDescent="0.4">
      <c r="A62" s="12" t="s">
        <v>29</v>
      </c>
      <c r="B62" s="13">
        <v>2</v>
      </c>
      <c r="C62" s="14" t="s">
        <v>30</v>
      </c>
      <c r="D62" s="15" t="s">
        <v>128</v>
      </c>
      <c r="F62" s="26"/>
      <c r="G62" s="27" t="s">
        <v>41</v>
      </c>
      <c r="H62" s="28">
        <f t="shared" si="25"/>
        <v>3</v>
      </c>
      <c r="Q62" s="27" t="s">
        <v>41</v>
      </c>
      <c r="R62" s="28">
        <f t="shared" si="26"/>
        <v>3</v>
      </c>
      <c r="AN62" s="27" t="s">
        <v>86</v>
      </c>
      <c r="AO62" s="29">
        <f>H25*$AO$58</f>
        <v>41.25</v>
      </c>
      <c r="AP62" s="29">
        <f>I25*$AP$58</f>
        <v>-48</v>
      </c>
      <c r="AQ62" s="29">
        <f>J25*$AQ$58</f>
        <v>17.1875</v>
      </c>
      <c r="AR62" s="29">
        <f>K25*$AR$58</f>
        <v>68</v>
      </c>
      <c r="AS62" s="29">
        <f>L25*$AS$58</f>
        <v>-81.25</v>
      </c>
      <c r="AT62" s="29">
        <f>M25*$AT$58</f>
        <v>16</v>
      </c>
      <c r="AU62" s="29">
        <f>N25*$AU$58</f>
        <v>29.090909090909093</v>
      </c>
      <c r="AV62" s="29">
        <f>O25*$AV$58</f>
        <v>-31.25</v>
      </c>
      <c r="AW62" s="29">
        <f>SUM(AO62:AV62)</f>
        <v>11.028409090909093</v>
      </c>
    </row>
    <row r="63" spans="1:49" ht="14.25" customHeight="1" x14ac:dyDescent="0.4">
      <c r="A63" s="12" t="s">
        <v>12</v>
      </c>
      <c r="B63" s="13">
        <v>2</v>
      </c>
      <c r="C63" s="14" t="s">
        <v>35</v>
      </c>
      <c r="D63" s="15" t="s">
        <v>129</v>
      </c>
      <c r="F63" s="26"/>
      <c r="AN63" s="64" t="s">
        <v>88</v>
      </c>
      <c r="AO63" s="29">
        <f>H26*$AO$58</f>
        <v>82.5</v>
      </c>
      <c r="AP63" s="29">
        <f>I26*$AP$58</f>
        <v>-36</v>
      </c>
      <c r="AQ63" s="29">
        <f>J26*$AQ$58</f>
        <v>45.833333333333329</v>
      </c>
      <c r="AR63" s="29">
        <f>K26*$AR$58</f>
        <v>136</v>
      </c>
      <c r="AS63" s="29">
        <f>L26*$AS$58</f>
        <v>-45.5</v>
      </c>
      <c r="AT63" s="29">
        <f>M26*$AT$58</f>
        <v>57.142857142857139</v>
      </c>
      <c r="AU63" s="29">
        <f>N26*$AU$58</f>
        <v>29.090909090909093</v>
      </c>
      <c r="AV63" s="29">
        <f>O26*$AV$58</f>
        <v>-23.333333333333336</v>
      </c>
      <c r="AW63" s="29">
        <f>SUM(AO63:AV63)</f>
        <v>245.7337662337662</v>
      </c>
    </row>
    <row r="64" spans="1:49" ht="14.25" customHeight="1" x14ac:dyDescent="0.4">
      <c r="A64" s="12" t="s">
        <v>29</v>
      </c>
      <c r="B64" s="13">
        <v>1</v>
      </c>
      <c r="C64" s="14" t="s">
        <v>11</v>
      </c>
      <c r="D64" s="15" t="s">
        <v>130</v>
      </c>
      <c r="F64" s="26"/>
      <c r="G64" s="27" t="s">
        <v>14</v>
      </c>
      <c r="H64" s="33" t="s">
        <v>17</v>
      </c>
      <c r="Q64" s="27" t="s">
        <v>14</v>
      </c>
      <c r="R64" s="33" t="s">
        <v>20</v>
      </c>
    </row>
    <row r="65" spans="1:42" ht="14.25" customHeight="1" x14ac:dyDescent="0.4">
      <c r="A65" s="12" t="s">
        <v>11</v>
      </c>
      <c r="B65" s="13">
        <v>1</v>
      </c>
      <c r="C65" s="14" t="s">
        <v>29</v>
      </c>
      <c r="D65" s="15" t="s">
        <v>131</v>
      </c>
      <c r="F65" s="26"/>
      <c r="G65" s="27" t="s">
        <v>39</v>
      </c>
      <c r="H65" s="29">
        <f t="shared" ref="H65:H80" si="27">VLOOKUP(G65,$G$1:$P$18,4,FALSE)</f>
        <v>1.8333333333333333</v>
      </c>
      <c r="Q65" s="27" t="s">
        <v>39</v>
      </c>
      <c r="R65" s="29">
        <f t="shared" ref="R65:R80" si="28">VLOOKUP(Q65,$G$1:$P$18,7,FALSE)</f>
        <v>2.2857142857142856</v>
      </c>
      <c r="AN65" s="65" t="s">
        <v>10</v>
      </c>
      <c r="AO65" s="66" t="s">
        <v>98</v>
      </c>
      <c r="AP65" s="66" t="s">
        <v>99</v>
      </c>
    </row>
    <row r="66" spans="1:42" ht="14.25" customHeight="1" x14ac:dyDescent="0.4">
      <c r="A66" s="12" t="s">
        <v>11</v>
      </c>
      <c r="B66" s="13">
        <v>2</v>
      </c>
      <c r="C66" s="14" t="s">
        <v>32</v>
      </c>
      <c r="D66" s="15" t="s">
        <v>132</v>
      </c>
      <c r="F66" s="26"/>
      <c r="G66" s="27" t="s">
        <v>12</v>
      </c>
      <c r="H66" s="29">
        <f t="shared" si="27"/>
        <v>1.5925925925925926</v>
      </c>
      <c r="Q66" s="27" t="s">
        <v>12</v>
      </c>
      <c r="R66" s="29">
        <f t="shared" si="28"/>
        <v>2.129032258064516</v>
      </c>
      <c r="AN66" s="70" t="s">
        <v>88</v>
      </c>
      <c r="AO66" s="67">
        <f>$AW$63</f>
        <v>245.7337662337662</v>
      </c>
      <c r="AP66" s="67">
        <f>AO66-($AO$70)</f>
        <v>234.70535714285711</v>
      </c>
    </row>
    <row r="67" spans="1:42" ht="14.25" customHeight="1" x14ac:dyDescent="0.4">
      <c r="A67" s="12" t="s">
        <v>32</v>
      </c>
      <c r="B67" s="13">
        <v>1</v>
      </c>
      <c r="C67" s="14" t="s">
        <v>11</v>
      </c>
      <c r="D67" s="15" t="s">
        <v>133</v>
      </c>
      <c r="F67" s="26"/>
      <c r="G67" s="27" t="s">
        <v>32</v>
      </c>
      <c r="H67" s="29">
        <f t="shared" si="27"/>
        <v>1.2692307692307692</v>
      </c>
      <c r="Q67" s="27" t="s">
        <v>36</v>
      </c>
      <c r="R67" s="29">
        <f t="shared" si="28"/>
        <v>1.5625</v>
      </c>
      <c r="AN67" s="27" t="s">
        <v>79</v>
      </c>
      <c r="AO67" s="67">
        <f>$AW$61</f>
        <v>221.75961162039602</v>
      </c>
      <c r="AP67" s="67">
        <f>AO67-($AO$70)</f>
        <v>210.73120252948692</v>
      </c>
    </row>
    <row r="68" spans="1:42" ht="14.25" customHeight="1" x14ac:dyDescent="0.4">
      <c r="A68" s="12" t="s">
        <v>11</v>
      </c>
      <c r="B68" s="13">
        <v>2</v>
      </c>
      <c r="C68" s="14" t="s">
        <v>12</v>
      </c>
      <c r="D68" s="15" t="s">
        <v>134</v>
      </c>
      <c r="F68" s="26"/>
      <c r="G68" s="27" t="s">
        <v>40</v>
      </c>
      <c r="H68" s="29">
        <f t="shared" si="27"/>
        <v>1.25</v>
      </c>
      <c r="Q68" s="27" t="s">
        <v>40</v>
      </c>
      <c r="R68" s="29">
        <f t="shared" si="28"/>
        <v>1.5</v>
      </c>
      <c r="AN68" s="27" t="s">
        <v>77</v>
      </c>
      <c r="AO68" s="67">
        <f>$AW$60</f>
        <v>138.46829887116033</v>
      </c>
      <c r="AP68" s="67">
        <f>AO68-($AO$70)</f>
        <v>127.43988978025124</v>
      </c>
    </row>
    <row r="69" spans="1:42" ht="14.25" customHeight="1" x14ac:dyDescent="0.4">
      <c r="A69" s="12" t="s">
        <v>12</v>
      </c>
      <c r="B69" s="13">
        <v>1</v>
      </c>
      <c r="C69" s="14" t="s">
        <v>11</v>
      </c>
      <c r="D69" s="15" t="s">
        <v>135</v>
      </c>
      <c r="F69" s="26"/>
      <c r="G69" s="27" t="s">
        <v>38</v>
      </c>
      <c r="H69" s="29">
        <f t="shared" si="27"/>
        <v>1.25</v>
      </c>
      <c r="Q69" s="27" t="s">
        <v>38</v>
      </c>
      <c r="R69" s="29">
        <f t="shared" si="28"/>
        <v>1.3333333333333333</v>
      </c>
      <c r="AN69" s="27" t="s">
        <v>76</v>
      </c>
      <c r="AO69" s="71">
        <f>$AW$59</f>
        <v>121.82772904483429</v>
      </c>
      <c r="AP69" s="67">
        <f>AO69-($AO$70)</f>
        <v>110.79931995392519</v>
      </c>
    </row>
    <row r="70" spans="1:42" ht="14.25" customHeight="1" x14ac:dyDescent="0.4">
      <c r="A70" s="12" t="s">
        <v>32</v>
      </c>
      <c r="B70" s="13">
        <v>2</v>
      </c>
      <c r="C70" s="14" t="s">
        <v>12</v>
      </c>
      <c r="D70" s="15" t="s">
        <v>136</v>
      </c>
      <c r="F70" s="26"/>
      <c r="G70" s="27" t="s">
        <v>36</v>
      </c>
      <c r="H70" s="29">
        <f t="shared" si="27"/>
        <v>1.1333333333333333</v>
      </c>
      <c r="Q70" s="27" t="s">
        <v>32</v>
      </c>
      <c r="R70" s="29">
        <f t="shared" si="28"/>
        <v>1.2647058823529411</v>
      </c>
      <c r="AN70" s="72" t="s">
        <v>86</v>
      </c>
      <c r="AO70" s="67">
        <f>$AW$62</f>
        <v>11.028409090909093</v>
      </c>
      <c r="AP70" s="73">
        <f>AO70-($AO$70)</f>
        <v>0</v>
      </c>
    </row>
    <row r="71" spans="1:42" ht="14.25" customHeight="1" x14ac:dyDescent="0.4">
      <c r="A71" s="12" t="s">
        <v>33</v>
      </c>
      <c r="B71" s="13">
        <v>2</v>
      </c>
      <c r="C71" s="14" t="s">
        <v>29</v>
      </c>
      <c r="D71" s="15" t="s">
        <v>137</v>
      </c>
      <c r="F71" s="15"/>
      <c r="G71" s="27" t="s">
        <v>29</v>
      </c>
      <c r="H71" s="29">
        <f t="shared" si="27"/>
        <v>1.1136363636363635</v>
      </c>
      <c r="Q71" s="27" t="s">
        <v>11</v>
      </c>
      <c r="R71" s="29">
        <f t="shared" si="28"/>
        <v>1.1666666666666667</v>
      </c>
    </row>
    <row r="72" spans="1:42" ht="14.25" customHeight="1" x14ac:dyDescent="0.4">
      <c r="A72" s="12" t="s">
        <v>11</v>
      </c>
      <c r="B72" s="13">
        <v>1</v>
      </c>
      <c r="C72" s="14" t="s">
        <v>29</v>
      </c>
      <c r="D72" s="15" t="s">
        <v>138</v>
      </c>
      <c r="F72" s="26"/>
      <c r="G72" s="27" t="s">
        <v>11</v>
      </c>
      <c r="H72" s="29">
        <f t="shared" si="27"/>
        <v>1.088235294117647</v>
      </c>
      <c r="Q72" s="27" t="s">
        <v>29</v>
      </c>
      <c r="R72" s="29">
        <f t="shared" si="28"/>
        <v>1.0806451612903225</v>
      </c>
    </row>
    <row r="73" spans="1:42" ht="14.25" customHeight="1" x14ac:dyDescent="0.4">
      <c r="A73" s="12" t="s">
        <v>29</v>
      </c>
      <c r="B73" s="13">
        <v>1</v>
      </c>
      <c r="C73" s="14" t="s">
        <v>11</v>
      </c>
      <c r="D73" s="15" t="s">
        <v>139</v>
      </c>
      <c r="F73" s="26"/>
      <c r="G73" s="27" t="s">
        <v>28</v>
      </c>
      <c r="H73" s="29">
        <f t="shared" si="27"/>
        <v>1.0714285714285714</v>
      </c>
      <c r="Q73" s="27" t="s">
        <v>28</v>
      </c>
      <c r="R73" s="29">
        <f t="shared" si="28"/>
        <v>1.05</v>
      </c>
    </row>
    <row r="74" spans="1:42" ht="14.25" customHeight="1" x14ac:dyDescent="0.4">
      <c r="A74" s="12" t="s">
        <v>36</v>
      </c>
      <c r="B74" s="13">
        <v>2</v>
      </c>
      <c r="C74" s="14" t="s">
        <v>29</v>
      </c>
      <c r="D74" s="15" t="s">
        <v>140</v>
      </c>
      <c r="F74" s="26"/>
      <c r="G74" s="27" t="s">
        <v>31</v>
      </c>
      <c r="H74" s="29">
        <f t="shared" si="27"/>
        <v>0.88</v>
      </c>
      <c r="Q74" s="27" t="s">
        <v>34</v>
      </c>
      <c r="R74" s="29">
        <f t="shared" si="28"/>
        <v>0.81481481481481477</v>
      </c>
      <c r="AH74" s="53"/>
      <c r="AK74" s="53"/>
      <c r="AN74" s="53"/>
      <c r="AO74" s="53"/>
      <c r="AP74" s="53"/>
    </row>
    <row r="75" spans="1:42" ht="14.25" customHeight="1" x14ac:dyDescent="0.4">
      <c r="A75" s="12" t="s">
        <v>36</v>
      </c>
      <c r="B75" s="13">
        <v>2</v>
      </c>
      <c r="C75" s="14" t="s">
        <v>11</v>
      </c>
      <c r="D75" s="15" t="s">
        <v>140</v>
      </c>
      <c r="F75" s="26"/>
      <c r="G75" s="27" t="s">
        <v>34</v>
      </c>
      <c r="H75" s="29">
        <f t="shared" si="27"/>
        <v>0.84210526315789469</v>
      </c>
      <c r="Q75" s="27" t="s">
        <v>31</v>
      </c>
      <c r="R75" s="29">
        <f t="shared" si="28"/>
        <v>0.78378378378378377</v>
      </c>
      <c r="AE75" s="53"/>
      <c r="AF75" s="53"/>
      <c r="AK75" s="53"/>
      <c r="AN75" s="53"/>
      <c r="AO75" s="53"/>
      <c r="AP75" s="53"/>
    </row>
    <row r="76" spans="1:42" ht="14.25" customHeight="1" x14ac:dyDescent="0.4">
      <c r="A76" s="12" t="s">
        <v>11</v>
      </c>
      <c r="B76" s="13">
        <v>1</v>
      </c>
      <c r="C76" s="14" t="s">
        <v>36</v>
      </c>
      <c r="D76" s="15" t="s">
        <v>141</v>
      </c>
      <c r="F76" s="26"/>
      <c r="G76" s="27" t="s">
        <v>33</v>
      </c>
      <c r="H76" s="29">
        <f t="shared" si="27"/>
        <v>0.77272727272727271</v>
      </c>
      <c r="Q76" s="27" t="s">
        <v>33</v>
      </c>
      <c r="R76" s="29">
        <f t="shared" si="28"/>
        <v>0.66666666666666663</v>
      </c>
      <c r="AN76" s="53"/>
      <c r="AO76" s="53"/>
      <c r="AP76" s="53"/>
    </row>
    <row r="77" spans="1:42" ht="14.25" customHeight="1" x14ac:dyDescent="0.4">
      <c r="A77" s="12" t="s">
        <v>29</v>
      </c>
      <c r="B77" s="13">
        <v>1</v>
      </c>
      <c r="C77" s="14" t="s">
        <v>36</v>
      </c>
      <c r="D77" s="15" t="s">
        <v>142</v>
      </c>
      <c r="F77" s="26"/>
      <c r="G77" s="27" t="s">
        <v>41</v>
      </c>
      <c r="H77" s="29">
        <f t="shared" si="27"/>
        <v>0.66666666666666663</v>
      </c>
      <c r="Q77" s="27" t="s">
        <v>41</v>
      </c>
      <c r="R77" s="29">
        <f t="shared" si="28"/>
        <v>0.66666666666666663</v>
      </c>
      <c r="AN77" s="53"/>
      <c r="AO77" s="53"/>
      <c r="AP77" s="53"/>
    </row>
    <row r="78" spans="1:42" ht="14.25" customHeight="1" x14ac:dyDescent="0.4">
      <c r="A78" s="12" t="s">
        <v>29</v>
      </c>
      <c r="B78" s="13">
        <v>1</v>
      </c>
      <c r="C78" s="14" t="s">
        <v>32</v>
      </c>
      <c r="D78" s="52" t="s">
        <v>143</v>
      </c>
      <c r="F78" s="26"/>
      <c r="G78" s="27" t="s">
        <v>37</v>
      </c>
      <c r="H78" s="29">
        <f t="shared" si="27"/>
        <v>0.625</v>
      </c>
      <c r="Q78" s="27" t="s">
        <v>37</v>
      </c>
      <c r="R78" s="29">
        <f t="shared" si="28"/>
        <v>0.58333333333333337</v>
      </c>
      <c r="AO78" s="53"/>
      <c r="AP78" s="53"/>
    </row>
    <row r="79" spans="1:42" ht="14.25" customHeight="1" x14ac:dyDescent="0.4">
      <c r="A79" s="12" t="s">
        <v>32</v>
      </c>
      <c r="B79" s="13">
        <v>1</v>
      </c>
      <c r="C79" s="14" t="s">
        <v>29</v>
      </c>
      <c r="D79" s="52" t="s">
        <v>144</v>
      </c>
      <c r="F79" s="26"/>
      <c r="G79" s="27" t="s">
        <v>30</v>
      </c>
      <c r="H79" s="29">
        <f t="shared" si="27"/>
        <v>0.52777777777777779</v>
      </c>
      <c r="Q79" s="27" t="s">
        <v>30</v>
      </c>
      <c r="R79" s="29">
        <f t="shared" si="28"/>
        <v>0.4107142857142857</v>
      </c>
      <c r="AN79" s="53"/>
      <c r="AO79" s="53"/>
      <c r="AP79" s="53"/>
    </row>
    <row r="80" spans="1:42" ht="14.25" customHeight="1" x14ac:dyDescent="0.4">
      <c r="A80" s="12" t="s">
        <v>12</v>
      </c>
      <c r="B80" s="13">
        <v>1</v>
      </c>
      <c r="C80" s="14" t="s">
        <v>33</v>
      </c>
      <c r="D80" s="52" t="s">
        <v>145</v>
      </c>
      <c r="F80" s="26"/>
      <c r="G80" s="27" t="s">
        <v>35</v>
      </c>
      <c r="H80" s="29">
        <f t="shared" si="27"/>
        <v>0</v>
      </c>
      <c r="Q80" s="27" t="s">
        <v>35</v>
      </c>
      <c r="R80" s="29">
        <f t="shared" si="28"/>
        <v>0</v>
      </c>
    </row>
    <row r="81" spans="1:42" ht="14.25" customHeight="1" x14ac:dyDescent="0.4">
      <c r="A81" s="12" t="s">
        <v>11</v>
      </c>
      <c r="B81" s="13">
        <v>2</v>
      </c>
      <c r="C81" s="14" t="s">
        <v>33</v>
      </c>
      <c r="D81" s="52" t="s">
        <v>146</v>
      </c>
      <c r="F81" s="15"/>
    </row>
    <row r="82" spans="1:42" ht="14.25" customHeight="1" x14ac:dyDescent="0.4">
      <c r="A82" s="12" t="s">
        <v>33</v>
      </c>
      <c r="B82" s="13">
        <v>1</v>
      </c>
      <c r="C82" s="14" t="s">
        <v>12</v>
      </c>
      <c r="D82" s="15" t="s">
        <v>147</v>
      </c>
      <c r="F82" s="26"/>
      <c r="G82" s="27" t="s">
        <v>74</v>
      </c>
      <c r="H82" s="33" t="s">
        <v>15</v>
      </c>
      <c r="Q82" s="27" t="s">
        <v>74</v>
      </c>
      <c r="R82" s="33" t="s">
        <v>18</v>
      </c>
    </row>
    <row r="83" spans="1:42" ht="14.25" customHeight="1" x14ac:dyDescent="0.4">
      <c r="A83" s="12" t="s">
        <v>31</v>
      </c>
      <c r="B83" s="13">
        <v>1</v>
      </c>
      <c r="C83" s="14" t="s">
        <v>33</v>
      </c>
      <c r="D83" s="15" t="s">
        <v>148</v>
      </c>
      <c r="F83" s="26"/>
      <c r="G83" s="41" t="s">
        <v>86</v>
      </c>
      <c r="H83" s="54">
        <f>VLOOKUP(G83,$G$22:$O$26,2,FALSE)</f>
        <v>5.5</v>
      </c>
      <c r="Q83" s="41" t="s">
        <v>86</v>
      </c>
      <c r="R83" s="54">
        <f>VLOOKUP(Q83,$G$22:$O$26,5,FALSE)</f>
        <v>8</v>
      </c>
    </row>
    <row r="84" spans="1:42" ht="14.25" customHeight="1" x14ac:dyDescent="0.4">
      <c r="A84" s="12" t="s">
        <v>33</v>
      </c>
      <c r="B84" s="13">
        <v>1</v>
      </c>
      <c r="C84" s="14" t="s">
        <v>31</v>
      </c>
      <c r="D84" s="15" t="s">
        <v>149</v>
      </c>
      <c r="F84" s="26"/>
      <c r="G84" s="27" t="s">
        <v>76</v>
      </c>
      <c r="H84" s="54">
        <f>VLOOKUP(G84,$G$22:$O$26,2,FALSE)</f>
        <v>20.25</v>
      </c>
      <c r="Q84" s="27" t="s">
        <v>76</v>
      </c>
      <c r="R84" s="54">
        <f>VLOOKUP(Q84,$G$22:$O$26,5,FALSE)</f>
        <v>27</v>
      </c>
    </row>
    <row r="85" spans="1:42" ht="14.25" customHeight="1" x14ac:dyDescent="0.4">
      <c r="A85" s="12" t="s">
        <v>29</v>
      </c>
      <c r="B85" s="13">
        <v>1</v>
      </c>
      <c r="C85" s="14" t="s">
        <v>30</v>
      </c>
      <c r="D85" s="15" t="s">
        <v>150</v>
      </c>
      <c r="F85" s="26"/>
      <c r="G85" s="27" t="s">
        <v>77</v>
      </c>
      <c r="H85" s="54">
        <f>VLOOKUP(G85,$G$22:$O$26,2,FALSE)</f>
        <v>20.75</v>
      </c>
      <c r="Q85" s="27" t="s">
        <v>77</v>
      </c>
      <c r="R85" s="54">
        <f>VLOOKUP(Q85,$G$22:$O$26,5,FALSE)</f>
        <v>27.5</v>
      </c>
    </row>
    <row r="86" spans="1:42" ht="14.25" customHeight="1" x14ac:dyDescent="0.4">
      <c r="A86" s="12" t="s">
        <v>30</v>
      </c>
      <c r="B86" s="13">
        <v>1</v>
      </c>
      <c r="C86" s="14" t="s">
        <v>29</v>
      </c>
      <c r="D86" s="15" t="s">
        <v>151</v>
      </c>
      <c r="F86" s="26"/>
      <c r="G86" s="27" t="s">
        <v>79</v>
      </c>
      <c r="H86" s="54">
        <f>VLOOKUP(G86,$G$22:$O$26,2,FALSE)</f>
        <v>29</v>
      </c>
      <c r="Q86" s="27" t="s">
        <v>79</v>
      </c>
      <c r="R86" s="54">
        <f>VLOOKUP(Q86,$G$22:$O$26,5,FALSE)</f>
        <v>42.5</v>
      </c>
    </row>
    <row r="87" spans="1:42" ht="14.25" customHeight="1" x14ac:dyDescent="0.4">
      <c r="A87" s="12" t="s">
        <v>30</v>
      </c>
      <c r="B87" s="13">
        <v>2</v>
      </c>
      <c r="C87" s="14" t="s">
        <v>29</v>
      </c>
      <c r="D87" s="15" t="s">
        <v>152</v>
      </c>
      <c r="F87" s="26"/>
    </row>
    <row r="88" spans="1:42" ht="14.25" customHeight="1" x14ac:dyDescent="0.4">
      <c r="A88" s="12" t="s">
        <v>29</v>
      </c>
      <c r="B88" s="13">
        <v>2</v>
      </c>
      <c r="C88" s="14" t="s">
        <v>11</v>
      </c>
      <c r="D88" s="15" t="s">
        <v>153</v>
      </c>
      <c r="F88" s="26"/>
    </row>
    <row r="89" spans="1:42" ht="14.25" customHeight="1" x14ac:dyDescent="0.4">
      <c r="A89" s="12" t="s">
        <v>40</v>
      </c>
      <c r="B89" s="13">
        <v>1</v>
      </c>
      <c r="C89" s="14" t="s">
        <v>28</v>
      </c>
      <c r="D89" s="15" t="s">
        <v>154</v>
      </c>
      <c r="E89" s="52">
        <v>1</v>
      </c>
      <c r="F89" s="26"/>
      <c r="AO89" s="53"/>
      <c r="AP89" s="31"/>
    </row>
    <row r="90" spans="1:42" ht="14.25" customHeight="1" x14ac:dyDescent="0.4">
      <c r="A90" s="12" t="s">
        <v>28</v>
      </c>
      <c r="B90" s="13">
        <v>1</v>
      </c>
      <c r="C90" s="14" t="s">
        <v>40</v>
      </c>
      <c r="D90" s="15" t="s">
        <v>155</v>
      </c>
      <c r="F90" s="26"/>
      <c r="AO90" s="53"/>
      <c r="AP90" s="31"/>
    </row>
    <row r="91" spans="1:42" ht="14.25" customHeight="1" x14ac:dyDescent="0.4">
      <c r="A91" s="12" t="s">
        <v>30</v>
      </c>
      <c r="B91" s="13">
        <v>1</v>
      </c>
      <c r="C91" s="14" t="s">
        <v>34</v>
      </c>
      <c r="D91" s="15" t="s">
        <v>156</v>
      </c>
      <c r="F91" s="26"/>
      <c r="AO91" s="53"/>
      <c r="AP91" s="31"/>
    </row>
    <row r="92" spans="1:42" ht="14.25" customHeight="1" x14ac:dyDescent="0.4">
      <c r="A92" s="12" t="s">
        <v>34</v>
      </c>
      <c r="B92" s="13">
        <v>1</v>
      </c>
      <c r="C92" s="14" t="s">
        <v>30</v>
      </c>
      <c r="D92" s="15" t="s">
        <v>157</v>
      </c>
      <c r="F92" s="26"/>
      <c r="AO92" s="53"/>
      <c r="AP92" s="31"/>
    </row>
    <row r="93" spans="1:42" ht="14.25" customHeight="1" x14ac:dyDescent="0.4">
      <c r="A93" s="12" t="s">
        <v>39</v>
      </c>
      <c r="B93" s="13">
        <v>2</v>
      </c>
      <c r="C93" s="14" t="s">
        <v>12</v>
      </c>
      <c r="D93" s="15" t="s">
        <v>158</v>
      </c>
      <c r="F93" s="26"/>
      <c r="G93" s="27" t="s">
        <v>74</v>
      </c>
      <c r="H93" s="33" t="s">
        <v>16</v>
      </c>
      <c r="Q93" s="27" t="s">
        <v>74</v>
      </c>
      <c r="R93" s="33" t="s">
        <v>19</v>
      </c>
      <c r="AO93" s="53"/>
      <c r="AP93" s="31"/>
    </row>
    <row r="94" spans="1:42" ht="14.25" customHeight="1" x14ac:dyDescent="0.4">
      <c r="A94" s="12" t="s">
        <v>28</v>
      </c>
      <c r="B94" s="13">
        <v>1</v>
      </c>
      <c r="C94" s="14" t="s">
        <v>30</v>
      </c>
      <c r="D94" s="15" t="s">
        <v>159</v>
      </c>
      <c r="F94" s="26"/>
      <c r="G94" s="27" t="s">
        <v>86</v>
      </c>
      <c r="H94" s="56">
        <f>VLOOKUP(G94,$G$22:$O$26,3,FALSE)</f>
        <v>8</v>
      </c>
      <c r="Q94" s="27" t="s">
        <v>86</v>
      </c>
      <c r="R94" s="56">
        <f>VLOOKUP(Q94,$G$22:$O$26,6,FALSE)</f>
        <v>12.5</v>
      </c>
      <c r="AK94" s="53"/>
      <c r="AO94" s="53"/>
      <c r="AP94" s="31"/>
    </row>
    <row r="95" spans="1:42" ht="14.25" customHeight="1" x14ac:dyDescent="0.4">
      <c r="A95" s="12" t="s">
        <v>30</v>
      </c>
      <c r="B95" s="13">
        <v>1</v>
      </c>
      <c r="C95" s="14" t="s">
        <v>28</v>
      </c>
      <c r="D95" s="15" t="s">
        <v>160</v>
      </c>
      <c r="E95" s="52">
        <v>0</v>
      </c>
      <c r="F95" s="26"/>
      <c r="G95" s="27" t="s">
        <v>77</v>
      </c>
      <c r="H95" s="56">
        <f>VLOOKUP(G95,$G$22:$O$26,3,FALSE)</f>
        <v>20</v>
      </c>
      <c r="Q95" s="27" t="s">
        <v>77</v>
      </c>
      <c r="R95" s="56">
        <f>VLOOKUP(Q95,$G$22:$O$26,6,FALSE)</f>
        <v>27.75</v>
      </c>
      <c r="AK95" s="53"/>
      <c r="AO95" s="53"/>
      <c r="AP95" s="31"/>
    </row>
    <row r="96" spans="1:42" ht="14.25" customHeight="1" x14ac:dyDescent="0.4">
      <c r="A96" s="12" t="s">
        <v>34</v>
      </c>
      <c r="B96" s="13">
        <v>2</v>
      </c>
      <c r="C96" s="14" t="s">
        <v>31</v>
      </c>
      <c r="D96" s="15" t="s">
        <v>161</v>
      </c>
      <c r="F96" s="26"/>
      <c r="G96" s="27" t="s">
        <v>76</v>
      </c>
      <c r="H96" s="56">
        <f>VLOOKUP(G96,$G$22:$O$26,3,FALSE)</f>
        <v>20.25</v>
      </c>
      <c r="Q96" s="27" t="s">
        <v>76</v>
      </c>
      <c r="R96" s="56">
        <f>VLOOKUP(Q96,$G$22:$O$26,6,FALSE)</f>
        <v>28.5</v>
      </c>
      <c r="AK96" s="53"/>
      <c r="AO96" s="53"/>
      <c r="AP96" s="31"/>
    </row>
    <row r="97" spans="1:42" ht="14.25" customHeight="1" x14ac:dyDescent="0.4">
      <c r="A97" s="12" t="s">
        <v>31</v>
      </c>
      <c r="B97" s="13">
        <v>2</v>
      </c>
      <c r="C97" s="14" t="s">
        <v>32</v>
      </c>
      <c r="D97" s="15" t="s">
        <v>162</v>
      </c>
      <c r="F97" s="26"/>
      <c r="G97" s="27" t="s">
        <v>79</v>
      </c>
      <c r="H97" s="56">
        <f>VLOOKUP(G97,$G$22:$O$26,3,FALSE)</f>
        <v>28</v>
      </c>
      <c r="Q97" s="27" t="s">
        <v>79</v>
      </c>
      <c r="R97" s="56">
        <f>VLOOKUP(Q97,$G$22:$O$26,6,FALSE)</f>
        <v>37.75</v>
      </c>
      <c r="AK97" s="53"/>
      <c r="AO97" s="53"/>
      <c r="AP97" s="31"/>
    </row>
    <row r="98" spans="1:42" ht="14.25" customHeight="1" x14ac:dyDescent="0.4">
      <c r="A98" s="12" t="s">
        <v>31</v>
      </c>
      <c r="B98" s="13">
        <v>1</v>
      </c>
      <c r="C98" s="14" t="s">
        <v>39</v>
      </c>
      <c r="D98" s="15" t="s">
        <v>163</v>
      </c>
      <c r="F98" s="26"/>
      <c r="AK98" s="53"/>
      <c r="AO98" s="53"/>
      <c r="AP98" s="31"/>
    </row>
    <row r="99" spans="1:42" ht="14.25" customHeight="1" x14ac:dyDescent="0.4">
      <c r="A99" s="12" t="s">
        <v>39</v>
      </c>
      <c r="B99" s="13">
        <v>1</v>
      </c>
      <c r="C99" s="14" t="s">
        <v>31</v>
      </c>
      <c r="D99" s="15" t="s">
        <v>164</v>
      </c>
      <c r="F99" s="26"/>
      <c r="AK99" s="53"/>
      <c r="AO99" s="53"/>
      <c r="AP99" s="31"/>
    </row>
    <row r="100" spans="1:42" ht="14.25" customHeight="1" x14ac:dyDescent="0.4">
      <c r="A100" s="12" t="s">
        <v>12</v>
      </c>
      <c r="B100" s="13">
        <v>2</v>
      </c>
      <c r="C100" s="14" t="s">
        <v>31</v>
      </c>
      <c r="D100" s="15" t="s">
        <v>165</v>
      </c>
      <c r="F100" s="26"/>
      <c r="AK100" s="53"/>
      <c r="AO100" s="53"/>
      <c r="AP100" s="31"/>
    </row>
    <row r="101" spans="1:42" ht="14.25" customHeight="1" x14ac:dyDescent="0.4">
      <c r="A101" s="12" t="s">
        <v>31</v>
      </c>
      <c r="B101" s="13">
        <v>1</v>
      </c>
      <c r="C101" s="14" t="s">
        <v>12</v>
      </c>
      <c r="D101" s="15" t="s">
        <v>166</v>
      </c>
      <c r="F101" s="26"/>
      <c r="AK101" s="53"/>
      <c r="AO101" s="53"/>
      <c r="AP101" s="31"/>
    </row>
    <row r="102" spans="1:42" ht="14.25" customHeight="1" x14ac:dyDescent="0.4">
      <c r="A102" s="12" t="s">
        <v>36</v>
      </c>
      <c r="B102" s="13">
        <v>2</v>
      </c>
      <c r="C102" s="14" t="s">
        <v>33</v>
      </c>
      <c r="D102" s="15" t="s">
        <v>167</v>
      </c>
      <c r="F102" s="26"/>
      <c r="AK102" s="53"/>
      <c r="AO102" s="53"/>
      <c r="AP102" s="31"/>
    </row>
    <row r="103" spans="1:42" ht="14.25" customHeight="1" x14ac:dyDescent="0.4">
      <c r="A103" s="12" t="s">
        <v>33</v>
      </c>
      <c r="B103" s="13">
        <v>1</v>
      </c>
      <c r="C103" s="14" t="s">
        <v>36</v>
      </c>
      <c r="D103" s="15" t="s">
        <v>168</v>
      </c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K103" s="53"/>
      <c r="AO103" s="53"/>
      <c r="AP103" s="31"/>
    </row>
    <row r="104" spans="1:42" ht="14.25" customHeight="1" x14ac:dyDescent="0.4">
      <c r="A104" s="12" t="s">
        <v>29</v>
      </c>
      <c r="B104" s="13">
        <v>1</v>
      </c>
      <c r="C104" s="14" t="s">
        <v>34</v>
      </c>
      <c r="D104" s="15" t="s">
        <v>169</v>
      </c>
      <c r="F104" s="26"/>
      <c r="G104" s="27" t="s">
        <v>74</v>
      </c>
      <c r="H104" s="33" t="s">
        <v>17</v>
      </c>
      <c r="J104" s="53"/>
      <c r="K104" s="53"/>
      <c r="L104" s="53"/>
      <c r="M104" s="31"/>
      <c r="N104" s="31"/>
      <c r="O104" s="31"/>
      <c r="P104" s="31"/>
      <c r="Q104" s="27" t="s">
        <v>74</v>
      </c>
      <c r="R104" s="33" t="s">
        <v>20</v>
      </c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K104" s="53"/>
      <c r="AO104" s="53"/>
      <c r="AP104" s="31"/>
    </row>
    <row r="105" spans="1:42" ht="14.25" customHeight="1" x14ac:dyDescent="0.4">
      <c r="A105" s="12" t="s">
        <v>34</v>
      </c>
      <c r="B105" s="13">
        <v>1</v>
      </c>
      <c r="C105" s="14" t="s">
        <v>29</v>
      </c>
      <c r="D105" s="15" t="s">
        <v>170</v>
      </c>
      <c r="F105" s="26"/>
      <c r="G105" s="41" t="s">
        <v>86</v>
      </c>
      <c r="H105" s="55">
        <f>VLOOKUP(G105,$G$22:$O$26,4,FALSE)</f>
        <v>0.6875</v>
      </c>
      <c r="J105" s="53"/>
      <c r="K105" s="53"/>
      <c r="L105" s="53"/>
      <c r="M105" s="31"/>
      <c r="N105" s="31"/>
      <c r="O105" s="31"/>
      <c r="P105" s="31"/>
      <c r="Q105" s="41" t="s">
        <v>86</v>
      </c>
      <c r="R105" s="55">
        <f>VLOOKUP(Q105,$G$22:$O$26,7,FALSE)</f>
        <v>0.64</v>
      </c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K105" s="53"/>
      <c r="AO105" s="53"/>
      <c r="AP105" s="31"/>
    </row>
    <row r="106" spans="1:42" ht="14.25" customHeight="1" x14ac:dyDescent="0.4">
      <c r="A106" s="12" t="s">
        <v>29</v>
      </c>
      <c r="B106" s="13">
        <v>1</v>
      </c>
      <c r="C106" s="14" t="s">
        <v>11</v>
      </c>
      <c r="D106" s="15" t="s">
        <v>171</v>
      </c>
      <c r="F106" s="26"/>
      <c r="G106" s="27" t="s">
        <v>76</v>
      </c>
      <c r="H106" s="55">
        <f>VLOOKUP(G106,$G$22:$O$26,4,FALSE)</f>
        <v>1</v>
      </c>
      <c r="J106" s="53"/>
      <c r="K106" s="53"/>
      <c r="L106" s="53"/>
      <c r="M106" s="31"/>
      <c r="N106" s="31"/>
      <c r="O106" s="31"/>
      <c r="P106" s="31"/>
      <c r="Q106" s="27" t="s">
        <v>76</v>
      </c>
      <c r="R106" s="55">
        <f>VLOOKUP(Q106,$G$22:$O$26,7,FALSE)</f>
        <v>0.94736842105263153</v>
      </c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K106" s="53"/>
      <c r="AO106" s="53"/>
      <c r="AP106" s="31"/>
    </row>
    <row r="107" spans="1:42" ht="14.25" customHeight="1" x14ac:dyDescent="0.4">
      <c r="A107" s="12" t="s">
        <v>11</v>
      </c>
      <c r="B107" s="13">
        <v>1</v>
      </c>
      <c r="C107" s="14" t="s">
        <v>29</v>
      </c>
      <c r="D107" s="15" t="s">
        <v>171</v>
      </c>
      <c r="F107" s="26"/>
      <c r="G107" s="27" t="s">
        <v>79</v>
      </c>
      <c r="H107" s="55">
        <f>VLOOKUP(G107,$G$22:$O$26,4,FALSE)</f>
        <v>1.0357142857142858</v>
      </c>
      <c r="J107" s="53"/>
      <c r="K107" s="53"/>
      <c r="L107" s="53"/>
      <c r="M107" s="31"/>
      <c r="N107" s="31"/>
      <c r="O107" s="31"/>
      <c r="P107" s="31"/>
      <c r="Q107" s="27" t="s">
        <v>77</v>
      </c>
      <c r="R107" s="55">
        <f>VLOOKUP(Q107,$G$22:$O$26,7,FALSE)</f>
        <v>0.99099099099099097</v>
      </c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K107" s="53"/>
      <c r="AO107" s="53"/>
      <c r="AP107" s="31"/>
    </row>
    <row r="108" spans="1:42" ht="14.25" customHeight="1" x14ac:dyDescent="0.4">
      <c r="A108" s="12" t="s">
        <v>29</v>
      </c>
      <c r="B108" s="13">
        <v>1</v>
      </c>
      <c r="C108" s="14" t="s">
        <v>33</v>
      </c>
      <c r="D108" s="15" t="s">
        <v>172</v>
      </c>
      <c r="F108" s="26"/>
      <c r="G108" s="27" t="s">
        <v>77</v>
      </c>
      <c r="H108" s="55">
        <f>VLOOKUP(G108,$G$22:$O$26,4,FALSE)</f>
        <v>1.0375000000000001</v>
      </c>
      <c r="J108" s="53"/>
      <c r="K108" s="53"/>
      <c r="L108" s="53"/>
      <c r="M108" s="31"/>
      <c r="N108" s="31"/>
      <c r="O108" s="31"/>
      <c r="P108" s="31"/>
      <c r="Q108" s="27" t="s">
        <v>79</v>
      </c>
      <c r="R108" s="55">
        <f>VLOOKUP(Q108,$G$22:$O$26,7,FALSE)</f>
        <v>1.1258278145695364</v>
      </c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K108" s="53"/>
      <c r="AO108" s="53"/>
      <c r="AP108" s="31"/>
    </row>
    <row r="109" spans="1:42" ht="14.25" customHeight="1" x14ac:dyDescent="0.4">
      <c r="A109" s="12" t="s">
        <v>33</v>
      </c>
      <c r="B109" s="13">
        <v>1</v>
      </c>
      <c r="C109" s="14" t="s">
        <v>29</v>
      </c>
      <c r="D109" s="15" t="s">
        <v>173</v>
      </c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K109" s="53"/>
      <c r="AO109" s="53"/>
      <c r="AP109" s="31"/>
    </row>
    <row r="110" spans="1:42" ht="14.25" customHeight="1" x14ac:dyDescent="0.4">
      <c r="A110" s="12" t="s">
        <v>36</v>
      </c>
      <c r="B110" s="13">
        <v>2</v>
      </c>
      <c r="C110" s="14" t="s">
        <v>29</v>
      </c>
      <c r="D110" s="15" t="s">
        <v>174</v>
      </c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K110" s="53"/>
      <c r="AO110" s="53"/>
      <c r="AP110" s="31"/>
    </row>
    <row r="111" spans="1:42" ht="14.25" customHeight="1" x14ac:dyDescent="0.4">
      <c r="A111" s="12" t="s">
        <v>29</v>
      </c>
      <c r="B111" s="13">
        <v>2</v>
      </c>
      <c r="C111" s="14" t="s">
        <v>34</v>
      </c>
      <c r="D111" s="15" t="s">
        <v>175</v>
      </c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K111" s="53"/>
      <c r="AO111" s="53"/>
      <c r="AP111" s="31"/>
    </row>
    <row r="112" spans="1:42" ht="14.25" customHeight="1" x14ac:dyDescent="0.4">
      <c r="A112" s="12" t="s">
        <v>34</v>
      </c>
      <c r="B112" s="13">
        <v>1</v>
      </c>
      <c r="C112" s="14" t="s">
        <v>29</v>
      </c>
      <c r="D112" s="15" t="s">
        <v>176</v>
      </c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K112" s="53"/>
      <c r="AO112" s="53"/>
      <c r="AP112" s="31"/>
    </row>
    <row r="113" spans="1:42" ht="14.25" customHeight="1" x14ac:dyDescent="0.4">
      <c r="A113" s="12" t="s">
        <v>33</v>
      </c>
      <c r="B113" s="13">
        <v>1</v>
      </c>
      <c r="C113" s="14" t="s">
        <v>31</v>
      </c>
      <c r="D113" s="15" t="s">
        <v>177</v>
      </c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K113" s="53"/>
      <c r="AO113" s="53"/>
      <c r="AP113" s="31"/>
    </row>
    <row r="114" spans="1:42" ht="14.25" customHeight="1" x14ac:dyDescent="0.4">
      <c r="A114" s="12" t="s">
        <v>31</v>
      </c>
      <c r="B114" s="13">
        <v>1</v>
      </c>
      <c r="C114" s="14" t="s">
        <v>33</v>
      </c>
      <c r="D114" s="15" t="s">
        <v>178</v>
      </c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K114" s="53"/>
      <c r="AO114" s="53"/>
      <c r="AP114" s="31"/>
    </row>
    <row r="115" spans="1:42" ht="14.25" customHeight="1" x14ac:dyDescent="0.4">
      <c r="A115" s="12" t="s">
        <v>12</v>
      </c>
      <c r="B115" s="13">
        <v>1</v>
      </c>
      <c r="C115" s="14" t="s">
        <v>30</v>
      </c>
      <c r="D115" s="15" t="s">
        <v>179</v>
      </c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K115" s="53"/>
      <c r="AO115" s="53"/>
      <c r="AP115" s="31"/>
    </row>
    <row r="116" spans="1:42" ht="14.25" customHeight="1" x14ac:dyDescent="0.4">
      <c r="A116" s="12" t="s">
        <v>30</v>
      </c>
      <c r="B116" s="13">
        <v>1</v>
      </c>
      <c r="C116" s="14" t="s">
        <v>12</v>
      </c>
      <c r="D116" s="15" t="s">
        <v>180</v>
      </c>
      <c r="F116" s="26"/>
      <c r="AE116" s="53"/>
      <c r="AF116" s="53"/>
      <c r="AK116" s="53"/>
      <c r="AO116" s="53"/>
      <c r="AP116" s="31"/>
    </row>
    <row r="117" spans="1:42" ht="14.25" customHeight="1" x14ac:dyDescent="0.4">
      <c r="A117" s="12" t="s">
        <v>32</v>
      </c>
      <c r="B117" s="13">
        <v>2</v>
      </c>
      <c r="C117" s="14" t="s">
        <v>29</v>
      </c>
      <c r="D117" s="15" t="s">
        <v>181</v>
      </c>
      <c r="F117" s="26"/>
      <c r="AE117" s="53"/>
      <c r="AF117" s="53"/>
      <c r="AK117" s="53"/>
      <c r="AO117" s="53"/>
      <c r="AP117" s="31"/>
    </row>
    <row r="118" spans="1:42" ht="14.25" customHeight="1" x14ac:dyDescent="0.4">
      <c r="A118" s="12" t="s">
        <v>29</v>
      </c>
      <c r="B118" s="13">
        <v>1</v>
      </c>
      <c r="C118" s="14" t="s">
        <v>32</v>
      </c>
      <c r="D118" s="15" t="s">
        <v>182</v>
      </c>
      <c r="F118" s="26"/>
      <c r="AE118" s="53"/>
      <c r="AF118" s="53"/>
      <c r="AK118" s="53"/>
      <c r="AO118" s="53"/>
      <c r="AP118" s="31"/>
    </row>
    <row r="119" spans="1:42" ht="14.25" customHeight="1" x14ac:dyDescent="0.4">
      <c r="A119" s="12" t="s">
        <v>11</v>
      </c>
      <c r="B119" s="13">
        <v>2</v>
      </c>
      <c r="C119" s="14" t="s">
        <v>32</v>
      </c>
      <c r="D119" s="15" t="s">
        <v>183</v>
      </c>
      <c r="F119" s="26"/>
      <c r="AE119" s="53"/>
      <c r="AF119" s="53"/>
      <c r="AK119" s="53"/>
      <c r="AO119" s="53"/>
      <c r="AP119" s="31"/>
    </row>
    <row r="120" spans="1:42" ht="14.25" customHeight="1" x14ac:dyDescent="0.4">
      <c r="A120" s="12" t="s">
        <v>39</v>
      </c>
      <c r="B120" s="13">
        <v>1</v>
      </c>
      <c r="C120" s="14" t="s">
        <v>31</v>
      </c>
      <c r="D120" s="15" t="s">
        <v>184</v>
      </c>
      <c r="F120" s="26"/>
      <c r="AE120" s="53"/>
      <c r="AF120" s="53"/>
      <c r="AK120" s="53"/>
      <c r="AO120" s="53"/>
      <c r="AP120" s="31"/>
    </row>
    <row r="121" spans="1:42" ht="14.25" customHeight="1" x14ac:dyDescent="0.4">
      <c r="A121" s="12" t="s">
        <v>31</v>
      </c>
      <c r="B121" s="13">
        <v>1</v>
      </c>
      <c r="C121" s="14" t="s">
        <v>39</v>
      </c>
      <c r="D121" s="15" t="s">
        <v>185</v>
      </c>
      <c r="F121" s="26"/>
      <c r="AE121" s="53"/>
      <c r="AF121" s="53"/>
      <c r="AK121" s="53"/>
      <c r="AO121" s="53"/>
      <c r="AP121" s="31"/>
    </row>
    <row r="122" spans="1:42" ht="14.25" customHeight="1" x14ac:dyDescent="0.4">
      <c r="A122" s="12" t="s">
        <v>31</v>
      </c>
      <c r="B122" s="13">
        <v>1</v>
      </c>
      <c r="C122" s="74" t="s">
        <v>34</v>
      </c>
      <c r="D122" s="15" t="s">
        <v>186</v>
      </c>
      <c r="F122" s="26"/>
      <c r="AE122" s="53"/>
      <c r="AF122" s="53"/>
      <c r="AK122" s="53"/>
      <c r="AO122" s="53"/>
      <c r="AP122" s="31"/>
    </row>
    <row r="123" spans="1:42" ht="14.25" customHeight="1" x14ac:dyDescent="0.4">
      <c r="A123" s="12" t="s">
        <v>34</v>
      </c>
      <c r="B123" s="13">
        <v>1</v>
      </c>
      <c r="C123" s="74" t="s">
        <v>31</v>
      </c>
      <c r="D123" s="15" t="s">
        <v>187</v>
      </c>
      <c r="F123" s="26"/>
      <c r="AE123" s="53"/>
      <c r="AF123" s="53"/>
      <c r="AK123" s="53"/>
      <c r="AO123" s="53"/>
      <c r="AP123" s="31"/>
    </row>
    <row r="124" spans="1:42" ht="14.25" customHeight="1" x14ac:dyDescent="0.4">
      <c r="A124" s="12" t="s">
        <v>39</v>
      </c>
      <c r="B124" s="13">
        <v>1</v>
      </c>
      <c r="C124" s="74" t="s">
        <v>12</v>
      </c>
      <c r="D124" s="15" t="s">
        <v>188</v>
      </c>
      <c r="F124" s="26"/>
      <c r="AE124" s="53"/>
      <c r="AF124" s="53"/>
      <c r="AK124" s="53"/>
      <c r="AO124" s="53"/>
      <c r="AP124" s="31"/>
    </row>
    <row r="125" spans="1:42" ht="14.25" customHeight="1" x14ac:dyDescent="0.4">
      <c r="A125" s="12" t="s">
        <v>12</v>
      </c>
      <c r="B125" s="13">
        <v>1</v>
      </c>
      <c r="C125" s="74" t="s">
        <v>39</v>
      </c>
      <c r="D125" s="15" t="s">
        <v>189</v>
      </c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K125" s="53"/>
      <c r="AO125" s="53"/>
      <c r="AP125" s="31"/>
    </row>
    <row r="126" spans="1:42" ht="14.25" customHeight="1" x14ac:dyDescent="0.4">
      <c r="A126" s="12" t="s">
        <v>31</v>
      </c>
      <c r="B126" s="13">
        <v>2</v>
      </c>
      <c r="C126" s="14" t="s">
        <v>29</v>
      </c>
      <c r="D126" s="15" t="s">
        <v>190</v>
      </c>
      <c r="F126" s="26"/>
    </row>
    <row r="127" spans="1:42" ht="14.25" customHeight="1" x14ac:dyDescent="0.4">
      <c r="A127" s="12" t="s">
        <v>29</v>
      </c>
      <c r="B127" s="13">
        <v>1</v>
      </c>
      <c r="C127" s="14" t="s">
        <v>31</v>
      </c>
      <c r="D127" s="15" t="s">
        <v>191</v>
      </c>
      <c r="F127" s="26"/>
    </row>
    <row r="128" spans="1:42" ht="14.25" customHeight="1" x14ac:dyDescent="0.4">
      <c r="A128" s="12" t="s">
        <v>31</v>
      </c>
      <c r="B128" s="13">
        <v>1</v>
      </c>
      <c r="C128" s="14" t="s">
        <v>11</v>
      </c>
      <c r="D128" s="15" t="s">
        <v>192</v>
      </c>
      <c r="F128" s="26"/>
    </row>
    <row r="129" spans="1:6" ht="14.25" customHeight="1" x14ac:dyDescent="0.4">
      <c r="A129" s="12" t="s">
        <v>11</v>
      </c>
      <c r="B129" s="13">
        <v>1</v>
      </c>
      <c r="C129" s="14" t="s">
        <v>31</v>
      </c>
      <c r="D129" s="15" t="s">
        <v>193</v>
      </c>
      <c r="F129" s="26"/>
    </row>
    <row r="130" spans="1:6" ht="14.25" customHeight="1" x14ac:dyDescent="0.4">
      <c r="A130" s="12" t="s">
        <v>28</v>
      </c>
      <c r="B130" s="13">
        <v>2</v>
      </c>
      <c r="C130" s="14" t="s">
        <v>11</v>
      </c>
      <c r="D130" s="15" t="s">
        <v>194</v>
      </c>
      <c r="F130" s="26"/>
    </row>
    <row r="131" spans="1:6" ht="14.25" customHeight="1" x14ac:dyDescent="0.4">
      <c r="A131" s="12" t="s">
        <v>11</v>
      </c>
      <c r="B131" s="13">
        <v>1</v>
      </c>
      <c r="C131" s="14" t="s">
        <v>34</v>
      </c>
      <c r="D131" s="15" t="s">
        <v>195</v>
      </c>
      <c r="F131" s="26"/>
    </row>
    <row r="132" spans="1:6" ht="14.25" customHeight="1" x14ac:dyDescent="0.4">
      <c r="A132" s="12" t="s">
        <v>34</v>
      </c>
      <c r="B132" s="13">
        <v>1</v>
      </c>
      <c r="C132" s="14" t="s">
        <v>11</v>
      </c>
      <c r="D132" s="15" t="s">
        <v>196</v>
      </c>
      <c r="F132" s="26"/>
    </row>
    <row r="133" spans="1:6" ht="14.25" customHeight="1" x14ac:dyDescent="0.4">
      <c r="A133" s="12" t="s">
        <v>29</v>
      </c>
      <c r="B133" s="13">
        <v>2</v>
      </c>
      <c r="C133" s="14" t="s">
        <v>30</v>
      </c>
      <c r="D133" s="15" t="s">
        <v>197</v>
      </c>
      <c r="F133" s="26"/>
    </row>
    <row r="134" spans="1:6" ht="14.25" customHeight="1" x14ac:dyDescent="0.4">
      <c r="A134" s="12" t="s">
        <v>11</v>
      </c>
      <c r="B134" s="13">
        <v>2</v>
      </c>
      <c r="C134" s="14" t="s">
        <v>30</v>
      </c>
      <c r="D134" s="15" t="s">
        <v>198</v>
      </c>
      <c r="F134" s="26"/>
    </row>
    <row r="135" spans="1:6" ht="14.25" customHeight="1" x14ac:dyDescent="0.4">
      <c r="A135" s="12" t="s">
        <v>37</v>
      </c>
      <c r="B135" s="13">
        <v>2</v>
      </c>
      <c r="C135" s="14" t="s">
        <v>31</v>
      </c>
      <c r="D135" s="15" t="s">
        <v>199</v>
      </c>
      <c r="F135" s="26"/>
    </row>
    <row r="136" spans="1:6" ht="14.25" customHeight="1" x14ac:dyDescent="0.4">
      <c r="A136" s="12" t="s">
        <v>29</v>
      </c>
      <c r="B136" s="13">
        <v>2</v>
      </c>
      <c r="C136" s="14" t="s">
        <v>30</v>
      </c>
      <c r="D136" s="15" t="s">
        <v>200</v>
      </c>
      <c r="F136" s="26"/>
    </row>
    <row r="137" spans="1:6" ht="14.25" customHeight="1" x14ac:dyDescent="0.4">
      <c r="A137" s="12" t="s">
        <v>12</v>
      </c>
      <c r="B137" s="13">
        <v>2</v>
      </c>
      <c r="C137" s="14" t="s">
        <v>35</v>
      </c>
      <c r="D137" s="15" t="s">
        <v>201</v>
      </c>
      <c r="F137" s="26"/>
    </row>
    <row r="138" spans="1:6" ht="14.25" customHeight="1" x14ac:dyDescent="0.4">
      <c r="A138" s="12" t="s">
        <v>11</v>
      </c>
      <c r="B138" s="13">
        <v>1</v>
      </c>
      <c r="C138" s="14" t="s">
        <v>29</v>
      </c>
      <c r="D138" s="15" t="s">
        <v>202</v>
      </c>
      <c r="F138" s="26"/>
    </row>
    <row r="139" spans="1:6" ht="14.25" customHeight="1" x14ac:dyDescent="0.4">
      <c r="A139" s="12" t="s">
        <v>29</v>
      </c>
      <c r="B139" s="13">
        <v>1</v>
      </c>
      <c r="C139" s="14" t="s">
        <v>11</v>
      </c>
      <c r="D139" s="15" t="s">
        <v>203</v>
      </c>
      <c r="F139" s="26"/>
    </row>
    <row r="140" spans="1:6" ht="14.25" customHeight="1" x14ac:dyDescent="0.4">
      <c r="A140" s="12" t="s">
        <v>11</v>
      </c>
      <c r="B140" s="13">
        <v>1</v>
      </c>
      <c r="C140" s="14" t="s">
        <v>30</v>
      </c>
      <c r="D140" s="15" t="s">
        <v>204</v>
      </c>
      <c r="F140" s="26"/>
    </row>
    <row r="141" spans="1:6" ht="14.25" customHeight="1" x14ac:dyDescent="0.4">
      <c r="A141" s="12" t="s">
        <v>30</v>
      </c>
      <c r="B141" s="13">
        <v>1</v>
      </c>
      <c r="C141" s="14" t="s">
        <v>11</v>
      </c>
      <c r="D141" s="15" t="s">
        <v>205</v>
      </c>
      <c r="F141" s="26"/>
    </row>
    <row r="142" spans="1:6" ht="14.25" customHeight="1" x14ac:dyDescent="0.4">
      <c r="A142" s="12" t="s">
        <v>39</v>
      </c>
      <c r="B142" s="13">
        <v>2</v>
      </c>
      <c r="C142" s="14" t="s">
        <v>34</v>
      </c>
      <c r="D142" s="15" t="s">
        <v>206</v>
      </c>
      <c r="F142" s="26"/>
    </row>
    <row r="143" spans="1:6" ht="14.25" customHeight="1" x14ac:dyDescent="0.4">
      <c r="A143" s="12" t="s">
        <v>39</v>
      </c>
      <c r="B143" s="13">
        <v>2</v>
      </c>
      <c r="C143" s="14" t="s">
        <v>31</v>
      </c>
      <c r="D143" s="15" t="s">
        <v>207</v>
      </c>
      <c r="F143" s="26"/>
    </row>
    <row r="144" spans="1:6" ht="14.25" customHeight="1" x14ac:dyDescent="0.4">
      <c r="A144" s="12" t="s">
        <v>11</v>
      </c>
      <c r="B144" s="13">
        <v>2</v>
      </c>
      <c r="C144" s="14" t="s">
        <v>32</v>
      </c>
      <c r="D144" s="15" t="s">
        <v>208</v>
      </c>
      <c r="F144" s="26"/>
    </row>
    <row r="145" spans="1:6" ht="14.25" customHeight="1" x14ac:dyDescent="0.4">
      <c r="A145" s="12" t="s">
        <v>32</v>
      </c>
      <c r="B145" s="13">
        <v>1</v>
      </c>
      <c r="C145" s="14" t="s">
        <v>11</v>
      </c>
      <c r="D145" s="15" t="s">
        <v>209</v>
      </c>
      <c r="F145" s="26"/>
    </row>
    <row r="146" spans="1:6" ht="14.25" customHeight="1" x14ac:dyDescent="0.4">
      <c r="A146" s="12" t="s">
        <v>31</v>
      </c>
      <c r="B146" s="13">
        <v>2</v>
      </c>
      <c r="C146" s="14" t="s">
        <v>11</v>
      </c>
      <c r="D146" s="15" t="s">
        <v>210</v>
      </c>
      <c r="F146" s="26"/>
    </row>
    <row r="147" spans="1:6" ht="14.25" customHeight="1" x14ac:dyDescent="0.4">
      <c r="A147" s="12" t="s">
        <v>29</v>
      </c>
      <c r="B147" s="13">
        <v>2</v>
      </c>
      <c r="C147" s="14" t="s">
        <v>30</v>
      </c>
      <c r="D147" s="15" t="s">
        <v>211</v>
      </c>
      <c r="F147" s="26"/>
    </row>
    <row r="148" spans="1:6" ht="14.25" customHeight="1" x14ac:dyDescent="0.4">
      <c r="A148" s="12" t="s">
        <v>11</v>
      </c>
      <c r="B148" s="13">
        <v>1</v>
      </c>
      <c r="C148" s="14" t="s">
        <v>31</v>
      </c>
      <c r="D148" s="15" t="s">
        <v>212</v>
      </c>
      <c r="F148" s="26"/>
    </row>
    <row r="149" spans="1:6" ht="14.25" customHeight="1" x14ac:dyDescent="0.4">
      <c r="A149" s="12" t="s">
        <v>28</v>
      </c>
      <c r="B149" s="13">
        <v>2</v>
      </c>
      <c r="C149" s="14" t="s">
        <v>11</v>
      </c>
      <c r="D149" s="15" t="s">
        <v>213</v>
      </c>
      <c r="F149" s="26"/>
    </row>
    <row r="150" spans="1:6" ht="14.25" customHeight="1" x14ac:dyDescent="0.4">
      <c r="A150" s="12" t="s">
        <v>28</v>
      </c>
      <c r="B150" s="13">
        <v>2</v>
      </c>
      <c r="C150" s="14" t="s">
        <v>29</v>
      </c>
      <c r="D150" s="15" t="s">
        <v>214</v>
      </c>
      <c r="F150" s="26"/>
    </row>
    <row r="151" spans="1:6" ht="14.25" customHeight="1" x14ac:dyDescent="0.4">
      <c r="A151" s="12" t="s">
        <v>29</v>
      </c>
      <c r="B151" s="13">
        <v>1</v>
      </c>
      <c r="C151" s="14" t="s">
        <v>32</v>
      </c>
      <c r="D151" s="15" t="s">
        <v>215</v>
      </c>
      <c r="F151" s="26"/>
    </row>
    <row r="152" spans="1:6" ht="14.25" customHeight="1" x14ac:dyDescent="0.4">
      <c r="A152" s="12" t="s">
        <v>32</v>
      </c>
      <c r="B152" s="13">
        <v>1</v>
      </c>
      <c r="C152" s="14" t="s">
        <v>29</v>
      </c>
      <c r="D152" s="120" t="s">
        <v>216</v>
      </c>
      <c r="F152" s="26"/>
    </row>
    <row r="153" spans="1:6" ht="14.25" customHeight="1" x14ac:dyDescent="0.4">
      <c r="A153" s="12" t="s">
        <v>12</v>
      </c>
      <c r="B153" s="13">
        <v>2</v>
      </c>
      <c r="C153" s="14" t="s">
        <v>32</v>
      </c>
      <c r="D153" s="15" t="s">
        <v>217</v>
      </c>
      <c r="F153" s="26"/>
    </row>
    <row r="154" spans="1:6" ht="14.25" customHeight="1" x14ac:dyDescent="0.4">
      <c r="A154" s="12" t="s">
        <v>11</v>
      </c>
      <c r="B154" s="13">
        <v>2</v>
      </c>
      <c r="C154" s="14" t="s">
        <v>30</v>
      </c>
      <c r="D154" s="15" t="s">
        <v>218</v>
      </c>
      <c r="F154" s="26"/>
    </row>
    <row r="155" spans="1:6" ht="14.25" customHeight="1" x14ac:dyDescent="0.4">
      <c r="A155" s="12" t="s">
        <v>32</v>
      </c>
      <c r="B155" s="13">
        <v>1</v>
      </c>
      <c r="C155" s="14" t="s">
        <v>12</v>
      </c>
      <c r="D155" s="15" t="s">
        <v>219</v>
      </c>
      <c r="F155" s="26"/>
    </row>
    <row r="156" spans="1:6" ht="14.25" customHeight="1" x14ac:dyDescent="0.4">
      <c r="A156" s="12" t="s">
        <v>29</v>
      </c>
      <c r="B156" s="13">
        <v>1</v>
      </c>
      <c r="C156" s="14" t="s">
        <v>34</v>
      </c>
      <c r="D156" s="15" t="s">
        <v>220</v>
      </c>
      <c r="F156" s="26"/>
    </row>
    <row r="157" spans="1:6" ht="14.25" customHeight="1" x14ac:dyDescent="0.4">
      <c r="A157" s="12" t="s">
        <v>34</v>
      </c>
      <c r="B157" s="13">
        <v>1</v>
      </c>
      <c r="C157" s="14" t="s">
        <v>29</v>
      </c>
      <c r="D157" s="15" t="s">
        <v>221</v>
      </c>
      <c r="F157" s="26"/>
    </row>
    <row r="158" spans="1:6" ht="14.25" customHeight="1" x14ac:dyDescent="0.4">
      <c r="A158" s="12" t="s">
        <v>34</v>
      </c>
      <c r="B158" s="13">
        <v>1</v>
      </c>
      <c r="C158" s="14" t="s">
        <v>33</v>
      </c>
      <c r="D158" s="15" t="s">
        <v>222</v>
      </c>
      <c r="F158" s="26"/>
    </row>
    <row r="159" spans="1:6" ht="14.25" customHeight="1" x14ac:dyDescent="0.4">
      <c r="A159" s="12" t="s">
        <v>33</v>
      </c>
      <c r="B159" s="13">
        <v>1</v>
      </c>
      <c r="C159" s="14" t="s">
        <v>34</v>
      </c>
      <c r="D159" s="15" t="s">
        <v>223</v>
      </c>
      <c r="F159" s="26"/>
    </row>
    <row r="160" spans="1:6" ht="14.25" customHeight="1" x14ac:dyDescent="0.4">
      <c r="A160" s="12" t="s">
        <v>11</v>
      </c>
      <c r="B160" s="13">
        <v>2</v>
      </c>
      <c r="C160" s="14" t="s">
        <v>34</v>
      </c>
      <c r="D160" s="15" t="s">
        <v>224</v>
      </c>
    </row>
    <row r="161" spans="1:8" ht="14.25" customHeight="1" x14ac:dyDescent="0.4">
      <c r="A161" s="12" t="s">
        <v>33</v>
      </c>
      <c r="B161" s="13">
        <v>2</v>
      </c>
      <c r="C161" s="14" t="s">
        <v>28</v>
      </c>
      <c r="D161" s="15" t="s">
        <v>225</v>
      </c>
      <c r="E161">
        <v>1</v>
      </c>
    </row>
    <row r="162" spans="1:8" ht="14.25" customHeight="1" x14ac:dyDescent="0.4">
      <c r="A162" s="12" t="s">
        <v>12</v>
      </c>
      <c r="B162" s="13">
        <v>2</v>
      </c>
      <c r="C162" s="14" t="s">
        <v>37</v>
      </c>
      <c r="D162" s="15" t="s">
        <v>226</v>
      </c>
    </row>
    <row r="163" spans="1:8" ht="14.25" customHeight="1" x14ac:dyDescent="0.4">
      <c r="A163" s="12" t="s">
        <v>31</v>
      </c>
      <c r="B163" s="13">
        <v>1</v>
      </c>
      <c r="C163" s="14" t="s">
        <v>12</v>
      </c>
      <c r="D163" s="15" t="s">
        <v>227</v>
      </c>
    </row>
    <row r="164" spans="1:8" ht="14.25" customHeight="1" x14ac:dyDescent="0.4">
      <c r="A164" s="12" t="s">
        <v>12</v>
      </c>
      <c r="B164" s="13">
        <v>1</v>
      </c>
      <c r="C164" s="14" t="s">
        <v>31</v>
      </c>
      <c r="D164" s="15" t="s">
        <v>228</v>
      </c>
    </row>
    <row r="165" spans="1:8" ht="14.25" customHeight="1" x14ac:dyDescent="0.4">
      <c r="A165" s="12" t="s">
        <v>12</v>
      </c>
      <c r="B165" s="13">
        <v>2</v>
      </c>
      <c r="C165" s="14" t="s">
        <v>28</v>
      </c>
      <c r="D165" s="15" t="s">
        <v>229</v>
      </c>
      <c r="E165">
        <v>1</v>
      </c>
    </row>
    <row r="166" spans="1:8" ht="14.25" customHeight="1" x14ac:dyDescent="0.4">
      <c r="A166" s="12" t="s">
        <v>11</v>
      </c>
      <c r="B166" s="13">
        <v>1</v>
      </c>
      <c r="C166" s="14" t="s">
        <v>30</v>
      </c>
      <c r="D166" s="15" t="s">
        <v>230</v>
      </c>
    </row>
    <row r="167" spans="1:8" ht="14.25" customHeight="1" x14ac:dyDescent="0.4">
      <c r="A167" s="12" t="s">
        <v>30</v>
      </c>
      <c r="B167" s="13">
        <v>1</v>
      </c>
      <c r="C167" s="14" t="s">
        <v>11</v>
      </c>
      <c r="D167" s="15" t="s">
        <v>231</v>
      </c>
    </row>
    <row r="168" spans="1:8" ht="14.25" customHeight="1" x14ac:dyDescent="0.4">
      <c r="A168" s="12" t="s">
        <v>32</v>
      </c>
      <c r="B168" s="13">
        <v>2</v>
      </c>
      <c r="C168" s="14" t="s">
        <v>11</v>
      </c>
      <c r="D168" s="15" t="s">
        <v>232</v>
      </c>
      <c r="F168" s="121"/>
      <c r="G168" s="121"/>
      <c r="H168" s="121"/>
    </row>
    <row r="169" spans="1:8" ht="14.25" customHeight="1" x14ac:dyDescent="0.4">
      <c r="A169" s="12" t="s">
        <v>32</v>
      </c>
      <c r="B169" s="13">
        <v>1</v>
      </c>
      <c r="C169" s="14" t="s">
        <v>30</v>
      </c>
      <c r="D169" s="15" t="s">
        <v>232</v>
      </c>
      <c r="F169" s="121"/>
      <c r="G169" s="121"/>
      <c r="H169" s="121"/>
    </row>
    <row r="170" spans="1:8" ht="14.25" customHeight="1" x14ac:dyDescent="0.4">
      <c r="A170" s="12" t="s">
        <v>11</v>
      </c>
      <c r="B170" s="13">
        <v>1</v>
      </c>
      <c r="C170" s="14" t="s">
        <v>32</v>
      </c>
      <c r="D170" s="15" t="s">
        <v>233</v>
      </c>
      <c r="F170" s="121"/>
      <c r="G170" s="121"/>
      <c r="H170" s="121"/>
    </row>
    <row r="171" spans="1:8" ht="14.25" customHeight="1" x14ac:dyDescent="0.4">
      <c r="A171" s="12" t="s">
        <v>29</v>
      </c>
      <c r="B171" s="13">
        <v>2</v>
      </c>
      <c r="C171" s="14" t="s">
        <v>35</v>
      </c>
      <c r="D171" s="15" t="s">
        <v>234</v>
      </c>
      <c r="F171" s="121"/>
      <c r="G171" s="121"/>
      <c r="H171" s="121"/>
    </row>
    <row r="172" spans="1:8" ht="14.25" customHeight="1" x14ac:dyDescent="0.4">
      <c r="A172" s="12" t="s">
        <v>32</v>
      </c>
      <c r="B172" s="13">
        <v>2</v>
      </c>
      <c r="C172" s="14" t="s">
        <v>36</v>
      </c>
      <c r="D172" s="15" t="s">
        <v>235</v>
      </c>
      <c r="F172" s="121"/>
      <c r="G172" s="121"/>
      <c r="H172" s="121"/>
    </row>
    <row r="173" spans="1:8" ht="14.25" customHeight="1" x14ac:dyDescent="0.4">
      <c r="A173" s="12" t="s">
        <v>40</v>
      </c>
      <c r="B173" s="13">
        <v>1</v>
      </c>
      <c r="C173" s="14" t="s">
        <v>33</v>
      </c>
      <c r="D173" s="15" t="s">
        <v>236</v>
      </c>
      <c r="F173" s="121"/>
      <c r="G173" s="121"/>
      <c r="H173" s="121"/>
    </row>
    <row r="174" spans="1:8" ht="14.25" customHeight="1" x14ac:dyDescent="0.4">
      <c r="A174" s="12" t="s">
        <v>33</v>
      </c>
      <c r="B174" s="13">
        <v>1</v>
      </c>
      <c r="C174" s="14" t="s">
        <v>40</v>
      </c>
      <c r="D174" s="15" t="s">
        <v>237</v>
      </c>
      <c r="F174" s="121"/>
      <c r="G174" s="121"/>
      <c r="H174" s="121"/>
    </row>
    <row r="175" spans="1:8" ht="14.25" customHeight="1" x14ac:dyDescent="0.4">
      <c r="A175" s="12" t="s">
        <v>38</v>
      </c>
      <c r="B175" s="13">
        <v>1</v>
      </c>
      <c r="C175" s="14" t="s">
        <v>12</v>
      </c>
      <c r="D175" s="15" t="s">
        <v>238</v>
      </c>
      <c r="F175" s="121"/>
      <c r="G175" s="121"/>
      <c r="H175" s="121"/>
    </row>
    <row r="176" spans="1:8" ht="14.25" customHeight="1" x14ac:dyDescent="0.4">
      <c r="A176" s="12" t="s">
        <v>12</v>
      </c>
      <c r="B176" s="13">
        <v>1</v>
      </c>
      <c r="C176" s="14" t="s">
        <v>38</v>
      </c>
      <c r="D176" s="15" t="s">
        <v>239</v>
      </c>
      <c r="F176" s="121"/>
      <c r="G176" s="121"/>
      <c r="H176" s="121"/>
    </row>
    <row r="177" spans="1:4" ht="14.25" customHeight="1" x14ac:dyDescent="0.4">
      <c r="A177" s="12" t="s">
        <v>36</v>
      </c>
      <c r="B177" s="13">
        <v>2</v>
      </c>
      <c r="C177" s="14" t="s">
        <v>11</v>
      </c>
      <c r="D177" s="15" t="s">
        <v>240</v>
      </c>
    </row>
    <row r="178" spans="1:4" ht="14.25" customHeight="1" x14ac:dyDescent="0.4">
      <c r="A178" s="12" t="s">
        <v>39</v>
      </c>
      <c r="B178" s="13">
        <v>1</v>
      </c>
      <c r="C178" s="14" t="s">
        <v>32</v>
      </c>
      <c r="D178" s="15" t="s">
        <v>241</v>
      </c>
    </row>
    <row r="179" spans="1:4" ht="14.25" customHeight="1" x14ac:dyDescent="0.4">
      <c r="A179" s="12" t="s">
        <v>32</v>
      </c>
      <c r="B179" s="13">
        <v>1</v>
      </c>
      <c r="C179" s="14" t="s">
        <v>39</v>
      </c>
      <c r="D179" s="15" t="s">
        <v>242</v>
      </c>
    </row>
    <row r="180" spans="1:4" ht="14.25" customHeight="1" x14ac:dyDescent="0.4">
      <c r="A180" s="12" t="s">
        <v>12</v>
      </c>
      <c r="B180" s="13">
        <v>2</v>
      </c>
      <c r="C180" s="14" t="s">
        <v>31</v>
      </c>
      <c r="D180" s="15" t="s">
        <v>243</v>
      </c>
    </row>
    <row r="181" spans="1:4" ht="14.25" customHeight="1" x14ac:dyDescent="0.4">
      <c r="A181" s="12" t="s">
        <v>32</v>
      </c>
      <c r="B181" s="13">
        <v>2</v>
      </c>
      <c r="C181" s="14" t="s">
        <v>11</v>
      </c>
      <c r="D181" s="15" t="s">
        <v>244</v>
      </c>
    </row>
    <row r="182" spans="1:4" ht="14.25" customHeight="1" x14ac:dyDescent="0.4">
      <c r="A182" s="12" t="s">
        <v>30</v>
      </c>
      <c r="B182" s="13">
        <v>2</v>
      </c>
      <c r="C182" s="14" t="s">
        <v>33</v>
      </c>
      <c r="D182" s="15" t="s">
        <v>245</v>
      </c>
    </row>
    <row r="183" spans="1:4" ht="14.25" customHeight="1" x14ac:dyDescent="0.4">
      <c r="A183" s="12" t="s">
        <v>12</v>
      </c>
      <c r="B183" s="13">
        <v>2</v>
      </c>
      <c r="C183" s="14" t="s">
        <v>29</v>
      </c>
      <c r="D183" s="15" t="s">
        <v>246</v>
      </c>
    </row>
    <row r="184" spans="1:4" ht="14.25" customHeight="1" x14ac:dyDescent="0.4">
      <c r="A184" s="12" t="s">
        <v>32</v>
      </c>
      <c r="B184" s="13">
        <v>1</v>
      </c>
      <c r="C184" s="14" t="s">
        <v>31</v>
      </c>
      <c r="D184" s="15" t="s">
        <v>247</v>
      </c>
    </row>
    <row r="185" spans="1:4" ht="14.25" customHeight="1" x14ac:dyDescent="0.4">
      <c r="A185" s="12" t="s">
        <v>31</v>
      </c>
      <c r="B185" s="13">
        <v>1</v>
      </c>
      <c r="C185" s="14" t="s">
        <v>32</v>
      </c>
      <c r="D185" s="15" t="s">
        <v>248</v>
      </c>
    </row>
    <row r="186" spans="1:4" ht="14.25" customHeight="1" x14ac:dyDescent="0.4">
      <c r="A186" s="12" t="s">
        <v>11</v>
      </c>
      <c r="B186" s="13">
        <v>2</v>
      </c>
      <c r="C186" s="14" t="s">
        <v>32</v>
      </c>
      <c r="D186" s="15" t="s">
        <v>249</v>
      </c>
    </row>
    <row r="187" spans="1:4" ht="14.25" customHeight="1" x14ac:dyDescent="0.4">
      <c r="A187" s="12" t="s">
        <v>32</v>
      </c>
      <c r="B187" s="13">
        <v>1</v>
      </c>
      <c r="C187" s="14" t="s">
        <v>11</v>
      </c>
      <c r="D187" s="15" t="s">
        <v>250</v>
      </c>
    </row>
    <row r="188" spans="1:4" ht="14.25" customHeight="1" x14ac:dyDescent="0.4">
      <c r="A188" s="12" t="s">
        <v>31</v>
      </c>
      <c r="B188" s="13">
        <v>1</v>
      </c>
      <c r="C188" s="14" t="s">
        <v>34</v>
      </c>
      <c r="D188" s="120" t="s">
        <v>251</v>
      </c>
    </row>
    <row r="189" spans="1:4" ht="14.25" customHeight="1" x14ac:dyDescent="0.4">
      <c r="A189" s="12" t="s">
        <v>34</v>
      </c>
      <c r="B189" s="13">
        <v>2</v>
      </c>
      <c r="C189" s="14" t="s">
        <v>31</v>
      </c>
      <c r="D189" s="15" t="s">
        <v>252</v>
      </c>
    </row>
    <row r="190" spans="1:4" ht="14.25" customHeight="1" x14ac:dyDescent="0.4">
      <c r="A190" s="12" t="s">
        <v>11</v>
      </c>
      <c r="B190" s="13">
        <v>1</v>
      </c>
      <c r="C190" s="14" t="s">
        <v>32</v>
      </c>
      <c r="D190" s="15" t="s">
        <v>253</v>
      </c>
    </row>
    <row r="191" spans="1:4" ht="14.25" customHeight="1" x14ac:dyDescent="0.4">
      <c r="A191" s="12" t="s">
        <v>32</v>
      </c>
      <c r="B191" s="13">
        <v>1</v>
      </c>
      <c r="C191" s="14" t="s">
        <v>11</v>
      </c>
      <c r="D191" s="15" t="s">
        <v>254</v>
      </c>
    </row>
    <row r="192" spans="1:4" ht="14.25" customHeight="1" x14ac:dyDescent="0.4">
      <c r="A192" s="12" t="s">
        <v>12</v>
      </c>
      <c r="B192" s="13">
        <v>2</v>
      </c>
      <c r="C192" s="14" t="s">
        <v>30</v>
      </c>
      <c r="D192" s="15" t="s">
        <v>255</v>
      </c>
    </row>
    <row r="193" spans="1:5" ht="14.25" customHeight="1" x14ac:dyDescent="0.4">
      <c r="A193" s="12" t="s">
        <v>29</v>
      </c>
      <c r="B193" s="13">
        <v>2</v>
      </c>
      <c r="C193" s="14" t="s">
        <v>11</v>
      </c>
      <c r="D193" s="15" t="s">
        <v>256</v>
      </c>
    </row>
    <row r="194" spans="1:5" ht="14.25" customHeight="1" x14ac:dyDescent="0.4">
      <c r="A194" s="12" t="s">
        <v>11</v>
      </c>
      <c r="B194" s="13">
        <v>2</v>
      </c>
      <c r="C194" s="14" t="s">
        <v>30</v>
      </c>
      <c r="D194" s="15" t="s">
        <v>257</v>
      </c>
    </row>
    <row r="195" spans="1:5" ht="14.25" customHeight="1" x14ac:dyDescent="0.4">
      <c r="A195" s="12" t="s">
        <v>39</v>
      </c>
      <c r="B195" s="13">
        <v>2</v>
      </c>
      <c r="C195" s="14" t="s">
        <v>29</v>
      </c>
      <c r="D195" s="15" t="s">
        <v>258</v>
      </c>
    </row>
    <row r="196" spans="1:5" ht="14.25" customHeight="1" x14ac:dyDescent="0.4">
      <c r="A196" s="12" t="s">
        <v>31</v>
      </c>
      <c r="B196" s="13">
        <v>2</v>
      </c>
      <c r="C196" s="14" t="s">
        <v>29</v>
      </c>
      <c r="D196" s="15" t="s">
        <v>259</v>
      </c>
    </row>
    <row r="197" spans="1:5" ht="14.25" customHeight="1" x14ac:dyDescent="0.4">
      <c r="A197" s="12" t="s">
        <v>29</v>
      </c>
      <c r="B197" s="13">
        <v>1</v>
      </c>
      <c r="C197" s="14" t="s">
        <v>31</v>
      </c>
      <c r="D197" s="15" t="s">
        <v>260</v>
      </c>
    </row>
    <row r="198" spans="1:5" ht="14.25" customHeight="1" x14ac:dyDescent="0.4">
      <c r="A198" s="12" t="s">
        <v>36</v>
      </c>
      <c r="B198" s="13">
        <v>1</v>
      </c>
      <c r="C198" s="14" t="s">
        <v>41</v>
      </c>
      <c r="D198" s="15" t="s">
        <v>261</v>
      </c>
    </row>
    <row r="199" spans="1:5" ht="14.25" customHeight="1" x14ac:dyDescent="0.4">
      <c r="A199" s="12" t="s">
        <v>34</v>
      </c>
      <c r="B199" s="13">
        <v>2</v>
      </c>
      <c r="C199" s="14" t="s">
        <v>30</v>
      </c>
      <c r="D199" s="15" t="s">
        <v>262</v>
      </c>
    </row>
    <row r="200" spans="1:5" ht="14.25" customHeight="1" x14ac:dyDescent="0.4">
      <c r="A200" s="12" t="s">
        <v>38</v>
      </c>
      <c r="B200" s="13">
        <v>1</v>
      </c>
      <c r="C200" s="14" t="s">
        <v>41</v>
      </c>
      <c r="D200" t="s">
        <v>263</v>
      </c>
    </row>
    <row r="201" spans="1:5" ht="14.25" customHeight="1" x14ac:dyDescent="0.4">
      <c r="A201" s="12" t="s">
        <v>41</v>
      </c>
      <c r="B201" s="13">
        <v>1</v>
      </c>
      <c r="C201" s="14" t="s">
        <v>38</v>
      </c>
      <c r="D201" t="s">
        <v>264</v>
      </c>
    </row>
    <row r="202" spans="1:5" ht="14.25" customHeight="1" x14ac:dyDescent="0.4">
      <c r="A202" s="12" t="s">
        <v>11</v>
      </c>
      <c r="B202" s="13">
        <v>2</v>
      </c>
      <c r="C202" s="14" t="s">
        <v>30</v>
      </c>
      <c r="D202" t="s">
        <v>265</v>
      </c>
    </row>
    <row r="203" spans="1:5" ht="14.25" customHeight="1" x14ac:dyDescent="0.4">
      <c r="A203" s="12" t="s">
        <v>31</v>
      </c>
      <c r="B203" s="13">
        <v>2</v>
      </c>
      <c r="C203" s="14" t="s">
        <v>33</v>
      </c>
      <c r="D203" s="15" t="s">
        <v>266</v>
      </c>
    </row>
    <row r="204" spans="1:5" ht="14.25" customHeight="1" x14ac:dyDescent="0.4">
      <c r="A204" s="12" t="s">
        <v>12</v>
      </c>
      <c r="B204" s="13">
        <v>2</v>
      </c>
      <c r="C204" s="14" t="s">
        <v>28</v>
      </c>
      <c r="D204" t="s">
        <v>267</v>
      </c>
      <c r="E204">
        <v>0</v>
      </c>
    </row>
    <row r="205" spans="1:5" ht="14.25" customHeight="1" x14ac:dyDescent="0.4">
      <c r="A205" s="12" t="s">
        <v>11</v>
      </c>
      <c r="B205" s="13">
        <v>2</v>
      </c>
      <c r="C205" s="14" t="s">
        <v>33</v>
      </c>
      <c r="D205" t="s">
        <v>268</v>
      </c>
    </row>
    <row r="206" spans="1:5" ht="14.25" customHeight="1" x14ac:dyDescent="0.4">
      <c r="A206" s="12" t="s">
        <v>29</v>
      </c>
      <c r="B206" s="13">
        <v>1</v>
      </c>
      <c r="C206" s="14" t="s">
        <v>30</v>
      </c>
      <c r="D206" t="s">
        <v>269</v>
      </c>
    </row>
    <row r="207" spans="1:5" ht="14.25" customHeight="1" x14ac:dyDescent="0.4">
      <c r="A207" s="12" t="s">
        <v>30</v>
      </c>
      <c r="B207" s="13">
        <v>1</v>
      </c>
      <c r="C207" s="14" t="s">
        <v>29</v>
      </c>
      <c r="D207" t="s">
        <v>270</v>
      </c>
    </row>
    <row r="208" spans="1:5" ht="14.25" customHeight="1" x14ac:dyDescent="0.4">
      <c r="A208" s="12" t="s">
        <v>34</v>
      </c>
      <c r="B208" s="13">
        <v>2</v>
      </c>
      <c r="C208" s="14" t="s">
        <v>33</v>
      </c>
      <c r="D208" t="s">
        <v>271</v>
      </c>
    </row>
    <row r="209" spans="1:4" ht="14.25" customHeight="1" x14ac:dyDescent="0.4">
      <c r="A209" s="12" t="s">
        <v>34</v>
      </c>
      <c r="B209" s="13">
        <v>1</v>
      </c>
      <c r="C209" s="14" t="s">
        <v>32</v>
      </c>
      <c r="D209" t="s">
        <v>272</v>
      </c>
    </row>
    <row r="210" spans="1:4" ht="14.25" customHeight="1" x14ac:dyDescent="0.4">
      <c r="A210" s="12" t="s">
        <v>32</v>
      </c>
      <c r="B210" s="13">
        <v>1</v>
      </c>
      <c r="C210" s="14" t="s">
        <v>34</v>
      </c>
      <c r="D210" t="s">
        <v>273</v>
      </c>
    </row>
    <row r="211" spans="1:4" ht="14.25" customHeight="1" x14ac:dyDescent="0.4">
      <c r="A211" s="12" t="s">
        <v>29</v>
      </c>
      <c r="B211" s="13">
        <v>2</v>
      </c>
      <c r="C211" s="14" t="s">
        <v>33</v>
      </c>
      <c r="D211" t="s">
        <v>274</v>
      </c>
    </row>
    <row r="212" spans="1:4" ht="14.25" customHeight="1" x14ac:dyDescent="0.4">
      <c r="A212" s="12" t="s">
        <v>41</v>
      </c>
      <c r="B212" s="13">
        <v>1</v>
      </c>
      <c r="C212" s="14" t="s">
        <v>33</v>
      </c>
      <c r="D212" t="s">
        <v>275</v>
      </c>
    </row>
    <row r="213" spans="1:4" ht="14.25" customHeight="1" x14ac:dyDescent="0.4">
      <c r="A213" s="12" t="s">
        <v>33</v>
      </c>
      <c r="B213" s="13">
        <v>1</v>
      </c>
      <c r="C213" s="14" t="s">
        <v>41</v>
      </c>
      <c r="D213" t="s">
        <v>276</v>
      </c>
    </row>
    <row r="214" spans="1:4" ht="14.25" customHeight="1" x14ac:dyDescent="0.4">
      <c r="A214" s="12" t="s">
        <v>36</v>
      </c>
      <c r="B214" s="13">
        <v>1</v>
      </c>
      <c r="C214" s="14" t="s">
        <v>32</v>
      </c>
      <c r="D214" t="s">
        <v>277</v>
      </c>
    </row>
    <row r="215" spans="1:4" ht="14.25" customHeight="1" x14ac:dyDescent="0.4">
      <c r="A215" s="12" t="s">
        <v>32</v>
      </c>
      <c r="B215" s="13">
        <v>1</v>
      </c>
      <c r="C215" s="14" t="s">
        <v>36</v>
      </c>
      <c r="D215" t="s">
        <v>278</v>
      </c>
    </row>
    <row r="216" spans="1:4" ht="14.25" customHeight="1" x14ac:dyDescent="0.4">
      <c r="A216" s="12" t="s">
        <v>31</v>
      </c>
      <c r="B216" s="13">
        <v>2</v>
      </c>
      <c r="C216" s="14" t="s">
        <v>39</v>
      </c>
      <c r="D216" t="s">
        <v>279</v>
      </c>
    </row>
    <row r="217" spans="1:4" ht="14.25" customHeight="1" x14ac:dyDescent="0.4">
      <c r="A217" s="12" t="s">
        <v>39</v>
      </c>
      <c r="B217" s="13">
        <v>1</v>
      </c>
      <c r="C217" s="14" t="s">
        <v>31</v>
      </c>
      <c r="D217" t="s">
        <v>280</v>
      </c>
    </row>
    <row r="218" spans="1:4" ht="14.25" customHeight="1" x14ac:dyDescent="0.4">
      <c r="A218" s="12" t="s">
        <v>36</v>
      </c>
      <c r="B218" s="13">
        <v>2</v>
      </c>
      <c r="C218" s="14" t="s">
        <v>32</v>
      </c>
      <c r="D218" t="s">
        <v>281</v>
      </c>
    </row>
    <row r="219" spans="1:4" ht="14.25" customHeight="1" x14ac:dyDescent="0.4">
      <c r="A219" s="12" t="s">
        <v>12</v>
      </c>
      <c r="B219" s="13">
        <v>2</v>
      </c>
      <c r="C219" s="14" t="s">
        <v>32</v>
      </c>
      <c r="D219" t="s">
        <v>282</v>
      </c>
    </row>
    <row r="220" spans="1:4" ht="14.25" customHeight="1" x14ac:dyDescent="0.4">
      <c r="A220" s="12" t="s">
        <v>32</v>
      </c>
      <c r="B220" s="13">
        <v>1</v>
      </c>
      <c r="C220" s="14" t="s">
        <v>36</v>
      </c>
      <c r="D220" s="15" t="s">
        <v>283</v>
      </c>
    </row>
    <row r="221" spans="1:4" ht="14.25" customHeight="1" x14ac:dyDescent="0.4">
      <c r="A221" s="12" t="s">
        <v>32</v>
      </c>
      <c r="B221" s="13">
        <v>1</v>
      </c>
      <c r="C221" s="14" t="s">
        <v>12</v>
      </c>
      <c r="D221" t="s">
        <v>283</v>
      </c>
    </row>
    <row r="222" spans="1:4" ht="14.25" customHeight="1" x14ac:dyDescent="0.4">
      <c r="A222" s="12" t="s">
        <v>31</v>
      </c>
      <c r="B222" s="13">
        <v>1</v>
      </c>
      <c r="C222" s="14" t="s">
        <v>36</v>
      </c>
      <c r="D222" t="s">
        <v>284</v>
      </c>
    </row>
    <row r="223" spans="1:4" ht="14.25" customHeight="1" x14ac:dyDescent="0.4">
      <c r="A223" s="12" t="s">
        <v>31</v>
      </c>
      <c r="B223" s="13">
        <v>1</v>
      </c>
      <c r="C223" s="14" t="s">
        <v>12</v>
      </c>
      <c r="D223" s="120" t="s">
        <v>284</v>
      </c>
    </row>
    <row r="224" spans="1:4" ht="14.25" customHeight="1" x14ac:dyDescent="0.4">
      <c r="A224" s="12" t="s">
        <v>29</v>
      </c>
      <c r="B224" s="13">
        <v>2</v>
      </c>
      <c r="C224" s="14" t="s">
        <v>30</v>
      </c>
      <c r="D224" t="s">
        <v>285</v>
      </c>
    </row>
    <row r="225" spans="1:5" ht="14.25" customHeight="1" x14ac:dyDescent="0.4">
      <c r="A225" s="12" t="s">
        <v>29</v>
      </c>
      <c r="B225" s="13">
        <v>1</v>
      </c>
      <c r="C225" s="14" t="s">
        <v>11</v>
      </c>
      <c r="D225" t="s">
        <v>286</v>
      </c>
    </row>
    <row r="226" spans="1:5" ht="14.25" customHeight="1" x14ac:dyDescent="0.4">
      <c r="A226" s="12" t="s">
        <v>11</v>
      </c>
      <c r="B226" s="13">
        <v>1</v>
      </c>
      <c r="C226" s="14" t="s">
        <v>29</v>
      </c>
      <c r="D226" t="s">
        <v>287</v>
      </c>
    </row>
    <row r="227" spans="1:5" ht="14.25" customHeight="1" x14ac:dyDescent="0.4">
      <c r="A227" s="12" t="s">
        <v>30</v>
      </c>
      <c r="B227" s="13">
        <v>1</v>
      </c>
      <c r="C227" s="14" t="s">
        <v>29</v>
      </c>
      <c r="D227" t="s">
        <v>288</v>
      </c>
    </row>
    <row r="228" spans="1:5" ht="14.25" customHeight="1" x14ac:dyDescent="0.4">
      <c r="A228" s="12" t="s">
        <v>32</v>
      </c>
      <c r="B228" s="13">
        <v>1</v>
      </c>
      <c r="C228" s="14" t="s">
        <v>35</v>
      </c>
      <c r="D228" t="s">
        <v>289</v>
      </c>
    </row>
    <row r="229" spans="1:5" ht="14.25" customHeight="1" x14ac:dyDescent="0.4">
      <c r="A229" s="12" t="s">
        <v>29</v>
      </c>
      <c r="B229" s="13">
        <v>2</v>
      </c>
      <c r="C229" s="14" t="s">
        <v>30</v>
      </c>
      <c r="D229" t="s">
        <v>290</v>
      </c>
    </row>
    <row r="230" spans="1:5" ht="14.25" customHeight="1" x14ac:dyDescent="0.4">
      <c r="A230" s="12" t="s">
        <v>29</v>
      </c>
      <c r="B230" s="13">
        <v>1</v>
      </c>
      <c r="C230" s="14" t="s">
        <v>30</v>
      </c>
      <c r="D230" t="s">
        <v>291</v>
      </c>
    </row>
    <row r="231" spans="1:5" ht="14.25" customHeight="1" x14ac:dyDescent="0.4">
      <c r="A231" s="12" t="s">
        <v>29</v>
      </c>
      <c r="B231" s="13">
        <v>1</v>
      </c>
      <c r="C231" s="14" t="s">
        <v>30</v>
      </c>
      <c r="D231" t="s">
        <v>292</v>
      </c>
    </row>
    <row r="232" spans="1:5" ht="14.25" customHeight="1" x14ac:dyDescent="0.4">
      <c r="A232" s="12" t="s">
        <v>30</v>
      </c>
      <c r="B232" s="13">
        <v>1</v>
      </c>
      <c r="C232" s="14" t="s">
        <v>29</v>
      </c>
      <c r="D232" t="s">
        <v>293</v>
      </c>
    </row>
    <row r="233" spans="1:5" ht="14.25" customHeight="1" x14ac:dyDescent="0.4">
      <c r="A233" s="12" t="s">
        <v>12</v>
      </c>
      <c r="B233" s="13">
        <v>2</v>
      </c>
      <c r="C233" s="14" t="s">
        <v>28</v>
      </c>
      <c r="D233" t="s">
        <v>294</v>
      </c>
      <c r="E233">
        <v>1</v>
      </c>
    </row>
    <row r="234" spans="1:5" ht="14.25" customHeight="1" x14ac:dyDescent="0.4">
      <c r="A234" s="12" t="s">
        <v>12</v>
      </c>
      <c r="B234" s="13">
        <v>2</v>
      </c>
      <c r="C234" s="14" t="s">
        <v>37</v>
      </c>
      <c r="D234" t="s">
        <v>295</v>
      </c>
    </row>
    <row r="235" spans="1:5" ht="14.25" customHeight="1" x14ac:dyDescent="0.4">
      <c r="A235" s="12" t="s">
        <v>30</v>
      </c>
      <c r="B235" s="13">
        <v>2</v>
      </c>
      <c r="C235" s="14" t="s">
        <v>31</v>
      </c>
      <c r="D235" t="s">
        <v>296</v>
      </c>
    </row>
    <row r="236" spans="1:5" ht="14.25" customHeight="1" x14ac:dyDescent="0.4">
      <c r="A236" s="12" t="s">
        <v>11</v>
      </c>
      <c r="B236" s="13">
        <v>2</v>
      </c>
      <c r="C236" s="14" t="s">
        <v>33</v>
      </c>
      <c r="D236" t="s">
        <v>297</v>
      </c>
    </row>
    <row r="237" spans="1:5" ht="14.25" customHeight="1" x14ac:dyDescent="0.4">
      <c r="A237" s="12" t="s">
        <v>12</v>
      </c>
      <c r="B237" s="13">
        <v>2</v>
      </c>
      <c r="C237" s="14" t="s">
        <v>33</v>
      </c>
      <c r="D237" t="s">
        <v>298</v>
      </c>
    </row>
    <row r="238" spans="1:5" ht="14.25" customHeight="1" x14ac:dyDescent="0.4">
      <c r="A238" s="12" t="s">
        <v>29</v>
      </c>
      <c r="B238" s="13">
        <v>1</v>
      </c>
      <c r="C238" s="14" t="s">
        <v>30</v>
      </c>
      <c r="D238" t="s">
        <v>299</v>
      </c>
    </row>
    <row r="239" spans="1:5" ht="14.25" customHeight="1" x14ac:dyDescent="0.4">
      <c r="A239" s="12" t="s">
        <v>30</v>
      </c>
      <c r="B239" s="13">
        <v>1</v>
      </c>
      <c r="C239" s="14" t="s">
        <v>29</v>
      </c>
      <c r="D239" t="s">
        <v>300</v>
      </c>
    </row>
    <row r="240" spans="1:5" ht="14.25" customHeight="1" x14ac:dyDescent="0.4">
      <c r="A240" s="12" t="s">
        <v>38</v>
      </c>
      <c r="B240" s="13">
        <v>1</v>
      </c>
      <c r="C240" s="14" t="s">
        <v>30</v>
      </c>
      <c r="D240" t="s">
        <v>301</v>
      </c>
    </row>
    <row r="241" spans="1:4" ht="14.25" customHeight="1" x14ac:dyDescent="0.4">
      <c r="A241" s="12" t="s">
        <v>30</v>
      </c>
      <c r="B241" s="13">
        <v>1</v>
      </c>
      <c r="C241" s="14" t="s">
        <v>38</v>
      </c>
      <c r="D241" t="s">
        <v>302</v>
      </c>
    </row>
    <row r="242" spans="1:4" ht="14.25" customHeight="1" x14ac:dyDescent="0.4">
      <c r="A242" s="12" t="s">
        <v>36</v>
      </c>
      <c r="B242" s="13">
        <v>1</v>
      </c>
      <c r="C242" s="14" t="s">
        <v>33</v>
      </c>
      <c r="D242" t="s">
        <v>303</v>
      </c>
    </row>
    <row r="243" spans="1:4" ht="14.25" customHeight="1" x14ac:dyDescent="0.4">
      <c r="A243" s="12" t="s">
        <v>33</v>
      </c>
      <c r="B243" s="13">
        <v>1</v>
      </c>
      <c r="C243" s="14" t="s">
        <v>36</v>
      </c>
      <c r="D243" t="s">
        <v>304</v>
      </c>
    </row>
    <row r="244" spans="1:4" ht="14.25" customHeight="1" x14ac:dyDescent="0.4">
      <c r="A244" s="12" t="s">
        <v>33</v>
      </c>
      <c r="B244" s="13">
        <v>2</v>
      </c>
      <c r="C244" s="14" t="s">
        <v>30</v>
      </c>
      <c r="D244" t="s">
        <v>305</v>
      </c>
    </row>
    <row r="245" spans="1:4" ht="14.25" customHeight="1" x14ac:dyDescent="0.4">
      <c r="A245" s="12" t="s">
        <v>31</v>
      </c>
      <c r="B245" s="13">
        <v>1</v>
      </c>
      <c r="C245" s="14" t="s">
        <v>36</v>
      </c>
      <c r="D245" t="s">
        <v>306</v>
      </c>
    </row>
    <row r="246" spans="1:4" ht="14.25" customHeight="1" x14ac:dyDescent="0.4">
      <c r="A246" s="12" t="s">
        <v>32</v>
      </c>
      <c r="B246" s="13">
        <v>2</v>
      </c>
      <c r="C246" s="14" t="s">
        <v>29</v>
      </c>
      <c r="D246" s="4" t="s">
        <v>307</v>
      </c>
    </row>
    <row r="247" spans="1:4" ht="14.25" customHeight="1" x14ac:dyDescent="0.4">
      <c r="A247" s="12" t="s">
        <v>12</v>
      </c>
      <c r="B247" s="13">
        <v>2</v>
      </c>
      <c r="C247" s="14" t="s">
        <v>31</v>
      </c>
      <c r="D247" t="s">
        <v>308</v>
      </c>
    </row>
    <row r="248" spans="1:4" ht="14.25" customHeight="1" x14ac:dyDescent="0.4">
      <c r="A248" s="12" t="s">
        <v>31</v>
      </c>
      <c r="B248" s="13">
        <v>1</v>
      </c>
      <c r="C248" s="14" t="s">
        <v>12</v>
      </c>
      <c r="D248" s="15" t="s">
        <v>309</v>
      </c>
    </row>
    <row r="249" spans="1:4" ht="14.25" customHeight="1" x14ac:dyDescent="0.4">
      <c r="A249" s="12" t="s">
        <v>12</v>
      </c>
      <c r="B249" s="13">
        <v>1</v>
      </c>
      <c r="C249" s="14" t="s">
        <v>31</v>
      </c>
      <c r="D249" s="122" t="s">
        <v>310</v>
      </c>
    </row>
    <row r="250" spans="1:4" ht="14.25" customHeight="1" x14ac:dyDescent="0.4">
      <c r="A250" s="124" t="s">
        <v>32</v>
      </c>
      <c r="B250" s="13">
        <v>2</v>
      </c>
      <c r="C250" s="125" t="s">
        <v>31</v>
      </c>
      <c r="D250" t="s">
        <v>311</v>
      </c>
    </row>
    <row r="251" spans="1:4" ht="14.25" customHeight="1" x14ac:dyDescent="0.4">
      <c r="A251" s="124" t="s">
        <v>29</v>
      </c>
      <c r="B251" s="13">
        <v>2</v>
      </c>
      <c r="C251" s="125" t="s">
        <v>30</v>
      </c>
      <c r="D251" s="122" t="s">
        <v>312</v>
      </c>
    </row>
    <row r="252" spans="1:4" ht="14.25" customHeight="1" x14ac:dyDescent="0.4">
      <c r="A252" s="124" t="s">
        <v>29</v>
      </c>
      <c r="B252" s="13">
        <v>1</v>
      </c>
      <c r="C252" s="125" t="s">
        <v>12</v>
      </c>
      <c r="D252" t="s">
        <v>313</v>
      </c>
    </row>
    <row r="253" spans="1:4" ht="14.25" customHeight="1" x14ac:dyDescent="0.4">
      <c r="A253" s="124" t="s">
        <v>12</v>
      </c>
      <c r="B253" s="13">
        <v>1</v>
      </c>
      <c r="C253" s="125" t="s">
        <v>29</v>
      </c>
      <c r="D253" t="s">
        <v>314</v>
      </c>
    </row>
    <row r="254" spans="1:4" ht="14.25" customHeight="1" x14ac:dyDescent="0.4">
      <c r="A254" s="124" t="s">
        <v>36</v>
      </c>
      <c r="B254" s="13">
        <v>1</v>
      </c>
      <c r="C254" s="125" t="s">
        <v>32</v>
      </c>
      <c r="D254" t="s">
        <v>315</v>
      </c>
    </row>
    <row r="255" spans="1:4" ht="14.25" customHeight="1" x14ac:dyDescent="0.4">
      <c r="A255" s="124" t="s">
        <v>32</v>
      </c>
      <c r="B255" s="13">
        <v>1</v>
      </c>
      <c r="C255" s="125" t="s">
        <v>36</v>
      </c>
      <c r="D255" t="s">
        <v>316</v>
      </c>
    </row>
    <row r="256" spans="1:4" ht="14.25" customHeight="1" x14ac:dyDescent="0.4">
      <c r="A256" s="124" t="s">
        <v>12</v>
      </c>
      <c r="B256" s="13">
        <v>1</v>
      </c>
      <c r="C256" s="125" t="s">
        <v>29</v>
      </c>
      <c r="D256" t="s">
        <v>317</v>
      </c>
    </row>
    <row r="257" spans="1:4" ht="14.25" customHeight="1" x14ac:dyDescent="0.4">
      <c r="A257" s="124" t="s">
        <v>29</v>
      </c>
      <c r="B257" s="13">
        <v>1</v>
      </c>
      <c r="C257" s="125" t="s">
        <v>12</v>
      </c>
      <c r="D257" t="s">
        <v>318</v>
      </c>
    </row>
    <row r="258" spans="1:4" ht="14.25" customHeight="1" x14ac:dyDescent="0.4">
      <c r="A258" s="124" t="s">
        <v>40</v>
      </c>
      <c r="B258" s="13">
        <v>2</v>
      </c>
      <c r="C258" s="125" t="s">
        <v>38</v>
      </c>
      <c r="D258" t="s">
        <v>319</v>
      </c>
    </row>
    <row r="259" spans="1:4" ht="14.25" customHeight="1" x14ac:dyDescent="0.4">
      <c r="A259" s="124" t="s">
        <v>38</v>
      </c>
      <c r="B259" s="13">
        <v>1</v>
      </c>
      <c r="C259" s="125" t="s">
        <v>40</v>
      </c>
      <c r="D259" t="s">
        <v>320</v>
      </c>
    </row>
    <row r="260" spans="1:4" ht="14.25" customHeight="1" x14ac:dyDescent="0.4">
      <c r="A260" s="124" t="s">
        <v>11</v>
      </c>
      <c r="B260" s="13">
        <v>2</v>
      </c>
      <c r="C260" s="125" t="s">
        <v>29</v>
      </c>
      <c r="D260" t="s">
        <v>321</v>
      </c>
    </row>
    <row r="261" spans="1:4" ht="14.25" customHeight="1" x14ac:dyDescent="0.4">
      <c r="A261" s="124" t="s">
        <v>29</v>
      </c>
      <c r="B261" s="13">
        <v>1</v>
      </c>
      <c r="C261" s="125" t="s">
        <v>11</v>
      </c>
      <c r="D261" t="s">
        <v>322</v>
      </c>
    </row>
    <row r="262" spans="1:4" ht="14.25" customHeight="1" x14ac:dyDescent="0.4">
      <c r="A262" s="124" t="s">
        <v>31</v>
      </c>
      <c r="B262" s="13">
        <v>2</v>
      </c>
      <c r="C262" s="125" t="s">
        <v>30</v>
      </c>
      <c r="D262" t="s">
        <v>323</v>
      </c>
    </row>
    <row r="263" spans="1:4" ht="14.25" customHeight="1" x14ac:dyDescent="0.4">
      <c r="A263" s="124" t="s">
        <v>38</v>
      </c>
      <c r="B263" s="13">
        <v>1</v>
      </c>
      <c r="C263" s="125" t="s">
        <v>30</v>
      </c>
      <c r="D263" t="s">
        <v>324</v>
      </c>
    </row>
    <row r="264" spans="1:4" ht="14.25" customHeight="1" x14ac:dyDescent="0.4">
      <c r="A264" s="124" t="s">
        <v>30</v>
      </c>
      <c r="B264" s="13">
        <v>1</v>
      </c>
      <c r="C264" s="125" t="s">
        <v>38</v>
      </c>
      <c r="D264" t="s">
        <v>325</v>
      </c>
    </row>
    <row r="265" spans="1:4" ht="14.25" customHeight="1" x14ac:dyDescent="0.4">
      <c r="A265" s="124" t="s">
        <v>33</v>
      </c>
      <c r="B265" s="13">
        <v>2</v>
      </c>
      <c r="C265" s="125" t="s">
        <v>11</v>
      </c>
      <c r="D265" t="s">
        <v>326</v>
      </c>
    </row>
    <row r="266" spans="1:4" ht="14.25" customHeight="1" x14ac:dyDescent="0.4">
      <c r="A266" s="124" t="s">
        <v>37</v>
      </c>
      <c r="B266" s="13">
        <v>2</v>
      </c>
      <c r="C266" s="125" t="s">
        <v>33</v>
      </c>
      <c r="D266" t="s">
        <v>327</v>
      </c>
    </row>
    <row r="267" spans="1:4" ht="14.25" customHeight="1" x14ac:dyDescent="0.4">
      <c r="A267" s="124" t="s">
        <v>11</v>
      </c>
      <c r="B267" s="13">
        <v>2</v>
      </c>
      <c r="C267" s="125" t="s">
        <v>34</v>
      </c>
      <c r="D267" t="s">
        <v>328</v>
      </c>
    </row>
    <row r="268" spans="1:4" ht="14.25" customHeight="1" x14ac:dyDescent="0.4">
      <c r="A268" s="124" t="s">
        <v>12</v>
      </c>
      <c r="B268" s="13">
        <v>2</v>
      </c>
      <c r="C268" s="125" t="s">
        <v>34</v>
      </c>
      <c r="D268" t="s">
        <v>329</v>
      </c>
    </row>
    <row r="269" spans="1:4" ht="14.25" customHeight="1" x14ac:dyDescent="0.4">
      <c r="A269" s="124" t="s">
        <v>36</v>
      </c>
      <c r="B269" s="13">
        <v>2</v>
      </c>
      <c r="C269" s="125" t="s">
        <v>34</v>
      </c>
      <c r="D269" t="s">
        <v>330</v>
      </c>
    </row>
    <row r="270" spans="1:4" ht="14.25" customHeight="1" x14ac:dyDescent="0.4">
      <c r="A270" s="124" t="s">
        <v>30</v>
      </c>
      <c r="B270" s="13">
        <v>2</v>
      </c>
      <c r="C270" s="125" t="s">
        <v>34</v>
      </c>
      <c r="D270" t="s">
        <v>331</v>
      </c>
    </row>
    <row r="271" spans="1:4" ht="14.25" customHeight="1" x14ac:dyDescent="0.4">
      <c r="A271" s="124" t="s">
        <v>29</v>
      </c>
      <c r="B271" s="13">
        <v>2</v>
      </c>
      <c r="C271" s="125" t="s">
        <v>30</v>
      </c>
      <c r="D271" t="s">
        <v>332</v>
      </c>
    </row>
    <row r="272" spans="1:4" ht="14.25" customHeight="1" x14ac:dyDescent="0.4">
      <c r="A272" s="124" t="s">
        <v>12</v>
      </c>
      <c r="B272" s="13">
        <v>1</v>
      </c>
      <c r="C272" s="125" t="s">
        <v>35</v>
      </c>
      <c r="D272" t="s">
        <v>333</v>
      </c>
    </row>
    <row r="273" spans="1:8" ht="14.25" customHeight="1" x14ac:dyDescent="0.4">
      <c r="A273" s="124" t="s">
        <v>11</v>
      </c>
      <c r="B273" s="13">
        <v>1</v>
      </c>
      <c r="C273" s="125" t="s">
        <v>37</v>
      </c>
      <c r="D273" t="s">
        <v>334</v>
      </c>
      <c r="F273" s="121" t="s">
        <v>38</v>
      </c>
      <c r="G273" s="121">
        <v>5</v>
      </c>
      <c r="H273" s="121" t="s">
        <v>335</v>
      </c>
    </row>
    <row r="274" spans="1:8" ht="14.25" customHeight="1" x14ac:dyDescent="0.4">
      <c r="A274" s="124" t="s">
        <v>37</v>
      </c>
      <c r="B274" s="13">
        <v>1</v>
      </c>
      <c r="C274" s="125" t="s">
        <v>11</v>
      </c>
      <c r="D274" t="s">
        <v>336</v>
      </c>
      <c r="F274" s="123" t="s">
        <v>38</v>
      </c>
      <c r="G274" s="121">
        <v>5</v>
      </c>
      <c r="H274" s="123" t="s">
        <v>335</v>
      </c>
    </row>
    <row r="275" spans="1:8" ht="14.25" customHeight="1" x14ac:dyDescent="0.4">
      <c r="A275" s="124" t="s">
        <v>33</v>
      </c>
      <c r="B275" s="13">
        <v>2</v>
      </c>
      <c r="C275" s="125" t="s">
        <v>11</v>
      </c>
      <c r="D275" t="s">
        <v>337</v>
      </c>
    </row>
    <row r="276" spans="1:8" ht="14.25" customHeight="1" x14ac:dyDescent="0.4">
      <c r="A276" s="124" t="s">
        <v>34</v>
      </c>
      <c r="B276" s="13">
        <v>2</v>
      </c>
      <c r="C276" s="125" t="s">
        <v>33</v>
      </c>
      <c r="D276" t="s">
        <v>338</v>
      </c>
    </row>
    <row r="277" spans="1:8" ht="14.25" customHeight="1" x14ac:dyDescent="0.4">
      <c r="A277" s="124" t="s">
        <v>33</v>
      </c>
      <c r="B277" s="13">
        <v>1</v>
      </c>
      <c r="C277" s="125" t="s">
        <v>34</v>
      </c>
      <c r="D277" t="s">
        <v>339</v>
      </c>
    </row>
    <row r="278" spans="1:8" ht="14.25" customHeight="1" x14ac:dyDescent="0.4">
      <c r="A278" s="124" t="s">
        <v>12</v>
      </c>
      <c r="B278" s="13">
        <v>2</v>
      </c>
      <c r="C278" s="125" t="s">
        <v>29</v>
      </c>
      <c r="D278" t="s">
        <v>340</v>
      </c>
    </row>
    <row r="279" spans="1:8" ht="14.25" customHeight="1" x14ac:dyDescent="0.4">
      <c r="A279" s="124" t="s">
        <v>29</v>
      </c>
      <c r="B279" s="13">
        <v>1</v>
      </c>
      <c r="C279" s="125" t="s">
        <v>12</v>
      </c>
      <c r="D279" t="s">
        <v>341</v>
      </c>
    </row>
    <row r="280" spans="1:8" ht="14.25" customHeight="1" x14ac:dyDescent="0.4">
      <c r="A280" s="124" t="s">
        <v>38</v>
      </c>
      <c r="B280" s="13">
        <v>2</v>
      </c>
      <c r="C280" s="125" t="s">
        <v>37</v>
      </c>
      <c r="D280" t="s">
        <v>342</v>
      </c>
    </row>
    <row r="281" spans="1:8" ht="14.25" customHeight="1" x14ac:dyDescent="0.4">
      <c r="A281" s="124" t="s">
        <v>34</v>
      </c>
      <c r="B281" s="13">
        <v>2</v>
      </c>
      <c r="C281" s="125" t="s">
        <v>30</v>
      </c>
      <c r="D281" t="s">
        <v>343</v>
      </c>
    </row>
    <row r="282" spans="1:8" ht="14.25" customHeight="1" x14ac:dyDescent="0.4">
      <c r="A282" s="124" t="s">
        <v>32</v>
      </c>
      <c r="B282" s="13">
        <v>1</v>
      </c>
      <c r="C282" s="125" t="s">
        <v>28</v>
      </c>
      <c r="D282" t="s">
        <v>344</v>
      </c>
      <c r="E282">
        <v>0</v>
      </c>
    </row>
    <row r="283" spans="1:8" ht="14.25" customHeight="1" x14ac:dyDescent="0.4">
      <c r="A283" s="124" t="s">
        <v>28</v>
      </c>
      <c r="B283" s="13">
        <v>1</v>
      </c>
      <c r="C283" s="125" t="s">
        <v>32</v>
      </c>
      <c r="D283" t="s">
        <v>345</v>
      </c>
    </row>
    <row r="284" spans="1:8" ht="14.25" customHeight="1" x14ac:dyDescent="0.4">
      <c r="A284" s="124" t="s">
        <v>32</v>
      </c>
      <c r="B284" s="13">
        <v>2</v>
      </c>
      <c r="C284" s="125" t="s">
        <v>11</v>
      </c>
      <c r="D284" t="s">
        <v>346</v>
      </c>
    </row>
    <row r="285" spans="1:8" ht="14.25" customHeight="1" x14ac:dyDescent="0.4">
      <c r="A285" s="124" t="s">
        <v>12</v>
      </c>
      <c r="B285" s="13">
        <v>2</v>
      </c>
      <c r="C285" s="125" t="s">
        <v>28</v>
      </c>
      <c r="D285" t="s">
        <v>347</v>
      </c>
    </row>
    <row r="286" spans="1:8" ht="14.25" customHeight="1" x14ac:dyDescent="0.4">
      <c r="A286" s="124" t="s">
        <v>28</v>
      </c>
      <c r="B286" s="13">
        <v>1</v>
      </c>
      <c r="C286" s="125" t="s">
        <v>12</v>
      </c>
      <c r="D286" s="120" t="s">
        <v>348</v>
      </c>
    </row>
    <row r="287" spans="1:8" ht="14.25" customHeight="1" x14ac:dyDescent="0.4">
      <c r="A287" s="12" t="s">
        <v>12</v>
      </c>
      <c r="B287" s="13">
        <v>1</v>
      </c>
      <c r="C287" s="14" t="s">
        <v>37</v>
      </c>
      <c r="D287" t="s">
        <v>349</v>
      </c>
    </row>
    <row r="288" spans="1:8" ht="14.25" customHeight="1" x14ac:dyDescent="0.4">
      <c r="A288" s="12" t="s">
        <v>28</v>
      </c>
      <c r="B288" s="13">
        <v>2</v>
      </c>
      <c r="C288" s="14" t="s">
        <v>37</v>
      </c>
      <c r="D288" t="s">
        <v>350</v>
      </c>
    </row>
    <row r="289" spans="1:7" ht="14.25" customHeight="1" x14ac:dyDescent="0.4">
      <c r="A289" s="12" t="s">
        <v>38</v>
      </c>
      <c r="B289" s="13">
        <v>2</v>
      </c>
      <c r="C289" s="14" t="s">
        <v>28</v>
      </c>
      <c r="D289" t="s">
        <v>351</v>
      </c>
      <c r="E289">
        <v>1</v>
      </c>
    </row>
    <row r="290" spans="1:7" ht="14.25" customHeight="1" x14ac:dyDescent="0.4">
      <c r="A290" s="12" t="s">
        <v>29</v>
      </c>
      <c r="B290" s="13">
        <v>1</v>
      </c>
      <c r="C290" s="14" t="s">
        <v>32</v>
      </c>
      <c r="D290" t="s">
        <v>352</v>
      </c>
    </row>
    <row r="291" spans="1:7" ht="14.25" customHeight="1" x14ac:dyDescent="0.4">
      <c r="A291" s="12" t="s">
        <v>32</v>
      </c>
      <c r="B291" s="13">
        <v>1</v>
      </c>
      <c r="C291" s="14" t="s">
        <v>29</v>
      </c>
      <c r="D291" t="s">
        <v>353</v>
      </c>
    </row>
    <row r="292" spans="1:7" ht="14.25" customHeight="1" x14ac:dyDescent="0.4">
      <c r="A292" s="12" t="s">
        <v>11</v>
      </c>
      <c r="B292" s="13">
        <v>2</v>
      </c>
      <c r="C292" s="14" t="s">
        <v>30</v>
      </c>
      <c r="D292" t="s">
        <v>354</v>
      </c>
    </row>
    <row r="293" spans="1:7" ht="14.25" customHeight="1" x14ac:dyDescent="0.4">
      <c r="A293" s="12" t="s">
        <v>29</v>
      </c>
      <c r="B293" s="13">
        <v>1</v>
      </c>
      <c r="C293" s="14" t="s">
        <v>32</v>
      </c>
      <c r="D293" t="s">
        <v>355</v>
      </c>
    </row>
    <row r="294" spans="1:7" ht="14.25" customHeight="1" x14ac:dyDescent="0.4">
      <c r="A294" s="12" t="s">
        <v>32</v>
      </c>
      <c r="B294" s="13">
        <v>1</v>
      </c>
      <c r="C294" s="14" t="s">
        <v>29</v>
      </c>
      <c r="D294" t="s">
        <v>356</v>
      </c>
    </row>
    <row r="295" spans="1:7" ht="14.25" customHeight="1" x14ac:dyDescent="0.4">
      <c r="A295" s="12" t="s">
        <v>32</v>
      </c>
      <c r="B295" s="13">
        <v>1</v>
      </c>
      <c r="C295" s="14" t="s">
        <v>30</v>
      </c>
      <c r="D295" t="s">
        <v>357</v>
      </c>
    </row>
    <row r="296" spans="1:7" ht="14.25" customHeight="1" x14ac:dyDescent="0.4">
      <c r="A296" s="12" t="s">
        <v>30</v>
      </c>
      <c r="B296" s="13">
        <v>1</v>
      </c>
      <c r="C296" s="14" t="s">
        <v>32</v>
      </c>
      <c r="D296" t="s">
        <v>358</v>
      </c>
    </row>
    <row r="297" spans="1:7" ht="14.25" customHeight="1" x14ac:dyDescent="0.4">
      <c r="A297" s="12" t="s">
        <v>32</v>
      </c>
      <c r="B297" s="13">
        <v>2</v>
      </c>
      <c r="C297" s="14" t="s">
        <v>11</v>
      </c>
      <c r="D297" t="s">
        <v>359</v>
      </c>
    </row>
    <row r="298" spans="1:7" ht="14.25" customHeight="1" x14ac:dyDescent="0.4">
      <c r="A298" s="12" t="s">
        <v>11</v>
      </c>
      <c r="B298" s="13">
        <v>1</v>
      </c>
      <c r="C298" s="14" t="s">
        <v>32</v>
      </c>
      <c r="D298" t="s">
        <v>360</v>
      </c>
    </row>
    <row r="299" spans="1:7" ht="14.25" customHeight="1" x14ac:dyDescent="0.4">
      <c r="A299" s="12" t="s">
        <v>29</v>
      </c>
      <c r="B299" s="13">
        <v>1</v>
      </c>
      <c r="C299" s="14" t="s">
        <v>39</v>
      </c>
      <c r="D299" t="s">
        <v>361</v>
      </c>
    </row>
    <row r="300" spans="1:7" ht="14.25" customHeight="1" x14ac:dyDescent="0.4">
      <c r="A300" s="12" t="s">
        <v>39</v>
      </c>
      <c r="B300" s="13">
        <v>1</v>
      </c>
      <c r="C300" s="14" t="s">
        <v>29</v>
      </c>
      <c r="D300" t="s">
        <v>362</v>
      </c>
    </row>
    <row r="301" spans="1:7" ht="14.25" customHeight="1" x14ac:dyDescent="0.4">
      <c r="A301" s="12" t="s">
        <v>32</v>
      </c>
      <c r="B301" s="13">
        <v>1</v>
      </c>
      <c r="C301" s="14" t="s">
        <v>29</v>
      </c>
      <c r="D301" s="120" t="s">
        <v>363</v>
      </c>
    </row>
    <row r="302" spans="1:7" ht="14.25" customHeight="1" x14ac:dyDescent="0.4">
      <c r="A302" s="12" t="s">
        <v>29</v>
      </c>
      <c r="B302" s="13">
        <v>1</v>
      </c>
      <c r="C302" s="14" t="s">
        <v>32</v>
      </c>
      <c r="D302" t="s">
        <v>364</v>
      </c>
    </row>
    <row r="303" spans="1:7" ht="14.25" customHeight="1" x14ac:dyDescent="0.4">
      <c r="A303" s="12" t="s">
        <v>365</v>
      </c>
      <c r="B303" s="13">
        <v>2</v>
      </c>
      <c r="C303" s="14" t="s">
        <v>365</v>
      </c>
      <c r="D303" t="s">
        <v>366</v>
      </c>
      <c r="E303" s="130" t="s">
        <v>367</v>
      </c>
      <c r="F303" t="s">
        <v>368</v>
      </c>
      <c r="G303" t="s">
        <v>368</v>
      </c>
    </row>
    <row r="304" spans="1:7" ht="14.25" customHeight="1" x14ac:dyDescent="0.4">
      <c r="A304" s="12"/>
      <c r="B304" s="13"/>
      <c r="C304" s="14"/>
    </row>
    <row r="305" spans="1:4" ht="14.25" customHeight="1" x14ac:dyDescent="0.4">
      <c r="A305" s="12"/>
      <c r="B305" s="13"/>
      <c r="C305" s="14"/>
    </row>
    <row r="306" spans="1:4" ht="14.25" customHeight="1" x14ac:dyDescent="0.4">
      <c r="A306" s="12"/>
      <c r="B306" s="13"/>
      <c r="C306" s="14"/>
    </row>
    <row r="307" spans="1:4" ht="14.25" customHeight="1" x14ac:dyDescent="0.4">
      <c r="A307" s="12"/>
      <c r="B307" s="13"/>
      <c r="C307" s="14"/>
    </row>
    <row r="308" spans="1:4" ht="14.25" customHeight="1" x14ac:dyDescent="0.4">
      <c r="A308" s="12"/>
      <c r="B308" s="13"/>
      <c r="C308" s="14"/>
      <c r="D308" s="15"/>
    </row>
    <row r="309" spans="1:4" ht="14.25" customHeight="1" x14ac:dyDescent="0.4">
      <c r="A309" s="12"/>
      <c r="B309" s="13"/>
      <c r="C309" s="14"/>
    </row>
    <row r="310" spans="1:4" ht="14.25" customHeight="1" x14ac:dyDescent="0.4"/>
    <row r="311" spans="1:4" ht="14.25" customHeight="1" x14ac:dyDescent="0.4"/>
    <row r="312" spans="1:4" ht="14.25" customHeight="1" x14ac:dyDescent="0.4"/>
    <row r="313" spans="1:4" ht="14.25" customHeight="1" x14ac:dyDescent="0.4"/>
    <row r="314" spans="1:4" ht="14.25" customHeight="1" x14ac:dyDescent="0.4"/>
    <row r="315" spans="1:4" ht="14.25" customHeight="1" x14ac:dyDescent="0.4"/>
    <row r="316" spans="1:4" ht="14.25" customHeight="1" x14ac:dyDescent="0.4"/>
    <row r="317" spans="1:4" ht="14.25" customHeight="1" x14ac:dyDescent="0.4"/>
    <row r="318" spans="1:4" ht="14.25" customHeight="1" x14ac:dyDescent="0.4"/>
    <row r="319" spans="1:4" ht="14.25" customHeight="1" x14ac:dyDescent="0.4"/>
    <row r="320" spans="1:4" ht="14.25" customHeight="1" x14ac:dyDescent="0.4"/>
    <row r="321" ht="14.25" customHeight="1" x14ac:dyDescent="0.4"/>
    <row r="322" ht="14.25" customHeight="1" x14ac:dyDescent="0.4"/>
    <row r="323" ht="14.25" customHeight="1" x14ac:dyDescent="0.4"/>
    <row r="324" ht="14.25" customHeight="1" x14ac:dyDescent="0.4"/>
    <row r="325" ht="14.25" customHeight="1" x14ac:dyDescent="0.4"/>
    <row r="326" ht="14.25" customHeight="1" x14ac:dyDescent="0.4"/>
    <row r="327" ht="14.25" customHeight="1" x14ac:dyDescent="0.4"/>
    <row r="328" ht="14.25" customHeight="1" x14ac:dyDescent="0.4"/>
    <row r="329" ht="14.25" customHeight="1" x14ac:dyDescent="0.4"/>
    <row r="330" ht="14.25" customHeight="1" x14ac:dyDescent="0.4"/>
    <row r="331" ht="14.25" customHeight="1" x14ac:dyDescent="0.4"/>
    <row r="332" ht="14.25" customHeight="1" x14ac:dyDescent="0.4"/>
    <row r="333" ht="14.25" customHeight="1" x14ac:dyDescent="0.4"/>
    <row r="334" ht="14.25" customHeight="1" x14ac:dyDescent="0.4"/>
    <row r="335" ht="14.25" customHeight="1" x14ac:dyDescent="0.4"/>
    <row r="336" ht="14.25" customHeight="1" x14ac:dyDescent="0.4"/>
    <row r="337" ht="14.25" customHeight="1" x14ac:dyDescent="0.4"/>
    <row r="338" ht="14.25" customHeight="1" x14ac:dyDescent="0.4"/>
    <row r="339" ht="14.25" customHeight="1" x14ac:dyDescent="0.4"/>
    <row r="340" ht="14.25" customHeight="1" x14ac:dyDescent="0.4"/>
    <row r="341" ht="14.25" customHeight="1" x14ac:dyDescent="0.4"/>
    <row r="342" ht="14.25" customHeight="1" x14ac:dyDescent="0.4"/>
    <row r="343" ht="14.25" customHeight="1" x14ac:dyDescent="0.4"/>
    <row r="344" ht="14.25" customHeight="1" x14ac:dyDescent="0.4"/>
    <row r="345" ht="14.25" customHeight="1" x14ac:dyDescent="0.4"/>
    <row r="346" ht="14.25" customHeight="1" x14ac:dyDescent="0.4"/>
    <row r="347" ht="14.25" customHeight="1" x14ac:dyDescent="0.4"/>
    <row r="348" ht="14.25" customHeight="1" x14ac:dyDescent="0.4"/>
    <row r="349" ht="14.25" customHeight="1" x14ac:dyDescent="0.4"/>
    <row r="350" ht="14.25" customHeight="1" x14ac:dyDescent="0.4"/>
    <row r="351" ht="14.25" customHeight="1" x14ac:dyDescent="0.4"/>
    <row r="352" ht="14.25" customHeight="1" x14ac:dyDescent="0.4"/>
    <row r="353" ht="14.25" customHeight="1" x14ac:dyDescent="0.4"/>
    <row r="354" ht="14.25" customHeight="1" x14ac:dyDescent="0.4"/>
    <row r="355" ht="14.25" customHeight="1" x14ac:dyDescent="0.4"/>
    <row r="356" ht="14.25" customHeight="1" x14ac:dyDescent="0.4"/>
    <row r="357" ht="14.25" customHeight="1" x14ac:dyDescent="0.4"/>
    <row r="358" ht="14.25" customHeight="1" x14ac:dyDescent="0.4"/>
    <row r="359" ht="14.25" customHeight="1" x14ac:dyDescent="0.4"/>
    <row r="360" ht="14.25" customHeight="1" x14ac:dyDescent="0.4"/>
    <row r="361" ht="14.25" customHeight="1" x14ac:dyDescent="0.4"/>
    <row r="362" ht="14.25" customHeight="1" x14ac:dyDescent="0.4"/>
    <row r="363" ht="14.25" customHeight="1" x14ac:dyDescent="0.4"/>
    <row r="364" ht="14.25" customHeight="1" x14ac:dyDescent="0.4"/>
    <row r="365" ht="14.25" customHeight="1" x14ac:dyDescent="0.4"/>
    <row r="366" ht="14.25" customHeight="1" x14ac:dyDescent="0.4"/>
    <row r="367" ht="14.25" customHeight="1" x14ac:dyDescent="0.4"/>
    <row r="368" ht="14.25" customHeight="1" x14ac:dyDescent="0.4"/>
    <row r="369" ht="14.25" customHeight="1" x14ac:dyDescent="0.4"/>
    <row r="370" ht="14.25" customHeight="1" x14ac:dyDescent="0.4"/>
    <row r="371" ht="14.25" customHeight="1" x14ac:dyDescent="0.4"/>
    <row r="372" ht="14.25" customHeight="1" x14ac:dyDescent="0.4"/>
    <row r="373" ht="14.25" customHeight="1" x14ac:dyDescent="0.4"/>
    <row r="374" ht="14.25" customHeight="1" x14ac:dyDescent="0.4"/>
    <row r="375" ht="14.25" customHeight="1" x14ac:dyDescent="0.4"/>
    <row r="376" ht="14.25" customHeight="1" x14ac:dyDescent="0.4"/>
    <row r="377" ht="14.25" customHeight="1" x14ac:dyDescent="0.4"/>
    <row r="378" ht="14.25" customHeight="1" x14ac:dyDescent="0.4"/>
    <row r="379" ht="14.25" customHeight="1" x14ac:dyDescent="0.4"/>
    <row r="380" ht="14.25" customHeight="1" x14ac:dyDescent="0.4"/>
    <row r="381" ht="14.25" customHeight="1" x14ac:dyDescent="0.4"/>
    <row r="382" ht="14.25" customHeight="1" x14ac:dyDescent="0.4"/>
    <row r="383" ht="14.25" customHeight="1" x14ac:dyDescent="0.4"/>
    <row r="384" ht="14.25" customHeight="1" x14ac:dyDescent="0.4"/>
    <row r="385" ht="14.25" customHeight="1" x14ac:dyDescent="0.4"/>
    <row r="386" ht="14.25" customHeight="1" x14ac:dyDescent="0.4"/>
    <row r="387" ht="14.25" customHeight="1" x14ac:dyDescent="0.4"/>
    <row r="388" ht="14.25" customHeight="1" x14ac:dyDescent="0.4"/>
    <row r="389" ht="14.25" customHeight="1" x14ac:dyDescent="0.4"/>
    <row r="390" ht="14.25" customHeight="1" x14ac:dyDescent="0.4"/>
    <row r="391" ht="14.25" customHeight="1" x14ac:dyDescent="0.4"/>
    <row r="392" ht="14.25" customHeight="1" x14ac:dyDescent="0.4"/>
    <row r="393" ht="14.25" customHeight="1" x14ac:dyDescent="0.4"/>
    <row r="394" ht="14.25" customHeight="1" x14ac:dyDescent="0.4"/>
    <row r="395" ht="14.25" customHeight="1" x14ac:dyDescent="0.4"/>
    <row r="396" ht="14.25" customHeight="1" x14ac:dyDescent="0.4"/>
    <row r="397" ht="14.25" customHeight="1" x14ac:dyDescent="0.4"/>
    <row r="398" ht="14.25" customHeight="1" x14ac:dyDescent="0.4"/>
    <row r="399" ht="14.25" customHeight="1" x14ac:dyDescent="0.4"/>
    <row r="400" ht="14.25" customHeight="1" x14ac:dyDescent="0.4"/>
    <row r="401" ht="14.25" customHeight="1" x14ac:dyDescent="0.4"/>
    <row r="402" ht="14.25" customHeight="1" x14ac:dyDescent="0.4"/>
    <row r="403" ht="14.25" customHeight="1" x14ac:dyDescent="0.4"/>
    <row r="404" ht="14.25" customHeight="1" x14ac:dyDescent="0.4"/>
    <row r="405" ht="14.25" customHeight="1" x14ac:dyDescent="0.4"/>
    <row r="406" ht="14.25" customHeight="1" x14ac:dyDescent="0.4"/>
    <row r="407" ht="14.25" customHeight="1" x14ac:dyDescent="0.4"/>
    <row r="408" ht="14.25" customHeight="1" x14ac:dyDescent="0.4"/>
    <row r="409" ht="14.25" customHeight="1" x14ac:dyDescent="0.4"/>
    <row r="410" ht="14.25" customHeight="1" x14ac:dyDescent="0.4"/>
    <row r="411" ht="14.25" customHeight="1" x14ac:dyDescent="0.4"/>
    <row r="412" ht="14.25" customHeight="1" x14ac:dyDescent="0.4"/>
    <row r="413" ht="14.25" customHeight="1" x14ac:dyDescent="0.4"/>
    <row r="414" ht="14.25" customHeight="1" x14ac:dyDescent="0.4"/>
    <row r="415" ht="14.25" customHeight="1" x14ac:dyDescent="0.4"/>
    <row r="416" ht="14.25" customHeight="1" x14ac:dyDescent="0.4"/>
    <row r="417" ht="14.25" customHeight="1" x14ac:dyDescent="0.4"/>
    <row r="418" ht="14.25" customHeight="1" x14ac:dyDescent="0.4"/>
    <row r="419" ht="14.25" customHeight="1" x14ac:dyDescent="0.4"/>
    <row r="420" ht="14.25" customHeight="1" x14ac:dyDescent="0.4"/>
    <row r="421" ht="14.25" customHeight="1" x14ac:dyDescent="0.4"/>
    <row r="422" ht="14.25" customHeight="1" x14ac:dyDescent="0.4"/>
    <row r="423" ht="14.25" customHeight="1" x14ac:dyDescent="0.4"/>
    <row r="424" ht="14.25" customHeight="1" x14ac:dyDescent="0.4"/>
    <row r="425" ht="14.25" customHeight="1" x14ac:dyDescent="0.4"/>
    <row r="426" ht="14.25" customHeight="1" x14ac:dyDescent="0.4"/>
    <row r="427" ht="14.25" customHeight="1" x14ac:dyDescent="0.4"/>
    <row r="428" ht="14.25" customHeight="1" x14ac:dyDescent="0.4"/>
    <row r="429" ht="14.25" customHeight="1" x14ac:dyDescent="0.4"/>
    <row r="430" ht="14.25" customHeight="1" x14ac:dyDescent="0.4"/>
    <row r="431" ht="14.25" customHeight="1" x14ac:dyDescent="0.4"/>
    <row r="432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mergeCells count="5">
    <mergeCell ref="AN56:AV56"/>
    <mergeCell ref="AN13:AW13"/>
    <mergeCell ref="R1:AJ1"/>
    <mergeCell ref="G1:P1"/>
    <mergeCell ref="G20:O20"/>
  </mergeCells>
  <conditionalFormatting sqref="H22:I2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L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:N2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2:O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3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:AV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9:AW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66:AO6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66:AP7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2:L2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4:AP11 AV4:AV11">
    <cfRule type="cellIs" dxfId="96" priority="19" operator="greaterThan">
      <formula>1</formula>
    </cfRule>
  </conditionalFormatting>
  <conditionalFormatting sqref="H83:H8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3:R8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4:H9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94:R9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05:H10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5:R10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66:AO7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31 AR16:AR31 AU16:AU3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31 AS16:AS31 AV16:AV3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31 AT16:AT31 AW16:AW3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6:AR31">
    <cfRule type="colorScale" priority="32">
      <colorScale>
        <cfvo type="min"/>
        <cfvo type="max"/>
        <color rgb="FFFCFCFF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3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6:AT3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6:AU3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6:AV3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6:AW3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W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6:AX3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6:AP5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4:AK18">
    <cfRule type="colorScale" priority="42">
      <colorScale>
        <cfvo type="min"/>
        <cfvo type="max"/>
        <color rgb="FFFCFCFF"/>
        <color rgb="FF63BE7B"/>
      </colorScale>
    </cfRule>
  </conditionalFormatting>
  <conditionalFormatting sqref="H65:H80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5:R8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7:H62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7:R62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9:H4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:R4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8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8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6:AO5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31">
    <cfRule type="colorScale" priority="63">
      <colorScale>
        <cfvo type="min"/>
        <cfvo type="max"/>
        <color rgb="FFFCFCFF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31">
    <cfRule type="colorScale" priority="65">
      <colorScale>
        <cfvo type="min"/>
        <cfvo type="max"/>
        <color rgb="FFF8696B"/>
        <color rgb="FFFCFCFF"/>
      </colorScale>
    </cfRule>
  </conditionalFormatting>
  <conditionalFormatting sqref="AQ16:AQ31">
    <cfRule type="colorScale" priority="66">
      <colorScale>
        <cfvo type="min"/>
        <cfvo type="max"/>
        <color rgb="FFFCFCFF"/>
        <color rgb="FF63BE7B"/>
      </colorScale>
    </cfRule>
  </conditionalFormatting>
  <conditionalFormatting pivot="1" sqref="S4:AH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S19:AH19">
    <cfRule type="colorScale" priority="3">
      <colorScale>
        <cfvo type="min"/>
        <cfvo type="max"/>
        <color rgb="FFFCFCFF"/>
        <color rgb="FF63BE7B"/>
      </colorScale>
    </cfRule>
  </conditionalFormatting>
  <conditionalFormatting pivot="1" sqref="AI4:AI18">
    <cfRule type="colorScale" priority="2">
      <colorScale>
        <cfvo type="min"/>
        <cfvo type="max"/>
        <color rgb="FFFCFCFF"/>
        <color rgb="FF63BE7B"/>
      </colorScale>
    </cfRule>
  </conditionalFormatting>
  <hyperlinks>
    <hyperlink ref="D21" r:id="rId2" xr:uid="{00000000-0004-0000-0000-000000000000}"/>
    <hyperlink ref="D32" r:id="rId3" xr:uid="{00000000-0004-0000-0000-000001000000}"/>
    <hyperlink ref="D46" r:id="rId4" xr:uid="{00000000-0004-0000-0000-000002000000}"/>
    <hyperlink ref="D152" r:id="rId5" xr:uid="{00000000-0004-0000-0000-000003000000}"/>
    <hyperlink ref="D188" r:id="rId6" xr:uid="{00000000-0004-0000-0000-000004000000}"/>
    <hyperlink ref="D223" r:id="rId7" xr:uid="{00000000-0004-0000-0000-000005000000}"/>
    <hyperlink ref="D286" r:id="rId8" xr:uid="{00000000-0004-0000-0000-000006000000}"/>
    <hyperlink ref="D301" r:id="rId9" xr:uid="{00000000-0004-0000-0000-000007000000}"/>
  </hyperlinks>
  <pageMargins left="0.7" right="0.7" top="0.75" bottom="0.75" header="0" footer="0"/>
  <pageSetup orientation="landscape"/>
  <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X1000"/>
  <sheetViews>
    <sheetView topLeftCell="B1" zoomScale="80" zoomScaleNormal="80" workbookViewId="0">
      <selection activeCell="AG43" sqref="AG43"/>
    </sheetView>
  </sheetViews>
  <sheetFormatPr defaultColWidth="12.61328125" defaultRowHeight="15" customHeight="1" x14ac:dyDescent="0.4"/>
  <cols>
    <col min="1" max="1" width="7.3828125" customWidth="1"/>
    <col min="2" max="2" width="6.61328125" customWidth="1"/>
    <col min="3" max="3" width="7.3828125" customWidth="1"/>
    <col min="4" max="4" width="8.61328125" customWidth="1"/>
    <col min="5" max="5" width="2.23046875" customWidth="1"/>
    <col min="6" max="6" width="8.61328125" customWidth="1"/>
    <col min="7" max="7" width="12.61328125" customWidth="1"/>
    <col min="8" max="9" width="7.23046875" customWidth="1"/>
    <col min="10" max="10" width="5.4609375" customWidth="1"/>
    <col min="11" max="11" width="9.765625" customWidth="1"/>
    <col min="12" max="12" width="12.23046875" customWidth="1"/>
    <col min="13" max="13" width="7.15234375" customWidth="1"/>
    <col min="14" max="14" width="8.4609375" customWidth="1"/>
    <col min="15" max="15" width="11.15234375" customWidth="1"/>
    <col min="16" max="16" width="13.23046875" customWidth="1"/>
    <col min="17" max="17" width="7.3828125" customWidth="1"/>
    <col min="18" max="18" width="13.23046875" bestFit="1" customWidth="1"/>
    <col min="19" max="19" width="9.23046875" bestFit="1" customWidth="1"/>
    <col min="20" max="20" width="4.15234375" bestFit="1" customWidth="1"/>
    <col min="21" max="21" width="3.921875" bestFit="1" customWidth="1"/>
    <col min="22" max="22" width="7.07421875" bestFit="1" customWidth="1"/>
    <col min="23" max="23" width="4.69140625" bestFit="1" customWidth="1"/>
    <col min="24" max="24" width="5.69140625" bestFit="1" customWidth="1"/>
    <col min="25" max="25" width="5.53515625" bestFit="1" customWidth="1"/>
    <col min="26" max="26" width="7.23046875" bestFit="1" customWidth="1"/>
    <col min="27" max="27" width="5.921875" bestFit="1" customWidth="1"/>
    <col min="28" max="28" width="7.07421875" bestFit="1" customWidth="1"/>
    <col min="29" max="29" width="7.61328125" customWidth="1"/>
    <col min="30" max="30" width="4.765625" bestFit="1" customWidth="1"/>
    <col min="31" max="31" width="6.61328125" bestFit="1" customWidth="1"/>
    <col min="32" max="32" width="5.15234375" customWidth="1"/>
    <col min="33" max="33" width="4.3046875" bestFit="1" customWidth="1"/>
    <col min="34" max="34" width="6.84375" bestFit="1" customWidth="1"/>
    <col min="35" max="36" width="10.15234375" bestFit="1" customWidth="1"/>
    <col min="37" max="37" width="6.61328125" customWidth="1"/>
    <col min="38" max="39" width="8.61328125" customWidth="1"/>
    <col min="40" max="40" width="12.61328125" customWidth="1"/>
    <col min="41" max="41" width="8.3828125" customWidth="1"/>
    <col min="42" max="42" width="8.4609375" customWidth="1"/>
    <col min="43" max="43" width="7.15234375" customWidth="1"/>
    <col min="44" max="44" width="9.23046875" customWidth="1"/>
    <col min="45" max="45" width="13.84375" customWidth="1"/>
    <col min="46" max="46" width="7.61328125" customWidth="1"/>
    <col min="47" max="47" width="8.15234375" customWidth="1"/>
    <col min="48" max="48" width="10.765625" customWidth="1"/>
    <col min="49" max="49" width="12" customWidth="1"/>
    <col min="50" max="50" width="8.15234375" customWidth="1"/>
    <col min="51" max="51" width="8.61328125" customWidth="1"/>
  </cols>
  <sheetData>
    <row r="1" spans="1:50" ht="14.25" customHeight="1" thickBot="1" x14ac:dyDescent="0.45">
      <c r="A1" s="1" t="s">
        <v>0</v>
      </c>
      <c r="B1" s="2" t="s">
        <v>1</v>
      </c>
      <c r="C1" s="3" t="s">
        <v>2</v>
      </c>
      <c r="D1" s="4" t="s">
        <v>3</v>
      </c>
      <c r="G1" s="131" t="s">
        <v>4</v>
      </c>
      <c r="H1" s="132"/>
      <c r="I1" s="132"/>
      <c r="J1" s="132"/>
      <c r="K1" s="132"/>
      <c r="L1" s="132"/>
      <c r="M1" s="132"/>
      <c r="N1" s="132"/>
      <c r="O1" s="132"/>
      <c r="P1" s="133"/>
      <c r="Q1" s="5"/>
      <c r="R1" s="134" t="s">
        <v>5</v>
      </c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6"/>
      <c r="AP1" s="7" t="s">
        <v>6</v>
      </c>
      <c r="AQ1" s="8" t="s">
        <v>7</v>
      </c>
      <c r="AR1" s="9" t="s">
        <v>8</v>
      </c>
      <c r="AS1" s="10" t="s">
        <v>9</v>
      </c>
      <c r="AT1" s="11" t="s">
        <v>8</v>
      </c>
      <c r="AU1" s="8" t="s">
        <v>10</v>
      </c>
      <c r="AV1" s="7" t="s">
        <v>6</v>
      </c>
    </row>
    <row r="2" spans="1:50" ht="14.25" customHeight="1" x14ac:dyDescent="0.4">
      <c r="A2" s="12" t="s">
        <v>11</v>
      </c>
      <c r="B2" s="13">
        <v>2</v>
      </c>
      <c r="C2" s="14" t="s">
        <v>12</v>
      </c>
      <c r="D2" s="15" t="s">
        <v>13</v>
      </c>
      <c r="E2" s="4"/>
      <c r="F2" s="16"/>
      <c r="G2" s="17" t="s">
        <v>14</v>
      </c>
      <c r="H2" s="18" t="s">
        <v>15</v>
      </c>
      <c r="I2" s="18" t="s">
        <v>16</v>
      </c>
      <c r="J2" s="18" t="s">
        <v>17</v>
      </c>
      <c r="K2" s="18" t="s">
        <v>18</v>
      </c>
      <c r="L2" s="18" t="s">
        <v>19</v>
      </c>
      <c r="M2" s="18" t="s">
        <v>20</v>
      </c>
      <c r="N2" s="18" t="s">
        <v>21</v>
      </c>
      <c r="O2" s="18" t="s">
        <v>22</v>
      </c>
      <c r="P2" s="19" t="s">
        <v>23</v>
      </c>
      <c r="Q2" s="5"/>
      <c r="R2" s="126" t="s">
        <v>24</v>
      </c>
      <c r="S2" s="126" t="s">
        <v>2</v>
      </c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K2" s="21" t="s">
        <v>25</v>
      </c>
      <c r="AP2" s="22"/>
      <c r="AQ2" s="23"/>
      <c r="AR2" s="24">
        <f>COUNT(B$1:B$155)</f>
        <v>154</v>
      </c>
      <c r="AS2" s="25" t="s">
        <v>26</v>
      </c>
      <c r="AT2" s="24">
        <f>COUNT(B$1:B$155)</f>
        <v>154</v>
      </c>
      <c r="AU2" s="22"/>
      <c r="AV2" s="22"/>
    </row>
    <row r="3" spans="1:50" ht="14.6" customHeight="1" x14ac:dyDescent="0.4">
      <c r="A3" s="12" t="s">
        <v>12</v>
      </c>
      <c r="B3" s="13">
        <v>1</v>
      </c>
      <c r="C3" s="14" t="s">
        <v>11</v>
      </c>
      <c r="D3" s="15" t="s">
        <v>27</v>
      </c>
      <c r="E3" s="4"/>
      <c r="F3" s="26"/>
      <c r="G3" s="27" t="s">
        <v>28</v>
      </c>
      <c r="H3" s="28">
        <f t="shared" ref="H3:H18" si="0">COUNTIF($A:$A,G3)</f>
        <v>15</v>
      </c>
      <c r="I3" s="28">
        <f t="shared" ref="I3:I18" si="1">COUNTIF($C:$C,G3)</f>
        <v>14</v>
      </c>
      <c r="J3" s="29">
        <f t="shared" ref="J3:J18" si="2">IF(I3,H3/I3,H3)</f>
        <v>1.0714285714285714</v>
      </c>
      <c r="K3" s="28">
        <f t="shared" ref="K3:K18" si="3">IFERROR(GETPIVOTDATA("Points",$R$2,"Sniper",G3),0)</f>
        <v>21</v>
      </c>
      <c r="L3" s="28">
        <f t="shared" ref="L3:L18" si="4">IFERROR(GETPIVOTDATA("Points",$R$2,"Snipee",G3),0)</f>
        <v>20</v>
      </c>
      <c r="M3" s="29">
        <f t="shared" ref="M3:M18" si="5">IF(L3,K3/L3,K3)</f>
        <v>1.05</v>
      </c>
      <c r="N3" s="29">
        <f t="shared" ref="N3:N18" si="6">IF(H3,K3/H3,0)</f>
        <v>1.4</v>
      </c>
      <c r="O3" s="29">
        <f t="shared" ref="O3:O18" si="7">IF(I3,L3/I3,0)</f>
        <v>1.4285714285714286</v>
      </c>
      <c r="P3" s="30">
        <f t="shared" ref="P3:P18" si="8">IFERROR(VLOOKUP(G3,R:AK,20,FALSE)/15,0)</f>
        <v>0.73333333333333328</v>
      </c>
      <c r="Q3" s="5"/>
      <c r="R3" s="127" t="s">
        <v>0</v>
      </c>
      <c r="S3" s="128" t="s">
        <v>29</v>
      </c>
      <c r="T3" s="128" t="s">
        <v>30</v>
      </c>
      <c r="U3" s="128" t="s">
        <v>11</v>
      </c>
      <c r="V3" s="128" t="s">
        <v>31</v>
      </c>
      <c r="W3" s="128" t="s">
        <v>32</v>
      </c>
      <c r="X3" s="128" t="s">
        <v>33</v>
      </c>
      <c r="Y3" s="128" t="s">
        <v>12</v>
      </c>
      <c r="Z3" s="128" t="s">
        <v>34</v>
      </c>
      <c r="AA3" s="128" t="s">
        <v>28</v>
      </c>
      <c r="AB3" s="128" t="s">
        <v>35</v>
      </c>
      <c r="AC3" s="128" t="s">
        <v>36</v>
      </c>
      <c r="AD3" s="128" t="s">
        <v>37</v>
      </c>
      <c r="AE3" s="128" t="s">
        <v>38</v>
      </c>
      <c r="AF3" s="128" t="s">
        <v>39</v>
      </c>
      <c r="AG3" s="128" t="s">
        <v>40</v>
      </c>
      <c r="AH3" s="128" t="s">
        <v>41</v>
      </c>
      <c r="AI3" s="128" t="s">
        <v>42</v>
      </c>
      <c r="AK3" s="21" t="s">
        <v>15</v>
      </c>
      <c r="AP3" s="22"/>
      <c r="AQ3" s="22"/>
      <c r="AR3" s="32">
        <f>IFERROR(GETPIVOTDATA("Points",R2),0)</f>
        <v>417</v>
      </c>
      <c r="AS3" s="33" t="s">
        <v>43</v>
      </c>
      <c r="AT3" s="32">
        <f>IFERROR(GETPIVOTDATA("Points",R2),0)</f>
        <v>417</v>
      </c>
      <c r="AU3" s="22"/>
      <c r="AV3" s="22"/>
    </row>
    <row r="4" spans="1:50" ht="14.6" customHeight="1" x14ac:dyDescent="0.4">
      <c r="A4" s="12" t="s">
        <v>12</v>
      </c>
      <c r="B4" s="13">
        <v>2</v>
      </c>
      <c r="C4" s="14" t="s">
        <v>35</v>
      </c>
      <c r="D4" s="15" t="s">
        <v>44</v>
      </c>
      <c r="E4" s="4"/>
      <c r="F4" s="26"/>
      <c r="G4" s="27" t="s">
        <v>33</v>
      </c>
      <c r="H4" s="28">
        <f t="shared" si="0"/>
        <v>17</v>
      </c>
      <c r="I4" s="28">
        <f t="shared" si="1"/>
        <v>22</v>
      </c>
      <c r="J4" s="29">
        <f t="shared" si="2"/>
        <v>0.77272727272727271</v>
      </c>
      <c r="K4" s="28">
        <f t="shared" si="3"/>
        <v>22</v>
      </c>
      <c r="L4" s="28">
        <f t="shared" si="4"/>
        <v>33</v>
      </c>
      <c r="M4" s="29">
        <f t="shared" si="5"/>
        <v>0.66666666666666663</v>
      </c>
      <c r="N4" s="29">
        <f t="shared" si="6"/>
        <v>1.2941176470588236</v>
      </c>
      <c r="O4" s="29">
        <f t="shared" si="7"/>
        <v>1.5</v>
      </c>
      <c r="P4" s="30">
        <f t="shared" si="8"/>
        <v>0.66666666666666663</v>
      </c>
      <c r="Q4" s="5"/>
      <c r="R4" s="127" t="s">
        <v>29</v>
      </c>
      <c r="S4" s="154"/>
      <c r="T4" s="154">
        <v>24</v>
      </c>
      <c r="U4" s="154">
        <v>13</v>
      </c>
      <c r="V4" s="154">
        <v>6</v>
      </c>
      <c r="W4" s="154">
        <v>6</v>
      </c>
      <c r="X4" s="154">
        <v>3</v>
      </c>
      <c r="Y4" s="154">
        <v>5</v>
      </c>
      <c r="Z4" s="154">
        <v>4</v>
      </c>
      <c r="AA4" s="154"/>
      <c r="AB4" s="154">
        <v>4</v>
      </c>
      <c r="AC4" s="154">
        <v>1</v>
      </c>
      <c r="AD4" s="154"/>
      <c r="AE4" s="154"/>
      <c r="AF4" s="154">
        <v>1</v>
      </c>
      <c r="AG4" s="154"/>
      <c r="AH4" s="154"/>
      <c r="AI4" s="154">
        <v>67</v>
      </c>
      <c r="AK4" s="21">
        <f t="shared" ref="AK4:AK18" si="9">IF(COUNT(S4:AJ4)&lt;&gt;0,COUNT(S4:AJ4)-1,"")</f>
        <v>10</v>
      </c>
      <c r="AP4" s="35">
        <f>COUNTIF(H3:H17,AR4)</f>
        <v>1</v>
      </c>
      <c r="AQ4" s="36" t="str">
        <f>$G$29</f>
        <v>Mikey</v>
      </c>
      <c r="AR4" s="32">
        <f>MAX(H3:H18)</f>
        <v>49</v>
      </c>
      <c r="AS4" s="33" t="s">
        <v>45</v>
      </c>
      <c r="AT4" s="37" t="e">
        <f ca="1">Maxine(H22:H25)</f>
        <v>#NAME?</v>
      </c>
      <c r="AU4" s="38" t="str">
        <f>$G$86</f>
        <v>Baris</v>
      </c>
      <c r="AV4" s="35">
        <f ca="1">COUNTIF(H22:H25,AT4)</f>
        <v>0</v>
      </c>
    </row>
    <row r="5" spans="1:50" ht="14.6" customHeight="1" x14ac:dyDescent="0.4">
      <c r="A5" s="12" t="s">
        <v>29</v>
      </c>
      <c r="B5" s="13">
        <v>1</v>
      </c>
      <c r="C5" s="14" t="s">
        <v>30</v>
      </c>
      <c r="D5" s="15" t="s">
        <v>46</v>
      </c>
      <c r="F5" s="26"/>
      <c r="G5" s="27" t="s">
        <v>32</v>
      </c>
      <c r="H5" s="28">
        <f t="shared" si="0"/>
        <v>33</v>
      </c>
      <c r="I5" s="28">
        <f t="shared" si="1"/>
        <v>26</v>
      </c>
      <c r="J5" s="29">
        <f t="shared" si="2"/>
        <v>1.2692307692307692</v>
      </c>
      <c r="K5" s="28">
        <f t="shared" si="3"/>
        <v>43</v>
      </c>
      <c r="L5" s="28">
        <f t="shared" si="4"/>
        <v>34</v>
      </c>
      <c r="M5" s="29">
        <f t="shared" si="5"/>
        <v>1.2647058823529411</v>
      </c>
      <c r="N5" s="29">
        <f t="shared" si="6"/>
        <v>1.303030303030303</v>
      </c>
      <c r="O5" s="29">
        <f t="shared" si="7"/>
        <v>1.3076923076923077</v>
      </c>
      <c r="P5" s="30">
        <f t="shared" si="8"/>
        <v>0.66666666666666663</v>
      </c>
      <c r="Q5" s="5"/>
      <c r="R5" s="127" t="s">
        <v>12</v>
      </c>
      <c r="S5" s="154">
        <v>11</v>
      </c>
      <c r="T5" s="154">
        <v>3</v>
      </c>
      <c r="U5" s="154">
        <v>3</v>
      </c>
      <c r="V5" s="154">
        <v>8</v>
      </c>
      <c r="W5" s="154">
        <v>4</v>
      </c>
      <c r="X5" s="154">
        <v>4</v>
      </c>
      <c r="Y5" s="154"/>
      <c r="Z5" s="154">
        <v>3</v>
      </c>
      <c r="AA5" s="154">
        <v>9</v>
      </c>
      <c r="AB5" s="154">
        <v>11</v>
      </c>
      <c r="AC5" s="154">
        <v>1</v>
      </c>
      <c r="AD5" s="154">
        <v>6</v>
      </c>
      <c r="AE5" s="154">
        <v>2</v>
      </c>
      <c r="AF5" s="154">
        <v>1</v>
      </c>
      <c r="AG5" s="154"/>
      <c r="AH5" s="154"/>
      <c r="AI5" s="154">
        <v>66</v>
      </c>
      <c r="AK5" s="21">
        <f t="shared" si="9"/>
        <v>13</v>
      </c>
      <c r="AP5" s="35">
        <f>COUNTIF(I3:I17,AR5)</f>
        <v>1</v>
      </c>
      <c r="AQ5" s="36" t="str">
        <f>$G$47</f>
        <v>Mikey</v>
      </c>
      <c r="AR5" s="32">
        <f>MAX(H47:H62)</f>
        <v>44</v>
      </c>
      <c r="AS5" s="33" t="s">
        <v>47</v>
      </c>
      <c r="AT5" s="37" t="e">
        <f ca="1">Maxine(I22:I25)</f>
        <v>#NAME?</v>
      </c>
      <c r="AU5" s="39" t="str">
        <f>$G$97</f>
        <v>Baris</v>
      </c>
      <c r="AV5" s="35">
        <f ca="1">COUNTIF(I22:I25,AT5)</f>
        <v>0</v>
      </c>
    </row>
    <row r="6" spans="1:50" ht="14.6" customHeight="1" x14ac:dyDescent="0.4">
      <c r="A6" s="12" t="s">
        <v>30</v>
      </c>
      <c r="B6" s="13">
        <v>1</v>
      </c>
      <c r="C6" s="14" t="s">
        <v>29</v>
      </c>
      <c r="D6" s="15" t="s">
        <v>48</v>
      </c>
      <c r="F6" s="26"/>
      <c r="G6" s="27" t="s">
        <v>34</v>
      </c>
      <c r="H6" s="28">
        <f t="shared" si="0"/>
        <v>16</v>
      </c>
      <c r="I6" s="28">
        <f t="shared" si="1"/>
        <v>19</v>
      </c>
      <c r="J6" s="29">
        <f t="shared" si="2"/>
        <v>0.84210526315789469</v>
      </c>
      <c r="K6" s="28">
        <f t="shared" si="3"/>
        <v>22</v>
      </c>
      <c r="L6" s="28">
        <f t="shared" si="4"/>
        <v>27</v>
      </c>
      <c r="M6" s="29">
        <f t="shared" si="5"/>
        <v>0.81481481481481477</v>
      </c>
      <c r="N6" s="29">
        <f t="shared" si="6"/>
        <v>1.375</v>
      </c>
      <c r="O6" s="29">
        <f t="shared" si="7"/>
        <v>1.4210526315789473</v>
      </c>
      <c r="P6" s="30">
        <f t="shared" si="8"/>
        <v>0.46666666666666667</v>
      </c>
      <c r="Q6" s="5"/>
      <c r="R6" s="127" t="s">
        <v>11</v>
      </c>
      <c r="S6" s="154">
        <v>8</v>
      </c>
      <c r="T6" s="154">
        <v>14</v>
      </c>
      <c r="U6" s="154"/>
      <c r="V6" s="154">
        <v>4</v>
      </c>
      <c r="W6" s="154">
        <v>12</v>
      </c>
      <c r="X6" s="154">
        <v>6</v>
      </c>
      <c r="Y6" s="154">
        <v>5</v>
      </c>
      <c r="Z6" s="154">
        <v>5</v>
      </c>
      <c r="AA6" s="154"/>
      <c r="AB6" s="154"/>
      <c r="AC6" s="154">
        <v>1</v>
      </c>
      <c r="AD6" s="154">
        <v>1</v>
      </c>
      <c r="AE6" s="154"/>
      <c r="AF6" s="154"/>
      <c r="AG6" s="154"/>
      <c r="AH6" s="154"/>
      <c r="AI6" s="154">
        <v>56</v>
      </c>
      <c r="AK6" s="21">
        <f t="shared" si="9"/>
        <v>9</v>
      </c>
      <c r="AP6" s="35">
        <f>COUNTIF(K3:K17,AR6)</f>
        <v>1</v>
      </c>
      <c r="AQ6" s="36" t="str">
        <f>$Q$29</f>
        <v>Mikey</v>
      </c>
      <c r="AR6" s="32">
        <f>MAX(R29:R44)</f>
        <v>67</v>
      </c>
      <c r="AS6" s="33" t="s">
        <v>49</v>
      </c>
      <c r="AT6" s="37" t="e">
        <f ca="1">Maxine(K22:K25)</f>
        <v>#NAME?</v>
      </c>
      <c r="AU6" s="39" t="str">
        <f>$Q$86</f>
        <v>Baris</v>
      </c>
      <c r="AV6" s="35">
        <f ca="1">COUNTIF(K22:K25,AT6)</f>
        <v>0</v>
      </c>
    </row>
    <row r="7" spans="1:50" ht="14.6" customHeight="1" x14ac:dyDescent="0.4">
      <c r="A7" s="12" t="s">
        <v>29</v>
      </c>
      <c r="B7" s="13">
        <v>2</v>
      </c>
      <c r="C7" s="14" t="s">
        <v>11</v>
      </c>
      <c r="D7" s="15" t="s">
        <v>50</v>
      </c>
      <c r="F7" s="26"/>
      <c r="G7" s="27" t="s">
        <v>41</v>
      </c>
      <c r="H7" s="28">
        <f t="shared" si="0"/>
        <v>2</v>
      </c>
      <c r="I7" s="28">
        <f t="shared" si="1"/>
        <v>3</v>
      </c>
      <c r="J7" s="29">
        <f t="shared" si="2"/>
        <v>0.66666666666666663</v>
      </c>
      <c r="K7" s="28">
        <f t="shared" si="3"/>
        <v>2</v>
      </c>
      <c r="L7" s="28">
        <f t="shared" si="4"/>
        <v>3</v>
      </c>
      <c r="M7" s="29">
        <f t="shared" si="5"/>
        <v>0.66666666666666663</v>
      </c>
      <c r="N7" s="29">
        <f t="shared" si="6"/>
        <v>1</v>
      </c>
      <c r="O7" s="29">
        <f t="shared" si="7"/>
        <v>1</v>
      </c>
      <c r="P7" s="30">
        <f t="shared" si="8"/>
        <v>0.13333333333333333</v>
      </c>
      <c r="Q7" s="5"/>
      <c r="R7" s="127" t="s">
        <v>32</v>
      </c>
      <c r="S7" s="154">
        <v>11</v>
      </c>
      <c r="T7" s="154">
        <v>2</v>
      </c>
      <c r="U7" s="154">
        <v>13</v>
      </c>
      <c r="V7" s="154">
        <v>3</v>
      </c>
      <c r="W7" s="154"/>
      <c r="X7" s="154"/>
      <c r="Y7" s="154">
        <v>4</v>
      </c>
      <c r="Z7" s="154">
        <v>2</v>
      </c>
      <c r="AA7" s="154">
        <v>1</v>
      </c>
      <c r="AB7" s="154">
        <v>1</v>
      </c>
      <c r="AC7" s="154">
        <v>5</v>
      </c>
      <c r="AD7" s="154"/>
      <c r="AE7" s="154"/>
      <c r="AF7" s="154">
        <v>1</v>
      </c>
      <c r="AG7" s="154"/>
      <c r="AH7" s="154"/>
      <c r="AI7" s="154">
        <v>43</v>
      </c>
      <c r="AK7" s="21">
        <f t="shared" si="9"/>
        <v>10</v>
      </c>
      <c r="AP7" s="35">
        <f>COUNTIF(L3:L17,AR7)</f>
        <v>1</v>
      </c>
      <c r="AQ7" s="36" t="str">
        <f>$Q$47</f>
        <v>Mikey</v>
      </c>
      <c r="AR7" s="32">
        <f>MAX(R47:R62)</f>
        <v>62</v>
      </c>
      <c r="AS7" s="33" t="s">
        <v>51</v>
      </c>
      <c r="AT7" s="37" t="e">
        <f ca="1">Maxine(L22:L25)</f>
        <v>#NAME?</v>
      </c>
      <c r="AU7" s="39" t="str">
        <f>$Q$97</f>
        <v>Baris</v>
      </c>
      <c r="AV7" s="35">
        <f ca="1">COUNTIF(L22:L25,AT7)</f>
        <v>0</v>
      </c>
    </row>
    <row r="8" spans="1:50" ht="14.6" customHeight="1" x14ac:dyDescent="0.4">
      <c r="A8" s="12" t="s">
        <v>12</v>
      </c>
      <c r="B8" s="13">
        <v>1</v>
      </c>
      <c r="C8" s="14" t="s">
        <v>37</v>
      </c>
      <c r="D8" s="15" t="s">
        <v>52</v>
      </c>
      <c r="F8" s="26"/>
      <c r="G8" s="27" t="s">
        <v>31</v>
      </c>
      <c r="H8" s="28">
        <f t="shared" si="0"/>
        <v>22</v>
      </c>
      <c r="I8" s="28">
        <f t="shared" si="1"/>
        <v>25</v>
      </c>
      <c r="J8" s="29">
        <f t="shared" si="2"/>
        <v>0.88</v>
      </c>
      <c r="K8" s="28">
        <f t="shared" si="3"/>
        <v>29</v>
      </c>
      <c r="L8" s="28">
        <f t="shared" si="4"/>
        <v>37</v>
      </c>
      <c r="M8" s="29">
        <f t="shared" si="5"/>
        <v>0.78378378378378377</v>
      </c>
      <c r="N8" s="29">
        <f t="shared" si="6"/>
        <v>1.3181818181818181</v>
      </c>
      <c r="O8" s="29">
        <f t="shared" si="7"/>
        <v>1.48</v>
      </c>
      <c r="P8" s="30">
        <f t="shared" si="8"/>
        <v>0.6</v>
      </c>
      <c r="Q8" s="5"/>
      <c r="R8" s="127" t="s">
        <v>31</v>
      </c>
      <c r="S8" s="154">
        <v>5</v>
      </c>
      <c r="T8" s="154">
        <v>2</v>
      </c>
      <c r="U8" s="154">
        <v>3</v>
      </c>
      <c r="V8" s="154"/>
      <c r="W8" s="154">
        <v>3</v>
      </c>
      <c r="X8" s="154">
        <v>4</v>
      </c>
      <c r="Y8" s="154">
        <v>4</v>
      </c>
      <c r="Z8" s="154">
        <v>2</v>
      </c>
      <c r="AA8" s="154"/>
      <c r="AB8" s="154"/>
      <c r="AC8" s="154">
        <v>2</v>
      </c>
      <c r="AD8" s="154"/>
      <c r="AE8" s="154"/>
      <c r="AF8" s="154">
        <v>4</v>
      </c>
      <c r="AG8" s="154"/>
      <c r="AH8" s="154"/>
      <c r="AI8" s="154">
        <v>29</v>
      </c>
      <c r="AK8" s="21">
        <f t="shared" si="9"/>
        <v>9</v>
      </c>
      <c r="AP8" s="35">
        <f ca="1">COUNTIF(J3:J17,AR8)</f>
        <v>0</v>
      </c>
      <c r="AQ8" s="40" t="str">
        <f>$G$65</f>
        <v>Peter</v>
      </c>
      <c r="AR8" s="37" t="e">
        <f ca="1">Maxine(J3:J17)</f>
        <v>#NAME?</v>
      </c>
      <c r="AS8" s="33" t="s">
        <v>53</v>
      </c>
      <c r="AT8" s="37" t="e">
        <f ca="1">Maxine(J22:J25)</f>
        <v>#NAME?</v>
      </c>
      <c r="AU8" s="39" t="str">
        <f>$G$108</f>
        <v>Leads</v>
      </c>
      <c r="AV8" s="35">
        <f ca="1">COUNTIF(J22:J25,AT8)</f>
        <v>0</v>
      </c>
    </row>
    <row r="9" spans="1:50" ht="14.6" customHeight="1" x14ac:dyDescent="0.4">
      <c r="A9" s="12" t="s">
        <v>37</v>
      </c>
      <c r="B9" s="13">
        <v>1</v>
      </c>
      <c r="C9" s="14" t="s">
        <v>12</v>
      </c>
      <c r="D9" s="15" t="s">
        <v>54</v>
      </c>
      <c r="F9" s="15"/>
      <c r="G9" s="27" t="s">
        <v>38</v>
      </c>
      <c r="H9" s="28">
        <f t="shared" si="0"/>
        <v>10</v>
      </c>
      <c r="I9" s="28">
        <f t="shared" si="1"/>
        <v>8</v>
      </c>
      <c r="J9" s="29">
        <f t="shared" si="2"/>
        <v>1.25</v>
      </c>
      <c r="K9" s="28">
        <f t="shared" si="3"/>
        <v>12</v>
      </c>
      <c r="L9" s="28">
        <f t="shared" si="4"/>
        <v>9</v>
      </c>
      <c r="M9" s="29">
        <f t="shared" si="5"/>
        <v>1.3333333333333333</v>
      </c>
      <c r="N9" s="29">
        <f t="shared" si="6"/>
        <v>1.2</v>
      </c>
      <c r="O9" s="29">
        <f t="shared" si="7"/>
        <v>1.125</v>
      </c>
      <c r="P9" s="30">
        <f t="shared" si="8"/>
        <v>0.46666666666666667</v>
      </c>
      <c r="Q9" s="5"/>
      <c r="R9" s="127" t="s">
        <v>36</v>
      </c>
      <c r="S9" s="154">
        <v>6</v>
      </c>
      <c r="T9" s="154">
        <v>1</v>
      </c>
      <c r="U9" s="154">
        <v>4</v>
      </c>
      <c r="V9" s="154"/>
      <c r="W9" s="154">
        <v>4</v>
      </c>
      <c r="X9" s="154">
        <v>3</v>
      </c>
      <c r="Y9" s="154">
        <v>1</v>
      </c>
      <c r="Z9" s="154">
        <v>2</v>
      </c>
      <c r="AA9" s="154">
        <v>2</v>
      </c>
      <c r="AB9" s="154"/>
      <c r="AC9" s="154"/>
      <c r="AD9" s="154"/>
      <c r="AE9" s="154">
        <v>1</v>
      </c>
      <c r="AF9" s="154"/>
      <c r="AG9" s="154"/>
      <c r="AH9" s="154">
        <v>1</v>
      </c>
      <c r="AI9" s="154">
        <v>25</v>
      </c>
      <c r="AK9" s="21">
        <f t="shared" si="9"/>
        <v>10</v>
      </c>
      <c r="AP9" s="35">
        <f>COUNTIF(J3:J17,AR9)</f>
        <v>1</v>
      </c>
      <c r="AQ9" s="40" t="str">
        <f>$G$80</f>
        <v>Reuben</v>
      </c>
      <c r="AR9" s="37">
        <f>MIN(J3:J17)</f>
        <v>0.52777777777777779</v>
      </c>
      <c r="AS9" s="33" t="s">
        <v>55</v>
      </c>
      <c r="AT9" s="37">
        <f>MIN(J22:J25)</f>
        <v>0.6875</v>
      </c>
      <c r="AU9" s="39" t="str">
        <f>$G$105</f>
        <v>Basses</v>
      </c>
      <c r="AV9" s="35">
        <f>COUNTIF(J22:J25,AT9)</f>
        <v>1</v>
      </c>
    </row>
    <row r="10" spans="1:50" ht="14.6" customHeight="1" x14ac:dyDescent="0.4">
      <c r="A10" s="12" t="s">
        <v>29</v>
      </c>
      <c r="B10" s="13">
        <v>2</v>
      </c>
      <c r="C10" s="14" t="s">
        <v>30</v>
      </c>
      <c r="D10" s="15" t="s">
        <v>56</v>
      </c>
      <c r="F10" s="15"/>
      <c r="G10" s="27" t="s">
        <v>29</v>
      </c>
      <c r="H10" s="28">
        <f t="shared" si="0"/>
        <v>49</v>
      </c>
      <c r="I10" s="28">
        <f t="shared" si="1"/>
        <v>44</v>
      </c>
      <c r="J10" s="29">
        <f t="shared" si="2"/>
        <v>1.1136363636363635</v>
      </c>
      <c r="K10" s="28">
        <f t="shared" si="3"/>
        <v>67</v>
      </c>
      <c r="L10" s="28">
        <f t="shared" si="4"/>
        <v>62</v>
      </c>
      <c r="M10" s="29">
        <f t="shared" si="5"/>
        <v>1.0806451612903225</v>
      </c>
      <c r="N10" s="29">
        <f t="shared" si="6"/>
        <v>1.3673469387755102</v>
      </c>
      <c r="O10" s="29">
        <f t="shared" si="7"/>
        <v>1.4090909090909092</v>
      </c>
      <c r="P10" s="30">
        <f t="shared" si="8"/>
        <v>0.66666666666666663</v>
      </c>
      <c r="Q10" s="5"/>
      <c r="R10" s="127" t="s">
        <v>30</v>
      </c>
      <c r="S10" s="154">
        <v>8</v>
      </c>
      <c r="T10" s="154"/>
      <c r="U10" s="154">
        <v>2</v>
      </c>
      <c r="V10" s="154">
        <v>2</v>
      </c>
      <c r="W10" s="154">
        <v>1</v>
      </c>
      <c r="X10" s="154">
        <v>2</v>
      </c>
      <c r="Y10" s="154">
        <v>1</v>
      </c>
      <c r="Z10" s="154">
        <v>3</v>
      </c>
      <c r="AA10" s="154">
        <v>1</v>
      </c>
      <c r="AB10" s="154"/>
      <c r="AC10" s="154">
        <v>1</v>
      </c>
      <c r="AD10" s="154"/>
      <c r="AE10" s="154">
        <v>2</v>
      </c>
      <c r="AF10" s="154"/>
      <c r="AG10" s="154"/>
      <c r="AH10" s="154"/>
      <c r="AI10" s="154">
        <v>23</v>
      </c>
      <c r="AK10" s="21">
        <f t="shared" si="9"/>
        <v>10</v>
      </c>
      <c r="AP10" s="35">
        <f ca="1">COUNTIF(M3:M17,AR10)</f>
        <v>0</v>
      </c>
      <c r="AQ10" s="40" t="str">
        <f>$Q$65</f>
        <v>Peter</v>
      </c>
      <c r="AR10" s="37" t="e">
        <f ca="1">Maxine(M3:M17)</f>
        <v>#NAME?</v>
      </c>
      <c r="AS10" s="33" t="s">
        <v>57</v>
      </c>
      <c r="AT10" s="37" t="e">
        <f ca="1">Maxine(M22:M25)</f>
        <v>#NAME?</v>
      </c>
      <c r="AU10" s="39" t="str">
        <f>$Q$108</f>
        <v>Baris</v>
      </c>
      <c r="AV10" s="35">
        <f ca="1">COUNTIF(M22:M25,AT10)</f>
        <v>0</v>
      </c>
    </row>
    <row r="11" spans="1:50" ht="14.6" customHeight="1" x14ac:dyDescent="0.4">
      <c r="A11" s="12" t="s">
        <v>28</v>
      </c>
      <c r="B11" s="13">
        <v>2</v>
      </c>
      <c r="C11" s="14" t="s">
        <v>35</v>
      </c>
      <c r="D11" s="15" t="s">
        <v>58</v>
      </c>
      <c r="E11" s="4"/>
      <c r="F11" s="26"/>
      <c r="G11" s="27" t="s">
        <v>36</v>
      </c>
      <c r="H11" s="28">
        <f t="shared" si="0"/>
        <v>17</v>
      </c>
      <c r="I11" s="28">
        <f t="shared" si="1"/>
        <v>15</v>
      </c>
      <c r="J11" s="29">
        <f t="shared" si="2"/>
        <v>1.1333333333333333</v>
      </c>
      <c r="K11" s="28">
        <f t="shared" si="3"/>
        <v>25</v>
      </c>
      <c r="L11" s="28">
        <f t="shared" si="4"/>
        <v>16</v>
      </c>
      <c r="M11" s="29">
        <f t="shared" si="5"/>
        <v>1.5625</v>
      </c>
      <c r="N11" s="29">
        <f t="shared" si="6"/>
        <v>1.4705882352941178</v>
      </c>
      <c r="O11" s="29">
        <f t="shared" si="7"/>
        <v>1.0666666666666667</v>
      </c>
      <c r="P11" s="30">
        <f t="shared" si="8"/>
        <v>0.66666666666666663</v>
      </c>
      <c r="Q11" s="5"/>
      <c r="R11" s="127" t="s">
        <v>34</v>
      </c>
      <c r="S11" s="154">
        <v>3</v>
      </c>
      <c r="T11" s="154">
        <v>5</v>
      </c>
      <c r="U11" s="154">
        <v>1</v>
      </c>
      <c r="V11" s="154">
        <v>5</v>
      </c>
      <c r="W11" s="154">
        <v>2</v>
      </c>
      <c r="X11" s="154">
        <v>5</v>
      </c>
      <c r="Y11" s="154">
        <v>1</v>
      </c>
      <c r="Z11" s="154"/>
      <c r="AA11" s="154"/>
      <c r="AB11" s="154"/>
      <c r="AC11" s="154"/>
      <c r="AD11" s="154"/>
      <c r="AE11" s="154"/>
      <c r="AF11" s="154"/>
      <c r="AG11" s="154"/>
      <c r="AH11" s="154"/>
      <c r="AI11" s="154">
        <v>22</v>
      </c>
      <c r="AK11" s="21">
        <f t="shared" si="9"/>
        <v>7</v>
      </c>
      <c r="AP11" s="35">
        <f>COUNTIF(M3:M17,AR11)</f>
        <v>1</v>
      </c>
      <c r="AQ11" s="40" t="str">
        <f>$Q$80</f>
        <v>Reuben</v>
      </c>
      <c r="AR11" s="37">
        <f>MIN(M3:M17)</f>
        <v>0.4107142857142857</v>
      </c>
      <c r="AS11" s="33" t="s">
        <v>59</v>
      </c>
      <c r="AT11" s="37">
        <f>MIN(M22:M25)</f>
        <v>0.64</v>
      </c>
      <c r="AU11" s="39" t="str">
        <f>$Q$105</f>
        <v>Basses</v>
      </c>
      <c r="AV11" s="35">
        <f>COUNTIF(M22:M25,AT11)</f>
        <v>1</v>
      </c>
    </row>
    <row r="12" spans="1:50" thickBot="1" x14ac:dyDescent="0.45">
      <c r="A12" s="12" t="s">
        <v>12</v>
      </c>
      <c r="B12" s="13">
        <v>1</v>
      </c>
      <c r="C12" s="14" t="s">
        <v>29</v>
      </c>
      <c r="D12" s="15" t="s">
        <v>60</v>
      </c>
      <c r="F12" s="26"/>
      <c r="G12" s="27" t="s">
        <v>12</v>
      </c>
      <c r="H12" s="28">
        <f t="shared" si="0"/>
        <v>43</v>
      </c>
      <c r="I12" s="28">
        <f t="shared" si="1"/>
        <v>27</v>
      </c>
      <c r="J12" s="29">
        <f t="shared" si="2"/>
        <v>1.5925925925925926</v>
      </c>
      <c r="K12" s="28">
        <f t="shared" si="3"/>
        <v>66</v>
      </c>
      <c r="L12" s="28">
        <f t="shared" si="4"/>
        <v>31</v>
      </c>
      <c r="M12" s="29">
        <f t="shared" si="5"/>
        <v>2.129032258064516</v>
      </c>
      <c r="N12" s="29">
        <f t="shared" si="6"/>
        <v>1.5348837209302326</v>
      </c>
      <c r="O12" s="29">
        <f t="shared" si="7"/>
        <v>1.1481481481481481</v>
      </c>
      <c r="P12" s="30">
        <f t="shared" si="8"/>
        <v>0.8666666666666667</v>
      </c>
      <c r="Q12" s="5"/>
      <c r="R12" s="127" t="s">
        <v>33</v>
      </c>
      <c r="S12" s="154">
        <v>3</v>
      </c>
      <c r="T12" s="154">
        <v>2</v>
      </c>
      <c r="U12" s="154">
        <v>4</v>
      </c>
      <c r="V12" s="154">
        <v>2</v>
      </c>
      <c r="W12" s="154"/>
      <c r="X12" s="154"/>
      <c r="Y12" s="154">
        <v>2</v>
      </c>
      <c r="Z12" s="154">
        <v>2</v>
      </c>
      <c r="AA12" s="154">
        <v>2</v>
      </c>
      <c r="AB12" s="154"/>
      <c r="AC12" s="154">
        <v>2</v>
      </c>
      <c r="AD12" s="154"/>
      <c r="AE12" s="154"/>
      <c r="AF12" s="154"/>
      <c r="AG12" s="154">
        <v>2</v>
      </c>
      <c r="AH12" s="154">
        <v>1</v>
      </c>
      <c r="AI12" s="154">
        <v>22</v>
      </c>
      <c r="AK12" s="21">
        <f t="shared" si="9"/>
        <v>10</v>
      </c>
    </row>
    <row r="13" spans="1:50" thickBot="1" x14ac:dyDescent="0.45">
      <c r="A13" s="12" t="s">
        <v>29</v>
      </c>
      <c r="B13" s="13">
        <v>1</v>
      </c>
      <c r="C13" s="14" t="s">
        <v>12</v>
      </c>
      <c r="D13" s="15" t="s">
        <v>61</v>
      </c>
      <c r="F13" s="26"/>
      <c r="G13" s="27" t="s">
        <v>30</v>
      </c>
      <c r="H13" s="28">
        <f t="shared" si="0"/>
        <v>19</v>
      </c>
      <c r="I13" s="28">
        <f t="shared" si="1"/>
        <v>36</v>
      </c>
      <c r="J13" s="29">
        <f t="shared" si="2"/>
        <v>0.52777777777777779</v>
      </c>
      <c r="K13" s="28">
        <f t="shared" si="3"/>
        <v>23</v>
      </c>
      <c r="L13" s="28">
        <f t="shared" si="4"/>
        <v>56</v>
      </c>
      <c r="M13" s="29">
        <f t="shared" si="5"/>
        <v>0.4107142857142857</v>
      </c>
      <c r="N13" s="29">
        <f t="shared" si="6"/>
        <v>1.2105263157894737</v>
      </c>
      <c r="O13" s="29">
        <f t="shared" si="7"/>
        <v>1.5555555555555556</v>
      </c>
      <c r="P13" s="30">
        <f t="shared" si="8"/>
        <v>0.66666666666666663</v>
      </c>
      <c r="Q13" s="5"/>
      <c r="R13" s="127" t="s">
        <v>28</v>
      </c>
      <c r="S13" s="154">
        <v>2</v>
      </c>
      <c r="T13" s="154">
        <v>1</v>
      </c>
      <c r="U13" s="154">
        <v>4</v>
      </c>
      <c r="V13" s="154"/>
      <c r="W13" s="154">
        <v>1</v>
      </c>
      <c r="X13" s="154"/>
      <c r="Y13" s="154">
        <v>2</v>
      </c>
      <c r="Z13" s="154">
        <v>2</v>
      </c>
      <c r="AA13" s="154"/>
      <c r="AB13" s="154">
        <v>2</v>
      </c>
      <c r="AC13" s="154">
        <v>2</v>
      </c>
      <c r="AD13" s="154">
        <v>3</v>
      </c>
      <c r="AE13" s="154">
        <v>1</v>
      </c>
      <c r="AF13" s="154"/>
      <c r="AG13" s="154">
        <v>1</v>
      </c>
      <c r="AH13" s="154"/>
      <c r="AI13" s="154">
        <v>21</v>
      </c>
      <c r="AK13" s="21">
        <f t="shared" si="9"/>
        <v>11</v>
      </c>
      <c r="AN13" s="131" t="s">
        <v>62</v>
      </c>
      <c r="AO13" s="132"/>
      <c r="AP13" s="132"/>
      <c r="AQ13" s="132"/>
      <c r="AR13" s="132"/>
      <c r="AS13" s="132"/>
      <c r="AT13" s="132"/>
      <c r="AU13" s="132"/>
      <c r="AV13" s="132"/>
      <c r="AW13" s="133"/>
    </row>
    <row r="14" spans="1:50" ht="14.6" customHeight="1" x14ac:dyDescent="0.4">
      <c r="A14" s="12" t="s">
        <v>11</v>
      </c>
      <c r="B14" s="13">
        <v>1</v>
      </c>
      <c r="C14" s="14" t="s">
        <v>32</v>
      </c>
      <c r="D14" s="15" t="s">
        <v>63</v>
      </c>
      <c r="F14" s="26"/>
      <c r="G14" s="27" t="s">
        <v>11</v>
      </c>
      <c r="H14" s="28">
        <f t="shared" si="0"/>
        <v>37</v>
      </c>
      <c r="I14" s="28">
        <f t="shared" si="1"/>
        <v>34</v>
      </c>
      <c r="J14" s="29">
        <f t="shared" si="2"/>
        <v>1.088235294117647</v>
      </c>
      <c r="K14" s="28">
        <f t="shared" si="3"/>
        <v>56</v>
      </c>
      <c r="L14" s="28">
        <f t="shared" si="4"/>
        <v>48</v>
      </c>
      <c r="M14" s="29">
        <f t="shared" si="5"/>
        <v>1.1666666666666667</v>
      </c>
      <c r="N14" s="29">
        <f t="shared" si="6"/>
        <v>1.5135135135135136</v>
      </c>
      <c r="O14" s="29">
        <f t="shared" si="7"/>
        <v>1.411764705882353</v>
      </c>
      <c r="P14" s="30">
        <f t="shared" si="8"/>
        <v>0.6</v>
      </c>
      <c r="Q14" s="5"/>
      <c r="R14" s="127" t="s">
        <v>39</v>
      </c>
      <c r="S14" s="154">
        <v>5</v>
      </c>
      <c r="T14" s="154"/>
      <c r="U14" s="154"/>
      <c r="V14" s="154">
        <v>5</v>
      </c>
      <c r="W14" s="154">
        <v>1</v>
      </c>
      <c r="X14" s="154"/>
      <c r="Y14" s="154">
        <v>3</v>
      </c>
      <c r="Z14" s="154">
        <v>2</v>
      </c>
      <c r="AA14" s="154"/>
      <c r="AB14" s="154"/>
      <c r="AC14" s="154"/>
      <c r="AD14" s="154"/>
      <c r="AE14" s="154"/>
      <c r="AF14" s="154"/>
      <c r="AG14" s="154"/>
      <c r="AH14" s="154"/>
      <c r="AI14" s="154">
        <v>16</v>
      </c>
      <c r="AK14" s="21">
        <f t="shared" si="9"/>
        <v>5</v>
      </c>
      <c r="AN14" s="41" t="s">
        <v>14</v>
      </c>
      <c r="AO14" s="25" t="s">
        <v>15</v>
      </c>
      <c r="AP14" s="25" t="s">
        <v>16</v>
      </c>
      <c r="AQ14" s="25" t="s">
        <v>17</v>
      </c>
      <c r="AR14" s="25" t="s">
        <v>18</v>
      </c>
      <c r="AS14" s="25" t="s">
        <v>19</v>
      </c>
      <c r="AT14" s="25" t="s">
        <v>20</v>
      </c>
      <c r="AU14" s="25" t="s">
        <v>21</v>
      </c>
      <c r="AV14" s="25" t="s">
        <v>22</v>
      </c>
      <c r="AW14" s="42" t="s">
        <v>23</v>
      </c>
    </row>
    <row r="15" spans="1:50" ht="14.6" customHeight="1" x14ac:dyDescent="0.4">
      <c r="A15" s="12" t="s">
        <v>32</v>
      </c>
      <c r="B15" s="13">
        <v>1</v>
      </c>
      <c r="C15" s="14" t="s">
        <v>11</v>
      </c>
      <c r="D15" s="15" t="s">
        <v>64</v>
      </c>
      <c r="F15" s="26"/>
      <c r="G15" s="27" t="s">
        <v>37</v>
      </c>
      <c r="H15" s="28">
        <f t="shared" si="0"/>
        <v>5</v>
      </c>
      <c r="I15" s="28">
        <f t="shared" si="1"/>
        <v>8</v>
      </c>
      <c r="J15" s="29">
        <f t="shared" si="2"/>
        <v>0.625</v>
      </c>
      <c r="K15" s="28">
        <f t="shared" si="3"/>
        <v>7</v>
      </c>
      <c r="L15" s="28">
        <f t="shared" si="4"/>
        <v>12</v>
      </c>
      <c r="M15" s="29">
        <f t="shared" si="5"/>
        <v>0.58333333333333337</v>
      </c>
      <c r="N15" s="29">
        <f t="shared" si="6"/>
        <v>1.4</v>
      </c>
      <c r="O15" s="29">
        <f t="shared" si="7"/>
        <v>1.5</v>
      </c>
      <c r="P15" s="30">
        <f t="shared" si="8"/>
        <v>0.33333333333333331</v>
      </c>
      <c r="Q15" s="5"/>
      <c r="R15" s="127" t="s">
        <v>38</v>
      </c>
      <c r="S15" s="154"/>
      <c r="T15" s="154">
        <v>2</v>
      </c>
      <c r="U15" s="154"/>
      <c r="V15" s="154"/>
      <c r="W15" s="154"/>
      <c r="X15" s="154"/>
      <c r="Y15" s="154">
        <v>2</v>
      </c>
      <c r="Z15" s="154"/>
      <c r="AA15" s="154">
        <v>3</v>
      </c>
      <c r="AB15" s="154"/>
      <c r="AC15" s="154">
        <v>1</v>
      </c>
      <c r="AD15" s="154">
        <v>2</v>
      </c>
      <c r="AE15" s="154"/>
      <c r="AF15" s="154"/>
      <c r="AG15" s="154">
        <v>1</v>
      </c>
      <c r="AH15" s="154">
        <v>1</v>
      </c>
      <c r="AI15" s="154">
        <v>12</v>
      </c>
      <c r="AK15" s="21">
        <f t="shared" si="9"/>
        <v>7</v>
      </c>
      <c r="AN15" s="34" t="s">
        <v>65</v>
      </c>
      <c r="AO15" s="43">
        <v>7.5</v>
      </c>
      <c r="AP15" s="44">
        <v>-6</v>
      </c>
      <c r="AQ15" s="44">
        <v>25</v>
      </c>
      <c r="AR15" s="44">
        <v>8.5</v>
      </c>
      <c r="AS15" s="44">
        <v>-6.5</v>
      </c>
      <c r="AT15" s="44">
        <v>25</v>
      </c>
      <c r="AU15" s="44">
        <v>20</v>
      </c>
      <c r="AV15" s="44">
        <v>-20</v>
      </c>
      <c r="AW15" s="45">
        <v>250</v>
      </c>
      <c r="AX15" s="33" t="s">
        <v>66</v>
      </c>
    </row>
    <row r="16" spans="1:50" ht="14.6" customHeight="1" x14ac:dyDescent="0.4">
      <c r="A16" s="12" t="s">
        <v>36</v>
      </c>
      <c r="B16" s="13">
        <v>1</v>
      </c>
      <c r="C16" s="14" t="s">
        <v>30</v>
      </c>
      <c r="D16" s="15" t="s">
        <v>67</v>
      </c>
      <c r="F16" s="26"/>
      <c r="G16" s="27" t="s">
        <v>40</v>
      </c>
      <c r="H16" s="28">
        <f t="shared" si="0"/>
        <v>5</v>
      </c>
      <c r="I16" s="28">
        <f t="shared" si="1"/>
        <v>4</v>
      </c>
      <c r="J16" s="29">
        <f t="shared" si="2"/>
        <v>1.25</v>
      </c>
      <c r="K16" s="28">
        <f t="shared" si="3"/>
        <v>6</v>
      </c>
      <c r="L16" s="28">
        <f t="shared" si="4"/>
        <v>4</v>
      </c>
      <c r="M16" s="29">
        <f t="shared" si="5"/>
        <v>1.5</v>
      </c>
      <c r="N16" s="29">
        <f t="shared" si="6"/>
        <v>1.2</v>
      </c>
      <c r="O16" s="29">
        <f t="shared" si="7"/>
        <v>1</v>
      </c>
      <c r="P16" s="30">
        <f t="shared" si="8"/>
        <v>0.2</v>
      </c>
      <c r="Q16" s="46"/>
      <c r="R16" s="127" t="s">
        <v>37</v>
      </c>
      <c r="S16" s="154"/>
      <c r="T16" s="154"/>
      <c r="U16" s="154">
        <v>1</v>
      </c>
      <c r="V16" s="154">
        <v>2</v>
      </c>
      <c r="W16" s="154"/>
      <c r="X16" s="154">
        <v>2</v>
      </c>
      <c r="Y16" s="154">
        <v>1</v>
      </c>
      <c r="Z16" s="154"/>
      <c r="AA16" s="154">
        <v>1</v>
      </c>
      <c r="AB16" s="154"/>
      <c r="AC16" s="154"/>
      <c r="AD16" s="154"/>
      <c r="AE16" s="154"/>
      <c r="AF16" s="154"/>
      <c r="AG16" s="154"/>
      <c r="AH16" s="154"/>
      <c r="AI16" s="154">
        <v>7</v>
      </c>
      <c r="AK16" s="21">
        <f t="shared" si="9"/>
        <v>5</v>
      </c>
      <c r="AN16" s="27" t="s">
        <v>28</v>
      </c>
      <c r="AO16" s="28">
        <f t="shared" ref="AO16:AO31" si="10">VLOOKUP(AN16,$G$1:$P$18,2,FALSE) *$AO$15</f>
        <v>112.5</v>
      </c>
      <c r="AP16" s="47">
        <f t="shared" ref="AP16:AP31" si="11">VLOOKUP(AN16,$G$1:$P$18,3,FALSE) *$AP$15</f>
        <v>-84</v>
      </c>
      <c r="AQ16" s="48">
        <f t="shared" ref="AQ16:AQ31" si="12">VLOOKUP(AN16,$G$1:$P$18,4,FALSE) * $AQ$15</f>
        <v>26.785714285714285</v>
      </c>
      <c r="AR16" s="28">
        <f t="shared" ref="AR16:AR31" si="13">VLOOKUP(AN16,$G$1:$P$18,5,FALSE) *$AR$15</f>
        <v>178.5</v>
      </c>
      <c r="AS16" s="47">
        <f t="shared" ref="AS16:AS31" si="14">VLOOKUP(AN16,$G$1:$P$18,6,FALSE) *$AS$15</f>
        <v>-130</v>
      </c>
      <c r="AT16" s="48">
        <f t="shared" ref="AT16:AT31" si="15">VLOOKUP(AN16,$G$1:$P$18,7,FALSE) * $AT$15</f>
        <v>26.25</v>
      </c>
      <c r="AU16" s="28">
        <f t="shared" ref="AU16:AU31" si="16">VLOOKUP(AN16,$G$1:$P$18,8,FALSE) *$AU$15</f>
        <v>28</v>
      </c>
      <c r="AV16" s="129">
        <f t="shared" ref="AV16:AV31" si="17">VLOOKUP(AN16,$G$1:$P$18,9,FALSE) *$AV$15</f>
        <v>-28.571428571428573</v>
      </c>
      <c r="AW16" s="48">
        <f t="shared" ref="AW16:AW31" si="18">VLOOKUP(AN16,$G$1:$P$18,10,FALSE) * $AW$15</f>
        <v>183.33333333333331</v>
      </c>
      <c r="AX16" s="49">
        <f t="shared" ref="AX16:AX31" si="19">SUM(AO16:AW16)</f>
        <v>312.79761904761904</v>
      </c>
    </row>
    <row r="17" spans="1:50" ht="14.25" customHeight="1" x14ac:dyDescent="0.4">
      <c r="A17" s="12" t="s">
        <v>30</v>
      </c>
      <c r="B17" s="13">
        <v>1</v>
      </c>
      <c r="C17" s="14" t="s">
        <v>36</v>
      </c>
      <c r="D17" s="15" t="s">
        <v>68</v>
      </c>
      <c r="F17" s="26"/>
      <c r="G17" s="27" t="s">
        <v>39</v>
      </c>
      <c r="H17" s="28">
        <f t="shared" si="0"/>
        <v>11</v>
      </c>
      <c r="I17" s="28">
        <f t="shared" si="1"/>
        <v>6</v>
      </c>
      <c r="J17" s="29">
        <f t="shared" si="2"/>
        <v>1.8333333333333333</v>
      </c>
      <c r="K17" s="28">
        <f t="shared" si="3"/>
        <v>16</v>
      </c>
      <c r="L17" s="28">
        <f t="shared" si="4"/>
        <v>7</v>
      </c>
      <c r="M17" s="29">
        <f t="shared" si="5"/>
        <v>2.2857142857142856</v>
      </c>
      <c r="N17" s="29">
        <f t="shared" si="6"/>
        <v>1.4545454545454546</v>
      </c>
      <c r="O17" s="29">
        <f t="shared" si="7"/>
        <v>1.1666666666666667</v>
      </c>
      <c r="P17" s="30">
        <f t="shared" si="8"/>
        <v>0.33333333333333331</v>
      </c>
      <c r="R17" s="127" t="s">
        <v>40</v>
      </c>
      <c r="S17" s="154"/>
      <c r="T17" s="154"/>
      <c r="U17" s="154"/>
      <c r="V17" s="154"/>
      <c r="W17" s="154"/>
      <c r="X17" s="154">
        <v>3</v>
      </c>
      <c r="Y17" s="154"/>
      <c r="Z17" s="154"/>
      <c r="AA17" s="154">
        <v>1</v>
      </c>
      <c r="AB17" s="154"/>
      <c r="AC17" s="154"/>
      <c r="AD17" s="154"/>
      <c r="AE17" s="154">
        <v>2</v>
      </c>
      <c r="AF17" s="154"/>
      <c r="AG17" s="154"/>
      <c r="AH17" s="154"/>
      <c r="AI17" s="154">
        <v>6</v>
      </c>
      <c r="AK17" s="21">
        <f t="shared" si="9"/>
        <v>3</v>
      </c>
      <c r="AN17" s="27" t="s">
        <v>33</v>
      </c>
      <c r="AO17" s="28">
        <f t="shared" si="10"/>
        <v>127.5</v>
      </c>
      <c r="AP17" s="47">
        <f t="shared" si="11"/>
        <v>-132</v>
      </c>
      <c r="AQ17" s="48">
        <f t="shared" si="12"/>
        <v>19.318181818181817</v>
      </c>
      <c r="AR17" s="28">
        <f t="shared" si="13"/>
        <v>187</v>
      </c>
      <c r="AS17" s="47">
        <f t="shared" si="14"/>
        <v>-214.5</v>
      </c>
      <c r="AT17" s="48">
        <f t="shared" si="15"/>
        <v>16.666666666666664</v>
      </c>
      <c r="AU17" s="28">
        <f t="shared" si="16"/>
        <v>25.882352941176471</v>
      </c>
      <c r="AV17" s="129">
        <f t="shared" si="17"/>
        <v>-30</v>
      </c>
      <c r="AW17" s="48">
        <f t="shared" si="18"/>
        <v>166.66666666666666</v>
      </c>
      <c r="AX17" s="49">
        <f t="shared" si="19"/>
        <v>166.53386809269159</v>
      </c>
    </row>
    <row r="18" spans="1:50" ht="14.25" customHeight="1" x14ac:dyDescent="0.4">
      <c r="A18" s="12" t="s">
        <v>36</v>
      </c>
      <c r="B18" s="13">
        <v>2</v>
      </c>
      <c r="C18" s="14" t="s">
        <v>29</v>
      </c>
      <c r="D18" s="15" t="s">
        <v>69</v>
      </c>
      <c r="F18" s="26"/>
      <c r="G18" s="27" t="s">
        <v>35</v>
      </c>
      <c r="H18" s="28">
        <f t="shared" si="0"/>
        <v>0</v>
      </c>
      <c r="I18" s="28">
        <f t="shared" si="1"/>
        <v>10</v>
      </c>
      <c r="J18" s="29">
        <f t="shared" si="2"/>
        <v>0</v>
      </c>
      <c r="K18" s="28">
        <f t="shared" si="3"/>
        <v>0</v>
      </c>
      <c r="L18" s="28">
        <f t="shared" si="4"/>
        <v>18</v>
      </c>
      <c r="M18" s="29">
        <f t="shared" si="5"/>
        <v>0</v>
      </c>
      <c r="N18" s="29">
        <f t="shared" si="6"/>
        <v>0</v>
      </c>
      <c r="O18" s="29">
        <f t="shared" si="7"/>
        <v>1.8</v>
      </c>
      <c r="P18" s="30">
        <f t="shared" si="8"/>
        <v>0</v>
      </c>
      <c r="R18" s="127" t="s">
        <v>41</v>
      </c>
      <c r="S18" s="154"/>
      <c r="T18" s="154"/>
      <c r="U18" s="154"/>
      <c r="V18" s="154"/>
      <c r="W18" s="154"/>
      <c r="X18" s="154">
        <v>1</v>
      </c>
      <c r="Y18" s="154"/>
      <c r="Z18" s="154"/>
      <c r="AA18" s="154"/>
      <c r="AB18" s="154"/>
      <c r="AC18" s="154"/>
      <c r="AD18" s="154"/>
      <c r="AE18" s="154">
        <v>1</v>
      </c>
      <c r="AF18" s="154"/>
      <c r="AG18" s="154"/>
      <c r="AH18" s="154"/>
      <c r="AI18" s="154">
        <v>2</v>
      </c>
      <c r="AK18" s="21">
        <f t="shared" si="9"/>
        <v>2</v>
      </c>
      <c r="AN18" s="27" t="s">
        <v>32</v>
      </c>
      <c r="AO18" s="28">
        <f t="shared" si="10"/>
        <v>247.5</v>
      </c>
      <c r="AP18" s="47">
        <f t="shared" si="11"/>
        <v>-156</v>
      </c>
      <c r="AQ18" s="48">
        <f t="shared" si="12"/>
        <v>31.73076923076923</v>
      </c>
      <c r="AR18" s="28">
        <f t="shared" si="13"/>
        <v>365.5</v>
      </c>
      <c r="AS18" s="47">
        <f t="shared" si="14"/>
        <v>-221</v>
      </c>
      <c r="AT18" s="48">
        <f t="shared" si="15"/>
        <v>31.617647058823529</v>
      </c>
      <c r="AU18" s="28">
        <f t="shared" si="16"/>
        <v>26.060606060606059</v>
      </c>
      <c r="AV18" s="129">
        <f t="shared" si="17"/>
        <v>-26.153846153846153</v>
      </c>
      <c r="AW18" s="48">
        <f t="shared" si="18"/>
        <v>166.66666666666666</v>
      </c>
      <c r="AX18" s="49">
        <f t="shared" si="19"/>
        <v>465.92184286301938</v>
      </c>
    </row>
    <row r="19" spans="1:50" ht="14.25" customHeight="1" thickBot="1" x14ac:dyDescent="0.45">
      <c r="A19" s="12" t="s">
        <v>28</v>
      </c>
      <c r="B19" s="13">
        <v>1</v>
      </c>
      <c r="C19" s="14" t="s">
        <v>12</v>
      </c>
      <c r="D19" s="15" t="s">
        <v>70</v>
      </c>
      <c r="F19" s="26"/>
      <c r="R19" s="127" t="s">
        <v>42</v>
      </c>
      <c r="S19" s="154">
        <v>62</v>
      </c>
      <c r="T19" s="154">
        <v>56</v>
      </c>
      <c r="U19" s="154">
        <v>48</v>
      </c>
      <c r="V19" s="154">
        <v>37</v>
      </c>
      <c r="W19" s="154">
        <v>34</v>
      </c>
      <c r="X19" s="154">
        <v>33</v>
      </c>
      <c r="Y19" s="154">
        <v>31</v>
      </c>
      <c r="Z19" s="154">
        <v>27</v>
      </c>
      <c r="AA19" s="154">
        <v>20</v>
      </c>
      <c r="AB19" s="154">
        <v>18</v>
      </c>
      <c r="AC19" s="154">
        <v>16</v>
      </c>
      <c r="AD19" s="154">
        <v>12</v>
      </c>
      <c r="AE19" s="154">
        <v>9</v>
      </c>
      <c r="AF19" s="154">
        <v>7</v>
      </c>
      <c r="AG19" s="154">
        <v>4</v>
      </c>
      <c r="AH19" s="154">
        <v>3</v>
      </c>
      <c r="AI19" s="154">
        <v>417</v>
      </c>
      <c r="AK19" s="51">
        <f>IF(COUNT(AB19:AE19)&lt;&gt;0,COUNT(AB19:AE19)-1,"")</f>
        <v>3</v>
      </c>
      <c r="AN19" s="27" t="s">
        <v>34</v>
      </c>
      <c r="AO19" s="28">
        <f t="shared" si="10"/>
        <v>120</v>
      </c>
      <c r="AP19" s="47">
        <f t="shared" si="11"/>
        <v>-114</v>
      </c>
      <c r="AQ19" s="48">
        <f t="shared" si="12"/>
        <v>21.052631578947366</v>
      </c>
      <c r="AR19" s="28">
        <f t="shared" si="13"/>
        <v>187</v>
      </c>
      <c r="AS19" s="47">
        <f t="shared" si="14"/>
        <v>-175.5</v>
      </c>
      <c r="AT19" s="48">
        <f t="shared" si="15"/>
        <v>20.37037037037037</v>
      </c>
      <c r="AU19" s="28">
        <f t="shared" si="16"/>
        <v>27.5</v>
      </c>
      <c r="AV19" s="129">
        <f t="shared" si="17"/>
        <v>-28.421052631578945</v>
      </c>
      <c r="AW19" s="48">
        <f t="shared" si="18"/>
        <v>116.66666666666667</v>
      </c>
      <c r="AX19" s="49">
        <f t="shared" si="19"/>
        <v>174.66861598440545</v>
      </c>
    </row>
    <row r="20" spans="1:50" thickBot="1" x14ac:dyDescent="0.45">
      <c r="A20" s="12" t="s">
        <v>12</v>
      </c>
      <c r="B20" s="13">
        <v>1</v>
      </c>
      <c r="C20" s="14" t="s">
        <v>28</v>
      </c>
      <c r="D20" s="15" t="s">
        <v>71</v>
      </c>
      <c r="E20" s="52">
        <v>1</v>
      </c>
      <c r="F20" s="26"/>
      <c r="G20" s="131" t="s">
        <v>72</v>
      </c>
      <c r="H20" s="132"/>
      <c r="I20" s="132"/>
      <c r="J20" s="132"/>
      <c r="K20" s="132"/>
      <c r="L20" s="132"/>
      <c r="M20" s="132"/>
      <c r="N20" s="132"/>
      <c r="O20" s="133"/>
      <c r="AK20" s="51" t="str">
        <f>IF(COUNT(S20:AE20)&lt;&gt;0,COUNT(S20:AE20)-1,"")</f>
        <v/>
      </c>
      <c r="AN20" s="27" t="s">
        <v>41</v>
      </c>
      <c r="AO20" s="28">
        <f t="shared" si="10"/>
        <v>15</v>
      </c>
      <c r="AP20" s="47">
        <f t="shared" si="11"/>
        <v>-18</v>
      </c>
      <c r="AQ20" s="48">
        <f t="shared" si="12"/>
        <v>16.666666666666664</v>
      </c>
      <c r="AR20" s="28">
        <f t="shared" si="13"/>
        <v>17</v>
      </c>
      <c r="AS20" s="47">
        <f t="shared" si="14"/>
        <v>-19.5</v>
      </c>
      <c r="AT20" s="48">
        <f t="shared" si="15"/>
        <v>16.666666666666664</v>
      </c>
      <c r="AU20" s="28">
        <f t="shared" si="16"/>
        <v>20</v>
      </c>
      <c r="AV20" s="129">
        <f t="shared" si="17"/>
        <v>-20</v>
      </c>
      <c r="AW20" s="48">
        <f t="shared" si="18"/>
        <v>33.333333333333336</v>
      </c>
      <c r="AX20" s="49">
        <f t="shared" si="19"/>
        <v>61.166666666666664</v>
      </c>
    </row>
    <row r="21" spans="1:50" ht="14.25" customHeight="1" x14ac:dyDescent="0.4">
      <c r="A21" s="12" t="s">
        <v>12</v>
      </c>
      <c r="B21" s="13">
        <v>1</v>
      </c>
      <c r="C21" s="14" t="s">
        <v>36</v>
      </c>
      <c r="D21" s="15" t="s">
        <v>73</v>
      </c>
      <c r="E21" s="4"/>
      <c r="F21" s="26"/>
      <c r="G21" s="41" t="s">
        <v>74</v>
      </c>
      <c r="H21" s="25" t="s">
        <v>15</v>
      </c>
      <c r="I21" s="25" t="s">
        <v>16</v>
      </c>
      <c r="J21" s="25" t="s">
        <v>17</v>
      </c>
      <c r="K21" s="25" t="s">
        <v>18</v>
      </c>
      <c r="L21" s="25" t="s">
        <v>19</v>
      </c>
      <c r="M21" s="25" t="s">
        <v>20</v>
      </c>
      <c r="N21" s="18" t="s">
        <v>21</v>
      </c>
      <c r="O21" s="25" t="s">
        <v>22</v>
      </c>
      <c r="R21" s="53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K21" s="51" t="str">
        <f>IF(COUNT(S21:AE21)&lt;&gt;0,COUNT(S21:AE21)-1,"")</f>
        <v/>
      </c>
      <c r="AN21" s="27" t="s">
        <v>31</v>
      </c>
      <c r="AO21" s="28">
        <f t="shared" si="10"/>
        <v>165</v>
      </c>
      <c r="AP21" s="47">
        <f t="shared" si="11"/>
        <v>-150</v>
      </c>
      <c r="AQ21" s="48">
        <f t="shared" si="12"/>
        <v>22</v>
      </c>
      <c r="AR21" s="28">
        <f t="shared" si="13"/>
        <v>246.5</v>
      </c>
      <c r="AS21" s="47">
        <f t="shared" si="14"/>
        <v>-240.5</v>
      </c>
      <c r="AT21" s="48">
        <f t="shared" si="15"/>
        <v>19.594594594594593</v>
      </c>
      <c r="AU21" s="28">
        <f t="shared" si="16"/>
        <v>26.363636363636363</v>
      </c>
      <c r="AV21" s="129">
        <f t="shared" si="17"/>
        <v>-29.6</v>
      </c>
      <c r="AW21" s="48">
        <f t="shared" si="18"/>
        <v>150</v>
      </c>
      <c r="AX21" s="49">
        <f t="shared" si="19"/>
        <v>209.35823095823096</v>
      </c>
    </row>
    <row r="22" spans="1:50" ht="14.25" customHeight="1" x14ac:dyDescent="0.4">
      <c r="A22" s="12" t="s">
        <v>36</v>
      </c>
      <c r="B22" s="13">
        <v>1</v>
      </c>
      <c r="C22" s="14" t="s">
        <v>12</v>
      </c>
      <c r="D22" s="15" t="s">
        <v>75</v>
      </c>
      <c r="F22" s="15"/>
      <c r="G22" s="27" t="s">
        <v>76</v>
      </c>
      <c r="H22" s="54">
        <f>SUM(H3:H6)/COUNT(H3:H6)</f>
        <v>20.25</v>
      </c>
      <c r="I22" s="54">
        <f>SUM(I3:I6)/COUNT(I3:I6)</f>
        <v>20.25</v>
      </c>
      <c r="J22" s="55">
        <f>IF(I22,H22/I22,H22)</f>
        <v>1</v>
      </c>
      <c r="K22" s="54">
        <f>SUM(K3:K6)/COUNT(K3:K6)</f>
        <v>27</v>
      </c>
      <c r="L22" s="54">
        <f>SUM(L3:L6)/COUNT(L3:L6)</f>
        <v>28.5</v>
      </c>
      <c r="M22" s="55">
        <f>IF(L22,K22/L22,K22)</f>
        <v>0.94736842105263153</v>
      </c>
      <c r="N22" s="56">
        <f t="shared" ref="N22:O26" si="20">IF(H22,K22/H22,0)</f>
        <v>1.3333333333333333</v>
      </c>
      <c r="O22" s="57">
        <f t="shared" si="20"/>
        <v>1.4074074074074074</v>
      </c>
      <c r="Q22" s="58"/>
      <c r="R22" s="53"/>
      <c r="AK22" s="51" t="str">
        <f>IF(COUNT(S22:AE22)&lt;&gt;0,COUNT(S22:AE22)-1,"")</f>
        <v/>
      </c>
      <c r="AN22" s="27" t="s">
        <v>38</v>
      </c>
      <c r="AO22" s="28">
        <f t="shared" si="10"/>
        <v>75</v>
      </c>
      <c r="AP22" s="47">
        <f t="shared" si="11"/>
        <v>-48</v>
      </c>
      <c r="AQ22" s="48">
        <f t="shared" si="12"/>
        <v>31.25</v>
      </c>
      <c r="AR22" s="28">
        <f t="shared" si="13"/>
        <v>102</v>
      </c>
      <c r="AS22" s="47">
        <f t="shared" si="14"/>
        <v>-58.5</v>
      </c>
      <c r="AT22" s="48">
        <f t="shared" si="15"/>
        <v>33.333333333333329</v>
      </c>
      <c r="AU22" s="28">
        <f t="shared" si="16"/>
        <v>24</v>
      </c>
      <c r="AV22" s="129">
        <f t="shared" si="17"/>
        <v>-22.5</v>
      </c>
      <c r="AW22" s="48">
        <f t="shared" si="18"/>
        <v>116.66666666666667</v>
      </c>
      <c r="AX22" s="49">
        <f t="shared" si="19"/>
        <v>253.25</v>
      </c>
    </row>
    <row r="23" spans="1:50" ht="14.25" customHeight="1" x14ac:dyDescent="0.4">
      <c r="A23" s="12" t="s">
        <v>36</v>
      </c>
      <c r="B23" s="13">
        <v>1</v>
      </c>
      <c r="C23" s="14" t="s">
        <v>28</v>
      </c>
      <c r="D23" s="15" t="s">
        <v>75</v>
      </c>
      <c r="E23" s="52">
        <v>1</v>
      </c>
      <c r="F23" s="26"/>
      <c r="G23" s="27" t="s">
        <v>77</v>
      </c>
      <c r="H23" s="54">
        <f>SUM(H7:H10)/COUNT(H7:H10)</f>
        <v>20.75</v>
      </c>
      <c r="I23" s="54">
        <f>SUM(I7:I10)/COUNT(I7:I10)</f>
        <v>20</v>
      </c>
      <c r="J23" s="55">
        <f>IF(I23,H23/I23,H23)</f>
        <v>1.0375000000000001</v>
      </c>
      <c r="K23" s="54">
        <f>SUM(K7:K10)/COUNT(K7:K10)</f>
        <v>27.5</v>
      </c>
      <c r="L23" s="54">
        <f>SUM(L7:L10)/COUNT(L7:L10)</f>
        <v>27.75</v>
      </c>
      <c r="M23" s="55">
        <f>IF(L23,K23/L23,K23)</f>
        <v>0.99099099099099097</v>
      </c>
      <c r="N23" s="56">
        <f t="shared" si="20"/>
        <v>1.3253012048192772</v>
      </c>
      <c r="O23" s="57">
        <f t="shared" si="20"/>
        <v>1.3875</v>
      </c>
      <c r="Q23" s="58"/>
      <c r="R23" s="53"/>
      <c r="AN23" s="27" t="s">
        <v>29</v>
      </c>
      <c r="AO23" s="28">
        <f t="shared" si="10"/>
        <v>367.5</v>
      </c>
      <c r="AP23" s="47">
        <f t="shared" si="11"/>
        <v>-264</v>
      </c>
      <c r="AQ23" s="48">
        <f t="shared" si="12"/>
        <v>27.84090909090909</v>
      </c>
      <c r="AR23" s="28">
        <f t="shared" si="13"/>
        <v>569.5</v>
      </c>
      <c r="AS23" s="47">
        <f t="shared" si="14"/>
        <v>-403</v>
      </c>
      <c r="AT23" s="48">
        <f t="shared" si="15"/>
        <v>27.016129032258064</v>
      </c>
      <c r="AU23" s="28">
        <f t="shared" si="16"/>
        <v>27.346938775510203</v>
      </c>
      <c r="AV23" s="129">
        <f t="shared" si="17"/>
        <v>-28.181818181818183</v>
      </c>
      <c r="AW23" s="48">
        <f t="shared" si="18"/>
        <v>166.66666666666666</v>
      </c>
      <c r="AX23" s="49">
        <f t="shared" si="19"/>
        <v>490.6888253835258</v>
      </c>
    </row>
    <row r="24" spans="1:50" ht="14.25" customHeight="1" x14ac:dyDescent="0.4">
      <c r="A24" s="12" t="s">
        <v>28</v>
      </c>
      <c r="B24" s="13">
        <v>1</v>
      </c>
      <c r="C24" s="14" t="s">
        <v>38</v>
      </c>
      <c r="D24" s="15" t="s">
        <v>78</v>
      </c>
      <c r="F24" s="15"/>
      <c r="G24" s="27" t="s">
        <v>79</v>
      </c>
      <c r="H24" s="54">
        <f>SUM(H11:H14)/COUNT(H11:H14)</f>
        <v>29</v>
      </c>
      <c r="I24" s="54">
        <f>SUM(I11:I14)/COUNT(I11:I14)</f>
        <v>28</v>
      </c>
      <c r="J24" s="55">
        <f>IF(I24,H24/I24,H24)</f>
        <v>1.0357142857142858</v>
      </c>
      <c r="K24" s="54">
        <f>SUM(K11:K14)/COUNT(K11:K14)</f>
        <v>42.5</v>
      </c>
      <c r="L24" s="54">
        <f>SUM(L11:L14)/COUNT(L11:L14)</f>
        <v>37.75</v>
      </c>
      <c r="M24" s="55">
        <f>IF(L24,K24/L24,K24)</f>
        <v>1.1258278145695364</v>
      </c>
      <c r="N24" s="56">
        <f t="shared" si="20"/>
        <v>1.4655172413793103</v>
      </c>
      <c r="O24" s="57">
        <f t="shared" si="20"/>
        <v>1.3482142857142858</v>
      </c>
      <c r="Q24" s="5"/>
      <c r="R24" s="59" t="s">
        <v>80</v>
      </c>
      <c r="S24" s="32" t="s">
        <v>81</v>
      </c>
      <c r="T24" s="60" t="s">
        <v>82</v>
      </c>
      <c r="U24" s="61" t="s">
        <v>83</v>
      </c>
      <c r="V24" s="62" t="s">
        <v>84</v>
      </c>
      <c r="AD24" s="53"/>
      <c r="AN24" s="27" t="s">
        <v>36</v>
      </c>
      <c r="AO24" s="28">
        <f t="shared" si="10"/>
        <v>127.5</v>
      </c>
      <c r="AP24" s="47">
        <f t="shared" si="11"/>
        <v>-90</v>
      </c>
      <c r="AQ24" s="48">
        <f t="shared" si="12"/>
        <v>28.333333333333332</v>
      </c>
      <c r="AR24" s="28">
        <f t="shared" si="13"/>
        <v>212.5</v>
      </c>
      <c r="AS24" s="47">
        <f t="shared" si="14"/>
        <v>-104</v>
      </c>
      <c r="AT24" s="48">
        <f t="shared" si="15"/>
        <v>39.0625</v>
      </c>
      <c r="AU24" s="28">
        <f t="shared" si="16"/>
        <v>29.411764705882355</v>
      </c>
      <c r="AV24" s="129">
        <f t="shared" si="17"/>
        <v>-21.333333333333332</v>
      </c>
      <c r="AW24" s="48">
        <f t="shared" si="18"/>
        <v>166.66666666666666</v>
      </c>
      <c r="AX24" s="49">
        <f t="shared" si="19"/>
        <v>388.14093137254895</v>
      </c>
    </row>
    <row r="25" spans="1:50" ht="14.25" customHeight="1" x14ac:dyDescent="0.4">
      <c r="A25" s="12" t="s">
        <v>38</v>
      </c>
      <c r="B25" s="13">
        <v>1</v>
      </c>
      <c r="C25" s="14" t="s">
        <v>28</v>
      </c>
      <c r="D25" s="15" t="s">
        <v>85</v>
      </c>
      <c r="E25" s="52">
        <v>1</v>
      </c>
      <c r="F25" s="26"/>
      <c r="G25" s="27" t="s">
        <v>86</v>
      </c>
      <c r="H25" s="54">
        <f>SUM(H17:H18)/COUNT(H17:H18)</f>
        <v>5.5</v>
      </c>
      <c r="I25" s="54">
        <f>SUM(I17:I18)/COUNT(I17:I18)</f>
        <v>8</v>
      </c>
      <c r="J25" s="55">
        <f>IF(I25,H25/I25,H25)</f>
        <v>0.6875</v>
      </c>
      <c r="K25" s="54">
        <f>SUM(K17:K18)/COUNT(K17:K18)</f>
        <v>8</v>
      </c>
      <c r="L25" s="54">
        <f>SUM(L17:L18)/COUNT(L17:L18)</f>
        <v>12.5</v>
      </c>
      <c r="M25" s="55">
        <f>IF(L25,K25/L25,K25)</f>
        <v>0.64</v>
      </c>
      <c r="N25" s="56">
        <f t="shared" si="20"/>
        <v>1.4545454545454546</v>
      </c>
      <c r="O25" s="57">
        <f t="shared" si="20"/>
        <v>1.5625</v>
      </c>
      <c r="R25" s="36" t="s">
        <v>87</v>
      </c>
      <c r="S25" s="32">
        <f>COUNT(E:E)</f>
        <v>13</v>
      </c>
      <c r="T25" s="60">
        <f>COUNTIF(E:E,1)</f>
        <v>9</v>
      </c>
      <c r="U25" s="61">
        <f>S25-T25</f>
        <v>4</v>
      </c>
      <c r="V25" s="63">
        <f>IFERROR(T25/S25,0)</f>
        <v>0.69230769230769229</v>
      </c>
      <c r="AN25" s="27" t="s">
        <v>12</v>
      </c>
      <c r="AO25" s="28">
        <f t="shared" si="10"/>
        <v>322.5</v>
      </c>
      <c r="AP25" s="47">
        <f t="shared" si="11"/>
        <v>-162</v>
      </c>
      <c r="AQ25" s="48">
        <f t="shared" si="12"/>
        <v>39.814814814814817</v>
      </c>
      <c r="AR25" s="28">
        <f t="shared" si="13"/>
        <v>561</v>
      </c>
      <c r="AS25" s="47">
        <f t="shared" si="14"/>
        <v>-201.5</v>
      </c>
      <c r="AT25" s="48">
        <f t="shared" si="15"/>
        <v>53.225806451612897</v>
      </c>
      <c r="AU25" s="28">
        <f t="shared" si="16"/>
        <v>30.697674418604652</v>
      </c>
      <c r="AV25" s="129">
        <f t="shared" si="17"/>
        <v>-22.962962962962962</v>
      </c>
      <c r="AW25" s="48">
        <f t="shared" si="18"/>
        <v>216.66666666666669</v>
      </c>
      <c r="AX25" s="49">
        <f t="shared" si="19"/>
        <v>837.44199938873612</v>
      </c>
    </row>
    <row r="26" spans="1:50" ht="14.25" customHeight="1" x14ac:dyDescent="0.4">
      <c r="A26" s="12" t="s">
        <v>38</v>
      </c>
      <c r="B26" s="13">
        <v>1</v>
      </c>
      <c r="C26" s="14" t="s">
        <v>12</v>
      </c>
      <c r="D26" s="15" t="s">
        <v>85</v>
      </c>
      <c r="F26" s="26"/>
      <c r="G26" s="64" t="s">
        <v>88</v>
      </c>
      <c r="H26" s="54">
        <f>SUM(H17)/COUNT(H17)</f>
        <v>11</v>
      </c>
      <c r="I26" s="54">
        <f>SUM(I17)/COUNT(I17)</f>
        <v>6</v>
      </c>
      <c r="J26" s="55">
        <f>IF(I26,H26/I26,H26)</f>
        <v>1.8333333333333333</v>
      </c>
      <c r="K26" s="54">
        <f>SUM(K17)/COUNT(K17)</f>
        <v>16</v>
      </c>
      <c r="L26" s="54">
        <f>SUM(L17)/COUNT(L17)</f>
        <v>7</v>
      </c>
      <c r="M26" s="55">
        <f>IF(L26,K26/L26,K26)</f>
        <v>2.2857142857142856</v>
      </c>
      <c r="N26" s="56">
        <f t="shared" si="20"/>
        <v>1.4545454545454546</v>
      </c>
      <c r="O26" s="57">
        <f t="shared" si="20"/>
        <v>1.1666666666666667</v>
      </c>
      <c r="AN26" s="27" t="s">
        <v>30</v>
      </c>
      <c r="AO26" s="28">
        <f t="shared" si="10"/>
        <v>142.5</v>
      </c>
      <c r="AP26" s="47">
        <f t="shared" si="11"/>
        <v>-216</v>
      </c>
      <c r="AQ26" s="48">
        <f t="shared" si="12"/>
        <v>13.194444444444445</v>
      </c>
      <c r="AR26" s="28">
        <f t="shared" si="13"/>
        <v>195.5</v>
      </c>
      <c r="AS26" s="47">
        <f t="shared" si="14"/>
        <v>-364</v>
      </c>
      <c r="AT26" s="48">
        <f t="shared" si="15"/>
        <v>10.267857142857142</v>
      </c>
      <c r="AU26" s="28">
        <f t="shared" si="16"/>
        <v>24.210526315789473</v>
      </c>
      <c r="AV26" s="129">
        <f t="shared" si="17"/>
        <v>-31.111111111111111</v>
      </c>
      <c r="AW26" s="48">
        <f t="shared" si="18"/>
        <v>166.66666666666666</v>
      </c>
      <c r="AX26" s="49">
        <f t="shared" si="19"/>
        <v>-58.771616541353382</v>
      </c>
    </row>
    <row r="27" spans="1:50" ht="14.25" customHeight="1" x14ac:dyDescent="0.4">
      <c r="A27" s="12" t="s">
        <v>12</v>
      </c>
      <c r="B27" s="13">
        <v>1</v>
      </c>
      <c r="C27" s="14" t="s">
        <v>38</v>
      </c>
      <c r="D27" s="15" t="s">
        <v>89</v>
      </c>
      <c r="F27" s="15"/>
      <c r="AN27" s="27" t="s">
        <v>11</v>
      </c>
      <c r="AO27" s="28">
        <f t="shared" si="10"/>
        <v>277.5</v>
      </c>
      <c r="AP27" s="47">
        <f t="shared" si="11"/>
        <v>-204</v>
      </c>
      <c r="AQ27" s="48">
        <f t="shared" si="12"/>
        <v>27.205882352941174</v>
      </c>
      <c r="AR27" s="28">
        <f t="shared" si="13"/>
        <v>476</v>
      </c>
      <c r="AS27" s="47">
        <f t="shared" si="14"/>
        <v>-312</v>
      </c>
      <c r="AT27" s="48">
        <f t="shared" si="15"/>
        <v>29.166666666666668</v>
      </c>
      <c r="AU27" s="28">
        <f t="shared" si="16"/>
        <v>30.270270270270274</v>
      </c>
      <c r="AV27" s="129">
        <f t="shared" si="17"/>
        <v>-28.235294117647062</v>
      </c>
      <c r="AW27" s="48">
        <f t="shared" si="18"/>
        <v>150</v>
      </c>
      <c r="AX27" s="49">
        <f t="shared" si="19"/>
        <v>445.90752517223109</v>
      </c>
    </row>
    <row r="28" spans="1:50" ht="14.25" customHeight="1" x14ac:dyDescent="0.4">
      <c r="A28" s="12" t="s">
        <v>36</v>
      </c>
      <c r="B28" s="13">
        <v>1</v>
      </c>
      <c r="C28" s="14" t="s">
        <v>38</v>
      </c>
      <c r="D28" s="15" t="s">
        <v>90</v>
      </c>
      <c r="F28" s="26"/>
      <c r="G28" s="27" t="s">
        <v>14</v>
      </c>
      <c r="H28" s="33" t="s">
        <v>15</v>
      </c>
      <c r="Q28" s="27" t="s">
        <v>14</v>
      </c>
      <c r="R28" s="33" t="s">
        <v>18</v>
      </c>
      <c r="AN28" s="27" t="s">
        <v>37</v>
      </c>
      <c r="AO28" s="28">
        <f t="shared" si="10"/>
        <v>37.5</v>
      </c>
      <c r="AP28" s="47">
        <f t="shared" si="11"/>
        <v>-48</v>
      </c>
      <c r="AQ28" s="48">
        <f t="shared" si="12"/>
        <v>15.625</v>
      </c>
      <c r="AR28" s="28">
        <f t="shared" si="13"/>
        <v>59.5</v>
      </c>
      <c r="AS28" s="47">
        <f t="shared" si="14"/>
        <v>-78</v>
      </c>
      <c r="AT28" s="48">
        <f t="shared" si="15"/>
        <v>14.583333333333334</v>
      </c>
      <c r="AU28" s="28">
        <f t="shared" si="16"/>
        <v>28</v>
      </c>
      <c r="AV28" s="129">
        <f t="shared" si="17"/>
        <v>-30</v>
      </c>
      <c r="AW28" s="48">
        <f t="shared" si="18"/>
        <v>83.333333333333329</v>
      </c>
      <c r="AX28" s="49">
        <f t="shared" si="19"/>
        <v>82.541666666666657</v>
      </c>
    </row>
    <row r="29" spans="1:50" ht="14.25" customHeight="1" x14ac:dyDescent="0.4">
      <c r="A29" s="12" t="s">
        <v>38</v>
      </c>
      <c r="B29" s="13">
        <v>1</v>
      </c>
      <c r="C29" s="14" t="s">
        <v>36</v>
      </c>
      <c r="D29" s="15" t="s">
        <v>91</v>
      </c>
      <c r="F29" s="15"/>
      <c r="G29" s="27" t="s">
        <v>29</v>
      </c>
      <c r="H29" s="28">
        <f t="shared" ref="H29:H44" si="21">VLOOKUP(G29,$G$1:$P$18,2,FALSE)</f>
        <v>49</v>
      </c>
      <c r="Q29" s="27" t="s">
        <v>29</v>
      </c>
      <c r="R29" s="28">
        <f t="shared" ref="R29:R44" si="22">VLOOKUP(Q29,$G$1:$P$18,5,FALSE)</f>
        <v>67</v>
      </c>
      <c r="AN29" s="27" t="s">
        <v>40</v>
      </c>
      <c r="AO29" s="28">
        <f t="shared" si="10"/>
        <v>37.5</v>
      </c>
      <c r="AP29" s="47">
        <f t="shared" si="11"/>
        <v>-24</v>
      </c>
      <c r="AQ29" s="48">
        <f t="shared" si="12"/>
        <v>31.25</v>
      </c>
      <c r="AR29" s="28">
        <f t="shared" si="13"/>
        <v>51</v>
      </c>
      <c r="AS29" s="47">
        <f t="shared" si="14"/>
        <v>-26</v>
      </c>
      <c r="AT29" s="48">
        <f t="shared" si="15"/>
        <v>37.5</v>
      </c>
      <c r="AU29" s="28">
        <f t="shared" si="16"/>
        <v>24</v>
      </c>
      <c r="AV29" s="129">
        <f t="shared" si="17"/>
        <v>-20</v>
      </c>
      <c r="AW29" s="48">
        <f t="shared" si="18"/>
        <v>50</v>
      </c>
      <c r="AX29" s="49">
        <f t="shared" si="19"/>
        <v>161.25</v>
      </c>
    </row>
    <row r="30" spans="1:50" ht="14.25" customHeight="1" x14ac:dyDescent="0.4">
      <c r="A30" s="12" t="s">
        <v>28</v>
      </c>
      <c r="B30" s="13">
        <v>1</v>
      </c>
      <c r="C30" s="14" t="s">
        <v>36</v>
      </c>
      <c r="D30" s="15" t="s">
        <v>92</v>
      </c>
      <c r="F30" s="26"/>
      <c r="G30" s="27" t="s">
        <v>12</v>
      </c>
      <c r="H30" s="28">
        <f t="shared" si="21"/>
        <v>43</v>
      </c>
      <c r="Q30" s="27" t="s">
        <v>12</v>
      </c>
      <c r="R30" s="28">
        <f t="shared" si="22"/>
        <v>66</v>
      </c>
      <c r="AN30" s="27" t="s">
        <v>39</v>
      </c>
      <c r="AO30" s="28">
        <f t="shared" si="10"/>
        <v>82.5</v>
      </c>
      <c r="AP30" s="47">
        <f t="shared" si="11"/>
        <v>-36</v>
      </c>
      <c r="AQ30" s="48">
        <f t="shared" si="12"/>
        <v>45.833333333333329</v>
      </c>
      <c r="AR30" s="28">
        <f t="shared" si="13"/>
        <v>136</v>
      </c>
      <c r="AS30" s="47">
        <f t="shared" si="14"/>
        <v>-45.5</v>
      </c>
      <c r="AT30" s="48">
        <f t="shared" si="15"/>
        <v>57.142857142857139</v>
      </c>
      <c r="AU30" s="28">
        <f t="shared" si="16"/>
        <v>29.090909090909093</v>
      </c>
      <c r="AV30" s="129">
        <f t="shared" si="17"/>
        <v>-23.333333333333336</v>
      </c>
      <c r="AW30" s="48">
        <f t="shared" si="18"/>
        <v>83.333333333333329</v>
      </c>
      <c r="AX30" s="49">
        <f t="shared" si="19"/>
        <v>329.06709956709955</v>
      </c>
    </row>
    <row r="31" spans="1:50" ht="14.25" customHeight="1" x14ac:dyDescent="0.4">
      <c r="A31" s="12" t="s">
        <v>40</v>
      </c>
      <c r="B31" s="13">
        <v>1</v>
      </c>
      <c r="C31" s="14" t="s">
        <v>33</v>
      </c>
      <c r="D31" s="15" t="s">
        <v>93</v>
      </c>
      <c r="F31" s="26"/>
      <c r="G31" s="27" t="s">
        <v>11</v>
      </c>
      <c r="H31" s="28">
        <f t="shared" si="21"/>
        <v>37</v>
      </c>
      <c r="Q31" s="27" t="s">
        <v>11</v>
      </c>
      <c r="R31" s="28">
        <f t="shared" si="22"/>
        <v>56</v>
      </c>
      <c r="AN31" s="27" t="s">
        <v>35</v>
      </c>
      <c r="AO31" s="28">
        <f t="shared" si="10"/>
        <v>0</v>
      </c>
      <c r="AP31" s="47">
        <f t="shared" si="11"/>
        <v>-60</v>
      </c>
      <c r="AQ31" s="48">
        <f t="shared" si="12"/>
        <v>0</v>
      </c>
      <c r="AR31" s="28">
        <f t="shared" si="13"/>
        <v>0</v>
      </c>
      <c r="AS31" s="47">
        <f t="shared" si="14"/>
        <v>-117</v>
      </c>
      <c r="AT31" s="48">
        <f t="shared" si="15"/>
        <v>0</v>
      </c>
      <c r="AU31" s="28">
        <f t="shared" si="16"/>
        <v>0</v>
      </c>
      <c r="AV31" s="129">
        <f t="shared" si="17"/>
        <v>-36</v>
      </c>
      <c r="AW31" s="48">
        <f t="shared" si="18"/>
        <v>0</v>
      </c>
      <c r="AX31" s="49">
        <f t="shared" si="19"/>
        <v>-213</v>
      </c>
    </row>
    <row r="32" spans="1:50" ht="14.25" customHeight="1" x14ac:dyDescent="0.4">
      <c r="A32" s="12" t="s">
        <v>33</v>
      </c>
      <c r="B32" s="13">
        <v>1</v>
      </c>
      <c r="C32" s="14" t="s">
        <v>40</v>
      </c>
      <c r="D32" s="15" t="s">
        <v>94</v>
      </c>
      <c r="F32" s="26"/>
      <c r="G32" s="27" t="s">
        <v>32</v>
      </c>
      <c r="H32" s="28">
        <f t="shared" si="21"/>
        <v>33</v>
      </c>
      <c r="Q32" s="27" t="s">
        <v>32</v>
      </c>
      <c r="R32" s="28">
        <f t="shared" si="22"/>
        <v>43</v>
      </c>
    </row>
    <row r="33" spans="1:43" ht="14.25" customHeight="1" x14ac:dyDescent="0.4">
      <c r="A33" s="12" t="s">
        <v>34</v>
      </c>
      <c r="B33" s="13">
        <v>1</v>
      </c>
      <c r="C33" s="14" t="s">
        <v>32</v>
      </c>
      <c r="D33" s="15" t="s">
        <v>95</v>
      </c>
      <c r="F33" s="26"/>
      <c r="G33" s="27" t="s">
        <v>31</v>
      </c>
      <c r="H33" s="28">
        <f t="shared" si="21"/>
        <v>22</v>
      </c>
      <c r="Q33" s="27" t="s">
        <v>31</v>
      </c>
      <c r="R33" s="28">
        <f t="shared" si="22"/>
        <v>29</v>
      </c>
      <c r="AH33" s="53"/>
    </row>
    <row r="34" spans="1:43" ht="14.25" customHeight="1" x14ac:dyDescent="0.4">
      <c r="A34" s="12" t="s">
        <v>32</v>
      </c>
      <c r="B34" s="13">
        <v>1</v>
      </c>
      <c r="C34" s="14" t="s">
        <v>34</v>
      </c>
      <c r="D34" s="15" t="s">
        <v>96</v>
      </c>
      <c r="F34" s="26"/>
      <c r="G34" s="27" t="s">
        <v>30</v>
      </c>
      <c r="H34" s="28">
        <f t="shared" si="21"/>
        <v>19</v>
      </c>
      <c r="Q34" s="27" t="s">
        <v>36</v>
      </c>
      <c r="R34" s="28">
        <f t="shared" si="22"/>
        <v>25</v>
      </c>
      <c r="AH34" s="53"/>
    </row>
    <row r="35" spans="1:43" ht="14.25" customHeight="1" x14ac:dyDescent="0.4">
      <c r="A35" s="12" t="s">
        <v>29</v>
      </c>
      <c r="B35" s="13">
        <v>2</v>
      </c>
      <c r="C35" s="14" t="s">
        <v>31</v>
      </c>
      <c r="D35" s="15" t="s">
        <v>97</v>
      </c>
      <c r="F35" s="15"/>
      <c r="G35" s="27" t="s">
        <v>36</v>
      </c>
      <c r="H35" s="28">
        <f t="shared" si="21"/>
        <v>17</v>
      </c>
      <c r="Q35" s="27" t="s">
        <v>30</v>
      </c>
      <c r="R35" s="28">
        <f t="shared" si="22"/>
        <v>23</v>
      </c>
      <c r="AH35" s="53"/>
      <c r="AN35" s="65" t="s">
        <v>14</v>
      </c>
      <c r="AO35" s="66" t="s">
        <v>98</v>
      </c>
      <c r="AP35" s="66" t="s">
        <v>99</v>
      </c>
      <c r="AQ35" s="53"/>
    </row>
    <row r="36" spans="1:43" ht="14.25" customHeight="1" x14ac:dyDescent="0.4">
      <c r="A36" s="12" t="s">
        <v>31</v>
      </c>
      <c r="B36" s="13">
        <v>1</v>
      </c>
      <c r="C36" s="14" t="s">
        <v>29</v>
      </c>
      <c r="D36" s="15" t="s">
        <v>100</v>
      </c>
      <c r="F36" s="26"/>
      <c r="G36" s="27" t="s">
        <v>33</v>
      </c>
      <c r="H36" s="28">
        <f t="shared" si="21"/>
        <v>17</v>
      </c>
      <c r="Q36" s="27" t="s">
        <v>33</v>
      </c>
      <c r="R36" s="28">
        <f t="shared" si="22"/>
        <v>22</v>
      </c>
      <c r="AH36" s="53"/>
      <c r="AN36" s="27" t="s">
        <v>12</v>
      </c>
      <c r="AO36" s="49">
        <f t="shared" ref="AO36:AO51" si="23">VLOOKUP(AN36,$AN$13:$AX$31,11,FALSE)</f>
        <v>837.44199938873612</v>
      </c>
      <c r="AP36" s="67">
        <f t="shared" ref="AP36:AP51" si="24">AO36-$AO$51</f>
        <v>1050.4419993887361</v>
      </c>
      <c r="AQ36" s="52">
        <v>1</v>
      </c>
    </row>
    <row r="37" spans="1:43" ht="14.25" customHeight="1" x14ac:dyDescent="0.4">
      <c r="A37" s="12" t="s">
        <v>39</v>
      </c>
      <c r="B37" s="13">
        <v>2</v>
      </c>
      <c r="C37" s="14" t="s">
        <v>29</v>
      </c>
      <c r="D37" s="15" t="s">
        <v>101</v>
      </c>
      <c r="F37" s="15"/>
      <c r="G37" s="27" t="s">
        <v>34</v>
      </c>
      <c r="H37" s="28">
        <f t="shared" si="21"/>
        <v>16</v>
      </c>
      <c r="Q37" s="27" t="s">
        <v>34</v>
      </c>
      <c r="R37" s="28">
        <f t="shared" si="22"/>
        <v>22</v>
      </c>
      <c r="AH37" s="53"/>
      <c r="AN37" s="27" t="s">
        <v>29</v>
      </c>
      <c r="AO37" s="49">
        <f t="shared" si="23"/>
        <v>490.6888253835258</v>
      </c>
      <c r="AP37" s="67">
        <f t="shared" si="24"/>
        <v>703.6888253835258</v>
      </c>
      <c r="AQ37" s="52">
        <v>2</v>
      </c>
    </row>
    <row r="38" spans="1:43" ht="14.25" customHeight="1" x14ac:dyDescent="0.4">
      <c r="A38" s="12" t="s">
        <v>11</v>
      </c>
      <c r="B38" s="13">
        <v>2</v>
      </c>
      <c r="C38" s="14" t="s">
        <v>31</v>
      </c>
      <c r="D38" s="15" t="s">
        <v>102</v>
      </c>
      <c r="F38" s="26"/>
      <c r="G38" s="27" t="s">
        <v>28</v>
      </c>
      <c r="H38" s="28">
        <f t="shared" si="21"/>
        <v>15</v>
      </c>
      <c r="Q38" s="27" t="s">
        <v>28</v>
      </c>
      <c r="R38" s="28">
        <f t="shared" si="22"/>
        <v>21</v>
      </c>
      <c r="AH38" s="53"/>
      <c r="AN38" s="27" t="s">
        <v>32</v>
      </c>
      <c r="AO38" s="49">
        <f t="shared" si="23"/>
        <v>465.92184286301938</v>
      </c>
      <c r="AP38" s="67">
        <f t="shared" si="24"/>
        <v>678.92184286301938</v>
      </c>
      <c r="AQ38" s="52">
        <v>3</v>
      </c>
    </row>
    <row r="39" spans="1:43" ht="14.25" customHeight="1" x14ac:dyDescent="0.4">
      <c r="A39" s="12" t="s">
        <v>12</v>
      </c>
      <c r="B39" s="13">
        <v>2</v>
      </c>
      <c r="C39" s="14" t="s">
        <v>29</v>
      </c>
      <c r="D39" s="15" t="s">
        <v>103</v>
      </c>
      <c r="F39" s="26"/>
      <c r="G39" s="27" t="s">
        <v>39</v>
      </c>
      <c r="H39" s="28">
        <f t="shared" si="21"/>
        <v>11</v>
      </c>
      <c r="Q39" s="27" t="s">
        <v>39</v>
      </c>
      <c r="R39" s="28">
        <f t="shared" si="22"/>
        <v>16</v>
      </c>
      <c r="AH39" s="53"/>
      <c r="AN39" s="27" t="s">
        <v>11</v>
      </c>
      <c r="AO39" s="49">
        <f t="shared" si="23"/>
        <v>445.90752517223109</v>
      </c>
      <c r="AP39" s="67">
        <f t="shared" si="24"/>
        <v>658.90752517223109</v>
      </c>
      <c r="AQ39" s="52">
        <v>4</v>
      </c>
    </row>
    <row r="40" spans="1:43" ht="14.25" customHeight="1" x14ac:dyDescent="0.4">
      <c r="A40" s="12" t="s">
        <v>29</v>
      </c>
      <c r="B40" s="13">
        <v>1</v>
      </c>
      <c r="C40" s="14" t="s">
        <v>12</v>
      </c>
      <c r="D40" s="15" t="s">
        <v>104</v>
      </c>
      <c r="F40" s="26"/>
      <c r="G40" s="27" t="s">
        <v>38</v>
      </c>
      <c r="H40" s="28">
        <f t="shared" si="21"/>
        <v>10</v>
      </c>
      <c r="Q40" s="27" t="s">
        <v>38</v>
      </c>
      <c r="R40" s="28">
        <f t="shared" si="22"/>
        <v>12</v>
      </c>
      <c r="AH40" s="53"/>
      <c r="AN40" s="27" t="s">
        <v>36</v>
      </c>
      <c r="AO40" s="49">
        <f t="shared" si="23"/>
        <v>388.14093137254895</v>
      </c>
      <c r="AP40" s="67">
        <f t="shared" si="24"/>
        <v>601.14093137254895</v>
      </c>
      <c r="AQ40" s="52">
        <v>5</v>
      </c>
    </row>
    <row r="41" spans="1:43" ht="14.25" customHeight="1" x14ac:dyDescent="0.4">
      <c r="A41" s="12" t="s">
        <v>12</v>
      </c>
      <c r="B41" s="13">
        <v>2</v>
      </c>
      <c r="C41" s="14" t="s">
        <v>35</v>
      </c>
      <c r="D41" s="15" t="s">
        <v>105</v>
      </c>
      <c r="F41" s="15"/>
      <c r="G41" s="27" t="s">
        <v>40</v>
      </c>
      <c r="H41" s="28">
        <f t="shared" si="21"/>
        <v>5</v>
      </c>
      <c r="Q41" s="27" t="s">
        <v>37</v>
      </c>
      <c r="R41" s="28">
        <f t="shared" si="22"/>
        <v>7</v>
      </c>
      <c r="AH41" s="53"/>
      <c r="AN41" s="27" t="s">
        <v>39</v>
      </c>
      <c r="AO41" s="49">
        <f t="shared" si="23"/>
        <v>329.06709956709955</v>
      </c>
      <c r="AP41" s="67">
        <f t="shared" si="24"/>
        <v>542.0670995670996</v>
      </c>
      <c r="AQ41" s="52">
        <v>6</v>
      </c>
    </row>
    <row r="42" spans="1:43" ht="14.25" customHeight="1" x14ac:dyDescent="0.4">
      <c r="A42" s="12" t="s">
        <v>29</v>
      </c>
      <c r="B42" s="13">
        <v>2</v>
      </c>
      <c r="C42" s="14" t="s">
        <v>35</v>
      </c>
      <c r="D42" s="15" t="s">
        <v>106</v>
      </c>
      <c r="F42" s="26"/>
      <c r="G42" s="27" t="s">
        <v>37</v>
      </c>
      <c r="H42" s="28">
        <f t="shared" si="21"/>
        <v>5</v>
      </c>
      <c r="Q42" s="27" t="s">
        <v>40</v>
      </c>
      <c r="R42" s="28">
        <f t="shared" si="22"/>
        <v>6</v>
      </c>
      <c r="AH42" s="53"/>
      <c r="AN42" s="27" t="s">
        <v>28</v>
      </c>
      <c r="AO42" s="49">
        <f t="shared" si="23"/>
        <v>312.79761904761904</v>
      </c>
      <c r="AP42" s="67">
        <f t="shared" si="24"/>
        <v>525.79761904761904</v>
      </c>
      <c r="AQ42" s="52">
        <v>7</v>
      </c>
    </row>
    <row r="43" spans="1:43" ht="14.25" customHeight="1" x14ac:dyDescent="0.4">
      <c r="A43" s="12" t="s">
        <v>12</v>
      </c>
      <c r="B43" s="13">
        <v>2</v>
      </c>
      <c r="C43" s="14" t="s">
        <v>29</v>
      </c>
      <c r="D43" s="15" t="s">
        <v>107</v>
      </c>
      <c r="F43" s="26"/>
      <c r="G43" s="27" t="s">
        <v>41</v>
      </c>
      <c r="H43" s="28">
        <f t="shared" si="21"/>
        <v>2</v>
      </c>
      <c r="Q43" s="27" t="s">
        <v>41</v>
      </c>
      <c r="R43" s="28">
        <f t="shared" si="22"/>
        <v>2</v>
      </c>
      <c r="AH43" s="53"/>
      <c r="AN43" s="27" t="s">
        <v>38</v>
      </c>
      <c r="AO43" s="49">
        <f t="shared" si="23"/>
        <v>253.25</v>
      </c>
      <c r="AP43" s="67">
        <f t="shared" si="24"/>
        <v>466.25</v>
      </c>
      <c r="AQ43" s="52">
        <v>8</v>
      </c>
    </row>
    <row r="44" spans="1:43" ht="14.25" customHeight="1" x14ac:dyDescent="0.4">
      <c r="A44" s="12" t="s">
        <v>12</v>
      </c>
      <c r="B44" s="13">
        <v>2</v>
      </c>
      <c r="C44" s="14" t="s">
        <v>35</v>
      </c>
      <c r="D44" s="15" t="s">
        <v>108</v>
      </c>
      <c r="F44" s="26"/>
      <c r="G44" s="27" t="s">
        <v>35</v>
      </c>
      <c r="H44" s="28">
        <f t="shared" si="21"/>
        <v>0</v>
      </c>
      <c r="Q44" s="27" t="s">
        <v>35</v>
      </c>
      <c r="R44" s="28">
        <f t="shared" si="22"/>
        <v>0</v>
      </c>
      <c r="AH44" s="53"/>
      <c r="AN44" s="27" t="s">
        <v>31</v>
      </c>
      <c r="AO44" s="49">
        <f t="shared" si="23"/>
        <v>209.35823095823096</v>
      </c>
      <c r="AP44" s="67">
        <f t="shared" si="24"/>
        <v>422.35823095823093</v>
      </c>
      <c r="AQ44" s="52">
        <v>9</v>
      </c>
    </row>
    <row r="45" spans="1:43" ht="14.25" customHeight="1" x14ac:dyDescent="0.4">
      <c r="A45" s="12" t="s">
        <v>28</v>
      </c>
      <c r="B45" s="13">
        <v>1</v>
      </c>
      <c r="C45" s="14" t="s">
        <v>37</v>
      </c>
      <c r="D45" s="15" t="s">
        <v>109</v>
      </c>
      <c r="F45" s="15"/>
      <c r="AH45" s="53"/>
      <c r="AN45" s="27" t="s">
        <v>34</v>
      </c>
      <c r="AO45" s="49">
        <f t="shared" si="23"/>
        <v>174.66861598440545</v>
      </c>
      <c r="AP45" s="67">
        <f t="shared" si="24"/>
        <v>387.66861598440545</v>
      </c>
      <c r="AQ45" s="52">
        <v>10</v>
      </c>
    </row>
    <row r="46" spans="1:43" ht="14.25" customHeight="1" x14ac:dyDescent="0.4">
      <c r="A46" s="12" t="s">
        <v>37</v>
      </c>
      <c r="B46" s="13">
        <v>1</v>
      </c>
      <c r="C46" s="14" t="s">
        <v>28</v>
      </c>
      <c r="D46" s="15" t="s">
        <v>110</v>
      </c>
      <c r="E46" s="52">
        <v>0</v>
      </c>
      <c r="F46" s="26"/>
      <c r="G46" s="27" t="s">
        <v>14</v>
      </c>
      <c r="H46" s="33" t="s">
        <v>16</v>
      </c>
      <c r="Q46" s="27" t="s">
        <v>14</v>
      </c>
      <c r="R46" s="33" t="s">
        <v>19</v>
      </c>
      <c r="AN46" s="27" t="s">
        <v>33</v>
      </c>
      <c r="AO46" s="49">
        <f t="shared" si="23"/>
        <v>166.53386809269159</v>
      </c>
      <c r="AP46" s="67">
        <f t="shared" si="24"/>
        <v>379.53386809269159</v>
      </c>
      <c r="AQ46" s="52">
        <v>11</v>
      </c>
    </row>
    <row r="47" spans="1:43" ht="14.25" customHeight="1" x14ac:dyDescent="0.4">
      <c r="A47" s="12" t="s">
        <v>36</v>
      </c>
      <c r="B47" s="13">
        <v>1</v>
      </c>
      <c r="C47" s="14" t="s">
        <v>28</v>
      </c>
      <c r="D47" s="15" t="s">
        <v>111</v>
      </c>
      <c r="E47" s="52">
        <v>1</v>
      </c>
      <c r="F47" s="26"/>
      <c r="G47" s="27" t="s">
        <v>29</v>
      </c>
      <c r="H47" s="28">
        <f t="shared" ref="H47:H62" si="25">VLOOKUP(G47,$G$1:$P$18,3,FALSE)</f>
        <v>44</v>
      </c>
      <c r="Q47" s="27" t="s">
        <v>29</v>
      </c>
      <c r="R47" s="28">
        <f t="shared" ref="R47:R62" si="26">VLOOKUP(Q47,$G$1:$P$18,6,FALSE)</f>
        <v>62</v>
      </c>
      <c r="AN47" s="27" t="s">
        <v>40</v>
      </c>
      <c r="AO47" s="49">
        <f t="shared" si="23"/>
        <v>161.25</v>
      </c>
      <c r="AP47" s="67">
        <f t="shared" si="24"/>
        <v>374.25</v>
      </c>
      <c r="AQ47" s="52">
        <v>12</v>
      </c>
    </row>
    <row r="48" spans="1:43" ht="14.25" customHeight="1" x14ac:dyDescent="0.4">
      <c r="A48" s="12" t="s">
        <v>28</v>
      </c>
      <c r="B48" s="13">
        <v>1</v>
      </c>
      <c r="C48" s="14" t="s">
        <v>36</v>
      </c>
      <c r="D48" s="15" t="s">
        <v>112</v>
      </c>
      <c r="F48" s="26"/>
      <c r="G48" s="27" t="s">
        <v>30</v>
      </c>
      <c r="H48" s="28">
        <f t="shared" si="25"/>
        <v>36</v>
      </c>
      <c r="Q48" s="27" t="s">
        <v>30</v>
      </c>
      <c r="R48" s="28">
        <f t="shared" si="26"/>
        <v>56</v>
      </c>
      <c r="AN48" s="27" t="s">
        <v>37</v>
      </c>
      <c r="AO48" s="49">
        <f t="shared" si="23"/>
        <v>82.541666666666657</v>
      </c>
      <c r="AP48" s="67">
        <f t="shared" si="24"/>
        <v>295.54166666666663</v>
      </c>
      <c r="AQ48" s="52">
        <v>13</v>
      </c>
    </row>
    <row r="49" spans="1:49" ht="14.25" customHeight="1" x14ac:dyDescent="0.4">
      <c r="A49" s="12" t="s">
        <v>12</v>
      </c>
      <c r="B49" s="13">
        <v>1</v>
      </c>
      <c r="C49" s="14" t="s">
        <v>33</v>
      </c>
      <c r="D49" s="15" t="s">
        <v>113</v>
      </c>
      <c r="F49" s="26"/>
      <c r="G49" s="27" t="s">
        <v>11</v>
      </c>
      <c r="H49" s="28">
        <f t="shared" si="25"/>
        <v>34</v>
      </c>
      <c r="Q49" s="27" t="s">
        <v>11</v>
      </c>
      <c r="R49" s="28">
        <f t="shared" si="26"/>
        <v>48</v>
      </c>
      <c r="AN49" s="27" t="s">
        <v>41</v>
      </c>
      <c r="AO49" s="49">
        <f t="shared" si="23"/>
        <v>61.166666666666664</v>
      </c>
      <c r="AP49" s="67">
        <f t="shared" si="24"/>
        <v>274.16666666666669</v>
      </c>
      <c r="AQ49" s="52">
        <v>14</v>
      </c>
    </row>
    <row r="50" spans="1:49" ht="14.25" customHeight="1" x14ac:dyDescent="0.4">
      <c r="A50" s="12" t="s">
        <v>33</v>
      </c>
      <c r="B50" s="13">
        <v>1</v>
      </c>
      <c r="C50" s="14" t="s">
        <v>12</v>
      </c>
      <c r="D50" s="15" t="s">
        <v>114</v>
      </c>
      <c r="F50" s="26"/>
      <c r="G50" s="27" t="s">
        <v>12</v>
      </c>
      <c r="H50" s="28">
        <f t="shared" si="25"/>
        <v>27</v>
      </c>
      <c r="Q50" s="27" t="s">
        <v>31</v>
      </c>
      <c r="R50" s="28">
        <f t="shared" si="26"/>
        <v>37</v>
      </c>
      <c r="AN50" s="27" t="s">
        <v>30</v>
      </c>
      <c r="AO50" s="49">
        <f t="shared" si="23"/>
        <v>-58.771616541353382</v>
      </c>
      <c r="AP50" s="67">
        <f t="shared" si="24"/>
        <v>154.22838345864662</v>
      </c>
      <c r="AQ50" s="52">
        <v>15</v>
      </c>
    </row>
    <row r="51" spans="1:49" ht="14.25" customHeight="1" x14ac:dyDescent="0.4">
      <c r="A51" s="12" t="s">
        <v>32</v>
      </c>
      <c r="B51" s="13">
        <v>2</v>
      </c>
      <c r="C51" s="14" t="s">
        <v>29</v>
      </c>
      <c r="D51" s="15" t="s">
        <v>115</v>
      </c>
      <c r="F51" s="26"/>
      <c r="G51" s="27" t="s">
        <v>32</v>
      </c>
      <c r="H51" s="28">
        <f t="shared" si="25"/>
        <v>26</v>
      </c>
      <c r="Q51" s="27" t="s">
        <v>32</v>
      </c>
      <c r="R51" s="28">
        <f t="shared" si="26"/>
        <v>34</v>
      </c>
      <c r="AN51" s="27" t="s">
        <v>35</v>
      </c>
      <c r="AO51" s="49">
        <f t="shared" si="23"/>
        <v>-213</v>
      </c>
      <c r="AP51" s="67">
        <f t="shared" si="24"/>
        <v>0</v>
      </c>
      <c r="AQ51" s="52">
        <v>16</v>
      </c>
    </row>
    <row r="52" spans="1:49" ht="14.25" customHeight="1" x14ac:dyDescent="0.4">
      <c r="A52" s="12" t="s">
        <v>40</v>
      </c>
      <c r="B52" s="13">
        <v>1</v>
      </c>
      <c r="C52" s="14" t="s">
        <v>33</v>
      </c>
      <c r="D52" s="15" t="s">
        <v>116</v>
      </c>
      <c r="F52" s="26"/>
      <c r="G52" s="27" t="s">
        <v>31</v>
      </c>
      <c r="H52" s="28">
        <f t="shared" si="25"/>
        <v>25</v>
      </c>
      <c r="Q52" s="27" t="s">
        <v>33</v>
      </c>
      <c r="R52" s="28">
        <f t="shared" si="26"/>
        <v>33</v>
      </c>
    </row>
    <row r="53" spans="1:49" ht="14.25" customHeight="1" x14ac:dyDescent="0.4">
      <c r="A53" s="12" t="s">
        <v>29</v>
      </c>
      <c r="B53" s="13">
        <v>1</v>
      </c>
      <c r="C53" s="14" t="s">
        <v>11</v>
      </c>
      <c r="D53" s="15" t="s">
        <v>117</v>
      </c>
      <c r="F53" s="26"/>
      <c r="G53" s="27" t="s">
        <v>33</v>
      </c>
      <c r="H53" s="28">
        <f t="shared" si="25"/>
        <v>22</v>
      </c>
      <c r="Q53" s="27" t="s">
        <v>12</v>
      </c>
      <c r="R53" s="28">
        <f t="shared" si="26"/>
        <v>31</v>
      </c>
    </row>
    <row r="54" spans="1:49" ht="14.25" customHeight="1" x14ac:dyDescent="0.4">
      <c r="A54" s="12" t="s">
        <v>11</v>
      </c>
      <c r="B54" s="13">
        <v>1</v>
      </c>
      <c r="C54" s="14" t="s">
        <v>29</v>
      </c>
      <c r="D54" s="15" t="s">
        <v>118</v>
      </c>
      <c r="F54" s="26"/>
      <c r="G54" s="27" t="s">
        <v>34</v>
      </c>
      <c r="H54" s="28">
        <f t="shared" si="25"/>
        <v>19</v>
      </c>
      <c r="Q54" s="27" t="s">
        <v>34</v>
      </c>
      <c r="R54" s="28">
        <f t="shared" si="26"/>
        <v>27</v>
      </c>
    </row>
    <row r="55" spans="1:49" ht="14.25" customHeight="1" thickBot="1" x14ac:dyDescent="0.45">
      <c r="A55" s="12" t="s">
        <v>12</v>
      </c>
      <c r="B55" s="13">
        <v>1</v>
      </c>
      <c r="C55" s="14" t="s">
        <v>34</v>
      </c>
      <c r="D55" s="15" t="s">
        <v>119</v>
      </c>
      <c r="F55" s="26"/>
      <c r="G55" s="27" t="s">
        <v>36</v>
      </c>
      <c r="H55" s="28">
        <f t="shared" si="25"/>
        <v>15</v>
      </c>
      <c r="Q55" s="27" t="s">
        <v>28</v>
      </c>
      <c r="R55" s="28">
        <f t="shared" si="26"/>
        <v>20</v>
      </c>
      <c r="AN55" s="53"/>
      <c r="AO55" s="53"/>
      <c r="AP55" s="53"/>
    </row>
    <row r="56" spans="1:49" ht="14.25" customHeight="1" thickBot="1" x14ac:dyDescent="0.45">
      <c r="A56" s="12" t="s">
        <v>34</v>
      </c>
      <c r="B56" s="13">
        <v>1</v>
      </c>
      <c r="C56" s="14" t="s">
        <v>12</v>
      </c>
      <c r="D56" s="15" t="s">
        <v>120</v>
      </c>
      <c r="F56" s="26"/>
      <c r="G56" s="27" t="s">
        <v>28</v>
      </c>
      <c r="H56" s="28">
        <f t="shared" si="25"/>
        <v>14</v>
      </c>
      <c r="Q56" s="27" t="s">
        <v>35</v>
      </c>
      <c r="R56" s="28">
        <f t="shared" si="26"/>
        <v>18</v>
      </c>
      <c r="AN56" s="131" t="s">
        <v>121</v>
      </c>
      <c r="AO56" s="132"/>
      <c r="AP56" s="132"/>
      <c r="AQ56" s="132"/>
      <c r="AR56" s="132"/>
      <c r="AS56" s="132"/>
      <c r="AT56" s="132"/>
      <c r="AU56" s="132"/>
      <c r="AV56" s="133"/>
    </row>
    <row r="57" spans="1:49" ht="14.25" customHeight="1" x14ac:dyDescent="0.4">
      <c r="A57" s="12" t="s">
        <v>29</v>
      </c>
      <c r="B57" s="13">
        <v>2</v>
      </c>
      <c r="C57" s="14" t="s">
        <v>31</v>
      </c>
      <c r="D57" s="15" t="s">
        <v>122</v>
      </c>
      <c r="F57" s="26"/>
      <c r="G57" s="27" t="s">
        <v>35</v>
      </c>
      <c r="H57" s="28">
        <f t="shared" si="25"/>
        <v>10</v>
      </c>
      <c r="Q57" s="27" t="s">
        <v>36</v>
      </c>
      <c r="R57" s="28">
        <f t="shared" si="26"/>
        <v>16</v>
      </c>
      <c r="AN57" s="68" t="s">
        <v>123</v>
      </c>
      <c r="AO57" s="69" t="s">
        <v>15</v>
      </c>
      <c r="AP57" s="69" t="s">
        <v>16</v>
      </c>
      <c r="AQ57" s="69" t="s">
        <v>17</v>
      </c>
      <c r="AR57" s="69" t="s">
        <v>18</v>
      </c>
      <c r="AS57" s="69" t="s">
        <v>19</v>
      </c>
      <c r="AT57" s="69" t="s">
        <v>20</v>
      </c>
      <c r="AU57" s="69" t="s">
        <v>21</v>
      </c>
      <c r="AV57" s="69" t="s">
        <v>22</v>
      </c>
    </row>
    <row r="58" spans="1:49" ht="14.25" customHeight="1" x14ac:dyDescent="0.4">
      <c r="A58" s="12" t="s">
        <v>28</v>
      </c>
      <c r="B58" s="13">
        <v>2</v>
      </c>
      <c r="C58" s="14" t="s">
        <v>34</v>
      </c>
      <c r="D58" s="15" t="s">
        <v>124</v>
      </c>
      <c r="F58" s="26"/>
      <c r="G58" s="27" t="s">
        <v>38</v>
      </c>
      <c r="H58" s="28">
        <f t="shared" si="25"/>
        <v>8</v>
      </c>
      <c r="Q58" s="27" t="s">
        <v>37</v>
      </c>
      <c r="R58" s="28">
        <f t="shared" si="26"/>
        <v>12</v>
      </c>
      <c r="AN58" s="27" t="s">
        <v>65</v>
      </c>
      <c r="AO58" s="43">
        <v>7.5</v>
      </c>
      <c r="AP58" s="44">
        <v>-6</v>
      </c>
      <c r="AQ58" s="44">
        <v>25</v>
      </c>
      <c r="AR58" s="44">
        <v>8.5</v>
      </c>
      <c r="AS58" s="44">
        <v>-6.5</v>
      </c>
      <c r="AT58" s="44">
        <v>25</v>
      </c>
      <c r="AU58" s="44">
        <v>20</v>
      </c>
      <c r="AV58" s="44">
        <v>-20</v>
      </c>
      <c r="AW58" s="33" t="s">
        <v>66</v>
      </c>
    </row>
    <row r="59" spans="1:49" ht="14.25" customHeight="1" x14ac:dyDescent="0.4">
      <c r="A59" s="12" t="s">
        <v>12</v>
      </c>
      <c r="B59" s="13">
        <v>1</v>
      </c>
      <c r="C59" s="14" t="s">
        <v>11</v>
      </c>
      <c r="D59" s="15" t="s">
        <v>125</v>
      </c>
      <c r="F59" s="26"/>
      <c r="G59" s="27" t="s">
        <v>37</v>
      </c>
      <c r="H59" s="28">
        <f t="shared" si="25"/>
        <v>8</v>
      </c>
      <c r="Q59" s="27" t="s">
        <v>38</v>
      </c>
      <c r="R59" s="28">
        <f t="shared" si="26"/>
        <v>9</v>
      </c>
      <c r="AN59" s="41" t="s">
        <v>76</v>
      </c>
      <c r="AO59" s="29">
        <f>H22*$AO$58</f>
        <v>151.875</v>
      </c>
      <c r="AP59" s="29">
        <f>I22*$AP$58</f>
        <v>-121.5</v>
      </c>
      <c r="AQ59" s="29">
        <f>J22*$AQ$58</f>
        <v>25</v>
      </c>
      <c r="AR59" s="29">
        <f>K22*$AR$58</f>
        <v>229.5</v>
      </c>
      <c r="AS59" s="29">
        <f>L22*$AS$58</f>
        <v>-185.25</v>
      </c>
      <c r="AT59" s="29">
        <f>M22*$AT$58</f>
        <v>23.684210526315788</v>
      </c>
      <c r="AU59" s="29">
        <f>N22*$AU$58</f>
        <v>26.666666666666664</v>
      </c>
      <c r="AV59" s="29">
        <f>O22*$AV$58</f>
        <v>-28.148148148148149</v>
      </c>
      <c r="AW59" s="29">
        <f>SUM(AO59:AV59)</f>
        <v>121.82772904483429</v>
      </c>
    </row>
    <row r="60" spans="1:49" ht="14.25" customHeight="1" x14ac:dyDescent="0.4">
      <c r="A60" s="12" t="s">
        <v>11</v>
      </c>
      <c r="B60" s="13">
        <v>1</v>
      </c>
      <c r="C60" s="14" t="s">
        <v>12</v>
      </c>
      <c r="D60" s="15" t="s">
        <v>126</v>
      </c>
      <c r="F60" s="26"/>
      <c r="G60" s="27" t="s">
        <v>39</v>
      </c>
      <c r="H60" s="28">
        <f t="shared" si="25"/>
        <v>6</v>
      </c>
      <c r="Q60" s="27" t="s">
        <v>39</v>
      </c>
      <c r="R60" s="28">
        <f t="shared" si="26"/>
        <v>7</v>
      </c>
      <c r="AN60" s="27" t="s">
        <v>77</v>
      </c>
      <c r="AO60" s="29">
        <f>H23*$AO$58</f>
        <v>155.625</v>
      </c>
      <c r="AP60" s="29">
        <f>I23*$AP$58</f>
        <v>-120</v>
      </c>
      <c r="AQ60" s="29">
        <f>J23*$AQ$58</f>
        <v>25.937500000000004</v>
      </c>
      <c r="AR60" s="29">
        <f>K23*$AR$58</f>
        <v>233.75</v>
      </c>
      <c r="AS60" s="29">
        <f>L23*$AS$58</f>
        <v>-180.375</v>
      </c>
      <c r="AT60" s="29">
        <f>M23*$AT$58</f>
        <v>24.774774774774773</v>
      </c>
      <c r="AU60" s="29">
        <f>N23*$AU$58</f>
        <v>26.506024096385545</v>
      </c>
      <c r="AV60" s="29">
        <f>O23*$AV$58</f>
        <v>-27.75</v>
      </c>
      <c r="AW60" s="29">
        <f>SUM(AO60:AV60)</f>
        <v>138.46829887116033</v>
      </c>
    </row>
    <row r="61" spans="1:49" ht="14.25" customHeight="1" x14ac:dyDescent="0.4">
      <c r="A61" s="12" t="s">
        <v>11</v>
      </c>
      <c r="B61" s="13">
        <v>2</v>
      </c>
      <c r="C61" s="14" t="s">
        <v>30</v>
      </c>
      <c r="D61" s="15" t="s">
        <v>127</v>
      </c>
      <c r="F61" s="15"/>
      <c r="G61" s="27" t="s">
        <v>40</v>
      </c>
      <c r="H61" s="28">
        <f t="shared" si="25"/>
        <v>4</v>
      </c>
      <c r="Q61" s="27" t="s">
        <v>40</v>
      </c>
      <c r="R61" s="28">
        <f t="shared" si="26"/>
        <v>4</v>
      </c>
      <c r="AN61" s="27" t="s">
        <v>79</v>
      </c>
      <c r="AO61" s="29">
        <f>H24*$AO$58</f>
        <v>217.5</v>
      </c>
      <c r="AP61" s="29">
        <f>I24*$AP$58</f>
        <v>-168</v>
      </c>
      <c r="AQ61" s="29">
        <f>J24*$AQ$58</f>
        <v>25.892857142857146</v>
      </c>
      <c r="AR61" s="29">
        <f>K24*$AR$58</f>
        <v>361.25</v>
      </c>
      <c r="AS61" s="29">
        <f>L24*$AS$58</f>
        <v>-245.375</v>
      </c>
      <c r="AT61" s="29">
        <f>M24*$AT$58</f>
        <v>28.14569536423841</v>
      </c>
      <c r="AU61" s="29">
        <f>N24*$AU$58</f>
        <v>29.310344827586206</v>
      </c>
      <c r="AV61" s="29">
        <f>O24*$AV$58</f>
        <v>-26.964285714285715</v>
      </c>
      <c r="AW61" s="29">
        <f>SUM(AO61:AV61)</f>
        <v>221.75961162039602</v>
      </c>
    </row>
    <row r="62" spans="1:49" ht="14.25" customHeight="1" x14ac:dyDescent="0.4">
      <c r="A62" s="12" t="s">
        <v>29</v>
      </c>
      <c r="B62" s="13">
        <v>2</v>
      </c>
      <c r="C62" s="14" t="s">
        <v>30</v>
      </c>
      <c r="D62" s="15" t="s">
        <v>128</v>
      </c>
      <c r="F62" s="26"/>
      <c r="G62" s="27" t="s">
        <v>41</v>
      </c>
      <c r="H62" s="28">
        <f t="shared" si="25"/>
        <v>3</v>
      </c>
      <c r="Q62" s="27" t="s">
        <v>41</v>
      </c>
      <c r="R62" s="28">
        <f t="shared" si="26"/>
        <v>3</v>
      </c>
      <c r="AN62" s="27" t="s">
        <v>86</v>
      </c>
      <c r="AO62" s="29">
        <f>H25*$AO$58</f>
        <v>41.25</v>
      </c>
      <c r="AP62" s="29">
        <f>I25*$AP$58</f>
        <v>-48</v>
      </c>
      <c r="AQ62" s="29">
        <f>J25*$AQ$58</f>
        <v>17.1875</v>
      </c>
      <c r="AR62" s="29">
        <f>K25*$AR$58</f>
        <v>68</v>
      </c>
      <c r="AS62" s="29">
        <f>L25*$AS$58</f>
        <v>-81.25</v>
      </c>
      <c r="AT62" s="29">
        <f>M25*$AT$58</f>
        <v>16</v>
      </c>
      <c r="AU62" s="29">
        <f>N25*$AU$58</f>
        <v>29.090909090909093</v>
      </c>
      <c r="AV62" s="29">
        <f>O25*$AV$58</f>
        <v>-31.25</v>
      </c>
      <c r="AW62" s="29">
        <f>SUM(AO62:AV62)</f>
        <v>11.028409090909093</v>
      </c>
    </row>
    <row r="63" spans="1:49" ht="14.25" customHeight="1" x14ac:dyDescent="0.4">
      <c r="A63" s="12" t="s">
        <v>12</v>
      </c>
      <c r="B63" s="13">
        <v>2</v>
      </c>
      <c r="C63" s="14" t="s">
        <v>35</v>
      </c>
      <c r="D63" s="15" t="s">
        <v>129</v>
      </c>
      <c r="F63" s="26"/>
      <c r="AN63" s="64" t="s">
        <v>88</v>
      </c>
      <c r="AO63" s="29">
        <f>H26*$AO$58</f>
        <v>82.5</v>
      </c>
      <c r="AP63" s="29">
        <f>I26*$AP$58</f>
        <v>-36</v>
      </c>
      <c r="AQ63" s="29">
        <f>J26*$AQ$58</f>
        <v>45.833333333333329</v>
      </c>
      <c r="AR63" s="29">
        <f>K26*$AR$58</f>
        <v>136</v>
      </c>
      <c r="AS63" s="29">
        <f>L26*$AS$58</f>
        <v>-45.5</v>
      </c>
      <c r="AT63" s="29">
        <f>M26*$AT$58</f>
        <v>57.142857142857139</v>
      </c>
      <c r="AU63" s="29">
        <f>N26*$AU$58</f>
        <v>29.090909090909093</v>
      </c>
      <c r="AV63" s="29">
        <f>O26*$AV$58</f>
        <v>-23.333333333333336</v>
      </c>
      <c r="AW63" s="29">
        <f>SUM(AO63:AV63)</f>
        <v>245.7337662337662</v>
      </c>
    </row>
    <row r="64" spans="1:49" ht="14.25" customHeight="1" x14ac:dyDescent="0.4">
      <c r="A64" s="12" t="s">
        <v>29</v>
      </c>
      <c r="B64" s="13">
        <v>1</v>
      </c>
      <c r="C64" s="14" t="s">
        <v>11</v>
      </c>
      <c r="D64" s="15" t="s">
        <v>130</v>
      </c>
      <c r="F64" s="26"/>
      <c r="G64" s="27" t="s">
        <v>14</v>
      </c>
      <c r="H64" s="33" t="s">
        <v>17</v>
      </c>
      <c r="Q64" s="27" t="s">
        <v>14</v>
      </c>
      <c r="R64" s="33" t="s">
        <v>20</v>
      </c>
    </row>
    <row r="65" spans="1:42" ht="14.25" customHeight="1" x14ac:dyDescent="0.4">
      <c r="A65" s="12" t="s">
        <v>11</v>
      </c>
      <c r="B65" s="13">
        <v>1</v>
      </c>
      <c r="C65" s="14" t="s">
        <v>29</v>
      </c>
      <c r="D65" s="15" t="s">
        <v>131</v>
      </c>
      <c r="F65" s="26"/>
      <c r="G65" s="27" t="s">
        <v>39</v>
      </c>
      <c r="H65" s="29">
        <f t="shared" ref="H65:H80" si="27">VLOOKUP(G65,$G$1:$P$18,4,FALSE)</f>
        <v>1.8333333333333333</v>
      </c>
      <c r="Q65" s="27" t="s">
        <v>39</v>
      </c>
      <c r="R65" s="29">
        <f t="shared" ref="R65:R80" si="28">VLOOKUP(Q65,$G$1:$P$18,7,FALSE)</f>
        <v>2.2857142857142856</v>
      </c>
      <c r="AN65" s="65" t="s">
        <v>10</v>
      </c>
      <c r="AO65" s="66" t="s">
        <v>98</v>
      </c>
      <c r="AP65" s="66" t="s">
        <v>99</v>
      </c>
    </row>
    <row r="66" spans="1:42" ht="14.25" customHeight="1" x14ac:dyDescent="0.4">
      <c r="A66" s="12" t="s">
        <v>11</v>
      </c>
      <c r="B66" s="13">
        <v>2</v>
      </c>
      <c r="C66" s="14" t="s">
        <v>32</v>
      </c>
      <c r="D66" s="15" t="s">
        <v>132</v>
      </c>
      <c r="F66" s="26"/>
      <c r="G66" s="27" t="s">
        <v>12</v>
      </c>
      <c r="H66" s="29">
        <f t="shared" si="27"/>
        <v>1.5925925925925926</v>
      </c>
      <c r="Q66" s="27" t="s">
        <v>12</v>
      </c>
      <c r="R66" s="29">
        <f t="shared" si="28"/>
        <v>2.129032258064516</v>
      </c>
      <c r="AN66" s="70" t="s">
        <v>88</v>
      </c>
      <c r="AO66" s="67">
        <f>$AW$63</f>
        <v>245.7337662337662</v>
      </c>
      <c r="AP66" s="67">
        <f>AO66-($AO$70)</f>
        <v>234.70535714285711</v>
      </c>
    </row>
    <row r="67" spans="1:42" ht="14.25" customHeight="1" x14ac:dyDescent="0.4">
      <c r="A67" s="12" t="s">
        <v>32</v>
      </c>
      <c r="B67" s="13">
        <v>1</v>
      </c>
      <c r="C67" s="14" t="s">
        <v>11</v>
      </c>
      <c r="D67" s="15" t="s">
        <v>133</v>
      </c>
      <c r="F67" s="26"/>
      <c r="G67" s="27" t="s">
        <v>32</v>
      </c>
      <c r="H67" s="29">
        <f t="shared" si="27"/>
        <v>1.2692307692307692</v>
      </c>
      <c r="Q67" s="27" t="s">
        <v>36</v>
      </c>
      <c r="R67" s="29">
        <f t="shared" si="28"/>
        <v>1.5625</v>
      </c>
      <c r="AN67" s="27" t="s">
        <v>79</v>
      </c>
      <c r="AO67" s="67">
        <f>$AW$61</f>
        <v>221.75961162039602</v>
      </c>
      <c r="AP67" s="67">
        <f>AO67-($AO$70)</f>
        <v>210.73120252948692</v>
      </c>
    </row>
    <row r="68" spans="1:42" ht="14.25" customHeight="1" x14ac:dyDescent="0.4">
      <c r="A68" s="12" t="s">
        <v>11</v>
      </c>
      <c r="B68" s="13">
        <v>2</v>
      </c>
      <c r="C68" s="14" t="s">
        <v>12</v>
      </c>
      <c r="D68" s="15" t="s">
        <v>134</v>
      </c>
      <c r="F68" s="26"/>
      <c r="G68" s="27" t="s">
        <v>40</v>
      </c>
      <c r="H68" s="29">
        <f t="shared" si="27"/>
        <v>1.25</v>
      </c>
      <c r="Q68" s="27" t="s">
        <v>40</v>
      </c>
      <c r="R68" s="29">
        <f t="shared" si="28"/>
        <v>1.5</v>
      </c>
      <c r="AN68" s="27" t="s">
        <v>77</v>
      </c>
      <c r="AO68" s="67">
        <f>$AW$60</f>
        <v>138.46829887116033</v>
      </c>
      <c r="AP68" s="67">
        <f>AO68-($AO$70)</f>
        <v>127.43988978025124</v>
      </c>
    </row>
    <row r="69" spans="1:42" ht="14.25" customHeight="1" x14ac:dyDescent="0.4">
      <c r="A69" s="12" t="s">
        <v>12</v>
      </c>
      <c r="B69" s="13">
        <v>1</v>
      </c>
      <c r="C69" s="14" t="s">
        <v>11</v>
      </c>
      <c r="D69" s="15" t="s">
        <v>135</v>
      </c>
      <c r="F69" s="26"/>
      <c r="G69" s="27" t="s">
        <v>38</v>
      </c>
      <c r="H69" s="29">
        <f t="shared" si="27"/>
        <v>1.25</v>
      </c>
      <c r="Q69" s="27" t="s">
        <v>38</v>
      </c>
      <c r="R69" s="29">
        <f t="shared" si="28"/>
        <v>1.3333333333333333</v>
      </c>
      <c r="AN69" s="27" t="s">
        <v>76</v>
      </c>
      <c r="AO69" s="71">
        <f>$AW$59</f>
        <v>121.82772904483429</v>
      </c>
      <c r="AP69" s="67">
        <f>AO69-($AO$70)</f>
        <v>110.79931995392519</v>
      </c>
    </row>
    <row r="70" spans="1:42" ht="14.25" customHeight="1" x14ac:dyDescent="0.4">
      <c r="A70" s="12" t="s">
        <v>32</v>
      </c>
      <c r="B70" s="13">
        <v>2</v>
      </c>
      <c r="C70" s="14" t="s">
        <v>12</v>
      </c>
      <c r="D70" s="15" t="s">
        <v>136</v>
      </c>
      <c r="F70" s="26"/>
      <c r="G70" s="27" t="s">
        <v>36</v>
      </c>
      <c r="H70" s="29">
        <f t="shared" si="27"/>
        <v>1.1333333333333333</v>
      </c>
      <c r="Q70" s="27" t="s">
        <v>32</v>
      </c>
      <c r="R70" s="29">
        <f t="shared" si="28"/>
        <v>1.2647058823529411</v>
      </c>
      <c r="AN70" s="72" t="s">
        <v>86</v>
      </c>
      <c r="AO70" s="67">
        <f>$AW$62</f>
        <v>11.028409090909093</v>
      </c>
      <c r="AP70" s="73">
        <f>AO70-($AO$70)</f>
        <v>0</v>
      </c>
    </row>
    <row r="71" spans="1:42" ht="14.25" customHeight="1" x14ac:dyDescent="0.4">
      <c r="A71" s="12" t="s">
        <v>33</v>
      </c>
      <c r="B71" s="13">
        <v>2</v>
      </c>
      <c r="C71" s="14" t="s">
        <v>29</v>
      </c>
      <c r="D71" s="15" t="s">
        <v>137</v>
      </c>
      <c r="F71" s="15"/>
      <c r="G71" s="27" t="s">
        <v>29</v>
      </c>
      <c r="H71" s="29">
        <f t="shared" si="27"/>
        <v>1.1136363636363635</v>
      </c>
      <c r="Q71" s="27" t="s">
        <v>11</v>
      </c>
      <c r="R71" s="29">
        <f t="shared" si="28"/>
        <v>1.1666666666666667</v>
      </c>
    </row>
    <row r="72" spans="1:42" ht="14.25" customHeight="1" x14ac:dyDescent="0.4">
      <c r="A72" s="12" t="s">
        <v>11</v>
      </c>
      <c r="B72" s="13">
        <v>1</v>
      </c>
      <c r="C72" s="14" t="s">
        <v>29</v>
      </c>
      <c r="D72" s="15" t="s">
        <v>138</v>
      </c>
      <c r="F72" s="26"/>
      <c r="G72" s="27" t="s">
        <v>11</v>
      </c>
      <c r="H72" s="29">
        <f t="shared" si="27"/>
        <v>1.088235294117647</v>
      </c>
      <c r="Q72" s="27" t="s">
        <v>29</v>
      </c>
      <c r="R72" s="29">
        <f t="shared" si="28"/>
        <v>1.0806451612903225</v>
      </c>
    </row>
    <row r="73" spans="1:42" ht="14.25" customHeight="1" x14ac:dyDescent="0.4">
      <c r="A73" s="12" t="s">
        <v>29</v>
      </c>
      <c r="B73" s="13">
        <v>1</v>
      </c>
      <c r="C73" s="14" t="s">
        <v>11</v>
      </c>
      <c r="D73" s="15" t="s">
        <v>139</v>
      </c>
      <c r="F73" s="26"/>
      <c r="G73" s="27" t="s">
        <v>28</v>
      </c>
      <c r="H73" s="29">
        <f t="shared" si="27"/>
        <v>1.0714285714285714</v>
      </c>
      <c r="Q73" s="27" t="s">
        <v>28</v>
      </c>
      <c r="R73" s="29">
        <f t="shared" si="28"/>
        <v>1.05</v>
      </c>
    </row>
    <row r="74" spans="1:42" ht="14.25" customHeight="1" x14ac:dyDescent="0.4">
      <c r="A74" s="12" t="s">
        <v>36</v>
      </c>
      <c r="B74" s="13">
        <v>2</v>
      </c>
      <c r="C74" s="14" t="s">
        <v>29</v>
      </c>
      <c r="D74" s="15" t="s">
        <v>140</v>
      </c>
      <c r="F74" s="26"/>
      <c r="G74" s="27" t="s">
        <v>31</v>
      </c>
      <c r="H74" s="29">
        <f t="shared" si="27"/>
        <v>0.88</v>
      </c>
      <c r="Q74" s="27" t="s">
        <v>34</v>
      </c>
      <c r="R74" s="29">
        <f t="shared" si="28"/>
        <v>0.81481481481481477</v>
      </c>
      <c r="AH74" s="53"/>
      <c r="AK74" s="53"/>
      <c r="AN74" s="53"/>
      <c r="AO74" s="53"/>
      <c r="AP74" s="53"/>
    </row>
    <row r="75" spans="1:42" ht="14.25" customHeight="1" x14ac:dyDescent="0.4">
      <c r="A75" s="12" t="s">
        <v>36</v>
      </c>
      <c r="B75" s="13">
        <v>2</v>
      </c>
      <c r="C75" s="14" t="s">
        <v>11</v>
      </c>
      <c r="D75" s="15" t="s">
        <v>140</v>
      </c>
      <c r="F75" s="26"/>
      <c r="G75" s="27" t="s">
        <v>34</v>
      </c>
      <c r="H75" s="29">
        <f t="shared" si="27"/>
        <v>0.84210526315789469</v>
      </c>
      <c r="Q75" s="27" t="s">
        <v>31</v>
      </c>
      <c r="R75" s="29">
        <f t="shared" si="28"/>
        <v>0.78378378378378377</v>
      </c>
      <c r="AE75" s="53"/>
      <c r="AF75" s="53"/>
      <c r="AK75" s="53"/>
      <c r="AN75" s="53"/>
      <c r="AO75" s="53"/>
      <c r="AP75" s="53"/>
    </row>
    <row r="76" spans="1:42" ht="14.25" customHeight="1" x14ac:dyDescent="0.4">
      <c r="A76" s="12" t="s">
        <v>11</v>
      </c>
      <c r="B76" s="13">
        <v>1</v>
      </c>
      <c r="C76" s="14" t="s">
        <v>36</v>
      </c>
      <c r="D76" s="15" t="s">
        <v>141</v>
      </c>
      <c r="F76" s="26"/>
      <c r="G76" s="27" t="s">
        <v>33</v>
      </c>
      <c r="H76" s="29">
        <f t="shared" si="27"/>
        <v>0.77272727272727271</v>
      </c>
      <c r="Q76" s="27" t="s">
        <v>33</v>
      </c>
      <c r="R76" s="29">
        <f t="shared" si="28"/>
        <v>0.66666666666666663</v>
      </c>
      <c r="AN76" s="53"/>
      <c r="AO76" s="53"/>
      <c r="AP76" s="53"/>
    </row>
    <row r="77" spans="1:42" ht="14.25" customHeight="1" x14ac:dyDescent="0.4">
      <c r="A77" s="12" t="s">
        <v>29</v>
      </c>
      <c r="B77" s="13">
        <v>1</v>
      </c>
      <c r="C77" s="14" t="s">
        <v>36</v>
      </c>
      <c r="D77" s="15" t="s">
        <v>142</v>
      </c>
      <c r="F77" s="26"/>
      <c r="G77" s="27" t="s">
        <v>41</v>
      </c>
      <c r="H77" s="29">
        <f t="shared" si="27"/>
        <v>0.66666666666666663</v>
      </c>
      <c r="Q77" s="27" t="s">
        <v>41</v>
      </c>
      <c r="R77" s="29">
        <f t="shared" si="28"/>
        <v>0.66666666666666663</v>
      </c>
      <c r="AN77" s="53"/>
      <c r="AO77" s="53"/>
      <c r="AP77" s="53"/>
    </row>
    <row r="78" spans="1:42" ht="14.25" customHeight="1" x14ac:dyDescent="0.4">
      <c r="A78" s="12" t="s">
        <v>29</v>
      </c>
      <c r="B78" s="13">
        <v>1</v>
      </c>
      <c r="C78" s="14" t="s">
        <v>32</v>
      </c>
      <c r="D78" s="52" t="s">
        <v>143</v>
      </c>
      <c r="F78" s="26"/>
      <c r="G78" s="27" t="s">
        <v>37</v>
      </c>
      <c r="H78" s="29">
        <f t="shared" si="27"/>
        <v>0.625</v>
      </c>
      <c r="Q78" s="27" t="s">
        <v>37</v>
      </c>
      <c r="R78" s="29">
        <f t="shared" si="28"/>
        <v>0.58333333333333337</v>
      </c>
      <c r="AO78" s="53"/>
      <c r="AP78" s="53"/>
    </row>
    <row r="79" spans="1:42" ht="14.25" customHeight="1" x14ac:dyDescent="0.4">
      <c r="A79" s="12" t="s">
        <v>32</v>
      </c>
      <c r="B79" s="13">
        <v>1</v>
      </c>
      <c r="C79" s="14" t="s">
        <v>29</v>
      </c>
      <c r="D79" s="52" t="s">
        <v>144</v>
      </c>
      <c r="F79" s="26"/>
      <c r="G79" s="27" t="s">
        <v>30</v>
      </c>
      <c r="H79" s="29">
        <f t="shared" si="27"/>
        <v>0.52777777777777779</v>
      </c>
      <c r="Q79" s="27" t="s">
        <v>30</v>
      </c>
      <c r="R79" s="29">
        <f t="shared" si="28"/>
        <v>0.4107142857142857</v>
      </c>
      <c r="AN79" s="53"/>
      <c r="AO79" s="53"/>
      <c r="AP79" s="53"/>
    </row>
    <row r="80" spans="1:42" ht="14.25" customHeight="1" x14ac:dyDescent="0.4">
      <c r="A80" s="12" t="s">
        <v>12</v>
      </c>
      <c r="B80" s="13">
        <v>1</v>
      </c>
      <c r="C80" s="14" t="s">
        <v>33</v>
      </c>
      <c r="D80" s="52" t="s">
        <v>145</v>
      </c>
      <c r="F80" s="26"/>
      <c r="G80" s="27" t="s">
        <v>35</v>
      </c>
      <c r="H80" s="29">
        <f t="shared" si="27"/>
        <v>0</v>
      </c>
      <c r="Q80" s="27" t="s">
        <v>35</v>
      </c>
      <c r="R80" s="29">
        <f t="shared" si="28"/>
        <v>0</v>
      </c>
    </row>
    <row r="81" spans="1:42" ht="14.25" customHeight="1" x14ac:dyDescent="0.4">
      <c r="A81" s="12" t="s">
        <v>11</v>
      </c>
      <c r="B81" s="13">
        <v>2</v>
      </c>
      <c r="C81" s="14" t="s">
        <v>33</v>
      </c>
      <c r="D81" s="52" t="s">
        <v>146</v>
      </c>
      <c r="F81" s="15"/>
    </row>
    <row r="82" spans="1:42" ht="14.25" customHeight="1" x14ac:dyDescent="0.4">
      <c r="A82" s="12" t="s">
        <v>33</v>
      </c>
      <c r="B82" s="13">
        <v>1</v>
      </c>
      <c r="C82" s="14" t="s">
        <v>12</v>
      </c>
      <c r="D82" s="15" t="s">
        <v>147</v>
      </c>
      <c r="F82" s="26"/>
      <c r="G82" s="27" t="s">
        <v>74</v>
      </c>
      <c r="H82" s="33" t="s">
        <v>15</v>
      </c>
      <c r="Q82" s="27" t="s">
        <v>74</v>
      </c>
      <c r="R82" s="33" t="s">
        <v>18</v>
      </c>
    </row>
    <row r="83" spans="1:42" ht="14.25" customHeight="1" x14ac:dyDescent="0.4">
      <c r="A83" s="12" t="s">
        <v>31</v>
      </c>
      <c r="B83" s="13">
        <v>1</v>
      </c>
      <c r="C83" s="14" t="s">
        <v>33</v>
      </c>
      <c r="D83" s="15" t="s">
        <v>148</v>
      </c>
      <c r="F83" s="26"/>
      <c r="G83" s="41" t="s">
        <v>86</v>
      </c>
      <c r="H83" s="54">
        <f>VLOOKUP(G83,$G$22:$O$26,2,FALSE)</f>
        <v>5.5</v>
      </c>
      <c r="Q83" s="41" t="s">
        <v>86</v>
      </c>
      <c r="R83" s="54">
        <f>VLOOKUP(Q83,$G$22:$O$26,5,FALSE)</f>
        <v>8</v>
      </c>
    </row>
    <row r="84" spans="1:42" ht="14.25" customHeight="1" x14ac:dyDescent="0.4">
      <c r="A84" s="12" t="s">
        <v>33</v>
      </c>
      <c r="B84" s="13">
        <v>1</v>
      </c>
      <c r="C84" s="14" t="s">
        <v>31</v>
      </c>
      <c r="D84" s="15" t="s">
        <v>149</v>
      </c>
      <c r="F84" s="26"/>
      <c r="G84" s="27" t="s">
        <v>76</v>
      </c>
      <c r="H84" s="54">
        <f>VLOOKUP(G84,$G$22:$O$26,2,FALSE)</f>
        <v>20.25</v>
      </c>
      <c r="Q84" s="27" t="s">
        <v>76</v>
      </c>
      <c r="R84" s="54">
        <f>VLOOKUP(Q84,$G$22:$O$26,5,FALSE)</f>
        <v>27</v>
      </c>
    </row>
    <row r="85" spans="1:42" ht="14.25" customHeight="1" x14ac:dyDescent="0.4">
      <c r="A85" s="12" t="s">
        <v>29</v>
      </c>
      <c r="B85" s="13">
        <v>1</v>
      </c>
      <c r="C85" s="14" t="s">
        <v>30</v>
      </c>
      <c r="D85" s="15" t="s">
        <v>150</v>
      </c>
      <c r="F85" s="26"/>
      <c r="G85" s="27" t="s">
        <v>77</v>
      </c>
      <c r="H85" s="54">
        <f>VLOOKUP(G85,$G$22:$O$26,2,FALSE)</f>
        <v>20.75</v>
      </c>
      <c r="Q85" s="27" t="s">
        <v>77</v>
      </c>
      <c r="R85" s="54">
        <f>VLOOKUP(Q85,$G$22:$O$26,5,FALSE)</f>
        <v>27.5</v>
      </c>
    </row>
    <row r="86" spans="1:42" ht="14.25" customHeight="1" x14ac:dyDescent="0.4">
      <c r="A86" s="12" t="s">
        <v>30</v>
      </c>
      <c r="B86" s="13">
        <v>1</v>
      </c>
      <c r="C86" s="14" t="s">
        <v>29</v>
      </c>
      <c r="D86" s="15" t="s">
        <v>151</v>
      </c>
      <c r="F86" s="26"/>
      <c r="G86" s="27" t="s">
        <v>79</v>
      </c>
      <c r="H86" s="54">
        <f>VLOOKUP(G86,$G$22:$O$26,2,FALSE)</f>
        <v>29</v>
      </c>
      <c r="Q86" s="27" t="s">
        <v>79</v>
      </c>
      <c r="R86" s="54">
        <f>VLOOKUP(Q86,$G$22:$O$26,5,FALSE)</f>
        <v>42.5</v>
      </c>
    </row>
    <row r="87" spans="1:42" ht="14.25" customHeight="1" x14ac:dyDescent="0.4">
      <c r="A87" s="12" t="s">
        <v>30</v>
      </c>
      <c r="B87" s="13">
        <v>2</v>
      </c>
      <c r="C87" s="14" t="s">
        <v>29</v>
      </c>
      <c r="D87" s="15" t="s">
        <v>152</v>
      </c>
      <c r="F87" s="26"/>
    </row>
    <row r="88" spans="1:42" ht="14.25" customHeight="1" x14ac:dyDescent="0.4">
      <c r="A88" s="12" t="s">
        <v>29</v>
      </c>
      <c r="B88" s="13">
        <v>2</v>
      </c>
      <c r="C88" s="14" t="s">
        <v>11</v>
      </c>
      <c r="D88" s="15" t="s">
        <v>153</v>
      </c>
      <c r="F88" s="26"/>
    </row>
    <row r="89" spans="1:42" ht="14.25" customHeight="1" x14ac:dyDescent="0.4">
      <c r="A89" s="12" t="s">
        <v>40</v>
      </c>
      <c r="B89" s="13">
        <v>1</v>
      </c>
      <c r="C89" s="14" t="s">
        <v>28</v>
      </c>
      <c r="D89" s="15" t="s">
        <v>154</v>
      </c>
      <c r="E89" s="52">
        <v>1</v>
      </c>
      <c r="F89" s="26"/>
      <c r="AO89" s="53"/>
      <c r="AP89" s="31"/>
    </row>
    <row r="90" spans="1:42" ht="14.25" customHeight="1" x14ac:dyDescent="0.4">
      <c r="A90" s="12" t="s">
        <v>28</v>
      </c>
      <c r="B90" s="13">
        <v>1</v>
      </c>
      <c r="C90" s="14" t="s">
        <v>40</v>
      </c>
      <c r="D90" s="15" t="s">
        <v>155</v>
      </c>
      <c r="F90" s="26"/>
      <c r="AO90" s="53"/>
      <c r="AP90" s="31"/>
    </row>
    <row r="91" spans="1:42" ht="14.25" customHeight="1" x14ac:dyDescent="0.4">
      <c r="A91" s="12" t="s">
        <v>30</v>
      </c>
      <c r="B91" s="13">
        <v>1</v>
      </c>
      <c r="C91" s="14" t="s">
        <v>34</v>
      </c>
      <c r="D91" s="15" t="s">
        <v>156</v>
      </c>
      <c r="F91" s="26"/>
      <c r="AO91" s="53"/>
      <c r="AP91" s="31"/>
    </row>
    <row r="92" spans="1:42" ht="14.25" customHeight="1" x14ac:dyDescent="0.4">
      <c r="A92" s="12" t="s">
        <v>34</v>
      </c>
      <c r="B92" s="13">
        <v>1</v>
      </c>
      <c r="C92" s="14" t="s">
        <v>30</v>
      </c>
      <c r="D92" s="15" t="s">
        <v>157</v>
      </c>
      <c r="F92" s="26"/>
      <c r="AO92" s="53"/>
      <c r="AP92" s="31"/>
    </row>
    <row r="93" spans="1:42" ht="14.25" customHeight="1" x14ac:dyDescent="0.4">
      <c r="A93" s="12" t="s">
        <v>39</v>
      </c>
      <c r="B93" s="13">
        <v>2</v>
      </c>
      <c r="C93" s="14" t="s">
        <v>12</v>
      </c>
      <c r="D93" s="15" t="s">
        <v>158</v>
      </c>
      <c r="F93" s="26"/>
      <c r="G93" s="27" t="s">
        <v>74</v>
      </c>
      <c r="H93" s="33" t="s">
        <v>16</v>
      </c>
      <c r="Q93" s="27" t="s">
        <v>74</v>
      </c>
      <c r="R93" s="33" t="s">
        <v>19</v>
      </c>
      <c r="AO93" s="53"/>
      <c r="AP93" s="31"/>
    </row>
    <row r="94" spans="1:42" ht="14.25" customHeight="1" x14ac:dyDescent="0.4">
      <c r="A94" s="12" t="s">
        <v>28</v>
      </c>
      <c r="B94" s="13">
        <v>1</v>
      </c>
      <c r="C94" s="14" t="s">
        <v>30</v>
      </c>
      <c r="D94" s="15" t="s">
        <v>159</v>
      </c>
      <c r="F94" s="26"/>
      <c r="G94" s="27" t="s">
        <v>86</v>
      </c>
      <c r="H94" s="56">
        <f>VLOOKUP(G94,$G$22:$O$26,3,FALSE)</f>
        <v>8</v>
      </c>
      <c r="Q94" s="27" t="s">
        <v>86</v>
      </c>
      <c r="R94" s="56">
        <f>VLOOKUP(Q94,$G$22:$O$26,6,FALSE)</f>
        <v>12.5</v>
      </c>
      <c r="AK94" s="53"/>
      <c r="AO94" s="53"/>
      <c r="AP94" s="31"/>
    </row>
    <row r="95" spans="1:42" ht="14.25" customHeight="1" x14ac:dyDescent="0.4">
      <c r="A95" s="12" t="s">
        <v>30</v>
      </c>
      <c r="B95" s="13">
        <v>1</v>
      </c>
      <c r="C95" s="14" t="s">
        <v>28</v>
      </c>
      <c r="D95" s="15" t="s">
        <v>160</v>
      </c>
      <c r="E95" s="52">
        <v>0</v>
      </c>
      <c r="F95" s="26"/>
      <c r="G95" s="27" t="s">
        <v>77</v>
      </c>
      <c r="H95" s="56">
        <f>VLOOKUP(G95,$G$22:$O$26,3,FALSE)</f>
        <v>20</v>
      </c>
      <c r="Q95" s="27" t="s">
        <v>77</v>
      </c>
      <c r="R95" s="56">
        <f>VLOOKUP(Q95,$G$22:$O$26,6,FALSE)</f>
        <v>27.75</v>
      </c>
      <c r="AK95" s="53"/>
      <c r="AO95" s="53"/>
      <c r="AP95" s="31"/>
    </row>
    <row r="96" spans="1:42" ht="14.25" customHeight="1" x14ac:dyDescent="0.4">
      <c r="A96" s="12" t="s">
        <v>34</v>
      </c>
      <c r="B96" s="13">
        <v>2</v>
      </c>
      <c r="C96" s="14" t="s">
        <v>31</v>
      </c>
      <c r="D96" s="15" t="s">
        <v>161</v>
      </c>
      <c r="F96" s="26"/>
      <c r="G96" s="27" t="s">
        <v>76</v>
      </c>
      <c r="H96" s="56">
        <f>VLOOKUP(G96,$G$22:$O$26,3,FALSE)</f>
        <v>20.25</v>
      </c>
      <c r="Q96" s="27" t="s">
        <v>76</v>
      </c>
      <c r="R96" s="56">
        <f>VLOOKUP(Q96,$G$22:$O$26,6,FALSE)</f>
        <v>28.5</v>
      </c>
      <c r="AK96" s="53"/>
      <c r="AO96" s="53"/>
      <c r="AP96" s="31"/>
    </row>
    <row r="97" spans="1:42" ht="14.25" customHeight="1" x14ac:dyDescent="0.4">
      <c r="A97" s="12" t="s">
        <v>31</v>
      </c>
      <c r="B97" s="13">
        <v>2</v>
      </c>
      <c r="C97" s="14" t="s">
        <v>32</v>
      </c>
      <c r="D97" s="15" t="s">
        <v>162</v>
      </c>
      <c r="F97" s="26"/>
      <c r="G97" s="27" t="s">
        <v>79</v>
      </c>
      <c r="H97" s="56">
        <f>VLOOKUP(G97,$G$22:$O$26,3,FALSE)</f>
        <v>28</v>
      </c>
      <c r="Q97" s="27" t="s">
        <v>79</v>
      </c>
      <c r="R97" s="56">
        <f>VLOOKUP(Q97,$G$22:$O$26,6,FALSE)</f>
        <v>37.75</v>
      </c>
      <c r="AK97" s="53"/>
      <c r="AO97" s="53"/>
      <c r="AP97" s="31"/>
    </row>
    <row r="98" spans="1:42" ht="14.25" customHeight="1" x14ac:dyDescent="0.4">
      <c r="A98" s="12" t="s">
        <v>31</v>
      </c>
      <c r="B98" s="13">
        <v>1</v>
      </c>
      <c r="C98" s="14" t="s">
        <v>39</v>
      </c>
      <c r="D98" s="15" t="s">
        <v>163</v>
      </c>
      <c r="F98" s="26"/>
      <c r="AK98" s="53"/>
      <c r="AO98" s="53"/>
      <c r="AP98" s="31"/>
    </row>
    <row r="99" spans="1:42" ht="14.25" customHeight="1" x14ac:dyDescent="0.4">
      <c r="A99" s="12" t="s">
        <v>39</v>
      </c>
      <c r="B99" s="13">
        <v>1</v>
      </c>
      <c r="C99" s="14" t="s">
        <v>31</v>
      </c>
      <c r="D99" s="15" t="s">
        <v>164</v>
      </c>
      <c r="F99" s="26"/>
      <c r="AK99" s="53"/>
      <c r="AO99" s="53"/>
      <c r="AP99" s="31"/>
    </row>
    <row r="100" spans="1:42" ht="14.25" customHeight="1" x14ac:dyDescent="0.4">
      <c r="A100" s="12" t="s">
        <v>12</v>
      </c>
      <c r="B100" s="13">
        <v>2</v>
      </c>
      <c r="C100" s="14" t="s">
        <v>31</v>
      </c>
      <c r="D100" s="15" t="s">
        <v>165</v>
      </c>
      <c r="F100" s="26"/>
      <c r="AK100" s="53"/>
      <c r="AO100" s="53"/>
      <c r="AP100" s="31"/>
    </row>
    <row r="101" spans="1:42" ht="14.25" customHeight="1" x14ac:dyDescent="0.4">
      <c r="A101" s="12" t="s">
        <v>31</v>
      </c>
      <c r="B101" s="13">
        <v>1</v>
      </c>
      <c r="C101" s="14" t="s">
        <v>12</v>
      </c>
      <c r="D101" s="15" t="s">
        <v>166</v>
      </c>
      <c r="F101" s="26"/>
      <c r="AK101" s="53"/>
      <c r="AO101" s="53"/>
      <c r="AP101" s="31"/>
    </row>
    <row r="102" spans="1:42" ht="14.25" customHeight="1" x14ac:dyDescent="0.4">
      <c r="A102" s="12" t="s">
        <v>36</v>
      </c>
      <c r="B102" s="13">
        <v>2</v>
      </c>
      <c r="C102" s="14" t="s">
        <v>33</v>
      </c>
      <c r="D102" s="15" t="s">
        <v>167</v>
      </c>
      <c r="F102" s="26"/>
      <c r="AK102" s="53"/>
      <c r="AO102" s="53"/>
      <c r="AP102" s="31"/>
    </row>
    <row r="103" spans="1:42" ht="14.25" customHeight="1" x14ac:dyDescent="0.4">
      <c r="A103" s="12" t="s">
        <v>33</v>
      </c>
      <c r="B103" s="13">
        <v>1</v>
      </c>
      <c r="C103" s="14" t="s">
        <v>36</v>
      </c>
      <c r="D103" s="15" t="s">
        <v>168</v>
      </c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K103" s="53"/>
      <c r="AO103" s="53"/>
      <c r="AP103" s="31"/>
    </row>
    <row r="104" spans="1:42" ht="14.25" customHeight="1" x14ac:dyDescent="0.4">
      <c r="A104" s="12" t="s">
        <v>29</v>
      </c>
      <c r="B104" s="13">
        <v>1</v>
      </c>
      <c r="C104" s="14" t="s">
        <v>34</v>
      </c>
      <c r="D104" s="15" t="s">
        <v>169</v>
      </c>
      <c r="F104" s="26"/>
      <c r="G104" s="27" t="s">
        <v>74</v>
      </c>
      <c r="H104" s="33" t="s">
        <v>17</v>
      </c>
      <c r="J104" s="53"/>
      <c r="K104" s="53"/>
      <c r="L104" s="53"/>
      <c r="M104" s="31"/>
      <c r="N104" s="31"/>
      <c r="O104" s="31"/>
      <c r="P104" s="31"/>
      <c r="Q104" s="27" t="s">
        <v>74</v>
      </c>
      <c r="R104" s="33" t="s">
        <v>20</v>
      </c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K104" s="53"/>
      <c r="AO104" s="53"/>
      <c r="AP104" s="31"/>
    </row>
    <row r="105" spans="1:42" ht="14.25" customHeight="1" x14ac:dyDescent="0.4">
      <c r="A105" s="12" t="s">
        <v>34</v>
      </c>
      <c r="B105" s="13">
        <v>1</v>
      </c>
      <c r="C105" s="14" t="s">
        <v>29</v>
      </c>
      <c r="D105" s="15" t="s">
        <v>170</v>
      </c>
      <c r="F105" s="26"/>
      <c r="G105" s="41" t="s">
        <v>86</v>
      </c>
      <c r="H105" s="55">
        <f>VLOOKUP(G105,$G$22:$O$26,4,FALSE)</f>
        <v>0.6875</v>
      </c>
      <c r="J105" s="53"/>
      <c r="K105" s="53"/>
      <c r="L105" s="53"/>
      <c r="M105" s="31"/>
      <c r="N105" s="31"/>
      <c r="O105" s="31"/>
      <c r="P105" s="31"/>
      <c r="Q105" s="41" t="s">
        <v>86</v>
      </c>
      <c r="R105" s="55">
        <f>VLOOKUP(Q105,$G$22:$O$26,7,FALSE)</f>
        <v>0.64</v>
      </c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K105" s="53"/>
      <c r="AO105" s="53"/>
      <c r="AP105" s="31"/>
    </row>
    <row r="106" spans="1:42" ht="14.25" customHeight="1" x14ac:dyDescent="0.4">
      <c r="A106" s="12" t="s">
        <v>29</v>
      </c>
      <c r="B106" s="13">
        <v>1</v>
      </c>
      <c r="C106" s="14" t="s">
        <v>11</v>
      </c>
      <c r="D106" s="15" t="s">
        <v>171</v>
      </c>
      <c r="F106" s="26"/>
      <c r="G106" s="27" t="s">
        <v>76</v>
      </c>
      <c r="H106" s="55">
        <f>VLOOKUP(G106,$G$22:$O$26,4,FALSE)</f>
        <v>1</v>
      </c>
      <c r="J106" s="53"/>
      <c r="K106" s="53"/>
      <c r="L106" s="53"/>
      <c r="M106" s="31"/>
      <c r="N106" s="31"/>
      <c r="O106" s="31"/>
      <c r="P106" s="31"/>
      <c r="Q106" s="27" t="s">
        <v>76</v>
      </c>
      <c r="R106" s="55">
        <f>VLOOKUP(Q106,$G$22:$O$26,7,FALSE)</f>
        <v>0.94736842105263153</v>
      </c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K106" s="53"/>
      <c r="AO106" s="53"/>
      <c r="AP106" s="31"/>
    </row>
    <row r="107" spans="1:42" ht="14.25" customHeight="1" x14ac:dyDescent="0.4">
      <c r="A107" s="12" t="s">
        <v>11</v>
      </c>
      <c r="B107" s="13">
        <v>1</v>
      </c>
      <c r="C107" s="14" t="s">
        <v>29</v>
      </c>
      <c r="D107" s="15" t="s">
        <v>171</v>
      </c>
      <c r="F107" s="26"/>
      <c r="G107" s="27" t="s">
        <v>79</v>
      </c>
      <c r="H107" s="55">
        <f>VLOOKUP(G107,$G$22:$O$26,4,FALSE)</f>
        <v>1.0357142857142858</v>
      </c>
      <c r="J107" s="53"/>
      <c r="K107" s="53"/>
      <c r="L107" s="53"/>
      <c r="M107" s="31"/>
      <c r="N107" s="31"/>
      <c r="O107" s="31"/>
      <c r="P107" s="31"/>
      <c r="Q107" s="27" t="s">
        <v>77</v>
      </c>
      <c r="R107" s="55">
        <f>VLOOKUP(Q107,$G$22:$O$26,7,FALSE)</f>
        <v>0.99099099099099097</v>
      </c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K107" s="53"/>
      <c r="AO107" s="53"/>
      <c r="AP107" s="31"/>
    </row>
    <row r="108" spans="1:42" ht="14.25" customHeight="1" x14ac:dyDescent="0.4">
      <c r="A108" s="12" t="s">
        <v>29</v>
      </c>
      <c r="B108" s="13">
        <v>1</v>
      </c>
      <c r="C108" s="14" t="s">
        <v>33</v>
      </c>
      <c r="D108" s="15" t="s">
        <v>172</v>
      </c>
      <c r="F108" s="26"/>
      <c r="G108" s="27" t="s">
        <v>77</v>
      </c>
      <c r="H108" s="55">
        <f>VLOOKUP(G108,$G$22:$O$26,4,FALSE)</f>
        <v>1.0375000000000001</v>
      </c>
      <c r="J108" s="53"/>
      <c r="K108" s="53"/>
      <c r="L108" s="53"/>
      <c r="M108" s="31"/>
      <c r="N108" s="31"/>
      <c r="O108" s="31"/>
      <c r="P108" s="31"/>
      <c r="Q108" s="27" t="s">
        <v>79</v>
      </c>
      <c r="R108" s="55">
        <f>VLOOKUP(Q108,$G$22:$O$26,7,FALSE)</f>
        <v>1.1258278145695364</v>
      </c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K108" s="53"/>
      <c r="AO108" s="53"/>
      <c r="AP108" s="31"/>
    </row>
    <row r="109" spans="1:42" ht="14.25" customHeight="1" x14ac:dyDescent="0.4">
      <c r="A109" s="12" t="s">
        <v>33</v>
      </c>
      <c r="B109" s="13">
        <v>1</v>
      </c>
      <c r="C109" s="14" t="s">
        <v>29</v>
      </c>
      <c r="D109" s="15" t="s">
        <v>173</v>
      </c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K109" s="53"/>
      <c r="AO109" s="53"/>
      <c r="AP109" s="31"/>
    </row>
    <row r="110" spans="1:42" ht="14.25" customHeight="1" x14ac:dyDescent="0.4">
      <c r="A110" s="12" t="s">
        <v>36</v>
      </c>
      <c r="B110" s="13">
        <v>2</v>
      </c>
      <c r="C110" s="14" t="s">
        <v>29</v>
      </c>
      <c r="D110" s="15" t="s">
        <v>174</v>
      </c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K110" s="53"/>
      <c r="AO110" s="53"/>
      <c r="AP110" s="31"/>
    </row>
    <row r="111" spans="1:42" ht="14.25" customHeight="1" x14ac:dyDescent="0.4">
      <c r="A111" s="12" t="s">
        <v>29</v>
      </c>
      <c r="B111" s="13">
        <v>2</v>
      </c>
      <c r="C111" s="14" t="s">
        <v>34</v>
      </c>
      <c r="D111" s="15" t="s">
        <v>175</v>
      </c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K111" s="53"/>
      <c r="AO111" s="53"/>
      <c r="AP111" s="31"/>
    </row>
    <row r="112" spans="1:42" ht="14.25" customHeight="1" x14ac:dyDescent="0.4">
      <c r="A112" s="12" t="s">
        <v>34</v>
      </c>
      <c r="B112" s="13">
        <v>1</v>
      </c>
      <c r="C112" s="14" t="s">
        <v>29</v>
      </c>
      <c r="D112" s="15" t="s">
        <v>176</v>
      </c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K112" s="53"/>
      <c r="AO112" s="53"/>
      <c r="AP112" s="31"/>
    </row>
    <row r="113" spans="1:42" ht="14.25" customHeight="1" x14ac:dyDescent="0.4">
      <c r="A113" s="12" t="s">
        <v>33</v>
      </c>
      <c r="B113" s="13">
        <v>1</v>
      </c>
      <c r="C113" s="14" t="s">
        <v>31</v>
      </c>
      <c r="D113" s="15" t="s">
        <v>177</v>
      </c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K113" s="53"/>
      <c r="AO113" s="53"/>
      <c r="AP113" s="31"/>
    </row>
    <row r="114" spans="1:42" ht="14.25" customHeight="1" x14ac:dyDescent="0.4">
      <c r="A114" s="12" t="s">
        <v>31</v>
      </c>
      <c r="B114" s="13">
        <v>1</v>
      </c>
      <c r="C114" s="14" t="s">
        <v>33</v>
      </c>
      <c r="D114" s="15" t="s">
        <v>178</v>
      </c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K114" s="53"/>
      <c r="AO114" s="53"/>
      <c r="AP114" s="31"/>
    </row>
    <row r="115" spans="1:42" ht="14.25" customHeight="1" x14ac:dyDescent="0.4">
      <c r="A115" s="12" t="s">
        <v>12</v>
      </c>
      <c r="B115" s="13">
        <v>1</v>
      </c>
      <c r="C115" s="14" t="s">
        <v>30</v>
      </c>
      <c r="D115" s="15" t="s">
        <v>179</v>
      </c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K115" s="53"/>
      <c r="AO115" s="53"/>
      <c r="AP115" s="31"/>
    </row>
    <row r="116" spans="1:42" ht="14.25" customHeight="1" x14ac:dyDescent="0.4">
      <c r="A116" s="12" t="s">
        <v>30</v>
      </c>
      <c r="B116" s="13">
        <v>1</v>
      </c>
      <c r="C116" s="14" t="s">
        <v>12</v>
      </c>
      <c r="D116" s="15" t="s">
        <v>180</v>
      </c>
      <c r="F116" s="26"/>
      <c r="AE116" s="53"/>
      <c r="AF116" s="53"/>
      <c r="AK116" s="53"/>
      <c r="AO116" s="53"/>
      <c r="AP116" s="31"/>
    </row>
    <row r="117" spans="1:42" ht="14.25" customHeight="1" x14ac:dyDescent="0.4">
      <c r="A117" s="12" t="s">
        <v>32</v>
      </c>
      <c r="B117" s="13">
        <v>2</v>
      </c>
      <c r="C117" s="14" t="s">
        <v>29</v>
      </c>
      <c r="D117" s="15" t="s">
        <v>181</v>
      </c>
      <c r="F117" s="26"/>
      <c r="AE117" s="53"/>
      <c r="AF117" s="53"/>
      <c r="AK117" s="53"/>
      <c r="AO117" s="53"/>
      <c r="AP117" s="31"/>
    </row>
    <row r="118" spans="1:42" ht="14.25" customHeight="1" x14ac:dyDescent="0.4">
      <c r="A118" s="12" t="s">
        <v>29</v>
      </c>
      <c r="B118" s="13">
        <v>1</v>
      </c>
      <c r="C118" s="14" t="s">
        <v>32</v>
      </c>
      <c r="D118" s="15" t="s">
        <v>182</v>
      </c>
      <c r="F118" s="26"/>
      <c r="AE118" s="53"/>
      <c r="AF118" s="53"/>
      <c r="AK118" s="53"/>
      <c r="AO118" s="53"/>
      <c r="AP118" s="31"/>
    </row>
    <row r="119" spans="1:42" ht="14.25" customHeight="1" x14ac:dyDescent="0.4">
      <c r="A119" s="12" t="s">
        <v>11</v>
      </c>
      <c r="B119" s="13">
        <v>2</v>
      </c>
      <c r="C119" s="14" t="s">
        <v>32</v>
      </c>
      <c r="D119" s="15" t="s">
        <v>183</v>
      </c>
      <c r="F119" s="26"/>
      <c r="AE119" s="53"/>
      <c r="AF119" s="53"/>
      <c r="AK119" s="53"/>
      <c r="AO119" s="53"/>
      <c r="AP119" s="31"/>
    </row>
    <row r="120" spans="1:42" ht="14.25" customHeight="1" x14ac:dyDescent="0.4">
      <c r="A120" s="12" t="s">
        <v>39</v>
      </c>
      <c r="B120" s="13">
        <v>1</v>
      </c>
      <c r="C120" s="14" t="s">
        <v>31</v>
      </c>
      <c r="D120" s="15" t="s">
        <v>184</v>
      </c>
      <c r="F120" s="26"/>
      <c r="AE120" s="53"/>
      <c r="AF120" s="53"/>
      <c r="AK120" s="53"/>
      <c r="AO120" s="53"/>
      <c r="AP120" s="31"/>
    </row>
    <row r="121" spans="1:42" ht="14.25" customHeight="1" x14ac:dyDescent="0.4">
      <c r="A121" s="12" t="s">
        <v>31</v>
      </c>
      <c r="B121" s="13">
        <v>1</v>
      </c>
      <c r="C121" s="14" t="s">
        <v>39</v>
      </c>
      <c r="D121" s="15" t="s">
        <v>185</v>
      </c>
      <c r="F121" s="26"/>
      <c r="AE121" s="53"/>
      <c r="AF121" s="53"/>
      <c r="AK121" s="53"/>
      <c r="AO121" s="53"/>
      <c r="AP121" s="31"/>
    </row>
    <row r="122" spans="1:42" ht="14.25" customHeight="1" x14ac:dyDescent="0.4">
      <c r="A122" s="12" t="s">
        <v>31</v>
      </c>
      <c r="B122" s="13">
        <v>1</v>
      </c>
      <c r="C122" s="74" t="s">
        <v>34</v>
      </c>
      <c r="D122" s="15" t="s">
        <v>186</v>
      </c>
      <c r="F122" s="26"/>
      <c r="AE122" s="53"/>
      <c r="AF122" s="53"/>
      <c r="AK122" s="53"/>
      <c r="AO122" s="53"/>
      <c r="AP122" s="31"/>
    </row>
    <row r="123" spans="1:42" ht="14.25" customHeight="1" x14ac:dyDescent="0.4">
      <c r="A123" s="12" t="s">
        <v>34</v>
      </c>
      <c r="B123" s="13">
        <v>1</v>
      </c>
      <c r="C123" s="74" t="s">
        <v>31</v>
      </c>
      <c r="D123" s="15" t="s">
        <v>187</v>
      </c>
      <c r="F123" s="26"/>
      <c r="AE123" s="53"/>
      <c r="AF123" s="53"/>
      <c r="AK123" s="53"/>
      <c r="AO123" s="53"/>
      <c r="AP123" s="31"/>
    </row>
    <row r="124" spans="1:42" ht="14.25" customHeight="1" x14ac:dyDescent="0.4">
      <c r="A124" s="12" t="s">
        <v>39</v>
      </c>
      <c r="B124" s="13">
        <v>1</v>
      </c>
      <c r="C124" s="74" t="s">
        <v>12</v>
      </c>
      <c r="D124" s="15" t="s">
        <v>188</v>
      </c>
      <c r="F124" s="26"/>
      <c r="AE124" s="53"/>
      <c r="AF124" s="53"/>
      <c r="AK124" s="53"/>
      <c r="AO124" s="53"/>
      <c r="AP124" s="31"/>
    </row>
    <row r="125" spans="1:42" ht="14.25" customHeight="1" x14ac:dyDescent="0.4">
      <c r="A125" s="12" t="s">
        <v>12</v>
      </c>
      <c r="B125" s="13">
        <v>1</v>
      </c>
      <c r="C125" s="74" t="s">
        <v>39</v>
      </c>
      <c r="D125" s="15" t="s">
        <v>189</v>
      </c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K125" s="53"/>
      <c r="AO125" s="53"/>
      <c r="AP125" s="31"/>
    </row>
    <row r="126" spans="1:42" ht="14.25" customHeight="1" x14ac:dyDescent="0.4">
      <c r="A126" s="12" t="s">
        <v>31</v>
      </c>
      <c r="B126" s="13">
        <v>2</v>
      </c>
      <c r="C126" s="14" t="s">
        <v>29</v>
      </c>
      <c r="D126" s="15" t="s">
        <v>190</v>
      </c>
      <c r="F126" s="26"/>
    </row>
    <row r="127" spans="1:42" ht="14.25" customHeight="1" x14ac:dyDescent="0.4">
      <c r="A127" s="12" t="s">
        <v>29</v>
      </c>
      <c r="B127" s="13">
        <v>1</v>
      </c>
      <c r="C127" s="14" t="s">
        <v>31</v>
      </c>
      <c r="D127" s="15" t="s">
        <v>191</v>
      </c>
      <c r="F127" s="26"/>
    </row>
    <row r="128" spans="1:42" ht="14.25" customHeight="1" x14ac:dyDescent="0.4">
      <c r="A128" s="12" t="s">
        <v>31</v>
      </c>
      <c r="B128" s="13">
        <v>1</v>
      </c>
      <c r="C128" s="14" t="s">
        <v>11</v>
      </c>
      <c r="D128" s="15" t="s">
        <v>192</v>
      </c>
      <c r="F128" s="26"/>
    </row>
    <row r="129" spans="1:6" ht="14.25" customHeight="1" x14ac:dyDescent="0.4">
      <c r="A129" s="12" t="s">
        <v>11</v>
      </c>
      <c r="B129" s="13">
        <v>1</v>
      </c>
      <c r="C129" s="14" t="s">
        <v>31</v>
      </c>
      <c r="D129" s="15" t="s">
        <v>193</v>
      </c>
      <c r="F129" s="26"/>
    </row>
    <row r="130" spans="1:6" ht="14.25" customHeight="1" x14ac:dyDescent="0.4">
      <c r="A130" s="12" t="s">
        <v>28</v>
      </c>
      <c r="B130" s="13">
        <v>2</v>
      </c>
      <c r="C130" s="14" t="s">
        <v>11</v>
      </c>
      <c r="D130" s="15" t="s">
        <v>194</v>
      </c>
      <c r="F130" s="26"/>
    </row>
    <row r="131" spans="1:6" ht="14.25" customHeight="1" x14ac:dyDescent="0.4">
      <c r="A131" s="12" t="s">
        <v>11</v>
      </c>
      <c r="B131" s="13">
        <v>1</v>
      </c>
      <c r="C131" s="14" t="s">
        <v>34</v>
      </c>
      <c r="D131" s="15" t="s">
        <v>195</v>
      </c>
      <c r="F131" s="26"/>
    </row>
    <row r="132" spans="1:6" ht="14.25" customHeight="1" x14ac:dyDescent="0.4">
      <c r="A132" s="12" t="s">
        <v>34</v>
      </c>
      <c r="B132" s="13">
        <v>1</v>
      </c>
      <c r="C132" s="14" t="s">
        <v>11</v>
      </c>
      <c r="D132" s="15" t="s">
        <v>196</v>
      </c>
      <c r="F132" s="26"/>
    </row>
    <row r="133" spans="1:6" ht="14.25" customHeight="1" x14ac:dyDescent="0.4">
      <c r="A133" s="12" t="s">
        <v>29</v>
      </c>
      <c r="B133" s="13">
        <v>2</v>
      </c>
      <c r="C133" s="14" t="s">
        <v>30</v>
      </c>
      <c r="D133" s="15" t="s">
        <v>197</v>
      </c>
      <c r="F133" s="26"/>
    </row>
    <row r="134" spans="1:6" ht="14.25" customHeight="1" x14ac:dyDescent="0.4">
      <c r="A134" s="12" t="s">
        <v>11</v>
      </c>
      <c r="B134" s="13">
        <v>2</v>
      </c>
      <c r="C134" s="14" t="s">
        <v>30</v>
      </c>
      <c r="D134" s="15" t="s">
        <v>198</v>
      </c>
      <c r="F134" s="26"/>
    </row>
    <row r="135" spans="1:6" ht="14.25" customHeight="1" x14ac:dyDescent="0.4">
      <c r="A135" s="12" t="s">
        <v>37</v>
      </c>
      <c r="B135" s="13">
        <v>2</v>
      </c>
      <c r="C135" s="14" t="s">
        <v>31</v>
      </c>
      <c r="D135" s="15" t="s">
        <v>199</v>
      </c>
      <c r="F135" s="26"/>
    </row>
    <row r="136" spans="1:6" ht="14.25" customHeight="1" x14ac:dyDescent="0.4">
      <c r="A136" s="12" t="s">
        <v>29</v>
      </c>
      <c r="B136" s="13">
        <v>2</v>
      </c>
      <c r="C136" s="14" t="s">
        <v>30</v>
      </c>
      <c r="D136" s="15" t="s">
        <v>200</v>
      </c>
      <c r="F136" s="26"/>
    </row>
    <row r="137" spans="1:6" ht="14.25" customHeight="1" x14ac:dyDescent="0.4">
      <c r="A137" s="12" t="s">
        <v>12</v>
      </c>
      <c r="B137" s="13">
        <v>2</v>
      </c>
      <c r="C137" s="14" t="s">
        <v>35</v>
      </c>
      <c r="D137" s="15" t="s">
        <v>201</v>
      </c>
      <c r="F137" s="26"/>
    </row>
    <row r="138" spans="1:6" ht="14.25" customHeight="1" x14ac:dyDescent="0.4">
      <c r="A138" s="12" t="s">
        <v>11</v>
      </c>
      <c r="B138" s="13">
        <v>1</v>
      </c>
      <c r="C138" s="14" t="s">
        <v>29</v>
      </c>
      <c r="D138" s="15" t="s">
        <v>202</v>
      </c>
      <c r="F138" s="26"/>
    </row>
    <row r="139" spans="1:6" ht="14.25" customHeight="1" x14ac:dyDescent="0.4">
      <c r="A139" s="12" t="s">
        <v>29</v>
      </c>
      <c r="B139" s="13">
        <v>1</v>
      </c>
      <c r="C139" s="14" t="s">
        <v>11</v>
      </c>
      <c r="D139" s="15" t="s">
        <v>203</v>
      </c>
      <c r="F139" s="26"/>
    </row>
    <row r="140" spans="1:6" ht="14.25" customHeight="1" x14ac:dyDescent="0.4">
      <c r="A140" s="12" t="s">
        <v>11</v>
      </c>
      <c r="B140" s="13">
        <v>1</v>
      </c>
      <c r="C140" s="14" t="s">
        <v>30</v>
      </c>
      <c r="D140" s="15" t="s">
        <v>204</v>
      </c>
      <c r="F140" s="26"/>
    </row>
    <row r="141" spans="1:6" ht="14.25" customHeight="1" x14ac:dyDescent="0.4">
      <c r="A141" s="12" t="s">
        <v>30</v>
      </c>
      <c r="B141" s="13">
        <v>1</v>
      </c>
      <c r="C141" s="14" t="s">
        <v>11</v>
      </c>
      <c r="D141" s="15" t="s">
        <v>205</v>
      </c>
      <c r="F141" s="26"/>
    </row>
    <row r="142" spans="1:6" ht="14.25" customHeight="1" x14ac:dyDescent="0.4">
      <c r="A142" s="12" t="s">
        <v>39</v>
      </c>
      <c r="B142" s="13">
        <v>2</v>
      </c>
      <c r="C142" s="14" t="s">
        <v>34</v>
      </c>
      <c r="D142" s="15" t="s">
        <v>206</v>
      </c>
      <c r="F142" s="26"/>
    </row>
    <row r="143" spans="1:6" ht="14.25" customHeight="1" x14ac:dyDescent="0.4">
      <c r="A143" s="12" t="s">
        <v>39</v>
      </c>
      <c r="B143" s="13">
        <v>2</v>
      </c>
      <c r="C143" s="14" t="s">
        <v>31</v>
      </c>
      <c r="D143" s="15" t="s">
        <v>207</v>
      </c>
      <c r="F143" s="26"/>
    </row>
    <row r="144" spans="1:6" ht="14.25" customHeight="1" x14ac:dyDescent="0.4">
      <c r="A144" s="12" t="s">
        <v>11</v>
      </c>
      <c r="B144" s="13">
        <v>2</v>
      </c>
      <c r="C144" s="14" t="s">
        <v>32</v>
      </c>
      <c r="D144" s="15" t="s">
        <v>208</v>
      </c>
      <c r="F144" s="26"/>
    </row>
    <row r="145" spans="1:6" ht="14.25" customHeight="1" x14ac:dyDescent="0.4">
      <c r="A145" s="12" t="s">
        <v>32</v>
      </c>
      <c r="B145" s="13">
        <v>1</v>
      </c>
      <c r="C145" s="14" t="s">
        <v>11</v>
      </c>
      <c r="D145" s="15" t="s">
        <v>209</v>
      </c>
      <c r="F145" s="26"/>
    </row>
    <row r="146" spans="1:6" ht="14.25" customHeight="1" x14ac:dyDescent="0.4">
      <c r="A146" s="12" t="s">
        <v>31</v>
      </c>
      <c r="B146" s="13">
        <v>2</v>
      </c>
      <c r="C146" s="14" t="s">
        <v>11</v>
      </c>
      <c r="D146" s="15" t="s">
        <v>210</v>
      </c>
      <c r="F146" s="26"/>
    </row>
    <row r="147" spans="1:6" ht="14.25" customHeight="1" x14ac:dyDescent="0.4">
      <c r="A147" s="12" t="s">
        <v>29</v>
      </c>
      <c r="B147" s="13">
        <v>2</v>
      </c>
      <c r="C147" s="14" t="s">
        <v>30</v>
      </c>
      <c r="D147" s="15" t="s">
        <v>211</v>
      </c>
      <c r="F147" s="26"/>
    </row>
    <row r="148" spans="1:6" ht="14.25" customHeight="1" x14ac:dyDescent="0.4">
      <c r="A148" s="12" t="s">
        <v>11</v>
      </c>
      <c r="B148" s="13">
        <v>1</v>
      </c>
      <c r="C148" s="14" t="s">
        <v>31</v>
      </c>
      <c r="D148" s="15" t="s">
        <v>212</v>
      </c>
      <c r="F148" s="26"/>
    </row>
    <row r="149" spans="1:6" ht="14.25" customHeight="1" x14ac:dyDescent="0.4">
      <c r="A149" s="12" t="s">
        <v>28</v>
      </c>
      <c r="B149" s="13">
        <v>2</v>
      </c>
      <c r="C149" s="14" t="s">
        <v>11</v>
      </c>
      <c r="D149" s="15" t="s">
        <v>213</v>
      </c>
      <c r="F149" s="26"/>
    </row>
    <row r="150" spans="1:6" ht="14.25" customHeight="1" x14ac:dyDescent="0.4">
      <c r="A150" s="12" t="s">
        <v>28</v>
      </c>
      <c r="B150" s="13">
        <v>2</v>
      </c>
      <c r="C150" s="14" t="s">
        <v>29</v>
      </c>
      <c r="D150" s="15" t="s">
        <v>214</v>
      </c>
      <c r="F150" s="26"/>
    </row>
    <row r="151" spans="1:6" ht="14.25" customHeight="1" x14ac:dyDescent="0.4">
      <c r="A151" s="12" t="s">
        <v>29</v>
      </c>
      <c r="B151" s="13">
        <v>1</v>
      </c>
      <c r="C151" s="14" t="s">
        <v>32</v>
      </c>
      <c r="D151" s="15" t="s">
        <v>215</v>
      </c>
      <c r="F151" s="26"/>
    </row>
    <row r="152" spans="1:6" ht="14.25" customHeight="1" x14ac:dyDescent="0.4">
      <c r="A152" s="12" t="s">
        <v>32</v>
      </c>
      <c r="B152" s="13">
        <v>1</v>
      </c>
      <c r="C152" s="14" t="s">
        <v>29</v>
      </c>
      <c r="D152" s="120" t="s">
        <v>216</v>
      </c>
      <c r="F152" s="26"/>
    </row>
    <row r="153" spans="1:6" ht="14.25" customHeight="1" x14ac:dyDescent="0.4">
      <c r="A153" s="12" t="s">
        <v>12</v>
      </c>
      <c r="B153" s="13">
        <v>2</v>
      </c>
      <c r="C153" s="14" t="s">
        <v>32</v>
      </c>
      <c r="D153" s="15" t="s">
        <v>217</v>
      </c>
      <c r="F153" s="26"/>
    </row>
    <row r="154" spans="1:6" ht="14.25" customHeight="1" x14ac:dyDescent="0.4">
      <c r="A154" s="12" t="s">
        <v>11</v>
      </c>
      <c r="B154" s="13">
        <v>2</v>
      </c>
      <c r="C154" s="14" t="s">
        <v>30</v>
      </c>
      <c r="D154" s="15" t="s">
        <v>218</v>
      </c>
      <c r="F154" s="26"/>
    </row>
    <row r="155" spans="1:6" ht="14.25" customHeight="1" x14ac:dyDescent="0.4">
      <c r="A155" s="12" t="s">
        <v>32</v>
      </c>
      <c r="B155" s="13">
        <v>1</v>
      </c>
      <c r="C155" s="14" t="s">
        <v>12</v>
      </c>
      <c r="D155" s="15" t="s">
        <v>219</v>
      </c>
      <c r="F155" s="26"/>
    </row>
    <row r="156" spans="1:6" ht="14.25" customHeight="1" x14ac:dyDescent="0.4">
      <c r="A156" s="12" t="s">
        <v>29</v>
      </c>
      <c r="B156" s="13">
        <v>1</v>
      </c>
      <c r="C156" s="14" t="s">
        <v>34</v>
      </c>
      <c r="D156" s="15" t="s">
        <v>220</v>
      </c>
      <c r="F156" s="26"/>
    </row>
    <row r="157" spans="1:6" ht="14.25" customHeight="1" x14ac:dyDescent="0.4">
      <c r="A157" s="12" t="s">
        <v>34</v>
      </c>
      <c r="B157" s="13">
        <v>1</v>
      </c>
      <c r="C157" s="14" t="s">
        <v>29</v>
      </c>
      <c r="D157" s="15" t="s">
        <v>221</v>
      </c>
      <c r="F157" s="26"/>
    </row>
    <row r="158" spans="1:6" ht="14.25" customHeight="1" x14ac:dyDescent="0.4">
      <c r="A158" s="12" t="s">
        <v>34</v>
      </c>
      <c r="B158" s="13">
        <v>1</v>
      </c>
      <c r="C158" s="14" t="s">
        <v>33</v>
      </c>
      <c r="D158" s="15" t="s">
        <v>222</v>
      </c>
      <c r="F158" s="26"/>
    </row>
    <row r="159" spans="1:6" ht="14.25" customHeight="1" x14ac:dyDescent="0.4">
      <c r="A159" s="12" t="s">
        <v>33</v>
      </c>
      <c r="B159" s="13">
        <v>1</v>
      </c>
      <c r="C159" s="14" t="s">
        <v>34</v>
      </c>
      <c r="D159" s="15" t="s">
        <v>223</v>
      </c>
      <c r="F159" s="26"/>
    </row>
    <row r="160" spans="1:6" ht="14.25" customHeight="1" x14ac:dyDescent="0.4">
      <c r="A160" s="12" t="s">
        <v>11</v>
      </c>
      <c r="B160" s="13">
        <v>2</v>
      </c>
      <c r="C160" s="14" t="s">
        <v>34</v>
      </c>
      <c r="D160" s="15" t="s">
        <v>224</v>
      </c>
    </row>
    <row r="161" spans="1:8" ht="14.25" customHeight="1" x14ac:dyDescent="0.4">
      <c r="A161" s="12" t="s">
        <v>33</v>
      </c>
      <c r="B161" s="13">
        <v>2</v>
      </c>
      <c r="C161" s="14" t="s">
        <v>28</v>
      </c>
      <c r="D161" s="15" t="s">
        <v>225</v>
      </c>
      <c r="E161">
        <v>1</v>
      </c>
    </row>
    <row r="162" spans="1:8" ht="14.25" customHeight="1" x14ac:dyDescent="0.4">
      <c r="A162" s="12" t="s">
        <v>12</v>
      </c>
      <c r="B162" s="13">
        <v>2</v>
      </c>
      <c r="C162" s="14" t="s">
        <v>37</v>
      </c>
      <c r="D162" s="15" t="s">
        <v>226</v>
      </c>
    </row>
    <row r="163" spans="1:8" ht="14.25" customHeight="1" x14ac:dyDescent="0.4">
      <c r="A163" s="12" t="s">
        <v>31</v>
      </c>
      <c r="B163" s="13">
        <v>1</v>
      </c>
      <c r="C163" s="14" t="s">
        <v>12</v>
      </c>
      <c r="D163" s="15" t="s">
        <v>227</v>
      </c>
    </row>
    <row r="164" spans="1:8" ht="14.25" customHeight="1" x14ac:dyDescent="0.4">
      <c r="A164" s="12" t="s">
        <v>12</v>
      </c>
      <c r="B164" s="13">
        <v>1</v>
      </c>
      <c r="C164" s="14" t="s">
        <v>31</v>
      </c>
      <c r="D164" s="15" t="s">
        <v>228</v>
      </c>
    </row>
    <row r="165" spans="1:8" ht="14.25" customHeight="1" x14ac:dyDescent="0.4">
      <c r="A165" s="12" t="s">
        <v>12</v>
      </c>
      <c r="B165" s="13">
        <v>2</v>
      </c>
      <c r="C165" s="14" t="s">
        <v>28</v>
      </c>
      <c r="D165" s="15" t="s">
        <v>229</v>
      </c>
      <c r="E165">
        <v>1</v>
      </c>
    </row>
    <row r="166" spans="1:8" ht="14.25" customHeight="1" x14ac:dyDescent="0.4">
      <c r="A166" s="12" t="s">
        <v>11</v>
      </c>
      <c r="B166" s="13">
        <v>1</v>
      </c>
      <c r="C166" s="14" t="s">
        <v>30</v>
      </c>
      <c r="D166" s="15" t="s">
        <v>230</v>
      </c>
    </row>
    <row r="167" spans="1:8" ht="14.25" customHeight="1" x14ac:dyDescent="0.4">
      <c r="A167" s="12" t="s">
        <v>30</v>
      </c>
      <c r="B167" s="13">
        <v>1</v>
      </c>
      <c r="C167" s="14" t="s">
        <v>11</v>
      </c>
      <c r="D167" s="15" t="s">
        <v>231</v>
      </c>
    </row>
    <row r="168" spans="1:8" ht="14.25" customHeight="1" x14ac:dyDescent="0.4">
      <c r="A168" s="12" t="s">
        <v>32</v>
      </c>
      <c r="B168" s="13">
        <v>2</v>
      </c>
      <c r="C168" s="14" t="s">
        <v>11</v>
      </c>
      <c r="D168" s="15" t="s">
        <v>232</v>
      </c>
      <c r="F168" s="121"/>
      <c r="G168" s="121"/>
      <c r="H168" s="121"/>
    </row>
    <row r="169" spans="1:8" ht="14.25" customHeight="1" x14ac:dyDescent="0.4">
      <c r="A169" s="12" t="s">
        <v>32</v>
      </c>
      <c r="B169" s="13">
        <v>1</v>
      </c>
      <c r="C169" s="14" t="s">
        <v>30</v>
      </c>
      <c r="D169" s="15" t="s">
        <v>232</v>
      </c>
      <c r="F169" s="121"/>
      <c r="G169" s="121"/>
      <c r="H169" s="121"/>
    </row>
    <row r="170" spans="1:8" ht="14.25" customHeight="1" x14ac:dyDescent="0.4">
      <c r="A170" s="12" t="s">
        <v>11</v>
      </c>
      <c r="B170" s="13">
        <v>1</v>
      </c>
      <c r="C170" s="14" t="s">
        <v>32</v>
      </c>
      <c r="D170" s="15" t="s">
        <v>233</v>
      </c>
      <c r="F170" s="121"/>
      <c r="G170" s="121"/>
      <c r="H170" s="121"/>
    </row>
    <row r="171" spans="1:8" ht="14.25" customHeight="1" x14ac:dyDescent="0.4">
      <c r="A171" s="12" t="s">
        <v>29</v>
      </c>
      <c r="B171" s="13">
        <v>2</v>
      </c>
      <c r="C171" s="14" t="s">
        <v>35</v>
      </c>
      <c r="D171" s="15" t="s">
        <v>234</v>
      </c>
      <c r="F171" s="121"/>
      <c r="G171" s="121"/>
      <c r="H171" s="121"/>
    </row>
    <row r="172" spans="1:8" ht="14.25" customHeight="1" x14ac:dyDescent="0.4">
      <c r="A172" s="12" t="s">
        <v>32</v>
      </c>
      <c r="B172" s="13">
        <v>2</v>
      </c>
      <c r="C172" s="14" t="s">
        <v>36</v>
      </c>
      <c r="D172" s="15" t="s">
        <v>235</v>
      </c>
      <c r="F172" s="121"/>
      <c r="G172" s="121"/>
      <c r="H172" s="121"/>
    </row>
    <row r="173" spans="1:8" ht="14.25" customHeight="1" x14ac:dyDescent="0.4">
      <c r="A173" s="12" t="s">
        <v>40</v>
      </c>
      <c r="B173" s="13">
        <v>1</v>
      </c>
      <c r="C173" s="14" t="s">
        <v>33</v>
      </c>
      <c r="D173" s="15" t="s">
        <v>236</v>
      </c>
      <c r="F173" s="121"/>
      <c r="G173" s="121"/>
      <c r="H173" s="121"/>
    </row>
    <row r="174" spans="1:8" ht="14.25" customHeight="1" x14ac:dyDescent="0.4">
      <c r="A174" s="12" t="s">
        <v>33</v>
      </c>
      <c r="B174" s="13">
        <v>1</v>
      </c>
      <c r="C174" s="14" t="s">
        <v>40</v>
      </c>
      <c r="D174" s="15" t="s">
        <v>237</v>
      </c>
      <c r="F174" s="121"/>
      <c r="G174" s="121"/>
      <c r="H174" s="121"/>
    </row>
    <row r="175" spans="1:8" ht="14.25" customHeight="1" x14ac:dyDescent="0.4">
      <c r="A175" s="12" t="s">
        <v>38</v>
      </c>
      <c r="B175" s="13">
        <v>1</v>
      </c>
      <c r="C175" s="14" t="s">
        <v>12</v>
      </c>
      <c r="D175" s="15" t="s">
        <v>238</v>
      </c>
      <c r="F175" s="121"/>
      <c r="G175" s="121"/>
      <c r="H175" s="121"/>
    </row>
    <row r="176" spans="1:8" ht="14.25" customHeight="1" x14ac:dyDescent="0.4">
      <c r="A176" s="12" t="s">
        <v>12</v>
      </c>
      <c r="B176" s="13">
        <v>1</v>
      </c>
      <c r="C176" s="14" t="s">
        <v>38</v>
      </c>
      <c r="D176" s="15" t="s">
        <v>239</v>
      </c>
      <c r="F176" s="121"/>
      <c r="G176" s="121"/>
      <c r="H176" s="121"/>
    </row>
    <row r="177" spans="1:4" ht="14.25" customHeight="1" x14ac:dyDescent="0.4">
      <c r="A177" s="12" t="s">
        <v>36</v>
      </c>
      <c r="B177" s="13">
        <v>2</v>
      </c>
      <c r="C177" s="14" t="s">
        <v>11</v>
      </c>
      <c r="D177" s="15" t="s">
        <v>240</v>
      </c>
    </row>
    <row r="178" spans="1:4" ht="14.25" customHeight="1" x14ac:dyDescent="0.4">
      <c r="A178" s="12" t="s">
        <v>39</v>
      </c>
      <c r="B178" s="13">
        <v>1</v>
      </c>
      <c r="C178" s="14" t="s">
        <v>32</v>
      </c>
      <c r="D178" s="15" t="s">
        <v>241</v>
      </c>
    </row>
    <row r="179" spans="1:4" ht="14.25" customHeight="1" x14ac:dyDescent="0.4">
      <c r="A179" s="12" t="s">
        <v>32</v>
      </c>
      <c r="B179" s="13">
        <v>1</v>
      </c>
      <c r="C179" s="14" t="s">
        <v>39</v>
      </c>
      <c r="D179" s="15" t="s">
        <v>242</v>
      </c>
    </row>
    <row r="180" spans="1:4" ht="14.25" customHeight="1" x14ac:dyDescent="0.4">
      <c r="A180" s="12" t="s">
        <v>12</v>
      </c>
      <c r="B180" s="13">
        <v>2</v>
      </c>
      <c r="C180" s="14" t="s">
        <v>31</v>
      </c>
      <c r="D180" s="15" t="s">
        <v>243</v>
      </c>
    </row>
    <row r="181" spans="1:4" ht="14.25" customHeight="1" x14ac:dyDescent="0.4">
      <c r="A181" s="12" t="s">
        <v>32</v>
      </c>
      <c r="B181" s="13">
        <v>2</v>
      </c>
      <c r="C181" s="14" t="s">
        <v>11</v>
      </c>
      <c r="D181" s="15" t="s">
        <v>244</v>
      </c>
    </row>
    <row r="182" spans="1:4" ht="14.25" customHeight="1" x14ac:dyDescent="0.4">
      <c r="A182" s="12" t="s">
        <v>30</v>
      </c>
      <c r="B182" s="13">
        <v>2</v>
      </c>
      <c r="C182" s="14" t="s">
        <v>33</v>
      </c>
      <c r="D182" s="15" t="s">
        <v>245</v>
      </c>
    </row>
    <row r="183" spans="1:4" ht="14.25" customHeight="1" x14ac:dyDescent="0.4">
      <c r="A183" s="12" t="s">
        <v>12</v>
      </c>
      <c r="B183" s="13">
        <v>2</v>
      </c>
      <c r="C183" s="14" t="s">
        <v>29</v>
      </c>
      <c r="D183" s="15" t="s">
        <v>246</v>
      </c>
    </row>
    <row r="184" spans="1:4" ht="14.25" customHeight="1" x14ac:dyDescent="0.4">
      <c r="A184" s="12" t="s">
        <v>32</v>
      </c>
      <c r="B184" s="13">
        <v>1</v>
      </c>
      <c r="C184" s="14" t="s">
        <v>31</v>
      </c>
      <c r="D184" s="15" t="s">
        <v>247</v>
      </c>
    </row>
    <row r="185" spans="1:4" ht="14.25" customHeight="1" x14ac:dyDescent="0.4">
      <c r="A185" s="12" t="s">
        <v>31</v>
      </c>
      <c r="B185" s="13">
        <v>1</v>
      </c>
      <c r="C185" s="14" t="s">
        <v>32</v>
      </c>
      <c r="D185" s="15" t="s">
        <v>248</v>
      </c>
    </row>
    <row r="186" spans="1:4" ht="14.25" customHeight="1" x14ac:dyDescent="0.4">
      <c r="A186" s="12" t="s">
        <v>11</v>
      </c>
      <c r="B186" s="13">
        <v>2</v>
      </c>
      <c r="C186" s="14" t="s">
        <v>32</v>
      </c>
      <c r="D186" s="15" t="s">
        <v>249</v>
      </c>
    </row>
    <row r="187" spans="1:4" ht="14.25" customHeight="1" x14ac:dyDescent="0.4">
      <c r="A187" s="12" t="s">
        <v>32</v>
      </c>
      <c r="B187" s="13">
        <v>1</v>
      </c>
      <c r="C187" s="14" t="s">
        <v>11</v>
      </c>
      <c r="D187" s="15" t="s">
        <v>250</v>
      </c>
    </row>
    <row r="188" spans="1:4" ht="14.25" customHeight="1" x14ac:dyDescent="0.4">
      <c r="A188" s="12" t="s">
        <v>31</v>
      </c>
      <c r="B188" s="13">
        <v>1</v>
      </c>
      <c r="C188" s="14" t="s">
        <v>34</v>
      </c>
      <c r="D188" s="120" t="s">
        <v>251</v>
      </c>
    </row>
    <row r="189" spans="1:4" ht="14.25" customHeight="1" x14ac:dyDescent="0.4">
      <c r="A189" s="12" t="s">
        <v>34</v>
      </c>
      <c r="B189" s="13">
        <v>2</v>
      </c>
      <c r="C189" s="14" t="s">
        <v>31</v>
      </c>
      <c r="D189" s="15" t="s">
        <v>252</v>
      </c>
    </row>
    <row r="190" spans="1:4" ht="14.25" customHeight="1" x14ac:dyDescent="0.4">
      <c r="A190" s="12" t="s">
        <v>11</v>
      </c>
      <c r="B190" s="13">
        <v>1</v>
      </c>
      <c r="C190" s="14" t="s">
        <v>32</v>
      </c>
      <c r="D190" s="15" t="s">
        <v>253</v>
      </c>
    </row>
    <row r="191" spans="1:4" ht="14.25" customHeight="1" x14ac:dyDescent="0.4">
      <c r="A191" s="12" t="s">
        <v>32</v>
      </c>
      <c r="B191" s="13">
        <v>1</v>
      </c>
      <c r="C191" s="14" t="s">
        <v>11</v>
      </c>
      <c r="D191" s="15" t="s">
        <v>254</v>
      </c>
    </row>
    <row r="192" spans="1:4" ht="14.25" customHeight="1" x14ac:dyDescent="0.4">
      <c r="A192" s="12" t="s">
        <v>12</v>
      </c>
      <c r="B192" s="13">
        <v>2</v>
      </c>
      <c r="C192" s="14" t="s">
        <v>30</v>
      </c>
      <c r="D192" s="15" t="s">
        <v>255</v>
      </c>
    </row>
    <row r="193" spans="1:5" ht="14.25" customHeight="1" x14ac:dyDescent="0.4">
      <c r="A193" s="12" t="s">
        <v>29</v>
      </c>
      <c r="B193" s="13">
        <v>2</v>
      </c>
      <c r="C193" s="14" t="s">
        <v>11</v>
      </c>
      <c r="D193" s="15" t="s">
        <v>256</v>
      </c>
    </row>
    <row r="194" spans="1:5" ht="14.25" customHeight="1" x14ac:dyDescent="0.4">
      <c r="A194" s="12" t="s">
        <v>11</v>
      </c>
      <c r="B194" s="13">
        <v>2</v>
      </c>
      <c r="C194" s="14" t="s">
        <v>30</v>
      </c>
      <c r="D194" s="15" t="s">
        <v>257</v>
      </c>
    </row>
    <row r="195" spans="1:5" ht="14.25" customHeight="1" x14ac:dyDescent="0.4">
      <c r="A195" s="12" t="s">
        <v>39</v>
      </c>
      <c r="B195" s="13">
        <v>2</v>
      </c>
      <c r="C195" s="14" t="s">
        <v>29</v>
      </c>
      <c r="D195" s="15" t="s">
        <v>258</v>
      </c>
    </row>
    <row r="196" spans="1:5" ht="14.25" customHeight="1" x14ac:dyDescent="0.4">
      <c r="A196" s="12" t="s">
        <v>31</v>
      </c>
      <c r="B196" s="13">
        <v>2</v>
      </c>
      <c r="C196" s="14" t="s">
        <v>29</v>
      </c>
      <c r="D196" s="15" t="s">
        <v>259</v>
      </c>
    </row>
    <row r="197" spans="1:5" ht="14.25" customHeight="1" x14ac:dyDescent="0.4">
      <c r="A197" s="12" t="s">
        <v>29</v>
      </c>
      <c r="B197" s="13">
        <v>1</v>
      </c>
      <c r="C197" s="14" t="s">
        <v>31</v>
      </c>
      <c r="D197" s="15" t="s">
        <v>260</v>
      </c>
    </row>
    <row r="198" spans="1:5" ht="14.25" customHeight="1" x14ac:dyDescent="0.4">
      <c r="A198" s="12" t="s">
        <v>36</v>
      </c>
      <c r="B198" s="13">
        <v>1</v>
      </c>
      <c r="C198" s="14" t="s">
        <v>41</v>
      </c>
      <c r="D198" s="15" t="s">
        <v>261</v>
      </c>
    </row>
    <row r="199" spans="1:5" ht="14.25" customHeight="1" x14ac:dyDescent="0.4">
      <c r="A199" s="12" t="s">
        <v>34</v>
      </c>
      <c r="B199" s="13">
        <v>2</v>
      </c>
      <c r="C199" s="14" t="s">
        <v>30</v>
      </c>
      <c r="D199" s="15" t="s">
        <v>262</v>
      </c>
    </row>
    <row r="200" spans="1:5" ht="14.25" customHeight="1" x14ac:dyDescent="0.4">
      <c r="A200" s="12" t="s">
        <v>38</v>
      </c>
      <c r="B200" s="13">
        <v>1</v>
      </c>
      <c r="C200" s="14" t="s">
        <v>41</v>
      </c>
      <c r="D200" t="s">
        <v>263</v>
      </c>
    </row>
    <row r="201" spans="1:5" ht="14.25" customHeight="1" x14ac:dyDescent="0.4">
      <c r="A201" s="12" t="s">
        <v>41</v>
      </c>
      <c r="B201" s="13">
        <v>1</v>
      </c>
      <c r="C201" s="14" t="s">
        <v>38</v>
      </c>
      <c r="D201" t="s">
        <v>264</v>
      </c>
    </row>
    <row r="202" spans="1:5" ht="14.25" customHeight="1" x14ac:dyDescent="0.4">
      <c r="A202" s="12" t="s">
        <v>11</v>
      </c>
      <c r="B202" s="13">
        <v>2</v>
      </c>
      <c r="C202" s="14" t="s">
        <v>30</v>
      </c>
      <c r="D202" t="s">
        <v>265</v>
      </c>
    </row>
    <row r="203" spans="1:5" ht="14.25" customHeight="1" x14ac:dyDescent="0.4">
      <c r="A203" s="12" t="s">
        <v>31</v>
      </c>
      <c r="B203" s="13">
        <v>2</v>
      </c>
      <c r="C203" s="14" t="s">
        <v>33</v>
      </c>
      <c r="D203" s="15" t="s">
        <v>266</v>
      </c>
    </row>
    <row r="204" spans="1:5" ht="14.25" customHeight="1" x14ac:dyDescent="0.4">
      <c r="A204" s="12" t="s">
        <v>12</v>
      </c>
      <c r="B204" s="13">
        <v>2</v>
      </c>
      <c r="C204" s="14" t="s">
        <v>28</v>
      </c>
      <c r="D204" t="s">
        <v>267</v>
      </c>
      <c r="E204">
        <v>0</v>
      </c>
    </row>
    <row r="205" spans="1:5" ht="14.25" customHeight="1" x14ac:dyDescent="0.4">
      <c r="A205" s="12" t="s">
        <v>11</v>
      </c>
      <c r="B205" s="13">
        <v>2</v>
      </c>
      <c r="C205" s="14" t="s">
        <v>33</v>
      </c>
      <c r="D205" t="s">
        <v>268</v>
      </c>
    </row>
    <row r="206" spans="1:5" ht="14.25" customHeight="1" x14ac:dyDescent="0.4">
      <c r="A206" s="12" t="s">
        <v>29</v>
      </c>
      <c r="B206" s="13">
        <v>1</v>
      </c>
      <c r="C206" s="14" t="s">
        <v>30</v>
      </c>
      <c r="D206" t="s">
        <v>269</v>
      </c>
    </row>
    <row r="207" spans="1:5" ht="14.25" customHeight="1" x14ac:dyDescent="0.4">
      <c r="A207" s="12" t="s">
        <v>30</v>
      </c>
      <c r="B207" s="13">
        <v>1</v>
      </c>
      <c r="C207" s="14" t="s">
        <v>29</v>
      </c>
      <c r="D207" t="s">
        <v>270</v>
      </c>
    </row>
    <row r="208" spans="1:5" ht="14.25" customHeight="1" x14ac:dyDescent="0.4">
      <c r="A208" s="12" t="s">
        <v>34</v>
      </c>
      <c r="B208" s="13">
        <v>2</v>
      </c>
      <c r="C208" s="14" t="s">
        <v>33</v>
      </c>
      <c r="D208" t="s">
        <v>271</v>
      </c>
    </row>
    <row r="209" spans="1:4" ht="14.25" customHeight="1" x14ac:dyDescent="0.4">
      <c r="A209" s="12" t="s">
        <v>34</v>
      </c>
      <c r="B209" s="13">
        <v>1</v>
      </c>
      <c r="C209" s="14" t="s">
        <v>32</v>
      </c>
      <c r="D209" t="s">
        <v>272</v>
      </c>
    </row>
    <row r="210" spans="1:4" ht="14.25" customHeight="1" x14ac:dyDescent="0.4">
      <c r="A210" s="12" t="s">
        <v>32</v>
      </c>
      <c r="B210" s="13">
        <v>1</v>
      </c>
      <c r="C210" s="14" t="s">
        <v>34</v>
      </c>
      <c r="D210" t="s">
        <v>273</v>
      </c>
    </row>
    <row r="211" spans="1:4" ht="14.25" customHeight="1" x14ac:dyDescent="0.4">
      <c r="A211" s="12" t="s">
        <v>29</v>
      </c>
      <c r="B211" s="13">
        <v>2</v>
      </c>
      <c r="C211" s="14" t="s">
        <v>33</v>
      </c>
      <c r="D211" t="s">
        <v>274</v>
      </c>
    </row>
    <row r="212" spans="1:4" ht="14.25" customHeight="1" x14ac:dyDescent="0.4">
      <c r="A212" s="12" t="s">
        <v>41</v>
      </c>
      <c r="B212" s="13">
        <v>1</v>
      </c>
      <c r="C212" s="14" t="s">
        <v>33</v>
      </c>
      <c r="D212" t="s">
        <v>275</v>
      </c>
    </row>
    <row r="213" spans="1:4" ht="14.25" customHeight="1" x14ac:dyDescent="0.4">
      <c r="A213" s="12" t="s">
        <v>33</v>
      </c>
      <c r="B213" s="13">
        <v>1</v>
      </c>
      <c r="C213" s="14" t="s">
        <v>41</v>
      </c>
      <c r="D213" t="s">
        <v>276</v>
      </c>
    </row>
    <row r="214" spans="1:4" ht="14.25" customHeight="1" x14ac:dyDescent="0.4">
      <c r="A214" s="12" t="s">
        <v>36</v>
      </c>
      <c r="B214" s="13">
        <v>1</v>
      </c>
      <c r="C214" s="14" t="s">
        <v>32</v>
      </c>
      <c r="D214" t="s">
        <v>277</v>
      </c>
    </row>
    <row r="215" spans="1:4" ht="14.25" customHeight="1" x14ac:dyDescent="0.4">
      <c r="A215" s="12" t="s">
        <v>32</v>
      </c>
      <c r="B215" s="13">
        <v>1</v>
      </c>
      <c r="C215" s="14" t="s">
        <v>36</v>
      </c>
      <c r="D215" t="s">
        <v>278</v>
      </c>
    </row>
    <row r="216" spans="1:4" ht="14.25" customHeight="1" x14ac:dyDescent="0.4">
      <c r="A216" s="12" t="s">
        <v>31</v>
      </c>
      <c r="B216" s="13">
        <v>2</v>
      </c>
      <c r="C216" s="14" t="s">
        <v>39</v>
      </c>
      <c r="D216" t="s">
        <v>279</v>
      </c>
    </row>
    <row r="217" spans="1:4" ht="14.25" customHeight="1" x14ac:dyDescent="0.4">
      <c r="A217" s="12" t="s">
        <v>39</v>
      </c>
      <c r="B217" s="13">
        <v>1</v>
      </c>
      <c r="C217" s="14" t="s">
        <v>31</v>
      </c>
      <c r="D217" t="s">
        <v>280</v>
      </c>
    </row>
    <row r="218" spans="1:4" ht="14.25" customHeight="1" x14ac:dyDescent="0.4">
      <c r="A218" s="12" t="s">
        <v>36</v>
      </c>
      <c r="B218" s="13">
        <v>2</v>
      </c>
      <c r="C218" s="14" t="s">
        <v>32</v>
      </c>
      <c r="D218" t="s">
        <v>281</v>
      </c>
    </row>
    <row r="219" spans="1:4" ht="14.25" customHeight="1" x14ac:dyDescent="0.4">
      <c r="A219" s="12" t="s">
        <v>12</v>
      </c>
      <c r="B219" s="13">
        <v>2</v>
      </c>
      <c r="C219" s="14" t="s">
        <v>32</v>
      </c>
      <c r="D219" t="s">
        <v>282</v>
      </c>
    </row>
    <row r="220" spans="1:4" ht="14.25" customHeight="1" x14ac:dyDescent="0.4">
      <c r="A220" s="12" t="s">
        <v>32</v>
      </c>
      <c r="B220" s="13">
        <v>1</v>
      </c>
      <c r="C220" s="14" t="s">
        <v>36</v>
      </c>
      <c r="D220" s="15" t="s">
        <v>283</v>
      </c>
    </row>
    <row r="221" spans="1:4" ht="14.25" customHeight="1" x14ac:dyDescent="0.4">
      <c r="A221" s="12" t="s">
        <v>32</v>
      </c>
      <c r="B221" s="13">
        <v>1</v>
      </c>
      <c r="C221" s="14" t="s">
        <v>12</v>
      </c>
      <c r="D221" t="s">
        <v>283</v>
      </c>
    </row>
    <row r="222" spans="1:4" ht="14.25" customHeight="1" x14ac:dyDescent="0.4">
      <c r="A222" s="12" t="s">
        <v>31</v>
      </c>
      <c r="B222" s="13">
        <v>1</v>
      </c>
      <c r="C222" s="14" t="s">
        <v>36</v>
      </c>
      <c r="D222" t="s">
        <v>284</v>
      </c>
    </row>
    <row r="223" spans="1:4" ht="14.25" customHeight="1" x14ac:dyDescent="0.4">
      <c r="A223" s="12" t="s">
        <v>31</v>
      </c>
      <c r="B223" s="13">
        <v>1</v>
      </c>
      <c r="C223" s="14" t="s">
        <v>12</v>
      </c>
      <c r="D223" s="120" t="s">
        <v>284</v>
      </c>
    </row>
    <row r="224" spans="1:4" ht="14.25" customHeight="1" x14ac:dyDescent="0.4">
      <c r="A224" s="12" t="s">
        <v>29</v>
      </c>
      <c r="B224" s="13">
        <v>2</v>
      </c>
      <c r="C224" s="14" t="s">
        <v>30</v>
      </c>
      <c r="D224" t="s">
        <v>285</v>
      </c>
    </row>
    <row r="225" spans="1:5" ht="14.25" customHeight="1" x14ac:dyDescent="0.4">
      <c r="A225" s="12" t="s">
        <v>29</v>
      </c>
      <c r="B225" s="13">
        <v>1</v>
      </c>
      <c r="C225" s="14" t="s">
        <v>11</v>
      </c>
      <c r="D225" t="s">
        <v>286</v>
      </c>
    </row>
    <row r="226" spans="1:5" ht="14.25" customHeight="1" x14ac:dyDescent="0.4">
      <c r="A226" s="12" t="s">
        <v>11</v>
      </c>
      <c r="B226" s="13">
        <v>1</v>
      </c>
      <c r="C226" s="14" t="s">
        <v>29</v>
      </c>
      <c r="D226" t="s">
        <v>287</v>
      </c>
    </row>
    <row r="227" spans="1:5" ht="14.25" customHeight="1" x14ac:dyDescent="0.4">
      <c r="A227" s="12" t="s">
        <v>30</v>
      </c>
      <c r="B227" s="13">
        <v>1</v>
      </c>
      <c r="C227" s="14" t="s">
        <v>29</v>
      </c>
      <c r="D227" t="s">
        <v>288</v>
      </c>
    </row>
    <row r="228" spans="1:5" ht="14.25" customHeight="1" x14ac:dyDescent="0.4">
      <c r="A228" s="12" t="s">
        <v>32</v>
      </c>
      <c r="B228" s="13">
        <v>1</v>
      </c>
      <c r="C228" s="14" t="s">
        <v>35</v>
      </c>
      <c r="D228" t="s">
        <v>289</v>
      </c>
    </row>
    <row r="229" spans="1:5" ht="14.25" customHeight="1" x14ac:dyDescent="0.4">
      <c r="A229" s="12" t="s">
        <v>29</v>
      </c>
      <c r="B229" s="13">
        <v>2</v>
      </c>
      <c r="C229" s="14" t="s">
        <v>30</v>
      </c>
      <c r="D229" t="s">
        <v>290</v>
      </c>
    </row>
    <row r="230" spans="1:5" ht="14.25" customHeight="1" x14ac:dyDescent="0.4">
      <c r="A230" s="12" t="s">
        <v>29</v>
      </c>
      <c r="B230" s="13">
        <v>1</v>
      </c>
      <c r="C230" s="14" t="s">
        <v>30</v>
      </c>
      <c r="D230" t="s">
        <v>291</v>
      </c>
    </row>
    <row r="231" spans="1:5" ht="14.25" customHeight="1" x14ac:dyDescent="0.4">
      <c r="A231" s="12" t="s">
        <v>29</v>
      </c>
      <c r="B231" s="13">
        <v>1</v>
      </c>
      <c r="C231" s="14" t="s">
        <v>30</v>
      </c>
      <c r="D231" t="s">
        <v>292</v>
      </c>
    </row>
    <row r="232" spans="1:5" ht="14.25" customHeight="1" x14ac:dyDescent="0.4">
      <c r="A232" s="12" t="s">
        <v>30</v>
      </c>
      <c r="B232" s="13">
        <v>1</v>
      </c>
      <c r="C232" s="14" t="s">
        <v>29</v>
      </c>
      <c r="D232" t="s">
        <v>293</v>
      </c>
    </row>
    <row r="233" spans="1:5" ht="14.25" customHeight="1" x14ac:dyDescent="0.4">
      <c r="A233" s="12" t="s">
        <v>12</v>
      </c>
      <c r="B233" s="13">
        <v>2</v>
      </c>
      <c r="C233" s="14" t="s">
        <v>28</v>
      </c>
      <c r="D233" t="s">
        <v>294</v>
      </c>
      <c r="E233">
        <v>1</v>
      </c>
    </row>
    <row r="234" spans="1:5" ht="14.25" customHeight="1" x14ac:dyDescent="0.4">
      <c r="A234" s="12" t="s">
        <v>12</v>
      </c>
      <c r="B234" s="13">
        <v>2</v>
      </c>
      <c r="C234" s="14" t="s">
        <v>37</v>
      </c>
      <c r="D234" t="s">
        <v>295</v>
      </c>
    </row>
    <row r="235" spans="1:5" ht="14.25" customHeight="1" x14ac:dyDescent="0.4">
      <c r="A235" s="12" t="s">
        <v>30</v>
      </c>
      <c r="B235" s="13">
        <v>2</v>
      </c>
      <c r="C235" s="14" t="s">
        <v>31</v>
      </c>
      <c r="D235" t="s">
        <v>296</v>
      </c>
    </row>
    <row r="236" spans="1:5" ht="14.25" customHeight="1" x14ac:dyDescent="0.4">
      <c r="A236" s="12" t="s">
        <v>11</v>
      </c>
      <c r="B236" s="13">
        <v>2</v>
      </c>
      <c r="C236" s="14" t="s">
        <v>33</v>
      </c>
      <c r="D236" t="s">
        <v>297</v>
      </c>
    </row>
    <row r="237" spans="1:5" ht="14.25" customHeight="1" x14ac:dyDescent="0.4">
      <c r="A237" s="12" t="s">
        <v>12</v>
      </c>
      <c r="B237" s="13">
        <v>2</v>
      </c>
      <c r="C237" s="14" t="s">
        <v>33</v>
      </c>
      <c r="D237" t="s">
        <v>298</v>
      </c>
    </row>
    <row r="238" spans="1:5" ht="14.25" customHeight="1" x14ac:dyDescent="0.4">
      <c r="A238" s="12" t="s">
        <v>29</v>
      </c>
      <c r="B238" s="13">
        <v>1</v>
      </c>
      <c r="C238" s="14" t="s">
        <v>30</v>
      </c>
      <c r="D238" t="s">
        <v>299</v>
      </c>
    </row>
    <row r="239" spans="1:5" ht="14.25" customHeight="1" x14ac:dyDescent="0.4">
      <c r="A239" s="12" t="s">
        <v>30</v>
      </c>
      <c r="B239" s="13">
        <v>1</v>
      </c>
      <c r="C239" s="14" t="s">
        <v>29</v>
      </c>
      <c r="D239" t="s">
        <v>300</v>
      </c>
    </row>
    <row r="240" spans="1:5" ht="14.25" customHeight="1" x14ac:dyDescent="0.4">
      <c r="A240" s="12" t="s">
        <v>38</v>
      </c>
      <c r="B240" s="13">
        <v>1</v>
      </c>
      <c r="C240" s="14" t="s">
        <v>30</v>
      </c>
      <c r="D240" t="s">
        <v>301</v>
      </c>
    </row>
    <row r="241" spans="1:4" ht="14.25" customHeight="1" x14ac:dyDescent="0.4">
      <c r="A241" s="12" t="s">
        <v>30</v>
      </c>
      <c r="B241" s="13">
        <v>1</v>
      </c>
      <c r="C241" s="14" t="s">
        <v>38</v>
      </c>
      <c r="D241" t="s">
        <v>302</v>
      </c>
    </row>
    <row r="242" spans="1:4" ht="14.25" customHeight="1" x14ac:dyDescent="0.4">
      <c r="A242" s="12" t="s">
        <v>36</v>
      </c>
      <c r="B242" s="13">
        <v>1</v>
      </c>
      <c r="C242" s="14" t="s">
        <v>33</v>
      </c>
      <c r="D242" t="s">
        <v>303</v>
      </c>
    </row>
    <row r="243" spans="1:4" ht="14.25" customHeight="1" x14ac:dyDescent="0.4">
      <c r="A243" s="12" t="s">
        <v>33</v>
      </c>
      <c r="B243" s="13">
        <v>1</v>
      </c>
      <c r="C243" s="14" t="s">
        <v>36</v>
      </c>
      <c r="D243" t="s">
        <v>304</v>
      </c>
    </row>
    <row r="244" spans="1:4" ht="14.25" customHeight="1" x14ac:dyDescent="0.4">
      <c r="A244" s="12" t="s">
        <v>33</v>
      </c>
      <c r="B244" s="13">
        <v>2</v>
      </c>
      <c r="C244" s="14" t="s">
        <v>30</v>
      </c>
      <c r="D244" t="s">
        <v>305</v>
      </c>
    </row>
    <row r="245" spans="1:4" ht="14.25" customHeight="1" x14ac:dyDescent="0.4">
      <c r="A245" s="12" t="s">
        <v>31</v>
      </c>
      <c r="B245" s="13">
        <v>1</v>
      </c>
      <c r="C245" s="14" t="s">
        <v>36</v>
      </c>
      <c r="D245" t="s">
        <v>306</v>
      </c>
    </row>
    <row r="246" spans="1:4" ht="14.25" customHeight="1" x14ac:dyDescent="0.4">
      <c r="A246" s="12" t="s">
        <v>32</v>
      </c>
      <c r="B246" s="13">
        <v>2</v>
      </c>
      <c r="C246" s="14" t="s">
        <v>29</v>
      </c>
      <c r="D246" s="4" t="s">
        <v>307</v>
      </c>
    </row>
    <row r="247" spans="1:4" ht="14.25" customHeight="1" x14ac:dyDescent="0.4">
      <c r="A247" s="12" t="s">
        <v>12</v>
      </c>
      <c r="B247" s="13">
        <v>2</v>
      </c>
      <c r="C247" s="14" t="s">
        <v>31</v>
      </c>
      <c r="D247" t="s">
        <v>308</v>
      </c>
    </row>
    <row r="248" spans="1:4" ht="14.25" customHeight="1" x14ac:dyDescent="0.4">
      <c r="A248" s="12" t="s">
        <v>31</v>
      </c>
      <c r="B248" s="13">
        <v>1</v>
      </c>
      <c r="C248" s="14" t="s">
        <v>12</v>
      </c>
      <c r="D248" s="15" t="s">
        <v>309</v>
      </c>
    </row>
    <row r="249" spans="1:4" ht="14.25" customHeight="1" x14ac:dyDescent="0.4">
      <c r="A249" s="12" t="s">
        <v>12</v>
      </c>
      <c r="B249" s="13">
        <v>1</v>
      </c>
      <c r="C249" s="14" t="s">
        <v>31</v>
      </c>
      <c r="D249" s="122" t="s">
        <v>310</v>
      </c>
    </row>
    <row r="250" spans="1:4" ht="14.25" customHeight="1" x14ac:dyDescent="0.4">
      <c r="A250" s="124" t="s">
        <v>32</v>
      </c>
      <c r="B250" s="13">
        <v>2</v>
      </c>
      <c r="C250" s="125" t="s">
        <v>31</v>
      </c>
      <c r="D250" t="s">
        <v>311</v>
      </c>
    </row>
    <row r="251" spans="1:4" ht="14.25" customHeight="1" x14ac:dyDescent="0.4">
      <c r="A251" s="124" t="s">
        <v>29</v>
      </c>
      <c r="B251" s="13">
        <v>2</v>
      </c>
      <c r="C251" s="125" t="s">
        <v>30</v>
      </c>
      <c r="D251" s="122" t="s">
        <v>312</v>
      </c>
    </row>
    <row r="252" spans="1:4" ht="14.25" customHeight="1" x14ac:dyDescent="0.4">
      <c r="A252" s="124" t="s">
        <v>29</v>
      </c>
      <c r="B252" s="13">
        <v>1</v>
      </c>
      <c r="C252" s="125" t="s">
        <v>12</v>
      </c>
      <c r="D252" t="s">
        <v>313</v>
      </c>
    </row>
    <row r="253" spans="1:4" ht="14.25" customHeight="1" x14ac:dyDescent="0.4">
      <c r="A253" s="124" t="s">
        <v>12</v>
      </c>
      <c r="B253" s="13">
        <v>1</v>
      </c>
      <c r="C253" s="125" t="s">
        <v>29</v>
      </c>
      <c r="D253" t="s">
        <v>314</v>
      </c>
    </row>
    <row r="254" spans="1:4" ht="14.25" customHeight="1" x14ac:dyDescent="0.4">
      <c r="A254" s="124" t="s">
        <v>36</v>
      </c>
      <c r="B254" s="13">
        <v>1</v>
      </c>
      <c r="C254" s="125" t="s">
        <v>32</v>
      </c>
      <c r="D254" t="s">
        <v>315</v>
      </c>
    </row>
    <row r="255" spans="1:4" ht="14.25" customHeight="1" x14ac:dyDescent="0.4">
      <c r="A255" s="124" t="s">
        <v>32</v>
      </c>
      <c r="B255" s="13">
        <v>1</v>
      </c>
      <c r="C255" s="125" t="s">
        <v>36</v>
      </c>
      <c r="D255" t="s">
        <v>316</v>
      </c>
    </row>
    <row r="256" spans="1:4" ht="14.25" customHeight="1" x14ac:dyDescent="0.4">
      <c r="A256" s="124" t="s">
        <v>12</v>
      </c>
      <c r="B256" s="13">
        <v>1</v>
      </c>
      <c r="C256" s="125" t="s">
        <v>29</v>
      </c>
      <c r="D256" t="s">
        <v>317</v>
      </c>
    </row>
    <row r="257" spans="1:4" ht="14.25" customHeight="1" x14ac:dyDescent="0.4">
      <c r="A257" s="124" t="s">
        <v>29</v>
      </c>
      <c r="B257" s="13">
        <v>1</v>
      </c>
      <c r="C257" s="125" t="s">
        <v>12</v>
      </c>
      <c r="D257" t="s">
        <v>318</v>
      </c>
    </row>
    <row r="258" spans="1:4" ht="14.25" customHeight="1" x14ac:dyDescent="0.4">
      <c r="A258" s="124" t="s">
        <v>40</v>
      </c>
      <c r="B258" s="13">
        <v>2</v>
      </c>
      <c r="C258" s="125" t="s">
        <v>38</v>
      </c>
      <c r="D258" t="s">
        <v>319</v>
      </c>
    </row>
    <row r="259" spans="1:4" ht="14.25" customHeight="1" x14ac:dyDescent="0.4">
      <c r="A259" s="124" t="s">
        <v>38</v>
      </c>
      <c r="B259" s="13">
        <v>1</v>
      </c>
      <c r="C259" s="125" t="s">
        <v>40</v>
      </c>
      <c r="D259" t="s">
        <v>320</v>
      </c>
    </row>
    <row r="260" spans="1:4" ht="14.25" customHeight="1" x14ac:dyDescent="0.4">
      <c r="A260" s="124" t="s">
        <v>11</v>
      </c>
      <c r="B260" s="13">
        <v>2</v>
      </c>
      <c r="C260" s="125" t="s">
        <v>29</v>
      </c>
      <c r="D260" t="s">
        <v>321</v>
      </c>
    </row>
    <row r="261" spans="1:4" ht="14.25" customHeight="1" x14ac:dyDescent="0.4">
      <c r="A261" s="124" t="s">
        <v>29</v>
      </c>
      <c r="B261" s="13">
        <v>1</v>
      </c>
      <c r="C261" s="125" t="s">
        <v>11</v>
      </c>
      <c r="D261" t="s">
        <v>322</v>
      </c>
    </row>
    <row r="262" spans="1:4" ht="14.25" customHeight="1" x14ac:dyDescent="0.4">
      <c r="A262" s="124" t="s">
        <v>31</v>
      </c>
      <c r="B262" s="13">
        <v>2</v>
      </c>
      <c r="C262" s="125" t="s">
        <v>30</v>
      </c>
      <c r="D262" t="s">
        <v>323</v>
      </c>
    </row>
    <row r="263" spans="1:4" ht="14.25" customHeight="1" x14ac:dyDescent="0.4">
      <c r="A263" s="124" t="s">
        <v>38</v>
      </c>
      <c r="B263" s="13">
        <v>1</v>
      </c>
      <c r="C263" s="125" t="s">
        <v>30</v>
      </c>
      <c r="D263" t="s">
        <v>324</v>
      </c>
    </row>
    <row r="264" spans="1:4" ht="14.25" customHeight="1" x14ac:dyDescent="0.4">
      <c r="A264" s="124" t="s">
        <v>30</v>
      </c>
      <c r="B264" s="13">
        <v>1</v>
      </c>
      <c r="C264" s="125" t="s">
        <v>38</v>
      </c>
      <c r="D264" t="s">
        <v>325</v>
      </c>
    </row>
    <row r="265" spans="1:4" ht="14.25" customHeight="1" x14ac:dyDescent="0.4">
      <c r="A265" s="124" t="s">
        <v>33</v>
      </c>
      <c r="B265" s="13">
        <v>2</v>
      </c>
      <c r="C265" s="125" t="s">
        <v>11</v>
      </c>
      <c r="D265" t="s">
        <v>326</v>
      </c>
    </row>
    <row r="266" spans="1:4" ht="14.25" customHeight="1" x14ac:dyDescent="0.4">
      <c r="A266" s="124" t="s">
        <v>37</v>
      </c>
      <c r="B266" s="13">
        <v>2</v>
      </c>
      <c r="C266" s="125" t="s">
        <v>33</v>
      </c>
      <c r="D266" t="s">
        <v>327</v>
      </c>
    </row>
    <row r="267" spans="1:4" ht="14.25" customHeight="1" x14ac:dyDescent="0.4">
      <c r="A267" s="124" t="s">
        <v>11</v>
      </c>
      <c r="B267" s="13">
        <v>2</v>
      </c>
      <c r="C267" s="125" t="s">
        <v>34</v>
      </c>
      <c r="D267" t="s">
        <v>328</v>
      </c>
    </row>
    <row r="268" spans="1:4" ht="14.25" customHeight="1" x14ac:dyDescent="0.4">
      <c r="A268" s="124" t="s">
        <v>12</v>
      </c>
      <c r="B268" s="13">
        <v>2</v>
      </c>
      <c r="C268" s="125" t="s">
        <v>34</v>
      </c>
      <c r="D268" t="s">
        <v>329</v>
      </c>
    </row>
    <row r="269" spans="1:4" ht="14.25" customHeight="1" x14ac:dyDescent="0.4">
      <c r="A269" s="124" t="s">
        <v>36</v>
      </c>
      <c r="B269" s="13">
        <v>2</v>
      </c>
      <c r="C269" s="125" t="s">
        <v>34</v>
      </c>
      <c r="D269" t="s">
        <v>330</v>
      </c>
    </row>
    <row r="270" spans="1:4" ht="14.25" customHeight="1" x14ac:dyDescent="0.4">
      <c r="A270" s="124" t="s">
        <v>30</v>
      </c>
      <c r="B270" s="13">
        <v>2</v>
      </c>
      <c r="C270" s="125" t="s">
        <v>34</v>
      </c>
      <c r="D270" t="s">
        <v>331</v>
      </c>
    </row>
    <row r="271" spans="1:4" ht="14.25" customHeight="1" x14ac:dyDescent="0.4">
      <c r="A271" s="124" t="s">
        <v>29</v>
      </c>
      <c r="B271" s="13">
        <v>2</v>
      </c>
      <c r="C271" s="125" t="s">
        <v>30</v>
      </c>
      <c r="D271" t="s">
        <v>332</v>
      </c>
    </row>
    <row r="272" spans="1:4" ht="14.25" customHeight="1" x14ac:dyDescent="0.4">
      <c r="A272" s="124" t="s">
        <v>12</v>
      </c>
      <c r="B272" s="13">
        <v>1</v>
      </c>
      <c r="C272" s="125" t="s">
        <v>35</v>
      </c>
      <c r="D272" t="s">
        <v>333</v>
      </c>
    </row>
    <row r="273" spans="1:8" ht="14.25" customHeight="1" x14ac:dyDescent="0.4">
      <c r="A273" s="124" t="s">
        <v>11</v>
      </c>
      <c r="B273" s="13">
        <v>1</v>
      </c>
      <c r="C273" s="125" t="s">
        <v>37</v>
      </c>
      <c r="D273" t="s">
        <v>334</v>
      </c>
      <c r="F273" s="121" t="s">
        <v>38</v>
      </c>
      <c r="G273" s="121">
        <v>5</v>
      </c>
      <c r="H273" s="121" t="s">
        <v>335</v>
      </c>
    </row>
    <row r="274" spans="1:8" ht="14.25" customHeight="1" x14ac:dyDescent="0.4">
      <c r="A274" s="124" t="s">
        <v>37</v>
      </c>
      <c r="B274" s="13">
        <v>1</v>
      </c>
      <c r="C274" s="125" t="s">
        <v>11</v>
      </c>
      <c r="D274" t="s">
        <v>336</v>
      </c>
      <c r="F274" s="123" t="s">
        <v>38</v>
      </c>
      <c r="G274" s="121">
        <v>5</v>
      </c>
      <c r="H274" s="123" t="s">
        <v>335</v>
      </c>
    </row>
    <row r="275" spans="1:8" ht="14.25" customHeight="1" x14ac:dyDescent="0.4">
      <c r="A275" s="124" t="s">
        <v>33</v>
      </c>
      <c r="B275" s="13">
        <v>2</v>
      </c>
      <c r="C275" s="125" t="s">
        <v>11</v>
      </c>
      <c r="D275" t="s">
        <v>337</v>
      </c>
    </row>
    <row r="276" spans="1:8" ht="14.25" customHeight="1" x14ac:dyDescent="0.4">
      <c r="A276" s="124" t="s">
        <v>34</v>
      </c>
      <c r="B276" s="13">
        <v>2</v>
      </c>
      <c r="C276" s="125" t="s">
        <v>33</v>
      </c>
      <c r="D276" t="s">
        <v>338</v>
      </c>
    </row>
    <row r="277" spans="1:8" ht="14.25" customHeight="1" x14ac:dyDescent="0.4">
      <c r="A277" s="124" t="s">
        <v>33</v>
      </c>
      <c r="B277" s="13">
        <v>1</v>
      </c>
      <c r="C277" s="125" t="s">
        <v>34</v>
      </c>
      <c r="D277" t="s">
        <v>339</v>
      </c>
    </row>
    <row r="278" spans="1:8" ht="14.25" customHeight="1" x14ac:dyDescent="0.4">
      <c r="A278" s="124" t="s">
        <v>12</v>
      </c>
      <c r="B278" s="13">
        <v>2</v>
      </c>
      <c r="C278" s="125" t="s">
        <v>29</v>
      </c>
      <c r="D278" t="s">
        <v>340</v>
      </c>
    </row>
    <row r="279" spans="1:8" ht="14.25" customHeight="1" x14ac:dyDescent="0.4">
      <c r="A279" s="124" t="s">
        <v>29</v>
      </c>
      <c r="B279" s="13">
        <v>1</v>
      </c>
      <c r="C279" s="125" t="s">
        <v>12</v>
      </c>
      <c r="D279" t="s">
        <v>341</v>
      </c>
    </row>
    <row r="280" spans="1:8" ht="14.25" customHeight="1" x14ac:dyDescent="0.4">
      <c r="A280" s="124" t="s">
        <v>38</v>
      </c>
      <c r="B280" s="13">
        <v>2</v>
      </c>
      <c r="C280" s="125" t="s">
        <v>37</v>
      </c>
      <c r="D280" t="s">
        <v>342</v>
      </c>
    </row>
    <row r="281" spans="1:8" ht="14.25" customHeight="1" x14ac:dyDescent="0.4">
      <c r="A281" s="124" t="s">
        <v>34</v>
      </c>
      <c r="B281" s="13">
        <v>2</v>
      </c>
      <c r="C281" s="125" t="s">
        <v>30</v>
      </c>
      <c r="D281" t="s">
        <v>343</v>
      </c>
    </row>
    <row r="282" spans="1:8" ht="14.25" customHeight="1" x14ac:dyDescent="0.4">
      <c r="A282" s="124" t="s">
        <v>32</v>
      </c>
      <c r="B282" s="13">
        <v>1</v>
      </c>
      <c r="C282" s="125" t="s">
        <v>28</v>
      </c>
      <c r="D282" t="s">
        <v>344</v>
      </c>
      <c r="E282">
        <v>0</v>
      </c>
    </row>
    <row r="283" spans="1:8" ht="14.25" customHeight="1" x14ac:dyDescent="0.4">
      <c r="A283" s="124" t="s">
        <v>28</v>
      </c>
      <c r="B283" s="13">
        <v>1</v>
      </c>
      <c r="C283" s="125" t="s">
        <v>32</v>
      </c>
      <c r="D283" t="s">
        <v>345</v>
      </c>
    </row>
    <row r="284" spans="1:8" ht="14.25" customHeight="1" x14ac:dyDescent="0.4">
      <c r="A284" s="124" t="s">
        <v>32</v>
      </c>
      <c r="B284" s="13">
        <v>2</v>
      </c>
      <c r="C284" s="125" t="s">
        <v>11</v>
      </c>
      <c r="D284" t="s">
        <v>346</v>
      </c>
    </row>
    <row r="285" spans="1:8" ht="14.25" customHeight="1" x14ac:dyDescent="0.4">
      <c r="A285" s="124" t="s">
        <v>12</v>
      </c>
      <c r="B285" s="13">
        <v>2</v>
      </c>
      <c r="C285" s="125" t="s">
        <v>28</v>
      </c>
      <c r="D285" t="s">
        <v>347</v>
      </c>
    </row>
    <row r="286" spans="1:8" ht="14.25" customHeight="1" x14ac:dyDescent="0.4">
      <c r="A286" s="124" t="s">
        <v>28</v>
      </c>
      <c r="B286" s="13">
        <v>1</v>
      </c>
      <c r="C286" s="125" t="s">
        <v>12</v>
      </c>
      <c r="D286" s="120" t="s">
        <v>348</v>
      </c>
    </row>
    <row r="287" spans="1:8" ht="14.25" customHeight="1" x14ac:dyDescent="0.4">
      <c r="A287" s="12" t="s">
        <v>12</v>
      </c>
      <c r="B287" s="13">
        <v>1</v>
      </c>
      <c r="C287" s="14" t="s">
        <v>37</v>
      </c>
      <c r="D287" t="s">
        <v>349</v>
      </c>
    </row>
    <row r="288" spans="1:8" ht="14.25" customHeight="1" x14ac:dyDescent="0.4">
      <c r="A288" s="12" t="s">
        <v>28</v>
      </c>
      <c r="B288" s="13">
        <v>2</v>
      </c>
      <c r="C288" s="14" t="s">
        <v>37</v>
      </c>
      <c r="D288" t="s">
        <v>350</v>
      </c>
    </row>
    <row r="289" spans="1:5" ht="14.25" customHeight="1" x14ac:dyDescent="0.4">
      <c r="A289" s="12" t="s">
        <v>38</v>
      </c>
      <c r="B289" s="13">
        <v>2</v>
      </c>
      <c r="C289" s="14" t="s">
        <v>28</v>
      </c>
      <c r="D289" t="s">
        <v>351</v>
      </c>
      <c r="E289">
        <v>1</v>
      </c>
    </row>
    <row r="290" spans="1:5" ht="14.25" customHeight="1" x14ac:dyDescent="0.4">
      <c r="A290" s="12" t="s">
        <v>29</v>
      </c>
      <c r="B290" s="13">
        <v>1</v>
      </c>
      <c r="C290" s="14" t="s">
        <v>32</v>
      </c>
      <c r="D290" t="s">
        <v>352</v>
      </c>
    </row>
    <row r="291" spans="1:5" ht="14.25" customHeight="1" x14ac:dyDescent="0.4">
      <c r="A291" s="12" t="s">
        <v>32</v>
      </c>
      <c r="B291" s="13">
        <v>1</v>
      </c>
      <c r="C291" s="14" t="s">
        <v>29</v>
      </c>
      <c r="D291" t="s">
        <v>353</v>
      </c>
    </row>
    <row r="292" spans="1:5" ht="14.25" customHeight="1" x14ac:dyDescent="0.4">
      <c r="A292" s="12" t="s">
        <v>11</v>
      </c>
      <c r="B292" s="13">
        <v>2</v>
      </c>
      <c r="C292" s="14" t="s">
        <v>30</v>
      </c>
      <c r="D292" t="s">
        <v>354</v>
      </c>
    </row>
    <row r="293" spans="1:5" ht="14.25" customHeight="1" x14ac:dyDescent="0.4">
      <c r="A293" s="12" t="s">
        <v>29</v>
      </c>
      <c r="B293" s="13">
        <v>1</v>
      </c>
      <c r="C293" s="14" t="s">
        <v>32</v>
      </c>
      <c r="D293" t="s">
        <v>355</v>
      </c>
    </row>
    <row r="294" spans="1:5" ht="14.25" customHeight="1" x14ac:dyDescent="0.4">
      <c r="A294" s="12" t="s">
        <v>32</v>
      </c>
      <c r="B294" s="13">
        <v>1</v>
      </c>
      <c r="C294" s="14" t="s">
        <v>29</v>
      </c>
      <c r="D294" t="s">
        <v>356</v>
      </c>
    </row>
    <row r="295" spans="1:5" ht="14.25" customHeight="1" x14ac:dyDescent="0.4">
      <c r="A295" s="12" t="s">
        <v>32</v>
      </c>
      <c r="B295" s="13">
        <v>1</v>
      </c>
      <c r="C295" s="14" t="s">
        <v>30</v>
      </c>
      <c r="D295" t="s">
        <v>357</v>
      </c>
    </row>
    <row r="296" spans="1:5" ht="14.25" customHeight="1" x14ac:dyDescent="0.4">
      <c r="A296" s="12" t="s">
        <v>30</v>
      </c>
      <c r="B296" s="13">
        <v>1</v>
      </c>
      <c r="C296" s="14" t="s">
        <v>32</v>
      </c>
      <c r="D296" t="s">
        <v>358</v>
      </c>
    </row>
    <row r="297" spans="1:5" ht="14.25" customHeight="1" x14ac:dyDescent="0.4">
      <c r="A297" s="12" t="s">
        <v>32</v>
      </c>
      <c r="B297" s="13">
        <v>2</v>
      </c>
      <c r="C297" s="14" t="s">
        <v>11</v>
      </c>
      <c r="D297" t="s">
        <v>359</v>
      </c>
    </row>
    <row r="298" spans="1:5" ht="14.25" customHeight="1" x14ac:dyDescent="0.4">
      <c r="A298" s="12" t="s">
        <v>11</v>
      </c>
      <c r="B298" s="13">
        <v>1</v>
      </c>
      <c r="C298" s="14" t="s">
        <v>32</v>
      </c>
      <c r="D298" t="s">
        <v>360</v>
      </c>
    </row>
    <row r="299" spans="1:5" ht="14.25" customHeight="1" x14ac:dyDescent="0.4">
      <c r="A299" s="12" t="s">
        <v>29</v>
      </c>
      <c r="B299" s="13">
        <v>1</v>
      </c>
      <c r="C299" s="14" t="s">
        <v>39</v>
      </c>
      <c r="D299" t="s">
        <v>361</v>
      </c>
    </row>
    <row r="300" spans="1:5" ht="14.25" customHeight="1" x14ac:dyDescent="0.4">
      <c r="A300" s="12" t="s">
        <v>39</v>
      </c>
      <c r="B300" s="13">
        <v>1</v>
      </c>
      <c r="C300" s="14" t="s">
        <v>29</v>
      </c>
      <c r="D300" t="s">
        <v>362</v>
      </c>
    </row>
    <row r="301" spans="1:5" ht="14.25" customHeight="1" x14ac:dyDescent="0.4">
      <c r="A301" s="12" t="s">
        <v>32</v>
      </c>
      <c r="B301" s="13">
        <v>1</v>
      </c>
      <c r="C301" s="14" t="s">
        <v>29</v>
      </c>
      <c r="D301" s="120" t="s">
        <v>363</v>
      </c>
    </row>
    <row r="302" spans="1:5" ht="14.25" customHeight="1" x14ac:dyDescent="0.4">
      <c r="A302" s="12" t="s">
        <v>29</v>
      </c>
      <c r="B302" s="13">
        <v>1</v>
      </c>
      <c r="C302" s="14" t="s">
        <v>32</v>
      </c>
      <c r="D302" t="s">
        <v>364</v>
      </c>
    </row>
    <row r="303" spans="1:5" ht="14.25" customHeight="1" x14ac:dyDescent="0.4">
      <c r="A303" s="12"/>
      <c r="B303" s="13"/>
      <c r="C303" s="14"/>
    </row>
    <row r="304" spans="1:5" ht="14.25" customHeight="1" x14ac:dyDescent="0.4">
      <c r="A304" s="12"/>
      <c r="B304" s="13"/>
      <c r="C304" s="14"/>
    </row>
    <row r="305" spans="1:4" ht="14.25" customHeight="1" x14ac:dyDescent="0.4">
      <c r="A305" s="12"/>
      <c r="B305" s="13"/>
      <c r="C305" s="14"/>
    </row>
    <row r="306" spans="1:4" ht="14.25" customHeight="1" x14ac:dyDescent="0.4">
      <c r="A306" s="12"/>
      <c r="B306" s="13"/>
      <c r="C306" s="14"/>
    </row>
    <row r="307" spans="1:4" ht="14.25" customHeight="1" x14ac:dyDescent="0.4">
      <c r="A307" s="12"/>
      <c r="B307" s="13"/>
      <c r="C307" s="14"/>
    </row>
    <row r="308" spans="1:4" ht="14.25" customHeight="1" x14ac:dyDescent="0.4">
      <c r="A308" s="12"/>
      <c r="B308" s="13"/>
      <c r="C308" s="14"/>
      <c r="D308" s="15"/>
    </row>
    <row r="309" spans="1:4" ht="14.25" customHeight="1" x14ac:dyDescent="0.4">
      <c r="A309" s="12"/>
      <c r="B309" s="13"/>
      <c r="C309" s="14"/>
    </row>
    <row r="310" spans="1:4" ht="14.25" customHeight="1" x14ac:dyDescent="0.4"/>
    <row r="311" spans="1:4" ht="14.25" customHeight="1" x14ac:dyDescent="0.4"/>
    <row r="312" spans="1:4" ht="14.25" customHeight="1" x14ac:dyDescent="0.4"/>
    <row r="313" spans="1:4" ht="14.25" customHeight="1" x14ac:dyDescent="0.4"/>
    <row r="314" spans="1:4" ht="14.25" customHeight="1" x14ac:dyDescent="0.4"/>
    <row r="315" spans="1:4" ht="14.25" customHeight="1" x14ac:dyDescent="0.4"/>
    <row r="316" spans="1:4" ht="14.25" customHeight="1" x14ac:dyDescent="0.4"/>
    <row r="317" spans="1:4" ht="14.25" customHeight="1" x14ac:dyDescent="0.4"/>
    <row r="318" spans="1:4" ht="14.25" customHeight="1" x14ac:dyDescent="0.4"/>
    <row r="319" spans="1:4" ht="14.25" customHeight="1" x14ac:dyDescent="0.4"/>
    <row r="320" spans="1:4" ht="14.25" customHeight="1" x14ac:dyDescent="0.4"/>
    <row r="321" ht="14.25" customHeight="1" x14ac:dyDescent="0.4"/>
    <row r="322" ht="14.25" customHeight="1" x14ac:dyDescent="0.4"/>
    <row r="323" ht="14.25" customHeight="1" x14ac:dyDescent="0.4"/>
    <row r="324" ht="14.25" customHeight="1" x14ac:dyDescent="0.4"/>
    <row r="325" ht="14.25" customHeight="1" x14ac:dyDescent="0.4"/>
    <row r="326" ht="14.25" customHeight="1" x14ac:dyDescent="0.4"/>
    <row r="327" ht="14.25" customHeight="1" x14ac:dyDescent="0.4"/>
    <row r="328" ht="14.25" customHeight="1" x14ac:dyDescent="0.4"/>
    <row r="329" ht="14.25" customHeight="1" x14ac:dyDescent="0.4"/>
    <row r="330" ht="14.25" customHeight="1" x14ac:dyDescent="0.4"/>
    <row r="331" ht="14.25" customHeight="1" x14ac:dyDescent="0.4"/>
    <row r="332" ht="14.25" customHeight="1" x14ac:dyDescent="0.4"/>
    <row r="333" ht="14.25" customHeight="1" x14ac:dyDescent="0.4"/>
    <row r="334" ht="14.25" customHeight="1" x14ac:dyDescent="0.4"/>
    <row r="335" ht="14.25" customHeight="1" x14ac:dyDescent="0.4"/>
    <row r="336" ht="14.25" customHeight="1" x14ac:dyDescent="0.4"/>
    <row r="337" ht="14.25" customHeight="1" x14ac:dyDescent="0.4"/>
    <row r="338" ht="14.25" customHeight="1" x14ac:dyDescent="0.4"/>
    <row r="339" ht="14.25" customHeight="1" x14ac:dyDescent="0.4"/>
    <row r="340" ht="14.25" customHeight="1" x14ac:dyDescent="0.4"/>
    <row r="341" ht="14.25" customHeight="1" x14ac:dyDescent="0.4"/>
    <row r="342" ht="14.25" customHeight="1" x14ac:dyDescent="0.4"/>
    <row r="343" ht="14.25" customHeight="1" x14ac:dyDescent="0.4"/>
    <row r="344" ht="14.25" customHeight="1" x14ac:dyDescent="0.4"/>
    <row r="345" ht="14.25" customHeight="1" x14ac:dyDescent="0.4"/>
    <row r="346" ht="14.25" customHeight="1" x14ac:dyDescent="0.4"/>
    <row r="347" ht="14.25" customHeight="1" x14ac:dyDescent="0.4"/>
    <row r="348" ht="14.25" customHeight="1" x14ac:dyDescent="0.4"/>
    <row r="349" ht="14.25" customHeight="1" x14ac:dyDescent="0.4"/>
    <row r="350" ht="14.25" customHeight="1" x14ac:dyDescent="0.4"/>
    <row r="351" ht="14.25" customHeight="1" x14ac:dyDescent="0.4"/>
    <row r="352" ht="14.25" customHeight="1" x14ac:dyDescent="0.4"/>
    <row r="353" ht="14.25" customHeight="1" x14ac:dyDescent="0.4"/>
    <row r="354" ht="14.25" customHeight="1" x14ac:dyDescent="0.4"/>
    <row r="355" ht="14.25" customHeight="1" x14ac:dyDescent="0.4"/>
    <row r="356" ht="14.25" customHeight="1" x14ac:dyDescent="0.4"/>
    <row r="357" ht="14.25" customHeight="1" x14ac:dyDescent="0.4"/>
    <row r="358" ht="14.25" customHeight="1" x14ac:dyDescent="0.4"/>
    <row r="359" ht="14.25" customHeight="1" x14ac:dyDescent="0.4"/>
    <row r="360" ht="14.25" customHeight="1" x14ac:dyDescent="0.4"/>
    <row r="361" ht="14.25" customHeight="1" x14ac:dyDescent="0.4"/>
    <row r="362" ht="14.25" customHeight="1" x14ac:dyDescent="0.4"/>
    <row r="363" ht="14.25" customHeight="1" x14ac:dyDescent="0.4"/>
    <row r="364" ht="14.25" customHeight="1" x14ac:dyDescent="0.4"/>
    <row r="365" ht="14.25" customHeight="1" x14ac:dyDescent="0.4"/>
    <row r="366" ht="14.25" customHeight="1" x14ac:dyDescent="0.4"/>
    <row r="367" ht="14.25" customHeight="1" x14ac:dyDescent="0.4"/>
    <row r="368" ht="14.25" customHeight="1" x14ac:dyDescent="0.4"/>
    <row r="369" ht="14.25" customHeight="1" x14ac:dyDescent="0.4"/>
    <row r="370" ht="14.25" customHeight="1" x14ac:dyDescent="0.4"/>
    <row r="371" ht="14.25" customHeight="1" x14ac:dyDescent="0.4"/>
    <row r="372" ht="14.25" customHeight="1" x14ac:dyDescent="0.4"/>
    <row r="373" ht="14.25" customHeight="1" x14ac:dyDescent="0.4"/>
    <row r="374" ht="14.25" customHeight="1" x14ac:dyDescent="0.4"/>
    <row r="375" ht="14.25" customHeight="1" x14ac:dyDescent="0.4"/>
    <row r="376" ht="14.25" customHeight="1" x14ac:dyDescent="0.4"/>
    <row r="377" ht="14.25" customHeight="1" x14ac:dyDescent="0.4"/>
    <row r="378" ht="14.25" customHeight="1" x14ac:dyDescent="0.4"/>
    <row r="379" ht="14.25" customHeight="1" x14ac:dyDescent="0.4"/>
    <row r="380" ht="14.25" customHeight="1" x14ac:dyDescent="0.4"/>
    <row r="381" ht="14.25" customHeight="1" x14ac:dyDescent="0.4"/>
    <row r="382" ht="14.25" customHeight="1" x14ac:dyDescent="0.4"/>
    <row r="383" ht="14.25" customHeight="1" x14ac:dyDescent="0.4"/>
    <row r="384" ht="14.25" customHeight="1" x14ac:dyDescent="0.4"/>
    <row r="385" ht="14.25" customHeight="1" x14ac:dyDescent="0.4"/>
    <row r="386" ht="14.25" customHeight="1" x14ac:dyDescent="0.4"/>
    <row r="387" ht="14.25" customHeight="1" x14ac:dyDescent="0.4"/>
    <row r="388" ht="14.25" customHeight="1" x14ac:dyDescent="0.4"/>
    <row r="389" ht="14.25" customHeight="1" x14ac:dyDescent="0.4"/>
    <row r="390" ht="14.25" customHeight="1" x14ac:dyDescent="0.4"/>
    <row r="391" ht="14.25" customHeight="1" x14ac:dyDescent="0.4"/>
    <row r="392" ht="14.25" customHeight="1" x14ac:dyDescent="0.4"/>
    <row r="393" ht="14.25" customHeight="1" x14ac:dyDescent="0.4"/>
    <row r="394" ht="14.25" customHeight="1" x14ac:dyDescent="0.4"/>
    <row r="395" ht="14.25" customHeight="1" x14ac:dyDescent="0.4"/>
    <row r="396" ht="14.25" customHeight="1" x14ac:dyDescent="0.4"/>
    <row r="397" ht="14.25" customHeight="1" x14ac:dyDescent="0.4"/>
    <row r="398" ht="14.25" customHeight="1" x14ac:dyDescent="0.4"/>
    <row r="399" ht="14.25" customHeight="1" x14ac:dyDescent="0.4"/>
    <row r="400" ht="14.25" customHeight="1" x14ac:dyDescent="0.4"/>
    <row r="401" ht="14.25" customHeight="1" x14ac:dyDescent="0.4"/>
    <row r="402" ht="14.25" customHeight="1" x14ac:dyDescent="0.4"/>
    <row r="403" ht="14.25" customHeight="1" x14ac:dyDescent="0.4"/>
    <row r="404" ht="14.25" customHeight="1" x14ac:dyDescent="0.4"/>
    <row r="405" ht="14.25" customHeight="1" x14ac:dyDescent="0.4"/>
    <row r="406" ht="14.25" customHeight="1" x14ac:dyDescent="0.4"/>
    <row r="407" ht="14.25" customHeight="1" x14ac:dyDescent="0.4"/>
    <row r="408" ht="14.25" customHeight="1" x14ac:dyDescent="0.4"/>
    <row r="409" ht="14.25" customHeight="1" x14ac:dyDescent="0.4"/>
    <row r="410" ht="14.25" customHeight="1" x14ac:dyDescent="0.4"/>
    <row r="411" ht="14.25" customHeight="1" x14ac:dyDescent="0.4"/>
    <row r="412" ht="14.25" customHeight="1" x14ac:dyDescent="0.4"/>
    <row r="413" ht="14.25" customHeight="1" x14ac:dyDescent="0.4"/>
    <row r="414" ht="14.25" customHeight="1" x14ac:dyDescent="0.4"/>
    <row r="415" ht="14.25" customHeight="1" x14ac:dyDescent="0.4"/>
    <row r="416" ht="14.25" customHeight="1" x14ac:dyDescent="0.4"/>
    <row r="417" ht="14.25" customHeight="1" x14ac:dyDescent="0.4"/>
    <row r="418" ht="14.25" customHeight="1" x14ac:dyDescent="0.4"/>
    <row r="419" ht="14.25" customHeight="1" x14ac:dyDescent="0.4"/>
    <row r="420" ht="14.25" customHeight="1" x14ac:dyDescent="0.4"/>
    <row r="421" ht="14.25" customHeight="1" x14ac:dyDescent="0.4"/>
    <row r="422" ht="14.25" customHeight="1" x14ac:dyDescent="0.4"/>
    <row r="423" ht="14.25" customHeight="1" x14ac:dyDescent="0.4"/>
    <row r="424" ht="14.25" customHeight="1" x14ac:dyDescent="0.4"/>
    <row r="425" ht="14.25" customHeight="1" x14ac:dyDescent="0.4"/>
    <row r="426" ht="14.25" customHeight="1" x14ac:dyDescent="0.4"/>
    <row r="427" ht="14.25" customHeight="1" x14ac:dyDescent="0.4"/>
    <row r="428" ht="14.25" customHeight="1" x14ac:dyDescent="0.4"/>
    <row r="429" ht="14.25" customHeight="1" x14ac:dyDescent="0.4"/>
    <row r="430" ht="14.25" customHeight="1" x14ac:dyDescent="0.4"/>
    <row r="431" ht="14.25" customHeight="1" x14ac:dyDescent="0.4"/>
    <row r="432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mergeCells count="5">
    <mergeCell ref="AN56:AV56"/>
    <mergeCell ref="AN13:AW13"/>
    <mergeCell ref="R1:AJ1"/>
    <mergeCell ref="G1:P1"/>
    <mergeCell ref="G20:O20"/>
  </mergeCells>
  <conditionalFormatting sqref="H22:I2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L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:N2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2:O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3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:AV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9:AW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66:AO6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66:AP7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2:L2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4:AP11 AV4:AV11">
    <cfRule type="cellIs" dxfId="73" priority="19" operator="greaterThan">
      <formula>1</formula>
    </cfRule>
  </conditionalFormatting>
  <conditionalFormatting sqref="H83:H8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3:R8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4:H9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94:R9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05:H10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5:R10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66:AO7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31 AR16:AR31 AU16:AU3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31 AS16:AS31 AV16:AV3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31 AT16:AT31 AW16:AW3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6:AR31">
    <cfRule type="colorScale" priority="32">
      <colorScale>
        <cfvo type="min"/>
        <cfvo type="max"/>
        <color rgb="FFFCFCFF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3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6:AT3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6:AU3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6:AV3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6:AW3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W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6:AX3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6:AP5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4:AK18">
    <cfRule type="colorScale" priority="41">
      <colorScale>
        <cfvo type="min"/>
        <cfvo type="max"/>
        <color rgb="FFFCFCFF"/>
        <color rgb="FF63BE7B"/>
      </colorScale>
    </cfRule>
  </conditionalFormatting>
  <conditionalFormatting sqref="H65:H80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5:R8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7:H62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7:R62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9:H4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:R4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8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8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6:AO5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31">
    <cfRule type="colorScale" priority="59">
      <colorScale>
        <cfvo type="min"/>
        <cfvo type="max"/>
        <color rgb="FFFCFCFF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31">
    <cfRule type="colorScale" priority="61">
      <colorScale>
        <cfvo type="min"/>
        <cfvo type="max"/>
        <color rgb="FFF8696B"/>
        <color rgb="FFFCFCFF"/>
      </colorScale>
    </cfRule>
  </conditionalFormatting>
  <conditionalFormatting sqref="AQ16:AQ31">
    <cfRule type="colorScale" priority="62">
      <colorScale>
        <cfvo type="min"/>
        <cfvo type="max"/>
        <color rgb="FFFCFCFF"/>
        <color rgb="FF63BE7B"/>
      </colorScale>
    </cfRule>
  </conditionalFormatting>
  <conditionalFormatting pivot="1" sqref="S4:AH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S19:AH19">
    <cfRule type="colorScale" priority="3">
      <colorScale>
        <cfvo type="min"/>
        <cfvo type="max"/>
        <color rgb="FFFCFCFF"/>
        <color rgb="FF63BE7B"/>
      </colorScale>
    </cfRule>
  </conditionalFormatting>
  <conditionalFormatting pivot="1" sqref="AI4:AI18">
    <cfRule type="colorScale" priority="2">
      <colorScale>
        <cfvo type="min"/>
        <cfvo type="max"/>
        <color rgb="FFFCFCFF"/>
        <color rgb="FF63BE7B"/>
      </colorScale>
    </cfRule>
  </conditionalFormatting>
  <hyperlinks>
    <hyperlink ref="D21" r:id="rId2" xr:uid="{00000000-0004-0000-0100-000000000000}"/>
    <hyperlink ref="D32" r:id="rId3" xr:uid="{00000000-0004-0000-0100-000001000000}"/>
    <hyperlink ref="D46" r:id="rId4" xr:uid="{00000000-0004-0000-0100-000002000000}"/>
    <hyperlink ref="D152" r:id="rId5" xr:uid="{00000000-0004-0000-0100-000003000000}"/>
    <hyperlink ref="D188" r:id="rId6" xr:uid="{00000000-0004-0000-0100-000004000000}"/>
    <hyperlink ref="D223" r:id="rId7" xr:uid="{00000000-0004-0000-0100-000005000000}"/>
    <hyperlink ref="D286" r:id="rId8" xr:uid="{00000000-0004-0000-0100-000006000000}"/>
    <hyperlink ref="D301" r:id="rId9" xr:uid="{00000000-0004-0000-0100-000007000000}"/>
  </hyperlinks>
  <pageMargins left="0.7" right="0.7" top="0.75" bottom="0.75" header="0" footer="0"/>
  <pageSetup orientation="landscape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S1000"/>
  <sheetViews>
    <sheetView workbookViewId="0"/>
  </sheetViews>
  <sheetFormatPr defaultColWidth="12.61328125" defaultRowHeight="15" customHeight="1" x14ac:dyDescent="0.4"/>
  <cols>
    <col min="1" max="1" width="7.3828125" customWidth="1"/>
    <col min="2" max="2" width="6.61328125" customWidth="1"/>
    <col min="3" max="3" width="7.3828125" customWidth="1"/>
    <col min="4" max="4" width="8.61328125" customWidth="1"/>
    <col min="5" max="5" width="2.23046875" customWidth="1"/>
    <col min="6" max="6" width="8.61328125" customWidth="1"/>
    <col min="7" max="7" width="12.61328125" customWidth="1"/>
    <col min="8" max="9" width="7.23046875" customWidth="1"/>
    <col min="10" max="10" width="5.3828125" customWidth="1"/>
    <col min="11" max="11" width="9.765625" customWidth="1"/>
    <col min="12" max="12" width="12.15234375" customWidth="1"/>
    <col min="13" max="13" width="7" customWidth="1"/>
    <col min="14" max="14" width="8.4609375" customWidth="1"/>
    <col min="15" max="15" width="11" customWidth="1"/>
    <col min="16" max="16" width="13.23046875" customWidth="1"/>
    <col min="17" max="17" width="7.3828125" customWidth="1"/>
    <col min="18" max="18" width="12.23046875" customWidth="1"/>
    <col min="19" max="19" width="5.84375" customWidth="1"/>
    <col min="20" max="20" width="4.84375" customWidth="1"/>
    <col min="21" max="21" width="6.765625" customWidth="1"/>
    <col min="22" max="22" width="5.61328125" customWidth="1"/>
    <col min="23" max="23" width="6.84375" customWidth="1"/>
    <col min="24" max="24" width="7.23046875" customWidth="1"/>
    <col min="25" max="25" width="5.15234375" customWidth="1"/>
    <col min="26" max="26" width="5.23046875" customWidth="1"/>
    <col min="27" max="27" width="6.84375" customWidth="1"/>
    <col min="28" max="28" width="6.15234375" customWidth="1"/>
    <col min="29" max="29" width="7.765625" customWidth="1"/>
    <col min="30" max="30" width="4.4609375" customWidth="1"/>
    <col min="31" max="32" width="10.4609375" customWidth="1"/>
    <col min="33" max="33" width="6.4609375" customWidth="1"/>
    <col min="34" max="34" width="8.84375" customWidth="1"/>
    <col min="35" max="35" width="12.61328125" customWidth="1"/>
    <col min="36" max="36" width="8.23046875" customWidth="1"/>
    <col min="37" max="37" width="8.4609375" customWidth="1"/>
    <col min="38" max="38" width="7.15234375" customWidth="1"/>
    <col min="39" max="39" width="9.23046875" customWidth="1"/>
    <col min="40" max="40" width="13.765625" customWidth="1"/>
    <col min="41" max="41" width="7" customWidth="1"/>
    <col min="42" max="42" width="8.15234375" customWidth="1"/>
    <col min="43" max="43" width="10.765625" customWidth="1"/>
    <col min="44" max="44" width="11.84375" customWidth="1"/>
    <col min="45" max="45" width="8.15234375" customWidth="1"/>
  </cols>
  <sheetData>
    <row r="1" spans="1:45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1" t="s">
        <v>4</v>
      </c>
      <c r="H1" s="132"/>
      <c r="I1" s="132"/>
      <c r="J1" s="132"/>
      <c r="K1" s="132"/>
      <c r="L1" s="132"/>
      <c r="M1" s="132"/>
      <c r="N1" s="132"/>
      <c r="O1" s="132"/>
      <c r="P1" s="133"/>
      <c r="Q1" s="5"/>
      <c r="R1" s="136" t="s">
        <v>5</v>
      </c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8"/>
      <c r="AK1" s="7" t="s">
        <v>6</v>
      </c>
      <c r="AL1" s="8" t="s">
        <v>7</v>
      </c>
      <c r="AM1" s="9" t="s">
        <v>8</v>
      </c>
      <c r="AN1" s="10" t="s">
        <v>9</v>
      </c>
      <c r="AO1" s="11" t="s">
        <v>8</v>
      </c>
      <c r="AP1" s="8" t="s">
        <v>10</v>
      </c>
      <c r="AQ1" s="7" t="s">
        <v>6</v>
      </c>
    </row>
    <row r="2" spans="1:45" ht="14.25" customHeight="1" x14ac:dyDescent="0.4">
      <c r="A2" s="12" t="s">
        <v>36</v>
      </c>
      <c r="B2" s="13">
        <v>1</v>
      </c>
      <c r="C2" s="14" t="s">
        <v>41</v>
      </c>
      <c r="D2" s="15" t="s">
        <v>369</v>
      </c>
      <c r="E2" s="4"/>
      <c r="F2" s="16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5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4"/>
      <c r="AG2" s="21" t="s">
        <v>25</v>
      </c>
      <c r="AK2" s="22"/>
      <c r="AL2" s="23"/>
      <c r="AM2" s="24">
        <f>COUNT(B$1:B$155)</f>
        <v>74</v>
      </c>
      <c r="AN2" s="25" t="s">
        <v>26</v>
      </c>
      <c r="AO2" s="24">
        <f>COUNT(B$1:B$155)</f>
        <v>74</v>
      </c>
      <c r="AP2" s="22"/>
      <c r="AQ2" s="22"/>
    </row>
    <row r="3" spans="1:45" ht="14.25" customHeight="1" x14ac:dyDescent="0.4">
      <c r="A3" s="12" t="s">
        <v>41</v>
      </c>
      <c r="B3" s="13">
        <v>1</v>
      </c>
      <c r="C3" s="14" t="s">
        <v>36</v>
      </c>
      <c r="D3" s="15" t="s">
        <v>370</v>
      </c>
      <c r="E3" s="4"/>
      <c r="F3" s="26"/>
      <c r="G3" s="27" t="s">
        <v>28</v>
      </c>
      <c r="H3" s="28">
        <f t="shared" ref="H3:H13" si="0">COUNTIF($A:$A,G3)</f>
        <v>3</v>
      </c>
      <c r="I3" s="28">
        <f t="shared" ref="I3:I13" si="1">COUNTIF($C:$C,G3)</f>
        <v>4</v>
      </c>
      <c r="J3" s="29">
        <f t="shared" ref="J3:J13" si="2">IF(I3,H3/I3,H3)</f>
        <v>0.75</v>
      </c>
      <c r="K3" s="28">
        <f t="shared" ref="K3:K13" si="3">IFERROR(GETPIVOTDATA("Points",$R$2,"Sniper",G3),0)</f>
        <v>4</v>
      </c>
      <c r="L3" s="28">
        <f t="shared" ref="L3:L13" si="4">IFERROR(GETPIVOTDATA("Points",$R$2,"Snipee",G3),0)</f>
        <v>5</v>
      </c>
      <c r="M3" s="75">
        <f t="shared" ref="M3:M13" si="5">IF(L3,K3/L3,K3)</f>
        <v>0.8</v>
      </c>
      <c r="N3" s="29">
        <f t="shared" ref="N3:N13" si="6">IF(H3,K3/H3,0)</f>
        <v>1.3333333333333333</v>
      </c>
      <c r="O3" s="29">
        <f t="shared" ref="O3:O13" si="7">IF(I3,L3/I3,0)</f>
        <v>1.25</v>
      </c>
      <c r="P3" s="76">
        <f t="shared" ref="P3:P13" si="8">IFERROR(VLOOKUP(G3,R:AG,16,FALSE)/10,0)</f>
        <v>0.2</v>
      </c>
      <c r="Q3" s="5"/>
      <c r="R3" s="112" t="s">
        <v>0</v>
      </c>
      <c r="S3" s="115" t="s">
        <v>33</v>
      </c>
      <c r="T3" s="116" t="s">
        <v>31</v>
      </c>
      <c r="U3" s="116" t="s">
        <v>335</v>
      </c>
      <c r="V3" s="116" t="s">
        <v>12</v>
      </c>
      <c r="W3" s="116" t="s">
        <v>38</v>
      </c>
      <c r="X3" s="116" t="s">
        <v>35</v>
      </c>
      <c r="Y3" s="116" t="s">
        <v>37</v>
      </c>
      <c r="Z3" s="116" t="s">
        <v>41</v>
      </c>
      <c r="AA3" s="116" t="s">
        <v>39</v>
      </c>
      <c r="AB3" s="116" t="s">
        <v>36</v>
      </c>
      <c r="AC3" s="116" t="s">
        <v>28</v>
      </c>
      <c r="AD3" s="116" t="s">
        <v>40</v>
      </c>
      <c r="AE3" s="117" t="s">
        <v>42</v>
      </c>
      <c r="AG3" s="21" t="s">
        <v>15</v>
      </c>
      <c r="AK3" s="22"/>
      <c r="AL3" s="22"/>
      <c r="AM3" s="32">
        <f>IFERROR(GETPIVOTDATA("Points",R2),0)</f>
        <v>113</v>
      </c>
      <c r="AN3" s="33" t="s">
        <v>43</v>
      </c>
      <c r="AO3" s="32">
        <f>IFERROR(GETPIVOTDATA("Points",R2),0)</f>
        <v>113</v>
      </c>
      <c r="AP3" s="22"/>
      <c r="AQ3" s="22"/>
    </row>
    <row r="4" spans="1:45" ht="14.25" customHeight="1" x14ac:dyDescent="0.4">
      <c r="A4" s="12" t="s">
        <v>12</v>
      </c>
      <c r="B4" s="13">
        <v>1</v>
      </c>
      <c r="C4" s="14" t="s">
        <v>37</v>
      </c>
      <c r="D4" s="15" t="s">
        <v>371</v>
      </c>
      <c r="E4" s="4"/>
      <c r="F4" s="26"/>
      <c r="G4" s="27" t="s">
        <v>33</v>
      </c>
      <c r="H4" s="28">
        <f t="shared" si="0"/>
        <v>3</v>
      </c>
      <c r="I4" s="28">
        <f t="shared" si="1"/>
        <v>12</v>
      </c>
      <c r="J4" s="29">
        <f t="shared" si="2"/>
        <v>0.25</v>
      </c>
      <c r="K4" s="28">
        <f t="shared" si="3"/>
        <v>3</v>
      </c>
      <c r="L4" s="28">
        <f t="shared" si="4"/>
        <v>20</v>
      </c>
      <c r="M4" s="75">
        <f t="shared" si="5"/>
        <v>0.15</v>
      </c>
      <c r="N4" s="29">
        <f t="shared" si="6"/>
        <v>1</v>
      </c>
      <c r="O4" s="29">
        <f t="shared" si="7"/>
        <v>1.6666666666666667</v>
      </c>
      <c r="P4" s="76">
        <f t="shared" si="8"/>
        <v>0.2</v>
      </c>
      <c r="Q4" s="5"/>
      <c r="R4" s="115" t="s">
        <v>12</v>
      </c>
      <c r="S4" s="145">
        <v>2</v>
      </c>
      <c r="T4" s="146">
        <v>7</v>
      </c>
      <c r="U4" s="146"/>
      <c r="V4" s="146"/>
      <c r="W4" s="146">
        <v>1</v>
      </c>
      <c r="X4" s="146">
        <v>5</v>
      </c>
      <c r="Y4" s="146">
        <v>4</v>
      </c>
      <c r="Z4" s="146"/>
      <c r="AA4" s="146">
        <v>4</v>
      </c>
      <c r="AB4" s="146">
        <v>2</v>
      </c>
      <c r="AC4" s="146"/>
      <c r="AD4" s="146">
        <v>3</v>
      </c>
      <c r="AE4" s="147">
        <v>28</v>
      </c>
      <c r="AG4" s="21">
        <f t="shared" ref="AG4:AG15" si="9">IF(COUNT(S4:AF4)&lt;&gt;0,COUNT(S4:AF4)-1,"")</f>
        <v>8</v>
      </c>
      <c r="AK4" s="35">
        <f ca="1">COUNTIF(H3:H12,AM4)</f>
        <v>0</v>
      </c>
      <c r="AL4" s="36" t="str">
        <f>$G$26</f>
        <v>Ethan</v>
      </c>
      <c r="AM4" s="32" t="e">
        <f ca="1">Maxine(H3:H12)</f>
        <v>#NAME?</v>
      </c>
      <c r="AN4" s="33" t="s">
        <v>45</v>
      </c>
      <c r="AO4" s="37" t="e">
        <f ca="1">Maxine(H17:H20)</f>
        <v>#NAME?</v>
      </c>
      <c r="AP4" s="38" t="str">
        <f>$G$77</f>
        <v>Baris</v>
      </c>
      <c r="AQ4" s="35">
        <f ca="1">COUNTIF(H17:H20,AO4)</f>
        <v>0</v>
      </c>
    </row>
    <row r="5" spans="1:45" ht="14.25" customHeight="1" x14ac:dyDescent="0.4">
      <c r="A5" s="12" t="s">
        <v>40</v>
      </c>
      <c r="B5" s="13">
        <v>1</v>
      </c>
      <c r="C5" s="14" t="s">
        <v>35</v>
      </c>
      <c r="D5" s="15" t="s">
        <v>372</v>
      </c>
      <c r="F5" s="26"/>
      <c r="G5" s="27" t="s">
        <v>41</v>
      </c>
      <c r="H5" s="28">
        <f t="shared" si="0"/>
        <v>3</v>
      </c>
      <c r="I5" s="28">
        <f t="shared" si="1"/>
        <v>5</v>
      </c>
      <c r="J5" s="29">
        <f t="shared" si="2"/>
        <v>0.6</v>
      </c>
      <c r="K5" s="28">
        <f t="shared" si="3"/>
        <v>4</v>
      </c>
      <c r="L5" s="28">
        <f t="shared" si="4"/>
        <v>6</v>
      </c>
      <c r="M5" s="75">
        <f t="shared" si="5"/>
        <v>0.66666666666666663</v>
      </c>
      <c r="N5" s="29">
        <f t="shared" si="6"/>
        <v>1.3333333333333333</v>
      </c>
      <c r="O5" s="29">
        <f t="shared" si="7"/>
        <v>1.2</v>
      </c>
      <c r="P5" s="76">
        <f t="shared" si="8"/>
        <v>0.3</v>
      </c>
      <c r="Q5" s="5"/>
      <c r="R5" s="118" t="s">
        <v>38</v>
      </c>
      <c r="S5" s="148">
        <v>7</v>
      </c>
      <c r="T5" s="149">
        <v>1</v>
      </c>
      <c r="U5" s="149">
        <v>5</v>
      </c>
      <c r="V5" s="149">
        <v>1</v>
      </c>
      <c r="W5" s="149"/>
      <c r="X5" s="149">
        <v>1</v>
      </c>
      <c r="Y5" s="149"/>
      <c r="Z5" s="149">
        <v>3</v>
      </c>
      <c r="AA5" s="149"/>
      <c r="AB5" s="149">
        <v>1</v>
      </c>
      <c r="AC5" s="149">
        <v>2</v>
      </c>
      <c r="AD5" s="149"/>
      <c r="AE5" s="150">
        <v>21</v>
      </c>
      <c r="AG5" s="21">
        <f t="shared" si="9"/>
        <v>8</v>
      </c>
      <c r="AK5" s="35">
        <f ca="1">COUNTIF(I3:I12,AM5)</f>
        <v>0</v>
      </c>
      <c r="AL5" s="36" t="str">
        <f>$G$42</f>
        <v>Evan</v>
      </c>
      <c r="AM5" s="32" t="e">
        <f ca="1">Maxine(I3:I12)</f>
        <v>#NAME?</v>
      </c>
      <c r="AN5" s="33" t="s">
        <v>47</v>
      </c>
      <c r="AO5" s="37" t="e">
        <f ca="1">Maxine(I17:I20)</f>
        <v>#NAME?</v>
      </c>
      <c r="AP5" s="39" t="str">
        <f>$G$88</f>
        <v>Leads</v>
      </c>
      <c r="AQ5" s="35">
        <f ca="1">COUNTIF(I17:I20,AO5)</f>
        <v>0</v>
      </c>
    </row>
    <row r="6" spans="1:45" ht="14.25" customHeight="1" x14ac:dyDescent="0.4">
      <c r="A6" s="12" t="s">
        <v>28</v>
      </c>
      <c r="B6" s="13">
        <v>2</v>
      </c>
      <c r="C6" s="14" t="s">
        <v>38</v>
      </c>
      <c r="D6" s="15" t="s">
        <v>373</v>
      </c>
      <c r="F6" s="26"/>
      <c r="G6" s="27" t="s">
        <v>38</v>
      </c>
      <c r="H6" s="28">
        <f t="shared" si="0"/>
        <v>13</v>
      </c>
      <c r="I6" s="28">
        <f t="shared" si="1"/>
        <v>7</v>
      </c>
      <c r="J6" s="29">
        <f t="shared" si="2"/>
        <v>1.8571428571428572</v>
      </c>
      <c r="K6" s="28">
        <f t="shared" si="3"/>
        <v>21</v>
      </c>
      <c r="L6" s="28">
        <f t="shared" si="4"/>
        <v>9</v>
      </c>
      <c r="M6" s="75">
        <f t="shared" si="5"/>
        <v>2.3333333333333335</v>
      </c>
      <c r="N6" s="29">
        <f t="shared" si="6"/>
        <v>1.6153846153846154</v>
      </c>
      <c r="O6" s="29">
        <f t="shared" si="7"/>
        <v>1.2857142857142858</v>
      </c>
      <c r="P6" s="76">
        <f t="shared" si="8"/>
        <v>0.8</v>
      </c>
      <c r="Q6" s="5"/>
      <c r="R6" s="118" t="s">
        <v>36</v>
      </c>
      <c r="S6" s="148">
        <v>6</v>
      </c>
      <c r="T6" s="149">
        <v>2</v>
      </c>
      <c r="U6" s="149">
        <v>5</v>
      </c>
      <c r="V6" s="149">
        <v>2</v>
      </c>
      <c r="W6" s="149">
        <v>1</v>
      </c>
      <c r="X6" s="149"/>
      <c r="Y6" s="149"/>
      <c r="Z6" s="149">
        <v>2</v>
      </c>
      <c r="AA6" s="149"/>
      <c r="AB6" s="149"/>
      <c r="AC6" s="149"/>
      <c r="AD6" s="149"/>
      <c r="AE6" s="150">
        <v>18</v>
      </c>
      <c r="AG6" s="21">
        <f t="shared" si="9"/>
        <v>6</v>
      </c>
      <c r="AK6" s="35">
        <f ca="1">COUNTIF(K3:K12,AM6)</f>
        <v>0</v>
      </c>
      <c r="AL6" s="36" t="str">
        <f>$Q$26</f>
        <v>Ethan</v>
      </c>
      <c r="AM6" s="32" t="e">
        <f ca="1">Maxine(K3:K12)</f>
        <v>#NAME?</v>
      </c>
      <c r="AN6" s="33" t="s">
        <v>49</v>
      </c>
      <c r="AO6" s="37" t="e">
        <f ca="1">Maxine(K17:K20)</f>
        <v>#NAME?</v>
      </c>
      <c r="AP6" s="39" t="str">
        <f>$Q$77</f>
        <v>Baris</v>
      </c>
      <c r="AQ6" s="35">
        <f ca="1">COUNTIF(K17:K20,AO6)</f>
        <v>0</v>
      </c>
    </row>
    <row r="7" spans="1:45" ht="14.25" customHeight="1" x14ac:dyDescent="0.4">
      <c r="A7" s="12" t="s">
        <v>38</v>
      </c>
      <c r="B7" s="13">
        <v>1</v>
      </c>
      <c r="C7" s="14" t="s">
        <v>28</v>
      </c>
      <c r="D7" s="15" t="s">
        <v>374</v>
      </c>
      <c r="E7" s="52">
        <v>1</v>
      </c>
      <c r="F7" s="26"/>
      <c r="G7" s="27" t="s">
        <v>31</v>
      </c>
      <c r="H7" s="28">
        <f t="shared" si="0"/>
        <v>10</v>
      </c>
      <c r="I7" s="28">
        <f t="shared" si="1"/>
        <v>13</v>
      </c>
      <c r="J7" s="29">
        <f t="shared" si="2"/>
        <v>0.76923076923076927</v>
      </c>
      <c r="K7" s="28">
        <f t="shared" si="3"/>
        <v>13</v>
      </c>
      <c r="L7" s="28">
        <f t="shared" si="4"/>
        <v>19</v>
      </c>
      <c r="M7" s="75">
        <f t="shared" si="5"/>
        <v>0.68421052631578949</v>
      </c>
      <c r="N7" s="29">
        <f t="shared" si="6"/>
        <v>1.3</v>
      </c>
      <c r="O7" s="29">
        <f t="shared" si="7"/>
        <v>1.4615384615384615</v>
      </c>
      <c r="P7" s="76">
        <f t="shared" si="8"/>
        <v>0.5</v>
      </c>
      <c r="Q7" s="5"/>
      <c r="R7" s="118" t="s">
        <v>31</v>
      </c>
      <c r="S7" s="148">
        <v>5</v>
      </c>
      <c r="T7" s="149"/>
      <c r="U7" s="149"/>
      <c r="V7" s="149">
        <v>2</v>
      </c>
      <c r="W7" s="149">
        <v>1</v>
      </c>
      <c r="X7" s="149"/>
      <c r="Y7" s="149">
        <v>3</v>
      </c>
      <c r="Z7" s="149"/>
      <c r="AA7" s="149">
        <v>2</v>
      </c>
      <c r="AB7" s="149"/>
      <c r="AC7" s="149"/>
      <c r="AD7" s="149"/>
      <c r="AE7" s="150">
        <v>13</v>
      </c>
      <c r="AG7" s="21">
        <f t="shared" si="9"/>
        <v>5</v>
      </c>
      <c r="AK7" s="35">
        <f ca="1">COUNTIF(L3:L12,AM7)</f>
        <v>0</v>
      </c>
      <c r="AL7" s="36" t="str">
        <f>$Q$42</f>
        <v>Grady</v>
      </c>
      <c r="AM7" s="32" t="e">
        <f ca="1">Maxine(L3:L12)</f>
        <v>#NAME?</v>
      </c>
      <c r="AN7" s="33" t="s">
        <v>51</v>
      </c>
      <c r="AO7" s="37" t="e">
        <f ca="1">Maxine(L17:L20)</f>
        <v>#NAME?</v>
      </c>
      <c r="AP7" s="39" t="str">
        <f>$Q$88</f>
        <v>Tenors</v>
      </c>
      <c r="AQ7" s="35">
        <f ca="1">COUNTIF(L17:L20,AO7)</f>
        <v>0</v>
      </c>
    </row>
    <row r="8" spans="1:45" ht="14.25" customHeight="1" x14ac:dyDescent="0.4">
      <c r="A8" s="12" t="s">
        <v>31</v>
      </c>
      <c r="B8" s="13">
        <v>2</v>
      </c>
      <c r="C8" s="14" t="s">
        <v>37</v>
      </c>
      <c r="D8" s="15" t="s">
        <v>375</v>
      </c>
      <c r="F8" s="26"/>
      <c r="G8" s="27" t="s">
        <v>12</v>
      </c>
      <c r="H8" s="28">
        <f t="shared" si="0"/>
        <v>18</v>
      </c>
      <c r="I8" s="28">
        <f t="shared" si="1"/>
        <v>8</v>
      </c>
      <c r="J8" s="29">
        <f t="shared" si="2"/>
        <v>2.25</v>
      </c>
      <c r="K8" s="28">
        <f t="shared" si="3"/>
        <v>28</v>
      </c>
      <c r="L8" s="28">
        <f t="shared" si="4"/>
        <v>10</v>
      </c>
      <c r="M8" s="75">
        <f t="shared" si="5"/>
        <v>2.8</v>
      </c>
      <c r="N8" s="29">
        <f t="shared" si="6"/>
        <v>1.5555555555555556</v>
      </c>
      <c r="O8" s="29">
        <f t="shared" si="7"/>
        <v>1.25</v>
      </c>
      <c r="P8" s="76">
        <f t="shared" si="8"/>
        <v>0.8</v>
      </c>
      <c r="Q8" s="5"/>
      <c r="R8" s="118" t="s">
        <v>39</v>
      </c>
      <c r="S8" s="148"/>
      <c r="T8" s="149">
        <v>6</v>
      </c>
      <c r="U8" s="149"/>
      <c r="V8" s="149">
        <v>4</v>
      </c>
      <c r="W8" s="149"/>
      <c r="X8" s="149"/>
      <c r="Y8" s="149"/>
      <c r="Z8" s="149">
        <v>1</v>
      </c>
      <c r="AA8" s="149"/>
      <c r="AB8" s="149"/>
      <c r="AC8" s="149"/>
      <c r="AD8" s="149"/>
      <c r="AE8" s="150">
        <v>11</v>
      </c>
      <c r="AG8" s="21">
        <f t="shared" si="9"/>
        <v>3</v>
      </c>
      <c r="AK8" s="35">
        <f ca="1">COUNTIF(J3:J12,AM8)</f>
        <v>0</v>
      </c>
      <c r="AL8" s="40" t="str">
        <f>$G$58</f>
        <v>Ethan</v>
      </c>
      <c r="AM8" s="37" t="e">
        <f ca="1">Maxine(J3:J12)</f>
        <v>#NAME?</v>
      </c>
      <c r="AN8" s="33" t="s">
        <v>53</v>
      </c>
      <c r="AO8" s="37" t="e">
        <f ca="1">Maxine(J17:J20)</f>
        <v>#NAME?</v>
      </c>
      <c r="AP8" s="39" t="str">
        <f>$G$99</f>
        <v>Baris</v>
      </c>
      <c r="AQ8" s="35">
        <f ca="1">COUNTIF(J17:J20,AO8)</f>
        <v>0</v>
      </c>
    </row>
    <row r="9" spans="1:45" ht="14.25" customHeight="1" x14ac:dyDescent="0.4">
      <c r="A9" s="12" t="s">
        <v>12</v>
      </c>
      <c r="B9" s="13">
        <v>2</v>
      </c>
      <c r="C9" s="14" t="s">
        <v>39</v>
      </c>
      <c r="D9" s="15" t="s">
        <v>376</v>
      </c>
      <c r="F9" s="15"/>
      <c r="G9" s="27" t="s">
        <v>36</v>
      </c>
      <c r="H9" s="28">
        <f t="shared" si="0"/>
        <v>11</v>
      </c>
      <c r="I9" s="28">
        <f t="shared" si="1"/>
        <v>5</v>
      </c>
      <c r="J9" s="29">
        <f t="shared" si="2"/>
        <v>2.2000000000000002</v>
      </c>
      <c r="K9" s="28">
        <f t="shared" si="3"/>
        <v>18</v>
      </c>
      <c r="L9" s="28">
        <f t="shared" si="4"/>
        <v>5</v>
      </c>
      <c r="M9" s="75">
        <f t="shared" si="5"/>
        <v>3.6</v>
      </c>
      <c r="N9" s="29">
        <f t="shared" si="6"/>
        <v>1.6363636363636365</v>
      </c>
      <c r="O9" s="29">
        <f t="shared" si="7"/>
        <v>1</v>
      </c>
      <c r="P9" s="76">
        <f t="shared" si="8"/>
        <v>0.6</v>
      </c>
      <c r="Q9" s="5"/>
      <c r="R9" s="118" t="s">
        <v>40</v>
      </c>
      <c r="S9" s="148"/>
      <c r="T9" s="149"/>
      <c r="U9" s="149">
        <v>5</v>
      </c>
      <c r="V9" s="149">
        <v>1</v>
      </c>
      <c r="W9" s="149">
        <v>2</v>
      </c>
      <c r="X9" s="149">
        <v>1</v>
      </c>
      <c r="Y9" s="149"/>
      <c r="Z9" s="149"/>
      <c r="AA9" s="149"/>
      <c r="AB9" s="149"/>
      <c r="AC9" s="149">
        <v>1</v>
      </c>
      <c r="AD9" s="149"/>
      <c r="AE9" s="150">
        <v>10</v>
      </c>
      <c r="AG9" s="21">
        <f t="shared" si="9"/>
        <v>5</v>
      </c>
      <c r="AK9" s="35">
        <f>COUNTIF(J3:J12,AM9)</f>
        <v>1</v>
      </c>
      <c r="AL9" s="40" t="str">
        <f>$G$68</f>
        <v>Reuben</v>
      </c>
      <c r="AM9" s="37">
        <f>MIN(J3:J12)</f>
        <v>0.2</v>
      </c>
      <c r="AN9" s="33" t="s">
        <v>55</v>
      </c>
      <c r="AO9" s="37">
        <f>MIN(J17:J20)</f>
        <v>0.375</v>
      </c>
      <c r="AP9" s="39" t="str">
        <f>$G$96</f>
        <v>Tenors</v>
      </c>
      <c r="AQ9" s="35">
        <f>COUNTIF(J17:J20,AO9)</f>
        <v>1</v>
      </c>
    </row>
    <row r="10" spans="1:45" ht="14.25" customHeight="1" x14ac:dyDescent="0.4">
      <c r="A10" s="12" t="s">
        <v>38</v>
      </c>
      <c r="B10" s="13">
        <v>1</v>
      </c>
      <c r="C10" s="14" t="s">
        <v>36</v>
      </c>
      <c r="D10" s="15" t="s">
        <v>377</v>
      </c>
      <c r="F10" s="15"/>
      <c r="G10" s="27" t="s">
        <v>39</v>
      </c>
      <c r="H10" s="28">
        <f t="shared" si="0"/>
        <v>7</v>
      </c>
      <c r="I10" s="28">
        <f t="shared" si="1"/>
        <v>4</v>
      </c>
      <c r="J10" s="29">
        <f t="shared" si="2"/>
        <v>1.75</v>
      </c>
      <c r="K10" s="28">
        <f t="shared" si="3"/>
        <v>11</v>
      </c>
      <c r="L10" s="28">
        <f t="shared" si="4"/>
        <v>6</v>
      </c>
      <c r="M10" s="75">
        <f t="shared" si="5"/>
        <v>1.8333333333333333</v>
      </c>
      <c r="N10" s="29">
        <f t="shared" si="6"/>
        <v>1.5714285714285714</v>
      </c>
      <c r="O10" s="29">
        <f t="shared" si="7"/>
        <v>1.5</v>
      </c>
      <c r="P10" s="76">
        <f t="shared" si="8"/>
        <v>0.3</v>
      </c>
      <c r="Q10" s="5"/>
      <c r="R10" s="118" t="s">
        <v>41</v>
      </c>
      <c r="S10" s="148"/>
      <c r="T10" s="149"/>
      <c r="U10" s="149"/>
      <c r="V10" s="149"/>
      <c r="W10" s="149">
        <v>1</v>
      </c>
      <c r="X10" s="149"/>
      <c r="Y10" s="149"/>
      <c r="Z10" s="149"/>
      <c r="AA10" s="149"/>
      <c r="AB10" s="149">
        <v>1</v>
      </c>
      <c r="AC10" s="149">
        <v>2</v>
      </c>
      <c r="AD10" s="149"/>
      <c r="AE10" s="150">
        <v>4</v>
      </c>
      <c r="AG10" s="21">
        <f t="shared" si="9"/>
        <v>3</v>
      </c>
      <c r="AK10" s="35">
        <f ca="1">COUNTIF(M3:M12,AM10)</f>
        <v>0</v>
      </c>
      <c r="AL10" s="40" t="str">
        <f>$Q$58</f>
        <v>Anthony</v>
      </c>
      <c r="AM10" s="37" t="e">
        <f ca="1">Maxine(M3:M12)</f>
        <v>#NAME?</v>
      </c>
      <c r="AN10" s="33" t="s">
        <v>57</v>
      </c>
      <c r="AO10" s="37" t="e">
        <f ca="1">Maxine(M17:M20)</f>
        <v>#NAME?</v>
      </c>
      <c r="AP10" s="39" t="str">
        <f>$Q$99</f>
        <v>Baris</v>
      </c>
      <c r="AQ10" s="35">
        <f ca="1">COUNTIF(M17:M20,AO10)</f>
        <v>0</v>
      </c>
    </row>
    <row r="11" spans="1:45" ht="14.25" customHeight="1" x14ac:dyDescent="0.4">
      <c r="A11" s="12" t="s">
        <v>36</v>
      </c>
      <c r="B11" s="13">
        <v>1</v>
      </c>
      <c r="C11" s="14" t="s">
        <v>38</v>
      </c>
      <c r="D11" s="15" t="s">
        <v>378</v>
      </c>
      <c r="E11" s="4"/>
      <c r="F11" s="26"/>
      <c r="G11" s="27" t="s">
        <v>37</v>
      </c>
      <c r="H11" s="28">
        <f t="shared" si="0"/>
        <v>1</v>
      </c>
      <c r="I11" s="28">
        <f t="shared" si="1"/>
        <v>5</v>
      </c>
      <c r="J11" s="29">
        <f t="shared" si="2"/>
        <v>0.2</v>
      </c>
      <c r="K11" s="28">
        <f t="shared" si="3"/>
        <v>1</v>
      </c>
      <c r="L11" s="28">
        <f t="shared" si="4"/>
        <v>7</v>
      </c>
      <c r="M11" s="75">
        <f t="shared" si="5"/>
        <v>0.14285714285714285</v>
      </c>
      <c r="N11" s="29">
        <f t="shared" si="6"/>
        <v>1</v>
      </c>
      <c r="O11" s="29">
        <f t="shared" si="7"/>
        <v>1.4</v>
      </c>
      <c r="P11" s="76">
        <f t="shared" si="8"/>
        <v>0.1</v>
      </c>
      <c r="Q11" s="5"/>
      <c r="R11" s="118" t="s">
        <v>28</v>
      </c>
      <c r="S11" s="148"/>
      <c r="T11" s="149"/>
      <c r="U11" s="149"/>
      <c r="V11" s="149"/>
      <c r="W11" s="149">
        <v>3</v>
      </c>
      <c r="X11" s="149"/>
      <c r="Y11" s="149"/>
      <c r="Z11" s="149"/>
      <c r="AA11" s="149"/>
      <c r="AB11" s="149"/>
      <c r="AC11" s="149"/>
      <c r="AD11" s="149">
        <v>1</v>
      </c>
      <c r="AE11" s="150">
        <v>4</v>
      </c>
      <c r="AG11" s="21">
        <f t="shared" si="9"/>
        <v>2</v>
      </c>
      <c r="AK11" s="35">
        <f>COUNTIF(M3:M12,AM11)</f>
        <v>1</v>
      </c>
      <c r="AL11" s="40" t="str">
        <f>$Q$68</f>
        <v>Reuben</v>
      </c>
      <c r="AM11" s="37">
        <f>MIN(M3:M12)</f>
        <v>0.14285714285714285</v>
      </c>
      <c r="AN11" s="33" t="s">
        <v>59</v>
      </c>
      <c r="AO11" s="37">
        <f>MIN(M17:M20)</f>
        <v>0.28000000000000003</v>
      </c>
      <c r="AP11" s="39" t="str">
        <f>$Q$96</f>
        <v>Tenors</v>
      </c>
      <c r="AQ11" s="35">
        <f>COUNTIF(M17:M20,AO11)</f>
        <v>1</v>
      </c>
    </row>
    <row r="12" spans="1:45" ht="14.25" customHeight="1" x14ac:dyDescent="0.4">
      <c r="A12" s="12" t="s">
        <v>38</v>
      </c>
      <c r="B12" s="13">
        <v>2</v>
      </c>
      <c r="C12" s="14" t="s">
        <v>33</v>
      </c>
      <c r="D12" s="15" t="s">
        <v>379</v>
      </c>
      <c r="F12" s="26"/>
      <c r="G12" s="27" t="s">
        <v>40</v>
      </c>
      <c r="H12" s="28">
        <f t="shared" si="0"/>
        <v>5</v>
      </c>
      <c r="I12" s="28">
        <f t="shared" si="1"/>
        <v>3</v>
      </c>
      <c r="J12" s="29">
        <f t="shared" si="2"/>
        <v>1.6666666666666667</v>
      </c>
      <c r="K12" s="28">
        <f t="shared" si="3"/>
        <v>10</v>
      </c>
      <c r="L12" s="28">
        <f t="shared" si="4"/>
        <v>4</v>
      </c>
      <c r="M12" s="75">
        <f t="shared" si="5"/>
        <v>2.5</v>
      </c>
      <c r="N12" s="29">
        <f t="shared" si="6"/>
        <v>2</v>
      </c>
      <c r="O12" s="29">
        <f t="shared" si="7"/>
        <v>1.3333333333333333</v>
      </c>
      <c r="P12" s="76">
        <f t="shared" si="8"/>
        <v>0.5</v>
      </c>
      <c r="Q12" s="5"/>
      <c r="R12" s="118" t="s">
        <v>33</v>
      </c>
      <c r="S12" s="148"/>
      <c r="T12" s="149">
        <v>2</v>
      </c>
      <c r="U12" s="149"/>
      <c r="V12" s="149"/>
      <c r="W12" s="149"/>
      <c r="X12" s="149"/>
      <c r="Y12" s="149"/>
      <c r="Z12" s="149"/>
      <c r="AA12" s="149"/>
      <c r="AB12" s="149">
        <v>1</v>
      </c>
      <c r="AC12" s="149"/>
      <c r="AD12" s="149"/>
      <c r="AE12" s="150">
        <v>3</v>
      </c>
      <c r="AG12" s="21">
        <f t="shared" si="9"/>
        <v>2</v>
      </c>
    </row>
    <row r="13" spans="1:45" ht="14.25" customHeight="1" x14ac:dyDescent="0.4">
      <c r="A13" s="12" t="s">
        <v>40</v>
      </c>
      <c r="B13" s="13">
        <v>2</v>
      </c>
      <c r="C13" s="14" t="s">
        <v>38</v>
      </c>
      <c r="D13" s="15" t="s">
        <v>380</v>
      </c>
      <c r="F13" s="26"/>
      <c r="G13" s="27" t="s">
        <v>35</v>
      </c>
      <c r="H13" s="28">
        <f t="shared" si="0"/>
        <v>0</v>
      </c>
      <c r="I13" s="28">
        <f t="shared" si="1"/>
        <v>5</v>
      </c>
      <c r="J13" s="29">
        <f t="shared" si="2"/>
        <v>0</v>
      </c>
      <c r="K13" s="28">
        <f t="shared" si="3"/>
        <v>0</v>
      </c>
      <c r="L13" s="28">
        <f t="shared" si="4"/>
        <v>7</v>
      </c>
      <c r="M13" s="75">
        <f t="shared" si="5"/>
        <v>0</v>
      </c>
      <c r="N13" s="29">
        <f t="shared" si="6"/>
        <v>0</v>
      </c>
      <c r="O13" s="29">
        <f t="shared" si="7"/>
        <v>1.4</v>
      </c>
      <c r="P13" s="76">
        <f t="shared" si="8"/>
        <v>0</v>
      </c>
      <c r="Q13" s="5"/>
      <c r="R13" s="118" t="s">
        <v>37</v>
      </c>
      <c r="S13" s="148"/>
      <c r="T13" s="149">
        <v>1</v>
      </c>
      <c r="U13" s="149"/>
      <c r="V13" s="149"/>
      <c r="W13" s="149"/>
      <c r="X13" s="149"/>
      <c r="Y13" s="149"/>
      <c r="Z13" s="149"/>
      <c r="AA13" s="149"/>
      <c r="AB13" s="149"/>
      <c r="AC13" s="149"/>
      <c r="AD13" s="149"/>
      <c r="AE13" s="150">
        <v>1</v>
      </c>
      <c r="AG13" s="21">
        <f t="shared" si="9"/>
        <v>1</v>
      </c>
      <c r="AI13" s="131" t="s">
        <v>62</v>
      </c>
      <c r="AJ13" s="132"/>
      <c r="AK13" s="132"/>
      <c r="AL13" s="132"/>
      <c r="AM13" s="132"/>
      <c r="AN13" s="132"/>
      <c r="AO13" s="132"/>
      <c r="AP13" s="132"/>
      <c r="AQ13" s="132"/>
      <c r="AR13" s="133"/>
    </row>
    <row r="14" spans="1:45" ht="14.25" customHeight="1" x14ac:dyDescent="0.4">
      <c r="A14" s="12" t="s">
        <v>36</v>
      </c>
      <c r="B14" s="13">
        <v>1</v>
      </c>
      <c r="C14" s="14" t="s">
        <v>33</v>
      </c>
      <c r="D14" s="15" t="s">
        <v>381</v>
      </c>
      <c r="F14" s="26"/>
      <c r="Q14" s="5"/>
      <c r="R14" s="119" t="s">
        <v>42</v>
      </c>
      <c r="S14" s="151">
        <v>20</v>
      </c>
      <c r="T14" s="152">
        <v>19</v>
      </c>
      <c r="U14" s="152">
        <v>15</v>
      </c>
      <c r="V14" s="152">
        <v>10</v>
      </c>
      <c r="W14" s="152">
        <v>9</v>
      </c>
      <c r="X14" s="152">
        <v>7</v>
      </c>
      <c r="Y14" s="152">
        <v>7</v>
      </c>
      <c r="Z14" s="152">
        <v>6</v>
      </c>
      <c r="AA14" s="152">
        <v>6</v>
      </c>
      <c r="AB14" s="152">
        <v>5</v>
      </c>
      <c r="AC14" s="152">
        <v>5</v>
      </c>
      <c r="AD14" s="152">
        <v>4</v>
      </c>
      <c r="AE14" s="153">
        <v>113</v>
      </c>
      <c r="AG14" s="21">
        <f t="shared" si="9"/>
        <v>12</v>
      </c>
      <c r="AI14" s="41" t="s">
        <v>14</v>
      </c>
      <c r="AJ14" s="25" t="s">
        <v>15</v>
      </c>
      <c r="AK14" s="25" t="s">
        <v>16</v>
      </c>
      <c r="AL14" s="25" t="s">
        <v>17</v>
      </c>
      <c r="AM14" s="25" t="s">
        <v>18</v>
      </c>
      <c r="AN14" s="25" t="s">
        <v>19</v>
      </c>
      <c r="AO14" s="25" t="s">
        <v>20</v>
      </c>
      <c r="AP14" s="25" t="s">
        <v>21</v>
      </c>
      <c r="AQ14" s="25" t="s">
        <v>22</v>
      </c>
      <c r="AR14" s="42" t="s">
        <v>23</v>
      </c>
    </row>
    <row r="15" spans="1:45" ht="14.25" customHeight="1" x14ac:dyDescent="0.4">
      <c r="A15" s="12" t="s">
        <v>33</v>
      </c>
      <c r="B15" s="13">
        <v>1</v>
      </c>
      <c r="C15" s="14" t="s">
        <v>31</v>
      </c>
      <c r="D15" s="15" t="s">
        <v>382</v>
      </c>
      <c r="F15" s="26"/>
      <c r="G15" s="131" t="s">
        <v>72</v>
      </c>
      <c r="H15" s="132"/>
      <c r="I15" s="132"/>
      <c r="J15" s="132"/>
      <c r="K15" s="132"/>
      <c r="L15" s="132"/>
      <c r="M15" s="132"/>
      <c r="N15" s="132"/>
      <c r="O15" s="133"/>
      <c r="Q15" s="5"/>
      <c r="AG15" s="21" t="str">
        <f t="shared" si="9"/>
        <v/>
      </c>
      <c r="AI15" s="34" t="s">
        <v>65</v>
      </c>
      <c r="AJ15" s="43">
        <v>7.5</v>
      </c>
      <c r="AK15" s="44">
        <v>-6</v>
      </c>
      <c r="AL15" s="44">
        <v>25</v>
      </c>
      <c r="AM15" s="44">
        <v>8.5</v>
      </c>
      <c r="AN15" s="44">
        <v>-6.5</v>
      </c>
      <c r="AO15" s="44">
        <v>25</v>
      </c>
      <c r="AP15" s="44">
        <v>20</v>
      </c>
      <c r="AQ15" s="44">
        <v>-20</v>
      </c>
      <c r="AR15" s="45">
        <v>250</v>
      </c>
      <c r="AS15" s="33" t="s">
        <v>66</v>
      </c>
    </row>
    <row r="16" spans="1:45" ht="14.25" customHeight="1" x14ac:dyDescent="0.4">
      <c r="A16" s="12" t="s">
        <v>31</v>
      </c>
      <c r="B16" s="13">
        <v>2</v>
      </c>
      <c r="C16" s="14" t="s">
        <v>33</v>
      </c>
      <c r="D16" s="15" t="s">
        <v>383</v>
      </c>
      <c r="F16" s="26"/>
      <c r="G16" s="41" t="s">
        <v>74</v>
      </c>
      <c r="H16" s="25" t="s">
        <v>15</v>
      </c>
      <c r="I16" s="25" t="s">
        <v>16</v>
      </c>
      <c r="J16" s="25" t="s">
        <v>17</v>
      </c>
      <c r="K16" s="25" t="s">
        <v>18</v>
      </c>
      <c r="L16" s="25" t="s">
        <v>19</v>
      </c>
      <c r="M16" s="25" t="s">
        <v>20</v>
      </c>
      <c r="N16" s="18" t="s">
        <v>21</v>
      </c>
      <c r="O16" s="25" t="s">
        <v>22</v>
      </c>
      <c r="Q16" s="46"/>
      <c r="AI16" s="77" t="s">
        <v>28</v>
      </c>
      <c r="AJ16" s="28">
        <f t="shared" ref="AJ16:AJ26" si="10">H3*$AJ$15</f>
        <v>22.5</v>
      </c>
      <c r="AK16" s="47">
        <f t="shared" ref="AK16:AK26" si="11">I3*$AK$15</f>
        <v>-24</v>
      </c>
      <c r="AL16" s="48">
        <f t="shared" ref="AL16:AL26" si="12">J3*$AL$15</f>
        <v>18.75</v>
      </c>
      <c r="AM16" s="78">
        <f t="shared" ref="AM16:AM26" si="13">K3*$AM$15</f>
        <v>34</v>
      </c>
      <c r="AN16" s="78">
        <f t="shared" ref="AN16:AN26" si="14">L3*$AN$15</f>
        <v>-32.5</v>
      </c>
      <c r="AO16" s="79">
        <f t="shared" ref="AO16:AO26" si="15">M3*$AO$15</f>
        <v>20</v>
      </c>
      <c r="AP16" s="48">
        <f t="shared" ref="AP16:AP26" si="16">N3*$AP$15</f>
        <v>26.666666666666664</v>
      </c>
      <c r="AQ16" s="48">
        <f t="shared" ref="AQ16:AQ26" si="17">O3*$AQ$15</f>
        <v>-25</v>
      </c>
      <c r="AR16" s="80">
        <f t="shared" ref="AR16:AR26" si="18">P3*$AR$15</f>
        <v>50</v>
      </c>
      <c r="AS16" s="49">
        <f t="shared" ref="AS16:AS26" si="19">SUM(AJ16:AR16)</f>
        <v>90.416666666666657</v>
      </c>
    </row>
    <row r="17" spans="1:45" ht="14.25" customHeight="1" x14ac:dyDescent="0.4">
      <c r="A17" s="12" t="s">
        <v>12</v>
      </c>
      <c r="B17" s="13">
        <v>2</v>
      </c>
      <c r="C17" s="14" t="s">
        <v>33</v>
      </c>
      <c r="D17" s="15" t="s">
        <v>384</v>
      </c>
      <c r="F17" s="26"/>
      <c r="G17" s="27" t="s">
        <v>76</v>
      </c>
      <c r="H17" s="54">
        <f>SUM(H3:H4)/COUNT(H3:H4)</f>
        <v>3</v>
      </c>
      <c r="I17" s="54">
        <f>SUM(I3:I4)/COUNT(I3:I4)</f>
        <v>8</v>
      </c>
      <c r="J17" s="55">
        <f>IF(I17,H17/I17,H17)</f>
        <v>0.375</v>
      </c>
      <c r="K17" s="54">
        <f>SUM(K3:K4)/COUNT(K3:K4)</f>
        <v>3.5</v>
      </c>
      <c r="L17" s="54">
        <f>SUM(L3:L4)/COUNT(L3:L4)</f>
        <v>12.5</v>
      </c>
      <c r="M17" s="55">
        <f>IF(L17,K17/L17,K17)</f>
        <v>0.28000000000000003</v>
      </c>
      <c r="N17" s="56">
        <f t="shared" ref="N17:O21" si="20">IF(H17,K17/H17,0)</f>
        <v>1.1666666666666667</v>
      </c>
      <c r="O17" s="57">
        <f t="shared" si="20"/>
        <v>1.5625</v>
      </c>
      <c r="AF17" s="51"/>
      <c r="AG17" s="51" t="str">
        <f t="shared" ref="AG17:AG22" si="21">IF(COUNT(S17:AE17)&lt;&gt;0,COUNT(S17:AE17)-1,"")</f>
        <v/>
      </c>
      <c r="AI17" s="27" t="s">
        <v>33</v>
      </c>
      <c r="AJ17" s="28">
        <f t="shared" si="10"/>
        <v>22.5</v>
      </c>
      <c r="AK17" s="47">
        <f t="shared" si="11"/>
        <v>-72</v>
      </c>
      <c r="AL17" s="48">
        <f t="shared" si="12"/>
        <v>6.25</v>
      </c>
      <c r="AM17" s="78">
        <f t="shared" si="13"/>
        <v>25.5</v>
      </c>
      <c r="AN17" s="78">
        <f t="shared" si="14"/>
        <v>-130</v>
      </c>
      <c r="AO17" s="79">
        <f t="shared" si="15"/>
        <v>3.75</v>
      </c>
      <c r="AP17" s="48">
        <f t="shared" si="16"/>
        <v>20</v>
      </c>
      <c r="AQ17" s="48">
        <f t="shared" si="17"/>
        <v>-33.333333333333336</v>
      </c>
      <c r="AR17" s="80">
        <f t="shared" si="18"/>
        <v>50</v>
      </c>
      <c r="AS17" s="49">
        <f t="shared" si="19"/>
        <v>-107.33333333333334</v>
      </c>
    </row>
    <row r="18" spans="1:45" ht="14.25" customHeight="1" x14ac:dyDescent="0.4">
      <c r="A18" s="12" t="s">
        <v>28</v>
      </c>
      <c r="B18" s="13">
        <v>1</v>
      </c>
      <c r="C18" s="14" t="s">
        <v>40</v>
      </c>
      <c r="D18" s="15" t="s">
        <v>385</v>
      </c>
      <c r="F18" s="26"/>
      <c r="G18" s="27" t="s">
        <v>77</v>
      </c>
      <c r="H18" s="54">
        <f>SUM(H5:H7)/COUNT(H5:H7)</f>
        <v>8.6666666666666661</v>
      </c>
      <c r="I18" s="54">
        <f>SUM(I5:I7)/COUNT(I5:I7)</f>
        <v>8.3333333333333339</v>
      </c>
      <c r="J18" s="55">
        <f>IF(I18,H18/I18,H18)</f>
        <v>1.0399999999999998</v>
      </c>
      <c r="K18" s="54">
        <f>SUM(K5:K7)/COUNT(K5:K7)</f>
        <v>12.666666666666666</v>
      </c>
      <c r="L18" s="54">
        <f>SUM(L5:L7)/COUNT(L5:L7)</f>
        <v>11.333333333333334</v>
      </c>
      <c r="M18" s="55">
        <f>IF(L18,K18/L18,K18)</f>
        <v>1.1176470588235292</v>
      </c>
      <c r="N18" s="56">
        <f t="shared" si="20"/>
        <v>1.4615384615384617</v>
      </c>
      <c r="O18" s="57">
        <f t="shared" si="20"/>
        <v>1.3599999999999999</v>
      </c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 t="str">
        <f t="shared" si="21"/>
        <v/>
      </c>
      <c r="AI18" s="27" t="s">
        <v>41</v>
      </c>
      <c r="AJ18" s="28">
        <f t="shared" si="10"/>
        <v>22.5</v>
      </c>
      <c r="AK18" s="47">
        <f t="shared" si="11"/>
        <v>-30</v>
      </c>
      <c r="AL18" s="48">
        <f t="shared" si="12"/>
        <v>15</v>
      </c>
      <c r="AM18" s="78">
        <f t="shared" si="13"/>
        <v>34</v>
      </c>
      <c r="AN18" s="78">
        <f t="shared" si="14"/>
        <v>-39</v>
      </c>
      <c r="AO18" s="79">
        <f t="shared" si="15"/>
        <v>16.666666666666664</v>
      </c>
      <c r="AP18" s="48">
        <f t="shared" si="16"/>
        <v>26.666666666666664</v>
      </c>
      <c r="AQ18" s="48">
        <f t="shared" si="17"/>
        <v>-24</v>
      </c>
      <c r="AR18" s="80">
        <f t="shared" si="18"/>
        <v>75</v>
      </c>
      <c r="AS18" s="49">
        <f t="shared" si="19"/>
        <v>96.833333333333329</v>
      </c>
    </row>
    <row r="19" spans="1:45" ht="14.25" customHeight="1" x14ac:dyDescent="0.4">
      <c r="A19" s="12" t="s">
        <v>40</v>
      </c>
      <c r="B19" s="13">
        <v>1</v>
      </c>
      <c r="C19" s="14" t="s">
        <v>28</v>
      </c>
      <c r="D19" s="15" t="s">
        <v>386</v>
      </c>
      <c r="E19" s="52">
        <v>1</v>
      </c>
      <c r="F19" s="26"/>
      <c r="G19" s="27" t="s">
        <v>79</v>
      </c>
      <c r="H19" s="54">
        <f>SUM(H8:H9)/COUNT(H8:H9)</f>
        <v>14.5</v>
      </c>
      <c r="I19" s="54">
        <f>SUM(I8:I9)/COUNT(I8:I9)</f>
        <v>6.5</v>
      </c>
      <c r="J19" s="55">
        <f>IF(I19,H19/I19,H19)</f>
        <v>2.2307692307692308</v>
      </c>
      <c r="K19" s="54">
        <f>SUM(K8:K9)/COUNT(K8:K9)</f>
        <v>23</v>
      </c>
      <c r="L19" s="54">
        <f>SUM(L8:L9)/COUNT(L8:L9)</f>
        <v>7.5</v>
      </c>
      <c r="M19" s="55">
        <f>IF(L19,K19/L19,K19)</f>
        <v>3.0666666666666669</v>
      </c>
      <c r="N19" s="56">
        <f t="shared" si="20"/>
        <v>1.5862068965517242</v>
      </c>
      <c r="O19" s="57">
        <f t="shared" si="20"/>
        <v>1.1538461538461537</v>
      </c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 t="str">
        <f t="shared" si="21"/>
        <v/>
      </c>
      <c r="AI19" s="27" t="s">
        <v>38</v>
      </c>
      <c r="AJ19" s="28">
        <f t="shared" si="10"/>
        <v>97.5</v>
      </c>
      <c r="AK19" s="47">
        <f t="shared" si="11"/>
        <v>-42</v>
      </c>
      <c r="AL19" s="48">
        <f t="shared" si="12"/>
        <v>46.428571428571431</v>
      </c>
      <c r="AM19" s="78">
        <f t="shared" si="13"/>
        <v>178.5</v>
      </c>
      <c r="AN19" s="78">
        <f t="shared" si="14"/>
        <v>-58.5</v>
      </c>
      <c r="AO19" s="79">
        <f t="shared" si="15"/>
        <v>58.333333333333336</v>
      </c>
      <c r="AP19" s="48">
        <f t="shared" si="16"/>
        <v>32.307692307692307</v>
      </c>
      <c r="AQ19" s="48">
        <f t="shared" si="17"/>
        <v>-25.714285714285715</v>
      </c>
      <c r="AR19" s="80">
        <f t="shared" si="18"/>
        <v>200</v>
      </c>
      <c r="AS19" s="49">
        <f t="shared" si="19"/>
        <v>486.85531135531136</v>
      </c>
    </row>
    <row r="20" spans="1:45" ht="14.25" customHeight="1" x14ac:dyDescent="0.4">
      <c r="A20" s="12" t="s">
        <v>38</v>
      </c>
      <c r="B20" s="13">
        <v>1</v>
      </c>
      <c r="C20" s="14" t="s">
        <v>31</v>
      </c>
      <c r="D20" s="15" t="s">
        <v>387</v>
      </c>
      <c r="F20" s="26"/>
      <c r="G20" s="27" t="s">
        <v>86</v>
      </c>
      <c r="H20" s="54">
        <f>SUM(H10:H13)/COUNT(H10:H13)</f>
        <v>3.25</v>
      </c>
      <c r="I20" s="54">
        <f>SUM(I10:I13)/COUNT(I10:I13)</f>
        <v>4.25</v>
      </c>
      <c r="J20" s="55">
        <f>IF(I20,H20/I20,H20)</f>
        <v>0.76470588235294112</v>
      </c>
      <c r="K20" s="54">
        <f>SUM(K10:K13)/COUNT(K10:K13)</f>
        <v>5.5</v>
      </c>
      <c r="L20" s="54">
        <f>SUM(L10:L13)/COUNT(L10:L13)</f>
        <v>6</v>
      </c>
      <c r="M20" s="55">
        <f>IF(L20,K20/L20,K20)</f>
        <v>0.91666666666666663</v>
      </c>
      <c r="N20" s="56">
        <f t="shared" si="20"/>
        <v>1.6923076923076923</v>
      </c>
      <c r="O20" s="57">
        <f t="shared" si="20"/>
        <v>1.411764705882353</v>
      </c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 t="str">
        <f t="shared" si="21"/>
        <v/>
      </c>
      <c r="AI20" s="27" t="s">
        <v>31</v>
      </c>
      <c r="AJ20" s="28">
        <f t="shared" si="10"/>
        <v>75</v>
      </c>
      <c r="AK20" s="47">
        <f t="shared" si="11"/>
        <v>-78</v>
      </c>
      <c r="AL20" s="48">
        <f t="shared" si="12"/>
        <v>19.230769230769234</v>
      </c>
      <c r="AM20" s="78">
        <f t="shared" si="13"/>
        <v>110.5</v>
      </c>
      <c r="AN20" s="78">
        <f t="shared" si="14"/>
        <v>-123.5</v>
      </c>
      <c r="AO20" s="79">
        <f t="shared" si="15"/>
        <v>17.105263157894736</v>
      </c>
      <c r="AP20" s="48">
        <f t="shared" si="16"/>
        <v>26</v>
      </c>
      <c r="AQ20" s="48">
        <f t="shared" si="17"/>
        <v>-29.23076923076923</v>
      </c>
      <c r="AR20" s="80">
        <f t="shared" si="18"/>
        <v>125</v>
      </c>
      <c r="AS20" s="49">
        <f t="shared" si="19"/>
        <v>142.10526315789474</v>
      </c>
    </row>
    <row r="21" spans="1:45" ht="14.25" customHeight="1" x14ac:dyDescent="0.4">
      <c r="A21" s="12" t="s">
        <v>31</v>
      </c>
      <c r="B21" s="13">
        <v>1</v>
      </c>
      <c r="C21" s="14" t="s">
        <v>37</v>
      </c>
      <c r="D21" s="15" t="s">
        <v>388</v>
      </c>
      <c r="E21" s="4"/>
      <c r="F21" s="26"/>
      <c r="G21" s="64" t="s">
        <v>88</v>
      </c>
      <c r="H21" s="54">
        <f>SUM(H10:H12)/COUNT(H10:H12)</f>
        <v>4.333333333333333</v>
      </c>
      <c r="I21" s="54">
        <f>SUM(I10:I12)/COUNT(I10:I12)</f>
        <v>4</v>
      </c>
      <c r="J21" s="55">
        <f>IF(I21,H21/I21,H21)</f>
        <v>1.0833333333333333</v>
      </c>
      <c r="K21" s="54">
        <f>SUM(K10:K12)/COUNT(K10:K12)</f>
        <v>7.333333333333333</v>
      </c>
      <c r="L21" s="54">
        <f>SUM(L10:L12)/COUNT(L10:L12)</f>
        <v>5.666666666666667</v>
      </c>
      <c r="M21" s="55">
        <f>IF(L21,K21/L21,K21)</f>
        <v>1.2941176470588234</v>
      </c>
      <c r="N21" s="56">
        <f t="shared" si="20"/>
        <v>1.6923076923076923</v>
      </c>
      <c r="O21" s="57">
        <f t="shared" si="20"/>
        <v>1.4166666666666667</v>
      </c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 t="str">
        <f t="shared" si="21"/>
        <v/>
      </c>
      <c r="AI21" s="27" t="s">
        <v>12</v>
      </c>
      <c r="AJ21" s="28">
        <f t="shared" si="10"/>
        <v>135</v>
      </c>
      <c r="AK21" s="47">
        <f t="shared" si="11"/>
        <v>-48</v>
      </c>
      <c r="AL21" s="48">
        <f t="shared" si="12"/>
        <v>56.25</v>
      </c>
      <c r="AM21" s="78">
        <f t="shared" si="13"/>
        <v>238</v>
      </c>
      <c r="AN21" s="78">
        <f t="shared" si="14"/>
        <v>-65</v>
      </c>
      <c r="AO21" s="79">
        <f t="shared" si="15"/>
        <v>70</v>
      </c>
      <c r="AP21" s="48">
        <f t="shared" si="16"/>
        <v>31.111111111111111</v>
      </c>
      <c r="AQ21" s="48">
        <f t="shared" si="17"/>
        <v>-25</v>
      </c>
      <c r="AR21" s="80">
        <f t="shared" si="18"/>
        <v>200</v>
      </c>
      <c r="AS21" s="49">
        <f t="shared" si="19"/>
        <v>592.36111111111109</v>
      </c>
    </row>
    <row r="22" spans="1:45" ht="14.25" customHeight="1" x14ac:dyDescent="0.4">
      <c r="A22" s="12" t="s">
        <v>31</v>
      </c>
      <c r="B22" s="13">
        <v>1</v>
      </c>
      <c r="C22" s="14" t="s">
        <v>38</v>
      </c>
      <c r="D22" s="15" t="s">
        <v>388</v>
      </c>
      <c r="F22" s="15"/>
      <c r="Q22" s="58"/>
      <c r="R22" s="59" t="s">
        <v>80</v>
      </c>
      <c r="S22" s="32" t="s">
        <v>81</v>
      </c>
      <c r="T22" s="60" t="s">
        <v>82</v>
      </c>
      <c r="U22" s="61" t="s">
        <v>83</v>
      </c>
      <c r="V22" s="62" t="s">
        <v>84</v>
      </c>
      <c r="AG22" s="51" t="str">
        <f t="shared" si="21"/>
        <v/>
      </c>
      <c r="AI22" s="27" t="s">
        <v>36</v>
      </c>
      <c r="AJ22" s="28">
        <f t="shared" si="10"/>
        <v>82.5</v>
      </c>
      <c r="AK22" s="47">
        <f t="shared" si="11"/>
        <v>-30</v>
      </c>
      <c r="AL22" s="48">
        <f t="shared" si="12"/>
        <v>55.000000000000007</v>
      </c>
      <c r="AM22" s="78">
        <f t="shared" si="13"/>
        <v>153</v>
      </c>
      <c r="AN22" s="78">
        <f t="shared" si="14"/>
        <v>-32.5</v>
      </c>
      <c r="AO22" s="79">
        <f t="shared" si="15"/>
        <v>90</v>
      </c>
      <c r="AP22" s="48">
        <f t="shared" si="16"/>
        <v>32.727272727272727</v>
      </c>
      <c r="AQ22" s="48">
        <f t="shared" si="17"/>
        <v>-20</v>
      </c>
      <c r="AR22" s="80">
        <f t="shared" si="18"/>
        <v>150</v>
      </c>
      <c r="AS22" s="49">
        <f t="shared" si="19"/>
        <v>480.72727272727275</v>
      </c>
    </row>
    <row r="23" spans="1:45" ht="14.25" customHeight="1" x14ac:dyDescent="0.4">
      <c r="A23" s="12" t="s">
        <v>37</v>
      </c>
      <c r="B23" s="13">
        <v>1</v>
      </c>
      <c r="C23" s="14" t="s">
        <v>31</v>
      </c>
      <c r="D23" s="15" t="s">
        <v>389</v>
      </c>
      <c r="F23" s="26"/>
      <c r="Q23" s="58"/>
      <c r="R23" s="36" t="s">
        <v>87</v>
      </c>
      <c r="S23" s="32">
        <f>COUNT(E:E)</f>
        <v>4</v>
      </c>
      <c r="T23" s="60">
        <f>COUNTIF(E:E,1)</f>
        <v>4</v>
      </c>
      <c r="U23" s="61">
        <f>S23-T23</f>
        <v>0</v>
      </c>
      <c r="V23" s="63">
        <f>IFERROR(T23/S23,0)</f>
        <v>1</v>
      </c>
      <c r="AI23" s="27" t="s">
        <v>39</v>
      </c>
      <c r="AJ23" s="28">
        <f t="shared" si="10"/>
        <v>52.5</v>
      </c>
      <c r="AK23" s="47">
        <f t="shared" si="11"/>
        <v>-24</v>
      </c>
      <c r="AL23" s="48">
        <f t="shared" si="12"/>
        <v>43.75</v>
      </c>
      <c r="AM23" s="78">
        <f t="shared" si="13"/>
        <v>93.5</v>
      </c>
      <c r="AN23" s="78">
        <f t="shared" si="14"/>
        <v>-39</v>
      </c>
      <c r="AO23" s="79">
        <f t="shared" si="15"/>
        <v>45.833333333333329</v>
      </c>
      <c r="AP23" s="48">
        <f t="shared" si="16"/>
        <v>31.428571428571427</v>
      </c>
      <c r="AQ23" s="48">
        <f t="shared" si="17"/>
        <v>-30</v>
      </c>
      <c r="AR23" s="80">
        <f t="shared" si="18"/>
        <v>75</v>
      </c>
      <c r="AS23" s="49">
        <f t="shared" si="19"/>
        <v>249.01190476190473</v>
      </c>
    </row>
    <row r="24" spans="1:45" ht="14.25" customHeight="1" x14ac:dyDescent="0.4">
      <c r="A24" s="12" t="s">
        <v>40</v>
      </c>
      <c r="B24" s="13">
        <v>1</v>
      </c>
      <c r="C24" s="14" t="s">
        <v>12</v>
      </c>
      <c r="D24" s="15" t="s">
        <v>390</v>
      </c>
      <c r="F24" s="15"/>
      <c r="J24" s="53"/>
      <c r="K24" s="53"/>
      <c r="L24" s="53"/>
      <c r="M24" s="31"/>
      <c r="N24" s="31"/>
      <c r="O24" s="31"/>
      <c r="Q24" s="5"/>
      <c r="AD24" s="53"/>
      <c r="AI24" s="27" t="s">
        <v>37</v>
      </c>
      <c r="AJ24" s="28">
        <f t="shared" si="10"/>
        <v>7.5</v>
      </c>
      <c r="AK24" s="47">
        <f t="shared" si="11"/>
        <v>-30</v>
      </c>
      <c r="AL24" s="48">
        <f t="shared" si="12"/>
        <v>5</v>
      </c>
      <c r="AM24" s="78">
        <f t="shared" si="13"/>
        <v>8.5</v>
      </c>
      <c r="AN24" s="78">
        <f t="shared" si="14"/>
        <v>-45.5</v>
      </c>
      <c r="AO24" s="79">
        <f t="shared" si="15"/>
        <v>3.5714285714285712</v>
      </c>
      <c r="AP24" s="48">
        <f t="shared" si="16"/>
        <v>20</v>
      </c>
      <c r="AQ24" s="48">
        <f t="shared" si="17"/>
        <v>-28</v>
      </c>
      <c r="AR24" s="80">
        <f t="shared" si="18"/>
        <v>25</v>
      </c>
      <c r="AS24" s="49">
        <f t="shared" si="19"/>
        <v>-33.928571428571431</v>
      </c>
    </row>
    <row r="25" spans="1:45" ht="14.25" customHeight="1" x14ac:dyDescent="0.4">
      <c r="A25" s="12" t="s">
        <v>12</v>
      </c>
      <c r="B25" s="13">
        <v>1</v>
      </c>
      <c r="C25" s="14" t="s">
        <v>40</v>
      </c>
      <c r="D25" s="15" t="s">
        <v>391</v>
      </c>
      <c r="F25" s="26"/>
      <c r="G25" s="27" t="s">
        <v>14</v>
      </c>
      <c r="H25" s="33" t="s">
        <v>15</v>
      </c>
      <c r="Q25" s="27" t="s">
        <v>14</v>
      </c>
      <c r="R25" s="33" t="s">
        <v>18</v>
      </c>
      <c r="AI25" s="27" t="s">
        <v>40</v>
      </c>
      <c r="AJ25" s="28">
        <f t="shared" si="10"/>
        <v>37.5</v>
      </c>
      <c r="AK25" s="47">
        <f t="shared" si="11"/>
        <v>-18</v>
      </c>
      <c r="AL25" s="48">
        <f t="shared" si="12"/>
        <v>41.666666666666671</v>
      </c>
      <c r="AM25" s="78">
        <f t="shared" si="13"/>
        <v>85</v>
      </c>
      <c r="AN25" s="78">
        <f t="shared" si="14"/>
        <v>-26</v>
      </c>
      <c r="AO25" s="79">
        <f t="shared" si="15"/>
        <v>62.5</v>
      </c>
      <c r="AP25" s="48">
        <f t="shared" si="16"/>
        <v>40</v>
      </c>
      <c r="AQ25" s="48">
        <f t="shared" si="17"/>
        <v>-26.666666666666664</v>
      </c>
      <c r="AR25" s="80">
        <f t="shared" si="18"/>
        <v>125</v>
      </c>
      <c r="AS25" s="49">
        <f t="shared" si="19"/>
        <v>321</v>
      </c>
    </row>
    <row r="26" spans="1:45" ht="14.25" customHeight="1" x14ac:dyDescent="0.4">
      <c r="A26" s="12" t="s">
        <v>12</v>
      </c>
      <c r="B26" s="13">
        <v>2</v>
      </c>
      <c r="C26" s="14" t="s">
        <v>40</v>
      </c>
      <c r="D26" s="15" t="s">
        <v>392</v>
      </c>
      <c r="F26" s="26"/>
      <c r="G26" s="27" t="s">
        <v>12</v>
      </c>
      <c r="H26" s="28">
        <f t="shared" ref="H26:H36" si="22">VLOOKUP(G26,$G$3:$P$13,2,FALSE)</f>
        <v>18</v>
      </c>
      <c r="Q26" s="27" t="s">
        <v>12</v>
      </c>
      <c r="R26" s="28">
        <f t="shared" ref="R26:R36" si="23">VLOOKUP(Q26,$G$3:$P$13,5,FALSE)</f>
        <v>28</v>
      </c>
      <c r="AI26" s="27" t="s">
        <v>35</v>
      </c>
      <c r="AJ26" s="28">
        <f t="shared" si="10"/>
        <v>0</v>
      </c>
      <c r="AK26" s="47">
        <f t="shared" si="11"/>
        <v>-30</v>
      </c>
      <c r="AL26" s="48">
        <f t="shared" si="12"/>
        <v>0</v>
      </c>
      <c r="AM26" s="78">
        <f t="shared" si="13"/>
        <v>0</v>
      </c>
      <c r="AN26" s="78">
        <f t="shared" si="14"/>
        <v>-45.5</v>
      </c>
      <c r="AO26" s="79">
        <f t="shared" si="15"/>
        <v>0</v>
      </c>
      <c r="AP26" s="48">
        <f t="shared" si="16"/>
        <v>0</v>
      </c>
      <c r="AQ26" s="48">
        <f t="shared" si="17"/>
        <v>-28</v>
      </c>
      <c r="AR26" s="80">
        <f t="shared" si="18"/>
        <v>0</v>
      </c>
      <c r="AS26" s="49">
        <f t="shared" si="19"/>
        <v>-103.5</v>
      </c>
    </row>
    <row r="27" spans="1:45" ht="14.25" customHeight="1" x14ac:dyDescent="0.4">
      <c r="A27" s="12" t="s">
        <v>38</v>
      </c>
      <c r="B27" s="13">
        <v>1</v>
      </c>
      <c r="C27" s="14" t="s">
        <v>35</v>
      </c>
      <c r="D27" s="15" t="s">
        <v>393</v>
      </c>
      <c r="F27" s="15"/>
      <c r="G27" s="27" t="s">
        <v>38</v>
      </c>
      <c r="H27" s="28">
        <f t="shared" si="22"/>
        <v>13</v>
      </c>
      <c r="Q27" s="27" t="s">
        <v>38</v>
      </c>
      <c r="R27" s="28">
        <f t="shared" si="23"/>
        <v>21</v>
      </c>
    </row>
    <row r="28" spans="1:45" ht="14.25" customHeight="1" x14ac:dyDescent="0.4">
      <c r="A28" s="12" t="s">
        <v>38</v>
      </c>
      <c r="B28" s="13">
        <v>1</v>
      </c>
      <c r="C28" s="14" t="s">
        <v>28</v>
      </c>
      <c r="D28" s="15" t="s">
        <v>394</v>
      </c>
      <c r="E28" s="52">
        <v>1</v>
      </c>
      <c r="F28" s="26"/>
      <c r="G28" s="27" t="s">
        <v>36</v>
      </c>
      <c r="H28" s="28">
        <f t="shared" si="22"/>
        <v>11</v>
      </c>
      <c r="Q28" s="27" t="s">
        <v>36</v>
      </c>
      <c r="R28" s="28">
        <f t="shared" si="23"/>
        <v>18</v>
      </c>
    </row>
    <row r="29" spans="1:45" ht="14.25" customHeight="1" x14ac:dyDescent="0.4">
      <c r="A29" s="12" t="s">
        <v>28</v>
      </c>
      <c r="B29" s="13">
        <v>1</v>
      </c>
      <c r="C29" s="14" t="s">
        <v>38</v>
      </c>
      <c r="D29" s="15" t="s">
        <v>395</v>
      </c>
      <c r="F29" s="15"/>
      <c r="G29" s="27" t="s">
        <v>31</v>
      </c>
      <c r="H29" s="28">
        <f t="shared" si="22"/>
        <v>10</v>
      </c>
      <c r="Q29" s="27" t="s">
        <v>31</v>
      </c>
      <c r="R29" s="28">
        <f t="shared" si="23"/>
        <v>13</v>
      </c>
    </row>
    <row r="30" spans="1:45" ht="14.25" customHeight="1" x14ac:dyDescent="0.4">
      <c r="A30" s="12" t="s">
        <v>12</v>
      </c>
      <c r="B30" s="13">
        <v>2</v>
      </c>
      <c r="C30" s="14" t="s">
        <v>31</v>
      </c>
      <c r="D30" s="15" t="s">
        <v>396</v>
      </c>
      <c r="F30" s="26"/>
      <c r="G30" s="27" t="s">
        <v>39</v>
      </c>
      <c r="H30" s="28">
        <f t="shared" si="22"/>
        <v>7</v>
      </c>
      <c r="Q30" s="27" t="s">
        <v>39</v>
      </c>
      <c r="R30" s="28">
        <f t="shared" si="23"/>
        <v>11</v>
      </c>
    </row>
    <row r="31" spans="1:45" ht="14.25" customHeight="1" x14ac:dyDescent="0.4">
      <c r="A31" s="12" t="s">
        <v>36</v>
      </c>
      <c r="B31" s="13">
        <v>2</v>
      </c>
      <c r="C31" s="14" t="s">
        <v>33</v>
      </c>
      <c r="D31" s="15" t="s">
        <v>397</v>
      </c>
      <c r="F31" s="26"/>
      <c r="G31" s="27" t="s">
        <v>40</v>
      </c>
      <c r="H31" s="28">
        <f t="shared" si="22"/>
        <v>5</v>
      </c>
      <c r="Q31" s="27" t="s">
        <v>40</v>
      </c>
      <c r="R31" s="28">
        <f t="shared" si="23"/>
        <v>10</v>
      </c>
    </row>
    <row r="32" spans="1:45" ht="14.25" customHeight="1" x14ac:dyDescent="0.4">
      <c r="A32" s="12" t="s">
        <v>12</v>
      </c>
      <c r="B32" s="13">
        <v>1</v>
      </c>
      <c r="C32" s="14" t="s">
        <v>37</v>
      </c>
      <c r="D32" s="15" t="s">
        <v>398</v>
      </c>
      <c r="F32" s="26"/>
      <c r="G32" s="27" t="s">
        <v>28</v>
      </c>
      <c r="H32" s="28">
        <f t="shared" si="22"/>
        <v>3</v>
      </c>
      <c r="Q32" s="27" t="s">
        <v>28</v>
      </c>
      <c r="R32" s="28">
        <f t="shared" si="23"/>
        <v>4</v>
      </c>
      <c r="AI32" s="53"/>
      <c r="AJ32" s="53"/>
      <c r="AK32" s="53"/>
    </row>
    <row r="33" spans="1:38" ht="14.25" customHeight="1" x14ac:dyDescent="0.4">
      <c r="A33" s="12" t="s">
        <v>12</v>
      </c>
      <c r="B33" s="13">
        <v>1</v>
      </c>
      <c r="C33" s="14" t="s">
        <v>31</v>
      </c>
      <c r="D33" s="15" t="s">
        <v>399</v>
      </c>
      <c r="F33" s="26"/>
      <c r="G33" s="27" t="s">
        <v>33</v>
      </c>
      <c r="H33" s="28">
        <f t="shared" si="22"/>
        <v>3</v>
      </c>
      <c r="Q33" s="27" t="s">
        <v>41</v>
      </c>
      <c r="R33" s="28">
        <f t="shared" si="23"/>
        <v>4</v>
      </c>
      <c r="AH33" s="53"/>
      <c r="AI33" s="65" t="s">
        <v>14</v>
      </c>
      <c r="AJ33" s="66" t="s">
        <v>98</v>
      </c>
      <c r="AK33" s="66" t="s">
        <v>99</v>
      </c>
      <c r="AL33" s="53"/>
    </row>
    <row r="34" spans="1:38" ht="14.25" customHeight="1" x14ac:dyDescent="0.4">
      <c r="A34" s="12" t="s">
        <v>31</v>
      </c>
      <c r="B34" s="13">
        <v>1</v>
      </c>
      <c r="C34" s="14" t="s">
        <v>12</v>
      </c>
      <c r="D34" s="15" t="s">
        <v>400</v>
      </c>
      <c r="F34" s="26"/>
      <c r="G34" s="27" t="s">
        <v>41</v>
      </c>
      <c r="H34" s="28">
        <f t="shared" si="22"/>
        <v>3</v>
      </c>
      <c r="Q34" s="27" t="s">
        <v>33</v>
      </c>
      <c r="R34" s="28">
        <f t="shared" si="23"/>
        <v>3</v>
      </c>
      <c r="AH34" s="53"/>
      <c r="AI34" s="77" t="s">
        <v>12</v>
      </c>
      <c r="AJ34" s="49">
        <f>$AS$21</f>
        <v>592.36111111111109</v>
      </c>
      <c r="AK34" s="67">
        <f t="shared" ref="AK34:AK44" si="24">AJ34-$AJ$44</f>
        <v>699.69444444444446</v>
      </c>
      <c r="AL34" s="52">
        <v>1</v>
      </c>
    </row>
    <row r="35" spans="1:38" ht="14.25" customHeight="1" x14ac:dyDescent="0.4">
      <c r="A35" s="12" t="s">
        <v>39</v>
      </c>
      <c r="B35" s="13">
        <v>2</v>
      </c>
      <c r="C35" s="14" t="s">
        <v>31</v>
      </c>
      <c r="D35" s="15" t="s">
        <v>401</v>
      </c>
      <c r="F35" s="15"/>
      <c r="G35" s="27" t="s">
        <v>37</v>
      </c>
      <c r="H35" s="28">
        <f t="shared" si="22"/>
        <v>1</v>
      </c>
      <c r="Q35" s="27" t="s">
        <v>37</v>
      </c>
      <c r="R35" s="28">
        <f t="shared" si="23"/>
        <v>1</v>
      </c>
      <c r="AH35" s="53"/>
      <c r="AI35" s="27" t="s">
        <v>38</v>
      </c>
      <c r="AJ35" s="49">
        <f>$AS$19</f>
        <v>486.85531135531136</v>
      </c>
      <c r="AK35" s="67">
        <f t="shared" si="24"/>
        <v>594.18864468864467</v>
      </c>
      <c r="AL35" s="52">
        <v>2</v>
      </c>
    </row>
    <row r="36" spans="1:38" ht="14.25" customHeight="1" x14ac:dyDescent="0.4">
      <c r="A36" s="12" t="s">
        <v>36</v>
      </c>
      <c r="B36" s="13">
        <v>2</v>
      </c>
      <c r="C36" s="14" t="s">
        <v>31</v>
      </c>
      <c r="D36" s="15" t="s">
        <v>402</v>
      </c>
      <c r="F36" s="26"/>
      <c r="G36" s="27" t="s">
        <v>35</v>
      </c>
      <c r="H36" s="28">
        <f t="shared" si="22"/>
        <v>0</v>
      </c>
      <c r="Q36" s="27" t="s">
        <v>35</v>
      </c>
      <c r="R36" s="28">
        <f t="shared" si="23"/>
        <v>0</v>
      </c>
      <c r="AH36" s="53"/>
      <c r="AI36" s="27" t="s">
        <v>36</v>
      </c>
      <c r="AJ36" s="49">
        <f>$AS$22</f>
        <v>480.72727272727275</v>
      </c>
      <c r="AK36" s="67">
        <f t="shared" si="24"/>
        <v>588.06060606060612</v>
      </c>
      <c r="AL36" s="52">
        <v>3</v>
      </c>
    </row>
    <row r="37" spans="1:38" ht="14.25" customHeight="1" x14ac:dyDescent="0.4">
      <c r="A37" s="12" t="s">
        <v>12</v>
      </c>
      <c r="B37" s="13">
        <v>2</v>
      </c>
      <c r="C37" s="14" t="s">
        <v>35</v>
      </c>
      <c r="D37" s="15" t="s">
        <v>403</v>
      </c>
      <c r="F37" s="15"/>
      <c r="AH37" s="53"/>
      <c r="AI37" s="27" t="s">
        <v>40</v>
      </c>
      <c r="AJ37" s="49">
        <f>$AS$25</f>
        <v>321</v>
      </c>
      <c r="AK37" s="67">
        <f t="shared" si="24"/>
        <v>428.33333333333337</v>
      </c>
      <c r="AL37" s="52">
        <v>4</v>
      </c>
    </row>
    <row r="38" spans="1:38" ht="14.25" customHeight="1" x14ac:dyDescent="0.4">
      <c r="A38" s="12" t="s">
        <v>36</v>
      </c>
      <c r="B38" s="13">
        <v>1</v>
      </c>
      <c r="C38" s="14" t="s">
        <v>12</v>
      </c>
      <c r="D38" s="15" t="s">
        <v>404</v>
      </c>
      <c r="F38" s="26"/>
      <c r="AH38" s="53"/>
      <c r="AI38" s="27" t="s">
        <v>39</v>
      </c>
      <c r="AJ38" s="49">
        <f>$AS$23</f>
        <v>249.01190476190473</v>
      </c>
      <c r="AK38" s="67">
        <f t="shared" si="24"/>
        <v>356.34523809523807</v>
      </c>
      <c r="AL38" s="52">
        <v>5</v>
      </c>
    </row>
    <row r="39" spans="1:38" ht="14.25" customHeight="1" x14ac:dyDescent="0.4">
      <c r="A39" s="12" t="s">
        <v>12</v>
      </c>
      <c r="B39" s="13">
        <v>1</v>
      </c>
      <c r="C39" s="14" t="s">
        <v>36</v>
      </c>
      <c r="D39" s="15" t="s">
        <v>405</v>
      </c>
      <c r="F39" s="26"/>
      <c r="AH39" s="53"/>
      <c r="AI39" s="27" t="s">
        <v>31</v>
      </c>
      <c r="AJ39" s="49">
        <f>$AS$20</f>
        <v>142.10526315789474</v>
      </c>
      <c r="AK39" s="67">
        <f t="shared" si="24"/>
        <v>249.43859649122808</v>
      </c>
      <c r="AL39" s="52">
        <v>6</v>
      </c>
    </row>
    <row r="40" spans="1:38" ht="14.25" customHeight="1" x14ac:dyDescent="0.4">
      <c r="A40" s="12" t="s">
        <v>38</v>
      </c>
      <c r="B40" s="13">
        <v>2</v>
      </c>
      <c r="C40" s="14" t="s">
        <v>33</v>
      </c>
      <c r="D40" s="15" t="s">
        <v>406</v>
      </c>
      <c r="F40" s="26"/>
      <c r="AH40" s="53"/>
      <c r="AI40" s="27" t="s">
        <v>41</v>
      </c>
      <c r="AJ40" s="49">
        <f>$AS$18</f>
        <v>96.833333333333329</v>
      </c>
      <c r="AK40" s="67">
        <f t="shared" si="24"/>
        <v>204.16666666666669</v>
      </c>
      <c r="AL40" s="52">
        <v>7</v>
      </c>
    </row>
    <row r="41" spans="1:38" ht="14.25" customHeight="1" x14ac:dyDescent="0.4">
      <c r="A41" s="12" t="s">
        <v>36</v>
      </c>
      <c r="B41" s="13">
        <v>2</v>
      </c>
      <c r="C41" s="14" t="s">
        <v>33</v>
      </c>
      <c r="D41" s="15" t="s">
        <v>407</v>
      </c>
      <c r="F41" s="15"/>
      <c r="G41" s="27" t="s">
        <v>14</v>
      </c>
      <c r="H41" s="33" t="s">
        <v>16</v>
      </c>
      <c r="Q41" s="27" t="s">
        <v>14</v>
      </c>
      <c r="R41" s="33" t="s">
        <v>19</v>
      </c>
      <c r="AH41" s="53"/>
      <c r="AI41" s="27" t="s">
        <v>28</v>
      </c>
      <c r="AJ41" s="49">
        <f>$AS$16</f>
        <v>90.416666666666657</v>
      </c>
      <c r="AK41" s="67">
        <f t="shared" si="24"/>
        <v>197.75</v>
      </c>
      <c r="AL41" s="52">
        <v>8</v>
      </c>
    </row>
    <row r="42" spans="1:38" ht="14.25" customHeight="1" x14ac:dyDescent="0.4">
      <c r="A42" s="12" t="s">
        <v>12</v>
      </c>
      <c r="B42" s="13">
        <v>1</v>
      </c>
      <c r="C42" s="14" t="s">
        <v>35</v>
      </c>
      <c r="D42" s="15" t="s">
        <v>408</v>
      </c>
      <c r="F42" s="26"/>
      <c r="G42" s="27" t="s">
        <v>31</v>
      </c>
      <c r="H42" s="28">
        <f t="shared" ref="H42:H52" si="25">VLOOKUP(G42,$G$3:$P$13,3,FALSE)</f>
        <v>13</v>
      </c>
      <c r="Q42" s="27" t="s">
        <v>33</v>
      </c>
      <c r="R42" s="28">
        <f t="shared" ref="R42:R52" si="26">VLOOKUP(Q42,$G$3:$P$13,6,FALSE)</f>
        <v>20</v>
      </c>
      <c r="AH42" s="53"/>
      <c r="AI42" s="27" t="s">
        <v>37</v>
      </c>
      <c r="AJ42" s="49">
        <f>$AS$24</f>
        <v>-33.928571428571431</v>
      </c>
      <c r="AK42" s="67">
        <f t="shared" si="24"/>
        <v>73.404761904761912</v>
      </c>
      <c r="AL42" s="52">
        <v>9</v>
      </c>
    </row>
    <row r="43" spans="1:38" ht="14.25" customHeight="1" x14ac:dyDescent="0.4">
      <c r="A43" s="12" t="s">
        <v>12</v>
      </c>
      <c r="B43" s="13">
        <v>2</v>
      </c>
      <c r="C43" s="14" t="s">
        <v>39</v>
      </c>
      <c r="D43" s="15" t="s">
        <v>409</v>
      </c>
      <c r="F43" s="26"/>
      <c r="G43" s="27" t="s">
        <v>33</v>
      </c>
      <c r="H43" s="28">
        <f t="shared" si="25"/>
        <v>12</v>
      </c>
      <c r="Q43" s="27" t="s">
        <v>31</v>
      </c>
      <c r="R43" s="28">
        <f t="shared" si="26"/>
        <v>19</v>
      </c>
      <c r="AH43" s="53"/>
      <c r="AI43" s="27" t="s">
        <v>35</v>
      </c>
      <c r="AJ43" s="49">
        <f>$AS$26</f>
        <v>-103.5</v>
      </c>
      <c r="AK43" s="67">
        <f t="shared" si="24"/>
        <v>3.8333333333333428</v>
      </c>
      <c r="AL43" s="52">
        <v>10</v>
      </c>
    </row>
    <row r="44" spans="1:38" ht="14.25" customHeight="1" x14ac:dyDescent="0.4">
      <c r="A44" s="12" t="s">
        <v>41</v>
      </c>
      <c r="B44" s="13">
        <v>2</v>
      </c>
      <c r="C44" s="14" t="s">
        <v>28</v>
      </c>
      <c r="D44" s="15" t="s">
        <v>410</v>
      </c>
      <c r="E44" s="52">
        <v>1</v>
      </c>
      <c r="F44" s="26"/>
      <c r="G44" s="27" t="s">
        <v>12</v>
      </c>
      <c r="H44" s="28">
        <f t="shared" si="25"/>
        <v>8</v>
      </c>
      <c r="Q44" s="27" t="s">
        <v>12</v>
      </c>
      <c r="R44" s="28">
        <f t="shared" si="26"/>
        <v>10</v>
      </c>
      <c r="AH44" s="53"/>
      <c r="AI44" s="27" t="s">
        <v>33</v>
      </c>
      <c r="AJ44" s="49">
        <f>$AS$17</f>
        <v>-107.33333333333334</v>
      </c>
      <c r="AK44" s="67">
        <f t="shared" si="24"/>
        <v>0</v>
      </c>
      <c r="AL44" s="52">
        <v>11</v>
      </c>
    </row>
    <row r="45" spans="1:38" ht="14.25" customHeight="1" x14ac:dyDescent="0.4">
      <c r="A45" s="12" t="s">
        <v>36</v>
      </c>
      <c r="B45" s="13">
        <v>1</v>
      </c>
      <c r="C45" s="14" t="s">
        <v>41</v>
      </c>
      <c r="D45" s="15" t="s">
        <v>411</v>
      </c>
      <c r="F45" s="15"/>
      <c r="G45" s="27" t="s">
        <v>38</v>
      </c>
      <c r="H45" s="28">
        <f t="shared" si="25"/>
        <v>7</v>
      </c>
      <c r="Q45" s="27" t="s">
        <v>38</v>
      </c>
      <c r="R45" s="28">
        <f t="shared" si="26"/>
        <v>9</v>
      </c>
      <c r="AH45" s="53"/>
    </row>
    <row r="46" spans="1:38" ht="14.25" customHeight="1" x14ac:dyDescent="0.4">
      <c r="A46" s="12" t="s">
        <v>12</v>
      </c>
      <c r="B46" s="13">
        <v>2</v>
      </c>
      <c r="C46" s="14" t="s">
        <v>31</v>
      </c>
      <c r="D46" s="15" t="s">
        <v>412</v>
      </c>
      <c r="F46" s="26"/>
      <c r="G46" s="27" t="s">
        <v>37</v>
      </c>
      <c r="H46" s="28">
        <f t="shared" si="25"/>
        <v>5</v>
      </c>
      <c r="Q46" s="27" t="s">
        <v>37</v>
      </c>
      <c r="R46" s="28">
        <f t="shared" si="26"/>
        <v>7</v>
      </c>
    </row>
    <row r="47" spans="1:38" ht="14.25" customHeight="1" x14ac:dyDescent="0.4">
      <c r="A47" s="12" t="s">
        <v>31</v>
      </c>
      <c r="B47" s="13">
        <v>1</v>
      </c>
      <c r="C47" s="14" t="s">
        <v>33</v>
      </c>
      <c r="D47" s="15" t="s">
        <v>413</v>
      </c>
      <c r="F47" s="26"/>
      <c r="G47" s="27" t="s">
        <v>36</v>
      </c>
      <c r="H47" s="28">
        <f t="shared" si="25"/>
        <v>5</v>
      </c>
      <c r="Q47" s="27" t="s">
        <v>35</v>
      </c>
      <c r="R47" s="28">
        <f t="shared" si="26"/>
        <v>7</v>
      </c>
      <c r="AI47" s="53"/>
      <c r="AJ47" s="53"/>
      <c r="AK47" s="53"/>
    </row>
    <row r="48" spans="1:38" ht="14.25" customHeight="1" x14ac:dyDescent="0.4">
      <c r="A48" s="12" t="s">
        <v>33</v>
      </c>
      <c r="B48" s="13">
        <v>1</v>
      </c>
      <c r="C48" s="14" t="s">
        <v>31</v>
      </c>
      <c r="D48" s="15" t="s">
        <v>414</v>
      </c>
      <c r="F48" s="26"/>
      <c r="G48" s="27" t="s">
        <v>35</v>
      </c>
      <c r="H48" s="28">
        <f t="shared" si="25"/>
        <v>5</v>
      </c>
      <c r="Q48" s="27" t="s">
        <v>39</v>
      </c>
      <c r="R48" s="28">
        <f t="shared" si="26"/>
        <v>6</v>
      </c>
      <c r="AI48" s="53"/>
      <c r="AJ48" s="53"/>
      <c r="AK48" s="53"/>
    </row>
    <row r="49" spans="1:44" ht="14.25" customHeight="1" x14ac:dyDescent="0.4">
      <c r="A49" s="12" t="s">
        <v>36</v>
      </c>
      <c r="B49" s="13">
        <v>1</v>
      </c>
      <c r="C49" s="14" t="s">
        <v>12</v>
      </c>
      <c r="D49" s="15" t="s">
        <v>415</v>
      </c>
      <c r="F49" s="26"/>
      <c r="G49" s="27" t="s">
        <v>41</v>
      </c>
      <c r="H49" s="28">
        <f t="shared" si="25"/>
        <v>5</v>
      </c>
      <c r="Q49" s="27" t="s">
        <v>41</v>
      </c>
      <c r="R49" s="28">
        <f t="shared" si="26"/>
        <v>6</v>
      </c>
      <c r="AI49" s="53"/>
      <c r="AJ49" s="53"/>
      <c r="AK49" s="53"/>
    </row>
    <row r="50" spans="1:44" ht="14.25" customHeight="1" x14ac:dyDescent="0.4">
      <c r="A50" s="12" t="s">
        <v>12</v>
      </c>
      <c r="B50" s="13">
        <v>1</v>
      </c>
      <c r="C50" s="14" t="s">
        <v>36</v>
      </c>
      <c r="D50" s="15" t="s">
        <v>416</v>
      </c>
      <c r="F50" s="26"/>
      <c r="G50" s="27" t="s">
        <v>28</v>
      </c>
      <c r="H50" s="28">
        <f t="shared" si="25"/>
        <v>4</v>
      </c>
      <c r="Q50" s="27" t="s">
        <v>28</v>
      </c>
      <c r="R50" s="28">
        <f t="shared" si="26"/>
        <v>5</v>
      </c>
      <c r="AI50" s="53"/>
      <c r="AJ50" s="53"/>
      <c r="AK50" s="53"/>
    </row>
    <row r="51" spans="1:44" ht="14.25" customHeight="1" x14ac:dyDescent="0.4">
      <c r="A51" s="12" t="s">
        <v>36</v>
      </c>
      <c r="B51" s="13">
        <v>5</v>
      </c>
      <c r="C51" s="14" t="s">
        <v>335</v>
      </c>
      <c r="D51" s="15" t="s">
        <v>417</v>
      </c>
      <c r="F51" s="26"/>
      <c r="G51" s="27" t="s">
        <v>39</v>
      </c>
      <c r="H51" s="28">
        <f t="shared" si="25"/>
        <v>4</v>
      </c>
      <c r="Q51" s="27" t="s">
        <v>36</v>
      </c>
      <c r="R51" s="28">
        <f t="shared" si="26"/>
        <v>5</v>
      </c>
      <c r="AI51" s="131" t="s">
        <v>121</v>
      </c>
      <c r="AJ51" s="132"/>
      <c r="AK51" s="132"/>
      <c r="AL51" s="132"/>
      <c r="AM51" s="132"/>
      <c r="AN51" s="132"/>
      <c r="AO51" s="132"/>
      <c r="AP51" s="132"/>
      <c r="AQ51" s="133"/>
    </row>
    <row r="52" spans="1:44" ht="14.25" customHeight="1" x14ac:dyDescent="0.4">
      <c r="A52" s="12" t="s">
        <v>31</v>
      </c>
      <c r="B52" s="13">
        <v>1</v>
      </c>
      <c r="C52" s="14" t="s">
        <v>39</v>
      </c>
      <c r="D52" s="15" t="s">
        <v>418</v>
      </c>
      <c r="F52" s="26"/>
      <c r="G52" s="27" t="s">
        <v>40</v>
      </c>
      <c r="H52" s="28">
        <f t="shared" si="25"/>
        <v>3</v>
      </c>
      <c r="Q52" s="27" t="s">
        <v>40</v>
      </c>
      <c r="R52" s="28">
        <f t="shared" si="26"/>
        <v>4</v>
      </c>
      <c r="AI52" s="68" t="s">
        <v>123</v>
      </c>
      <c r="AJ52" s="69" t="s">
        <v>15</v>
      </c>
      <c r="AK52" s="69" t="s">
        <v>16</v>
      </c>
      <c r="AL52" s="69" t="s">
        <v>17</v>
      </c>
      <c r="AM52" s="69" t="s">
        <v>18</v>
      </c>
      <c r="AN52" s="69" t="s">
        <v>19</v>
      </c>
      <c r="AO52" s="69" t="s">
        <v>20</v>
      </c>
      <c r="AP52" s="69" t="s">
        <v>21</v>
      </c>
      <c r="AQ52" s="69" t="s">
        <v>22</v>
      </c>
    </row>
    <row r="53" spans="1:44" ht="14.25" customHeight="1" x14ac:dyDescent="0.4">
      <c r="A53" s="12" t="s">
        <v>39</v>
      </c>
      <c r="B53" s="13">
        <v>1</v>
      </c>
      <c r="C53" s="14" t="s">
        <v>31</v>
      </c>
      <c r="D53" s="15" t="s">
        <v>419</v>
      </c>
      <c r="F53" s="26"/>
      <c r="AI53" s="27" t="s">
        <v>65</v>
      </c>
      <c r="AJ53" s="43">
        <v>7.5</v>
      </c>
      <c r="AK53" s="44">
        <v>-6</v>
      </c>
      <c r="AL53" s="44">
        <v>25</v>
      </c>
      <c r="AM53" s="44">
        <v>8.5</v>
      </c>
      <c r="AN53" s="44">
        <v>-6.5</v>
      </c>
      <c r="AO53" s="44">
        <v>25</v>
      </c>
      <c r="AP53" s="44">
        <v>20</v>
      </c>
      <c r="AQ53" s="44">
        <v>-20</v>
      </c>
      <c r="AR53" s="33" t="s">
        <v>66</v>
      </c>
    </row>
    <row r="54" spans="1:44" ht="14.25" customHeight="1" x14ac:dyDescent="0.4">
      <c r="A54" s="12" t="s">
        <v>39</v>
      </c>
      <c r="B54" s="13">
        <v>2</v>
      </c>
      <c r="C54" s="14" t="s">
        <v>12</v>
      </c>
      <c r="D54" s="15" t="s">
        <v>420</v>
      </c>
      <c r="F54" s="26"/>
      <c r="AI54" s="41" t="s">
        <v>76</v>
      </c>
      <c r="AJ54" s="29">
        <f>H17*$AJ$53</f>
        <v>22.5</v>
      </c>
      <c r="AK54" s="29">
        <f>I17*$AK$53</f>
        <v>-48</v>
      </c>
      <c r="AL54" s="29">
        <f>J17*$AL$53</f>
        <v>9.375</v>
      </c>
      <c r="AM54" s="29">
        <f>K17*$AM$53</f>
        <v>29.75</v>
      </c>
      <c r="AN54" s="29">
        <f>L17*$AN$53</f>
        <v>-81.25</v>
      </c>
      <c r="AO54" s="29">
        <f>M17*$AO$53</f>
        <v>7.0000000000000009</v>
      </c>
      <c r="AP54" s="29">
        <f>N17*$AP$53</f>
        <v>23.333333333333336</v>
      </c>
      <c r="AQ54" s="29">
        <f>O17*$AQ$53</f>
        <v>-31.25</v>
      </c>
      <c r="AR54" s="29">
        <f>SUM(AJ54:AQ54)</f>
        <v>-68.541666666666657</v>
      </c>
    </row>
    <row r="55" spans="1:44" ht="14.25" customHeight="1" x14ac:dyDescent="0.4">
      <c r="A55" s="12" t="s">
        <v>39</v>
      </c>
      <c r="B55" s="13">
        <v>1</v>
      </c>
      <c r="C55" s="14" t="s">
        <v>41</v>
      </c>
      <c r="D55" s="15" t="s">
        <v>421</v>
      </c>
      <c r="F55" s="26"/>
      <c r="AI55" s="27" t="s">
        <v>77</v>
      </c>
      <c r="AJ55" s="29">
        <f>H18*$AJ$53</f>
        <v>65</v>
      </c>
      <c r="AK55" s="29">
        <f>I18*$AK$53</f>
        <v>-50</v>
      </c>
      <c r="AL55" s="29">
        <f>J18*$AL$53</f>
        <v>25.999999999999996</v>
      </c>
      <c r="AM55" s="29">
        <f>K18*$AM$53</f>
        <v>107.66666666666666</v>
      </c>
      <c r="AN55" s="29">
        <f>L18*$AN$53</f>
        <v>-73.666666666666671</v>
      </c>
      <c r="AO55" s="29">
        <f>M18*$AO$53</f>
        <v>27.941176470588232</v>
      </c>
      <c r="AP55" s="29">
        <f>N18*$AP$53</f>
        <v>29.230769230769234</v>
      </c>
      <c r="AQ55" s="29">
        <f>O18*$AQ$53</f>
        <v>-27.199999999999996</v>
      </c>
      <c r="AR55" s="29">
        <f>SUM(AJ55:AQ55)</f>
        <v>104.97194570135747</v>
      </c>
    </row>
    <row r="56" spans="1:44" ht="14.25" customHeight="1" x14ac:dyDescent="0.4">
      <c r="A56" s="12" t="s">
        <v>36</v>
      </c>
      <c r="B56" s="13">
        <v>1</v>
      </c>
      <c r="C56" s="14" t="s">
        <v>33</v>
      </c>
      <c r="D56" s="15" t="s">
        <v>422</v>
      </c>
      <c r="F56" s="26"/>
      <c r="AI56" s="27" t="s">
        <v>79</v>
      </c>
      <c r="AJ56" s="29">
        <f>H19*$AJ$53</f>
        <v>108.75</v>
      </c>
      <c r="AK56" s="29">
        <f>I19*$AK$53</f>
        <v>-39</v>
      </c>
      <c r="AL56" s="29">
        <f>J19*$AL$53</f>
        <v>55.769230769230774</v>
      </c>
      <c r="AM56" s="29">
        <f>K19*$AM$53</f>
        <v>195.5</v>
      </c>
      <c r="AN56" s="29">
        <f>L19*$AN$53</f>
        <v>-48.75</v>
      </c>
      <c r="AO56" s="29">
        <f>M19*$AO$53</f>
        <v>76.666666666666671</v>
      </c>
      <c r="AP56" s="29">
        <f>N19*$AP$53</f>
        <v>31.724137931034484</v>
      </c>
      <c r="AQ56" s="29">
        <f>O19*$AQ$53</f>
        <v>-23.076923076923073</v>
      </c>
      <c r="AR56" s="29">
        <f>SUM(AJ56:AQ56)</f>
        <v>357.58311229000884</v>
      </c>
    </row>
    <row r="57" spans="1:44" ht="14.25" customHeight="1" x14ac:dyDescent="0.4">
      <c r="A57" s="12" t="s">
        <v>33</v>
      </c>
      <c r="B57" s="13">
        <v>1</v>
      </c>
      <c r="C57" s="14" t="s">
        <v>36</v>
      </c>
      <c r="D57" s="15" t="s">
        <v>423</v>
      </c>
      <c r="F57" s="26"/>
      <c r="G57" s="27" t="s">
        <v>14</v>
      </c>
      <c r="H57" s="33" t="s">
        <v>17</v>
      </c>
      <c r="Q57" s="27" t="s">
        <v>14</v>
      </c>
      <c r="R57" s="33" t="s">
        <v>20</v>
      </c>
      <c r="AI57" s="27" t="s">
        <v>86</v>
      </c>
      <c r="AJ57" s="29">
        <f>H20*$AJ$53</f>
        <v>24.375</v>
      </c>
      <c r="AK57" s="29">
        <f>I20*$AK$53</f>
        <v>-25.5</v>
      </c>
      <c r="AL57" s="29">
        <f>J20*$AL$53</f>
        <v>19.117647058823529</v>
      </c>
      <c r="AM57" s="29">
        <f>K20*$AM$53</f>
        <v>46.75</v>
      </c>
      <c r="AN57" s="29">
        <f>L20*$AN$53</f>
        <v>-39</v>
      </c>
      <c r="AO57" s="29">
        <f>M20*$AO$53</f>
        <v>22.916666666666664</v>
      </c>
      <c r="AP57" s="29">
        <f>N20*$AP$53</f>
        <v>33.846153846153847</v>
      </c>
      <c r="AQ57" s="29">
        <f>O20*$AQ$53</f>
        <v>-28.235294117647062</v>
      </c>
      <c r="AR57" s="29">
        <f>SUM(AJ57:AQ57)</f>
        <v>54.270173453996989</v>
      </c>
    </row>
    <row r="58" spans="1:44" ht="14.25" customHeight="1" x14ac:dyDescent="0.4">
      <c r="A58" s="12" t="s">
        <v>12</v>
      </c>
      <c r="B58" s="13">
        <v>2</v>
      </c>
      <c r="C58" s="14" t="s">
        <v>37</v>
      </c>
      <c r="D58" s="15" t="s">
        <v>424</v>
      </c>
      <c r="F58" s="26"/>
      <c r="G58" s="27" t="s">
        <v>12</v>
      </c>
      <c r="H58" s="29">
        <f t="shared" ref="H58:H68" si="27">VLOOKUP(G58,$G$3:$P$13,4,FALSE)</f>
        <v>2.25</v>
      </c>
      <c r="Q58" s="27" t="s">
        <v>36</v>
      </c>
      <c r="R58" s="29">
        <f t="shared" ref="R58:R68" si="28">VLOOKUP(Q58,$G$3:$P$13,7,FALSE)</f>
        <v>3.6</v>
      </c>
      <c r="AI58" s="64" t="s">
        <v>88</v>
      </c>
      <c r="AJ58" s="29">
        <f>H21*$AJ$53</f>
        <v>32.5</v>
      </c>
      <c r="AK58" s="29">
        <f>I21*$AK$53</f>
        <v>-24</v>
      </c>
      <c r="AL58" s="29">
        <f>J21*$AL$53</f>
        <v>27.083333333333332</v>
      </c>
      <c r="AM58" s="29">
        <f>K21*$AM$53</f>
        <v>62.333333333333329</v>
      </c>
      <c r="AN58" s="29">
        <f>L21*$AN$53</f>
        <v>-36.833333333333336</v>
      </c>
      <c r="AO58" s="29">
        <f>M21*$AO$53</f>
        <v>32.352941176470587</v>
      </c>
      <c r="AP58" s="29">
        <f>N21*$AP$53</f>
        <v>33.846153846153847</v>
      </c>
      <c r="AQ58" s="29">
        <f>O21*$AQ$53</f>
        <v>-28.333333333333336</v>
      </c>
      <c r="AR58" s="29">
        <f>SUM(AJ58:AQ58)</f>
        <v>98.949095022624419</v>
      </c>
    </row>
    <row r="59" spans="1:44" ht="14.25" customHeight="1" x14ac:dyDescent="0.4">
      <c r="A59" s="12" t="s">
        <v>31</v>
      </c>
      <c r="B59" s="13">
        <v>2</v>
      </c>
      <c r="C59" s="14" t="s">
        <v>33</v>
      </c>
      <c r="D59" s="15" t="s">
        <v>425</v>
      </c>
      <c r="F59" s="26"/>
      <c r="G59" s="27" t="s">
        <v>36</v>
      </c>
      <c r="H59" s="29">
        <f t="shared" si="27"/>
        <v>2.2000000000000002</v>
      </c>
      <c r="Q59" s="27" t="s">
        <v>12</v>
      </c>
      <c r="R59" s="29">
        <f t="shared" si="28"/>
        <v>2.8</v>
      </c>
    </row>
    <row r="60" spans="1:44" ht="14.25" customHeight="1" x14ac:dyDescent="0.4">
      <c r="A60" s="12" t="s">
        <v>38</v>
      </c>
      <c r="B60" s="13">
        <v>1</v>
      </c>
      <c r="C60" s="14" t="s">
        <v>12</v>
      </c>
      <c r="D60" s="15" t="s">
        <v>426</v>
      </c>
      <c r="F60" s="26"/>
      <c r="G60" s="27" t="s">
        <v>38</v>
      </c>
      <c r="H60" s="29">
        <f t="shared" si="27"/>
        <v>1.8571428571428572</v>
      </c>
      <c r="Q60" s="27" t="s">
        <v>40</v>
      </c>
      <c r="R60" s="29">
        <f t="shared" si="28"/>
        <v>2.5</v>
      </c>
      <c r="AI60" s="65" t="s">
        <v>10</v>
      </c>
      <c r="AJ60" s="66" t="s">
        <v>98</v>
      </c>
      <c r="AK60" s="66" t="s">
        <v>99</v>
      </c>
    </row>
    <row r="61" spans="1:44" ht="14.25" customHeight="1" x14ac:dyDescent="0.4">
      <c r="A61" s="12" t="s">
        <v>12</v>
      </c>
      <c r="B61" s="13">
        <v>1</v>
      </c>
      <c r="C61" s="14" t="s">
        <v>38</v>
      </c>
      <c r="D61" s="15" t="s">
        <v>426</v>
      </c>
      <c r="F61" s="15"/>
      <c r="G61" s="27" t="s">
        <v>39</v>
      </c>
      <c r="H61" s="29">
        <f t="shared" si="27"/>
        <v>1.75</v>
      </c>
      <c r="Q61" s="27" t="s">
        <v>38</v>
      </c>
      <c r="R61" s="29">
        <f t="shared" si="28"/>
        <v>2.3333333333333335</v>
      </c>
      <c r="AI61" s="41" t="s">
        <v>79</v>
      </c>
      <c r="AJ61" s="67">
        <f>$AR$56</f>
        <v>357.58311229000884</v>
      </c>
      <c r="AK61" s="67">
        <f>AJ61-($AJ$65)</f>
        <v>426.12477895667553</v>
      </c>
    </row>
    <row r="62" spans="1:44" ht="14.25" customHeight="1" x14ac:dyDescent="0.4">
      <c r="A62" s="12" t="s">
        <v>39</v>
      </c>
      <c r="B62" s="13">
        <v>2</v>
      </c>
      <c r="C62" s="14" t="s">
        <v>31</v>
      </c>
      <c r="D62" s="15" t="s">
        <v>427</v>
      </c>
      <c r="F62" s="26"/>
      <c r="G62" s="27" t="s">
        <v>40</v>
      </c>
      <c r="H62" s="29">
        <f t="shared" si="27"/>
        <v>1.6666666666666667</v>
      </c>
      <c r="Q62" s="27" t="s">
        <v>39</v>
      </c>
      <c r="R62" s="29">
        <f t="shared" si="28"/>
        <v>1.8333333333333333</v>
      </c>
      <c r="AI62" s="27" t="s">
        <v>77</v>
      </c>
      <c r="AJ62" s="67">
        <f>$AR$55</f>
        <v>104.97194570135747</v>
      </c>
      <c r="AK62" s="67">
        <f>AJ62-($AJ$65)</f>
        <v>173.51361236802413</v>
      </c>
    </row>
    <row r="63" spans="1:44" ht="14.25" customHeight="1" x14ac:dyDescent="0.4">
      <c r="A63" s="12" t="s">
        <v>12</v>
      </c>
      <c r="B63" s="13">
        <v>2</v>
      </c>
      <c r="C63" s="14" t="s">
        <v>31</v>
      </c>
      <c r="D63" s="15" t="s">
        <v>428</v>
      </c>
      <c r="F63" s="26"/>
      <c r="G63" s="27" t="s">
        <v>31</v>
      </c>
      <c r="H63" s="29">
        <f t="shared" si="27"/>
        <v>0.76923076923076927</v>
      </c>
      <c r="Q63" s="27" t="s">
        <v>28</v>
      </c>
      <c r="R63" s="29">
        <f t="shared" si="28"/>
        <v>0.8</v>
      </c>
      <c r="AI63" s="64" t="s">
        <v>88</v>
      </c>
      <c r="AJ63" s="67">
        <f>$AR$58</f>
        <v>98.949095022624419</v>
      </c>
      <c r="AK63" s="67">
        <f>AJ63-($AJ$65)</f>
        <v>167.49076168929108</v>
      </c>
    </row>
    <row r="64" spans="1:44" ht="14.25" customHeight="1" x14ac:dyDescent="0.4">
      <c r="A64" s="12" t="s">
        <v>31</v>
      </c>
      <c r="B64" s="13">
        <v>1</v>
      </c>
      <c r="C64" s="14" t="s">
        <v>12</v>
      </c>
      <c r="D64" s="15" t="s">
        <v>429</v>
      </c>
      <c r="F64" s="26"/>
      <c r="G64" s="27" t="s">
        <v>28</v>
      </c>
      <c r="H64" s="29">
        <f t="shared" si="27"/>
        <v>0.75</v>
      </c>
      <c r="Q64" s="27" t="s">
        <v>31</v>
      </c>
      <c r="R64" s="29">
        <f t="shared" si="28"/>
        <v>0.68421052631578949</v>
      </c>
      <c r="AI64" s="27" t="s">
        <v>86</v>
      </c>
      <c r="AJ64" s="71">
        <f>$AR$57</f>
        <v>54.270173453996989</v>
      </c>
      <c r="AK64" s="67">
        <f>AJ64-($AJ$65)</f>
        <v>122.81184012066365</v>
      </c>
    </row>
    <row r="65" spans="1:37" ht="14.25" customHeight="1" x14ac:dyDescent="0.4">
      <c r="A65" s="12" t="s">
        <v>12</v>
      </c>
      <c r="B65" s="13">
        <v>2</v>
      </c>
      <c r="C65" s="14" t="s">
        <v>35</v>
      </c>
      <c r="D65" s="15" t="s">
        <v>430</v>
      </c>
      <c r="F65" s="26"/>
      <c r="G65" s="27" t="s">
        <v>41</v>
      </c>
      <c r="H65" s="29">
        <f t="shared" si="27"/>
        <v>0.6</v>
      </c>
      <c r="Q65" s="27" t="s">
        <v>41</v>
      </c>
      <c r="R65" s="29">
        <f t="shared" si="28"/>
        <v>0.66666666666666663</v>
      </c>
      <c r="AI65" s="72" t="s">
        <v>76</v>
      </c>
      <c r="AJ65" s="67">
        <f>$AR$54</f>
        <v>-68.541666666666657</v>
      </c>
      <c r="AK65" s="73">
        <f>AJ65-($AJ$65)</f>
        <v>0</v>
      </c>
    </row>
    <row r="66" spans="1:37" ht="14.25" customHeight="1" x14ac:dyDescent="0.4">
      <c r="A66" s="12" t="s">
        <v>38</v>
      </c>
      <c r="B66" s="13">
        <v>1</v>
      </c>
      <c r="C66" s="14" t="s">
        <v>33</v>
      </c>
      <c r="D66" s="15" t="s">
        <v>431</v>
      </c>
      <c r="F66" s="26"/>
      <c r="G66" s="27" t="s">
        <v>33</v>
      </c>
      <c r="H66" s="29">
        <f t="shared" si="27"/>
        <v>0.25</v>
      </c>
      <c r="Q66" s="27" t="s">
        <v>33</v>
      </c>
      <c r="R66" s="29">
        <f t="shared" si="28"/>
        <v>0.15</v>
      </c>
    </row>
    <row r="67" spans="1:37" ht="14.25" customHeight="1" x14ac:dyDescent="0.4">
      <c r="A67" s="12" t="s">
        <v>38</v>
      </c>
      <c r="B67" s="13">
        <v>1</v>
      </c>
      <c r="C67" s="14" t="s">
        <v>41</v>
      </c>
      <c r="D67" s="15" t="s">
        <v>431</v>
      </c>
      <c r="F67" s="26"/>
      <c r="G67" s="27" t="s">
        <v>37</v>
      </c>
      <c r="H67" s="29">
        <f t="shared" si="27"/>
        <v>0.2</v>
      </c>
      <c r="Q67" s="27" t="s">
        <v>37</v>
      </c>
      <c r="R67" s="29">
        <f t="shared" si="28"/>
        <v>0.14285714285714285</v>
      </c>
    </row>
    <row r="68" spans="1:37" ht="14.25" customHeight="1" x14ac:dyDescent="0.4">
      <c r="A68" s="12" t="s">
        <v>41</v>
      </c>
      <c r="B68" s="13">
        <v>1</v>
      </c>
      <c r="C68" s="14" t="s">
        <v>38</v>
      </c>
      <c r="D68" s="15" t="s">
        <v>432</v>
      </c>
      <c r="F68" s="26"/>
      <c r="G68" s="27" t="s">
        <v>35</v>
      </c>
      <c r="H68" s="29">
        <f t="shared" si="27"/>
        <v>0</v>
      </c>
      <c r="Q68" s="27" t="s">
        <v>35</v>
      </c>
      <c r="R68" s="29">
        <f t="shared" si="28"/>
        <v>0</v>
      </c>
    </row>
    <row r="69" spans="1:37" ht="14.25" customHeight="1" x14ac:dyDescent="0.4">
      <c r="A69" s="12" t="s">
        <v>39</v>
      </c>
      <c r="B69" s="13">
        <v>1</v>
      </c>
      <c r="C69" s="14" t="s">
        <v>31</v>
      </c>
      <c r="D69" s="15" t="s">
        <v>433</v>
      </c>
      <c r="F69" s="26"/>
      <c r="AI69" s="53"/>
      <c r="AJ69" s="53"/>
      <c r="AK69" s="53"/>
    </row>
    <row r="70" spans="1:37" ht="14.25" customHeight="1" x14ac:dyDescent="0.4">
      <c r="A70" s="12" t="s">
        <v>31</v>
      </c>
      <c r="B70" s="13">
        <v>1</v>
      </c>
      <c r="C70" s="14" t="s">
        <v>39</v>
      </c>
      <c r="D70" s="15" t="s">
        <v>434</v>
      </c>
      <c r="F70" s="26"/>
      <c r="AI70" s="53"/>
      <c r="AJ70" s="53"/>
      <c r="AK70" s="53"/>
    </row>
    <row r="71" spans="1:37" ht="14.25" customHeight="1" x14ac:dyDescent="0.4">
      <c r="A71" s="12" t="s">
        <v>39</v>
      </c>
      <c r="B71" s="13">
        <v>2</v>
      </c>
      <c r="C71" s="14" t="s">
        <v>12</v>
      </c>
      <c r="D71" s="15" t="s">
        <v>435</v>
      </c>
      <c r="F71" s="15"/>
      <c r="AI71" s="53"/>
      <c r="AJ71" s="53"/>
      <c r="AK71" s="53"/>
    </row>
    <row r="72" spans="1:37" ht="14.25" customHeight="1" x14ac:dyDescent="0.4">
      <c r="A72" s="12" t="s">
        <v>40</v>
      </c>
      <c r="B72" s="13">
        <v>5</v>
      </c>
      <c r="C72" s="14" t="s">
        <v>335</v>
      </c>
      <c r="D72" s="15" t="s">
        <v>380</v>
      </c>
      <c r="F72" s="26"/>
      <c r="AI72" s="53"/>
      <c r="AJ72" s="53"/>
      <c r="AK72" s="53"/>
    </row>
    <row r="73" spans="1:37" ht="14.25" customHeight="1" x14ac:dyDescent="0.4">
      <c r="A73" s="12" t="s">
        <v>38</v>
      </c>
      <c r="B73" s="13">
        <v>5</v>
      </c>
      <c r="C73" s="14" t="s">
        <v>335</v>
      </c>
      <c r="D73" s="15" t="s">
        <v>436</v>
      </c>
      <c r="F73" s="26"/>
      <c r="G73" s="27" t="s">
        <v>74</v>
      </c>
      <c r="H73" s="33" t="s">
        <v>15</v>
      </c>
      <c r="Q73" s="27" t="s">
        <v>74</v>
      </c>
      <c r="R73" s="33" t="s">
        <v>18</v>
      </c>
      <c r="AJ73" s="53"/>
      <c r="AK73" s="53"/>
    </row>
    <row r="74" spans="1:37" ht="14.25" customHeight="1" x14ac:dyDescent="0.4">
      <c r="A74" s="12" t="s">
        <v>38</v>
      </c>
      <c r="B74" s="13">
        <v>2</v>
      </c>
      <c r="C74" s="14" t="s">
        <v>33</v>
      </c>
      <c r="D74" s="15" t="s">
        <v>437</v>
      </c>
      <c r="F74" s="26"/>
      <c r="G74" s="41" t="s">
        <v>76</v>
      </c>
      <c r="H74" s="54">
        <f>VLOOKUP(G74,$G$17:$O$21,2,FALSE)</f>
        <v>3</v>
      </c>
      <c r="Q74" s="41" t="s">
        <v>76</v>
      </c>
      <c r="R74" s="54">
        <f>VLOOKUP(Q74,$G$17:$O$21,5,FALSE)</f>
        <v>3.5</v>
      </c>
      <c r="AG74" s="53"/>
      <c r="AH74" s="53"/>
      <c r="AI74" s="53"/>
      <c r="AJ74" s="53"/>
      <c r="AK74" s="53"/>
    </row>
    <row r="75" spans="1:37" ht="14.25" customHeight="1" x14ac:dyDescent="0.4">
      <c r="A75" s="12" t="s">
        <v>38</v>
      </c>
      <c r="B75" s="13">
        <v>2</v>
      </c>
      <c r="C75" s="14" t="s">
        <v>41</v>
      </c>
      <c r="D75" s="15" t="s">
        <v>437</v>
      </c>
      <c r="F75" s="26"/>
      <c r="G75" s="27" t="s">
        <v>86</v>
      </c>
      <c r="H75" s="54">
        <f>VLOOKUP(G75,$G$17:$O$21,2,FALSE)</f>
        <v>3.25</v>
      </c>
      <c r="Q75" s="27" t="s">
        <v>86</v>
      </c>
      <c r="R75" s="54">
        <f>VLOOKUP(Q75,$G$17:$O$21,5,FALSE)</f>
        <v>5.5</v>
      </c>
      <c r="AE75" s="53"/>
      <c r="AF75" s="53"/>
      <c r="AG75" s="53"/>
    </row>
    <row r="76" spans="1:37" ht="14.25" customHeight="1" x14ac:dyDescent="0.4">
      <c r="A76" s="12"/>
      <c r="B76" s="13"/>
      <c r="C76" s="14"/>
      <c r="D76" s="15"/>
      <c r="F76" s="26"/>
      <c r="G76" s="27" t="s">
        <v>77</v>
      </c>
      <c r="H76" s="54">
        <f>VLOOKUP(G76,$G$17:$O$21,2,FALSE)</f>
        <v>8.6666666666666661</v>
      </c>
      <c r="Q76" s="27" t="s">
        <v>77</v>
      </c>
      <c r="R76" s="54">
        <f>VLOOKUP(Q76,$G$17:$O$21,5,FALSE)</f>
        <v>12.666666666666666</v>
      </c>
    </row>
    <row r="77" spans="1:37" ht="14.25" customHeight="1" x14ac:dyDescent="0.4">
      <c r="A77" s="12"/>
      <c r="B77" s="13"/>
      <c r="C77" s="14"/>
      <c r="D77" s="15"/>
      <c r="F77" s="26"/>
      <c r="G77" s="27" t="s">
        <v>79</v>
      </c>
      <c r="H77" s="54">
        <f>VLOOKUP(G77,$G$17:$O$21,2,FALSE)</f>
        <v>14.5</v>
      </c>
      <c r="Q77" s="27" t="s">
        <v>79</v>
      </c>
      <c r="R77" s="54">
        <f>VLOOKUP(Q77,$G$17:$O$21,5,FALSE)</f>
        <v>23</v>
      </c>
    </row>
    <row r="78" spans="1:37" ht="14.25" customHeight="1" x14ac:dyDescent="0.4">
      <c r="A78" s="12"/>
      <c r="B78" s="13"/>
      <c r="C78" s="14"/>
      <c r="D78" s="15"/>
      <c r="F78" s="26"/>
    </row>
    <row r="79" spans="1:37" ht="14.25" customHeight="1" x14ac:dyDescent="0.4">
      <c r="A79" s="12"/>
      <c r="B79" s="13"/>
      <c r="C79" s="14"/>
      <c r="D79" s="15"/>
      <c r="F79" s="26"/>
    </row>
    <row r="80" spans="1:37" ht="14.25" customHeight="1" x14ac:dyDescent="0.4">
      <c r="A80" s="12"/>
      <c r="B80" s="13"/>
      <c r="C80" s="14"/>
      <c r="D80" s="15"/>
      <c r="F80" s="26"/>
    </row>
    <row r="81" spans="1:37" ht="14.25" customHeight="1" x14ac:dyDescent="0.4">
      <c r="A81" s="12"/>
      <c r="B81" s="13"/>
      <c r="C81" s="14"/>
      <c r="D81" s="15"/>
      <c r="F81" s="15"/>
    </row>
    <row r="82" spans="1:37" ht="14.25" customHeight="1" x14ac:dyDescent="0.4">
      <c r="A82" s="12"/>
      <c r="B82" s="13"/>
      <c r="C82" s="14"/>
      <c r="D82" s="15"/>
      <c r="F82" s="26"/>
    </row>
    <row r="83" spans="1:37" ht="14.25" customHeight="1" x14ac:dyDescent="0.4">
      <c r="A83" s="12"/>
      <c r="B83" s="13"/>
      <c r="C83" s="14"/>
      <c r="D83" s="15"/>
      <c r="F83" s="26"/>
    </row>
    <row r="84" spans="1:37" ht="14.25" customHeight="1" x14ac:dyDescent="0.4">
      <c r="A84" s="12"/>
      <c r="B84" s="13"/>
      <c r="C84" s="14"/>
      <c r="D84" s="15"/>
      <c r="F84" s="26"/>
      <c r="G84" s="27" t="s">
        <v>74</v>
      </c>
      <c r="H84" s="33" t="s">
        <v>16</v>
      </c>
      <c r="Q84" s="27" t="s">
        <v>74</v>
      </c>
      <c r="R84" s="33" t="s">
        <v>19</v>
      </c>
    </row>
    <row r="85" spans="1:37" ht="14.25" customHeight="1" x14ac:dyDescent="0.4">
      <c r="A85" s="12"/>
      <c r="B85" s="13"/>
      <c r="C85" s="14"/>
      <c r="D85" s="15"/>
      <c r="F85" s="26"/>
      <c r="G85" s="27" t="s">
        <v>86</v>
      </c>
      <c r="H85" s="56">
        <f>VLOOKUP(G85,$G$17:$O$21,3,FALSE)</f>
        <v>4.25</v>
      </c>
      <c r="Q85" s="27" t="s">
        <v>86</v>
      </c>
      <c r="R85" s="56">
        <f>VLOOKUP(Q85,$G$17:$O$21,6,FALSE)</f>
        <v>6</v>
      </c>
    </row>
    <row r="86" spans="1:37" ht="14.25" customHeight="1" x14ac:dyDescent="0.4">
      <c r="A86" s="12"/>
      <c r="B86" s="13"/>
      <c r="C86" s="14"/>
      <c r="D86" s="15"/>
      <c r="F86" s="26"/>
      <c r="G86" s="27" t="s">
        <v>79</v>
      </c>
      <c r="H86" s="56">
        <f>VLOOKUP(G86,$G$17:$O$21,3,FALSE)</f>
        <v>6.5</v>
      </c>
      <c r="Q86" s="27" t="s">
        <v>79</v>
      </c>
      <c r="R86" s="56">
        <f>VLOOKUP(Q86,$G$17:$O$21,6,FALSE)</f>
        <v>7.5</v>
      </c>
    </row>
    <row r="87" spans="1:37" ht="14.25" customHeight="1" x14ac:dyDescent="0.4">
      <c r="A87" s="12"/>
      <c r="B87" s="13"/>
      <c r="C87" s="14"/>
      <c r="D87" s="15"/>
      <c r="F87" s="26"/>
      <c r="G87" s="27" t="s">
        <v>76</v>
      </c>
      <c r="H87" s="56">
        <f>VLOOKUP(G87,$G$17:$O$21,3,FALSE)</f>
        <v>8</v>
      </c>
      <c r="Q87" s="27" t="s">
        <v>77</v>
      </c>
      <c r="R87" s="56">
        <f>VLOOKUP(Q87,$G$17:$O$21,6,FALSE)</f>
        <v>11.333333333333334</v>
      </c>
    </row>
    <row r="88" spans="1:37" ht="14.25" customHeight="1" x14ac:dyDescent="0.4">
      <c r="A88" s="12"/>
      <c r="B88" s="13"/>
      <c r="C88" s="14"/>
      <c r="D88" s="15"/>
      <c r="F88" s="26"/>
      <c r="G88" s="27" t="s">
        <v>77</v>
      </c>
      <c r="H88" s="56">
        <f>VLOOKUP(G88,$G$17:$O$21,3,FALSE)</f>
        <v>8.3333333333333339</v>
      </c>
      <c r="Q88" s="27" t="s">
        <v>76</v>
      </c>
      <c r="R88" s="56">
        <f>VLOOKUP(Q88,$G$17:$O$21,6,FALSE)</f>
        <v>12.5</v>
      </c>
    </row>
    <row r="89" spans="1:37" ht="14.25" customHeight="1" x14ac:dyDescent="0.4">
      <c r="A89" s="12"/>
      <c r="B89" s="13"/>
      <c r="C89" s="14"/>
      <c r="D89" s="15"/>
      <c r="F89" s="26"/>
      <c r="AJ89" s="53"/>
      <c r="AK89" s="31"/>
    </row>
    <row r="90" spans="1:37" ht="14.25" customHeight="1" x14ac:dyDescent="0.4">
      <c r="A90" s="12"/>
      <c r="B90" s="13"/>
      <c r="C90" s="14"/>
      <c r="D90" s="15"/>
      <c r="F90" s="26"/>
      <c r="AJ90" s="53"/>
      <c r="AK90" s="31"/>
    </row>
    <row r="91" spans="1:37" ht="14.25" customHeight="1" x14ac:dyDescent="0.4">
      <c r="A91" s="12"/>
      <c r="B91" s="13"/>
      <c r="C91" s="14"/>
      <c r="D91" s="15"/>
      <c r="F91" s="26"/>
      <c r="AJ91" s="53"/>
      <c r="AK91" s="31"/>
    </row>
    <row r="92" spans="1:37" ht="14.25" customHeight="1" x14ac:dyDescent="0.4">
      <c r="A92" s="12"/>
      <c r="B92" s="13"/>
      <c r="C92" s="14"/>
      <c r="D92" s="15"/>
      <c r="F92" s="26"/>
      <c r="AJ92" s="53"/>
      <c r="AK92" s="31"/>
    </row>
    <row r="93" spans="1:37" ht="14.25" customHeight="1" x14ac:dyDescent="0.4">
      <c r="A93" s="12"/>
      <c r="B93" s="13"/>
      <c r="C93" s="14"/>
      <c r="D93" s="15"/>
      <c r="F93" s="26"/>
      <c r="AJ93" s="53"/>
      <c r="AK93" s="31"/>
    </row>
    <row r="94" spans="1:37" ht="14.25" customHeight="1" x14ac:dyDescent="0.4">
      <c r="A94" s="12"/>
      <c r="B94" s="13"/>
      <c r="C94" s="14"/>
      <c r="D94" s="15"/>
      <c r="F94" s="26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G94" s="53"/>
      <c r="AJ94" s="53"/>
      <c r="AK94" s="31"/>
    </row>
    <row r="95" spans="1:37" ht="14.25" customHeight="1" x14ac:dyDescent="0.4">
      <c r="A95" s="12"/>
      <c r="B95" s="13"/>
      <c r="C95" s="14"/>
      <c r="D95" s="15"/>
      <c r="F95" s="26"/>
      <c r="G95" s="27" t="s">
        <v>74</v>
      </c>
      <c r="H95" s="33" t="s">
        <v>17</v>
      </c>
      <c r="J95" s="53"/>
      <c r="K95" s="53"/>
      <c r="L95" s="53"/>
      <c r="M95" s="31"/>
      <c r="N95" s="31"/>
      <c r="O95" s="31"/>
      <c r="P95" s="31"/>
      <c r="Q95" s="27" t="s">
        <v>74</v>
      </c>
      <c r="R95" s="33" t="s">
        <v>20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G95" s="53"/>
      <c r="AJ95" s="53"/>
      <c r="AK95" s="31"/>
    </row>
    <row r="96" spans="1:37" ht="14.25" customHeight="1" x14ac:dyDescent="0.4">
      <c r="A96" s="12"/>
      <c r="B96" s="13"/>
      <c r="C96" s="14"/>
      <c r="D96" s="15"/>
      <c r="F96" s="26"/>
      <c r="G96" s="41" t="s">
        <v>76</v>
      </c>
      <c r="H96" s="55">
        <f>VLOOKUP(G96,$G$17:$O$21,4,FALSE)</f>
        <v>0.375</v>
      </c>
      <c r="J96" s="53"/>
      <c r="K96" s="53"/>
      <c r="L96" s="53"/>
      <c r="M96" s="31"/>
      <c r="N96" s="31"/>
      <c r="O96" s="31"/>
      <c r="P96" s="31"/>
      <c r="Q96" s="41" t="s">
        <v>76</v>
      </c>
      <c r="R96" s="55">
        <f>VLOOKUP(Q96,$G$17:$O$21,7,FALSE)</f>
        <v>0.28000000000000003</v>
      </c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G96" s="53"/>
      <c r="AJ96" s="53"/>
      <c r="AK96" s="31"/>
    </row>
    <row r="97" spans="1:37" ht="14.25" customHeight="1" x14ac:dyDescent="0.4">
      <c r="A97" s="12"/>
      <c r="B97" s="13"/>
      <c r="C97" s="14"/>
      <c r="D97" s="15"/>
      <c r="F97" s="26"/>
      <c r="G97" s="27" t="s">
        <v>86</v>
      </c>
      <c r="H97" s="55">
        <f>VLOOKUP(G97,$G$17:$O$21,4,FALSE)</f>
        <v>0.76470588235294112</v>
      </c>
      <c r="J97" s="53"/>
      <c r="K97" s="53"/>
      <c r="L97" s="53"/>
      <c r="M97" s="31"/>
      <c r="N97" s="31"/>
      <c r="O97" s="31"/>
      <c r="P97" s="31"/>
      <c r="Q97" s="27" t="s">
        <v>86</v>
      </c>
      <c r="R97" s="55">
        <f>VLOOKUP(Q97,$G$17:$O$21,7,FALSE)</f>
        <v>0.91666666666666663</v>
      </c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G97" s="53"/>
      <c r="AJ97" s="53"/>
      <c r="AK97" s="31"/>
    </row>
    <row r="98" spans="1:37" ht="14.25" customHeight="1" x14ac:dyDescent="0.4">
      <c r="A98" s="12"/>
      <c r="B98" s="13"/>
      <c r="C98" s="14"/>
      <c r="D98" s="15"/>
      <c r="F98" s="26"/>
      <c r="G98" s="27" t="s">
        <v>77</v>
      </c>
      <c r="H98" s="55">
        <f>VLOOKUP(G98,$G$17:$O$21,4,FALSE)</f>
        <v>1.0399999999999998</v>
      </c>
      <c r="J98" s="53"/>
      <c r="K98" s="53"/>
      <c r="L98" s="53"/>
      <c r="M98" s="31"/>
      <c r="N98" s="31"/>
      <c r="O98" s="31"/>
      <c r="P98" s="31"/>
      <c r="Q98" s="27" t="s">
        <v>77</v>
      </c>
      <c r="R98" s="55">
        <f>VLOOKUP(Q98,$G$17:$O$21,7,FALSE)</f>
        <v>1.1176470588235292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G98" s="53"/>
      <c r="AJ98" s="53"/>
      <c r="AK98" s="31"/>
    </row>
    <row r="99" spans="1:37" ht="14.25" customHeight="1" x14ac:dyDescent="0.4">
      <c r="A99" s="12"/>
      <c r="B99" s="13"/>
      <c r="C99" s="14"/>
      <c r="D99" s="15"/>
      <c r="F99" s="26"/>
      <c r="G99" s="27" t="s">
        <v>79</v>
      </c>
      <c r="H99" s="55">
        <f>VLOOKUP(G99,$G$17:$O$21,4,FALSE)</f>
        <v>2.2307692307692308</v>
      </c>
      <c r="J99" s="53"/>
      <c r="K99" s="53"/>
      <c r="L99" s="53"/>
      <c r="M99" s="31"/>
      <c r="N99" s="31"/>
      <c r="O99" s="31"/>
      <c r="P99" s="31"/>
      <c r="Q99" s="27" t="s">
        <v>79</v>
      </c>
      <c r="R99" s="55">
        <f>VLOOKUP(Q99,$G$17:$O$21,7,FALSE)</f>
        <v>3.0666666666666669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G99" s="53"/>
      <c r="AJ99" s="53"/>
      <c r="AK99" s="31"/>
    </row>
    <row r="100" spans="1:37" ht="14.25" customHeight="1" x14ac:dyDescent="0.4">
      <c r="A100" s="12"/>
      <c r="B100" s="13"/>
      <c r="C100" s="14"/>
      <c r="D100" s="15"/>
      <c r="F100" s="26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G100" s="53"/>
      <c r="AJ100" s="53"/>
      <c r="AK100" s="31"/>
    </row>
    <row r="101" spans="1:37" ht="14.25" customHeight="1" x14ac:dyDescent="0.4">
      <c r="A101" s="12"/>
      <c r="B101" s="13"/>
      <c r="C101" s="14"/>
      <c r="D101" s="15"/>
      <c r="F101" s="26"/>
      <c r="J101" s="53"/>
      <c r="K101" s="53"/>
      <c r="L101" s="53"/>
      <c r="M101" s="31"/>
      <c r="N101" s="31"/>
      <c r="O101" s="31"/>
      <c r="P101" s="31"/>
      <c r="Q101" s="5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G101" s="53"/>
      <c r="AJ101" s="53"/>
      <c r="AK101" s="31"/>
    </row>
    <row r="102" spans="1:37" ht="14.25" customHeight="1" x14ac:dyDescent="0.4">
      <c r="A102" s="12"/>
      <c r="B102" s="13"/>
      <c r="C102" s="14"/>
      <c r="D102" s="15"/>
      <c r="F102" s="26"/>
      <c r="J102" s="53"/>
      <c r="K102" s="53"/>
      <c r="L102" s="53"/>
      <c r="M102" s="31"/>
      <c r="N102" s="31"/>
      <c r="O102" s="31"/>
      <c r="P102" s="31"/>
      <c r="Q102" s="5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G102" s="53"/>
      <c r="AJ102" s="53"/>
      <c r="AK102" s="31"/>
    </row>
    <row r="103" spans="1:37" ht="14.25" customHeight="1" x14ac:dyDescent="0.4">
      <c r="A103" s="12"/>
      <c r="B103" s="13"/>
      <c r="C103" s="14"/>
      <c r="D103" s="15"/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G103" s="53"/>
      <c r="AJ103" s="53"/>
      <c r="AK103" s="31"/>
    </row>
    <row r="104" spans="1:37" ht="14.25" customHeight="1" x14ac:dyDescent="0.4">
      <c r="A104" s="12"/>
      <c r="B104" s="13"/>
      <c r="C104" s="14"/>
      <c r="D104" s="15"/>
      <c r="F104" s="26"/>
      <c r="J104" s="53"/>
      <c r="K104" s="53"/>
      <c r="L104" s="53"/>
      <c r="M104" s="31"/>
      <c r="N104" s="31"/>
      <c r="O104" s="31"/>
      <c r="P104" s="31"/>
      <c r="Q104" s="5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G104" s="53"/>
      <c r="AJ104" s="53"/>
      <c r="AK104" s="31"/>
    </row>
    <row r="105" spans="1:37" ht="14.25" customHeight="1" x14ac:dyDescent="0.4">
      <c r="A105" s="12"/>
      <c r="B105" s="13"/>
      <c r="C105" s="14"/>
      <c r="D105" s="15"/>
      <c r="F105" s="26"/>
      <c r="J105" s="53"/>
      <c r="K105" s="53"/>
      <c r="L105" s="53"/>
      <c r="M105" s="31"/>
      <c r="N105" s="31"/>
      <c r="O105" s="31"/>
      <c r="P105" s="31"/>
      <c r="Q105" s="5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G105" s="53"/>
      <c r="AJ105" s="53"/>
      <c r="AK105" s="31"/>
    </row>
    <row r="106" spans="1:37" ht="14.25" customHeight="1" x14ac:dyDescent="0.4">
      <c r="A106" s="12"/>
      <c r="B106" s="13"/>
      <c r="C106" s="14"/>
      <c r="D106" s="15"/>
      <c r="F106" s="26"/>
      <c r="J106" s="53"/>
      <c r="K106" s="53"/>
      <c r="L106" s="53"/>
      <c r="M106" s="31"/>
      <c r="N106" s="31"/>
      <c r="O106" s="31"/>
      <c r="P106" s="31"/>
      <c r="Q106" s="5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G106" s="53"/>
      <c r="AJ106" s="53"/>
      <c r="AK106" s="31"/>
    </row>
    <row r="107" spans="1:37" ht="14.25" customHeight="1" x14ac:dyDescent="0.4">
      <c r="A107" s="12"/>
      <c r="B107" s="13"/>
      <c r="C107" s="14"/>
      <c r="D107" s="15"/>
      <c r="F107" s="26"/>
      <c r="J107" s="53"/>
      <c r="K107" s="53"/>
      <c r="L107" s="53"/>
      <c r="M107" s="31"/>
      <c r="N107" s="31"/>
      <c r="O107" s="31"/>
      <c r="P107" s="31"/>
      <c r="Q107" s="5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G107" s="53"/>
      <c r="AJ107" s="53"/>
      <c r="AK107" s="31"/>
    </row>
    <row r="108" spans="1:37" ht="14.25" customHeight="1" x14ac:dyDescent="0.4">
      <c r="A108" s="12"/>
      <c r="B108" s="13"/>
      <c r="C108" s="14"/>
      <c r="D108" s="15"/>
      <c r="F108" s="26"/>
      <c r="J108" s="53"/>
      <c r="K108" s="53"/>
      <c r="L108" s="53"/>
      <c r="M108" s="31"/>
      <c r="N108" s="31"/>
      <c r="O108" s="31"/>
      <c r="P108" s="31"/>
      <c r="Q108" s="5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G108" s="53"/>
      <c r="AJ108" s="53"/>
      <c r="AK108" s="31"/>
    </row>
    <row r="109" spans="1:37" ht="14.25" customHeight="1" x14ac:dyDescent="0.4">
      <c r="A109" s="12"/>
      <c r="B109" s="13"/>
      <c r="C109" s="14"/>
      <c r="D109" s="15"/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J109" s="53"/>
      <c r="AK109" s="31"/>
    </row>
    <row r="110" spans="1:37" ht="14.25" customHeight="1" x14ac:dyDescent="0.4">
      <c r="A110" s="12"/>
      <c r="B110" s="13"/>
      <c r="C110" s="14"/>
      <c r="D110" s="15"/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J110" s="53"/>
      <c r="AK110" s="31"/>
    </row>
    <row r="111" spans="1:37" ht="14.25" customHeight="1" x14ac:dyDescent="0.4">
      <c r="A111" s="12"/>
      <c r="B111" s="13"/>
      <c r="C111" s="14"/>
      <c r="D111" s="15"/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J111" s="53"/>
      <c r="AK111" s="31"/>
    </row>
    <row r="112" spans="1:37" ht="14.25" customHeight="1" x14ac:dyDescent="0.4">
      <c r="A112" s="12"/>
      <c r="B112" s="13"/>
      <c r="C112" s="14"/>
      <c r="D112" s="15"/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J112" s="53"/>
      <c r="AK112" s="31"/>
    </row>
    <row r="113" spans="1:37" ht="14.25" customHeight="1" x14ac:dyDescent="0.4">
      <c r="A113" s="12"/>
      <c r="B113" s="13"/>
      <c r="C113" s="14"/>
      <c r="D113" s="15"/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J113" s="53"/>
      <c r="AK113" s="31"/>
    </row>
    <row r="114" spans="1:37" ht="14.25" customHeight="1" x14ac:dyDescent="0.4">
      <c r="A114" s="12"/>
      <c r="B114" s="13"/>
      <c r="C114" s="14"/>
      <c r="D114" s="15"/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J114" s="53"/>
      <c r="AK114" s="31"/>
    </row>
    <row r="115" spans="1:37" ht="14.25" customHeight="1" x14ac:dyDescent="0.4">
      <c r="A115" s="12"/>
      <c r="B115" s="13"/>
      <c r="C115" s="14"/>
      <c r="D115" s="15"/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J115" s="53"/>
      <c r="AK115" s="31"/>
    </row>
    <row r="116" spans="1:37" ht="14.25" customHeight="1" x14ac:dyDescent="0.4">
      <c r="A116" s="12"/>
      <c r="B116" s="13"/>
      <c r="C116" s="14"/>
      <c r="D116" s="15"/>
      <c r="F116" s="26"/>
      <c r="J116" s="53"/>
      <c r="K116" s="53"/>
      <c r="L116" s="53"/>
      <c r="M116" s="31"/>
      <c r="N116" s="31"/>
      <c r="O116" s="31"/>
      <c r="P116" s="31"/>
      <c r="Q116" s="5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J116" s="53"/>
      <c r="AK116" s="31"/>
    </row>
    <row r="117" spans="1:37" ht="14.25" customHeight="1" x14ac:dyDescent="0.4">
      <c r="A117" s="12"/>
      <c r="B117" s="13"/>
      <c r="C117" s="14"/>
      <c r="D117" s="15"/>
      <c r="F117" s="26"/>
      <c r="J117" s="53"/>
      <c r="K117" s="53"/>
      <c r="L117" s="53"/>
      <c r="M117" s="31"/>
      <c r="N117" s="31"/>
      <c r="O117" s="31"/>
      <c r="P117" s="31"/>
      <c r="Q117" s="5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J117" s="53"/>
      <c r="AK117" s="31"/>
    </row>
    <row r="118" spans="1:37" ht="14.25" customHeight="1" x14ac:dyDescent="0.4">
      <c r="A118" s="12"/>
      <c r="B118" s="13"/>
      <c r="C118" s="14"/>
      <c r="D118" s="15"/>
      <c r="F118" s="26"/>
      <c r="J118" s="53"/>
      <c r="K118" s="53"/>
      <c r="L118" s="53"/>
      <c r="M118" s="31"/>
      <c r="N118" s="31"/>
      <c r="O118" s="31"/>
      <c r="P118" s="31"/>
      <c r="Q118" s="5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J118" s="53"/>
      <c r="AK118" s="31"/>
    </row>
    <row r="119" spans="1:37" ht="14.25" customHeight="1" x14ac:dyDescent="0.4">
      <c r="A119" s="12"/>
      <c r="B119" s="13"/>
      <c r="C119" s="14"/>
      <c r="D119" s="15"/>
      <c r="F119" s="26"/>
      <c r="J119" s="53"/>
      <c r="K119" s="53"/>
      <c r="L119" s="53"/>
      <c r="M119" s="31"/>
      <c r="N119" s="31"/>
      <c r="O119" s="31"/>
      <c r="P119" s="31"/>
      <c r="Q119" s="5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J119" s="53"/>
      <c r="AK119" s="31"/>
    </row>
    <row r="120" spans="1:37" ht="14.25" customHeight="1" x14ac:dyDescent="0.4">
      <c r="A120" s="12"/>
      <c r="B120" s="13"/>
      <c r="C120" s="14"/>
      <c r="D120" s="15"/>
      <c r="F120" s="26"/>
      <c r="J120" s="53"/>
      <c r="K120" s="53"/>
      <c r="L120" s="53"/>
      <c r="M120" s="31"/>
      <c r="N120" s="31"/>
      <c r="O120" s="31"/>
      <c r="P120" s="31"/>
      <c r="Q120" s="5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J120" s="53"/>
      <c r="AK120" s="31"/>
    </row>
    <row r="121" spans="1:37" ht="14.25" customHeight="1" x14ac:dyDescent="0.4">
      <c r="A121" s="12"/>
      <c r="B121" s="13"/>
      <c r="C121" s="14"/>
      <c r="D121" s="15"/>
      <c r="F121" s="26"/>
      <c r="J121" s="53"/>
      <c r="K121" s="53"/>
      <c r="L121" s="53"/>
      <c r="M121" s="31"/>
      <c r="N121" s="31"/>
      <c r="O121" s="31"/>
      <c r="P121" s="31"/>
      <c r="Q121" s="5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J121" s="53"/>
      <c r="AK121" s="31"/>
    </row>
    <row r="122" spans="1:37" ht="14.25" customHeight="1" x14ac:dyDescent="0.4">
      <c r="A122" s="12"/>
      <c r="B122" s="13"/>
      <c r="C122" s="74"/>
      <c r="D122" s="15"/>
      <c r="F122" s="26"/>
      <c r="J122" s="53"/>
      <c r="K122" s="53"/>
      <c r="L122" s="53"/>
      <c r="M122" s="31"/>
      <c r="N122" s="31"/>
      <c r="O122" s="31"/>
      <c r="P122" s="31"/>
      <c r="Q122" s="5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J122" s="53"/>
      <c r="AK122" s="31"/>
    </row>
    <row r="123" spans="1:37" ht="14.25" customHeight="1" x14ac:dyDescent="0.4">
      <c r="A123" s="12"/>
      <c r="B123" s="13"/>
      <c r="C123" s="74"/>
      <c r="D123" s="15"/>
      <c r="F123" s="26"/>
      <c r="J123" s="53"/>
      <c r="K123" s="53"/>
      <c r="L123" s="53"/>
      <c r="M123" s="31"/>
      <c r="N123" s="31"/>
      <c r="O123" s="31"/>
      <c r="P123" s="31"/>
      <c r="Q123" s="5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J123" s="53"/>
      <c r="AK123" s="31"/>
    </row>
    <row r="124" spans="1:37" ht="14.25" customHeight="1" x14ac:dyDescent="0.4">
      <c r="A124" s="12"/>
      <c r="B124" s="13"/>
      <c r="C124" s="74"/>
      <c r="D124" s="15"/>
      <c r="F124" s="26"/>
      <c r="J124" s="53"/>
      <c r="K124" s="53"/>
      <c r="L124" s="53"/>
      <c r="M124" s="31"/>
      <c r="N124" s="31"/>
      <c r="O124" s="31"/>
      <c r="P124" s="31"/>
      <c r="Q124" s="5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J124" s="53"/>
      <c r="AK124" s="31"/>
    </row>
    <row r="125" spans="1:37" ht="14.25" customHeight="1" x14ac:dyDescent="0.4">
      <c r="A125" s="12"/>
      <c r="B125" s="13"/>
      <c r="C125" s="74"/>
      <c r="D125" s="15"/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J125" s="53"/>
      <c r="AK125" s="31"/>
    </row>
    <row r="126" spans="1:37" ht="14.25" customHeight="1" x14ac:dyDescent="0.4">
      <c r="A126" s="12"/>
      <c r="B126" s="13"/>
      <c r="C126" s="14"/>
      <c r="D126" s="15"/>
      <c r="F126" s="26"/>
    </row>
    <row r="127" spans="1:37" ht="14.25" customHeight="1" x14ac:dyDescent="0.4">
      <c r="A127" s="12"/>
      <c r="B127" s="13"/>
      <c r="C127" s="14"/>
      <c r="D127" s="15"/>
      <c r="F127" s="26"/>
    </row>
    <row r="128" spans="1:37" ht="14.25" customHeight="1" x14ac:dyDescent="0.4">
      <c r="A128" s="12"/>
      <c r="B128" s="13"/>
      <c r="C128" s="14"/>
      <c r="D128" s="15"/>
      <c r="F128" s="26"/>
    </row>
    <row r="129" spans="1:6" ht="14.25" customHeight="1" x14ac:dyDescent="0.4">
      <c r="A129" s="12"/>
      <c r="B129" s="13"/>
      <c r="C129" s="14"/>
      <c r="D129" s="15"/>
      <c r="F129" s="26"/>
    </row>
    <row r="130" spans="1:6" ht="14.25" customHeight="1" x14ac:dyDescent="0.4">
      <c r="A130" s="12"/>
      <c r="B130" s="13"/>
      <c r="C130" s="14"/>
      <c r="D130" s="15"/>
      <c r="F130" s="26"/>
    </row>
    <row r="131" spans="1:6" ht="14.25" customHeight="1" x14ac:dyDescent="0.4">
      <c r="A131" s="12"/>
      <c r="B131" s="13"/>
      <c r="C131" s="14"/>
      <c r="D131" s="15"/>
      <c r="F131" s="26"/>
    </row>
    <row r="132" spans="1:6" ht="14.25" customHeight="1" x14ac:dyDescent="0.4">
      <c r="A132" s="12"/>
      <c r="B132" s="13"/>
      <c r="C132" s="14"/>
      <c r="D132" s="15"/>
      <c r="F132" s="26"/>
    </row>
    <row r="133" spans="1:6" ht="14.25" customHeight="1" x14ac:dyDescent="0.4">
      <c r="A133" s="12"/>
      <c r="B133" s="13"/>
      <c r="C133" s="14"/>
      <c r="D133" s="15"/>
      <c r="F133" s="26"/>
    </row>
    <row r="134" spans="1:6" ht="14.25" customHeight="1" x14ac:dyDescent="0.4">
      <c r="A134" s="12"/>
      <c r="B134" s="13"/>
      <c r="C134" s="14"/>
      <c r="D134" s="15"/>
      <c r="F134" s="26"/>
    </row>
    <row r="135" spans="1:6" ht="14.25" customHeight="1" x14ac:dyDescent="0.4">
      <c r="A135" s="12"/>
      <c r="B135" s="13"/>
      <c r="C135" s="14"/>
      <c r="D135" s="15"/>
      <c r="F135" s="26"/>
    </row>
    <row r="136" spans="1:6" ht="14.25" customHeight="1" x14ac:dyDescent="0.4">
      <c r="A136" s="12"/>
      <c r="B136" s="13"/>
      <c r="C136" s="14"/>
      <c r="D136" s="15"/>
      <c r="F136" s="26"/>
    </row>
    <row r="137" spans="1:6" ht="14.25" customHeight="1" x14ac:dyDescent="0.4">
      <c r="A137" s="12"/>
      <c r="B137" s="13"/>
      <c r="C137" s="14"/>
      <c r="D137" s="15"/>
      <c r="F137" s="26"/>
    </row>
    <row r="138" spans="1:6" ht="14.25" customHeight="1" x14ac:dyDescent="0.4">
      <c r="A138" s="12"/>
      <c r="B138" s="13"/>
      <c r="C138" s="14"/>
      <c r="D138" s="15"/>
      <c r="F138" s="26"/>
    </row>
    <row r="139" spans="1:6" ht="14.25" customHeight="1" x14ac:dyDescent="0.4">
      <c r="A139" s="12"/>
      <c r="B139" s="13"/>
      <c r="C139" s="14"/>
      <c r="D139" s="15"/>
      <c r="F139" s="26"/>
    </row>
    <row r="140" spans="1:6" ht="14.25" customHeight="1" x14ac:dyDescent="0.4">
      <c r="A140" s="12"/>
      <c r="B140" s="13"/>
      <c r="C140" s="14"/>
      <c r="D140" s="15"/>
      <c r="F140" s="26"/>
    </row>
    <row r="141" spans="1:6" ht="14.25" customHeight="1" x14ac:dyDescent="0.4">
      <c r="A141" s="12"/>
      <c r="B141" s="13"/>
      <c r="C141" s="14"/>
      <c r="D141" s="15"/>
      <c r="F141" s="26"/>
    </row>
    <row r="142" spans="1:6" ht="14.25" customHeight="1" x14ac:dyDescent="0.4">
      <c r="A142" s="12"/>
      <c r="B142" s="13"/>
      <c r="C142" s="14"/>
      <c r="D142" s="15"/>
      <c r="F142" s="26"/>
    </row>
    <row r="143" spans="1:6" ht="14.25" customHeight="1" x14ac:dyDescent="0.4">
      <c r="A143" s="12"/>
      <c r="B143" s="13"/>
      <c r="C143" s="14"/>
      <c r="D143" s="15"/>
      <c r="F143" s="26"/>
    </row>
    <row r="144" spans="1:6" ht="14.25" customHeight="1" x14ac:dyDescent="0.4">
      <c r="A144" s="12"/>
      <c r="B144" s="13"/>
      <c r="C144" s="14"/>
      <c r="D144" s="15"/>
      <c r="F144" s="26"/>
    </row>
    <row r="145" spans="1:6" ht="14.25" customHeight="1" x14ac:dyDescent="0.4">
      <c r="A145" s="12"/>
      <c r="B145" s="13"/>
      <c r="C145" s="14"/>
      <c r="D145" s="15"/>
      <c r="F145" s="26"/>
    </row>
    <row r="146" spans="1:6" ht="14.25" customHeight="1" x14ac:dyDescent="0.4">
      <c r="A146" s="12"/>
      <c r="B146" s="13"/>
      <c r="C146" s="14"/>
      <c r="D146" s="15"/>
      <c r="F146" s="26"/>
    </row>
    <row r="147" spans="1:6" ht="14.25" customHeight="1" x14ac:dyDescent="0.4">
      <c r="A147" s="12"/>
      <c r="B147" s="13"/>
      <c r="C147" s="14"/>
      <c r="D147" s="15"/>
      <c r="F147" s="26"/>
    </row>
    <row r="148" spans="1:6" ht="14.25" customHeight="1" x14ac:dyDescent="0.4">
      <c r="A148" s="12"/>
      <c r="B148" s="13"/>
      <c r="C148" s="14"/>
      <c r="D148" s="15"/>
      <c r="F148" s="26"/>
    </row>
    <row r="149" spans="1:6" ht="14.25" customHeight="1" x14ac:dyDescent="0.4">
      <c r="A149" s="12"/>
      <c r="B149" s="13"/>
      <c r="C149" s="14"/>
      <c r="D149" s="15"/>
      <c r="F149" s="26"/>
    </row>
    <row r="150" spans="1:6" ht="14.25" customHeight="1" x14ac:dyDescent="0.4">
      <c r="A150" s="12"/>
      <c r="B150" s="13"/>
      <c r="C150" s="14"/>
      <c r="D150" s="15"/>
      <c r="F150" s="26"/>
    </row>
    <row r="151" spans="1:6" ht="14.25" customHeight="1" x14ac:dyDescent="0.4">
      <c r="A151" s="12"/>
      <c r="B151" s="13"/>
      <c r="C151" s="14"/>
      <c r="D151" s="15"/>
      <c r="F151" s="26"/>
    </row>
    <row r="152" spans="1:6" ht="14.25" customHeight="1" x14ac:dyDescent="0.4">
      <c r="A152" s="12"/>
      <c r="B152" s="13"/>
      <c r="C152" s="14"/>
      <c r="D152" s="15"/>
      <c r="F152" s="26"/>
    </row>
    <row r="153" spans="1:6" ht="14.25" customHeight="1" x14ac:dyDescent="0.4">
      <c r="A153" s="12"/>
      <c r="B153" s="13"/>
      <c r="C153" s="14"/>
      <c r="D153" s="15"/>
      <c r="F153" s="26"/>
    </row>
    <row r="154" spans="1:6" ht="14.25" customHeight="1" x14ac:dyDescent="0.4">
      <c r="A154" s="12"/>
      <c r="B154" s="13"/>
      <c r="C154" s="14"/>
      <c r="D154" s="15"/>
      <c r="F154" s="26"/>
    </row>
    <row r="155" spans="1:6" ht="14.25" customHeight="1" x14ac:dyDescent="0.4">
      <c r="A155" s="12"/>
      <c r="B155" s="13"/>
      <c r="C155" s="14"/>
      <c r="D155" s="15"/>
      <c r="F155" s="26"/>
    </row>
    <row r="156" spans="1:6" ht="14.25" customHeight="1" x14ac:dyDescent="0.4">
      <c r="A156" s="12"/>
      <c r="B156" s="13"/>
      <c r="C156" s="14"/>
      <c r="D156" s="15"/>
      <c r="F156" s="26"/>
    </row>
    <row r="157" spans="1:6" ht="14.25" customHeight="1" x14ac:dyDescent="0.4">
      <c r="A157" s="12"/>
      <c r="B157" s="13"/>
      <c r="C157" s="14"/>
      <c r="D157" s="15"/>
      <c r="F157" s="26"/>
    </row>
    <row r="158" spans="1:6" ht="14.25" customHeight="1" x14ac:dyDescent="0.4">
      <c r="A158" s="12"/>
      <c r="B158" s="13"/>
      <c r="C158" s="14"/>
      <c r="D158" s="15"/>
      <c r="F158" s="26"/>
    </row>
    <row r="159" spans="1:6" ht="14.25" customHeight="1" x14ac:dyDescent="0.4">
      <c r="A159" s="12"/>
      <c r="B159" s="13"/>
      <c r="C159" s="14"/>
      <c r="D159" s="15"/>
      <c r="F159" s="26"/>
    </row>
    <row r="160" spans="1:6" ht="14.25" customHeight="1" x14ac:dyDescent="0.4">
      <c r="A160" s="12"/>
      <c r="B160" s="13"/>
      <c r="C160" s="14"/>
      <c r="D160" s="15"/>
    </row>
    <row r="161" spans="1:4" ht="14.25" customHeight="1" x14ac:dyDescent="0.4">
      <c r="A161" s="12"/>
      <c r="B161" s="13"/>
      <c r="C161" s="14"/>
      <c r="D161" s="15"/>
    </row>
    <row r="162" spans="1:4" ht="14.25" customHeight="1" x14ac:dyDescent="0.4">
      <c r="A162" s="12"/>
      <c r="B162" s="13"/>
      <c r="C162" s="14"/>
      <c r="D162" s="15"/>
    </row>
    <row r="163" spans="1:4" ht="14.25" customHeight="1" x14ac:dyDescent="0.4">
      <c r="A163" s="12"/>
      <c r="B163" s="13"/>
      <c r="C163" s="14"/>
      <c r="D163" s="15"/>
    </row>
    <row r="164" spans="1:4" ht="14.25" customHeight="1" x14ac:dyDescent="0.4">
      <c r="A164" s="12"/>
      <c r="B164" s="13"/>
      <c r="C164" s="14"/>
      <c r="D164" s="15"/>
    </row>
    <row r="165" spans="1:4" ht="14.25" customHeight="1" x14ac:dyDescent="0.4">
      <c r="A165" s="12"/>
      <c r="B165" s="13"/>
      <c r="C165" s="14"/>
      <c r="D165" s="15"/>
    </row>
    <row r="166" spans="1:4" ht="14.25" customHeight="1" x14ac:dyDescent="0.4">
      <c r="A166" s="12"/>
      <c r="B166" s="13"/>
      <c r="C166" s="14"/>
      <c r="D166" s="15"/>
    </row>
    <row r="167" spans="1:4" ht="14.25" customHeight="1" x14ac:dyDescent="0.4">
      <c r="A167" s="12"/>
      <c r="B167" s="13"/>
      <c r="C167" s="14"/>
      <c r="D167" s="15"/>
    </row>
    <row r="168" spans="1:4" ht="14.25" customHeight="1" x14ac:dyDescent="0.4">
      <c r="A168" s="12"/>
      <c r="B168" s="13"/>
      <c r="C168" s="14"/>
      <c r="D168" s="15"/>
    </row>
    <row r="169" spans="1:4" ht="14.25" customHeight="1" x14ac:dyDescent="0.4">
      <c r="A169" s="12"/>
      <c r="B169" s="13"/>
      <c r="C169" s="14"/>
      <c r="D169" s="15"/>
    </row>
    <row r="170" spans="1:4" ht="14.25" customHeight="1" x14ac:dyDescent="0.4">
      <c r="A170" s="12"/>
      <c r="B170" s="13"/>
      <c r="C170" s="14"/>
      <c r="D170" s="15"/>
    </row>
    <row r="171" spans="1:4" ht="14.25" customHeight="1" x14ac:dyDescent="0.4">
      <c r="A171" s="12"/>
      <c r="B171" s="13"/>
      <c r="C171" s="14"/>
      <c r="D171" s="15"/>
    </row>
    <row r="172" spans="1:4" ht="14.25" customHeight="1" x14ac:dyDescent="0.4">
      <c r="A172" s="12"/>
      <c r="B172" s="13"/>
      <c r="C172" s="14"/>
      <c r="D172" s="15"/>
    </row>
    <row r="173" spans="1:4" ht="14.25" customHeight="1" x14ac:dyDescent="0.4">
      <c r="A173" s="12"/>
      <c r="B173" s="13"/>
      <c r="C173" s="14"/>
      <c r="D173" s="15"/>
    </row>
    <row r="174" spans="1:4" ht="14.25" customHeight="1" x14ac:dyDescent="0.4">
      <c r="A174" s="12"/>
      <c r="B174" s="13"/>
      <c r="C174" s="14"/>
      <c r="D174" s="15"/>
    </row>
    <row r="175" spans="1:4" ht="14.25" customHeight="1" x14ac:dyDescent="0.4">
      <c r="A175" s="12"/>
      <c r="B175" s="13"/>
      <c r="C175" s="14"/>
      <c r="D175" s="15"/>
    </row>
    <row r="176" spans="1:4" ht="14.25" customHeight="1" x14ac:dyDescent="0.4">
      <c r="A176" s="12"/>
      <c r="B176" s="13"/>
      <c r="C176" s="14"/>
      <c r="D176" s="15"/>
    </row>
    <row r="177" spans="1:4" ht="14.25" customHeight="1" x14ac:dyDescent="0.4">
      <c r="A177" s="12"/>
      <c r="B177" s="13"/>
      <c r="C177" s="14"/>
      <c r="D177" s="15"/>
    </row>
    <row r="178" spans="1:4" ht="14.25" customHeight="1" x14ac:dyDescent="0.4">
      <c r="A178" s="12"/>
      <c r="B178" s="13"/>
      <c r="C178" s="14"/>
      <c r="D178" s="15"/>
    </row>
    <row r="179" spans="1:4" ht="14.25" customHeight="1" x14ac:dyDescent="0.4">
      <c r="A179" s="12"/>
      <c r="B179" s="13"/>
      <c r="C179" s="14"/>
      <c r="D179" s="15"/>
    </row>
    <row r="180" spans="1:4" ht="14.25" customHeight="1" x14ac:dyDescent="0.4">
      <c r="A180" s="12"/>
      <c r="B180" s="13"/>
      <c r="C180" s="14"/>
      <c r="D180" s="15"/>
    </row>
    <row r="181" spans="1:4" ht="14.25" customHeight="1" x14ac:dyDescent="0.4">
      <c r="A181" s="12"/>
      <c r="B181" s="13"/>
      <c r="C181" s="14"/>
      <c r="D181" s="15"/>
    </row>
    <row r="182" spans="1:4" ht="14.25" customHeight="1" x14ac:dyDescent="0.4">
      <c r="A182" s="12"/>
      <c r="B182" s="13"/>
      <c r="C182" s="14"/>
      <c r="D182" s="15"/>
    </row>
    <row r="183" spans="1:4" ht="14.25" customHeight="1" x14ac:dyDescent="0.4">
      <c r="A183" s="12"/>
      <c r="B183" s="13"/>
      <c r="C183" s="14"/>
      <c r="D183" s="15"/>
    </row>
    <row r="184" spans="1:4" ht="14.25" customHeight="1" x14ac:dyDescent="0.4">
      <c r="A184" s="12"/>
      <c r="B184" s="13"/>
      <c r="C184" s="14"/>
      <c r="D184" s="15"/>
    </row>
    <row r="185" spans="1:4" ht="14.25" customHeight="1" x14ac:dyDescent="0.4">
      <c r="A185" s="12"/>
      <c r="B185" s="13"/>
      <c r="C185" s="14"/>
      <c r="D185" s="15"/>
    </row>
    <row r="186" spans="1:4" ht="14.25" customHeight="1" x14ac:dyDescent="0.4">
      <c r="A186" s="12"/>
      <c r="B186" s="13"/>
      <c r="C186" s="14"/>
      <c r="D186" s="15"/>
    </row>
    <row r="187" spans="1:4" ht="14.25" customHeight="1" x14ac:dyDescent="0.4">
      <c r="A187" s="12"/>
      <c r="B187" s="13"/>
      <c r="C187" s="14"/>
      <c r="D187" s="15"/>
    </row>
    <row r="188" spans="1:4" ht="14.25" customHeight="1" x14ac:dyDescent="0.4">
      <c r="A188" s="12"/>
      <c r="B188" s="13"/>
      <c r="C188" s="14"/>
      <c r="D188" s="15"/>
    </row>
    <row r="189" spans="1:4" ht="14.25" customHeight="1" x14ac:dyDescent="0.4">
      <c r="A189" s="12"/>
      <c r="B189" s="13"/>
      <c r="C189" s="14"/>
      <c r="D189" s="15"/>
    </row>
    <row r="190" spans="1:4" ht="14.25" customHeight="1" x14ac:dyDescent="0.4">
      <c r="A190" s="12"/>
      <c r="B190" s="13"/>
      <c r="C190" s="14"/>
      <c r="D190" s="15"/>
    </row>
    <row r="191" spans="1:4" ht="14.25" customHeight="1" x14ac:dyDescent="0.4">
      <c r="A191" s="12"/>
      <c r="B191" s="13"/>
      <c r="C191" s="14"/>
      <c r="D191" s="15"/>
    </row>
    <row r="192" spans="1:4" ht="14.25" customHeight="1" x14ac:dyDescent="0.4">
      <c r="A192" s="12"/>
      <c r="B192" s="13"/>
      <c r="C192" s="14"/>
      <c r="D192" s="15"/>
    </row>
    <row r="193" spans="1:4" ht="14.25" customHeight="1" x14ac:dyDescent="0.4">
      <c r="A193" s="12"/>
      <c r="B193" s="13"/>
      <c r="C193" s="14"/>
      <c r="D193" s="15"/>
    </row>
    <row r="194" spans="1:4" ht="14.25" customHeight="1" x14ac:dyDescent="0.4">
      <c r="A194" s="12"/>
      <c r="B194" s="13"/>
      <c r="C194" s="14"/>
      <c r="D194" s="15"/>
    </row>
    <row r="195" spans="1:4" ht="14.25" customHeight="1" x14ac:dyDescent="0.4">
      <c r="A195" s="12"/>
      <c r="B195" s="13"/>
      <c r="C195" s="14"/>
      <c r="D195" s="15"/>
    </row>
    <row r="196" spans="1:4" ht="14.25" customHeight="1" x14ac:dyDescent="0.4">
      <c r="A196" s="12"/>
      <c r="B196" s="13"/>
      <c r="C196" s="14"/>
      <c r="D196" s="15"/>
    </row>
    <row r="197" spans="1:4" ht="14.25" customHeight="1" x14ac:dyDescent="0.4">
      <c r="A197" s="12"/>
      <c r="B197" s="13"/>
      <c r="C197" s="14"/>
      <c r="D197" s="15"/>
    </row>
    <row r="198" spans="1:4" ht="14.25" customHeight="1" x14ac:dyDescent="0.4">
      <c r="A198" s="12"/>
      <c r="B198" s="13"/>
      <c r="C198" s="14"/>
      <c r="D198" s="15"/>
    </row>
    <row r="199" spans="1:4" ht="14.25" customHeight="1" x14ac:dyDescent="0.4">
      <c r="A199" s="12"/>
      <c r="B199" s="13"/>
      <c r="C199" s="14"/>
      <c r="D199" s="15"/>
    </row>
    <row r="200" spans="1:4" ht="14.25" customHeight="1" x14ac:dyDescent="0.4">
      <c r="A200" s="12"/>
      <c r="B200" s="13"/>
      <c r="C200" s="14"/>
    </row>
    <row r="201" spans="1:4" ht="14.25" customHeight="1" x14ac:dyDescent="0.4">
      <c r="A201" s="12"/>
      <c r="B201" s="13"/>
      <c r="C201" s="14"/>
    </row>
    <row r="202" spans="1:4" ht="14.25" customHeight="1" x14ac:dyDescent="0.4">
      <c r="A202" s="12"/>
      <c r="B202" s="13"/>
      <c r="C202" s="14"/>
    </row>
    <row r="203" spans="1:4" ht="14.25" customHeight="1" x14ac:dyDescent="0.4">
      <c r="A203" s="12"/>
      <c r="B203" s="13"/>
      <c r="C203" s="14"/>
      <c r="D203" s="15"/>
    </row>
    <row r="204" spans="1:4" ht="14.25" customHeight="1" x14ac:dyDescent="0.4">
      <c r="A204" s="12"/>
      <c r="B204" s="13"/>
      <c r="C204" s="14"/>
    </row>
    <row r="205" spans="1:4" ht="14.25" customHeight="1" x14ac:dyDescent="0.4">
      <c r="A205" s="12"/>
      <c r="B205" s="13"/>
      <c r="C205" s="14"/>
    </row>
    <row r="206" spans="1:4" ht="14.25" customHeight="1" x14ac:dyDescent="0.4">
      <c r="A206" s="12"/>
      <c r="B206" s="13"/>
      <c r="C206" s="14"/>
    </row>
    <row r="207" spans="1:4" ht="14.25" customHeight="1" x14ac:dyDescent="0.4">
      <c r="A207" s="12"/>
      <c r="B207" s="13"/>
      <c r="C207" s="14"/>
    </row>
    <row r="208" spans="1:4" ht="14.25" customHeight="1" x14ac:dyDescent="0.4">
      <c r="A208" s="12"/>
      <c r="B208" s="13"/>
      <c r="C208" s="14"/>
    </row>
    <row r="209" spans="1:4" ht="14.25" customHeight="1" x14ac:dyDescent="0.4">
      <c r="A209" s="12"/>
      <c r="B209" s="13"/>
      <c r="C209" s="14"/>
    </row>
    <row r="210" spans="1:4" ht="14.25" customHeight="1" x14ac:dyDescent="0.4">
      <c r="A210" s="12"/>
      <c r="B210" s="13"/>
      <c r="C210" s="14"/>
    </row>
    <row r="211" spans="1:4" ht="14.25" customHeight="1" x14ac:dyDescent="0.4">
      <c r="A211" s="12"/>
      <c r="B211" s="13"/>
      <c r="C211" s="14"/>
    </row>
    <row r="212" spans="1:4" ht="14.25" customHeight="1" x14ac:dyDescent="0.4">
      <c r="A212" s="12"/>
      <c r="B212" s="13"/>
      <c r="C212" s="14"/>
    </row>
    <row r="213" spans="1:4" ht="14.25" customHeight="1" x14ac:dyDescent="0.4">
      <c r="A213" s="12"/>
      <c r="B213" s="13"/>
      <c r="C213" s="14"/>
    </row>
    <row r="214" spans="1:4" ht="14.25" customHeight="1" x14ac:dyDescent="0.4">
      <c r="A214" s="12"/>
      <c r="B214" s="13"/>
      <c r="C214" s="14"/>
    </row>
    <row r="215" spans="1:4" ht="14.25" customHeight="1" x14ac:dyDescent="0.4">
      <c r="A215" s="12"/>
      <c r="B215" s="13"/>
      <c r="C215" s="14"/>
    </row>
    <row r="216" spans="1:4" ht="14.25" customHeight="1" x14ac:dyDescent="0.4">
      <c r="A216" s="12"/>
      <c r="B216" s="13"/>
      <c r="C216" s="14"/>
    </row>
    <row r="217" spans="1:4" ht="14.25" customHeight="1" x14ac:dyDescent="0.4">
      <c r="A217" s="12"/>
      <c r="B217" s="13"/>
      <c r="C217" s="14"/>
    </row>
    <row r="218" spans="1:4" ht="14.25" customHeight="1" x14ac:dyDescent="0.4">
      <c r="A218" s="12"/>
      <c r="B218" s="13"/>
      <c r="C218" s="14"/>
    </row>
    <row r="219" spans="1:4" ht="14.25" customHeight="1" x14ac:dyDescent="0.4">
      <c r="A219" s="12"/>
      <c r="B219" s="13"/>
      <c r="C219" s="14"/>
    </row>
    <row r="220" spans="1:4" ht="14.25" customHeight="1" x14ac:dyDescent="0.4">
      <c r="A220" s="12"/>
      <c r="B220" s="13"/>
      <c r="C220" s="14"/>
      <c r="D220" s="15"/>
    </row>
    <row r="221" spans="1:4" ht="14.25" customHeight="1" x14ac:dyDescent="0.4">
      <c r="A221" s="12"/>
      <c r="B221" s="13"/>
      <c r="C221" s="14"/>
    </row>
    <row r="222" spans="1:4" ht="14.25" customHeight="1" x14ac:dyDescent="0.4">
      <c r="A222" s="12"/>
      <c r="B222" s="13"/>
      <c r="C222" s="14"/>
    </row>
    <row r="223" spans="1:4" ht="14.25" customHeight="1" x14ac:dyDescent="0.4">
      <c r="A223" s="12"/>
      <c r="B223" s="13"/>
      <c r="C223" s="14"/>
    </row>
    <row r="224" spans="1:4" ht="14.25" customHeight="1" x14ac:dyDescent="0.4">
      <c r="A224" s="12"/>
      <c r="B224" s="13"/>
      <c r="C224" s="14"/>
    </row>
    <row r="225" spans="1:3" ht="14.25" customHeight="1" x14ac:dyDescent="0.4">
      <c r="A225" s="12"/>
      <c r="B225" s="13"/>
      <c r="C225" s="14"/>
    </row>
    <row r="226" spans="1:3" ht="14.25" customHeight="1" x14ac:dyDescent="0.4">
      <c r="A226" s="12"/>
      <c r="B226" s="13"/>
      <c r="C226" s="14"/>
    </row>
    <row r="227" spans="1:3" ht="14.25" customHeight="1" x14ac:dyDescent="0.4">
      <c r="A227" s="12"/>
      <c r="B227" s="13"/>
      <c r="C227" s="14"/>
    </row>
    <row r="228" spans="1:3" ht="14.25" customHeight="1" x14ac:dyDescent="0.4">
      <c r="A228" s="12"/>
      <c r="B228" s="13"/>
      <c r="C228" s="14"/>
    </row>
    <row r="229" spans="1:3" ht="14.25" customHeight="1" x14ac:dyDescent="0.4">
      <c r="A229" s="12"/>
      <c r="B229" s="13"/>
      <c r="C229" s="14"/>
    </row>
    <row r="230" spans="1:3" ht="14.25" customHeight="1" x14ac:dyDescent="0.4">
      <c r="A230" s="12"/>
      <c r="B230" s="13"/>
      <c r="C230" s="14"/>
    </row>
    <row r="231" spans="1:3" ht="14.25" customHeight="1" x14ac:dyDescent="0.4">
      <c r="A231" s="12"/>
      <c r="B231" s="13"/>
      <c r="C231" s="14"/>
    </row>
    <row r="232" spans="1:3" ht="14.25" customHeight="1" x14ac:dyDescent="0.4">
      <c r="A232" s="12"/>
      <c r="B232" s="13"/>
      <c r="C232" s="14"/>
    </row>
    <row r="233" spans="1:3" ht="14.25" customHeight="1" x14ac:dyDescent="0.4">
      <c r="A233" s="12"/>
      <c r="B233" s="13"/>
      <c r="C233" s="14"/>
    </row>
    <row r="234" spans="1:3" ht="14.25" customHeight="1" x14ac:dyDescent="0.4">
      <c r="A234" s="12"/>
      <c r="B234" s="13"/>
      <c r="C234" s="14"/>
    </row>
    <row r="235" spans="1:3" ht="14.25" customHeight="1" x14ac:dyDescent="0.4">
      <c r="A235" s="12"/>
      <c r="B235" s="13"/>
      <c r="C235" s="14"/>
    </row>
    <row r="236" spans="1:3" ht="14.25" customHeight="1" x14ac:dyDescent="0.4">
      <c r="A236" s="12"/>
      <c r="B236" s="13"/>
      <c r="C236" s="14"/>
    </row>
    <row r="237" spans="1:3" ht="14.25" customHeight="1" x14ac:dyDescent="0.4">
      <c r="A237" s="12"/>
      <c r="B237" s="13"/>
      <c r="C237" s="14"/>
    </row>
    <row r="238" spans="1:3" ht="14.25" customHeight="1" x14ac:dyDescent="0.4">
      <c r="A238" s="12"/>
      <c r="B238" s="13"/>
      <c r="C238" s="14"/>
    </row>
    <row r="239" spans="1:3" ht="14.25" customHeight="1" x14ac:dyDescent="0.4">
      <c r="A239" s="12"/>
      <c r="B239" s="13"/>
      <c r="C239" s="14"/>
    </row>
    <row r="240" spans="1:3" ht="14.25" customHeight="1" x14ac:dyDescent="0.4">
      <c r="A240" s="12"/>
      <c r="B240" s="13"/>
      <c r="C240" s="14"/>
    </row>
    <row r="241" spans="1:4" ht="14.25" customHeight="1" x14ac:dyDescent="0.4">
      <c r="A241" s="12"/>
      <c r="B241" s="13"/>
      <c r="C241" s="14"/>
    </row>
    <row r="242" spans="1:4" ht="14.25" customHeight="1" x14ac:dyDescent="0.4">
      <c r="A242" s="12"/>
      <c r="B242" s="13"/>
      <c r="C242" s="14"/>
    </row>
    <row r="243" spans="1:4" ht="14.25" customHeight="1" x14ac:dyDescent="0.4">
      <c r="A243" s="12"/>
      <c r="B243" s="13"/>
      <c r="C243" s="14"/>
    </row>
    <row r="244" spans="1:4" ht="14.25" customHeight="1" x14ac:dyDescent="0.4">
      <c r="A244" s="12"/>
      <c r="B244" s="13"/>
      <c r="C244" s="14"/>
    </row>
    <row r="245" spans="1:4" ht="14.25" customHeight="1" x14ac:dyDescent="0.4">
      <c r="A245" s="12"/>
      <c r="B245" s="13"/>
      <c r="C245" s="14"/>
    </row>
    <row r="246" spans="1:4" ht="14.25" customHeight="1" x14ac:dyDescent="0.4">
      <c r="A246" s="12"/>
      <c r="B246" s="13"/>
      <c r="C246" s="14"/>
      <c r="D246" s="4"/>
    </row>
    <row r="247" spans="1:4" ht="14.25" customHeight="1" x14ac:dyDescent="0.4">
      <c r="A247" s="12"/>
      <c r="B247" s="13"/>
      <c r="C247" s="14"/>
    </row>
    <row r="248" spans="1:4" ht="14.25" customHeight="1" x14ac:dyDescent="0.4">
      <c r="A248" s="12"/>
      <c r="B248" s="13"/>
      <c r="C248" s="14"/>
      <c r="D248" s="15"/>
    </row>
    <row r="249" spans="1:4" ht="14.25" customHeight="1" x14ac:dyDescent="0.4">
      <c r="A249" s="12"/>
      <c r="B249" s="13"/>
      <c r="C249" s="14"/>
    </row>
    <row r="250" spans="1:4" ht="14.25" customHeight="1" x14ac:dyDescent="0.4">
      <c r="A250" s="12"/>
      <c r="B250" s="13"/>
      <c r="C250" s="14"/>
    </row>
    <row r="251" spans="1:4" ht="14.25" customHeight="1" x14ac:dyDescent="0.4">
      <c r="A251" s="12"/>
      <c r="B251" s="13"/>
      <c r="C251" s="14"/>
    </row>
    <row r="252" spans="1:4" ht="14.25" customHeight="1" x14ac:dyDescent="0.4">
      <c r="A252" s="12"/>
      <c r="B252" s="13"/>
      <c r="C252" s="14"/>
    </row>
    <row r="253" spans="1:4" ht="14.25" customHeight="1" x14ac:dyDescent="0.4">
      <c r="A253" s="12"/>
      <c r="B253" s="13"/>
      <c r="C253" s="14"/>
    </row>
    <row r="254" spans="1:4" ht="14.25" customHeight="1" x14ac:dyDescent="0.4">
      <c r="A254" s="12"/>
      <c r="B254" s="13"/>
      <c r="C254" s="14"/>
    </row>
    <row r="255" spans="1:4" ht="14.25" customHeight="1" x14ac:dyDescent="0.4">
      <c r="A255" s="12"/>
      <c r="B255" s="13"/>
      <c r="C255" s="14"/>
    </row>
    <row r="256" spans="1:4" ht="14.25" customHeight="1" x14ac:dyDescent="0.4">
      <c r="A256" s="12"/>
      <c r="B256" s="13"/>
      <c r="C256" s="14"/>
    </row>
    <row r="257" spans="1:3" ht="14.25" customHeight="1" x14ac:dyDescent="0.4">
      <c r="A257" s="12"/>
      <c r="B257" s="13"/>
      <c r="C257" s="14"/>
    </row>
    <row r="258" spans="1:3" ht="14.25" customHeight="1" x14ac:dyDescent="0.4">
      <c r="A258" s="12"/>
      <c r="B258" s="13"/>
      <c r="C258" s="14"/>
    </row>
    <row r="259" spans="1:3" ht="14.25" customHeight="1" x14ac:dyDescent="0.4">
      <c r="A259" s="12"/>
      <c r="B259" s="13"/>
      <c r="C259" s="14"/>
    </row>
    <row r="260" spans="1:3" ht="14.25" customHeight="1" x14ac:dyDescent="0.4">
      <c r="A260" s="12"/>
      <c r="B260" s="13"/>
      <c r="C260" s="14"/>
    </row>
    <row r="261" spans="1:3" ht="14.25" customHeight="1" x14ac:dyDescent="0.4">
      <c r="A261" s="12"/>
      <c r="B261" s="13"/>
      <c r="C261" s="14"/>
    </row>
    <row r="262" spans="1:3" ht="14.25" customHeight="1" x14ac:dyDescent="0.4">
      <c r="A262" s="12"/>
      <c r="B262" s="13"/>
      <c r="C262" s="14"/>
    </row>
    <row r="263" spans="1:3" ht="14.25" customHeight="1" x14ac:dyDescent="0.4">
      <c r="A263" s="12"/>
      <c r="B263" s="13"/>
      <c r="C263" s="14"/>
    </row>
    <row r="264" spans="1:3" ht="14.25" customHeight="1" x14ac:dyDescent="0.4">
      <c r="A264" s="12"/>
      <c r="B264" s="13"/>
      <c r="C264" s="14"/>
    </row>
    <row r="265" spans="1:3" ht="14.25" customHeight="1" x14ac:dyDescent="0.4">
      <c r="A265" s="12"/>
      <c r="B265" s="13"/>
      <c r="C265" s="14"/>
    </row>
    <row r="266" spans="1:3" ht="14.25" customHeight="1" x14ac:dyDescent="0.4">
      <c r="A266" s="12"/>
      <c r="B266" s="13"/>
      <c r="C266" s="14"/>
    </row>
    <row r="267" spans="1:3" ht="14.25" customHeight="1" x14ac:dyDescent="0.4">
      <c r="A267" s="12"/>
      <c r="B267" s="13"/>
      <c r="C267" s="14"/>
    </row>
    <row r="268" spans="1:3" ht="14.25" customHeight="1" x14ac:dyDescent="0.4">
      <c r="A268" s="12"/>
      <c r="B268" s="13"/>
      <c r="C268" s="14"/>
    </row>
    <row r="269" spans="1:3" ht="14.25" customHeight="1" x14ac:dyDescent="0.4">
      <c r="A269" s="12"/>
      <c r="B269" s="13"/>
      <c r="C269" s="14"/>
    </row>
    <row r="270" spans="1:3" ht="14.25" customHeight="1" x14ac:dyDescent="0.4">
      <c r="A270" s="12"/>
      <c r="B270" s="13"/>
      <c r="C270" s="14"/>
    </row>
    <row r="271" spans="1:3" ht="14.25" customHeight="1" x14ac:dyDescent="0.4">
      <c r="A271" s="12"/>
      <c r="B271" s="13"/>
      <c r="C271" s="14"/>
    </row>
    <row r="272" spans="1:3" ht="14.25" customHeight="1" x14ac:dyDescent="0.4">
      <c r="A272" s="12"/>
      <c r="B272" s="13"/>
      <c r="C272" s="14"/>
    </row>
    <row r="273" spans="1:3" ht="14.25" customHeight="1" x14ac:dyDescent="0.4">
      <c r="A273" s="12"/>
      <c r="B273" s="13"/>
      <c r="C273" s="14"/>
    </row>
    <row r="274" spans="1:3" ht="14.25" customHeight="1" x14ac:dyDescent="0.4">
      <c r="A274" s="12"/>
      <c r="B274" s="13"/>
      <c r="C274" s="14"/>
    </row>
    <row r="275" spans="1:3" ht="14.25" customHeight="1" x14ac:dyDescent="0.4">
      <c r="A275" s="12"/>
      <c r="B275" s="13"/>
      <c r="C275" s="14"/>
    </row>
    <row r="276" spans="1:3" ht="14.25" customHeight="1" x14ac:dyDescent="0.4">
      <c r="A276" s="12"/>
      <c r="B276" s="13"/>
      <c r="C276" s="14"/>
    </row>
    <row r="277" spans="1:3" ht="14.25" customHeight="1" x14ac:dyDescent="0.4">
      <c r="A277" s="12"/>
      <c r="B277" s="13"/>
      <c r="C277" s="14"/>
    </row>
    <row r="278" spans="1:3" ht="14.25" customHeight="1" x14ac:dyDescent="0.4">
      <c r="A278" s="12"/>
      <c r="B278" s="13"/>
      <c r="C278" s="14"/>
    </row>
    <row r="279" spans="1:3" ht="14.25" customHeight="1" x14ac:dyDescent="0.4">
      <c r="A279" s="12"/>
      <c r="B279" s="13"/>
      <c r="C279" s="14"/>
    </row>
    <row r="280" spans="1:3" ht="14.25" customHeight="1" x14ac:dyDescent="0.4">
      <c r="A280" s="12"/>
      <c r="B280" s="13"/>
      <c r="C280" s="14"/>
    </row>
    <row r="281" spans="1:3" ht="14.25" customHeight="1" x14ac:dyDescent="0.4">
      <c r="A281" s="12"/>
      <c r="B281" s="13"/>
      <c r="C281" s="14"/>
    </row>
    <row r="282" spans="1:3" ht="14.25" customHeight="1" x14ac:dyDescent="0.4">
      <c r="A282" s="12"/>
      <c r="B282" s="13"/>
      <c r="C282" s="14"/>
    </row>
    <row r="283" spans="1:3" ht="14.25" customHeight="1" x14ac:dyDescent="0.4">
      <c r="A283" s="12"/>
      <c r="B283" s="13"/>
      <c r="C283" s="14"/>
    </row>
    <row r="284" spans="1:3" ht="14.25" customHeight="1" x14ac:dyDescent="0.4">
      <c r="A284" s="12"/>
      <c r="B284" s="13"/>
      <c r="C284" s="14"/>
    </row>
    <row r="285" spans="1:3" ht="14.25" customHeight="1" x14ac:dyDescent="0.4">
      <c r="A285" s="12"/>
      <c r="B285" s="13"/>
      <c r="C285" s="14"/>
    </row>
    <row r="286" spans="1:3" ht="14.25" customHeight="1" x14ac:dyDescent="0.4">
      <c r="A286" s="12"/>
      <c r="B286" s="13"/>
      <c r="C286" s="14"/>
    </row>
    <row r="287" spans="1:3" ht="14.25" customHeight="1" x14ac:dyDescent="0.4">
      <c r="A287" s="12"/>
      <c r="B287" s="13"/>
      <c r="C287" s="14"/>
    </row>
    <row r="288" spans="1:3" ht="14.25" customHeight="1" x14ac:dyDescent="0.4">
      <c r="A288" s="12"/>
      <c r="B288" s="13"/>
      <c r="C288" s="14"/>
    </row>
    <row r="289" spans="1:3" ht="14.25" customHeight="1" x14ac:dyDescent="0.4">
      <c r="A289" s="12"/>
      <c r="B289" s="13"/>
      <c r="C289" s="14"/>
    </row>
    <row r="290" spans="1:3" ht="14.25" customHeight="1" x14ac:dyDescent="0.4">
      <c r="A290" s="12"/>
      <c r="B290" s="13"/>
      <c r="C290" s="14"/>
    </row>
    <row r="291" spans="1:3" ht="14.25" customHeight="1" x14ac:dyDescent="0.4">
      <c r="A291" s="12"/>
      <c r="B291" s="13"/>
      <c r="C291" s="14"/>
    </row>
    <row r="292" spans="1:3" ht="14.25" customHeight="1" x14ac:dyDescent="0.4">
      <c r="A292" s="12"/>
      <c r="B292" s="13"/>
      <c r="C292" s="14"/>
    </row>
    <row r="293" spans="1:3" ht="14.25" customHeight="1" x14ac:dyDescent="0.4">
      <c r="A293" s="12"/>
      <c r="B293" s="13"/>
      <c r="C293" s="14"/>
    </row>
    <row r="294" spans="1:3" ht="14.25" customHeight="1" x14ac:dyDescent="0.4">
      <c r="A294" s="12"/>
      <c r="B294" s="13"/>
      <c r="C294" s="14"/>
    </row>
    <row r="295" spans="1:3" ht="14.25" customHeight="1" x14ac:dyDescent="0.4">
      <c r="A295" s="12"/>
      <c r="B295" s="13"/>
      <c r="C295" s="14"/>
    </row>
    <row r="296" spans="1:3" ht="14.25" customHeight="1" x14ac:dyDescent="0.4">
      <c r="A296" s="12"/>
      <c r="B296" s="13"/>
      <c r="C296" s="14"/>
    </row>
    <row r="297" spans="1:3" ht="14.25" customHeight="1" x14ac:dyDescent="0.4">
      <c r="A297" s="12"/>
      <c r="B297" s="13"/>
      <c r="C297" s="14"/>
    </row>
    <row r="298" spans="1:3" ht="14.25" customHeight="1" x14ac:dyDescent="0.4">
      <c r="A298" s="12"/>
      <c r="B298" s="13"/>
      <c r="C298" s="14"/>
    </row>
    <row r="299" spans="1:3" ht="14.25" customHeight="1" x14ac:dyDescent="0.4">
      <c r="A299" s="12"/>
      <c r="B299" s="13"/>
      <c r="C299" s="14"/>
    </row>
    <row r="300" spans="1:3" ht="14.25" customHeight="1" x14ac:dyDescent="0.4"/>
    <row r="301" spans="1:3" ht="14.25" customHeight="1" x14ac:dyDescent="0.4"/>
    <row r="302" spans="1:3" ht="14.25" customHeight="1" x14ac:dyDescent="0.4"/>
    <row r="303" spans="1:3" ht="14.25" customHeight="1" x14ac:dyDescent="0.4"/>
    <row r="304" spans="1:3" ht="14.25" customHeight="1" x14ac:dyDescent="0.4"/>
    <row r="305" ht="14.25" customHeight="1" x14ac:dyDescent="0.4"/>
    <row r="306" ht="14.25" customHeight="1" x14ac:dyDescent="0.4"/>
    <row r="307" ht="14.25" customHeight="1" x14ac:dyDescent="0.4"/>
    <row r="308" ht="14.25" customHeight="1" x14ac:dyDescent="0.4"/>
    <row r="309" ht="14.25" customHeight="1" x14ac:dyDescent="0.4"/>
    <row r="310" ht="14.25" customHeight="1" x14ac:dyDescent="0.4"/>
    <row r="311" ht="14.25" customHeight="1" x14ac:dyDescent="0.4"/>
    <row r="312" ht="14.25" customHeight="1" x14ac:dyDescent="0.4"/>
    <row r="313" ht="14.25" customHeight="1" x14ac:dyDescent="0.4"/>
    <row r="314" ht="14.25" customHeight="1" x14ac:dyDescent="0.4"/>
    <row r="315" ht="14.25" customHeight="1" x14ac:dyDescent="0.4"/>
    <row r="316" ht="14.25" customHeight="1" x14ac:dyDescent="0.4"/>
    <row r="317" ht="14.25" customHeight="1" x14ac:dyDescent="0.4"/>
    <row r="318" ht="14.25" customHeight="1" x14ac:dyDescent="0.4"/>
    <row r="319" ht="14.25" customHeight="1" x14ac:dyDescent="0.4"/>
    <row r="320" ht="14.25" customHeight="1" x14ac:dyDescent="0.4"/>
    <row r="321" ht="14.25" customHeight="1" x14ac:dyDescent="0.4"/>
    <row r="322" ht="14.25" customHeight="1" x14ac:dyDescent="0.4"/>
    <row r="323" ht="14.25" customHeight="1" x14ac:dyDescent="0.4"/>
    <row r="324" ht="14.25" customHeight="1" x14ac:dyDescent="0.4"/>
    <row r="325" ht="14.25" customHeight="1" x14ac:dyDescent="0.4"/>
    <row r="326" ht="14.25" customHeight="1" x14ac:dyDescent="0.4"/>
    <row r="327" ht="14.25" customHeight="1" x14ac:dyDescent="0.4"/>
    <row r="328" ht="14.25" customHeight="1" x14ac:dyDescent="0.4"/>
    <row r="329" ht="14.25" customHeight="1" x14ac:dyDescent="0.4"/>
    <row r="330" ht="14.25" customHeight="1" x14ac:dyDescent="0.4"/>
    <row r="331" ht="14.25" customHeight="1" x14ac:dyDescent="0.4"/>
    <row r="332" ht="14.25" customHeight="1" x14ac:dyDescent="0.4"/>
    <row r="333" ht="14.25" customHeight="1" x14ac:dyDescent="0.4"/>
    <row r="334" ht="14.25" customHeight="1" x14ac:dyDescent="0.4"/>
    <row r="335" ht="14.25" customHeight="1" x14ac:dyDescent="0.4"/>
    <row r="336" ht="14.25" customHeight="1" x14ac:dyDescent="0.4"/>
    <row r="337" ht="14.25" customHeight="1" x14ac:dyDescent="0.4"/>
    <row r="338" ht="14.25" customHeight="1" x14ac:dyDescent="0.4"/>
    <row r="339" ht="14.25" customHeight="1" x14ac:dyDescent="0.4"/>
    <row r="340" ht="14.25" customHeight="1" x14ac:dyDescent="0.4"/>
    <row r="341" ht="14.25" customHeight="1" x14ac:dyDescent="0.4"/>
    <row r="342" ht="14.25" customHeight="1" x14ac:dyDescent="0.4"/>
    <row r="343" ht="14.25" customHeight="1" x14ac:dyDescent="0.4"/>
    <row r="344" ht="14.25" customHeight="1" x14ac:dyDescent="0.4"/>
    <row r="345" ht="14.25" customHeight="1" x14ac:dyDescent="0.4"/>
    <row r="346" ht="14.25" customHeight="1" x14ac:dyDescent="0.4"/>
    <row r="347" ht="14.25" customHeight="1" x14ac:dyDescent="0.4"/>
    <row r="348" ht="14.25" customHeight="1" x14ac:dyDescent="0.4"/>
    <row r="349" ht="14.25" customHeight="1" x14ac:dyDescent="0.4"/>
    <row r="350" ht="14.25" customHeight="1" x14ac:dyDescent="0.4"/>
    <row r="351" ht="14.25" customHeight="1" x14ac:dyDescent="0.4"/>
    <row r="352" ht="14.25" customHeight="1" x14ac:dyDescent="0.4"/>
    <row r="353" ht="14.25" customHeight="1" x14ac:dyDescent="0.4"/>
    <row r="354" ht="14.25" customHeight="1" x14ac:dyDescent="0.4"/>
    <row r="355" ht="14.25" customHeight="1" x14ac:dyDescent="0.4"/>
    <row r="356" ht="14.25" customHeight="1" x14ac:dyDescent="0.4"/>
    <row r="357" ht="14.25" customHeight="1" x14ac:dyDescent="0.4"/>
    <row r="358" ht="14.25" customHeight="1" x14ac:dyDescent="0.4"/>
    <row r="359" ht="14.25" customHeight="1" x14ac:dyDescent="0.4"/>
    <row r="360" ht="14.25" customHeight="1" x14ac:dyDescent="0.4"/>
    <row r="361" ht="14.25" customHeight="1" x14ac:dyDescent="0.4"/>
    <row r="362" ht="14.25" customHeight="1" x14ac:dyDescent="0.4"/>
    <row r="363" ht="14.25" customHeight="1" x14ac:dyDescent="0.4"/>
    <row r="364" ht="14.25" customHeight="1" x14ac:dyDescent="0.4"/>
    <row r="365" ht="14.25" customHeight="1" x14ac:dyDescent="0.4"/>
    <row r="366" ht="14.25" customHeight="1" x14ac:dyDescent="0.4"/>
    <row r="367" ht="14.25" customHeight="1" x14ac:dyDescent="0.4"/>
    <row r="368" ht="14.25" customHeight="1" x14ac:dyDescent="0.4"/>
    <row r="369" ht="14.25" customHeight="1" x14ac:dyDescent="0.4"/>
    <row r="370" ht="14.25" customHeight="1" x14ac:dyDescent="0.4"/>
    <row r="371" ht="14.25" customHeight="1" x14ac:dyDescent="0.4"/>
    <row r="372" ht="14.25" customHeight="1" x14ac:dyDescent="0.4"/>
    <row r="373" ht="14.25" customHeight="1" x14ac:dyDescent="0.4"/>
    <row r="374" ht="14.25" customHeight="1" x14ac:dyDescent="0.4"/>
    <row r="375" ht="14.25" customHeight="1" x14ac:dyDescent="0.4"/>
    <row r="376" ht="14.25" customHeight="1" x14ac:dyDescent="0.4"/>
    <row r="377" ht="14.25" customHeight="1" x14ac:dyDescent="0.4"/>
    <row r="378" ht="14.25" customHeight="1" x14ac:dyDescent="0.4"/>
    <row r="379" ht="14.25" customHeight="1" x14ac:dyDescent="0.4"/>
    <row r="380" ht="14.25" customHeight="1" x14ac:dyDescent="0.4"/>
    <row r="381" ht="14.25" customHeight="1" x14ac:dyDescent="0.4"/>
    <row r="382" ht="14.25" customHeight="1" x14ac:dyDescent="0.4"/>
    <row r="383" ht="14.25" customHeight="1" x14ac:dyDescent="0.4"/>
    <row r="384" ht="14.25" customHeight="1" x14ac:dyDescent="0.4"/>
    <row r="385" ht="14.25" customHeight="1" x14ac:dyDescent="0.4"/>
    <row r="386" ht="14.25" customHeight="1" x14ac:dyDescent="0.4"/>
    <row r="387" ht="14.25" customHeight="1" x14ac:dyDescent="0.4"/>
    <row r="388" ht="14.25" customHeight="1" x14ac:dyDescent="0.4"/>
    <row r="389" ht="14.25" customHeight="1" x14ac:dyDescent="0.4"/>
    <row r="390" ht="14.25" customHeight="1" x14ac:dyDescent="0.4"/>
    <row r="391" ht="14.25" customHeight="1" x14ac:dyDescent="0.4"/>
    <row r="392" ht="14.25" customHeight="1" x14ac:dyDescent="0.4"/>
    <row r="393" ht="14.25" customHeight="1" x14ac:dyDescent="0.4"/>
    <row r="394" ht="14.25" customHeight="1" x14ac:dyDescent="0.4"/>
    <row r="395" ht="14.25" customHeight="1" x14ac:dyDescent="0.4"/>
    <row r="396" ht="14.25" customHeight="1" x14ac:dyDescent="0.4"/>
    <row r="397" ht="14.25" customHeight="1" x14ac:dyDescent="0.4"/>
    <row r="398" ht="14.25" customHeight="1" x14ac:dyDescent="0.4"/>
    <row r="399" ht="14.25" customHeight="1" x14ac:dyDescent="0.4"/>
    <row r="400" ht="14.25" customHeight="1" x14ac:dyDescent="0.4"/>
    <row r="401" ht="14.25" customHeight="1" x14ac:dyDescent="0.4"/>
    <row r="402" ht="14.25" customHeight="1" x14ac:dyDescent="0.4"/>
    <row r="403" ht="14.25" customHeight="1" x14ac:dyDescent="0.4"/>
    <row r="404" ht="14.25" customHeight="1" x14ac:dyDescent="0.4"/>
    <row r="405" ht="14.25" customHeight="1" x14ac:dyDescent="0.4"/>
    <row r="406" ht="14.25" customHeight="1" x14ac:dyDescent="0.4"/>
    <row r="407" ht="14.25" customHeight="1" x14ac:dyDescent="0.4"/>
    <row r="408" ht="14.25" customHeight="1" x14ac:dyDescent="0.4"/>
    <row r="409" ht="14.25" customHeight="1" x14ac:dyDescent="0.4"/>
    <row r="410" ht="14.25" customHeight="1" x14ac:dyDescent="0.4"/>
    <row r="411" ht="14.25" customHeight="1" x14ac:dyDescent="0.4"/>
    <row r="412" ht="14.25" customHeight="1" x14ac:dyDescent="0.4"/>
    <row r="413" ht="14.25" customHeight="1" x14ac:dyDescent="0.4"/>
    <row r="414" ht="14.25" customHeight="1" x14ac:dyDescent="0.4"/>
    <row r="415" ht="14.25" customHeight="1" x14ac:dyDescent="0.4"/>
    <row r="416" ht="14.25" customHeight="1" x14ac:dyDescent="0.4"/>
    <row r="417" ht="14.25" customHeight="1" x14ac:dyDescent="0.4"/>
    <row r="418" ht="14.25" customHeight="1" x14ac:dyDescent="0.4"/>
    <row r="419" ht="14.25" customHeight="1" x14ac:dyDescent="0.4"/>
    <row r="420" ht="14.25" customHeight="1" x14ac:dyDescent="0.4"/>
    <row r="421" ht="14.25" customHeight="1" x14ac:dyDescent="0.4"/>
    <row r="422" ht="14.25" customHeight="1" x14ac:dyDescent="0.4"/>
    <row r="423" ht="14.25" customHeight="1" x14ac:dyDescent="0.4"/>
    <row r="424" ht="14.25" customHeight="1" x14ac:dyDescent="0.4"/>
    <row r="425" ht="14.25" customHeight="1" x14ac:dyDescent="0.4"/>
    <row r="426" ht="14.25" customHeight="1" x14ac:dyDescent="0.4"/>
    <row r="427" ht="14.25" customHeight="1" x14ac:dyDescent="0.4"/>
    <row r="428" ht="14.25" customHeight="1" x14ac:dyDescent="0.4"/>
    <row r="429" ht="14.25" customHeight="1" x14ac:dyDescent="0.4"/>
    <row r="430" ht="14.25" customHeight="1" x14ac:dyDescent="0.4"/>
    <row r="431" ht="14.25" customHeight="1" x14ac:dyDescent="0.4"/>
    <row r="432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mergeCells count="5">
    <mergeCell ref="AI51:AQ51"/>
    <mergeCell ref="G1:P1"/>
    <mergeCell ref="G15:O15"/>
    <mergeCell ref="R1:AG1"/>
    <mergeCell ref="AI13:AR13"/>
  </mergeCells>
  <conditionalFormatting sqref="H17:I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L2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:M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:N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7:O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4:AQ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4:AR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61:AK6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:L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4:AK11 AQ4:AQ11">
    <cfRule type="cellIs" dxfId="50" priority="15" operator="greaterThan">
      <formula>1</formula>
    </cfRule>
  </conditionalFormatting>
  <conditionalFormatting sqref="H74:H7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:R7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5:H8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5:R8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6:H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6:R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H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:R3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2:R5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42:H52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8:H6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8:R6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3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J2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6:AK2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6:AL2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6:AM2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6:AN26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2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2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2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6:AR2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R2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2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4:AK4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4:AJ4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10">
    <cfRule type="colorScale" priority="53">
      <colorScale>
        <cfvo type="min"/>
        <cfvo type="max"/>
        <color rgb="FFFCFCFF"/>
        <color rgb="FF63BE7B"/>
      </colorScale>
    </cfRule>
  </conditionalFormatting>
  <hyperlinks>
    <hyperlink ref="D24" r:id="rId2" xr:uid="{00000000-0004-0000-0200-000000000000}"/>
    <hyperlink ref="D71" r:id="rId3" xr:uid="{00000000-0004-0000-0200-000001000000}"/>
  </hyperlinks>
  <pageMargins left="0.7" right="0.7" top="0.75" bottom="0.75" header="0" footer="0"/>
  <pageSetup orientation="portrait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S1000"/>
  <sheetViews>
    <sheetView workbookViewId="0"/>
  </sheetViews>
  <sheetFormatPr defaultColWidth="12.61328125" defaultRowHeight="15" customHeight="1" x14ac:dyDescent="0.4"/>
  <cols>
    <col min="1" max="1" width="7.3828125" customWidth="1"/>
    <col min="2" max="2" width="6.23046875" customWidth="1"/>
    <col min="3" max="3" width="7.3828125" customWidth="1"/>
    <col min="4" max="4" width="8.61328125" customWidth="1"/>
    <col min="5" max="5" width="1.84375" customWidth="1"/>
    <col min="6" max="6" width="8.61328125" customWidth="1"/>
    <col min="7" max="7" width="12.61328125" customWidth="1"/>
    <col min="8" max="9" width="6.84375" customWidth="1"/>
    <col min="10" max="10" width="5" customWidth="1"/>
    <col min="11" max="11" width="9.23046875" customWidth="1"/>
    <col min="12" max="12" width="11.765625" customWidth="1"/>
    <col min="13" max="13" width="6.61328125" customWidth="1"/>
    <col min="14" max="14" width="8" customWidth="1"/>
    <col min="15" max="15" width="10.61328125" customWidth="1"/>
    <col min="16" max="16" width="12.84375" customWidth="1"/>
    <col min="17" max="17" width="7.3828125" customWidth="1"/>
    <col min="18" max="18" width="12.23046875" customWidth="1"/>
    <col min="19" max="19" width="4.84375" customWidth="1"/>
    <col min="20" max="20" width="7.23046875" customWidth="1"/>
    <col min="21" max="22" width="5.61328125" customWidth="1"/>
    <col min="23" max="23" width="5.84375" customWidth="1"/>
    <col min="24" max="24" width="6.15234375" customWidth="1"/>
    <col min="25" max="25" width="6.84375" customWidth="1"/>
    <col min="26" max="26" width="7.765625" customWidth="1"/>
    <col min="27" max="27" width="4.84375" customWidth="1"/>
    <col min="28" max="28" width="5.15234375" customWidth="1"/>
    <col min="29" max="29" width="4.4609375" customWidth="1"/>
    <col min="30" max="31" width="10.4609375" customWidth="1"/>
    <col min="32" max="32" width="10.3828125" customWidth="1"/>
    <col min="33" max="33" width="6.84375" customWidth="1"/>
    <col min="34" max="34" width="29.23046875" customWidth="1"/>
    <col min="35" max="35" width="12.61328125" customWidth="1"/>
    <col min="36" max="36" width="8.23046875" customWidth="1"/>
    <col min="37" max="37" width="8.3828125" customWidth="1"/>
    <col min="38" max="38" width="7" customWidth="1"/>
    <col min="39" max="39" width="9.23046875" customWidth="1"/>
    <col min="40" max="40" width="13.765625" customWidth="1"/>
    <col min="41" max="41" width="6.61328125" customWidth="1"/>
    <col min="42" max="42" width="8" customWidth="1"/>
    <col min="43" max="43" width="10.61328125" customWidth="1"/>
    <col min="44" max="44" width="11.84375" customWidth="1"/>
    <col min="45" max="45" width="8" customWidth="1"/>
  </cols>
  <sheetData>
    <row r="1" spans="1:45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1" t="s">
        <v>4</v>
      </c>
      <c r="H1" s="132"/>
      <c r="I1" s="132"/>
      <c r="J1" s="132"/>
      <c r="K1" s="132"/>
      <c r="L1" s="132"/>
      <c r="M1" s="132"/>
      <c r="N1" s="132"/>
      <c r="O1" s="132"/>
      <c r="P1" s="133"/>
      <c r="Q1" s="5"/>
      <c r="R1" s="136" t="s">
        <v>5</v>
      </c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8"/>
      <c r="AG1" s="21"/>
      <c r="AK1" s="7" t="s">
        <v>6</v>
      </c>
      <c r="AL1" s="8" t="s">
        <v>7</v>
      </c>
      <c r="AM1" s="9" t="s">
        <v>8</v>
      </c>
      <c r="AN1" s="10" t="s">
        <v>9</v>
      </c>
      <c r="AO1" s="11" t="s">
        <v>8</v>
      </c>
      <c r="AP1" s="8" t="s">
        <v>10</v>
      </c>
      <c r="AQ1" s="7" t="s">
        <v>6</v>
      </c>
    </row>
    <row r="2" spans="1:45" ht="14.25" customHeight="1" x14ac:dyDescent="0.4">
      <c r="A2" s="12" t="s">
        <v>438</v>
      </c>
      <c r="B2" s="13">
        <v>1</v>
      </c>
      <c r="C2" s="14" t="s">
        <v>40</v>
      </c>
      <c r="D2" s="15" t="s">
        <v>439</v>
      </c>
      <c r="E2" s="4"/>
      <c r="F2" s="16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5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4"/>
      <c r="AF2" s="20"/>
      <c r="AG2" s="21" t="s">
        <v>25</v>
      </c>
      <c r="AK2" s="22"/>
      <c r="AL2" s="23"/>
      <c r="AM2" s="24">
        <f>COUNT(B$1:B$155)</f>
        <v>154</v>
      </c>
      <c r="AN2" s="25" t="s">
        <v>26</v>
      </c>
      <c r="AO2" s="24">
        <f>COUNT(B$1:B$155)</f>
        <v>154</v>
      </c>
      <c r="AP2" s="22"/>
      <c r="AQ2" s="22"/>
    </row>
    <row r="3" spans="1:45" ht="14.25" customHeight="1" x14ac:dyDescent="0.4">
      <c r="A3" s="12" t="s">
        <v>12</v>
      </c>
      <c r="B3" s="13">
        <v>1</v>
      </c>
      <c r="C3" s="14" t="s">
        <v>31</v>
      </c>
      <c r="D3" s="15" t="s">
        <v>440</v>
      </c>
      <c r="E3" s="4"/>
      <c r="F3" s="26"/>
      <c r="G3" s="27" t="s">
        <v>28</v>
      </c>
      <c r="H3" s="28">
        <f t="shared" ref="H3:H14" si="0">COUNTIF($A:$A,G3)</f>
        <v>28</v>
      </c>
      <c r="I3" s="28">
        <f t="shared" ref="I3:I14" si="1">COUNTIF($C:$C,G3)</f>
        <v>25</v>
      </c>
      <c r="J3" s="29">
        <f t="shared" ref="J3:J14" si="2">IF(I3,H3/I3,H3)</f>
        <v>1.1200000000000001</v>
      </c>
      <c r="K3" s="28">
        <f t="shared" ref="K3:K14" si="3">IFERROR(GETPIVOTDATA("Points",$R$2,"Sniper",G3),0)</f>
        <v>33</v>
      </c>
      <c r="L3" s="28">
        <f t="shared" ref="L3:L14" si="4">IFERROR(GETPIVOTDATA("Points",$R$2,"Snipee",G3),0)</f>
        <v>33</v>
      </c>
      <c r="M3" s="75">
        <f t="shared" ref="M3:M14" si="5">IF(L3,K3/L3,K3)</f>
        <v>1</v>
      </c>
      <c r="N3" s="29">
        <f t="shared" ref="N3:N14" si="6">IF(H3,K3/H3,0)</f>
        <v>1.1785714285714286</v>
      </c>
      <c r="O3" s="29">
        <f t="shared" ref="O3:O14" si="7">IF(I3,L3/I3,0)</f>
        <v>1.32</v>
      </c>
      <c r="P3" s="76">
        <f t="shared" ref="P3:P14" si="8">IFERROR(VLOOKUP(G3,R:AG,16,FALSE)/12,0)</f>
        <v>0.5</v>
      </c>
      <c r="Q3" s="5"/>
      <c r="R3" s="112" t="s">
        <v>0</v>
      </c>
      <c r="S3" s="115" t="s">
        <v>31</v>
      </c>
      <c r="T3" s="116" t="s">
        <v>35</v>
      </c>
      <c r="U3" s="116" t="s">
        <v>12</v>
      </c>
      <c r="V3" s="116" t="s">
        <v>438</v>
      </c>
      <c r="W3" s="116" t="s">
        <v>33</v>
      </c>
      <c r="X3" s="116" t="s">
        <v>28</v>
      </c>
      <c r="Y3" s="116" t="s">
        <v>41</v>
      </c>
      <c r="Z3" s="116" t="s">
        <v>36</v>
      </c>
      <c r="AA3" s="116" t="s">
        <v>441</v>
      </c>
      <c r="AB3" s="116" t="s">
        <v>37</v>
      </c>
      <c r="AC3" s="116" t="s">
        <v>40</v>
      </c>
      <c r="AD3" s="117" t="s">
        <v>42</v>
      </c>
      <c r="AF3" s="20"/>
      <c r="AG3" s="21" t="s">
        <v>15</v>
      </c>
      <c r="AK3" s="22"/>
      <c r="AL3" s="22"/>
      <c r="AM3" s="32">
        <f>IFERROR(GETPIVOTDATA("Points",R2),0)</f>
        <v>373</v>
      </c>
      <c r="AN3" s="33" t="s">
        <v>43</v>
      </c>
      <c r="AO3" s="32">
        <f>IFERROR(GETPIVOTDATA("Points",R2),0)</f>
        <v>373</v>
      </c>
      <c r="AP3" s="22"/>
      <c r="AQ3" s="22"/>
    </row>
    <row r="4" spans="1:45" ht="14.25" customHeight="1" x14ac:dyDescent="0.4">
      <c r="A4" s="12" t="s">
        <v>31</v>
      </c>
      <c r="B4" s="13">
        <v>1</v>
      </c>
      <c r="C4" s="14" t="s">
        <v>12</v>
      </c>
      <c r="D4" s="15" t="s">
        <v>442</v>
      </c>
      <c r="E4" s="4"/>
      <c r="F4" s="26"/>
      <c r="G4" s="27" t="s">
        <v>33</v>
      </c>
      <c r="H4" s="28">
        <f t="shared" si="0"/>
        <v>42</v>
      </c>
      <c r="I4" s="28">
        <f t="shared" si="1"/>
        <v>25</v>
      </c>
      <c r="J4" s="29">
        <f t="shared" si="2"/>
        <v>1.68</v>
      </c>
      <c r="K4" s="28">
        <f t="shared" si="3"/>
        <v>56</v>
      </c>
      <c r="L4" s="28">
        <f t="shared" si="4"/>
        <v>34</v>
      </c>
      <c r="M4" s="75">
        <f t="shared" si="5"/>
        <v>1.6470588235294117</v>
      </c>
      <c r="N4" s="29">
        <f t="shared" si="6"/>
        <v>1.3333333333333333</v>
      </c>
      <c r="O4" s="29">
        <f t="shared" si="7"/>
        <v>1.36</v>
      </c>
      <c r="P4" s="76">
        <f t="shared" si="8"/>
        <v>0.66666666666666663</v>
      </c>
      <c r="Q4" s="5"/>
      <c r="R4" s="115" t="s">
        <v>12</v>
      </c>
      <c r="S4" s="145">
        <v>51</v>
      </c>
      <c r="T4" s="146">
        <v>24</v>
      </c>
      <c r="U4" s="146"/>
      <c r="V4" s="146">
        <v>16</v>
      </c>
      <c r="W4" s="146">
        <v>11</v>
      </c>
      <c r="X4" s="146">
        <v>13</v>
      </c>
      <c r="Y4" s="146"/>
      <c r="Z4" s="146">
        <v>2</v>
      </c>
      <c r="AA4" s="146"/>
      <c r="AB4" s="146"/>
      <c r="AC4" s="146"/>
      <c r="AD4" s="147">
        <v>117</v>
      </c>
      <c r="AF4" s="20"/>
      <c r="AG4" s="21">
        <f t="shared" ref="AG4:AG15" si="9">IF(COUNT(S4:AF4)&lt;&gt;0,COUNT(S4:AF4)-1,"")</f>
        <v>6</v>
      </c>
      <c r="AK4" s="35">
        <f ca="1">COUNTIF(H3:H13,AM4)</f>
        <v>0</v>
      </c>
      <c r="AL4" s="36" t="str">
        <f>$G$26</f>
        <v>Ethan</v>
      </c>
      <c r="AM4" s="32" t="e">
        <f ca="1">Maxine(H3:H13)</f>
        <v>#NAME?</v>
      </c>
      <c r="AN4" s="33" t="s">
        <v>45</v>
      </c>
      <c r="AO4" s="37" t="e">
        <f ca="1">Maxine(H19:H22)</f>
        <v>#NAME?</v>
      </c>
      <c r="AP4" s="38" t="str">
        <f>$G$77</f>
        <v>Tenors</v>
      </c>
      <c r="AQ4" s="35">
        <f ca="1">COUNTIF(H19:H22,AO4)</f>
        <v>0</v>
      </c>
    </row>
    <row r="5" spans="1:45" ht="14.25" customHeight="1" x14ac:dyDescent="0.4">
      <c r="A5" s="12" t="s">
        <v>28</v>
      </c>
      <c r="B5" s="13">
        <v>2</v>
      </c>
      <c r="C5" s="14" t="s">
        <v>31</v>
      </c>
      <c r="D5" s="15" t="s">
        <v>443</v>
      </c>
      <c r="F5" s="26"/>
      <c r="G5" s="27" t="s">
        <v>41</v>
      </c>
      <c r="H5" s="28">
        <f t="shared" si="0"/>
        <v>6</v>
      </c>
      <c r="I5" s="28">
        <f t="shared" si="1"/>
        <v>16</v>
      </c>
      <c r="J5" s="29">
        <f t="shared" si="2"/>
        <v>0.375</v>
      </c>
      <c r="K5" s="28">
        <f t="shared" si="3"/>
        <v>8</v>
      </c>
      <c r="L5" s="28">
        <f t="shared" si="4"/>
        <v>22</v>
      </c>
      <c r="M5" s="75">
        <f t="shared" si="5"/>
        <v>0.36363636363636365</v>
      </c>
      <c r="N5" s="29">
        <f t="shared" si="6"/>
        <v>1.3333333333333333</v>
      </c>
      <c r="O5" s="29">
        <f t="shared" si="7"/>
        <v>1.375</v>
      </c>
      <c r="P5" s="76">
        <f t="shared" si="8"/>
        <v>0.33333333333333331</v>
      </c>
      <c r="Q5" s="5"/>
      <c r="R5" s="118" t="s">
        <v>438</v>
      </c>
      <c r="S5" s="148">
        <v>10</v>
      </c>
      <c r="T5" s="149">
        <v>15</v>
      </c>
      <c r="U5" s="149">
        <v>13</v>
      </c>
      <c r="V5" s="149"/>
      <c r="W5" s="149">
        <v>7</v>
      </c>
      <c r="X5" s="149">
        <v>18</v>
      </c>
      <c r="Y5" s="149">
        <v>1</v>
      </c>
      <c r="Z5" s="149">
        <v>1</v>
      </c>
      <c r="AA5" s="149"/>
      <c r="AB5" s="149">
        <v>1</v>
      </c>
      <c r="AC5" s="149">
        <v>1</v>
      </c>
      <c r="AD5" s="150">
        <v>67</v>
      </c>
      <c r="AF5" s="20"/>
      <c r="AG5" s="21">
        <f t="shared" si="9"/>
        <v>9</v>
      </c>
      <c r="AK5" s="35">
        <f ca="1">COUNTIF(I3:I13,AM5)</f>
        <v>0</v>
      </c>
      <c r="AL5" s="36" t="str">
        <f>$G$42</f>
        <v>Evan</v>
      </c>
      <c r="AM5" s="32" t="e">
        <f ca="1">Maxine(I3:I13)</f>
        <v>#NAME?</v>
      </c>
      <c r="AN5" s="33" t="s">
        <v>47</v>
      </c>
      <c r="AO5" s="37" t="e">
        <f ca="1">Maxine(I19:I22)</f>
        <v>#NAME?</v>
      </c>
      <c r="AP5" s="39" t="str">
        <f>$G$88</f>
        <v>Leads</v>
      </c>
      <c r="AQ5" s="35">
        <f ca="1">COUNTIF(I19:I22,AO5)</f>
        <v>0</v>
      </c>
    </row>
    <row r="6" spans="1:45" ht="14.25" customHeight="1" x14ac:dyDescent="0.4">
      <c r="A6" s="12" t="s">
        <v>438</v>
      </c>
      <c r="B6" s="13">
        <v>2</v>
      </c>
      <c r="C6" s="14" t="s">
        <v>38</v>
      </c>
      <c r="D6" s="15" t="s">
        <v>444</v>
      </c>
      <c r="F6" s="26"/>
      <c r="G6" s="27" t="s">
        <v>38</v>
      </c>
      <c r="H6" s="28">
        <f t="shared" si="0"/>
        <v>19</v>
      </c>
      <c r="I6" s="28">
        <f t="shared" si="1"/>
        <v>17</v>
      </c>
      <c r="J6" s="29">
        <f t="shared" si="2"/>
        <v>1.1176470588235294</v>
      </c>
      <c r="K6" s="28">
        <f t="shared" si="3"/>
        <v>0</v>
      </c>
      <c r="L6" s="28">
        <f t="shared" si="4"/>
        <v>0</v>
      </c>
      <c r="M6" s="75">
        <f t="shared" si="5"/>
        <v>0</v>
      </c>
      <c r="N6" s="29">
        <f t="shared" si="6"/>
        <v>0</v>
      </c>
      <c r="O6" s="29">
        <f t="shared" si="7"/>
        <v>0</v>
      </c>
      <c r="P6" s="76">
        <f t="shared" si="8"/>
        <v>0</v>
      </c>
      <c r="Q6" s="5"/>
      <c r="R6" s="118" t="s">
        <v>31</v>
      </c>
      <c r="S6" s="148"/>
      <c r="T6" s="149">
        <v>17</v>
      </c>
      <c r="U6" s="149">
        <v>26</v>
      </c>
      <c r="V6" s="149">
        <v>7</v>
      </c>
      <c r="W6" s="149">
        <v>7</v>
      </c>
      <c r="X6" s="149"/>
      <c r="Y6" s="149"/>
      <c r="Z6" s="149">
        <v>5</v>
      </c>
      <c r="AA6" s="149"/>
      <c r="AB6" s="149"/>
      <c r="AC6" s="149"/>
      <c r="AD6" s="150">
        <v>62</v>
      </c>
      <c r="AF6" s="20"/>
      <c r="AG6" s="21">
        <f t="shared" si="9"/>
        <v>5</v>
      </c>
      <c r="AK6" s="35">
        <f ca="1">COUNTIF(K3:K13,AM6)</f>
        <v>0</v>
      </c>
      <c r="AL6" s="36" t="str">
        <f>$Q$26</f>
        <v>Ethan</v>
      </c>
      <c r="AM6" s="32" t="e">
        <f ca="1">Maxine(K3:K13)</f>
        <v>#NAME?</v>
      </c>
      <c r="AN6" s="33" t="s">
        <v>49</v>
      </c>
      <c r="AO6" s="37" t="e">
        <f ca="1">Maxine(K19:K22)</f>
        <v>#NAME?</v>
      </c>
      <c r="AP6" s="39" t="str">
        <f>$Q$77</f>
        <v>Baris</v>
      </c>
      <c r="AQ6" s="35">
        <f ca="1">COUNTIF(K19:K22,AO6)</f>
        <v>0</v>
      </c>
    </row>
    <row r="7" spans="1:45" ht="14.25" customHeight="1" x14ac:dyDescent="0.4">
      <c r="A7" s="12" t="s">
        <v>38</v>
      </c>
      <c r="B7" s="13">
        <v>1</v>
      </c>
      <c r="C7" s="14" t="s">
        <v>438</v>
      </c>
      <c r="D7" s="15" t="s">
        <v>445</v>
      </c>
      <c r="F7" s="26"/>
      <c r="G7" s="27" t="s">
        <v>438</v>
      </c>
      <c r="H7" s="28">
        <f t="shared" si="0"/>
        <v>54</v>
      </c>
      <c r="I7" s="28">
        <f t="shared" si="1"/>
        <v>42</v>
      </c>
      <c r="J7" s="29">
        <f t="shared" si="2"/>
        <v>1.2857142857142858</v>
      </c>
      <c r="K7" s="28">
        <f t="shared" si="3"/>
        <v>67</v>
      </c>
      <c r="L7" s="28">
        <f t="shared" si="4"/>
        <v>48</v>
      </c>
      <c r="M7" s="75">
        <f t="shared" si="5"/>
        <v>1.3958333333333333</v>
      </c>
      <c r="N7" s="29">
        <f t="shared" si="6"/>
        <v>1.2407407407407407</v>
      </c>
      <c r="O7" s="29">
        <f t="shared" si="7"/>
        <v>1.1428571428571428</v>
      </c>
      <c r="P7" s="76">
        <f t="shared" si="8"/>
        <v>0.75</v>
      </c>
      <c r="Q7" s="5"/>
      <c r="R7" s="118" t="s">
        <v>33</v>
      </c>
      <c r="S7" s="148">
        <v>7</v>
      </c>
      <c r="T7" s="149">
        <v>12</v>
      </c>
      <c r="U7" s="149">
        <v>5</v>
      </c>
      <c r="V7" s="149">
        <v>4</v>
      </c>
      <c r="W7" s="149"/>
      <c r="X7" s="149">
        <v>2</v>
      </c>
      <c r="Y7" s="149">
        <v>19</v>
      </c>
      <c r="Z7" s="149">
        <v>5</v>
      </c>
      <c r="AA7" s="149">
        <v>2</v>
      </c>
      <c r="AB7" s="149"/>
      <c r="AC7" s="149"/>
      <c r="AD7" s="150">
        <v>56</v>
      </c>
      <c r="AF7" s="20"/>
      <c r="AG7" s="21">
        <f t="shared" si="9"/>
        <v>8</v>
      </c>
      <c r="AK7" s="35">
        <f ca="1">COUNTIF(L3:L13,AM7)</f>
        <v>0</v>
      </c>
      <c r="AL7" s="36" t="str">
        <f>$Q$42</f>
        <v>Evan</v>
      </c>
      <c r="AM7" s="32" t="e">
        <f ca="1">Maxine(L3:L13)</f>
        <v>#NAME?</v>
      </c>
      <c r="AN7" s="33" t="s">
        <v>51</v>
      </c>
      <c r="AO7" s="37" t="e">
        <f ca="1">Maxine(L19:L22)</f>
        <v>#NAME?</v>
      </c>
      <c r="AP7" s="39" t="str">
        <f>$Q$88</f>
        <v>Leads</v>
      </c>
      <c r="AQ7" s="35">
        <f ca="1">COUNTIF(L19:L22,AO7)</f>
        <v>0</v>
      </c>
    </row>
    <row r="8" spans="1:45" ht="14.25" customHeight="1" x14ac:dyDescent="0.4">
      <c r="A8" s="12" t="s">
        <v>438</v>
      </c>
      <c r="B8" s="13">
        <v>1</v>
      </c>
      <c r="C8" s="14" t="s">
        <v>35</v>
      </c>
      <c r="D8" s="15" t="s">
        <v>446</v>
      </c>
      <c r="F8" s="26"/>
      <c r="G8" s="27" t="s">
        <v>31</v>
      </c>
      <c r="H8" s="28">
        <f t="shared" si="0"/>
        <v>50</v>
      </c>
      <c r="I8" s="28">
        <f t="shared" si="1"/>
        <v>63</v>
      </c>
      <c r="J8" s="29">
        <f t="shared" si="2"/>
        <v>0.79365079365079361</v>
      </c>
      <c r="K8" s="28">
        <f t="shared" si="3"/>
        <v>62</v>
      </c>
      <c r="L8" s="28">
        <f t="shared" si="4"/>
        <v>87</v>
      </c>
      <c r="M8" s="75">
        <f t="shared" si="5"/>
        <v>0.71264367816091956</v>
      </c>
      <c r="N8" s="29">
        <f t="shared" si="6"/>
        <v>1.24</v>
      </c>
      <c r="O8" s="29">
        <f t="shared" si="7"/>
        <v>1.3809523809523809</v>
      </c>
      <c r="P8" s="76">
        <f t="shared" si="8"/>
        <v>0.41666666666666669</v>
      </c>
      <c r="Q8" s="5"/>
      <c r="R8" s="118" t="s">
        <v>28</v>
      </c>
      <c r="S8" s="148">
        <v>5</v>
      </c>
      <c r="T8" s="149">
        <v>3</v>
      </c>
      <c r="U8" s="149">
        <v>5</v>
      </c>
      <c r="V8" s="149">
        <v>16</v>
      </c>
      <c r="W8" s="149"/>
      <c r="X8" s="149"/>
      <c r="Y8" s="149">
        <v>2</v>
      </c>
      <c r="Z8" s="149">
        <v>2</v>
      </c>
      <c r="AA8" s="149"/>
      <c r="AB8" s="149"/>
      <c r="AC8" s="149"/>
      <c r="AD8" s="150">
        <v>33</v>
      </c>
      <c r="AF8" s="20"/>
      <c r="AG8" s="21">
        <f t="shared" si="9"/>
        <v>6</v>
      </c>
      <c r="AK8" s="35">
        <f ca="1">COUNTIF(J3:J13,AM8)</f>
        <v>0</v>
      </c>
      <c r="AL8" s="40" t="str">
        <f>$G$58</f>
        <v>Erick</v>
      </c>
      <c r="AM8" s="37" t="e">
        <f ca="1">Maxine(J3:J13)</f>
        <v>#NAME?</v>
      </c>
      <c r="AN8" s="33" t="s">
        <v>53</v>
      </c>
      <c r="AO8" s="37" t="e">
        <f ca="1">Maxine(J19:J22)</f>
        <v>#NAME?</v>
      </c>
      <c r="AP8" s="39" t="str">
        <f>$G$99</f>
        <v>Baris</v>
      </c>
      <c r="AQ8" s="35">
        <f ca="1">COUNTIF(J19:J22,AO8)</f>
        <v>0</v>
      </c>
    </row>
    <row r="9" spans="1:45" ht="14.25" customHeight="1" x14ac:dyDescent="0.4">
      <c r="A9" s="12" t="s">
        <v>438</v>
      </c>
      <c r="B9" s="13">
        <v>1</v>
      </c>
      <c r="C9" s="14" t="s">
        <v>28</v>
      </c>
      <c r="D9" s="15" t="s">
        <v>447</v>
      </c>
      <c r="E9" s="52">
        <v>0</v>
      </c>
      <c r="F9" s="15"/>
      <c r="G9" s="27" t="s">
        <v>441</v>
      </c>
      <c r="H9" s="28">
        <f t="shared" si="0"/>
        <v>2</v>
      </c>
      <c r="I9" s="28">
        <f t="shared" si="1"/>
        <v>2</v>
      </c>
      <c r="J9" s="29">
        <f t="shared" si="2"/>
        <v>1</v>
      </c>
      <c r="K9" s="28">
        <f t="shared" si="3"/>
        <v>4</v>
      </c>
      <c r="L9" s="28">
        <f t="shared" si="4"/>
        <v>2</v>
      </c>
      <c r="M9" s="75">
        <f t="shared" si="5"/>
        <v>2</v>
      </c>
      <c r="N9" s="29">
        <f t="shared" si="6"/>
        <v>2</v>
      </c>
      <c r="O9" s="29">
        <f t="shared" si="7"/>
        <v>1</v>
      </c>
      <c r="P9" s="76">
        <f t="shared" si="8"/>
        <v>0.16666666666666666</v>
      </c>
      <c r="Q9" s="5"/>
      <c r="R9" s="118" t="s">
        <v>36</v>
      </c>
      <c r="S9" s="148">
        <v>10</v>
      </c>
      <c r="T9" s="149">
        <v>4</v>
      </c>
      <c r="U9" s="149">
        <v>2</v>
      </c>
      <c r="V9" s="149">
        <v>2</v>
      </c>
      <c r="W9" s="149">
        <v>4</v>
      </c>
      <c r="X9" s="149"/>
      <c r="Y9" s="149"/>
      <c r="Z9" s="149"/>
      <c r="AA9" s="149"/>
      <c r="AB9" s="149"/>
      <c r="AC9" s="149"/>
      <c r="AD9" s="150">
        <v>22</v>
      </c>
      <c r="AF9" s="20"/>
      <c r="AG9" s="21">
        <f t="shared" si="9"/>
        <v>5</v>
      </c>
      <c r="AK9" s="35">
        <f>COUNTIF(J3:J13,AM9)</f>
        <v>1</v>
      </c>
      <c r="AL9" s="40" t="str">
        <f>$G$69</f>
        <v>Reuben</v>
      </c>
      <c r="AM9" s="37">
        <f>MIN(J3:J13)</f>
        <v>0.375</v>
      </c>
      <c r="AN9" s="33" t="s">
        <v>55</v>
      </c>
      <c r="AO9" s="37">
        <f>MIN(J19:J22)</f>
        <v>6.3829787234042562E-2</v>
      </c>
      <c r="AP9" s="39" t="str">
        <f>$G$96</f>
        <v>Basses</v>
      </c>
      <c r="AQ9" s="35">
        <f>COUNTIF(J19:J22,AO9)</f>
        <v>1</v>
      </c>
    </row>
    <row r="10" spans="1:45" ht="14.25" customHeight="1" x14ac:dyDescent="0.4">
      <c r="A10" s="12" t="s">
        <v>28</v>
      </c>
      <c r="B10" s="13">
        <v>1</v>
      </c>
      <c r="C10" s="14" t="s">
        <v>438</v>
      </c>
      <c r="D10" s="15" t="s">
        <v>448</v>
      </c>
      <c r="F10" s="15"/>
      <c r="G10" s="27" t="s">
        <v>36</v>
      </c>
      <c r="H10" s="28">
        <f t="shared" si="0"/>
        <v>15</v>
      </c>
      <c r="I10" s="28">
        <f t="shared" si="1"/>
        <v>14</v>
      </c>
      <c r="J10" s="29">
        <f t="shared" si="2"/>
        <v>1.0714285714285714</v>
      </c>
      <c r="K10" s="28">
        <f t="shared" si="3"/>
        <v>22</v>
      </c>
      <c r="L10" s="28">
        <f t="shared" si="4"/>
        <v>15</v>
      </c>
      <c r="M10" s="75">
        <f t="shared" si="5"/>
        <v>1.4666666666666666</v>
      </c>
      <c r="N10" s="29">
        <f t="shared" si="6"/>
        <v>1.4666666666666666</v>
      </c>
      <c r="O10" s="29">
        <f t="shared" si="7"/>
        <v>1.0714285714285714</v>
      </c>
      <c r="P10" s="76">
        <f t="shared" si="8"/>
        <v>0.41666666666666669</v>
      </c>
      <c r="Q10" s="5"/>
      <c r="R10" s="118" t="s">
        <v>41</v>
      </c>
      <c r="S10" s="148">
        <v>2</v>
      </c>
      <c r="T10" s="149">
        <v>2</v>
      </c>
      <c r="U10" s="149"/>
      <c r="V10" s="149">
        <v>1</v>
      </c>
      <c r="W10" s="149">
        <v>3</v>
      </c>
      <c r="X10" s="149"/>
      <c r="Y10" s="149"/>
      <c r="Z10" s="149"/>
      <c r="AA10" s="149"/>
      <c r="AB10" s="149"/>
      <c r="AC10" s="149"/>
      <c r="AD10" s="150">
        <v>8</v>
      </c>
      <c r="AF10" s="20"/>
      <c r="AG10" s="21">
        <f t="shared" si="9"/>
        <v>4</v>
      </c>
      <c r="AK10" s="35">
        <f ca="1">COUNTIF(M3:M13,AM10)</f>
        <v>0</v>
      </c>
      <c r="AL10" s="40" t="str">
        <f>$Q$58</f>
        <v>Erick</v>
      </c>
      <c r="AM10" s="37" t="e">
        <f ca="1">Maxine(M3:M13)</f>
        <v>#NAME?</v>
      </c>
      <c r="AN10" s="33" t="s">
        <v>57</v>
      </c>
      <c r="AO10" s="37" t="e">
        <f ca="1">Maxine(M19:M22)</f>
        <v>#NAME?</v>
      </c>
      <c r="AP10" s="39" t="str">
        <f>$Q$99</f>
        <v>Baris</v>
      </c>
      <c r="AQ10" s="35">
        <f ca="1">COUNTIF(M19:M22,AO10)</f>
        <v>0</v>
      </c>
    </row>
    <row r="11" spans="1:45" ht="14.25" customHeight="1" x14ac:dyDescent="0.4">
      <c r="A11" s="12" t="s">
        <v>31</v>
      </c>
      <c r="B11" s="13">
        <v>1</v>
      </c>
      <c r="C11" s="14" t="s">
        <v>38</v>
      </c>
      <c r="D11" s="15" t="s">
        <v>449</v>
      </c>
      <c r="E11" s="4"/>
      <c r="F11" s="26"/>
      <c r="G11" s="27" t="s">
        <v>12</v>
      </c>
      <c r="H11" s="28">
        <f t="shared" si="0"/>
        <v>77</v>
      </c>
      <c r="I11" s="28">
        <f t="shared" si="1"/>
        <v>43</v>
      </c>
      <c r="J11" s="29">
        <f t="shared" si="2"/>
        <v>1.7906976744186047</v>
      </c>
      <c r="K11" s="28">
        <f t="shared" si="3"/>
        <v>117</v>
      </c>
      <c r="L11" s="28">
        <f t="shared" si="4"/>
        <v>53</v>
      </c>
      <c r="M11" s="75">
        <f t="shared" si="5"/>
        <v>2.2075471698113209</v>
      </c>
      <c r="N11" s="29">
        <f t="shared" si="6"/>
        <v>1.5194805194805194</v>
      </c>
      <c r="O11" s="29">
        <f t="shared" si="7"/>
        <v>1.2325581395348837</v>
      </c>
      <c r="P11" s="76">
        <f t="shared" si="8"/>
        <v>0.5</v>
      </c>
      <c r="Q11" s="5"/>
      <c r="R11" s="118" t="s">
        <v>441</v>
      </c>
      <c r="S11" s="148">
        <v>2</v>
      </c>
      <c r="T11" s="149"/>
      <c r="U11" s="149"/>
      <c r="V11" s="149"/>
      <c r="W11" s="149">
        <v>2</v>
      </c>
      <c r="X11" s="149"/>
      <c r="Y11" s="149"/>
      <c r="Z11" s="149"/>
      <c r="AA11" s="149"/>
      <c r="AB11" s="149"/>
      <c r="AC11" s="149"/>
      <c r="AD11" s="150">
        <v>4</v>
      </c>
      <c r="AF11" s="20"/>
      <c r="AG11" s="21">
        <f t="shared" si="9"/>
        <v>2</v>
      </c>
      <c r="AK11" s="35">
        <f>COUNTIF(M3:M13,AM11)</f>
        <v>1</v>
      </c>
      <c r="AL11" s="40" t="str">
        <f>$Q$69</f>
        <v>Reuben</v>
      </c>
      <c r="AM11" s="37">
        <f>MIN(M3:M13)</f>
        <v>0</v>
      </c>
      <c r="AN11" s="33" t="s">
        <v>59</v>
      </c>
      <c r="AO11" s="37">
        <f>MIN(M19:M22)</f>
        <v>5.0632911392405063E-2</v>
      </c>
      <c r="AP11" s="39" t="str">
        <f>$Q$96</f>
        <v>Basses</v>
      </c>
      <c r="AQ11" s="35">
        <f>COUNTIF(M19:M22,AO11)</f>
        <v>1</v>
      </c>
    </row>
    <row r="12" spans="1:45" ht="14.25" customHeight="1" x14ac:dyDescent="0.4">
      <c r="A12" s="12" t="s">
        <v>38</v>
      </c>
      <c r="B12" s="13">
        <v>1</v>
      </c>
      <c r="C12" s="14" t="s">
        <v>31</v>
      </c>
      <c r="D12" s="15" t="s">
        <v>450</v>
      </c>
      <c r="F12" s="26"/>
      <c r="G12" s="27" t="s">
        <v>37</v>
      </c>
      <c r="H12" s="28">
        <f t="shared" si="0"/>
        <v>2</v>
      </c>
      <c r="I12" s="28">
        <f t="shared" si="1"/>
        <v>1</v>
      </c>
      <c r="J12" s="29">
        <f t="shared" si="2"/>
        <v>2</v>
      </c>
      <c r="K12" s="28">
        <f t="shared" si="3"/>
        <v>2</v>
      </c>
      <c r="L12" s="28">
        <f t="shared" si="4"/>
        <v>1</v>
      </c>
      <c r="M12" s="75">
        <f t="shared" si="5"/>
        <v>2</v>
      </c>
      <c r="N12" s="29">
        <f t="shared" si="6"/>
        <v>1</v>
      </c>
      <c r="O12" s="29">
        <f t="shared" si="7"/>
        <v>1</v>
      </c>
      <c r="P12" s="76">
        <f t="shared" si="8"/>
        <v>8.3333333333333329E-2</v>
      </c>
      <c r="Q12" s="5"/>
      <c r="R12" s="118" t="s">
        <v>40</v>
      </c>
      <c r="S12" s="148"/>
      <c r="T12" s="149"/>
      <c r="U12" s="149">
        <v>2</v>
      </c>
      <c r="V12" s="149"/>
      <c r="W12" s="149"/>
      <c r="X12" s="149"/>
      <c r="Y12" s="149"/>
      <c r="Z12" s="149"/>
      <c r="AA12" s="149"/>
      <c r="AB12" s="149"/>
      <c r="AC12" s="149"/>
      <c r="AD12" s="150">
        <v>2</v>
      </c>
      <c r="AF12" s="20"/>
      <c r="AG12" s="21">
        <f t="shared" si="9"/>
        <v>1</v>
      </c>
    </row>
    <row r="13" spans="1:45" ht="14.25" customHeight="1" x14ac:dyDescent="0.4">
      <c r="A13" s="12" t="s">
        <v>31</v>
      </c>
      <c r="B13" s="13">
        <v>1</v>
      </c>
      <c r="C13" s="14" t="s">
        <v>12</v>
      </c>
      <c r="D13" s="15" t="s">
        <v>451</v>
      </c>
      <c r="F13" s="26"/>
      <c r="G13" s="27" t="s">
        <v>40</v>
      </c>
      <c r="H13" s="28">
        <f t="shared" si="0"/>
        <v>1</v>
      </c>
      <c r="I13" s="28">
        <f t="shared" si="1"/>
        <v>1</v>
      </c>
      <c r="J13" s="29">
        <f t="shared" si="2"/>
        <v>1</v>
      </c>
      <c r="K13" s="28">
        <f t="shared" si="3"/>
        <v>2</v>
      </c>
      <c r="L13" s="28">
        <f t="shared" si="4"/>
        <v>1</v>
      </c>
      <c r="M13" s="75">
        <f t="shared" si="5"/>
        <v>2</v>
      </c>
      <c r="N13" s="29">
        <f t="shared" si="6"/>
        <v>2</v>
      </c>
      <c r="O13" s="29">
        <f t="shared" si="7"/>
        <v>1</v>
      </c>
      <c r="P13" s="76">
        <f t="shared" si="8"/>
        <v>8.3333333333333329E-2</v>
      </c>
      <c r="Q13" s="5"/>
      <c r="R13" s="118" t="s">
        <v>37</v>
      </c>
      <c r="S13" s="148"/>
      <c r="T13" s="149"/>
      <c r="U13" s="149"/>
      <c r="V13" s="149">
        <v>2</v>
      </c>
      <c r="W13" s="149"/>
      <c r="X13" s="149"/>
      <c r="Y13" s="149"/>
      <c r="Z13" s="149"/>
      <c r="AA13" s="149"/>
      <c r="AB13" s="149"/>
      <c r="AC13" s="149"/>
      <c r="AD13" s="150">
        <v>2</v>
      </c>
      <c r="AF13" s="20"/>
      <c r="AG13" s="21">
        <f t="shared" si="9"/>
        <v>1</v>
      </c>
      <c r="AI13" s="131" t="s">
        <v>62</v>
      </c>
      <c r="AJ13" s="132"/>
      <c r="AK13" s="132"/>
      <c r="AL13" s="132"/>
      <c r="AM13" s="132"/>
      <c r="AN13" s="132"/>
      <c r="AO13" s="132"/>
      <c r="AP13" s="132"/>
      <c r="AQ13" s="132"/>
      <c r="AR13" s="133"/>
    </row>
    <row r="14" spans="1:45" ht="14.25" customHeight="1" x14ac:dyDescent="0.4">
      <c r="A14" s="12" t="s">
        <v>12</v>
      </c>
      <c r="B14" s="13">
        <v>1</v>
      </c>
      <c r="C14" s="14" t="s">
        <v>31</v>
      </c>
      <c r="D14" s="15" t="s">
        <v>452</v>
      </c>
      <c r="F14" s="26"/>
      <c r="G14" s="27" t="s">
        <v>35</v>
      </c>
      <c r="H14" s="28">
        <f t="shared" si="0"/>
        <v>0</v>
      </c>
      <c r="I14" s="28">
        <f t="shared" si="1"/>
        <v>45</v>
      </c>
      <c r="J14" s="29">
        <f t="shared" si="2"/>
        <v>0</v>
      </c>
      <c r="K14" s="28">
        <f t="shared" si="3"/>
        <v>0</v>
      </c>
      <c r="L14" s="28">
        <f t="shared" si="4"/>
        <v>77</v>
      </c>
      <c r="M14" s="75">
        <f t="shared" si="5"/>
        <v>0</v>
      </c>
      <c r="N14" s="29">
        <f t="shared" si="6"/>
        <v>0</v>
      </c>
      <c r="O14" s="29">
        <f t="shared" si="7"/>
        <v>1.711111111111111</v>
      </c>
      <c r="P14" s="76">
        <f t="shared" si="8"/>
        <v>0</v>
      </c>
      <c r="Q14" s="5"/>
      <c r="R14" s="119" t="s">
        <v>42</v>
      </c>
      <c r="S14" s="151">
        <v>87</v>
      </c>
      <c r="T14" s="152">
        <v>77</v>
      </c>
      <c r="U14" s="152">
        <v>53</v>
      </c>
      <c r="V14" s="152">
        <v>48</v>
      </c>
      <c r="W14" s="152">
        <v>34</v>
      </c>
      <c r="X14" s="152">
        <v>33</v>
      </c>
      <c r="Y14" s="152">
        <v>22</v>
      </c>
      <c r="Z14" s="152">
        <v>15</v>
      </c>
      <c r="AA14" s="152">
        <v>2</v>
      </c>
      <c r="AB14" s="152">
        <v>1</v>
      </c>
      <c r="AC14" s="152">
        <v>1</v>
      </c>
      <c r="AD14" s="153">
        <v>373</v>
      </c>
      <c r="AF14" s="20"/>
      <c r="AG14" s="21">
        <f t="shared" si="9"/>
        <v>11</v>
      </c>
      <c r="AI14" s="41" t="s">
        <v>14</v>
      </c>
      <c r="AJ14" s="25" t="s">
        <v>15</v>
      </c>
      <c r="AK14" s="25" t="s">
        <v>16</v>
      </c>
      <c r="AL14" s="25" t="s">
        <v>17</v>
      </c>
      <c r="AM14" s="25" t="s">
        <v>18</v>
      </c>
      <c r="AN14" s="25" t="s">
        <v>19</v>
      </c>
      <c r="AO14" s="25" t="s">
        <v>20</v>
      </c>
      <c r="AP14" s="25" t="s">
        <v>21</v>
      </c>
      <c r="AQ14" s="25" t="s">
        <v>22</v>
      </c>
      <c r="AR14" s="42" t="s">
        <v>23</v>
      </c>
    </row>
    <row r="15" spans="1:45" ht="14.25" customHeight="1" x14ac:dyDescent="0.4">
      <c r="A15" s="12" t="s">
        <v>12</v>
      </c>
      <c r="B15" s="13">
        <v>2</v>
      </c>
      <c r="C15" s="14" t="s">
        <v>35</v>
      </c>
      <c r="D15" s="15" t="s">
        <v>453</v>
      </c>
      <c r="F15" s="26"/>
      <c r="Q15" s="5"/>
      <c r="AF15" s="20"/>
      <c r="AG15" s="21" t="str">
        <f t="shared" si="9"/>
        <v/>
      </c>
      <c r="AI15" s="34" t="s">
        <v>65</v>
      </c>
      <c r="AJ15" s="43">
        <v>7.5</v>
      </c>
      <c r="AK15" s="44">
        <v>-6</v>
      </c>
      <c r="AL15" s="44">
        <v>25</v>
      </c>
      <c r="AM15" s="44">
        <v>8.5</v>
      </c>
      <c r="AN15" s="44">
        <v>-6.5</v>
      </c>
      <c r="AO15" s="44">
        <v>25</v>
      </c>
      <c r="AP15" s="44">
        <v>20</v>
      </c>
      <c r="AQ15" s="44">
        <v>-20</v>
      </c>
      <c r="AR15" s="45">
        <v>250</v>
      </c>
      <c r="AS15" s="33" t="s">
        <v>66</v>
      </c>
    </row>
    <row r="16" spans="1:45" ht="14.25" customHeight="1" x14ac:dyDescent="0.4">
      <c r="A16" s="12" t="s">
        <v>36</v>
      </c>
      <c r="B16" s="13">
        <v>1</v>
      </c>
      <c r="C16" s="14" t="s">
        <v>33</v>
      </c>
      <c r="D16" s="15" t="s">
        <v>454</v>
      </c>
      <c r="F16" s="26"/>
      <c r="Q16" s="46"/>
      <c r="AI16" s="77" t="s">
        <v>28</v>
      </c>
      <c r="AJ16" s="28">
        <f t="shared" ref="AJ16:AJ27" si="10">H3*$AJ$15</f>
        <v>210</v>
      </c>
      <c r="AK16" s="47">
        <f t="shared" ref="AK16:AK27" si="11">I3*$AK$15</f>
        <v>-150</v>
      </c>
      <c r="AL16" s="48">
        <f t="shared" ref="AL16:AL27" si="12">J3*$AL$15</f>
        <v>28.000000000000004</v>
      </c>
      <c r="AM16" s="78">
        <f t="shared" ref="AM16:AM27" si="13">K3*$AM$15</f>
        <v>280.5</v>
      </c>
      <c r="AN16" s="78">
        <f t="shared" ref="AN16:AN27" si="14">L3*$AN$15</f>
        <v>-214.5</v>
      </c>
      <c r="AO16" s="79">
        <f t="shared" ref="AO16:AO27" si="15">M3*$AO$15</f>
        <v>25</v>
      </c>
      <c r="AP16" s="48">
        <f t="shared" ref="AP16:AP27" si="16">N3*$AP$15</f>
        <v>23.571428571428573</v>
      </c>
      <c r="AQ16" s="48">
        <f t="shared" ref="AQ16:AQ27" si="17">O3*$AQ$15</f>
        <v>-26.400000000000002</v>
      </c>
      <c r="AR16" s="80">
        <f t="shared" ref="AR16:AR27" si="18">P3*$AR$15</f>
        <v>125</v>
      </c>
      <c r="AS16" s="49">
        <f t="shared" ref="AS16:AS27" si="19">SUM(AJ16:AR16)</f>
        <v>301.17142857142858</v>
      </c>
    </row>
    <row r="17" spans="1:45" ht="14.25" customHeight="1" x14ac:dyDescent="0.4">
      <c r="A17" s="12" t="s">
        <v>33</v>
      </c>
      <c r="B17" s="13">
        <v>1</v>
      </c>
      <c r="C17" s="14" t="s">
        <v>36</v>
      </c>
      <c r="D17" s="15" t="s">
        <v>455</v>
      </c>
      <c r="F17" s="26"/>
      <c r="G17" s="131" t="s">
        <v>72</v>
      </c>
      <c r="H17" s="132"/>
      <c r="I17" s="132"/>
      <c r="J17" s="132"/>
      <c r="K17" s="132"/>
      <c r="L17" s="132"/>
      <c r="M17" s="132"/>
      <c r="N17" s="132"/>
      <c r="O17" s="133"/>
      <c r="AF17" s="51"/>
      <c r="AG17" s="51" t="str">
        <f t="shared" ref="AG17:AG22" si="20">IF(COUNT(S17:AE17)&lt;&gt;0,COUNT(S17:AE17)-1,"")</f>
        <v/>
      </c>
      <c r="AI17" s="27" t="s">
        <v>33</v>
      </c>
      <c r="AJ17" s="28">
        <f t="shared" si="10"/>
        <v>315</v>
      </c>
      <c r="AK17" s="47">
        <f t="shared" si="11"/>
        <v>-150</v>
      </c>
      <c r="AL17" s="48">
        <f t="shared" si="12"/>
        <v>42</v>
      </c>
      <c r="AM17" s="78">
        <f t="shared" si="13"/>
        <v>476</v>
      </c>
      <c r="AN17" s="78">
        <f t="shared" si="14"/>
        <v>-221</v>
      </c>
      <c r="AO17" s="79">
        <f t="shared" si="15"/>
        <v>41.17647058823529</v>
      </c>
      <c r="AP17" s="48">
        <f t="shared" si="16"/>
        <v>26.666666666666664</v>
      </c>
      <c r="AQ17" s="48">
        <f t="shared" si="17"/>
        <v>-27.200000000000003</v>
      </c>
      <c r="AR17" s="80">
        <f t="shared" si="18"/>
        <v>166.66666666666666</v>
      </c>
      <c r="AS17" s="49">
        <f t="shared" si="19"/>
        <v>669.30980392156869</v>
      </c>
    </row>
    <row r="18" spans="1:45" ht="14.25" customHeight="1" x14ac:dyDescent="0.4">
      <c r="A18" s="12" t="s">
        <v>33</v>
      </c>
      <c r="B18" s="13">
        <v>2</v>
      </c>
      <c r="C18" s="14" t="s">
        <v>31</v>
      </c>
      <c r="D18" s="15" t="s">
        <v>456</v>
      </c>
      <c r="F18" s="26"/>
      <c r="G18" s="41" t="s">
        <v>74</v>
      </c>
      <c r="H18" s="25" t="s">
        <v>15</v>
      </c>
      <c r="I18" s="25" t="s">
        <v>16</v>
      </c>
      <c r="J18" s="25" t="s">
        <v>17</v>
      </c>
      <c r="K18" s="25" t="s">
        <v>18</v>
      </c>
      <c r="L18" s="25" t="s">
        <v>19</v>
      </c>
      <c r="M18" s="25" t="s">
        <v>20</v>
      </c>
      <c r="N18" s="18" t="s">
        <v>21</v>
      </c>
      <c r="O18" s="25" t="s">
        <v>22</v>
      </c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 t="str">
        <f t="shared" si="20"/>
        <v/>
      </c>
      <c r="AI18" s="27" t="s">
        <v>41</v>
      </c>
      <c r="AJ18" s="28">
        <f t="shared" si="10"/>
        <v>45</v>
      </c>
      <c r="AK18" s="47">
        <f t="shared" si="11"/>
        <v>-96</v>
      </c>
      <c r="AL18" s="48">
        <f t="shared" si="12"/>
        <v>9.375</v>
      </c>
      <c r="AM18" s="78">
        <f t="shared" si="13"/>
        <v>68</v>
      </c>
      <c r="AN18" s="78">
        <f t="shared" si="14"/>
        <v>-143</v>
      </c>
      <c r="AO18" s="79">
        <f t="shared" si="15"/>
        <v>9.0909090909090917</v>
      </c>
      <c r="AP18" s="48">
        <f t="shared" si="16"/>
        <v>26.666666666666664</v>
      </c>
      <c r="AQ18" s="48">
        <f t="shared" si="17"/>
        <v>-27.5</v>
      </c>
      <c r="AR18" s="80">
        <f t="shared" si="18"/>
        <v>83.333333333333329</v>
      </c>
      <c r="AS18" s="49">
        <f t="shared" si="19"/>
        <v>-25.034090909090921</v>
      </c>
    </row>
    <row r="19" spans="1:45" ht="14.25" customHeight="1" x14ac:dyDescent="0.4">
      <c r="A19" s="12" t="s">
        <v>31</v>
      </c>
      <c r="B19" s="13">
        <v>1</v>
      </c>
      <c r="C19" s="14" t="s">
        <v>33</v>
      </c>
      <c r="D19" s="15" t="s">
        <v>457</v>
      </c>
      <c r="F19" s="26"/>
      <c r="G19" s="27" t="s">
        <v>76</v>
      </c>
      <c r="H19" s="54">
        <f>SUM(H3:H4)/COUNT(H3:H4)</f>
        <v>35</v>
      </c>
      <c r="I19" s="54">
        <f>SUM(I3:I4)/COUNT(I3:I4)</f>
        <v>25</v>
      </c>
      <c r="J19" s="55">
        <f>IF(I19,H19/I19,H19)</f>
        <v>1.4</v>
      </c>
      <c r="K19" s="54">
        <f>SUM(K3:K4)/COUNT(K3:K4)</f>
        <v>44.5</v>
      </c>
      <c r="L19" s="54">
        <f>SUM(L3:L4)/COUNT(L3:L4)</f>
        <v>33.5</v>
      </c>
      <c r="M19" s="55">
        <f>IF(L19,K19/L19,K19)</f>
        <v>1.3283582089552239</v>
      </c>
      <c r="N19" s="56">
        <f t="shared" ref="N19:O23" si="21">IF(H19,K19/H19,0)</f>
        <v>1.2714285714285714</v>
      </c>
      <c r="O19" s="57">
        <f t="shared" si="21"/>
        <v>1.34</v>
      </c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 t="str">
        <f t="shared" si="20"/>
        <v/>
      </c>
      <c r="AI19" s="27" t="s">
        <v>38</v>
      </c>
      <c r="AJ19" s="28">
        <f t="shared" si="10"/>
        <v>142.5</v>
      </c>
      <c r="AK19" s="47">
        <f t="shared" si="11"/>
        <v>-102</v>
      </c>
      <c r="AL19" s="48">
        <f t="shared" si="12"/>
        <v>27.941176470588236</v>
      </c>
      <c r="AM19" s="78">
        <f t="shared" si="13"/>
        <v>0</v>
      </c>
      <c r="AN19" s="78">
        <f t="shared" si="14"/>
        <v>0</v>
      </c>
      <c r="AO19" s="79">
        <f t="shared" si="15"/>
        <v>0</v>
      </c>
      <c r="AP19" s="48">
        <f t="shared" si="16"/>
        <v>0</v>
      </c>
      <c r="AQ19" s="48">
        <f t="shared" si="17"/>
        <v>0</v>
      </c>
      <c r="AR19" s="80">
        <f t="shared" si="18"/>
        <v>0</v>
      </c>
      <c r="AS19" s="49">
        <f t="shared" si="19"/>
        <v>68.441176470588232</v>
      </c>
    </row>
    <row r="20" spans="1:45" ht="14.25" customHeight="1" x14ac:dyDescent="0.4">
      <c r="A20" s="12" t="s">
        <v>438</v>
      </c>
      <c r="B20" s="13">
        <v>2</v>
      </c>
      <c r="C20" s="14" t="s">
        <v>33</v>
      </c>
      <c r="D20" s="15" t="s">
        <v>458</v>
      </c>
      <c r="F20" s="26"/>
      <c r="G20" s="27" t="s">
        <v>77</v>
      </c>
      <c r="H20" s="54">
        <f>SUM(H5:H8)/COUNT(H5:H8)</f>
        <v>32.25</v>
      </c>
      <c r="I20" s="54">
        <f>SUM(I5:I8)/COUNT(I5:I8)</f>
        <v>34.5</v>
      </c>
      <c r="J20" s="55">
        <f>IF(I20,H20/I20,H20)</f>
        <v>0.93478260869565222</v>
      </c>
      <c r="K20" s="54">
        <f>SUM(K5:K8)/COUNT(K5:K8)</f>
        <v>34.25</v>
      </c>
      <c r="L20" s="54">
        <f>SUM(L5:L8)/COUNT(L5:L8)</f>
        <v>39.25</v>
      </c>
      <c r="M20" s="55">
        <f>IF(L20,K20/L20,K20)</f>
        <v>0.87261146496815289</v>
      </c>
      <c r="N20" s="56">
        <f t="shared" si="21"/>
        <v>1.0620155038759691</v>
      </c>
      <c r="O20" s="57">
        <f t="shared" si="21"/>
        <v>1.1376811594202898</v>
      </c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 t="str">
        <f t="shared" si="20"/>
        <v/>
      </c>
      <c r="AI20" s="27" t="s">
        <v>438</v>
      </c>
      <c r="AJ20" s="28">
        <f t="shared" si="10"/>
        <v>405</v>
      </c>
      <c r="AK20" s="47">
        <f t="shared" si="11"/>
        <v>-252</v>
      </c>
      <c r="AL20" s="48">
        <f t="shared" si="12"/>
        <v>32.142857142857146</v>
      </c>
      <c r="AM20" s="78">
        <f t="shared" si="13"/>
        <v>569.5</v>
      </c>
      <c r="AN20" s="78">
        <f t="shared" si="14"/>
        <v>-312</v>
      </c>
      <c r="AO20" s="79">
        <f t="shared" si="15"/>
        <v>34.895833333333329</v>
      </c>
      <c r="AP20" s="48">
        <f t="shared" si="16"/>
        <v>24.814814814814813</v>
      </c>
      <c r="AQ20" s="48">
        <f t="shared" si="17"/>
        <v>-22.857142857142854</v>
      </c>
      <c r="AR20" s="80">
        <f t="shared" si="18"/>
        <v>187.5</v>
      </c>
      <c r="AS20" s="49">
        <f t="shared" si="19"/>
        <v>666.99636243386249</v>
      </c>
    </row>
    <row r="21" spans="1:45" ht="14.25" customHeight="1" x14ac:dyDescent="0.4">
      <c r="A21" s="12" t="s">
        <v>31</v>
      </c>
      <c r="B21" s="13">
        <v>1</v>
      </c>
      <c r="C21" s="14" t="s">
        <v>438</v>
      </c>
      <c r="D21" s="15" t="s">
        <v>459</v>
      </c>
      <c r="E21" s="4"/>
      <c r="F21" s="26"/>
      <c r="G21" s="27" t="s">
        <v>79</v>
      </c>
      <c r="H21" s="54">
        <f>SUM(H9:H11)/COUNT(H9:H11)</f>
        <v>31.333333333333332</v>
      </c>
      <c r="I21" s="54">
        <f>SUM(I9:I11)/COUNT(I9:I11)</f>
        <v>19.666666666666668</v>
      </c>
      <c r="J21" s="55">
        <f>IF(I21,H21/I21,H21)</f>
        <v>1.5932203389830506</v>
      </c>
      <c r="K21" s="54">
        <f>SUM(K9:K11)/COUNT(K9:K11)</f>
        <v>47.666666666666664</v>
      </c>
      <c r="L21" s="54">
        <f>SUM(L9:L11)/COUNT(L9:L11)</f>
        <v>23.333333333333332</v>
      </c>
      <c r="M21" s="55">
        <f>IF(L21,K21/L21,K21)</f>
        <v>2.0428571428571427</v>
      </c>
      <c r="N21" s="56">
        <f t="shared" si="21"/>
        <v>1.5212765957446808</v>
      </c>
      <c r="O21" s="57">
        <f t="shared" si="21"/>
        <v>1.1864406779661016</v>
      </c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 t="str">
        <f t="shared" si="20"/>
        <v/>
      </c>
      <c r="AI21" s="27" t="s">
        <v>31</v>
      </c>
      <c r="AJ21" s="28">
        <f t="shared" si="10"/>
        <v>375</v>
      </c>
      <c r="AK21" s="47">
        <f t="shared" si="11"/>
        <v>-378</v>
      </c>
      <c r="AL21" s="48">
        <f t="shared" si="12"/>
        <v>19.841269841269842</v>
      </c>
      <c r="AM21" s="78">
        <f t="shared" si="13"/>
        <v>527</v>
      </c>
      <c r="AN21" s="78">
        <f t="shared" si="14"/>
        <v>-565.5</v>
      </c>
      <c r="AO21" s="79">
        <f t="shared" si="15"/>
        <v>17.816091954022991</v>
      </c>
      <c r="AP21" s="48">
        <f t="shared" si="16"/>
        <v>24.8</v>
      </c>
      <c r="AQ21" s="48">
        <f t="shared" si="17"/>
        <v>-27.61904761904762</v>
      </c>
      <c r="AR21" s="80">
        <f t="shared" si="18"/>
        <v>104.16666666666667</v>
      </c>
      <c r="AS21" s="49">
        <f t="shared" si="19"/>
        <v>97.50498084291192</v>
      </c>
    </row>
    <row r="22" spans="1:45" ht="14.25" customHeight="1" x14ac:dyDescent="0.4">
      <c r="A22" s="12" t="s">
        <v>438</v>
      </c>
      <c r="B22" s="13">
        <v>1</v>
      </c>
      <c r="C22" s="14" t="s">
        <v>31</v>
      </c>
      <c r="D22" s="15" t="s">
        <v>460</v>
      </c>
      <c r="F22" s="15"/>
      <c r="G22" s="27" t="s">
        <v>86</v>
      </c>
      <c r="H22" s="54">
        <f>SUM(H12:H14)/COUNT(H12:H14)</f>
        <v>1</v>
      </c>
      <c r="I22" s="54">
        <f>SUM(I12:I14)/COUNT(I12:I14)</f>
        <v>15.666666666666666</v>
      </c>
      <c r="J22" s="55">
        <f>IF(I22,H22/I22,H22)</f>
        <v>6.3829787234042562E-2</v>
      </c>
      <c r="K22" s="54">
        <f>SUM(K12:K14)/COUNT(K12:K14)</f>
        <v>1.3333333333333333</v>
      </c>
      <c r="L22" s="54">
        <f>SUM(L12:L14)/COUNT(L12:L14)</f>
        <v>26.333333333333332</v>
      </c>
      <c r="M22" s="55">
        <f>IF(L22,K22/L22,K22)</f>
        <v>5.0632911392405063E-2</v>
      </c>
      <c r="N22" s="56">
        <f t="shared" si="21"/>
        <v>1.3333333333333333</v>
      </c>
      <c r="O22" s="57">
        <f t="shared" si="21"/>
        <v>1.6808510638297873</v>
      </c>
      <c r="Q22" s="58"/>
      <c r="R22" s="59" t="s">
        <v>28</v>
      </c>
      <c r="S22" s="32" t="s">
        <v>81</v>
      </c>
      <c r="T22" s="60" t="s">
        <v>82</v>
      </c>
      <c r="U22" s="61" t="s">
        <v>83</v>
      </c>
      <c r="V22" s="62" t="s">
        <v>84</v>
      </c>
      <c r="AG22" s="51" t="str">
        <f t="shared" si="20"/>
        <v/>
      </c>
      <c r="AI22" s="27" t="s">
        <v>441</v>
      </c>
      <c r="AJ22" s="28">
        <f t="shared" si="10"/>
        <v>15</v>
      </c>
      <c r="AK22" s="47">
        <f t="shared" si="11"/>
        <v>-12</v>
      </c>
      <c r="AL22" s="48">
        <f t="shared" si="12"/>
        <v>25</v>
      </c>
      <c r="AM22" s="78">
        <f t="shared" si="13"/>
        <v>34</v>
      </c>
      <c r="AN22" s="78">
        <f t="shared" si="14"/>
        <v>-13</v>
      </c>
      <c r="AO22" s="79">
        <f t="shared" si="15"/>
        <v>50</v>
      </c>
      <c r="AP22" s="48">
        <f t="shared" si="16"/>
        <v>40</v>
      </c>
      <c r="AQ22" s="48">
        <f t="shared" si="17"/>
        <v>-20</v>
      </c>
      <c r="AR22" s="80">
        <f t="shared" si="18"/>
        <v>41.666666666666664</v>
      </c>
      <c r="AS22" s="49">
        <f t="shared" si="19"/>
        <v>160.66666666666666</v>
      </c>
    </row>
    <row r="23" spans="1:45" ht="14.25" customHeight="1" x14ac:dyDescent="0.4">
      <c r="A23" s="12" t="s">
        <v>33</v>
      </c>
      <c r="B23" s="13">
        <v>1</v>
      </c>
      <c r="C23" s="14" t="s">
        <v>438</v>
      </c>
      <c r="D23" s="15" t="s">
        <v>461</v>
      </c>
      <c r="F23" s="26"/>
      <c r="G23" s="64" t="s">
        <v>88</v>
      </c>
      <c r="H23" s="54">
        <f>SUM(H12:H13)/COUNT(H12:H13)</f>
        <v>1.5</v>
      </c>
      <c r="I23" s="54">
        <f>SUM(I12:I13)/COUNT(I12:I13)</f>
        <v>1</v>
      </c>
      <c r="J23" s="55">
        <f>IF(I23,H23/I23,H23)</f>
        <v>1.5</v>
      </c>
      <c r="K23" s="54">
        <f>SUM(K12:K13)/COUNT(K12:K13)</f>
        <v>2</v>
      </c>
      <c r="L23" s="54">
        <f>SUM(L12:L13)/COUNT(L12:L13)</f>
        <v>1</v>
      </c>
      <c r="M23" s="55">
        <f>IF(L23,K23/L23,K23)</f>
        <v>2</v>
      </c>
      <c r="N23" s="56">
        <f t="shared" si="21"/>
        <v>1.3333333333333333</v>
      </c>
      <c r="O23" s="57">
        <f t="shared" si="21"/>
        <v>1</v>
      </c>
      <c r="Q23" s="58"/>
      <c r="R23" s="36" t="s">
        <v>87</v>
      </c>
      <c r="S23" s="32">
        <f>COUNT(E:E)</f>
        <v>24</v>
      </c>
      <c r="T23" s="60">
        <f>COUNTIF(E:E,1)</f>
        <v>8</v>
      </c>
      <c r="U23" s="61">
        <f>S23-T23</f>
        <v>16</v>
      </c>
      <c r="V23" s="63">
        <f>IFERROR(T23/S23,0)</f>
        <v>0.33333333333333331</v>
      </c>
      <c r="AI23" s="27" t="s">
        <v>36</v>
      </c>
      <c r="AJ23" s="28">
        <f t="shared" si="10"/>
        <v>112.5</v>
      </c>
      <c r="AK23" s="47">
        <f t="shared" si="11"/>
        <v>-84</v>
      </c>
      <c r="AL23" s="48">
        <f t="shared" si="12"/>
        <v>26.785714285714285</v>
      </c>
      <c r="AM23" s="78">
        <f t="shared" si="13"/>
        <v>187</v>
      </c>
      <c r="AN23" s="78">
        <f t="shared" si="14"/>
        <v>-97.5</v>
      </c>
      <c r="AO23" s="79">
        <f t="shared" si="15"/>
        <v>36.666666666666664</v>
      </c>
      <c r="AP23" s="48">
        <f t="shared" si="16"/>
        <v>29.333333333333332</v>
      </c>
      <c r="AQ23" s="48">
        <f t="shared" si="17"/>
        <v>-21.428571428571427</v>
      </c>
      <c r="AR23" s="80">
        <f t="shared" si="18"/>
        <v>104.16666666666667</v>
      </c>
      <c r="AS23" s="49">
        <f t="shared" si="19"/>
        <v>293.52380952380952</v>
      </c>
    </row>
    <row r="24" spans="1:45" ht="14.25" customHeight="1" x14ac:dyDescent="0.4">
      <c r="A24" s="12" t="s">
        <v>12</v>
      </c>
      <c r="B24" s="13">
        <v>2</v>
      </c>
      <c r="C24" s="14" t="s">
        <v>35</v>
      </c>
      <c r="D24" s="15" t="s">
        <v>462</v>
      </c>
      <c r="F24" s="15"/>
      <c r="J24" s="53"/>
      <c r="K24" s="53"/>
      <c r="L24" s="53"/>
      <c r="M24" s="31"/>
      <c r="N24" s="31"/>
      <c r="O24" s="31"/>
      <c r="Q24" s="5"/>
      <c r="AD24" s="53"/>
      <c r="AI24" s="27" t="s">
        <v>12</v>
      </c>
      <c r="AJ24" s="28">
        <f t="shared" si="10"/>
        <v>577.5</v>
      </c>
      <c r="AK24" s="47">
        <f t="shared" si="11"/>
        <v>-258</v>
      </c>
      <c r="AL24" s="48">
        <f t="shared" si="12"/>
        <v>44.767441860465119</v>
      </c>
      <c r="AM24" s="78">
        <f t="shared" si="13"/>
        <v>994.5</v>
      </c>
      <c r="AN24" s="78">
        <f t="shared" si="14"/>
        <v>-344.5</v>
      </c>
      <c r="AO24" s="79">
        <f t="shared" si="15"/>
        <v>55.188679245283026</v>
      </c>
      <c r="AP24" s="48">
        <f t="shared" si="16"/>
        <v>30.38961038961039</v>
      </c>
      <c r="AQ24" s="48">
        <f t="shared" si="17"/>
        <v>-24.651162790697676</v>
      </c>
      <c r="AR24" s="80">
        <f t="shared" si="18"/>
        <v>125</v>
      </c>
      <c r="AS24" s="49">
        <f t="shared" si="19"/>
        <v>1200.1945687046609</v>
      </c>
    </row>
    <row r="25" spans="1:45" ht="14.25" customHeight="1" x14ac:dyDescent="0.4">
      <c r="A25" s="12" t="s">
        <v>36</v>
      </c>
      <c r="B25" s="13">
        <v>1</v>
      </c>
      <c r="C25" s="14" t="s">
        <v>31</v>
      </c>
      <c r="D25" s="15" t="s">
        <v>463</v>
      </c>
      <c r="F25" s="26"/>
      <c r="G25" s="27" t="s">
        <v>14</v>
      </c>
      <c r="H25" s="33" t="s">
        <v>15</v>
      </c>
      <c r="Q25" s="27" t="s">
        <v>14</v>
      </c>
      <c r="R25" s="33" t="s">
        <v>18</v>
      </c>
      <c r="AI25" s="27" t="s">
        <v>37</v>
      </c>
      <c r="AJ25" s="28">
        <f t="shared" si="10"/>
        <v>15</v>
      </c>
      <c r="AK25" s="47">
        <f t="shared" si="11"/>
        <v>-6</v>
      </c>
      <c r="AL25" s="48">
        <f t="shared" si="12"/>
        <v>50</v>
      </c>
      <c r="AM25" s="78">
        <f t="shared" si="13"/>
        <v>17</v>
      </c>
      <c r="AN25" s="78">
        <f t="shared" si="14"/>
        <v>-6.5</v>
      </c>
      <c r="AO25" s="79">
        <f t="shared" si="15"/>
        <v>50</v>
      </c>
      <c r="AP25" s="48">
        <f t="shared" si="16"/>
        <v>20</v>
      </c>
      <c r="AQ25" s="48">
        <f t="shared" si="17"/>
        <v>-20</v>
      </c>
      <c r="AR25" s="80">
        <f t="shared" si="18"/>
        <v>20.833333333333332</v>
      </c>
      <c r="AS25" s="49">
        <f t="shared" si="19"/>
        <v>140.33333333333334</v>
      </c>
    </row>
    <row r="26" spans="1:45" ht="14.25" customHeight="1" x14ac:dyDescent="0.4">
      <c r="A26" s="12" t="s">
        <v>31</v>
      </c>
      <c r="B26" s="13">
        <v>1</v>
      </c>
      <c r="C26" s="14" t="s">
        <v>36</v>
      </c>
      <c r="D26" s="15" t="s">
        <v>464</v>
      </c>
      <c r="F26" s="26"/>
      <c r="G26" s="27" t="s">
        <v>12</v>
      </c>
      <c r="H26" s="28">
        <f>$H$11</f>
        <v>77</v>
      </c>
      <c r="Q26" s="27" t="s">
        <v>12</v>
      </c>
      <c r="R26" s="28">
        <f>$K$11</f>
        <v>117</v>
      </c>
      <c r="AI26" s="27" t="s">
        <v>40</v>
      </c>
      <c r="AJ26" s="28">
        <f t="shared" si="10"/>
        <v>7.5</v>
      </c>
      <c r="AK26" s="47">
        <f t="shared" si="11"/>
        <v>-6</v>
      </c>
      <c r="AL26" s="48">
        <f t="shared" si="12"/>
        <v>25</v>
      </c>
      <c r="AM26" s="78">
        <f t="shared" si="13"/>
        <v>17</v>
      </c>
      <c r="AN26" s="78">
        <f t="shared" si="14"/>
        <v>-6.5</v>
      </c>
      <c r="AO26" s="79">
        <f t="shared" si="15"/>
        <v>50</v>
      </c>
      <c r="AP26" s="48">
        <f t="shared" si="16"/>
        <v>40</v>
      </c>
      <c r="AQ26" s="48">
        <f t="shared" si="17"/>
        <v>-20</v>
      </c>
      <c r="AR26" s="80">
        <f t="shared" si="18"/>
        <v>20.833333333333332</v>
      </c>
      <c r="AS26" s="49">
        <f t="shared" si="19"/>
        <v>127.83333333333333</v>
      </c>
    </row>
    <row r="27" spans="1:45" ht="14.25" customHeight="1" x14ac:dyDescent="0.4">
      <c r="A27" s="12" t="s">
        <v>28</v>
      </c>
      <c r="B27" s="13">
        <v>2</v>
      </c>
      <c r="C27" s="14" t="s">
        <v>31</v>
      </c>
      <c r="D27" s="15" t="s">
        <v>465</v>
      </c>
      <c r="F27" s="15"/>
      <c r="G27" s="27" t="s">
        <v>438</v>
      </c>
      <c r="H27" s="28">
        <f>$H$7</f>
        <v>54</v>
      </c>
      <c r="Q27" s="27" t="s">
        <v>438</v>
      </c>
      <c r="R27" s="28">
        <f>$K$7</f>
        <v>67</v>
      </c>
      <c r="AI27" s="27" t="s">
        <v>35</v>
      </c>
      <c r="AJ27" s="28">
        <f t="shared" si="10"/>
        <v>0</v>
      </c>
      <c r="AK27" s="47">
        <f t="shared" si="11"/>
        <v>-270</v>
      </c>
      <c r="AL27" s="48">
        <f t="shared" si="12"/>
        <v>0</v>
      </c>
      <c r="AM27" s="78">
        <f t="shared" si="13"/>
        <v>0</v>
      </c>
      <c r="AN27" s="78">
        <f t="shared" si="14"/>
        <v>-500.5</v>
      </c>
      <c r="AO27" s="79">
        <f t="shared" si="15"/>
        <v>0</v>
      </c>
      <c r="AP27" s="48">
        <f t="shared" si="16"/>
        <v>0</v>
      </c>
      <c r="AQ27" s="48">
        <f t="shared" si="17"/>
        <v>-34.222222222222221</v>
      </c>
      <c r="AR27" s="80">
        <f t="shared" si="18"/>
        <v>0</v>
      </c>
      <c r="AS27" s="49">
        <f t="shared" si="19"/>
        <v>-804.72222222222217</v>
      </c>
    </row>
    <row r="28" spans="1:45" ht="14.25" customHeight="1" x14ac:dyDescent="0.4">
      <c r="A28" s="12" t="s">
        <v>438</v>
      </c>
      <c r="B28" s="13">
        <v>1</v>
      </c>
      <c r="C28" s="14" t="s">
        <v>31</v>
      </c>
      <c r="D28" s="15" t="s">
        <v>466</v>
      </c>
      <c r="F28" s="26"/>
      <c r="G28" s="27" t="s">
        <v>31</v>
      </c>
      <c r="H28" s="28">
        <f>$H$8</f>
        <v>50</v>
      </c>
      <c r="Q28" s="27" t="s">
        <v>31</v>
      </c>
      <c r="R28" s="28">
        <f>$K$8</f>
        <v>62</v>
      </c>
    </row>
    <row r="29" spans="1:45" ht="14.25" customHeight="1" x14ac:dyDescent="0.4">
      <c r="A29" s="12" t="s">
        <v>31</v>
      </c>
      <c r="B29" s="13">
        <v>1</v>
      </c>
      <c r="C29" s="14" t="s">
        <v>438</v>
      </c>
      <c r="D29" s="15" t="s">
        <v>467</v>
      </c>
      <c r="F29" s="15"/>
      <c r="G29" s="27" t="s">
        <v>33</v>
      </c>
      <c r="H29" s="28">
        <f>$H$4</f>
        <v>42</v>
      </c>
      <c r="Q29" s="27" t="s">
        <v>33</v>
      </c>
      <c r="R29" s="28">
        <f>$K$4</f>
        <v>56</v>
      </c>
    </row>
    <row r="30" spans="1:45" ht="14.25" customHeight="1" x14ac:dyDescent="0.4">
      <c r="A30" s="12" t="s">
        <v>38</v>
      </c>
      <c r="B30" s="13">
        <v>2</v>
      </c>
      <c r="C30" s="14" t="s">
        <v>31</v>
      </c>
      <c r="D30" s="15" t="s">
        <v>468</v>
      </c>
      <c r="F30" s="26"/>
      <c r="G30" s="27" t="s">
        <v>28</v>
      </c>
      <c r="H30" s="28">
        <f>$H$3</f>
        <v>28</v>
      </c>
      <c r="Q30" s="27" t="s">
        <v>28</v>
      </c>
      <c r="R30" s="28">
        <f>$K$3</f>
        <v>33</v>
      </c>
    </row>
    <row r="31" spans="1:45" ht="14.25" customHeight="1" x14ac:dyDescent="0.4">
      <c r="A31" s="12" t="s">
        <v>31</v>
      </c>
      <c r="B31" s="13">
        <v>1</v>
      </c>
      <c r="C31" s="14" t="s">
        <v>38</v>
      </c>
      <c r="D31" s="15" t="s">
        <v>469</v>
      </c>
      <c r="F31" s="26"/>
      <c r="G31" s="27" t="s">
        <v>38</v>
      </c>
      <c r="H31" s="28">
        <f>$H$6</f>
        <v>19</v>
      </c>
      <c r="Q31" s="27" t="s">
        <v>38</v>
      </c>
      <c r="R31" s="28">
        <f>$K$6</f>
        <v>0</v>
      </c>
    </row>
    <row r="32" spans="1:45" ht="14.25" customHeight="1" x14ac:dyDescent="0.4">
      <c r="A32" s="12" t="s">
        <v>12</v>
      </c>
      <c r="B32" s="13">
        <v>2</v>
      </c>
      <c r="C32" s="14" t="s">
        <v>33</v>
      </c>
      <c r="D32" s="15" t="s">
        <v>470</v>
      </c>
      <c r="F32" s="26"/>
      <c r="G32" s="27" t="s">
        <v>36</v>
      </c>
      <c r="H32" s="28">
        <f>$H$10</f>
        <v>15</v>
      </c>
      <c r="Q32" s="27" t="s">
        <v>36</v>
      </c>
      <c r="R32" s="28">
        <f>$K$10</f>
        <v>22</v>
      </c>
      <c r="AI32" s="53"/>
      <c r="AJ32" s="53"/>
      <c r="AK32" s="53"/>
    </row>
    <row r="33" spans="1:38" ht="14.25" customHeight="1" x14ac:dyDescent="0.4">
      <c r="A33" s="12" t="s">
        <v>33</v>
      </c>
      <c r="B33" s="13">
        <v>1</v>
      </c>
      <c r="C33" s="14" t="s">
        <v>12</v>
      </c>
      <c r="D33" s="15" t="s">
        <v>471</v>
      </c>
      <c r="F33" s="26"/>
      <c r="G33" s="27" t="s">
        <v>41</v>
      </c>
      <c r="H33" s="28">
        <f>$H$5</f>
        <v>6</v>
      </c>
      <c r="Q33" s="27" t="s">
        <v>41</v>
      </c>
      <c r="R33" s="28">
        <f>$K$5</f>
        <v>8</v>
      </c>
      <c r="AH33" s="53" t="s">
        <v>472</v>
      </c>
      <c r="AI33" s="65" t="s">
        <v>14</v>
      </c>
      <c r="AJ33" s="66" t="s">
        <v>98</v>
      </c>
      <c r="AK33" s="66" t="s">
        <v>99</v>
      </c>
      <c r="AL33" s="53"/>
    </row>
    <row r="34" spans="1:38" ht="14.25" customHeight="1" x14ac:dyDescent="0.4">
      <c r="A34" s="12" t="s">
        <v>12</v>
      </c>
      <c r="B34" s="13">
        <v>1</v>
      </c>
      <c r="C34" s="14" t="s">
        <v>438</v>
      </c>
      <c r="D34" s="15" t="s">
        <v>473</v>
      </c>
      <c r="F34" s="26"/>
      <c r="G34" s="27" t="s">
        <v>441</v>
      </c>
      <c r="H34" s="28">
        <f>$H$9</f>
        <v>2</v>
      </c>
      <c r="Q34" s="27" t="s">
        <v>441</v>
      </c>
      <c r="R34" s="28">
        <f>$K$9</f>
        <v>4</v>
      </c>
      <c r="AH34" s="53" t="s">
        <v>474</v>
      </c>
      <c r="AI34" s="77" t="s">
        <v>12</v>
      </c>
      <c r="AJ34" s="49">
        <f>$AS$24</f>
        <v>1200.1945687046609</v>
      </c>
      <c r="AK34" s="67">
        <f t="shared" ref="AK34:AK45" si="22">AJ34-$AJ$45</f>
        <v>2004.9167909268831</v>
      </c>
      <c r="AL34" s="52">
        <v>1</v>
      </c>
    </row>
    <row r="35" spans="1:38" ht="14.25" customHeight="1" x14ac:dyDescent="0.4">
      <c r="A35" s="12" t="s">
        <v>438</v>
      </c>
      <c r="B35" s="13">
        <v>2</v>
      </c>
      <c r="C35" s="14" t="s">
        <v>12</v>
      </c>
      <c r="D35" s="15" t="s">
        <v>475</v>
      </c>
      <c r="F35" s="15"/>
      <c r="G35" s="27" t="s">
        <v>37</v>
      </c>
      <c r="H35" s="28">
        <f>$H$12</f>
        <v>2</v>
      </c>
      <c r="Q35" s="27" t="s">
        <v>37</v>
      </c>
      <c r="R35" s="28">
        <f>$K$12</f>
        <v>2</v>
      </c>
      <c r="AH35" s="53" t="s">
        <v>476</v>
      </c>
      <c r="AI35" s="27" t="s">
        <v>438</v>
      </c>
      <c r="AJ35" s="49">
        <f>$AS$20</f>
        <v>666.99636243386249</v>
      </c>
      <c r="AK35" s="67">
        <f t="shared" si="22"/>
        <v>1471.7185846560847</v>
      </c>
      <c r="AL35" s="52">
        <v>2</v>
      </c>
    </row>
    <row r="36" spans="1:38" ht="14.25" customHeight="1" x14ac:dyDescent="0.4">
      <c r="A36" s="12" t="s">
        <v>438</v>
      </c>
      <c r="B36" s="13">
        <v>1</v>
      </c>
      <c r="C36" s="14" t="s">
        <v>41</v>
      </c>
      <c r="D36" s="15" t="s">
        <v>477</v>
      </c>
      <c r="F36" s="26"/>
      <c r="G36" s="27" t="s">
        <v>40</v>
      </c>
      <c r="H36" s="28">
        <f>$H$13</f>
        <v>1</v>
      </c>
      <c r="Q36" s="27" t="s">
        <v>40</v>
      </c>
      <c r="R36" s="28">
        <f>$K$13</f>
        <v>2</v>
      </c>
      <c r="AH36" s="53" t="s">
        <v>478</v>
      </c>
      <c r="AI36" s="27" t="s">
        <v>33</v>
      </c>
      <c r="AJ36" s="49">
        <f>$AS$17</f>
        <v>669.30980392156869</v>
      </c>
      <c r="AK36" s="67">
        <f t="shared" si="22"/>
        <v>1474.032026143791</v>
      </c>
      <c r="AL36" s="52">
        <v>3</v>
      </c>
    </row>
    <row r="37" spans="1:38" ht="14.25" customHeight="1" x14ac:dyDescent="0.4">
      <c r="A37" s="12" t="s">
        <v>41</v>
      </c>
      <c r="B37" s="13">
        <v>1</v>
      </c>
      <c r="C37" s="14" t="s">
        <v>438</v>
      </c>
      <c r="D37" s="15" t="s">
        <v>479</v>
      </c>
      <c r="F37" s="15"/>
      <c r="G37" s="27" t="s">
        <v>35</v>
      </c>
      <c r="H37" s="28">
        <f>$H$14</f>
        <v>0</v>
      </c>
      <c r="Q37" s="27" t="s">
        <v>35</v>
      </c>
      <c r="R37" s="28">
        <f>$K$14</f>
        <v>0</v>
      </c>
      <c r="AH37" s="53" t="s">
        <v>480</v>
      </c>
      <c r="AI37" s="27" t="s">
        <v>38</v>
      </c>
      <c r="AJ37" s="49">
        <f>$AS$19</f>
        <v>68.441176470588232</v>
      </c>
      <c r="AK37" s="67">
        <f t="shared" si="22"/>
        <v>873.16339869281046</v>
      </c>
      <c r="AL37" s="52">
        <v>4</v>
      </c>
    </row>
    <row r="38" spans="1:38" ht="14.25" customHeight="1" x14ac:dyDescent="0.4">
      <c r="A38" s="12" t="s">
        <v>12</v>
      </c>
      <c r="B38" s="13">
        <v>2</v>
      </c>
      <c r="C38" s="14" t="s">
        <v>35</v>
      </c>
      <c r="D38" s="15" t="s">
        <v>481</v>
      </c>
      <c r="F38" s="26"/>
      <c r="AH38" s="53" t="s">
        <v>482</v>
      </c>
      <c r="AI38" s="27" t="s">
        <v>28</v>
      </c>
      <c r="AJ38" s="49">
        <f>$AS$16</f>
        <v>301.17142857142858</v>
      </c>
      <c r="AK38" s="67">
        <f t="shared" si="22"/>
        <v>1105.8936507936507</v>
      </c>
      <c r="AL38" s="52">
        <v>5</v>
      </c>
    </row>
    <row r="39" spans="1:38" ht="14.25" customHeight="1" x14ac:dyDescent="0.4">
      <c r="A39" s="12" t="s">
        <v>31</v>
      </c>
      <c r="B39" s="13">
        <v>2</v>
      </c>
      <c r="C39" s="14" t="s">
        <v>12</v>
      </c>
      <c r="D39" s="15" t="s">
        <v>483</v>
      </c>
      <c r="F39" s="26"/>
      <c r="AH39" s="53" t="s">
        <v>484</v>
      </c>
      <c r="AI39" s="27" t="s">
        <v>36</v>
      </c>
      <c r="AJ39" s="49">
        <f>$AS$23</f>
        <v>293.52380952380952</v>
      </c>
      <c r="AK39" s="67">
        <f t="shared" si="22"/>
        <v>1098.2460317460318</v>
      </c>
      <c r="AL39" s="52">
        <v>6</v>
      </c>
    </row>
    <row r="40" spans="1:38" ht="14.25" customHeight="1" x14ac:dyDescent="0.4">
      <c r="A40" s="12" t="s">
        <v>12</v>
      </c>
      <c r="B40" s="13">
        <v>2</v>
      </c>
      <c r="C40" s="14" t="s">
        <v>31</v>
      </c>
      <c r="D40" s="15" t="s">
        <v>485</v>
      </c>
      <c r="F40" s="26"/>
      <c r="AH40" s="53" t="s">
        <v>486</v>
      </c>
      <c r="AI40" s="27" t="s">
        <v>37</v>
      </c>
      <c r="AJ40" s="49">
        <f>$AS$25</f>
        <v>140.33333333333334</v>
      </c>
      <c r="AK40" s="67">
        <f t="shared" si="22"/>
        <v>945.05555555555554</v>
      </c>
      <c r="AL40" s="52">
        <v>7</v>
      </c>
    </row>
    <row r="41" spans="1:38" ht="14.25" customHeight="1" x14ac:dyDescent="0.4">
      <c r="A41" s="12" t="s">
        <v>28</v>
      </c>
      <c r="B41" s="13">
        <v>1</v>
      </c>
      <c r="C41" s="14" t="s">
        <v>438</v>
      </c>
      <c r="D41" s="15" t="s">
        <v>487</v>
      </c>
      <c r="F41" s="15"/>
      <c r="G41" s="27" t="s">
        <v>14</v>
      </c>
      <c r="H41" s="33" t="s">
        <v>16</v>
      </c>
      <c r="Q41" s="27" t="s">
        <v>14</v>
      </c>
      <c r="R41" s="33" t="s">
        <v>19</v>
      </c>
      <c r="AH41" s="53" t="s">
        <v>488</v>
      </c>
      <c r="AI41" s="27" t="s">
        <v>441</v>
      </c>
      <c r="AJ41" s="49">
        <f>$AS$22</f>
        <v>160.66666666666666</v>
      </c>
      <c r="AK41" s="67">
        <f t="shared" si="22"/>
        <v>965.3888888888888</v>
      </c>
      <c r="AL41" s="52">
        <v>8</v>
      </c>
    </row>
    <row r="42" spans="1:38" ht="14.25" customHeight="1" x14ac:dyDescent="0.4">
      <c r="A42" s="12" t="s">
        <v>438</v>
      </c>
      <c r="B42" s="13">
        <v>2</v>
      </c>
      <c r="C42" s="14" t="s">
        <v>28</v>
      </c>
      <c r="D42" s="15" t="s">
        <v>489</v>
      </c>
      <c r="E42" s="52">
        <v>0</v>
      </c>
      <c r="F42" s="26"/>
      <c r="G42" s="27" t="s">
        <v>31</v>
      </c>
      <c r="H42" s="28">
        <f>$I$8</f>
        <v>63</v>
      </c>
      <c r="Q42" s="27" t="s">
        <v>31</v>
      </c>
      <c r="R42" s="28">
        <f>$L$8</f>
        <v>87</v>
      </c>
      <c r="AH42" s="53" t="s">
        <v>490</v>
      </c>
      <c r="AI42" s="27" t="s">
        <v>40</v>
      </c>
      <c r="AJ42" s="49">
        <f>$AS$26</f>
        <v>127.83333333333333</v>
      </c>
      <c r="AK42" s="67">
        <f t="shared" si="22"/>
        <v>932.55555555555554</v>
      </c>
      <c r="AL42" s="52">
        <v>9</v>
      </c>
    </row>
    <row r="43" spans="1:38" ht="14.25" customHeight="1" x14ac:dyDescent="0.4">
      <c r="A43" s="12" t="s">
        <v>438</v>
      </c>
      <c r="B43" s="13">
        <v>1</v>
      </c>
      <c r="C43" s="14" t="s">
        <v>35</v>
      </c>
      <c r="D43" s="15" t="s">
        <v>491</v>
      </c>
      <c r="F43" s="26"/>
      <c r="G43" s="27" t="s">
        <v>35</v>
      </c>
      <c r="H43" s="28">
        <f>$I$14</f>
        <v>45</v>
      </c>
      <c r="Q43" s="27" t="s">
        <v>35</v>
      </c>
      <c r="R43" s="28">
        <f>$L$14</f>
        <v>77</v>
      </c>
      <c r="AH43" s="53" t="s">
        <v>492</v>
      </c>
      <c r="AI43" s="27" t="s">
        <v>31</v>
      </c>
      <c r="AJ43" s="49">
        <f>$AS$21</f>
        <v>97.50498084291192</v>
      </c>
      <c r="AK43" s="67">
        <f t="shared" si="22"/>
        <v>902.22720306513406</v>
      </c>
      <c r="AL43" s="52">
        <v>10</v>
      </c>
    </row>
    <row r="44" spans="1:38" ht="14.25" customHeight="1" x14ac:dyDescent="0.4">
      <c r="A44" s="12" t="s">
        <v>12</v>
      </c>
      <c r="B44" s="13">
        <v>2</v>
      </c>
      <c r="C44" s="14" t="s">
        <v>28</v>
      </c>
      <c r="D44" s="15" t="s">
        <v>493</v>
      </c>
      <c r="E44" s="52">
        <v>0</v>
      </c>
      <c r="F44" s="26"/>
      <c r="G44" s="27" t="s">
        <v>12</v>
      </c>
      <c r="H44" s="28">
        <f>$I$11</f>
        <v>43</v>
      </c>
      <c r="Q44" s="27" t="s">
        <v>12</v>
      </c>
      <c r="R44" s="28">
        <f>$L$11</f>
        <v>53</v>
      </c>
      <c r="AH44" s="53" t="s">
        <v>494</v>
      </c>
      <c r="AI44" s="27" t="s">
        <v>41</v>
      </c>
      <c r="AJ44" s="49">
        <f>$AS$18</f>
        <v>-25.034090909090921</v>
      </c>
      <c r="AK44" s="67">
        <f t="shared" si="22"/>
        <v>779.68813131313129</v>
      </c>
      <c r="AL44" s="52">
        <v>11</v>
      </c>
    </row>
    <row r="45" spans="1:38" ht="14.25" customHeight="1" x14ac:dyDescent="0.4">
      <c r="A45" s="12" t="s">
        <v>12</v>
      </c>
      <c r="B45" s="13">
        <v>1</v>
      </c>
      <c r="C45" s="14" t="s">
        <v>31</v>
      </c>
      <c r="D45" s="15" t="s">
        <v>495</v>
      </c>
      <c r="F45" s="15"/>
      <c r="G45" s="27" t="s">
        <v>438</v>
      </c>
      <c r="H45" s="28">
        <f>$I$7</f>
        <v>42</v>
      </c>
      <c r="Q45" s="27" t="s">
        <v>438</v>
      </c>
      <c r="R45" s="28">
        <f>$L$7</f>
        <v>48</v>
      </c>
      <c r="AH45" s="53" t="s">
        <v>496</v>
      </c>
      <c r="AI45" s="27" t="s">
        <v>35</v>
      </c>
      <c r="AJ45" s="49">
        <f>$AS$27</f>
        <v>-804.72222222222217</v>
      </c>
      <c r="AK45" s="67">
        <f t="shared" si="22"/>
        <v>0</v>
      </c>
      <c r="AL45" s="52">
        <v>12</v>
      </c>
    </row>
    <row r="46" spans="1:38" ht="14.25" customHeight="1" x14ac:dyDescent="0.4">
      <c r="A46" s="12" t="s">
        <v>31</v>
      </c>
      <c r="B46" s="13">
        <v>1</v>
      </c>
      <c r="C46" s="14" t="s">
        <v>12</v>
      </c>
      <c r="D46" s="15" t="s">
        <v>497</v>
      </c>
      <c r="F46" s="26"/>
      <c r="G46" s="27" t="s">
        <v>33</v>
      </c>
      <c r="H46" s="28">
        <f>$I$4</f>
        <v>25</v>
      </c>
      <c r="Q46" s="27" t="s">
        <v>28</v>
      </c>
      <c r="R46" s="28">
        <f>$L$3</f>
        <v>33</v>
      </c>
    </row>
    <row r="47" spans="1:38" ht="14.25" customHeight="1" x14ac:dyDescent="0.4">
      <c r="A47" s="12" t="s">
        <v>12</v>
      </c>
      <c r="B47" s="13">
        <v>2</v>
      </c>
      <c r="C47" s="14" t="s">
        <v>31</v>
      </c>
      <c r="D47" s="15" t="s">
        <v>498</v>
      </c>
      <c r="F47" s="26"/>
      <c r="G47" s="27" t="s">
        <v>28</v>
      </c>
      <c r="H47" s="28">
        <f>$I$3</f>
        <v>25</v>
      </c>
      <c r="Q47" s="27" t="s">
        <v>33</v>
      </c>
      <c r="R47" s="28">
        <f>$L$4</f>
        <v>34</v>
      </c>
      <c r="AI47" s="53"/>
      <c r="AJ47" s="53"/>
      <c r="AK47" s="53"/>
    </row>
    <row r="48" spans="1:38" ht="14.25" customHeight="1" x14ac:dyDescent="0.4">
      <c r="A48" s="12" t="s">
        <v>12</v>
      </c>
      <c r="B48" s="13">
        <v>2</v>
      </c>
      <c r="C48" s="14" t="s">
        <v>35</v>
      </c>
      <c r="D48" s="15" t="s">
        <v>499</v>
      </c>
      <c r="F48" s="26"/>
      <c r="G48" s="27" t="s">
        <v>38</v>
      </c>
      <c r="H48" s="28">
        <f>$I$6</f>
        <v>17</v>
      </c>
      <c r="Q48" s="27" t="s">
        <v>41</v>
      </c>
      <c r="R48" s="28">
        <f>$L$5</f>
        <v>22</v>
      </c>
      <c r="AI48" s="53"/>
      <c r="AJ48" s="53"/>
      <c r="AK48" s="53"/>
    </row>
    <row r="49" spans="1:44" ht="14.25" customHeight="1" x14ac:dyDescent="0.4">
      <c r="A49" s="12" t="s">
        <v>37</v>
      </c>
      <c r="B49" s="13">
        <v>2</v>
      </c>
      <c r="C49" s="14" t="s">
        <v>438</v>
      </c>
      <c r="D49" s="15" t="s">
        <v>500</v>
      </c>
      <c r="F49" s="26"/>
      <c r="G49" s="27" t="s">
        <v>41</v>
      </c>
      <c r="H49" s="28">
        <f>$I$5</f>
        <v>16</v>
      </c>
      <c r="Q49" s="27" t="s">
        <v>38</v>
      </c>
      <c r="R49" s="28">
        <f>$L$6</f>
        <v>0</v>
      </c>
      <c r="AI49" s="53"/>
      <c r="AJ49" s="53"/>
      <c r="AK49" s="53"/>
    </row>
    <row r="50" spans="1:44" ht="14.25" customHeight="1" x14ac:dyDescent="0.4">
      <c r="A50" s="12" t="s">
        <v>37</v>
      </c>
      <c r="B50" s="13">
        <v>2</v>
      </c>
      <c r="C50" s="14" t="s">
        <v>38</v>
      </c>
      <c r="D50" s="15" t="s">
        <v>500</v>
      </c>
      <c r="F50" s="26"/>
      <c r="G50" s="27" t="s">
        <v>36</v>
      </c>
      <c r="H50" s="28">
        <f>$I$10</f>
        <v>14</v>
      </c>
      <c r="Q50" s="27" t="s">
        <v>36</v>
      </c>
      <c r="R50" s="28">
        <f>$L$10</f>
        <v>15</v>
      </c>
      <c r="AI50" s="53"/>
      <c r="AJ50" s="53"/>
      <c r="AK50" s="53"/>
    </row>
    <row r="51" spans="1:44" ht="14.25" customHeight="1" x14ac:dyDescent="0.4">
      <c r="A51" s="12" t="s">
        <v>438</v>
      </c>
      <c r="B51" s="13">
        <v>2</v>
      </c>
      <c r="C51" s="14" t="s">
        <v>28</v>
      </c>
      <c r="D51" s="15" t="s">
        <v>501</v>
      </c>
      <c r="E51" s="52">
        <v>0</v>
      </c>
      <c r="F51" s="26"/>
      <c r="G51" s="27" t="s">
        <v>441</v>
      </c>
      <c r="H51" s="28">
        <f>$I$9</f>
        <v>2</v>
      </c>
      <c r="Q51" s="27" t="s">
        <v>441</v>
      </c>
      <c r="R51" s="28">
        <f>$L$9</f>
        <v>2</v>
      </c>
      <c r="AI51" s="131" t="s">
        <v>121</v>
      </c>
      <c r="AJ51" s="132"/>
      <c r="AK51" s="132"/>
      <c r="AL51" s="132"/>
      <c r="AM51" s="132"/>
      <c r="AN51" s="132"/>
      <c r="AO51" s="132"/>
      <c r="AP51" s="132"/>
      <c r="AQ51" s="133"/>
    </row>
    <row r="52" spans="1:44" ht="14.25" customHeight="1" x14ac:dyDescent="0.4">
      <c r="A52" s="12" t="s">
        <v>38</v>
      </c>
      <c r="B52" s="13">
        <v>1</v>
      </c>
      <c r="C52" s="14" t="s">
        <v>28</v>
      </c>
      <c r="D52" s="15" t="s">
        <v>502</v>
      </c>
      <c r="E52" s="52">
        <v>0</v>
      </c>
      <c r="F52" s="26"/>
      <c r="G52" s="27" t="s">
        <v>40</v>
      </c>
      <c r="H52" s="28">
        <f>$I$13</f>
        <v>1</v>
      </c>
      <c r="Q52" s="27" t="s">
        <v>40</v>
      </c>
      <c r="R52" s="28">
        <f>$L$13</f>
        <v>1</v>
      </c>
      <c r="AI52" s="68" t="s">
        <v>123</v>
      </c>
      <c r="AJ52" s="69" t="s">
        <v>15</v>
      </c>
      <c r="AK52" s="69" t="s">
        <v>16</v>
      </c>
      <c r="AL52" s="69" t="s">
        <v>17</v>
      </c>
      <c r="AM52" s="69" t="s">
        <v>18</v>
      </c>
      <c r="AN52" s="69" t="s">
        <v>19</v>
      </c>
      <c r="AO52" s="69" t="s">
        <v>20</v>
      </c>
      <c r="AP52" s="69" t="s">
        <v>21</v>
      </c>
      <c r="AQ52" s="69" t="s">
        <v>22</v>
      </c>
    </row>
    <row r="53" spans="1:44" ht="14.25" customHeight="1" x14ac:dyDescent="0.4">
      <c r="A53" s="12" t="s">
        <v>28</v>
      </c>
      <c r="B53" s="13">
        <v>1</v>
      </c>
      <c r="C53" s="14" t="s">
        <v>38</v>
      </c>
      <c r="D53" s="15" t="s">
        <v>503</v>
      </c>
      <c r="F53" s="26"/>
      <c r="G53" s="27" t="s">
        <v>37</v>
      </c>
      <c r="H53" s="28">
        <f>$I$12</f>
        <v>1</v>
      </c>
      <c r="Q53" s="27" t="s">
        <v>37</v>
      </c>
      <c r="R53" s="28">
        <f>$L$12</f>
        <v>1</v>
      </c>
      <c r="AI53" s="27" t="s">
        <v>65</v>
      </c>
      <c r="AJ53" s="43">
        <v>7.5</v>
      </c>
      <c r="AK53" s="44">
        <v>-6</v>
      </c>
      <c r="AL53" s="44">
        <v>25</v>
      </c>
      <c r="AM53" s="44">
        <v>8.5</v>
      </c>
      <c r="AN53" s="44">
        <v>-6.5</v>
      </c>
      <c r="AO53" s="44">
        <v>25</v>
      </c>
      <c r="AP53" s="44">
        <v>20</v>
      </c>
      <c r="AQ53" s="44">
        <v>-20</v>
      </c>
      <c r="AR53" s="33" t="s">
        <v>66</v>
      </c>
    </row>
    <row r="54" spans="1:44" ht="14.25" customHeight="1" x14ac:dyDescent="0.4">
      <c r="A54" s="12" t="s">
        <v>28</v>
      </c>
      <c r="B54" s="13">
        <v>1</v>
      </c>
      <c r="C54" s="14" t="s">
        <v>438</v>
      </c>
      <c r="D54" s="15" t="s">
        <v>503</v>
      </c>
      <c r="F54" s="26"/>
      <c r="AI54" s="41" t="s">
        <v>76</v>
      </c>
      <c r="AJ54" s="29">
        <f>H19*$AJ$53</f>
        <v>262.5</v>
      </c>
      <c r="AK54" s="29">
        <f>I19*$AK$53</f>
        <v>-150</v>
      </c>
      <c r="AL54" s="29">
        <f>J19*$AL$53</f>
        <v>35</v>
      </c>
      <c r="AM54" s="29">
        <f>K19*$AM$53</f>
        <v>378.25</v>
      </c>
      <c r="AN54" s="29">
        <f>L19*$AN$53</f>
        <v>-217.75</v>
      </c>
      <c r="AO54" s="29">
        <f>M19*$AO$53</f>
        <v>33.208955223880601</v>
      </c>
      <c r="AP54" s="29">
        <f>N19*$AP$53</f>
        <v>25.428571428571427</v>
      </c>
      <c r="AQ54" s="29">
        <f>O19*$AQ$53</f>
        <v>-26.8</v>
      </c>
      <c r="AR54" s="29">
        <f>SUM(AJ54:AQ54)</f>
        <v>339.83752665245203</v>
      </c>
    </row>
    <row r="55" spans="1:44" ht="14.25" customHeight="1" x14ac:dyDescent="0.4">
      <c r="A55" s="12" t="s">
        <v>438</v>
      </c>
      <c r="B55" s="13">
        <v>1</v>
      </c>
      <c r="C55" s="14" t="s">
        <v>12</v>
      </c>
      <c r="D55" s="15" t="s">
        <v>504</v>
      </c>
      <c r="F55" s="26"/>
      <c r="AI55" s="27" t="s">
        <v>77</v>
      </c>
      <c r="AJ55" s="29">
        <f>H20*$AJ$53</f>
        <v>241.875</v>
      </c>
      <c r="AK55" s="29">
        <f>I20*$AK$53</f>
        <v>-207</v>
      </c>
      <c r="AL55" s="29">
        <f>J20*$AL$53</f>
        <v>23.369565217391305</v>
      </c>
      <c r="AM55" s="29">
        <f>K20*$AM$53</f>
        <v>291.125</v>
      </c>
      <c r="AN55" s="29">
        <f>L20*$AN$53</f>
        <v>-255.125</v>
      </c>
      <c r="AO55" s="29">
        <f>M20*$AO$53</f>
        <v>21.815286624203821</v>
      </c>
      <c r="AP55" s="29">
        <f>N20*$AP$53</f>
        <v>21.240310077519382</v>
      </c>
      <c r="AQ55" s="29">
        <f>O20*$AQ$53</f>
        <v>-22.753623188405797</v>
      </c>
      <c r="AR55" s="29">
        <f>SUM(AJ55:AQ55)</f>
        <v>114.54653873070872</v>
      </c>
    </row>
    <row r="56" spans="1:44" ht="14.25" customHeight="1" x14ac:dyDescent="0.4">
      <c r="A56" s="12" t="s">
        <v>12</v>
      </c>
      <c r="B56" s="13">
        <v>1</v>
      </c>
      <c r="C56" s="14" t="s">
        <v>438</v>
      </c>
      <c r="D56" s="15" t="s">
        <v>505</v>
      </c>
      <c r="F56" s="26"/>
      <c r="AI56" s="27" t="s">
        <v>79</v>
      </c>
      <c r="AJ56" s="29">
        <f>H21*$AJ$53</f>
        <v>235</v>
      </c>
      <c r="AK56" s="29">
        <f>I21*$AK$53</f>
        <v>-118</v>
      </c>
      <c r="AL56" s="29">
        <f>J21*$AL$53</f>
        <v>39.830508474576263</v>
      </c>
      <c r="AM56" s="29">
        <f>K21*$AM$53</f>
        <v>405.16666666666663</v>
      </c>
      <c r="AN56" s="29">
        <f>L21*$AN$53</f>
        <v>-151.66666666666666</v>
      </c>
      <c r="AO56" s="29">
        <f>M21*$AO$53</f>
        <v>51.071428571428569</v>
      </c>
      <c r="AP56" s="29">
        <f>N21*$AP$53</f>
        <v>30.425531914893615</v>
      </c>
      <c r="AQ56" s="29">
        <f>O21*$AQ$53</f>
        <v>-23.728813559322035</v>
      </c>
      <c r="AR56" s="29">
        <f>SUM(AJ56:AQ56)</f>
        <v>468.09865540157642</v>
      </c>
    </row>
    <row r="57" spans="1:44" ht="14.25" customHeight="1" x14ac:dyDescent="0.4">
      <c r="A57" s="12" t="s">
        <v>28</v>
      </c>
      <c r="B57" s="13">
        <v>2</v>
      </c>
      <c r="C57" s="14" t="s">
        <v>438</v>
      </c>
      <c r="D57" s="15" t="s">
        <v>506</v>
      </c>
      <c r="F57" s="26"/>
      <c r="G57" s="27" t="s">
        <v>14</v>
      </c>
      <c r="H57" s="33" t="s">
        <v>17</v>
      </c>
      <c r="Q57" s="27" t="s">
        <v>14</v>
      </c>
      <c r="R57" s="33" t="s">
        <v>20</v>
      </c>
      <c r="AI57" s="27" t="s">
        <v>86</v>
      </c>
      <c r="AJ57" s="29">
        <f>H22*$AJ$53</f>
        <v>7.5</v>
      </c>
      <c r="AK57" s="29">
        <f>I22*$AK$53</f>
        <v>-94</v>
      </c>
      <c r="AL57" s="29">
        <f>J22*$AL$53</f>
        <v>1.595744680851064</v>
      </c>
      <c r="AM57" s="29">
        <f>K22*$AM$53</f>
        <v>11.333333333333332</v>
      </c>
      <c r="AN57" s="29">
        <f>L22*$AN$53</f>
        <v>-171.16666666666666</v>
      </c>
      <c r="AO57" s="29">
        <f>M22*$AO$53</f>
        <v>1.2658227848101267</v>
      </c>
      <c r="AP57" s="29">
        <f>N22*$AP$53</f>
        <v>26.666666666666664</v>
      </c>
      <c r="AQ57" s="29">
        <f>O22*$AQ$53</f>
        <v>-33.61702127659575</v>
      </c>
      <c r="AR57" s="29">
        <f>SUM(AJ57:AQ57)</f>
        <v>-250.42212047760123</v>
      </c>
    </row>
    <row r="58" spans="1:44" ht="14.25" customHeight="1" x14ac:dyDescent="0.4">
      <c r="A58" s="12" t="s">
        <v>438</v>
      </c>
      <c r="B58" s="13">
        <v>1</v>
      </c>
      <c r="C58" s="14" t="s">
        <v>28</v>
      </c>
      <c r="D58" s="15" t="s">
        <v>507</v>
      </c>
      <c r="E58" s="52">
        <v>1</v>
      </c>
      <c r="F58" s="26"/>
      <c r="G58" s="27" t="s">
        <v>37</v>
      </c>
      <c r="H58" s="29">
        <f>$J$12</f>
        <v>2</v>
      </c>
      <c r="Q58" s="27" t="s">
        <v>37</v>
      </c>
      <c r="R58" s="29">
        <f>$M$12</f>
        <v>2</v>
      </c>
      <c r="AI58" s="64" t="s">
        <v>88</v>
      </c>
      <c r="AJ58" s="29">
        <f>H23*$AJ$53</f>
        <v>11.25</v>
      </c>
      <c r="AK58" s="29">
        <f>I23*$AK$53</f>
        <v>-6</v>
      </c>
      <c r="AL58" s="29">
        <f>J23*$AL$53</f>
        <v>37.5</v>
      </c>
      <c r="AM58" s="29">
        <f>K23*$AM$53</f>
        <v>17</v>
      </c>
      <c r="AN58" s="29">
        <f>L23*$AN$53</f>
        <v>-6.5</v>
      </c>
      <c r="AO58" s="29">
        <f>M23*$AO$53</f>
        <v>50</v>
      </c>
      <c r="AP58" s="29">
        <f>N23*$AP$53</f>
        <v>26.666666666666664</v>
      </c>
      <c r="AQ58" s="29">
        <f>O23*$AQ$53</f>
        <v>-20</v>
      </c>
      <c r="AR58" s="29">
        <f>SUM(AJ58:AQ58)</f>
        <v>109.91666666666666</v>
      </c>
    </row>
    <row r="59" spans="1:44" ht="14.25" customHeight="1" x14ac:dyDescent="0.4">
      <c r="A59" s="12" t="s">
        <v>31</v>
      </c>
      <c r="B59" s="13">
        <v>2</v>
      </c>
      <c r="C59" s="14" t="s">
        <v>35</v>
      </c>
      <c r="D59" s="15" t="s">
        <v>508</v>
      </c>
      <c r="F59" s="26"/>
      <c r="G59" s="27" t="s">
        <v>12</v>
      </c>
      <c r="H59" s="29">
        <f>$J$11</f>
        <v>1.7906976744186047</v>
      </c>
      <c r="Q59" s="27" t="s">
        <v>12</v>
      </c>
      <c r="R59" s="29">
        <f>$M$11</f>
        <v>2.2075471698113209</v>
      </c>
    </row>
    <row r="60" spans="1:44" ht="14.25" customHeight="1" x14ac:dyDescent="0.4">
      <c r="A60" s="12" t="s">
        <v>28</v>
      </c>
      <c r="B60" s="13">
        <v>1</v>
      </c>
      <c r="C60" s="14" t="s">
        <v>438</v>
      </c>
      <c r="D60" s="15" t="s">
        <v>509</v>
      </c>
      <c r="F60" s="26"/>
      <c r="G60" s="27" t="s">
        <v>33</v>
      </c>
      <c r="H60" s="29">
        <f>$J$4</f>
        <v>1.68</v>
      </c>
      <c r="Q60" s="27" t="s">
        <v>441</v>
      </c>
      <c r="R60" s="29">
        <f>$M$9</f>
        <v>2</v>
      </c>
      <c r="AI60" s="65" t="s">
        <v>10</v>
      </c>
      <c r="AJ60" s="66" t="s">
        <v>98</v>
      </c>
      <c r="AK60" s="66" t="s">
        <v>99</v>
      </c>
    </row>
    <row r="61" spans="1:44" ht="14.25" customHeight="1" x14ac:dyDescent="0.4">
      <c r="A61" s="12" t="s">
        <v>438</v>
      </c>
      <c r="B61" s="13">
        <v>1</v>
      </c>
      <c r="C61" s="14" t="s">
        <v>28</v>
      </c>
      <c r="D61" s="15" t="s">
        <v>510</v>
      </c>
      <c r="E61" s="52">
        <v>0</v>
      </c>
      <c r="F61" s="15"/>
      <c r="G61" s="27" t="s">
        <v>438</v>
      </c>
      <c r="H61" s="29">
        <f>$J$7</f>
        <v>1.2857142857142858</v>
      </c>
      <c r="Q61" s="27" t="s">
        <v>40</v>
      </c>
      <c r="R61" s="29">
        <f>$M$13</f>
        <v>2</v>
      </c>
      <c r="AI61" s="41" t="s">
        <v>79</v>
      </c>
      <c r="AJ61" s="67">
        <f>$AR$56</f>
        <v>468.09865540157642</v>
      </c>
      <c r="AK61" s="67">
        <f>AJ61-($AJ$65)</f>
        <v>718.52077587917768</v>
      </c>
    </row>
    <row r="62" spans="1:44" ht="14.25" customHeight="1" x14ac:dyDescent="0.4">
      <c r="A62" s="12" t="s">
        <v>12</v>
      </c>
      <c r="B62" s="13">
        <v>2</v>
      </c>
      <c r="C62" s="14" t="s">
        <v>31</v>
      </c>
      <c r="D62" s="15" t="s">
        <v>511</v>
      </c>
      <c r="F62" s="26"/>
      <c r="G62" s="27" t="s">
        <v>28</v>
      </c>
      <c r="H62" s="29">
        <f>$J$3</f>
        <v>1.1200000000000001</v>
      </c>
      <c r="Q62" s="27" t="s">
        <v>33</v>
      </c>
      <c r="R62" s="29">
        <f>$M$4</f>
        <v>1.6470588235294117</v>
      </c>
      <c r="AI62" s="27" t="s">
        <v>76</v>
      </c>
      <c r="AJ62" s="67">
        <f>$AR$54</f>
        <v>339.83752665245203</v>
      </c>
      <c r="AK62" s="67">
        <f>AJ62-($AJ$65)</f>
        <v>590.25964713005328</v>
      </c>
    </row>
    <row r="63" spans="1:44" ht="14.25" customHeight="1" x14ac:dyDescent="0.4">
      <c r="A63" s="12" t="s">
        <v>31</v>
      </c>
      <c r="B63" s="13">
        <v>2</v>
      </c>
      <c r="C63" s="14" t="s">
        <v>35</v>
      </c>
      <c r="D63" s="15" t="s">
        <v>512</v>
      </c>
      <c r="F63" s="26"/>
      <c r="G63" s="27" t="s">
        <v>38</v>
      </c>
      <c r="H63" s="29">
        <f>$J$6</f>
        <v>1.1176470588235294</v>
      </c>
      <c r="Q63" s="27" t="s">
        <v>36</v>
      </c>
      <c r="R63" s="29">
        <f>$M$10</f>
        <v>1.4666666666666666</v>
      </c>
      <c r="AI63" s="64" t="s">
        <v>88</v>
      </c>
      <c r="AJ63" s="67">
        <f>$AR$58</f>
        <v>109.91666666666666</v>
      </c>
      <c r="AK63" s="67">
        <f>AJ63-($AJ$65)</f>
        <v>360.33878714426788</v>
      </c>
    </row>
    <row r="64" spans="1:44" ht="14.25" customHeight="1" x14ac:dyDescent="0.4">
      <c r="A64" s="12" t="s">
        <v>28</v>
      </c>
      <c r="B64" s="13">
        <v>2</v>
      </c>
      <c r="C64" s="14" t="s">
        <v>12</v>
      </c>
      <c r="D64" s="15" t="s">
        <v>513</v>
      </c>
      <c r="F64" s="26"/>
      <c r="G64" s="27" t="s">
        <v>36</v>
      </c>
      <c r="H64" s="29">
        <f>$J$10</f>
        <v>1.0714285714285714</v>
      </c>
      <c r="Q64" s="27" t="s">
        <v>438</v>
      </c>
      <c r="R64" s="29">
        <f>$M$7</f>
        <v>1.3958333333333333</v>
      </c>
      <c r="AI64" s="27" t="s">
        <v>77</v>
      </c>
      <c r="AJ64" s="71">
        <f>$AR$55</f>
        <v>114.54653873070872</v>
      </c>
      <c r="AK64" s="67">
        <f>AJ64-($AJ$65)</f>
        <v>364.96865920830993</v>
      </c>
    </row>
    <row r="65" spans="1:37" ht="14.25" customHeight="1" x14ac:dyDescent="0.4">
      <c r="A65" s="12" t="s">
        <v>12</v>
      </c>
      <c r="B65" s="13">
        <v>1</v>
      </c>
      <c r="C65" s="14" t="s">
        <v>28</v>
      </c>
      <c r="D65" s="15" t="s">
        <v>514</v>
      </c>
      <c r="E65" s="52">
        <v>0</v>
      </c>
      <c r="F65" s="26"/>
      <c r="G65" s="27" t="s">
        <v>441</v>
      </c>
      <c r="H65" s="29">
        <f>$J$9</f>
        <v>1</v>
      </c>
      <c r="Q65" s="27" t="s">
        <v>38</v>
      </c>
      <c r="R65" s="29">
        <f>$M$6</f>
        <v>0</v>
      </c>
      <c r="AI65" s="72" t="s">
        <v>86</v>
      </c>
      <c r="AJ65" s="67">
        <f>$AR$57</f>
        <v>-250.42212047760123</v>
      </c>
      <c r="AK65" s="73">
        <f>AJ65-($AJ$65)</f>
        <v>0</v>
      </c>
    </row>
    <row r="66" spans="1:37" ht="14.25" customHeight="1" x14ac:dyDescent="0.4">
      <c r="A66" s="12" t="s">
        <v>38</v>
      </c>
      <c r="B66" s="13">
        <v>2</v>
      </c>
      <c r="C66" s="14" t="s">
        <v>28</v>
      </c>
      <c r="D66" s="15" t="s">
        <v>515</v>
      </c>
      <c r="E66" s="52">
        <v>0</v>
      </c>
      <c r="F66" s="26"/>
      <c r="G66" s="27" t="s">
        <v>40</v>
      </c>
      <c r="H66" s="29">
        <f>$J$13</f>
        <v>1</v>
      </c>
      <c r="Q66" s="27" t="s">
        <v>28</v>
      </c>
      <c r="R66" s="29">
        <f>$M$3</f>
        <v>1</v>
      </c>
    </row>
    <row r="67" spans="1:37" ht="14.25" customHeight="1" x14ac:dyDescent="0.4">
      <c r="A67" s="12" t="s">
        <v>38</v>
      </c>
      <c r="B67" s="13">
        <v>2</v>
      </c>
      <c r="C67" s="14" t="s">
        <v>12</v>
      </c>
      <c r="D67" s="15" t="s">
        <v>515</v>
      </c>
      <c r="F67" s="26"/>
      <c r="G67" s="27" t="s">
        <v>31</v>
      </c>
      <c r="H67" s="29">
        <f>$J$8</f>
        <v>0.79365079365079361</v>
      </c>
      <c r="Q67" s="27" t="s">
        <v>31</v>
      </c>
      <c r="R67" s="29">
        <f>$M$8</f>
        <v>0.71264367816091956</v>
      </c>
    </row>
    <row r="68" spans="1:37" ht="14.25" customHeight="1" x14ac:dyDescent="0.4">
      <c r="A68" s="12" t="s">
        <v>28</v>
      </c>
      <c r="B68" s="13">
        <v>1</v>
      </c>
      <c r="C68" s="14" t="s">
        <v>38</v>
      </c>
      <c r="D68" s="15" t="s">
        <v>516</v>
      </c>
      <c r="F68" s="26"/>
      <c r="G68" s="27" t="s">
        <v>41</v>
      </c>
      <c r="H68" s="29">
        <f>$J$5</f>
        <v>0.375</v>
      </c>
      <c r="Q68" s="27" t="s">
        <v>41</v>
      </c>
      <c r="R68" s="29">
        <f>$M$5</f>
        <v>0.36363636363636365</v>
      </c>
    </row>
    <row r="69" spans="1:37" ht="14.25" customHeight="1" x14ac:dyDescent="0.4">
      <c r="A69" s="12" t="s">
        <v>12</v>
      </c>
      <c r="B69" s="13">
        <v>1</v>
      </c>
      <c r="C69" s="14" t="s">
        <v>38</v>
      </c>
      <c r="D69" s="15" t="s">
        <v>517</v>
      </c>
      <c r="F69" s="26"/>
      <c r="G69" s="27" t="s">
        <v>35</v>
      </c>
      <c r="H69" s="29">
        <f>$J$14</f>
        <v>0</v>
      </c>
      <c r="Q69" s="27" t="s">
        <v>35</v>
      </c>
      <c r="R69" s="29">
        <f>$M$14</f>
        <v>0</v>
      </c>
      <c r="AI69" s="53"/>
      <c r="AJ69" s="53"/>
      <c r="AK69" s="53"/>
    </row>
    <row r="70" spans="1:37" ht="14.25" customHeight="1" x14ac:dyDescent="0.4">
      <c r="A70" s="12" t="s">
        <v>31</v>
      </c>
      <c r="B70" s="13">
        <v>1</v>
      </c>
      <c r="C70" s="14" t="s">
        <v>12</v>
      </c>
      <c r="D70" s="15" t="s">
        <v>518</v>
      </c>
      <c r="F70" s="26"/>
      <c r="AI70" s="53"/>
      <c r="AJ70" s="53"/>
      <c r="AK70" s="53"/>
    </row>
    <row r="71" spans="1:37" ht="14.25" customHeight="1" x14ac:dyDescent="0.4">
      <c r="A71" s="12" t="s">
        <v>12</v>
      </c>
      <c r="B71" s="13">
        <v>1</v>
      </c>
      <c r="C71" s="14" t="s">
        <v>31</v>
      </c>
      <c r="D71" s="52" t="s">
        <v>519</v>
      </c>
      <c r="F71" s="15"/>
      <c r="AI71" s="53"/>
      <c r="AJ71" s="53"/>
      <c r="AK71" s="53"/>
    </row>
    <row r="72" spans="1:37" ht="14.25" customHeight="1" x14ac:dyDescent="0.4">
      <c r="A72" s="12" t="s">
        <v>33</v>
      </c>
      <c r="B72" s="13">
        <v>2</v>
      </c>
      <c r="C72" s="14" t="s">
        <v>36</v>
      </c>
      <c r="D72" s="15" t="s">
        <v>520</v>
      </c>
      <c r="F72" s="26"/>
      <c r="AI72" s="53"/>
      <c r="AJ72" s="53"/>
      <c r="AK72" s="53"/>
    </row>
    <row r="73" spans="1:37" ht="14.25" customHeight="1" x14ac:dyDescent="0.4">
      <c r="A73" s="12" t="s">
        <v>36</v>
      </c>
      <c r="B73" s="13">
        <v>1</v>
      </c>
      <c r="C73" s="14" t="s">
        <v>33</v>
      </c>
      <c r="D73" s="15" t="s">
        <v>521</v>
      </c>
      <c r="F73" s="26"/>
      <c r="G73" s="27" t="s">
        <v>74</v>
      </c>
      <c r="H73" s="33" t="s">
        <v>15</v>
      </c>
      <c r="Q73" s="27" t="s">
        <v>74</v>
      </c>
      <c r="R73" s="33" t="s">
        <v>18</v>
      </c>
      <c r="AJ73" s="53"/>
      <c r="AK73" s="53"/>
    </row>
    <row r="74" spans="1:37" ht="14.25" customHeight="1" x14ac:dyDescent="0.4">
      <c r="A74" s="12" t="s">
        <v>33</v>
      </c>
      <c r="B74" s="13">
        <v>2</v>
      </c>
      <c r="C74" s="14" t="s">
        <v>35</v>
      </c>
      <c r="D74" s="15" t="s">
        <v>522</v>
      </c>
      <c r="F74" s="26"/>
      <c r="G74" s="41" t="s">
        <v>86</v>
      </c>
      <c r="H74" s="54">
        <f>$H$22</f>
        <v>1</v>
      </c>
      <c r="Q74" s="41" t="s">
        <v>86</v>
      </c>
      <c r="R74" s="54">
        <f>$K$22</f>
        <v>1.3333333333333333</v>
      </c>
      <c r="AG74" s="53"/>
      <c r="AH74" s="53"/>
      <c r="AI74" s="53"/>
      <c r="AJ74" s="53"/>
      <c r="AK74" s="53"/>
    </row>
    <row r="75" spans="1:37" ht="14.25" customHeight="1" x14ac:dyDescent="0.4">
      <c r="A75" s="12" t="s">
        <v>438</v>
      </c>
      <c r="B75" s="13">
        <v>1</v>
      </c>
      <c r="C75" s="14" t="s">
        <v>28</v>
      </c>
      <c r="D75" s="15" t="s">
        <v>523</v>
      </c>
      <c r="E75" s="52">
        <v>0</v>
      </c>
      <c r="F75" s="26"/>
      <c r="G75" s="27" t="s">
        <v>79</v>
      </c>
      <c r="H75" s="54">
        <f>$H$21</f>
        <v>31.333333333333332</v>
      </c>
      <c r="Q75" s="27" t="s">
        <v>77</v>
      </c>
      <c r="R75" s="54">
        <f>$K$20</f>
        <v>34.25</v>
      </c>
      <c r="AE75" s="53"/>
      <c r="AF75" s="53"/>
      <c r="AG75" s="53"/>
    </row>
    <row r="76" spans="1:37" ht="14.25" customHeight="1" x14ac:dyDescent="0.4">
      <c r="A76" s="12" t="s">
        <v>28</v>
      </c>
      <c r="B76" s="13">
        <v>1</v>
      </c>
      <c r="C76" s="14" t="s">
        <v>438</v>
      </c>
      <c r="D76" s="15" t="s">
        <v>524</v>
      </c>
      <c r="F76" s="26"/>
      <c r="G76" s="27" t="s">
        <v>77</v>
      </c>
      <c r="H76" s="54">
        <f>$H$20</f>
        <v>32.25</v>
      </c>
      <c r="Q76" s="27" t="s">
        <v>76</v>
      </c>
      <c r="R76" s="54">
        <f>$K$19</f>
        <v>44.5</v>
      </c>
    </row>
    <row r="77" spans="1:37" ht="14.25" customHeight="1" x14ac:dyDescent="0.4">
      <c r="A77" s="12" t="s">
        <v>31</v>
      </c>
      <c r="B77" s="13">
        <v>2</v>
      </c>
      <c r="C77" s="14" t="s">
        <v>35</v>
      </c>
      <c r="D77" s="15" t="s">
        <v>525</v>
      </c>
      <c r="F77" s="26"/>
      <c r="G77" s="27" t="s">
        <v>76</v>
      </c>
      <c r="H77" s="54">
        <f>$H$19</f>
        <v>35</v>
      </c>
      <c r="Q77" s="27" t="s">
        <v>79</v>
      </c>
      <c r="R77" s="54">
        <f>$K$21</f>
        <v>47.666666666666664</v>
      </c>
    </row>
    <row r="78" spans="1:37" ht="14.25" customHeight="1" x14ac:dyDescent="0.4">
      <c r="A78" s="12" t="s">
        <v>12</v>
      </c>
      <c r="B78" s="13">
        <v>1</v>
      </c>
      <c r="C78" s="14" t="s">
        <v>438</v>
      </c>
      <c r="D78" s="15" t="s">
        <v>526</v>
      </c>
      <c r="F78" s="26"/>
    </row>
    <row r="79" spans="1:37" ht="14.25" customHeight="1" x14ac:dyDescent="0.4">
      <c r="A79" s="12" t="s">
        <v>438</v>
      </c>
      <c r="B79" s="13">
        <v>1</v>
      </c>
      <c r="C79" s="14" t="s">
        <v>12</v>
      </c>
      <c r="D79" s="15" t="s">
        <v>527</v>
      </c>
      <c r="F79" s="26"/>
    </row>
    <row r="80" spans="1:37" ht="14.25" customHeight="1" x14ac:dyDescent="0.4">
      <c r="A80" s="12" t="s">
        <v>12</v>
      </c>
      <c r="B80" s="13">
        <v>2</v>
      </c>
      <c r="C80" s="14" t="s">
        <v>33</v>
      </c>
      <c r="D80" s="15" t="s">
        <v>528</v>
      </c>
      <c r="F80" s="26"/>
    </row>
    <row r="81" spans="1:37" ht="14.25" customHeight="1" x14ac:dyDescent="0.4">
      <c r="A81" s="12" t="s">
        <v>12</v>
      </c>
      <c r="B81" s="13">
        <v>2</v>
      </c>
      <c r="C81" s="14" t="s">
        <v>31</v>
      </c>
      <c r="D81" s="15" t="s">
        <v>529</v>
      </c>
      <c r="F81" s="15"/>
    </row>
    <row r="82" spans="1:37" ht="14.25" customHeight="1" x14ac:dyDescent="0.4">
      <c r="A82" s="12" t="s">
        <v>33</v>
      </c>
      <c r="B82" s="13">
        <v>1</v>
      </c>
      <c r="C82" s="14" t="s">
        <v>41</v>
      </c>
      <c r="D82" s="15" t="s">
        <v>530</v>
      </c>
      <c r="F82" s="26"/>
    </row>
    <row r="83" spans="1:37" ht="14.25" customHeight="1" x14ac:dyDescent="0.4">
      <c r="A83" s="12" t="s">
        <v>33</v>
      </c>
      <c r="B83" s="13">
        <v>2</v>
      </c>
      <c r="C83" s="14" t="s">
        <v>35</v>
      </c>
      <c r="D83" s="15" t="s">
        <v>531</v>
      </c>
      <c r="F83" s="26"/>
    </row>
    <row r="84" spans="1:37" ht="14.25" customHeight="1" x14ac:dyDescent="0.4">
      <c r="A84" s="12" t="s">
        <v>31</v>
      </c>
      <c r="B84" s="13">
        <v>2</v>
      </c>
      <c r="C84" s="14" t="s">
        <v>35</v>
      </c>
      <c r="D84" s="15" t="s">
        <v>532</v>
      </c>
      <c r="F84" s="26"/>
      <c r="G84" s="27" t="s">
        <v>74</v>
      </c>
      <c r="H84" s="33" t="s">
        <v>16</v>
      </c>
      <c r="Q84" s="27" t="s">
        <v>74</v>
      </c>
      <c r="R84" s="33" t="s">
        <v>19</v>
      </c>
    </row>
    <row r="85" spans="1:37" ht="14.25" customHeight="1" x14ac:dyDescent="0.4">
      <c r="A85" s="12" t="s">
        <v>438</v>
      </c>
      <c r="B85" s="13">
        <v>2</v>
      </c>
      <c r="C85" s="14" t="s">
        <v>35</v>
      </c>
      <c r="D85" s="15" t="s">
        <v>533</v>
      </c>
      <c r="F85" s="26"/>
      <c r="G85" s="27" t="s">
        <v>86</v>
      </c>
      <c r="H85" s="56">
        <f>$I$22</f>
        <v>15.666666666666666</v>
      </c>
      <c r="Q85" s="27" t="s">
        <v>79</v>
      </c>
      <c r="R85" s="56">
        <f>$L$21</f>
        <v>23.333333333333332</v>
      </c>
    </row>
    <row r="86" spans="1:37" ht="14.25" customHeight="1" x14ac:dyDescent="0.4">
      <c r="A86" s="12" t="s">
        <v>33</v>
      </c>
      <c r="B86" s="13">
        <v>2</v>
      </c>
      <c r="C86" s="14" t="s">
        <v>35</v>
      </c>
      <c r="D86" s="15" t="s">
        <v>534</v>
      </c>
      <c r="F86" s="26"/>
      <c r="G86" s="27" t="s">
        <v>79</v>
      </c>
      <c r="H86" s="56">
        <f>$I$21</f>
        <v>19.666666666666668</v>
      </c>
      <c r="Q86" s="27" t="s">
        <v>86</v>
      </c>
      <c r="R86" s="56">
        <f>$L$22</f>
        <v>26.333333333333332</v>
      </c>
    </row>
    <row r="87" spans="1:37" ht="14.25" customHeight="1" x14ac:dyDescent="0.4">
      <c r="A87" s="12" t="s">
        <v>12</v>
      </c>
      <c r="B87" s="13">
        <v>2</v>
      </c>
      <c r="C87" s="14" t="s">
        <v>31</v>
      </c>
      <c r="D87" s="15" t="s">
        <v>535</v>
      </c>
      <c r="F87" s="26"/>
      <c r="G87" s="27" t="s">
        <v>76</v>
      </c>
      <c r="H87" s="56">
        <f>$I$19</f>
        <v>25</v>
      </c>
      <c r="Q87" s="27" t="s">
        <v>76</v>
      </c>
      <c r="R87" s="56">
        <f>$L$19</f>
        <v>33.5</v>
      </c>
    </row>
    <row r="88" spans="1:37" ht="14.25" customHeight="1" x14ac:dyDescent="0.4">
      <c r="A88" s="12" t="s">
        <v>12</v>
      </c>
      <c r="B88" s="13">
        <v>1</v>
      </c>
      <c r="C88" s="14" t="s">
        <v>31</v>
      </c>
      <c r="D88" s="15" t="s">
        <v>536</v>
      </c>
      <c r="F88" s="26"/>
      <c r="G88" s="27" t="s">
        <v>77</v>
      </c>
      <c r="H88" s="56">
        <f>$I$20</f>
        <v>34.5</v>
      </c>
      <c r="Q88" s="27" t="s">
        <v>77</v>
      </c>
      <c r="R88" s="56">
        <f>$L$20</f>
        <v>39.25</v>
      </c>
    </row>
    <row r="89" spans="1:37" ht="14.25" customHeight="1" x14ac:dyDescent="0.4">
      <c r="A89" s="12" t="s">
        <v>33</v>
      </c>
      <c r="B89" s="13">
        <v>1</v>
      </c>
      <c r="C89" s="14" t="s">
        <v>41</v>
      </c>
      <c r="D89" s="15" t="s">
        <v>537</v>
      </c>
      <c r="F89" s="26"/>
      <c r="AJ89" s="53"/>
      <c r="AK89" s="31"/>
    </row>
    <row r="90" spans="1:37" ht="14.25" customHeight="1" x14ac:dyDescent="0.4">
      <c r="A90" s="12" t="s">
        <v>33</v>
      </c>
      <c r="B90" s="13">
        <v>2</v>
      </c>
      <c r="C90" s="14" t="s">
        <v>35</v>
      </c>
      <c r="D90" s="15" t="s">
        <v>538</v>
      </c>
      <c r="F90" s="26"/>
      <c r="AJ90" s="53"/>
      <c r="AK90" s="31"/>
    </row>
    <row r="91" spans="1:37" ht="14.25" customHeight="1" x14ac:dyDescent="0.4">
      <c r="A91" s="12" t="s">
        <v>31</v>
      </c>
      <c r="B91" s="13">
        <v>1</v>
      </c>
      <c r="C91" s="14" t="s">
        <v>12</v>
      </c>
      <c r="D91" s="15" t="s">
        <v>539</v>
      </c>
      <c r="F91" s="26"/>
      <c r="AJ91" s="53"/>
      <c r="AK91" s="31"/>
    </row>
    <row r="92" spans="1:37" ht="14.25" customHeight="1" x14ac:dyDescent="0.4">
      <c r="A92" s="12" t="s">
        <v>31</v>
      </c>
      <c r="B92" s="13">
        <v>2</v>
      </c>
      <c r="C92" s="14" t="s">
        <v>35</v>
      </c>
      <c r="D92" s="15" t="s">
        <v>540</v>
      </c>
      <c r="F92" s="26"/>
      <c r="AJ92" s="53"/>
      <c r="AK92" s="31"/>
    </row>
    <row r="93" spans="1:37" ht="14.25" customHeight="1" x14ac:dyDescent="0.4">
      <c r="A93" s="12" t="s">
        <v>438</v>
      </c>
      <c r="B93" s="13">
        <v>2</v>
      </c>
      <c r="C93" s="14" t="s">
        <v>28</v>
      </c>
      <c r="D93" s="15" t="s">
        <v>541</v>
      </c>
      <c r="E93" s="52">
        <v>1</v>
      </c>
      <c r="F93" s="26"/>
      <c r="AJ93" s="53"/>
      <c r="AK93" s="31"/>
    </row>
    <row r="94" spans="1:37" ht="14.25" customHeight="1" x14ac:dyDescent="0.4">
      <c r="A94" s="12" t="s">
        <v>28</v>
      </c>
      <c r="B94" s="13">
        <v>1</v>
      </c>
      <c r="C94" s="14" t="s">
        <v>438</v>
      </c>
      <c r="D94" s="15" t="s">
        <v>542</v>
      </c>
      <c r="F94" s="26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G94" s="53"/>
      <c r="AJ94" s="53"/>
      <c r="AK94" s="31"/>
    </row>
    <row r="95" spans="1:37" ht="14.25" customHeight="1" x14ac:dyDescent="0.4">
      <c r="A95" s="12" t="s">
        <v>28</v>
      </c>
      <c r="B95" s="13">
        <v>2</v>
      </c>
      <c r="C95" s="14" t="s">
        <v>438</v>
      </c>
      <c r="D95" s="15" t="s">
        <v>543</v>
      </c>
      <c r="F95" s="26"/>
      <c r="G95" s="27" t="s">
        <v>74</v>
      </c>
      <c r="H95" s="33" t="s">
        <v>17</v>
      </c>
      <c r="J95" s="53"/>
      <c r="K95" s="53"/>
      <c r="L95" s="53"/>
      <c r="M95" s="31"/>
      <c r="N95" s="31"/>
      <c r="O95" s="31"/>
      <c r="P95" s="31"/>
      <c r="Q95" s="27" t="s">
        <v>74</v>
      </c>
      <c r="R95" s="33" t="s">
        <v>20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G95" s="53"/>
      <c r="AJ95" s="53"/>
      <c r="AK95" s="31"/>
    </row>
    <row r="96" spans="1:37" ht="14.25" customHeight="1" x14ac:dyDescent="0.4">
      <c r="A96" s="12" t="s">
        <v>31</v>
      </c>
      <c r="B96" s="13">
        <v>1</v>
      </c>
      <c r="C96" s="14" t="s">
        <v>12</v>
      </c>
      <c r="D96" s="15" t="s">
        <v>544</v>
      </c>
      <c r="F96" s="26"/>
      <c r="G96" s="41" t="s">
        <v>86</v>
      </c>
      <c r="H96" s="55">
        <f>$J$22</f>
        <v>6.3829787234042562E-2</v>
      </c>
      <c r="J96" s="53"/>
      <c r="K96" s="53"/>
      <c r="L96" s="53"/>
      <c r="M96" s="31"/>
      <c r="N96" s="31"/>
      <c r="O96" s="31"/>
      <c r="P96" s="31"/>
      <c r="Q96" s="41" t="s">
        <v>86</v>
      </c>
      <c r="R96" s="55">
        <f>$M$22</f>
        <v>5.0632911392405063E-2</v>
      </c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G96" s="53"/>
      <c r="AJ96" s="53"/>
      <c r="AK96" s="31"/>
    </row>
    <row r="97" spans="1:37" ht="14.25" customHeight="1" x14ac:dyDescent="0.4">
      <c r="A97" s="12" t="s">
        <v>12</v>
      </c>
      <c r="B97" s="13">
        <v>1</v>
      </c>
      <c r="C97" s="14" t="s">
        <v>31</v>
      </c>
      <c r="D97" s="15" t="s">
        <v>545</v>
      </c>
      <c r="F97" s="26"/>
      <c r="G97" s="27" t="s">
        <v>77</v>
      </c>
      <c r="H97" s="55">
        <f>$J$20</f>
        <v>0.93478260869565222</v>
      </c>
      <c r="J97" s="53"/>
      <c r="K97" s="53"/>
      <c r="L97" s="53"/>
      <c r="M97" s="31"/>
      <c r="N97" s="31"/>
      <c r="O97" s="31"/>
      <c r="P97" s="31"/>
      <c r="Q97" s="27" t="s">
        <v>77</v>
      </c>
      <c r="R97" s="55">
        <f>$M$20</f>
        <v>0.87261146496815289</v>
      </c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G97" s="53"/>
      <c r="AJ97" s="53"/>
      <c r="AK97" s="31"/>
    </row>
    <row r="98" spans="1:37" ht="14.25" customHeight="1" x14ac:dyDescent="0.4">
      <c r="A98" s="12" t="s">
        <v>438</v>
      </c>
      <c r="B98" s="13">
        <v>1</v>
      </c>
      <c r="C98" s="14" t="s">
        <v>12</v>
      </c>
      <c r="D98" s="15" t="s">
        <v>546</v>
      </c>
      <c r="F98" s="26"/>
      <c r="G98" s="27" t="s">
        <v>76</v>
      </c>
      <c r="H98" s="55">
        <f>$J$19</f>
        <v>1.4</v>
      </c>
      <c r="J98" s="53"/>
      <c r="K98" s="53"/>
      <c r="L98" s="53"/>
      <c r="M98" s="31"/>
      <c r="N98" s="31"/>
      <c r="O98" s="31"/>
      <c r="P98" s="31"/>
      <c r="Q98" s="27" t="s">
        <v>76</v>
      </c>
      <c r="R98" s="55">
        <f>$M$19</f>
        <v>1.3283582089552239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G98" s="53"/>
      <c r="AJ98" s="53"/>
      <c r="AK98" s="31"/>
    </row>
    <row r="99" spans="1:37" ht="14.25" customHeight="1" x14ac:dyDescent="0.4">
      <c r="A99" s="12" t="s">
        <v>12</v>
      </c>
      <c r="B99" s="13">
        <v>1</v>
      </c>
      <c r="C99" s="14" t="s">
        <v>438</v>
      </c>
      <c r="D99" s="15" t="s">
        <v>547</v>
      </c>
      <c r="F99" s="26"/>
      <c r="G99" s="27" t="s">
        <v>79</v>
      </c>
      <c r="H99" s="55">
        <f>$J$21</f>
        <v>1.5932203389830506</v>
      </c>
      <c r="J99" s="53"/>
      <c r="K99" s="53"/>
      <c r="L99" s="53"/>
      <c r="M99" s="31"/>
      <c r="N99" s="31"/>
      <c r="O99" s="31"/>
      <c r="P99" s="31"/>
      <c r="Q99" s="27" t="s">
        <v>79</v>
      </c>
      <c r="R99" s="55">
        <f>$M$21</f>
        <v>2.0428571428571427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G99" s="53"/>
      <c r="AJ99" s="53"/>
      <c r="AK99" s="31"/>
    </row>
    <row r="100" spans="1:37" ht="14.25" customHeight="1" x14ac:dyDescent="0.4">
      <c r="A100" s="12" t="s">
        <v>438</v>
      </c>
      <c r="B100" s="13">
        <v>2</v>
      </c>
      <c r="C100" s="14" t="s">
        <v>35</v>
      </c>
      <c r="D100" s="15" t="s">
        <v>548</v>
      </c>
      <c r="F100" s="26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G100" s="53"/>
      <c r="AJ100" s="53"/>
      <c r="AK100" s="31"/>
    </row>
    <row r="101" spans="1:37" ht="14.25" customHeight="1" x14ac:dyDescent="0.4">
      <c r="A101" s="12" t="s">
        <v>38</v>
      </c>
      <c r="B101" s="13">
        <v>2</v>
      </c>
      <c r="C101" s="14" t="s">
        <v>35</v>
      </c>
      <c r="D101" s="15" t="s">
        <v>549</v>
      </c>
      <c r="F101" s="26"/>
      <c r="J101" s="53"/>
      <c r="K101" s="53"/>
      <c r="L101" s="53"/>
      <c r="M101" s="31"/>
      <c r="N101" s="31"/>
      <c r="O101" s="31"/>
      <c r="P101" s="31"/>
      <c r="Q101" s="5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G101" s="53"/>
      <c r="AJ101" s="53"/>
      <c r="AK101" s="31"/>
    </row>
    <row r="102" spans="1:37" ht="14.25" customHeight="1" x14ac:dyDescent="0.4">
      <c r="A102" s="12" t="s">
        <v>12</v>
      </c>
      <c r="B102" s="13">
        <v>2</v>
      </c>
      <c r="C102" s="14" t="s">
        <v>31</v>
      </c>
      <c r="D102" s="15" t="s">
        <v>550</v>
      </c>
      <c r="F102" s="26"/>
      <c r="J102" s="53"/>
      <c r="K102" s="53"/>
      <c r="L102" s="53"/>
      <c r="M102" s="31"/>
      <c r="N102" s="31"/>
      <c r="O102" s="31"/>
      <c r="P102" s="31"/>
      <c r="Q102" s="5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G102" s="53"/>
      <c r="AJ102" s="53"/>
      <c r="AK102" s="31"/>
    </row>
    <row r="103" spans="1:37" ht="14.25" customHeight="1" x14ac:dyDescent="0.4">
      <c r="A103" s="12" t="s">
        <v>12</v>
      </c>
      <c r="B103" s="13">
        <v>1</v>
      </c>
      <c r="C103" s="14" t="s">
        <v>438</v>
      </c>
      <c r="D103" s="15" t="s">
        <v>551</v>
      </c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G103" s="53"/>
      <c r="AJ103" s="53"/>
      <c r="AK103" s="31"/>
    </row>
    <row r="104" spans="1:37" ht="14.25" customHeight="1" x14ac:dyDescent="0.4">
      <c r="A104" s="12" t="s">
        <v>438</v>
      </c>
      <c r="B104" s="13">
        <v>1</v>
      </c>
      <c r="C104" s="14" t="s">
        <v>12</v>
      </c>
      <c r="D104" s="15" t="s">
        <v>552</v>
      </c>
      <c r="F104" s="26"/>
      <c r="J104" s="53"/>
      <c r="K104" s="53"/>
      <c r="L104" s="53"/>
      <c r="M104" s="31"/>
      <c r="N104" s="31"/>
      <c r="O104" s="31"/>
      <c r="P104" s="31"/>
      <c r="Q104" s="5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G104" s="53"/>
      <c r="AJ104" s="53"/>
      <c r="AK104" s="31"/>
    </row>
    <row r="105" spans="1:37" ht="14.25" customHeight="1" x14ac:dyDescent="0.4">
      <c r="A105" s="12" t="s">
        <v>33</v>
      </c>
      <c r="B105" s="13">
        <v>1</v>
      </c>
      <c r="C105" s="14" t="s">
        <v>441</v>
      </c>
      <c r="D105" s="15" t="s">
        <v>553</v>
      </c>
      <c r="F105" s="26"/>
      <c r="J105" s="53"/>
      <c r="K105" s="53"/>
      <c r="L105" s="53"/>
      <c r="M105" s="31"/>
      <c r="N105" s="31"/>
      <c r="O105" s="31"/>
      <c r="P105" s="31"/>
      <c r="Q105" s="5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G105" s="53"/>
      <c r="AJ105" s="53"/>
      <c r="AK105" s="31"/>
    </row>
    <row r="106" spans="1:37" ht="14.25" customHeight="1" x14ac:dyDescent="0.4">
      <c r="A106" s="12" t="s">
        <v>438</v>
      </c>
      <c r="B106" s="13">
        <v>2</v>
      </c>
      <c r="C106" s="14" t="s">
        <v>35</v>
      </c>
      <c r="D106" s="15" t="s">
        <v>554</v>
      </c>
      <c r="F106" s="26"/>
      <c r="J106" s="53"/>
      <c r="K106" s="53"/>
      <c r="L106" s="53"/>
      <c r="M106" s="31"/>
      <c r="N106" s="31"/>
      <c r="O106" s="31"/>
      <c r="P106" s="31"/>
      <c r="Q106" s="5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G106" s="53"/>
      <c r="AJ106" s="53"/>
      <c r="AK106" s="31"/>
    </row>
    <row r="107" spans="1:37" ht="14.25" customHeight="1" x14ac:dyDescent="0.4">
      <c r="A107" s="12" t="s">
        <v>40</v>
      </c>
      <c r="B107" s="13">
        <v>2</v>
      </c>
      <c r="C107" s="14" t="s">
        <v>12</v>
      </c>
      <c r="D107" s="15" t="s">
        <v>555</v>
      </c>
      <c r="F107" s="26"/>
      <c r="J107" s="53"/>
      <c r="K107" s="53"/>
      <c r="L107" s="53"/>
      <c r="M107" s="31"/>
      <c r="N107" s="31"/>
      <c r="O107" s="31"/>
      <c r="P107" s="31"/>
      <c r="Q107" s="5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G107" s="53"/>
      <c r="AJ107" s="53"/>
      <c r="AK107" s="31"/>
    </row>
    <row r="108" spans="1:37" ht="14.25" customHeight="1" x14ac:dyDescent="0.4">
      <c r="A108" s="12" t="s">
        <v>41</v>
      </c>
      <c r="B108" s="13">
        <v>2</v>
      </c>
      <c r="C108" s="14" t="s">
        <v>35</v>
      </c>
      <c r="D108" s="15" t="s">
        <v>556</v>
      </c>
      <c r="F108" s="26"/>
      <c r="J108" s="53"/>
      <c r="K108" s="53"/>
      <c r="L108" s="53"/>
      <c r="M108" s="31"/>
      <c r="N108" s="31"/>
      <c r="O108" s="31"/>
      <c r="P108" s="31"/>
      <c r="Q108" s="5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G108" s="53"/>
      <c r="AJ108" s="53"/>
      <c r="AK108" s="31"/>
    </row>
    <row r="109" spans="1:37" ht="14.25" customHeight="1" x14ac:dyDescent="0.4">
      <c r="A109" s="12" t="s">
        <v>12</v>
      </c>
      <c r="B109" s="13">
        <v>2</v>
      </c>
      <c r="C109" s="14" t="s">
        <v>28</v>
      </c>
      <c r="D109" s="15" t="s">
        <v>557</v>
      </c>
      <c r="E109" s="52">
        <v>1</v>
      </c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J109" s="53"/>
      <c r="AK109" s="31"/>
    </row>
    <row r="110" spans="1:37" ht="14.25" customHeight="1" x14ac:dyDescent="0.4">
      <c r="A110" s="12" t="s">
        <v>12</v>
      </c>
      <c r="B110" s="13">
        <v>2</v>
      </c>
      <c r="C110" s="14" t="s">
        <v>35</v>
      </c>
      <c r="D110" s="15" t="s">
        <v>558</v>
      </c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J110" s="53"/>
      <c r="AK110" s="31"/>
    </row>
    <row r="111" spans="1:37" ht="14.25" customHeight="1" x14ac:dyDescent="0.4">
      <c r="A111" s="12" t="s">
        <v>12</v>
      </c>
      <c r="B111" s="13">
        <v>2</v>
      </c>
      <c r="C111" s="14" t="s">
        <v>31</v>
      </c>
      <c r="D111" s="15" t="s">
        <v>559</v>
      </c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J111" s="53"/>
      <c r="AK111" s="31"/>
    </row>
    <row r="112" spans="1:37" ht="14.25" customHeight="1" x14ac:dyDescent="0.4">
      <c r="A112" s="12" t="s">
        <v>31</v>
      </c>
      <c r="B112" s="13">
        <v>1</v>
      </c>
      <c r="C112" s="14" t="s">
        <v>12</v>
      </c>
      <c r="D112" s="15" t="s">
        <v>560</v>
      </c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J112" s="53"/>
      <c r="AK112" s="31"/>
    </row>
    <row r="113" spans="1:37" ht="14.25" customHeight="1" x14ac:dyDescent="0.4">
      <c r="A113" s="12" t="s">
        <v>12</v>
      </c>
      <c r="B113" s="13">
        <v>2</v>
      </c>
      <c r="C113" s="14" t="s">
        <v>28</v>
      </c>
      <c r="D113" s="15" t="s">
        <v>561</v>
      </c>
      <c r="E113" s="52">
        <v>0</v>
      </c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J113" s="53"/>
      <c r="AK113" s="31"/>
    </row>
    <row r="114" spans="1:37" ht="14.25" customHeight="1" x14ac:dyDescent="0.4">
      <c r="A114" s="12" t="s">
        <v>28</v>
      </c>
      <c r="B114" s="13">
        <v>2</v>
      </c>
      <c r="C114" s="14" t="s">
        <v>36</v>
      </c>
      <c r="D114" s="15" t="s">
        <v>562</v>
      </c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J114" s="53"/>
      <c r="AK114" s="31"/>
    </row>
    <row r="115" spans="1:37" ht="14.25" customHeight="1" x14ac:dyDescent="0.4">
      <c r="A115" s="12" t="s">
        <v>12</v>
      </c>
      <c r="B115" s="13">
        <v>2</v>
      </c>
      <c r="C115" s="14" t="s">
        <v>35</v>
      </c>
      <c r="D115" s="15" t="s">
        <v>563</v>
      </c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J115" s="53"/>
      <c r="AK115" s="31"/>
    </row>
    <row r="116" spans="1:37" ht="14.25" customHeight="1" x14ac:dyDescent="0.4">
      <c r="A116" s="12" t="s">
        <v>12</v>
      </c>
      <c r="B116" s="13">
        <v>2</v>
      </c>
      <c r="C116" s="14" t="s">
        <v>35</v>
      </c>
      <c r="D116" s="15" t="s">
        <v>564</v>
      </c>
      <c r="F116" s="26"/>
      <c r="J116" s="53"/>
      <c r="K116" s="53"/>
      <c r="L116" s="53"/>
      <c r="M116" s="31"/>
      <c r="N116" s="31"/>
      <c r="O116" s="31"/>
      <c r="P116" s="31"/>
      <c r="Q116" s="5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J116" s="53"/>
      <c r="AK116" s="31"/>
    </row>
    <row r="117" spans="1:37" ht="14.25" customHeight="1" x14ac:dyDescent="0.4">
      <c r="A117" s="12" t="s">
        <v>12</v>
      </c>
      <c r="B117" s="13">
        <v>2</v>
      </c>
      <c r="C117" s="14" t="s">
        <v>35</v>
      </c>
      <c r="D117" s="15" t="s">
        <v>565</v>
      </c>
      <c r="F117" s="26"/>
      <c r="J117" s="53"/>
      <c r="K117" s="53"/>
      <c r="L117" s="53"/>
      <c r="M117" s="31"/>
      <c r="N117" s="31"/>
      <c r="O117" s="31"/>
      <c r="P117" s="31"/>
      <c r="Q117" s="5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J117" s="53"/>
      <c r="AK117" s="31"/>
    </row>
    <row r="118" spans="1:37" ht="14.25" customHeight="1" x14ac:dyDescent="0.4">
      <c r="A118" s="12" t="s">
        <v>438</v>
      </c>
      <c r="B118" s="13">
        <v>1</v>
      </c>
      <c r="C118" s="14" t="s">
        <v>12</v>
      </c>
      <c r="D118" s="15" t="s">
        <v>566</v>
      </c>
      <c r="F118" s="26"/>
      <c r="J118" s="53"/>
      <c r="K118" s="53"/>
      <c r="L118" s="53"/>
      <c r="M118" s="31"/>
      <c r="N118" s="31"/>
      <c r="O118" s="31"/>
      <c r="P118" s="31"/>
      <c r="Q118" s="5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J118" s="53"/>
      <c r="AK118" s="31"/>
    </row>
    <row r="119" spans="1:37" ht="14.25" customHeight="1" x14ac:dyDescent="0.4">
      <c r="A119" s="12" t="s">
        <v>38</v>
      </c>
      <c r="B119" s="13">
        <v>1</v>
      </c>
      <c r="C119" s="14" t="s">
        <v>12</v>
      </c>
      <c r="D119" s="15" t="s">
        <v>567</v>
      </c>
      <c r="F119" s="26"/>
      <c r="J119" s="53"/>
      <c r="K119" s="53"/>
      <c r="L119" s="53"/>
      <c r="M119" s="31"/>
      <c r="N119" s="31"/>
      <c r="O119" s="31"/>
      <c r="P119" s="31"/>
      <c r="Q119" s="5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J119" s="53"/>
      <c r="AK119" s="31"/>
    </row>
    <row r="120" spans="1:37" ht="14.25" customHeight="1" x14ac:dyDescent="0.4">
      <c r="A120" s="12" t="s">
        <v>12</v>
      </c>
      <c r="B120" s="13">
        <v>1</v>
      </c>
      <c r="C120" s="14" t="s">
        <v>38</v>
      </c>
      <c r="D120" s="15" t="s">
        <v>568</v>
      </c>
      <c r="F120" s="26"/>
      <c r="J120" s="53"/>
      <c r="K120" s="53"/>
      <c r="L120" s="53"/>
      <c r="M120" s="31"/>
      <c r="N120" s="31"/>
      <c r="O120" s="31"/>
      <c r="P120" s="31"/>
      <c r="Q120" s="5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J120" s="53"/>
      <c r="AK120" s="31"/>
    </row>
    <row r="121" spans="1:37" ht="14.25" customHeight="1" x14ac:dyDescent="0.4">
      <c r="A121" s="12" t="s">
        <v>12</v>
      </c>
      <c r="B121" s="13">
        <v>1</v>
      </c>
      <c r="C121" s="14" t="s">
        <v>438</v>
      </c>
      <c r="D121" s="15" t="s">
        <v>568</v>
      </c>
      <c r="F121" s="26"/>
      <c r="J121" s="53"/>
      <c r="K121" s="53"/>
      <c r="L121" s="53"/>
      <c r="M121" s="31"/>
      <c r="N121" s="31"/>
      <c r="O121" s="31"/>
      <c r="P121" s="31"/>
      <c r="Q121" s="5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J121" s="53"/>
      <c r="AK121" s="31"/>
    </row>
    <row r="122" spans="1:37" ht="14.25" customHeight="1" x14ac:dyDescent="0.4">
      <c r="A122" s="12" t="s">
        <v>28</v>
      </c>
      <c r="B122" s="13">
        <v>1</v>
      </c>
      <c r="C122" s="74" t="s">
        <v>31</v>
      </c>
      <c r="D122" s="15" t="s">
        <v>569</v>
      </c>
      <c r="F122" s="26"/>
      <c r="J122" s="53"/>
      <c r="K122" s="53"/>
      <c r="L122" s="53"/>
      <c r="M122" s="31"/>
      <c r="N122" s="31"/>
      <c r="O122" s="31"/>
      <c r="P122" s="31"/>
      <c r="Q122" s="5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J122" s="53"/>
      <c r="AK122" s="31"/>
    </row>
    <row r="123" spans="1:37" ht="14.25" customHeight="1" x14ac:dyDescent="0.4">
      <c r="A123" s="12" t="s">
        <v>33</v>
      </c>
      <c r="B123" s="13">
        <v>2</v>
      </c>
      <c r="C123" s="74" t="s">
        <v>28</v>
      </c>
      <c r="D123" s="15" t="s">
        <v>570</v>
      </c>
      <c r="E123" s="52">
        <v>0</v>
      </c>
      <c r="F123" s="26"/>
      <c r="J123" s="53"/>
      <c r="K123" s="53"/>
      <c r="L123" s="53"/>
      <c r="M123" s="31"/>
      <c r="N123" s="31"/>
      <c r="O123" s="31"/>
      <c r="P123" s="31"/>
      <c r="Q123" s="5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J123" s="53"/>
      <c r="AK123" s="31"/>
    </row>
    <row r="124" spans="1:37" ht="14.25" customHeight="1" x14ac:dyDescent="0.4">
      <c r="A124" s="12" t="s">
        <v>438</v>
      </c>
      <c r="B124" s="13">
        <v>1</v>
      </c>
      <c r="C124" s="74" t="s">
        <v>35</v>
      </c>
      <c r="D124" s="15" t="s">
        <v>571</v>
      </c>
      <c r="F124" s="26"/>
      <c r="J124" s="53"/>
      <c r="K124" s="53"/>
      <c r="L124" s="53"/>
      <c r="M124" s="31"/>
      <c r="N124" s="31"/>
      <c r="O124" s="31"/>
      <c r="P124" s="31"/>
      <c r="Q124" s="5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J124" s="53"/>
      <c r="AK124" s="31"/>
    </row>
    <row r="125" spans="1:37" ht="14.25" customHeight="1" x14ac:dyDescent="0.4">
      <c r="A125" s="12" t="s">
        <v>36</v>
      </c>
      <c r="B125" s="13">
        <v>2</v>
      </c>
      <c r="C125" s="74" t="s">
        <v>35</v>
      </c>
      <c r="D125" s="15" t="s">
        <v>572</v>
      </c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J125" s="53"/>
      <c r="AK125" s="31"/>
    </row>
    <row r="126" spans="1:37" ht="14.25" customHeight="1" x14ac:dyDescent="0.4">
      <c r="A126" s="12" t="s">
        <v>438</v>
      </c>
      <c r="B126" s="13">
        <v>2</v>
      </c>
      <c r="C126" s="14" t="s">
        <v>35</v>
      </c>
      <c r="D126" s="15" t="s">
        <v>573</v>
      </c>
      <c r="F126" s="26"/>
    </row>
    <row r="127" spans="1:37" ht="14.25" customHeight="1" x14ac:dyDescent="0.4">
      <c r="A127" s="12" t="s">
        <v>12</v>
      </c>
      <c r="B127" s="13">
        <v>2</v>
      </c>
      <c r="C127" s="14" t="s">
        <v>35</v>
      </c>
      <c r="D127" s="15" t="s">
        <v>574</v>
      </c>
      <c r="F127" s="26"/>
    </row>
    <row r="128" spans="1:37" ht="14.25" customHeight="1" x14ac:dyDescent="0.4">
      <c r="A128" s="12" t="s">
        <v>12</v>
      </c>
      <c r="B128" s="13">
        <v>1</v>
      </c>
      <c r="C128" s="14" t="s">
        <v>31</v>
      </c>
      <c r="D128" s="15" t="s">
        <v>575</v>
      </c>
      <c r="F128" s="26"/>
    </row>
    <row r="129" spans="1:6" ht="14.25" customHeight="1" x14ac:dyDescent="0.4">
      <c r="A129" s="12" t="s">
        <v>31</v>
      </c>
      <c r="B129" s="13">
        <v>2</v>
      </c>
      <c r="C129" s="14" t="s">
        <v>35</v>
      </c>
      <c r="D129" s="15" t="s">
        <v>576</v>
      </c>
      <c r="F129" s="26"/>
    </row>
    <row r="130" spans="1:6" ht="14.25" customHeight="1" x14ac:dyDescent="0.4">
      <c r="A130" s="12" t="s">
        <v>31</v>
      </c>
      <c r="B130" s="13">
        <v>1</v>
      </c>
      <c r="C130" s="14" t="s">
        <v>12</v>
      </c>
      <c r="D130" s="15" t="s">
        <v>577</v>
      </c>
      <c r="F130" s="26"/>
    </row>
    <row r="131" spans="1:6" ht="14.25" customHeight="1" x14ac:dyDescent="0.4">
      <c r="A131" s="12" t="s">
        <v>33</v>
      </c>
      <c r="B131" s="13">
        <v>2</v>
      </c>
      <c r="C131" s="14" t="s">
        <v>35</v>
      </c>
      <c r="D131" s="15" t="s">
        <v>578</v>
      </c>
      <c r="F131" s="26"/>
    </row>
    <row r="132" spans="1:6" ht="14.25" customHeight="1" x14ac:dyDescent="0.4">
      <c r="A132" s="12" t="s">
        <v>12</v>
      </c>
      <c r="B132" s="13">
        <v>2</v>
      </c>
      <c r="C132" s="14" t="s">
        <v>31</v>
      </c>
      <c r="D132" s="15" t="s">
        <v>579</v>
      </c>
      <c r="F132" s="26"/>
    </row>
    <row r="133" spans="1:6" ht="14.25" customHeight="1" x14ac:dyDescent="0.4">
      <c r="A133" s="12" t="s">
        <v>31</v>
      </c>
      <c r="B133" s="13">
        <v>1</v>
      </c>
      <c r="C133" s="14" t="s">
        <v>35</v>
      </c>
      <c r="D133" s="15" t="s">
        <v>580</v>
      </c>
      <c r="F133" s="26"/>
    </row>
    <row r="134" spans="1:6" ht="14.25" customHeight="1" x14ac:dyDescent="0.4">
      <c r="A134" s="12" t="s">
        <v>438</v>
      </c>
      <c r="B134" s="13">
        <v>2</v>
      </c>
      <c r="C134" s="14" t="s">
        <v>35</v>
      </c>
      <c r="D134" s="15" t="s">
        <v>581</v>
      </c>
      <c r="F134" s="26"/>
    </row>
    <row r="135" spans="1:6" ht="14.25" customHeight="1" x14ac:dyDescent="0.4">
      <c r="A135" s="12" t="s">
        <v>12</v>
      </c>
      <c r="B135" s="13">
        <v>1</v>
      </c>
      <c r="C135" s="14" t="s">
        <v>31</v>
      </c>
      <c r="D135" s="15" t="s">
        <v>582</v>
      </c>
      <c r="F135" s="26"/>
    </row>
    <row r="136" spans="1:6" ht="14.25" customHeight="1" x14ac:dyDescent="0.4">
      <c r="A136" s="12" t="s">
        <v>31</v>
      </c>
      <c r="B136" s="13">
        <v>1</v>
      </c>
      <c r="C136" s="14" t="s">
        <v>12</v>
      </c>
      <c r="D136" s="15" t="s">
        <v>583</v>
      </c>
      <c r="F136" s="26"/>
    </row>
    <row r="137" spans="1:6" ht="14.25" customHeight="1" x14ac:dyDescent="0.4">
      <c r="A137" s="12" t="s">
        <v>31</v>
      </c>
      <c r="B137" s="13">
        <v>2</v>
      </c>
      <c r="C137" s="14" t="s">
        <v>33</v>
      </c>
      <c r="D137" s="15" t="s">
        <v>584</v>
      </c>
      <c r="F137" s="26"/>
    </row>
    <row r="138" spans="1:6" ht="14.25" customHeight="1" x14ac:dyDescent="0.4">
      <c r="A138" s="12" t="s">
        <v>12</v>
      </c>
      <c r="B138" s="13">
        <v>2</v>
      </c>
      <c r="C138" s="14" t="s">
        <v>33</v>
      </c>
      <c r="D138" s="15" t="s">
        <v>585</v>
      </c>
      <c r="F138" s="26"/>
    </row>
    <row r="139" spans="1:6" ht="14.25" customHeight="1" x14ac:dyDescent="0.4">
      <c r="A139" s="12" t="s">
        <v>33</v>
      </c>
      <c r="B139" s="13">
        <v>1</v>
      </c>
      <c r="C139" s="14" t="s">
        <v>12</v>
      </c>
      <c r="D139" s="15" t="s">
        <v>586</v>
      </c>
      <c r="F139" s="26"/>
    </row>
    <row r="140" spans="1:6" ht="14.25" customHeight="1" x14ac:dyDescent="0.4">
      <c r="A140" s="12" t="s">
        <v>33</v>
      </c>
      <c r="B140" s="13">
        <v>1</v>
      </c>
      <c r="C140" s="14" t="s">
        <v>31</v>
      </c>
      <c r="D140" s="15" t="s">
        <v>586</v>
      </c>
      <c r="F140" s="26"/>
    </row>
    <row r="141" spans="1:6" ht="14.25" customHeight="1" x14ac:dyDescent="0.4">
      <c r="A141" s="12" t="s">
        <v>38</v>
      </c>
      <c r="B141" s="13">
        <v>1</v>
      </c>
      <c r="C141" s="14" t="s">
        <v>35</v>
      </c>
      <c r="D141" s="15" t="s">
        <v>587</v>
      </c>
      <c r="F141" s="26"/>
    </row>
    <row r="142" spans="1:6" ht="14.25" customHeight="1" x14ac:dyDescent="0.4">
      <c r="A142" s="12" t="s">
        <v>28</v>
      </c>
      <c r="B142" s="13">
        <v>1</v>
      </c>
      <c r="C142" s="14" t="s">
        <v>35</v>
      </c>
      <c r="D142" s="15" t="s">
        <v>588</v>
      </c>
      <c r="F142" s="26"/>
    </row>
    <row r="143" spans="1:6" ht="14.25" customHeight="1" x14ac:dyDescent="0.4">
      <c r="A143" s="12" t="s">
        <v>36</v>
      </c>
      <c r="B143" s="13">
        <v>2</v>
      </c>
      <c r="C143" s="14" t="s">
        <v>35</v>
      </c>
      <c r="D143" s="15" t="s">
        <v>589</v>
      </c>
      <c r="F143" s="26"/>
    </row>
    <row r="144" spans="1:6" ht="14.25" customHeight="1" x14ac:dyDescent="0.4">
      <c r="A144" s="12" t="s">
        <v>12</v>
      </c>
      <c r="B144" s="13">
        <v>2</v>
      </c>
      <c r="C144" s="14" t="s">
        <v>31</v>
      </c>
      <c r="D144" s="15" t="s">
        <v>590</v>
      </c>
      <c r="F144" s="26"/>
    </row>
    <row r="145" spans="1:6" ht="14.25" customHeight="1" x14ac:dyDescent="0.4">
      <c r="A145" s="12" t="s">
        <v>41</v>
      </c>
      <c r="B145" s="13">
        <v>2</v>
      </c>
      <c r="C145" s="14" t="s">
        <v>31</v>
      </c>
      <c r="D145" s="15" t="s">
        <v>591</v>
      </c>
      <c r="F145" s="26"/>
    </row>
    <row r="146" spans="1:6" ht="14.25" customHeight="1" x14ac:dyDescent="0.4">
      <c r="A146" s="12" t="s">
        <v>28</v>
      </c>
      <c r="B146" s="13">
        <v>2</v>
      </c>
      <c r="C146" s="14" t="s">
        <v>35</v>
      </c>
      <c r="D146" s="15" t="s">
        <v>592</v>
      </c>
      <c r="F146" s="26"/>
    </row>
    <row r="147" spans="1:6" ht="14.25" customHeight="1" x14ac:dyDescent="0.4">
      <c r="A147" s="12" t="s">
        <v>12</v>
      </c>
      <c r="B147" s="13">
        <v>2</v>
      </c>
      <c r="C147" s="14" t="s">
        <v>33</v>
      </c>
      <c r="D147" s="15" t="s">
        <v>593</v>
      </c>
      <c r="F147" s="26"/>
    </row>
    <row r="148" spans="1:6" ht="14.25" customHeight="1" x14ac:dyDescent="0.4">
      <c r="A148" s="12" t="s">
        <v>33</v>
      </c>
      <c r="B148" s="13">
        <v>1</v>
      </c>
      <c r="C148" s="14" t="s">
        <v>35</v>
      </c>
      <c r="D148" s="15" t="s">
        <v>594</v>
      </c>
      <c r="F148" s="26"/>
    </row>
    <row r="149" spans="1:6" ht="14.25" customHeight="1" x14ac:dyDescent="0.4">
      <c r="A149" s="12" t="s">
        <v>12</v>
      </c>
      <c r="B149" s="13">
        <v>1</v>
      </c>
      <c r="C149" s="14" t="s">
        <v>35</v>
      </c>
      <c r="D149" s="15" t="s">
        <v>595</v>
      </c>
      <c r="F149" s="26"/>
    </row>
    <row r="150" spans="1:6" ht="14.25" customHeight="1" x14ac:dyDescent="0.4">
      <c r="A150" s="12" t="s">
        <v>441</v>
      </c>
      <c r="B150" s="13">
        <v>2</v>
      </c>
      <c r="C150" s="14" t="s">
        <v>31</v>
      </c>
      <c r="D150" s="15" t="s">
        <v>596</v>
      </c>
      <c r="F150" s="26"/>
    </row>
    <row r="151" spans="1:6" ht="14.25" customHeight="1" x14ac:dyDescent="0.4">
      <c r="A151" s="12" t="s">
        <v>36</v>
      </c>
      <c r="B151" s="13">
        <v>2</v>
      </c>
      <c r="C151" s="14" t="s">
        <v>31</v>
      </c>
      <c r="D151" s="15" t="s">
        <v>597</v>
      </c>
      <c r="F151" s="26"/>
    </row>
    <row r="152" spans="1:6" ht="14.25" customHeight="1" x14ac:dyDescent="0.4">
      <c r="A152" s="12" t="s">
        <v>31</v>
      </c>
      <c r="B152" s="13">
        <v>1</v>
      </c>
      <c r="C152" s="14" t="s">
        <v>12</v>
      </c>
      <c r="D152" s="15" t="s">
        <v>598</v>
      </c>
      <c r="F152" s="26"/>
    </row>
    <row r="153" spans="1:6" ht="14.25" customHeight="1" x14ac:dyDescent="0.4">
      <c r="A153" s="12" t="s">
        <v>12</v>
      </c>
      <c r="B153" s="13">
        <v>2</v>
      </c>
      <c r="C153" s="14" t="s">
        <v>31</v>
      </c>
      <c r="D153" s="15" t="s">
        <v>599</v>
      </c>
      <c r="F153" s="26"/>
    </row>
    <row r="154" spans="1:6" ht="14.25" customHeight="1" x14ac:dyDescent="0.4">
      <c r="A154" s="12" t="s">
        <v>12</v>
      </c>
      <c r="B154" s="13">
        <v>1</v>
      </c>
      <c r="C154" s="14" t="s">
        <v>31</v>
      </c>
      <c r="D154" s="15" t="s">
        <v>600</v>
      </c>
      <c r="F154" s="26"/>
    </row>
    <row r="155" spans="1:6" ht="14.25" customHeight="1" x14ac:dyDescent="0.4">
      <c r="A155" s="12" t="s">
        <v>12</v>
      </c>
      <c r="B155" s="13">
        <v>2</v>
      </c>
      <c r="C155" s="14" t="s">
        <v>31</v>
      </c>
      <c r="D155" s="15" t="s">
        <v>601</v>
      </c>
      <c r="F155" s="26"/>
    </row>
    <row r="156" spans="1:6" ht="14.25" customHeight="1" x14ac:dyDescent="0.4">
      <c r="A156" s="12" t="s">
        <v>31</v>
      </c>
      <c r="B156" s="13">
        <v>1</v>
      </c>
      <c r="C156" s="14" t="s">
        <v>12</v>
      </c>
      <c r="D156" s="15" t="s">
        <v>602</v>
      </c>
      <c r="F156" s="26"/>
    </row>
    <row r="157" spans="1:6" ht="14.25" customHeight="1" x14ac:dyDescent="0.4">
      <c r="A157" s="12" t="s">
        <v>33</v>
      </c>
      <c r="B157" s="13">
        <v>1</v>
      </c>
      <c r="C157" s="14" t="s">
        <v>41</v>
      </c>
      <c r="D157" s="15" t="s">
        <v>603</v>
      </c>
      <c r="F157" s="26"/>
    </row>
    <row r="158" spans="1:6" ht="14.25" customHeight="1" x14ac:dyDescent="0.4">
      <c r="A158" s="12" t="s">
        <v>33</v>
      </c>
      <c r="B158" s="13">
        <v>2</v>
      </c>
      <c r="C158" s="14" t="s">
        <v>41</v>
      </c>
      <c r="D158" s="15" t="s">
        <v>604</v>
      </c>
      <c r="F158" s="26"/>
    </row>
    <row r="159" spans="1:6" ht="14.25" customHeight="1" x14ac:dyDescent="0.4">
      <c r="A159" s="12" t="s">
        <v>12</v>
      </c>
      <c r="B159" s="13">
        <v>1</v>
      </c>
      <c r="C159" s="14" t="s">
        <v>35</v>
      </c>
      <c r="D159" s="15" t="s">
        <v>605</v>
      </c>
      <c r="F159" s="26"/>
    </row>
    <row r="160" spans="1:6" ht="14.25" customHeight="1" x14ac:dyDescent="0.4">
      <c r="A160" s="12" t="s">
        <v>31</v>
      </c>
      <c r="B160" s="13">
        <v>2</v>
      </c>
      <c r="C160" s="14" t="s">
        <v>35</v>
      </c>
      <c r="D160" s="15" t="s">
        <v>606</v>
      </c>
    </row>
    <row r="161" spans="1:4" ht="14.25" customHeight="1" x14ac:dyDescent="0.4">
      <c r="A161" s="12" t="s">
        <v>12</v>
      </c>
      <c r="B161" s="13">
        <v>1</v>
      </c>
      <c r="C161" s="14" t="s">
        <v>31</v>
      </c>
      <c r="D161" s="15" t="s">
        <v>607</v>
      </c>
    </row>
    <row r="162" spans="1:4" ht="14.25" customHeight="1" x14ac:dyDescent="0.4">
      <c r="A162" s="12" t="s">
        <v>31</v>
      </c>
      <c r="B162" s="13">
        <v>1</v>
      </c>
      <c r="C162" s="14" t="s">
        <v>12</v>
      </c>
      <c r="D162" s="15" t="s">
        <v>608</v>
      </c>
    </row>
    <row r="163" spans="1:4" ht="14.25" customHeight="1" x14ac:dyDescent="0.4">
      <c r="A163" s="12" t="s">
        <v>33</v>
      </c>
      <c r="B163" s="13">
        <v>1</v>
      </c>
      <c r="C163" s="14" t="s">
        <v>35</v>
      </c>
      <c r="D163" s="15" t="s">
        <v>609</v>
      </c>
    </row>
    <row r="164" spans="1:4" ht="14.25" customHeight="1" x14ac:dyDescent="0.4">
      <c r="A164" s="12" t="s">
        <v>12</v>
      </c>
      <c r="B164" s="13">
        <v>2</v>
      </c>
      <c r="C164" s="14" t="s">
        <v>31</v>
      </c>
      <c r="D164" s="15" t="s">
        <v>610</v>
      </c>
    </row>
    <row r="165" spans="1:4" ht="14.25" customHeight="1" x14ac:dyDescent="0.4">
      <c r="A165" s="12" t="s">
        <v>31</v>
      </c>
      <c r="B165" s="13">
        <v>1</v>
      </c>
      <c r="C165" s="14" t="s">
        <v>12</v>
      </c>
      <c r="D165" s="15" t="s">
        <v>611</v>
      </c>
    </row>
    <row r="166" spans="1:4" ht="14.25" customHeight="1" x14ac:dyDescent="0.4">
      <c r="A166" s="12" t="s">
        <v>438</v>
      </c>
      <c r="B166" s="13">
        <v>2</v>
      </c>
      <c r="C166" s="14" t="s">
        <v>12</v>
      </c>
      <c r="D166" s="15" t="s">
        <v>612</v>
      </c>
    </row>
    <row r="167" spans="1:4" ht="14.25" customHeight="1" x14ac:dyDescent="0.4">
      <c r="A167" s="12" t="s">
        <v>12</v>
      </c>
      <c r="B167" s="13">
        <v>1</v>
      </c>
      <c r="C167" s="14" t="s">
        <v>438</v>
      </c>
      <c r="D167" s="15" t="s">
        <v>613</v>
      </c>
    </row>
    <row r="168" spans="1:4" ht="14.25" customHeight="1" x14ac:dyDescent="0.4">
      <c r="A168" s="12" t="s">
        <v>438</v>
      </c>
      <c r="B168" s="13">
        <v>1</v>
      </c>
      <c r="C168" s="14" t="s">
        <v>38</v>
      </c>
      <c r="D168" s="15" t="s">
        <v>614</v>
      </c>
    </row>
    <row r="169" spans="1:4" ht="14.25" customHeight="1" x14ac:dyDescent="0.4">
      <c r="A169" s="12" t="s">
        <v>38</v>
      </c>
      <c r="B169" s="13">
        <v>1</v>
      </c>
      <c r="C169" s="14" t="s">
        <v>438</v>
      </c>
      <c r="D169" s="15" t="s">
        <v>615</v>
      </c>
    </row>
    <row r="170" spans="1:4" ht="14.25" customHeight="1" x14ac:dyDescent="0.4">
      <c r="A170" s="12" t="s">
        <v>12</v>
      </c>
      <c r="B170" s="13">
        <v>1</v>
      </c>
      <c r="C170" s="14" t="s">
        <v>438</v>
      </c>
      <c r="D170" s="15" t="s">
        <v>616</v>
      </c>
    </row>
    <row r="171" spans="1:4" ht="14.25" customHeight="1" x14ac:dyDescent="0.4">
      <c r="A171" s="12" t="s">
        <v>12</v>
      </c>
      <c r="B171" s="13">
        <v>2</v>
      </c>
      <c r="C171" s="14" t="s">
        <v>31</v>
      </c>
      <c r="D171" s="15" t="s">
        <v>617</v>
      </c>
    </row>
    <row r="172" spans="1:4" ht="14.25" customHeight="1" x14ac:dyDescent="0.4">
      <c r="A172" s="12" t="s">
        <v>31</v>
      </c>
      <c r="B172" s="13">
        <v>1</v>
      </c>
      <c r="C172" s="14" t="s">
        <v>12</v>
      </c>
      <c r="D172" s="15" t="s">
        <v>618</v>
      </c>
    </row>
    <row r="173" spans="1:4" ht="14.25" customHeight="1" x14ac:dyDescent="0.4">
      <c r="A173" s="12" t="s">
        <v>33</v>
      </c>
      <c r="B173" s="13">
        <v>2</v>
      </c>
      <c r="C173" s="14" t="s">
        <v>12</v>
      </c>
      <c r="D173" s="15" t="s">
        <v>619</v>
      </c>
    </row>
    <row r="174" spans="1:4" ht="14.25" customHeight="1" x14ac:dyDescent="0.4">
      <c r="A174" s="12" t="s">
        <v>33</v>
      </c>
      <c r="B174" s="13">
        <v>2</v>
      </c>
      <c r="C174" s="14" t="s">
        <v>31</v>
      </c>
      <c r="D174" s="15" t="s">
        <v>619</v>
      </c>
    </row>
    <row r="175" spans="1:4" ht="14.25" customHeight="1" x14ac:dyDescent="0.4">
      <c r="A175" s="12" t="s">
        <v>31</v>
      </c>
      <c r="B175" s="13">
        <v>2</v>
      </c>
      <c r="C175" s="14" t="s">
        <v>33</v>
      </c>
      <c r="D175" s="15" t="s">
        <v>620</v>
      </c>
    </row>
    <row r="176" spans="1:4" ht="14.25" customHeight="1" x14ac:dyDescent="0.4">
      <c r="A176" s="12" t="s">
        <v>12</v>
      </c>
      <c r="B176" s="13">
        <v>1</v>
      </c>
      <c r="C176" s="14" t="s">
        <v>33</v>
      </c>
      <c r="D176" s="15" t="s">
        <v>621</v>
      </c>
    </row>
    <row r="177" spans="1:4" ht="14.25" customHeight="1" x14ac:dyDescent="0.4">
      <c r="A177" s="12" t="s">
        <v>31</v>
      </c>
      <c r="B177" s="13">
        <v>2</v>
      </c>
      <c r="C177" s="14" t="s">
        <v>35</v>
      </c>
      <c r="D177" s="15" t="s">
        <v>622</v>
      </c>
    </row>
    <row r="178" spans="1:4" ht="14.25" customHeight="1" x14ac:dyDescent="0.4">
      <c r="A178" s="12" t="s">
        <v>41</v>
      </c>
      <c r="B178" s="13">
        <v>1</v>
      </c>
      <c r="C178" s="14" t="s">
        <v>33</v>
      </c>
      <c r="D178" s="15" t="s">
        <v>623</v>
      </c>
    </row>
    <row r="179" spans="1:4" ht="14.25" customHeight="1" x14ac:dyDescent="0.4">
      <c r="A179" s="12" t="s">
        <v>33</v>
      </c>
      <c r="B179" s="13">
        <v>1</v>
      </c>
      <c r="C179" s="14" t="s">
        <v>41</v>
      </c>
      <c r="D179" s="15" t="s">
        <v>624</v>
      </c>
    </row>
    <row r="180" spans="1:4" ht="14.25" customHeight="1" x14ac:dyDescent="0.4">
      <c r="A180" s="12" t="s">
        <v>31</v>
      </c>
      <c r="B180" s="13">
        <v>1</v>
      </c>
      <c r="C180" s="14" t="s">
        <v>12</v>
      </c>
      <c r="D180" s="15" t="s">
        <v>625</v>
      </c>
    </row>
    <row r="181" spans="1:4" ht="14.25" customHeight="1" x14ac:dyDescent="0.4">
      <c r="A181" s="12" t="s">
        <v>12</v>
      </c>
      <c r="B181" s="13">
        <v>1</v>
      </c>
      <c r="C181" s="14" t="s">
        <v>31</v>
      </c>
      <c r="D181" s="15" t="s">
        <v>626</v>
      </c>
    </row>
    <row r="182" spans="1:4" ht="14.25" customHeight="1" x14ac:dyDescent="0.4">
      <c r="A182" s="12" t="s">
        <v>41</v>
      </c>
      <c r="B182" s="13">
        <v>1</v>
      </c>
      <c r="C182" s="14" t="s">
        <v>33</v>
      </c>
      <c r="D182" s="15" t="s">
        <v>627</v>
      </c>
    </row>
    <row r="183" spans="1:4" ht="14.25" customHeight="1" x14ac:dyDescent="0.4">
      <c r="A183" s="12" t="s">
        <v>33</v>
      </c>
      <c r="B183" s="13">
        <v>1</v>
      </c>
      <c r="C183" s="14" t="s">
        <v>41</v>
      </c>
      <c r="D183" s="15" t="s">
        <v>628</v>
      </c>
    </row>
    <row r="184" spans="1:4" ht="14.25" customHeight="1" x14ac:dyDescent="0.4">
      <c r="A184" s="12" t="s">
        <v>438</v>
      </c>
      <c r="B184" s="13">
        <v>2</v>
      </c>
      <c r="C184" s="14" t="s">
        <v>38</v>
      </c>
      <c r="D184" s="15" t="s">
        <v>629</v>
      </c>
    </row>
    <row r="185" spans="1:4" ht="14.25" customHeight="1" x14ac:dyDescent="0.4">
      <c r="A185" s="12" t="s">
        <v>12</v>
      </c>
      <c r="B185" s="13">
        <v>1</v>
      </c>
      <c r="C185" s="14" t="s">
        <v>31</v>
      </c>
      <c r="D185" s="15" t="s">
        <v>630</v>
      </c>
    </row>
    <row r="186" spans="1:4" ht="14.25" customHeight="1" x14ac:dyDescent="0.4">
      <c r="A186" s="12" t="s">
        <v>31</v>
      </c>
      <c r="B186" s="13">
        <v>1</v>
      </c>
      <c r="C186" s="14" t="s">
        <v>12</v>
      </c>
      <c r="D186" s="15" t="s">
        <v>631</v>
      </c>
    </row>
    <row r="187" spans="1:4" ht="14.25" customHeight="1" x14ac:dyDescent="0.4">
      <c r="A187" s="12" t="s">
        <v>438</v>
      </c>
      <c r="B187" s="13">
        <v>1</v>
      </c>
      <c r="C187" s="14" t="s">
        <v>28</v>
      </c>
      <c r="D187" s="15" t="s">
        <v>632</v>
      </c>
    </row>
    <row r="188" spans="1:4" ht="14.25" customHeight="1" x14ac:dyDescent="0.4">
      <c r="A188" s="12" t="s">
        <v>28</v>
      </c>
      <c r="B188" s="13">
        <v>1</v>
      </c>
      <c r="C188" s="14" t="s">
        <v>438</v>
      </c>
      <c r="D188" s="15" t="s">
        <v>633</v>
      </c>
    </row>
    <row r="189" spans="1:4" ht="14.25" customHeight="1" x14ac:dyDescent="0.4">
      <c r="A189" s="12" t="s">
        <v>12</v>
      </c>
      <c r="B189" s="13">
        <v>2</v>
      </c>
      <c r="C189" s="14" t="s">
        <v>35</v>
      </c>
      <c r="D189" s="15" t="s">
        <v>634</v>
      </c>
    </row>
    <row r="190" spans="1:4" ht="14.25" customHeight="1" x14ac:dyDescent="0.4">
      <c r="A190" s="12" t="s">
        <v>12</v>
      </c>
      <c r="B190" s="13">
        <v>2</v>
      </c>
      <c r="C190" s="14" t="s">
        <v>31</v>
      </c>
      <c r="D190" s="15" t="s">
        <v>635</v>
      </c>
    </row>
    <row r="191" spans="1:4" ht="14.25" customHeight="1" x14ac:dyDescent="0.4">
      <c r="A191" s="12" t="s">
        <v>438</v>
      </c>
      <c r="B191" s="13">
        <v>2</v>
      </c>
      <c r="C191" s="14" t="s">
        <v>31</v>
      </c>
      <c r="D191" s="15" t="s">
        <v>636</v>
      </c>
    </row>
    <row r="192" spans="1:4" ht="14.25" customHeight="1" x14ac:dyDescent="0.4">
      <c r="A192" s="12" t="s">
        <v>12</v>
      </c>
      <c r="B192" s="13">
        <v>2</v>
      </c>
      <c r="C192" s="14" t="s">
        <v>438</v>
      </c>
      <c r="D192" s="15" t="s">
        <v>637</v>
      </c>
    </row>
    <row r="193" spans="1:5" ht="14.25" customHeight="1" x14ac:dyDescent="0.4">
      <c r="A193" s="12" t="s">
        <v>438</v>
      </c>
      <c r="B193" s="13">
        <v>2</v>
      </c>
      <c r="C193" s="14" t="s">
        <v>33</v>
      </c>
      <c r="D193" s="15" t="s">
        <v>638</v>
      </c>
    </row>
    <row r="194" spans="1:5" ht="14.25" customHeight="1" x14ac:dyDescent="0.4">
      <c r="A194" s="12" t="s">
        <v>33</v>
      </c>
      <c r="B194" s="13">
        <v>1</v>
      </c>
      <c r="C194" s="14" t="s">
        <v>438</v>
      </c>
      <c r="D194" s="15" t="s">
        <v>639</v>
      </c>
    </row>
    <row r="195" spans="1:5" ht="14.25" customHeight="1" x14ac:dyDescent="0.4">
      <c r="A195" s="12" t="s">
        <v>31</v>
      </c>
      <c r="B195" s="13">
        <v>1</v>
      </c>
      <c r="C195" s="14" t="s">
        <v>438</v>
      </c>
      <c r="D195" s="15" t="s">
        <v>640</v>
      </c>
    </row>
    <row r="196" spans="1:5" ht="14.25" customHeight="1" x14ac:dyDescent="0.4">
      <c r="A196" s="12" t="s">
        <v>438</v>
      </c>
      <c r="B196" s="13">
        <v>1</v>
      </c>
      <c r="C196" s="14" t="s">
        <v>31</v>
      </c>
      <c r="D196" s="15" t="s">
        <v>641</v>
      </c>
    </row>
    <row r="197" spans="1:5" ht="14.25" customHeight="1" x14ac:dyDescent="0.4">
      <c r="A197" s="12" t="s">
        <v>12</v>
      </c>
      <c r="B197" s="13">
        <v>2</v>
      </c>
      <c r="C197" s="14" t="s">
        <v>438</v>
      </c>
      <c r="D197" s="15" t="s">
        <v>642</v>
      </c>
    </row>
    <row r="198" spans="1:5" ht="14.25" customHeight="1" x14ac:dyDescent="0.4">
      <c r="A198" s="12" t="s">
        <v>12</v>
      </c>
      <c r="B198" s="13">
        <v>2</v>
      </c>
      <c r="C198" s="14" t="s">
        <v>28</v>
      </c>
      <c r="D198" s="15" t="s">
        <v>643</v>
      </c>
      <c r="E198" s="52">
        <v>0</v>
      </c>
    </row>
    <row r="199" spans="1:5" ht="14.25" customHeight="1" x14ac:dyDescent="0.4">
      <c r="A199" s="12" t="s">
        <v>28</v>
      </c>
      <c r="B199" s="13">
        <v>1</v>
      </c>
      <c r="C199" s="14" t="s">
        <v>12</v>
      </c>
      <c r="D199" s="15" t="s">
        <v>644</v>
      </c>
    </row>
    <row r="200" spans="1:5" ht="14.25" customHeight="1" x14ac:dyDescent="0.4">
      <c r="A200" s="12" t="s">
        <v>12</v>
      </c>
      <c r="B200" s="13">
        <v>2</v>
      </c>
      <c r="C200" s="14" t="s">
        <v>28</v>
      </c>
      <c r="D200" s="52" t="s">
        <v>645</v>
      </c>
      <c r="E200" s="52">
        <v>0</v>
      </c>
    </row>
    <row r="201" spans="1:5" ht="14.25" customHeight="1" x14ac:dyDescent="0.4">
      <c r="A201" s="12" t="s">
        <v>28</v>
      </c>
      <c r="B201" s="13">
        <v>1</v>
      </c>
      <c r="C201" s="14" t="s">
        <v>12</v>
      </c>
      <c r="D201" s="52" t="s">
        <v>646</v>
      </c>
    </row>
    <row r="202" spans="1:5" ht="14.25" customHeight="1" x14ac:dyDescent="0.4">
      <c r="A202" s="12" t="s">
        <v>33</v>
      </c>
      <c r="B202" s="13">
        <v>2</v>
      </c>
      <c r="C202" s="14" t="s">
        <v>41</v>
      </c>
      <c r="D202" s="52" t="s">
        <v>647</v>
      </c>
    </row>
    <row r="203" spans="1:5" ht="14.25" customHeight="1" x14ac:dyDescent="0.4">
      <c r="A203" s="12" t="s">
        <v>31</v>
      </c>
      <c r="B203" s="13">
        <v>2</v>
      </c>
      <c r="C203" s="14" t="s">
        <v>12</v>
      </c>
      <c r="D203" s="15" t="s">
        <v>648</v>
      </c>
    </row>
    <row r="204" spans="1:5" ht="14.25" customHeight="1" x14ac:dyDescent="0.4">
      <c r="A204" s="12" t="s">
        <v>12</v>
      </c>
      <c r="B204" s="13">
        <v>1</v>
      </c>
      <c r="C204" s="14" t="s">
        <v>31</v>
      </c>
      <c r="D204" s="52" t="s">
        <v>649</v>
      </c>
    </row>
    <row r="205" spans="1:5" ht="14.25" customHeight="1" x14ac:dyDescent="0.4">
      <c r="A205" s="12" t="s">
        <v>31</v>
      </c>
      <c r="B205" s="13">
        <v>1</v>
      </c>
      <c r="C205" s="14" t="s">
        <v>36</v>
      </c>
      <c r="D205" s="52" t="s">
        <v>650</v>
      </c>
    </row>
    <row r="206" spans="1:5" ht="14.25" customHeight="1" x14ac:dyDescent="0.4">
      <c r="A206" s="12" t="s">
        <v>36</v>
      </c>
      <c r="B206" s="13">
        <v>1</v>
      </c>
      <c r="C206" s="14" t="s">
        <v>31</v>
      </c>
      <c r="D206" s="52" t="s">
        <v>651</v>
      </c>
    </row>
    <row r="207" spans="1:5" ht="14.25" customHeight="1" x14ac:dyDescent="0.4">
      <c r="A207" s="12" t="s">
        <v>438</v>
      </c>
      <c r="B207" s="13">
        <v>1</v>
      </c>
      <c r="C207" s="14" t="s">
        <v>33</v>
      </c>
      <c r="D207" s="52" t="s">
        <v>652</v>
      </c>
    </row>
    <row r="208" spans="1:5" ht="14.25" customHeight="1" x14ac:dyDescent="0.4">
      <c r="A208" s="12" t="s">
        <v>31</v>
      </c>
      <c r="B208" s="13">
        <v>1</v>
      </c>
      <c r="C208" s="14" t="s">
        <v>12</v>
      </c>
      <c r="D208" s="52" t="s">
        <v>653</v>
      </c>
    </row>
    <row r="209" spans="1:5" ht="14.25" customHeight="1" x14ac:dyDescent="0.4">
      <c r="A209" s="12" t="s">
        <v>12</v>
      </c>
      <c r="B209" s="13">
        <v>1</v>
      </c>
      <c r="C209" s="14" t="s">
        <v>31</v>
      </c>
      <c r="D209" s="52" t="s">
        <v>654</v>
      </c>
    </row>
    <row r="210" spans="1:5" ht="14.25" customHeight="1" x14ac:dyDescent="0.4">
      <c r="A210" s="12" t="s">
        <v>438</v>
      </c>
      <c r="B210" s="13">
        <v>2</v>
      </c>
      <c r="C210" s="14" t="s">
        <v>31</v>
      </c>
      <c r="D210" s="52" t="s">
        <v>655</v>
      </c>
    </row>
    <row r="211" spans="1:5" ht="14.25" customHeight="1" x14ac:dyDescent="0.4">
      <c r="A211" s="12" t="s">
        <v>12</v>
      </c>
      <c r="B211" s="13">
        <v>2</v>
      </c>
      <c r="C211" s="14" t="s">
        <v>438</v>
      </c>
      <c r="D211" s="52" t="s">
        <v>656</v>
      </c>
    </row>
    <row r="212" spans="1:5" ht="14.25" customHeight="1" x14ac:dyDescent="0.4">
      <c r="A212" s="12" t="s">
        <v>12</v>
      </c>
      <c r="B212" s="13">
        <v>2</v>
      </c>
      <c r="C212" s="14" t="s">
        <v>31</v>
      </c>
      <c r="D212" s="52" t="s">
        <v>656</v>
      </c>
    </row>
    <row r="213" spans="1:5" ht="14.25" customHeight="1" x14ac:dyDescent="0.4">
      <c r="A213" s="12" t="s">
        <v>438</v>
      </c>
      <c r="B213" s="13">
        <v>2</v>
      </c>
      <c r="C213" s="14" t="s">
        <v>12</v>
      </c>
      <c r="D213" s="52" t="s">
        <v>657</v>
      </c>
    </row>
    <row r="214" spans="1:5" ht="14.25" customHeight="1" x14ac:dyDescent="0.4">
      <c r="A214" s="12" t="s">
        <v>31</v>
      </c>
      <c r="B214" s="13">
        <v>2</v>
      </c>
      <c r="C214" s="14" t="s">
        <v>12</v>
      </c>
      <c r="D214" s="52" t="s">
        <v>658</v>
      </c>
    </row>
    <row r="215" spans="1:5" ht="14.25" customHeight="1" x14ac:dyDescent="0.4">
      <c r="A215" s="12" t="s">
        <v>12</v>
      </c>
      <c r="B215" s="13">
        <v>2</v>
      </c>
      <c r="C215" s="14" t="s">
        <v>31</v>
      </c>
      <c r="D215" s="52" t="s">
        <v>659</v>
      </c>
    </row>
    <row r="216" spans="1:5" ht="14.25" customHeight="1" x14ac:dyDescent="0.4">
      <c r="A216" s="12" t="s">
        <v>28</v>
      </c>
      <c r="B216" s="13">
        <v>1</v>
      </c>
      <c r="C216" s="14" t="s">
        <v>438</v>
      </c>
      <c r="D216" s="52" t="s">
        <v>660</v>
      </c>
    </row>
    <row r="217" spans="1:5" ht="14.25" customHeight="1" x14ac:dyDescent="0.4">
      <c r="A217" s="12" t="s">
        <v>438</v>
      </c>
      <c r="B217" s="13">
        <v>1</v>
      </c>
      <c r="C217" s="14" t="s">
        <v>28</v>
      </c>
      <c r="D217" s="52" t="s">
        <v>661</v>
      </c>
      <c r="E217" s="52">
        <v>0</v>
      </c>
    </row>
    <row r="218" spans="1:5" ht="14.25" customHeight="1" x14ac:dyDescent="0.4">
      <c r="A218" s="12" t="s">
        <v>438</v>
      </c>
      <c r="B218" s="13">
        <v>1</v>
      </c>
      <c r="C218" s="14" t="s">
        <v>28</v>
      </c>
      <c r="D218" s="52" t="s">
        <v>662</v>
      </c>
      <c r="E218" s="52">
        <v>0</v>
      </c>
    </row>
    <row r="219" spans="1:5" ht="14.25" customHeight="1" x14ac:dyDescent="0.4">
      <c r="A219" s="12" t="s">
        <v>28</v>
      </c>
      <c r="B219" s="13">
        <v>2</v>
      </c>
      <c r="C219" s="14" t="s">
        <v>438</v>
      </c>
      <c r="D219" s="52" t="s">
        <v>663</v>
      </c>
    </row>
    <row r="220" spans="1:5" ht="14.25" customHeight="1" x14ac:dyDescent="0.4">
      <c r="A220" s="12" t="s">
        <v>31</v>
      </c>
      <c r="B220" s="13">
        <v>1</v>
      </c>
      <c r="C220" s="14" t="s">
        <v>33</v>
      </c>
      <c r="D220" s="15" t="s">
        <v>664</v>
      </c>
    </row>
    <row r="221" spans="1:5" ht="14.25" customHeight="1" x14ac:dyDescent="0.4">
      <c r="A221" s="12" t="s">
        <v>38</v>
      </c>
      <c r="B221" s="13">
        <v>2</v>
      </c>
      <c r="C221" s="14" t="s">
        <v>33</v>
      </c>
      <c r="D221" s="52" t="s">
        <v>665</v>
      </c>
    </row>
    <row r="222" spans="1:5" ht="14.25" customHeight="1" x14ac:dyDescent="0.4">
      <c r="A222" s="12" t="s">
        <v>38</v>
      </c>
      <c r="B222" s="13">
        <v>2</v>
      </c>
      <c r="C222" s="14" t="s">
        <v>31</v>
      </c>
      <c r="D222" s="52" t="s">
        <v>665</v>
      </c>
    </row>
    <row r="223" spans="1:5" ht="14.25" customHeight="1" x14ac:dyDescent="0.4">
      <c r="A223" s="12" t="s">
        <v>438</v>
      </c>
      <c r="B223" s="13">
        <v>1</v>
      </c>
      <c r="C223" s="14" t="s">
        <v>31</v>
      </c>
      <c r="D223" s="52" t="s">
        <v>666</v>
      </c>
    </row>
    <row r="224" spans="1:5" ht="14.25" customHeight="1" x14ac:dyDescent="0.4">
      <c r="A224" s="12" t="s">
        <v>438</v>
      </c>
      <c r="B224" s="13">
        <v>1</v>
      </c>
      <c r="C224" s="14" t="s">
        <v>33</v>
      </c>
      <c r="D224" s="52" t="s">
        <v>666</v>
      </c>
    </row>
    <row r="225" spans="1:5" ht="14.25" customHeight="1" x14ac:dyDescent="0.4">
      <c r="A225" s="12" t="s">
        <v>31</v>
      </c>
      <c r="B225" s="13">
        <v>1</v>
      </c>
      <c r="C225" s="14" t="s">
        <v>438</v>
      </c>
      <c r="D225" s="52" t="s">
        <v>667</v>
      </c>
    </row>
    <row r="226" spans="1:5" ht="14.25" customHeight="1" x14ac:dyDescent="0.4">
      <c r="A226" s="12" t="s">
        <v>33</v>
      </c>
      <c r="B226" s="13">
        <v>1</v>
      </c>
      <c r="C226" s="14" t="s">
        <v>438</v>
      </c>
      <c r="D226" s="52" t="s">
        <v>668</v>
      </c>
    </row>
    <row r="227" spans="1:5" ht="14.25" customHeight="1" x14ac:dyDescent="0.4">
      <c r="A227" s="12" t="s">
        <v>33</v>
      </c>
      <c r="B227" s="13">
        <v>1</v>
      </c>
      <c r="C227" s="14" t="s">
        <v>31</v>
      </c>
      <c r="D227" s="52" t="s">
        <v>668</v>
      </c>
    </row>
    <row r="228" spans="1:5" ht="14.25" customHeight="1" x14ac:dyDescent="0.4">
      <c r="A228" s="12" t="s">
        <v>438</v>
      </c>
      <c r="B228" s="13">
        <v>1</v>
      </c>
      <c r="C228" s="14" t="s">
        <v>38</v>
      </c>
      <c r="D228" s="52" t="s">
        <v>669</v>
      </c>
    </row>
    <row r="229" spans="1:5" ht="14.25" customHeight="1" x14ac:dyDescent="0.4">
      <c r="A229" s="12" t="s">
        <v>38</v>
      </c>
      <c r="B229" s="13">
        <v>1</v>
      </c>
      <c r="C229" s="14" t="s">
        <v>438</v>
      </c>
      <c r="D229" s="52" t="s">
        <v>670</v>
      </c>
    </row>
    <row r="230" spans="1:5" ht="14.25" customHeight="1" x14ac:dyDescent="0.4">
      <c r="A230" s="12" t="s">
        <v>38</v>
      </c>
      <c r="B230" s="13">
        <v>1</v>
      </c>
      <c r="C230" s="14" t="s">
        <v>33</v>
      </c>
      <c r="D230" s="52" t="s">
        <v>670</v>
      </c>
    </row>
    <row r="231" spans="1:5" ht="14.25" customHeight="1" x14ac:dyDescent="0.4">
      <c r="A231" s="12" t="s">
        <v>38</v>
      </c>
      <c r="B231" s="13">
        <v>1</v>
      </c>
      <c r="C231" s="14" t="s">
        <v>31</v>
      </c>
      <c r="D231" s="52" t="s">
        <v>670</v>
      </c>
    </row>
    <row r="232" spans="1:5" ht="14.25" customHeight="1" x14ac:dyDescent="0.4">
      <c r="A232" s="12" t="s">
        <v>31</v>
      </c>
      <c r="B232" s="13">
        <v>1</v>
      </c>
      <c r="C232" s="14" t="s">
        <v>38</v>
      </c>
      <c r="D232" s="52" t="s">
        <v>671</v>
      </c>
    </row>
    <row r="233" spans="1:5" ht="14.25" customHeight="1" x14ac:dyDescent="0.4">
      <c r="A233" s="12" t="s">
        <v>33</v>
      </c>
      <c r="B233" s="13">
        <v>1</v>
      </c>
      <c r="C233" s="14" t="s">
        <v>38</v>
      </c>
      <c r="D233" s="52" t="s">
        <v>672</v>
      </c>
    </row>
    <row r="234" spans="1:5" ht="14.25" customHeight="1" x14ac:dyDescent="0.4">
      <c r="A234" s="12" t="s">
        <v>33</v>
      </c>
      <c r="B234" s="13">
        <v>1</v>
      </c>
      <c r="C234" s="14" t="s">
        <v>438</v>
      </c>
      <c r="D234" s="52" t="s">
        <v>673</v>
      </c>
    </row>
    <row r="235" spans="1:5" ht="14.25" customHeight="1" x14ac:dyDescent="0.4">
      <c r="A235" s="12" t="s">
        <v>33</v>
      </c>
      <c r="B235" s="13">
        <v>1</v>
      </c>
      <c r="C235" s="14" t="s">
        <v>31</v>
      </c>
      <c r="D235" s="52" t="s">
        <v>674</v>
      </c>
    </row>
    <row r="236" spans="1:5" ht="14.25" customHeight="1" x14ac:dyDescent="0.4">
      <c r="A236" s="12" t="s">
        <v>438</v>
      </c>
      <c r="B236" s="13">
        <v>1</v>
      </c>
      <c r="C236" s="14" t="s">
        <v>33</v>
      </c>
      <c r="D236" s="52" t="s">
        <v>675</v>
      </c>
    </row>
    <row r="237" spans="1:5" ht="14.25" customHeight="1" x14ac:dyDescent="0.4">
      <c r="A237" s="12" t="s">
        <v>438</v>
      </c>
      <c r="B237" s="13">
        <v>1</v>
      </c>
      <c r="C237" s="14" t="s">
        <v>31</v>
      </c>
      <c r="D237" s="52" t="s">
        <v>675</v>
      </c>
    </row>
    <row r="238" spans="1:5" ht="14.25" customHeight="1" x14ac:dyDescent="0.4">
      <c r="A238" s="12" t="s">
        <v>31</v>
      </c>
      <c r="B238" s="13">
        <v>1</v>
      </c>
      <c r="C238" s="14" t="s">
        <v>438</v>
      </c>
      <c r="D238" s="52" t="s">
        <v>676</v>
      </c>
    </row>
    <row r="239" spans="1:5" ht="14.25" customHeight="1" x14ac:dyDescent="0.4">
      <c r="A239" s="12" t="s">
        <v>31</v>
      </c>
      <c r="B239" s="13">
        <v>1</v>
      </c>
      <c r="C239" s="14" t="s">
        <v>33</v>
      </c>
      <c r="D239" s="52" t="s">
        <v>676</v>
      </c>
    </row>
    <row r="240" spans="1:5" ht="14.25" customHeight="1" x14ac:dyDescent="0.4">
      <c r="A240" s="12" t="s">
        <v>438</v>
      </c>
      <c r="B240" s="13">
        <v>2</v>
      </c>
      <c r="C240" s="14" t="s">
        <v>28</v>
      </c>
      <c r="D240" s="52" t="s">
        <v>677</v>
      </c>
      <c r="E240" s="52">
        <v>1</v>
      </c>
    </row>
    <row r="241" spans="1:4" ht="14.25" customHeight="1" x14ac:dyDescent="0.4">
      <c r="A241" s="12" t="s">
        <v>28</v>
      </c>
      <c r="B241" s="13">
        <v>1</v>
      </c>
      <c r="C241" s="14" t="s">
        <v>438</v>
      </c>
      <c r="D241" s="52" t="s">
        <v>678</v>
      </c>
    </row>
    <row r="242" spans="1:4" ht="14.25" customHeight="1" x14ac:dyDescent="0.4">
      <c r="A242" s="12" t="s">
        <v>438</v>
      </c>
      <c r="B242" s="13">
        <v>5</v>
      </c>
      <c r="C242" s="14"/>
      <c r="D242" s="52" t="s">
        <v>679</v>
      </c>
    </row>
    <row r="243" spans="1:4" ht="14.25" customHeight="1" x14ac:dyDescent="0.4">
      <c r="A243" s="12" t="s">
        <v>36</v>
      </c>
      <c r="B243" s="13">
        <v>2</v>
      </c>
      <c r="C243" s="14" t="s">
        <v>31</v>
      </c>
      <c r="D243" s="52" t="s">
        <v>680</v>
      </c>
    </row>
    <row r="244" spans="1:4" ht="14.25" customHeight="1" x14ac:dyDescent="0.4">
      <c r="A244" s="12" t="s">
        <v>12</v>
      </c>
      <c r="B244" s="13">
        <v>2</v>
      </c>
      <c r="C244" s="14" t="s">
        <v>33</v>
      </c>
      <c r="D244" s="52" t="s">
        <v>681</v>
      </c>
    </row>
    <row r="245" spans="1:4" ht="14.25" customHeight="1" x14ac:dyDescent="0.4">
      <c r="A245" s="12" t="s">
        <v>33</v>
      </c>
      <c r="B245" s="13">
        <v>1</v>
      </c>
      <c r="C245" s="14" t="s">
        <v>12</v>
      </c>
      <c r="D245" s="52" t="s">
        <v>682</v>
      </c>
    </row>
    <row r="246" spans="1:4" ht="14.25" customHeight="1" x14ac:dyDescent="0.4">
      <c r="A246" s="12" t="s">
        <v>12</v>
      </c>
      <c r="B246" s="13">
        <v>2</v>
      </c>
      <c r="C246" s="14" t="s">
        <v>35</v>
      </c>
      <c r="D246" s="4" t="s">
        <v>683</v>
      </c>
    </row>
    <row r="247" spans="1:4" ht="14.25" customHeight="1" x14ac:dyDescent="0.4">
      <c r="A247" s="12" t="s">
        <v>33</v>
      </c>
      <c r="B247" s="13">
        <v>2</v>
      </c>
      <c r="C247" s="14" t="s">
        <v>41</v>
      </c>
      <c r="D247" s="52" t="s">
        <v>684</v>
      </c>
    </row>
    <row r="248" spans="1:4" ht="14.25" customHeight="1" x14ac:dyDescent="0.4">
      <c r="A248" s="12" t="s">
        <v>33</v>
      </c>
      <c r="B248" s="13">
        <v>1</v>
      </c>
      <c r="C248" s="14" t="s">
        <v>36</v>
      </c>
      <c r="D248" s="15" t="s">
        <v>684</v>
      </c>
    </row>
    <row r="249" spans="1:4" ht="14.25" customHeight="1" x14ac:dyDescent="0.4">
      <c r="A249" s="12" t="s">
        <v>36</v>
      </c>
      <c r="B249" s="13">
        <v>2</v>
      </c>
      <c r="C249" s="14" t="s">
        <v>12</v>
      </c>
      <c r="D249" s="52" t="s">
        <v>685</v>
      </c>
    </row>
    <row r="250" spans="1:4" ht="14.25" customHeight="1" x14ac:dyDescent="0.4">
      <c r="A250" s="12" t="s">
        <v>12</v>
      </c>
      <c r="B250" s="13">
        <v>1</v>
      </c>
      <c r="C250" s="14" t="s">
        <v>36</v>
      </c>
      <c r="D250" s="52" t="s">
        <v>685</v>
      </c>
    </row>
    <row r="251" spans="1:4" ht="14.25" customHeight="1" x14ac:dyDescent="0.4">
      <c r="A251" s="12" t="s">
        <v>438</v>
      </c>
      <c r="B251" s="13">
        <v>2</v>
      </c>
      <c r="C251" s="14" t="s">
        <v>12</v>
      </c>
      <c r="D251" s="52" t="s">
        <v>686</v>
      </c>
    </row>
    <row r="252" spans="1:4" ht="14.25" customHeight="1" x14ac:dyDescent="0.4">
      <c r="A252" s="12" t="s">
        <v>12</v>
      </c>
      <c r="B252" s="13">
        <v>2</v>
      </c>
      <c r="C252" s="14" t="s">
        <v>438</v>
      </c>
      <c r="D252" s="52" t="s">
        <v>687</v>
      </c>
    </row>
    <row r="253" spans="1:4" ht="14.25" customHeight="1" x14ac:dyDescent="0.4">
      <c r="A253" s="12" t="s">
        <v>31</v>
      </c>
      <c r="B253" s="13">
        <v>2</v>
      </c>
      <c r="C253" s="14" t="s">
        <v>438</v>
      </c>
      <c r="D253" s="52" t="s">
        <v>688</v>
      </c>
    </row>
    <row r="254" spans="1:4" ht="14.25" customHeight="1" x14ac:dyDescent="0.4">
      <c r="A254" s="12" t="s">
        <v>36</v>
      </c>
      <c r="B254" s="13">
        <v>2</v>
      </c>
      <c r="C254" s="14" t="s">
        <v>31</v>
      </c>
      <c r="D254" s="52" t="s">
        <v>689</v>
      </c>
    </row>
    <row r="255" spans="1:4" ht="14.25" customHeight="1" x14ac:dyDescent="0.4">
      <c r="A255" s="12" t="s">
        <v>36</v>
      </c>
      <c r="B255" s="13">
        <v>2</v>
      </c>
      <c r="C255" s="14" t="s">
        <v>438</v>
      </c>
      <c r="D255" s="52" t="s">
        <v>689</v>
      </c>
    </row>
    <row r="256" spans="1:4" ht="14.25" customHeight="1" x14ac:dyDescent="0.4">
      <c r="A256" s="12" t="s">
        <v>438</v>
      </c>
      <c r="B256" s="13">
        <v>1</v>
      </c>
      <c r="C256" s="14" t="s">
        <v>31</v>
      </c>
      <c r="D256" s="52" t="s">
        <v>690</v>
      </c>
    </row>
    <row r="257" spans="1:5" ht="14.25" customHeight="1" x14ac:dyDescent="0.4">
      <c r="A257" s="12" t="s">
        <v>12</v>
      </c>
      <c r="B257" s="13">
        <v>1</v>
      </c>
      <c r="C257" s="14" t="s">
        <v>31</v>
      </c>
      <c r="D257" s="52" t="s">
        <v>691</v>
      </c>
    </row>
    <row r="258" spans="1:5" ht="14.25" customHeight="1" x14ac:dyDescent="0.4">
      <c r="A258" s="12" t="s">
        <v>31</v>
      </c>
      <c r="B258" s="13">
        <v>1</v>
      </c>
      <c r="C258" s="14" t="s">
        <v>12</v>
      </c>
      <c r="D258" s="52" t="s">
        <v>692</v>
      </c>
    </row>
    <row r="259" spans="1:5" ht="14.25" customHeight="1" x14ac:dyDescent="0.4">
      <c r="A259" s="12" t="s">
        <v>31</v>
      </c>
      <c r="B259" s="13">
        <v>1</v>
      </c>
      <c r="C259" s="14" t="s">
        <v>36</v>
      </c>
      <c r="D259" s="52" t="s">
        <v>693</v>
      </c>
    </row>
    <row r="260" spans="1:5" ht="14.25" customHeight="1" x14ac:dyDescent="0.4">
      <c r="A260" s="12" t="s">
        <v>438</v>
      </c>
      <c r="B260" s="13">
        <v>1</v>
      </c>
      <c r="C260" s="14" t="s">
        <v>36</v>
      </c>
      <c r="D260" s="52" t="s">
        <v>694</v>
      </c>
    </row>
    <row r="261" spans="1:5" ht="14.25" customHeight="1" x14ac:dyDescent="0.4">
      <c r="A261" s="12" t="s">
        <v>33</v>
      </c>
      <c r="B261" s="13">
        <v>1</v>
      </c>
      <c r="C261" s="14" t="s">
        <v>41</v>
      </c>
      <c r="D261" s="52" t="s">
        <v>695</v>
      </c>
    </row>
    <row r="262" spans="1:5" ht="14.25" customHeight="1" x14ac:dyDescent="0.4">
      <c r="A262" s="12" t="s">
        <v>33</v>
      </c>
      <c r="B262" s="13">
        <v>1</v>
      </c>
      <c r="C262" s="14" t="s">
        <v>41</v>
      </c>
      <c r="D262" s="52" t="s">
        <v>696</v>
      </c>
    </row>
    <row r="263" spans="1:5" ht="14.25" customHeight="1" x14ac:dyDescent="0.4">
      <c r="A263" s="12" t="s">
        <v>438</v>
      </c>
      <c r="B263" s="13">
        <v>2</v>
      </c>
      <c r="C263" s="14" t="s">
        <v>35</v>
      </c>
      <c r="D263" s="52" t="s">
        <v>697</v>
      </c>
    </row>
    <row r="264" spans="1:5" ht="14.25" customHeight="1" x14ac:dyDescent="0.4">
      <c r="A264" s="12" t="s">
        <v>12</v>
      </c>
      <c r="B264" s="13">
        <v>5</v>
      </c>
      <c r="C264" s="14"/>
      <c r="D264" s="52" t="s">
        <v>698</v>
      </c>
    </row>
    <row r="265" spans="1:5" ht="14.25" customHeight="1" x14ac:dyDescent="0.4">
      <c r="A265" s="12" t="s">
        <v>12</v>
      </c>
      <c r="B265" s="13">
        <v>2</v>
      </c>
      <c r="C265" s="14" t="s">
        <v>28</v>
      </c>
      <c r="D265" s="52" t="s">
        <v>699</v>
      </c>
      <c r="E265" s="52">
        <v>1</v>
      </c>
    </row>
    <row r="266" spans="1:5" ht="14.25" customHeight="1" x14ac:dyDescent="0.4">
      <c r="A266" s="12" t="s">
        <v>28</v>
      </c>
      <c r="B266" s="13">
        <v>1</v>
      </c>
      <c r="C266" s="14" t="s">
        <v>12</v>
      </c>
      <c r="D266" s="52" t="s">
        <v>700</v>
      </c>
    </row>
    <row r="267" spans="1:5" ht="14.25" customHeight="1" x14ac:dyDescent="0.4">
      <c r="A267" s="12" t="s">
        <v>36</v>
      </c>
      <c r="B267" s="13">
        <v>2</v>
      </c>
      <c r="C267" s="14" t="s">
        <v>33</v>
      </c>
      <c r="D267" s="52" t="s">
        <v>701</v>
      </c>
    </row>
    <row r="268" spans="1:5" ht="14.25" customHeight="1" x14ac:dyDescent="0.4">
      <c r="A268" s="12" t="s">
        <v>12</v>
      </c>
      <c r="B268" s="13">
        <v>1</v>
      </c>
      <c r="C268" s="14" t="s">
        <v>36</v>
      </c>
      <c r="D268" s="52" t="s">
        <v>702</v>
      </c>
    </row>
    <row r="269" spans="1:5" ht="14.25" customHeight="1" x14ac:dyDescent="0.4">
      <c r="A269" s="12" t="s">
        <v>12</v>
      </c>
      <c r="B269" s="13">
        <v>1</v>
      </c>
      <c r="C269" s="14" t="s">
        <v>31</v>
      </c>
      <c r="D269" s="52" t="s">
        <v>703</v>
      </c>
    </row>
    <row r="270" spans="1:5" ht="14.25" customHeight="1" x14ac:dyDescent="0.4">
      <c r="A270" s="12" t="s">
        <v>438</v>
      </c>
      <c r="B270" s="13">
        <v>1</v>
      </c>
      <c r="C270" s="14" t="s">
        <v>38</v>
      </c>
      <c r="D270" s="52" t="s">
        <v>704</v>
      </c>
    </row>
    <row r="271" spans="1:5" ht="14.25" customHeight="1" x14ac:dyDescent="0.4">
      <c r="A271" s="12" t="s">
        <v>38</v>
      </c>
      <c r="B271" s="13">
        <v>1</v>
      </c>
      <c r="C271" s="14" t="s">
        <v>438</v>
      </c>
      <c r="D271" s="52" t="s">
        <v>705</v>
      </c>
    </row>
    <row r="272" spans="1:5" ht="14.25" customHeight="1" x14ac:dyDescent="0.4">
      <c r="A272" s="12" t="s">
        <v>33</v>
      </c>
      <c r="B272" s="13">
        <v>1</v>
      </c>
      <c r="C272" s="14" t="s">
        <v>36</v>
      </c>
      <c r="D272" s="52" t="s">
        <v>706</v>
      </c>
    </row>
    <row r="273" spans="1:5" ht="14.25" customHeight="1" x14ac:dyDescent="0.4">
      <c r="A273" s="12" t="s">
        <v>33</v>
      </c>
      <c r="B273" s="13">
        <v>1</v>
      </c>
      <c r="C273" s="14" t="s">
        <v>41</v>
      </c>
      <c r="D273" s="52" t="s">
        <v>706</v>
      </c>
    </row>
    <row r="274" spans="1:5" ht="14.25" customHeight="1" x14ac:dyDescent="0.4">
      <c r="A274" s="12" t="s">
        <v>28</v>
      </c>
      <c r="B274" s="13">
        <v>1</v>
      </c>
      <c r="C274" s="14" t="s">
        <v>438</v>
      </c>
      <c r="D274" s="52" t="s">
        <v>707</v>
      </c>
    </row>
    <row r="275" spans="1:5" ht="14.25" customHeight="1" x14ac:dyDescent="0.4">
      <c r="A275" s="12" t="s">
        <v>438</v>
      </c>
      <c r="B275" s="13">
        <v>1</v>
      </c>
      <c r="C275" s="14" t="s">
        <v>28</v>
      </c>
      <c r="D275" s="52" t="s">
        <v>707</v>
      </c>
      <c r="E275" s="52">
        <v>1</v>
      </c>
    </row>
    <row r="276" spans="1:5" ht="14.25" customHeight="1" x14ac:dyDescent="0.4">
      <c r="A276" s="12" t="s">
        <v>33</v>
      </c>
      <c r="B276" s="13">
        <v>1</v>
      </c>
      <c r="C276" s="14" t="s">
        <v>441</v>
      </c>
      <c r="D276" s="52" t="s">
        <v>708</v>
      </c>
    </row>
    <row r="277" spans="1:5" ht="14.25" customHeight="1" x14ac:dyDescent="0.4">
      <c r="A277" s="12" t="s">
        <v>441</v>
      </c>
      <c r="B277" s="13">
        <v>2</v>
      </c>
      <c r="C277" s="14" t="s">
        <v>33</v>
      </c>
      <c r="D277" s="52" t="s">
        <v>709</v>
      </c>
    </row>
    <row r="278" spans="1:5" ht="14.25" customHeight="1" x14ac:dyDescent="0.4">
      <c r="A278" s="12" t="s">
        <v>33</v>
      </c>
      <c r="B278" s="13">
        <v>1</v>
      </c>
      <c r="C278" s="14" t="s">
        <v>41</v>
      </c>
      <c r="D278" s="52" t="s">
        <v>710</v>
      </c>
    </row>
    <row r="279" spans="1:5" ht="14.25" customHeight="1" x14ac:dyDescent="0.4">
      <c r="A279" s="12" t="s">
        <v>41</v>
      </c>
      <c r="B279" s="13">
        <v>1</v>
      </c>
      <c r="C279" s="14" t="s">
        <v>33</v>
      </c>
      <c r="D279" s="52" t="s">
        <v>711</v>
      </c>
    </row>
    <row r="280" spans="1:5" ht="14.25" customHeight="1" x14ac:dyDescent="0.4">
      <c r="A280" s="12" t="s">
        <v>33</v>
      </c>
      <c r="B280" s="13">
        <v>2</v>
      </c>
      <c r="C280" s="14" t="s">
        <v>41</v>
      </c>
      <c r="D280" s="52" t="s">
        <v>712</v>
      </c>
    </row>
    <row r="281" spans="1:5" ht="14.25" customHeight="1" x14ac:dyDescent="0.4">
      <c r="A281" s="12" t="s">
        <v>31</v>
      </c>
      <c r="B281" s="13">
        <v>2</v>
      </c>
      <c r="C281" s="14" t="s">
        <v>12</v>
      </c>
      <c r="D281" s="52" t="s">
        <v>713</v>
      </c>
    </row>
    <row r="282" spans="1:5" ht="14.25" customHeight="1" x14ac:dyDescent="0.4">
      <c r="A282" s="12" t="s">
        <v>12</v>
      </c>
      <c r="B282" s="13">
        <v>1</v>
      </c>
      <c r="C282" s="14" t="s">
        <v>31</v>
      </c>
      <c r="D282" s="52" t="s">
        <v>714</v>
      </c>
    </row>
    <row r="283" spans="1:5" ht="14.25" customHeight="1" x14ac:dyDescent="0.4">
      <c r="A283" s="12" t="s">
        <v>438</v>
      </c>
      <c r="B283" s="13">
        <v>1</v>
      </c>
      <c r="C283" s="14" t="s">
        <v>37</v>
      </c>
      <c r="D283" s="52" t="s">
        <v>715</v>
      </c>
    </row>
    <row r="284" spans="1:5" ht="14.25" customHeight="1" x14ac:dyDescent="0.4">
      <c r="A284" s="12" t="s">
        <v>36</v>
      </c>
      <c r="B284" s="13">
        <v>1</v>
      </c>
      <c r="C284" s="14" t="s">
        <v>31</v>
      </c>
      <c r="D284" s="52" t="s">
        <v>716</v>
      </c>
    </row>
    <row r="285" spans="1:5" ht="14.25" customHeight="1" x14ac:dyDescent="0.4">
      <c r="A285" s="12" t="s">
        <v>31</v>
      </c>
      <c r="B285" s="13">
        <v>1</v>
      </c>
      <c r="C285" s="14" t="s">
        <v>36</v>
      </c>
      <c r="D285" s="52" t="s">
        <v>717</v>
      </c>
    </row>
    <row r="286" spans="1:5" ht="14.25" customHeight="1" x14ac:dyDescent="0.4">
      <c r="A286" s="12" t="s">
        <v>12</v>
      </c>
      <c r="B286" s="13">
        <v>2</v>
      </c>
      <c r="C286" s="14" t="s">
        <v>31</v>
      </c>
      <c r="D286" s="52" t="s">
        <v>718</v>
      </c>
    </row>
    <row r="287" spans="1:5" ht="14.25" customHeight="1" x14ac:dyDescent="0.4">
      <c r="A287" s="12" t="s">
        <v>28</v>
      </c>
      <c r="B287" s="13">
        <v>2</v>
      </c>
      <c r="C287" s="14" t="s">
        <v>41</v>
      </c>
      <c r="D287" s="52" t="s">
        <v>719</v>
      </c>
    </row>
    <row r="288" spans="1:5" ht="14.25" customHeight="1" x14ac:dyDescent="0.4">
      <c r="A288" s="12" t="s">
        <v>38</v>
      </c>
      <c r="B288" s="13">
        <v>1</v>
      </c>
      <c r="C288" s="14" t="s">
        <v>36</v>
      </c>
      <c r="D288" s="52" t="s">
        <v>720</v>
      </c>
    </row>
    <row r="289" spans="1:5" ht="14.25" customHeight="1" x14ac:dyDescent="0.4">
      <c r="A289" s="12" t="s">
        <v>36</v>
      </c>
      <c r="B289" s="13">
        <v>1</v>
      </c>
      <c r="C289" s="14" t="s">
        <v>38</v>
      </c>
      <c r="D289" s="52" t="s">
        <v>721</v>
      </c>
    </row>
    <row r="290" spans="1:5" ht="14.25" customHeight="1" x14ac:dyDescent="0.4">
      <c r="A290" s="12" t="s">
        <v>38</v>
      </c>
      <c r="B290" s="13">
        <v>1</v>
      </c>
      <c r="C290" s="14" t="s">
        <v>28</v>
      </c>
      <c r="D290" s="52" t="s">
        <v>722</v>
      </c>
      <c r="E290" s="52">
        <v>1</v>
      </c>
    </row>
    <row r="291" spans="1:5" ht="14.25" customHeight="1" x14ac:dyDescent="0.4">
      <c r="A291" s="12" t="s">
        <v>28</v>
      </c>
      <c r="B291" s="13">
        <v>1</v>
      </c>
      <c r="C291" s="14" t="s">
        <v>38</v>
      </c>
      <c r="D291" s="52" t="s">
        <v>723</v>
      </c>
    </row>
    <row r="292" spans="1:5" ht="14.25" customHeight="1" x14ac:dyDescent="0.4">
      <c r="A292" s="12" t="s">
        <v>438</v>
      </c>
      <c r="B292" s="13">
        <v>2</v>
      </c>
      <c r="C292" s="14" t="s">
        <v>28</v>
      </c>
      <c r="D292" s="52" t="s">
        <v>724</v>
      </c>
      <c r="E292" s="52">
        <v>1</v>
      </c>
    </row>
    <row r="293" spans="1:5" ht="14.25" customHeight="1" x14ac:dyDescent="0.4">
      <c r="A293" s="12" t="s">
        <v>38</v>
      </c>
      <c r="B293" s="13">
        <v>1</v>
      </c>
      <c r="C293" s="14" t="s">
        <v>28</v>
      </c>
      <c r="D293" s="52" t="s">
        <v>725</v>
      </c>
      <c r="E293" s="52">
        <v>0</v>
      </c>
    </row>
    <row r="294" spans="1:5" ht="14.25" customHeight="1" x14ac:dyDescent="0.4">
      <c r="A294" s="12" t="s">
        <v>28</v>
      </c>
      <c r="B294" s="13">
        <v>1</v>
      </c>
      <c r="C294" s="14" t="s">
        <v>38</v>
      </c>
      <c r="D294" s="52" t="s">
        <v>726</v>
      </c>
    </row>
    <row r="295" spans="1:5" ht="14.25" customHeight="1" x14ac:dyDescent="0.4">
      <c r="A295" s="12" t="s">
        <v>33</v>
      </c>
      <c r="B295" s="13">
        <v>2</v>
      </c>
      <c r="C295" s="14" t="s">
        <v>41</v>
      </c>
      <c r="D295" s="52" t="s">
        <v>727</v>
      </c>
    </row>
    <row r="296" spans="1:5" ht="14.25" customHeight="1" x14ac:dyDescent="0.4">
      <c r="A296" s="12" t="s">
        <v>31</v>
      </c>
      <c r="B296" s="13">
        <v>1</v>
      </c>
      <c r="C296" s="14" t="s">
        <v>36</v>
      </c>
      <c r="D296" s="52" t="s">
        <v>728</v>
      </c>
    </row>
    <row r="297" spans="1:5" ht="14.25" customHeight="1" x14ac:dyDescent="0.4">
      <c r="A297" s="12" t="s">
        <v>36</v>
      </c>
      <c r="B297" s="13">
        <v>1</v>
      </c>
      <c r="C297" s="14" t="s">
        <v>31</v>
      </c>
      <c r="D297" s="52" t="s">
        <v>729</v>
      </c>
    </row>
    <row r="298" spans="1:5" ht="14.25" customHeight="1" x14ac:dyDescent="0.4">
      <c r="A298" s="12"/>
      <c r="B298" s="13"/>
      <c r="C298" s="14"/>
    </row>
    <row r="299" spans="1:5" ht="14.25" customHeight="1" x14ac:dyDescent="0.4">
      <c r="A299" s="12"/>
      <c r="B299" s="13"/>
      <c r="C299" s="14"/>
    </row>
    <row r="300" spans="1:5" ht="14.25" customHeight="1" x14ac:dyDescent="0.4">
      <c r="A300" s="12"/>
      <c r="B300" s="13"/>
      <c r="C300" s="14"/>
    </row>
    <row r="301" spans="1:5" ht="14.25" customHeight="1" x14ac:dyDescent="0.4">
      <c r="A301" s="12"/>
      <c r="B301" s="13"/>
      <c r="C301" s="14"/>
    </row>
    <row r="302" spans="1:5" ht="14.25" customHeight="1" x14ac:dyDescent="0.4">
      <c r="A302" s="12"/>
      <c r="B302" s="13"/>
      <c r="C302" s="14"/>
    </row>
    <row r="303" spans="1:5" ht="14.25" customHeight="1" x14ac:dyDescent="0.4">
      <c r="A303" s="12"/>
      <c r="B303" s="13"/>
      <c r="C303" s="14"/>
    </row>
    <row r="304" spans="1:5" ht="14.25" customHeight="1" x14ac:dyDescent="0.4">
      <c r="A304" s="12"/>
      <c r="B304" s="13"/>
      <c r="C304" s="14"/>
    </row>
    <row r="305" spans="1:4" ht="14.25" customHeight="1" x14ac:dyDescent="0.4">
      <c r="A305" s="12"/>
      <c r="B305" s="13"/>
      <c r="C305" s="14"/>
    </row>
    <row r="306" spans="1:4" ht="14.25" customHeight="1" x14ac:dyDescent="0.4">
      <c r="A306" s="12"/>
      <c r="B306" s="13"/>
      <c r="C306" s="14"/>
    </row>
    <row r="307" spans="1:4" ht="14.25" customHeight="1" x14ac:dyDescent="0.4">
      <c r="A307" s="12"/>
      <c r="B307" s="13"/>
      <c r="C307" s="14"/>
    </row>
    <row r="308" spans="1:4" ht="14.25" customHeight="1" x14ac:dyDescent="0.4">
      <c r="A308" s="12"/>
      <c r="B308" s="13"/>
      <c r="C308" s="14"/>
      <c r="D308" s="15"/>
    </row>
    <row r="309" spans="1:4" ht="14.25" customHeight="1" x14ac:dyDescent="0.4">
      <c r="A309" s="12"/>
      <c r="B309" s="13"/>
      <c r="C309" s="14"/>
    </row>
    <row r="310" spans="1:4" ht="14.25" customHeight="1" x14ac:dyDescent="0.4">
      <c r="A310" s="12"/>
      <c r="B310" s="13"/>
      <c r="C310" s="14"/>
    </row>
    <row r="311" spans="1:4" ht="14.25" customHeight="1" x14ac:dyDescent="0.4">
      <c r="A311" s="12"/>
      <c r="B311" s="13"/>
      <c r="C311" s="14"/>
    </row>
    <row r="312" spans="1:4" ht="14.25" customHeight="1" x14ac:dyDescent="0.4">
      <c r="A312" s="12"/>
      <c r="B312" s="13"/>
      <c r="C312" s="14"/>
    </row>
    <row r="313" spans="1:4" ht="14.25" customHeight="1" x14ac:dyDescent="0.4">
      <c r="A313" s="12"/>
      <c r="B313" s="13"/>
      <c r="C313" s="14"/>
    </row>
    <row r="314" spans="1:4" ht="14.25" customHeight="1" x14ac:dyDescent="0.4">
      <c r="A314" s="12"/>
      <c r="B314" s="13"/>
      <c r="C314" s="14"/>
    </row>
    <row r="315" spans="1:4" ht="14.25" customHeight="1" x14ac:dyDescent="0.4">
      <c r="A315" s="12"/>
      <c r="B315" s="13"/>
      <c r="C315" s="14"/>
    </row>
    <row r="316" spans="1:4" ht="14.25" customHeight="1" x14ac:dyDescent="0.4">
      <c r="A316" s="12"/>
      <c r="B316" s="13"/>
      <c r="C316" s="14"/>
    </row>
    <row r="317" spans="1:4" ht="14.25" customHeight="1" x14ac:dyDescent="0.4">
      <c r="A317" s="12"/>
      <c r="B317" s="13"/>
      <c r="C317" s="14"/>
    </row>
    <row r="318" spans="1:4" ht="14.25" customHeight="1" x14ac:dyDescent="0.4">
      <c r="A318" s="12"/>
      <c r="B318" s="13"/>
      <c r="C318" s="14"/>
    </row>
    <row r="319" spans="1:4" ht="14.25" customHeight="1" x14ac:dyDescent="0.4">
      <c r="A319" s="12"/>
      <c r="B319" s="13"/>
      <c r="C319" s="14"/>
    </row>
    <row r="320" spans="1:4" ht="14.25" customHeight="1" x14ac:dyDescent="0.4">
      <c r="A320" s="12"/>
      <c r="B320" s="13"/>
      <c r="C320" s="14"/>
    </row>
    <row r="321" spans="1:3" ht="14.25" customHeight="1" x14ac:dyDescent="0.4">
      <c r="A321" s="12"/>
      <c r="B321" s="13"/>
      <c r="C321" s="14"/>
    </row>
    <row r="322" spans="1:3" ht="14.25" customHeight="1" x14ac:dyDescent="0.4">
      <c r="A322" s="12"/>
      <c r="B322" s="13"/>
      <c r="C322" s="14"/>
    </row>
    <row r="323" spans="1:3" ht="14.25" customHeight="1" x14ac:dyDescent="0.4">
      <c r="A323" s="12"/>
      <c r="B323" s="13"/>
      <c r="C323" s="14"/>
    </row>
    <row r="324" spans="1:3" ht="14.25" customHeight="1" x14ac:dyDescent="0.4">
      <c r="A324" s="12"/>
      <c r="B324" s="13"/>
      <c r="C324" s="14"/>
    </row>
    <row r="325" spans="1:3" ht="14.25" customHeight="1" x14ac:dyDescent="0.4">
      <c r="A325" s="12"/>
      <c r="B325" s="13"/>
      <c r="C325" s="14"/>
    </row>
    <row r="326" spans="1:3" ht="14.25" customHeight="1" x14ac:dyDescent="0.4">
      <c r="A326" s="12"/>
      <c r="B326" s="13"/>
      <c r="C326" s="14"/>
    </row>
    <row r="327" spans="1:3" ht="14.25" customHeight="1" x14ac:dyDescent="0.4">
      <c r="A327" s="12"/>
      <c r="B327" s="13"/>
      <c r="C327" s="14"/>
    </row>
    <row r="328" spans="1:3" ht="14.25" customHeight="1" x14ac:dyDescent="0.4">
      <c r="A328" s="12"/>
      <c r="B328" s="13"/>
      <c r="C328" s="14"/>
    </row>
    <row r="329" spans="1:3" ht="14.25" customHeight="1" x14ac:dyDescent="0.4">
      <c r="A329" s="12"/>
      <c r="B329" s="13"/>
      <c r="C329" s="14"/>
    </row>
    <row r="330" spans="1:3" ht="14.25" customHeight="1" x14ac:dyDescent="0.4">
      <c r="A330" s="12"/>
      <c r="B330" s="13"/>
      <c r="C330" s="14"/>
    </row>
    <row r="331" spans="1:3" ht="14.25" customHeight="1" x14ac:dyDescent="0.4">
      <c r="A331" s="12"/>
      <c r="B331" s="13"/>
      <c r="C331" s="14"/>
    </row>
    <row r="332" spans="1:3" ht="14.25" customHeight="1" x14ac:dyDescent="0.4">
      <c r="A332" s="12"/>
      <c r="B332" s="13"/>
      <c r="C332" s="14"/>
    </row>
    <row r="333" spans="1:3" ht="14.25" customHeight="1" x14ac:dyDescent="0.4">
      <c r="A333" s="12"/>
      <c r="B333" s="13"/>
      <c r="C333" s="14"/>
    </row>
    <row r="334" spans="1:3" ht="14.25" customHeight="1" x14ac:dyDescent="0.4">
      <c r="A334" s="12"/>
      <c r="B334" s="13"/>
      <c r="C334" s="14"/>
    </row>
    <row r="335" spans="1:3" ht="14.25" customHeight="1" x14ac:dyDescent="0.4">
      <c r="A335" s="12"/>
      <c r="B335" s="13"/>
      <c r="C335" s="14"/>
    </row>
    <row r="336" spans="1:3" ht="14.25" customHeight="1" x14ac:dyDescent="0.4">
      <c r="A336" s="12"/>
      <c r="B336" s="13"/>
      <c r="C336" s="14"/>
    </row>
    <row r="337" spans="1:4" ht="14.25" customHeight="1" x14ac:dyDescent="0.4">
      <c r="A337" s="12"/>
      <c r="B337" s="13"/>
      <c r="C337" s="14"/>
    </row>
    <row r="338" spans="1:4" ht="14.25" customHeight="1" x14ac:dyDescent="0.4">
      <c r="A338" s="12"/>
      <c r="B338" s="13"/>
      <c r="C338" s="14"/>
    </row>
    <row r="339" spans="1:4" ht="14.25" customHeight="1" x14ac:dyDescent="0.4">
      <c r="A339" s="12"/>
      <c r="B339" s="13"/>
      <c r="C339" s="14"/>
    </row>
    <row r="340" spans="1:4" ht="14.25" customHeight="1" x14ac:dyDescent="0.4">
      <c r="A340" s="12"/>
      <c r="B340" s="13"/>
      <c r="C340" s="14"/>
    </row>
    <row r="341" spans="1:4" ht="14.25" customHeight="1" x14ac:dyDescent="0.4">
      <c r="A341" s="12"/>
      <c r="B341" s="13"/>
      <c r="C341" s="14"/>
    </row>
    <row r="342" spans="1:4" ht="14.25" customHeight="1" x14ac:dyDescent="0.4">
      <c r="A342" s="12"/>
      <c r="B342" s="13"/>
      <c r="C342" s="14"/>
    </row>
    <row r="343" spans="1:4" ht="14.25" customHeight="1" x14ac:dyDescent="0.4">
      <c r="A343" s="12"/>
      <c r="B343" s="13"/>
      <c r="C343" s="14"/>
    </row>
    <row r="344" spans="1:4" ht="14.25" customHeight="1" x14ac:dyDescent="0.4">
      <c r="A344" s="12"/>
      <c r="B344" s="13"/>
      <c r="C344" s="14"/>
    </row>
    <row r="345" spans="1:4" ht="14.25" customHeight="1" x14ac:dyDescent="0.4">
      <c r="A345" s="12"/>
      <c r="B345" s="13"/>
      <c r="C345" s="14"/>
      <c r="D345" s="15"/>
    </row>
    <row r="346" spans="1:4" ht="14.25" customHeight="1" x14ac:dyDescent="0.4">
      <c r="A346" s="12"/>
      <c r="B346" s="13"/>
      <c r="C346" s="14"/>
    </row>
    <row r="347" spans="1:4" ht="14.25" customHeight="1" x14ac:dyDescent="0.4">
      <c r="A347" s="12"/>
      <c r="B347" s="13"/>
      <c r="C347" s="14"/>
    </row>
    <row r="348" spans="1:4" ht="14.25" customHeight="1" x14ac:dyDescent="0.4">
      <c r="A348" s="12"/>
      <c r="B348" s="13"/>
      <c r="C348" s="14"/>
    </row>
    <row r="349" spans="1:4" ht="14.25" customHeight="1" x14ac:dyDescent="0.4">
      <c r="A349" s="12"/>
      <c r="B349" s="13"/>
      <c r="C349" s="14"/>
    </row>
    <row r="350" spans="1:4" ht="14.25" customHeight="1" x14ac:dyDescent="0.4">
      <c r="A350" s="12"/>
      <c r="B350" s="13"/>
      <c r="C350" s="14"/>
    </row>
    <row r="351" spans="1:4" ht="14.25" customHeight="1" x14ac:dyDescent="0.4">
      <c r="A351" s="12"/>
      <c r="B351" s="13"/>
      <c r="C351" s="14"/>
    </row>
    <row r="352" spans="1:4" ht="14.25" customHeight="1" x14ac:dyDescent="0.4">
      <c r="A352" s="12"/>
      <c r="B352" s="13"/>
      <c r="C352" s="14"/>
    </row>
    <row r="353" spans="1:3" ht="14.25" customHeight="1" x14ac:dyDescent="0.4">
      <c r="A353" s="12"/>
      <c r="B353" s="13"/>
      <c r="C353" s="14"/>
    </row>
    <row r="354" spans="1:3" ht="14.25" customHeight="1" x14ac:dyDescent="0.4">
      <c r="A354" s="12"/>
      <c r="B354" s="13"/>
      <c r="C354" s="14"/>
    </row>
    <row r="355" spans="1:3" ht="14.25" customHeight="1" x14ac:dyDescent="0.4">
      <c r="A355" s="12"/>
      <c r="B355" s="13"/>
      <c r="C355" s="14"/>
    </row>
    <row r="356" spans="1:3" ht="14.25" customHeight="1" x14ac:dyDescent="0.4">
      <c r="A356" s="12"/>
      <c r="B356" s="13"/>
      <c r="C356" s="14"/>
    </row>
    <row r="357" spans="1:3" ht="14.25" customHeight="1" x14ac:dyDescent="0.4">
      <c r="A357" s="12"/>
      <c r="B357" s="13"/>
      <c r="C357" s="14"/>
    </row>
    <row r="358" spans="1:3" ht="14.25" customHeight="1" x14ac:dyDescent="0.4">
      <c r="A358" s="12"/>
      <c r="B358" s="13"/>
      <c r="C358" s="14"/>
    </row>
    <row r="359" spans="1:3" ht="14.25" customHeight="1" x14ac:dyDescent="0.4">
      <c r="A359" s="12"/>
      <c r="B359" s="13"/>
      <c r="C359" s="14"/>
    </row>
    <row r="360" spans="1:3" ht="14.25" customHeight="1" x14ac:dyDescent="0.4">
      <c r="A360" s="12"/>
      <c r="B360" s="13"/>
      <c r="C360" s="14"/>
    </row>
    <row r="361" spans="1:3" ht="14.25" customHeight="1" x14ac:dyDescent="0.4">
      <c r="A361" s="12"/>
      <c r="B361" s="13"/>
      <c r="C361" s="14"/>
    </row>
    <row r="362" spans="1:3" ht="14.25" customHeight="1" x14ac:dyDescent="0.4">
      <c r="A362" s="12"/>
      <c r="B362" s="13"/>
      <c r="C362" s="14"/>
    </row>
    <row r="363" spans="1:3" ht="14.25" customHeight="1" x14ac:dyDescent="0.4">
      <c r="A363" s="12"/>
      <c r="B363" s="13"/>
      <c r="C363" s="14"/>
    </row>
    <row r="364" spans="1:3" ht="14.25" customHeight="1" x14ac:dyDescent="0.4">
      <c r="A364" s="12"/>
      <c r="B364" s="13"/>
      <c r="C364" s="14"/>
    </row>
    <row r="365" spans="1:3" ht="14.25" customHeight="1" x14ac:dyDescent="0.4">
      <c r="A365" s="12"/>
      <c r="B365" s="13"/>
      <c r="C365" s="14"/>
    </row>
    <row r="366" spans="1:3" ht="14.25" customHeight="1" x14ac:dyDescent="0.4">
      <c r="A366" s="12"/>
      <c r="B366" s="13"/>
      <c r="C366" s="14"/>
    </row>
    <row r="367" spans="1:3" ht="14.25" customHeight="1" x14ac:dyDescent="0.4">
      <c r="A367" s="12"/>
      <c r="B367" s="13"/>
      <c r="C367" s="14"/>
    </row>
    <row r="368" spans="1:3" ht="14.25" customHeight="1" x14ac:dyDescent="0.4">
      <c r="A368" s="12"/>
      <c r="B368" s="13"/>
      <c r="C368" s="14"/>
    </row>
    <row r="369" spans="1:3" ht="14.25" customHeight="1" x14ac:dyDescent="0.4">
      <c r="A369" s="12"/>
      <c r="B369" s="13"/>
      <c r="C369" s="14"/>
    </row>
    <row r="370" spans="1:3" ht="14.25" customHeight="1" x14ac:dyDescent="0.4">
      <c r="A370" s="12"/>
      <c r="B370" s="13"/>
      <c r="C370" s="14"/>
    </row>
    <row r="371" spans="1:3" ht="14.25" customHeight="1" x14ac:dyDescent="0.4">
      <c r="A371" s="12"/>
      <c r="B371" s="13"/>
      <c r="C371" s="14"/>
    </row>
    <row r="372" spans="1:3" ht="14.25" customHeight="1" x14ac:dyDescent="0.4">
      <c r="A372" s="12"/>
      <c r="B372" s="13"/>
      <c r="C372" s="14"/>
    </row>
    <row r="373" spans="1:3" ht="14.25" customHeight="1" x14ac:dyDescent="0.4">
      <c r="A373" s="12"/>
      <c r="B373" s="13"/>
      <c r="C373" s="14"/>
    </row>
    <row r="374" spans="1:3" ht="14.25" customHeight="1" x14ac:dyDescent="0.4">
      <c r="A374" s="12"/>
      <c r="B374" s="13"/>
      <c r="C374" s="14"/>
    </row>
    <row r="375" spans="1:3" ht="14.25" customHeight="1" x14ac:dyDescent="0.4">
      <c r="A375" s="12"/>
      <c r="B375" s="13"/>
      <c r="C375" s="14"/>
    </row>
    <row r="376" spans="1:3" ht="14.25" customHeight="1" x14ac:dyDescent="0.4">
      <c r="A376" s="12"/>
      <c r="B376" s="13"/>
      <c r="C376" s="14"/>
    </row>
    <row r="377" spans="1:3" ht="14.25" customHeight="1" x14ac:dyDescent="0.4">
      <c r="A377" s="12"/>
      <c r="B377" s="13"/>
      <c r="C377" s="14"/>
    </row>
    <row r="378" spans="1:3" ht="14.25" customHeight="1" x14ac:dyDescent="0.4">
      <c r="A378" s="12"/>
      <c r="B378" s="13"/>
      <c r="C378" s="14"/>
    </row>
    <row r="379" spans="1:3" ht="14.25" customHeight="1" x14ac:dyDescent="0.4">
      <c r="A379" s="12"/>
      <c r="B379" s="13"/>
      <c r="C379" s="14"/>
    </row>
    <row r="380" spans="1:3" ht="14.25" customHeight="1" x14ac:dyDescent="0.4">
      <c r="A380" s="12"/>
      <c r="B380" s="13"/>
      <c r="C380" s="14"/>
    </row>
    <row r="381" spans="1:3" ht="14.25" customHeight="1" x14ac:dyDescent="0.4">
      <c r="A381" s="12"/>
      <c r="B381" s="13"/>
      <c r="C381" s="14"/>
    </row>
    <row r="382" spans="1:3" ht="14.25" customHeight="1" x14ac:dyDescent="0.4">
      <c r="A382" s="12"/>
      <c r="B382" s="13"/>
      <c r="C382" s="14"/>
    </row>
    <row r="383" spans="1:3" ht="14.25" customHeight="1" x14ac:dyDescent="0.4">
      <c r="A383" s="12"/>
      <c r="B383" s="13"/>
      <c r="C383" s="14"/>
    </row>
    <row r="384" spans="1:3" ht="14.25" customHeight="1" x14ac:dyDescent="0.4">
      <c r="A384" s="12"/>
      <c r="B384" s="13"/>
      <c r="C384" s="14"/>
    </row>
    <row r="385" spans="1:3" ht="14.25" customHeight="1" x14ac:dyDescent="0.4">
      <c r="A385" s="12"/>
      <c r="B385" s="13"/>
      <c r="C385" s="14"/>
    </row>
    <row r="386" spans="1:3" ht="14.25" customHeight="1" x14ac:dyDescent="0.4">
      <c r="A386" s="12"/>
      <c r="B386" s="13"/>
      <c r="C386" s="14"/>
    </row>
    <row r="387" spans="1:3" ht="14.25" customHeight="1" x14ac:dyDescent="0.4">
      <c r="A387" s="12"/>
      <c r="B387" s="13"/>
      <c r="C387" s="14"/>
    </row>
    <row r="388" spans="1:3" ht="14.25" customHeight="1" x14ac:dyDescent="0.4">
      <c r="A388" s="12"/>
      <c r="B388" s="13"/>
      <c r="C388" s="14"/>
    </row>
    <row r="389" spans="1:3" ht="14.25" customHeight="1" x14ac:dyDescent="0.4">
      <c r="A389" s="12"/>
      <c r="B389" s="13"/>
      <c r="C389" s="14"/>
    </row>
    <row r="390" spans="1:3" ht="14.25" customHeight="1" x14ac:dyDescent="0.4">
      <c r="A390" s="12"/>
      <c r="B390" s="13"/>
      <c r="C390" s="14"/>
    </row>
    <row r="391" spans="1:3" ht="14.25" customHeight="1" x14ac:dyDescent="0.4">
      <c r="A391" s="12"/>
      <c r="B391" s="13"/>
      <c r="C391" s="14"/>
    </row>
    <row r="392" spans="1:3" ht="14.25" customHeight="1" x14ac:dyDescent="0.4">
      <c r="A392" s="12"/>
      <c r="B392" s="13"/>
      <c r="C392" s="14"/>
    </row>
    <row r="393" spans="1:3" ht="14.25" customHeight="1" x14ac:dyDescent="0.4">
      <c r="A393" s="12"/>
      <c r="B393" s="13"/>
      <c r="C393" s="14"/>
    </row>
    <row r="394" spans="1:3" ht="14.25" customHeight="1" x14ac:dyDescent="0.4">
      <c r="A394" s="12"/>
      <c r="B394" s="13"/>
      <c r="C394" s="14"/>
    </row>
    <row r="395" spans="1:3" ht="14.25" customHeight="1" x14ac:dyDescent="0.4">
      <c r="A395" s="12"/>
      <c r="B395" s="13"/>
      <c r="C395" s="14"/>
    </row>
    <row r="396" spans="1:3" ht="14.25" customHeight="1" x14ac:dyDescent="0.4">
      <c r="A396" s="12"/>
      <c r="B396" s="13"/>
      <c r="C396" s="14"/>
    </row>
    <row r="397" spans="1:3" ht="14.25" customHeight="1" x14ac:dyDescent="0.4">
      <c r="A397" s="12"/>
      <c r="B397" s="13"/>
      <c r="C397" s="14"/>
    </row>
    <row r="398" spans="1:3" ht="14.25" customHeight="1" x14ac:dyDescent="0.4">
      <c r="A398" s="12"/>
      <c r="B398" s="13"/>
      <c r="C398" s="14"/>
    </row>
    <row r="399" spans="1:3" ht="14.25" customHeight="1" x14ac:dyDescent="0.4">
      <c r="A399" s="12"/>
      <c r="B399" s="13"/>
      <c r="C399" s="14"/>
    </row>
    <row r="400" spans="1:3" ht="14.25" customHeight="1" x14ac:dyDescent="0.4">
      <c r="A400" s="12"/>
      <c r="B400" s="13"/>
      <c r="C400" s="14"/>
    </row>
    <row r="401" spans="1:4" ht="14.25" customHeight="1" x14ac:dyDescent="0.4">
      <c r="A401" s="12"/>
      <c r="B401" s="13"/>
      <c r="C401" s="14"/>
      <c r="D401" s="4"/>
    </row>
    <row r="402" spans="1:4" ht="14.25" customHeight="1" x14ac:dyDescent="0.4">
      <c r="A402" s="12"/>
      <c r="B402" s="13"/>
      <c r="C402" s="14"/>
      <c r="D402" s="4"/>
    </row>
    <row r="403" spans="1:4" ht="14.25" customHeight="1" x14ac:dyDescent="0.4">
      <c r="A403" s="12"/>
      <c r="B403" s="13"/>
      <c r="C403" s="14"/>
    </row>
    <row r="404" spans="1:4" ht="14.25" customHeight="1" x14ac:dyDescent="0.4">
      <c r="A404" s="12"/>
      <c r="B404" s="13"/>
      <c r="C404" s="14"/>
    </row>
    <row r="405" spans="1:4" ht="14.25" customHeight="1" x14ac:dyDescent="0.4">
      <c r="A405" s="12"/>
      <c r="B405" s="13"/>
      <c r="C405" s="14"/>
    </row>
    <row r="406" spans="1:4" ht="14.25" customHeight="1" x14ac:dyDescent="0.4">
      <c r="A406" s="12"/>
      <c r="B406" s="13"/>
      <c r="C406" s="14"/>
    </row>
    <row r="407" spans="1:4" ht="14.25" customHeight="1" x14ac:dyDescent="0.4">
      <c r="A407" s="12"/>
      <c r="B407" s="13"/>
      <c r="C407" s="14"/>
    </row>
    <row r="408" spans="1:4" ht="14.25" customHeight="1" x14ac:dyDescent="0.4">
      <c r="A408" s="12"/>
      <c r="B408" s="13"/>
      <c r="C408" s="14"/>
    </row>
    <row r="409" spans="1:4" ht="14.25" customHeight="1" x14ac:dyDescent="0.4">
      <c r="A409" s="12"/>
      <c r="B409" s="13"/>
      <c r="C409" s="14"/>
    </row>
    <row r="410" spans="1:4" ht="14.25" customHeight="1" x14ac:dyDescent="0.4">
      <c r="A410" s="12"/>
      <c r="B410" s="13"/>
      <c r="C410" s="14"/>
    </row>
    <row r="411" spans="1:4" ht="14.25" customHeight="1" x14ac:dyDescent="0.4">
      <c r="A411" s="12"/>
      <c r="B411" s="13"/>
      <c r="C411" s="14"/>
    </row>
    <row r="412" spans="1:4" ht="14.25" customHeight="1" x14ac:dyDescent="0.4">
      <c r="A412" s="12"/>
      <c r="B412" s="13"/>
      <c r="C412" s="14"/>
    </row>
    <row r="413" spans="1:4" ht="14.25" customHeight="1" x14ac:dyDescent="0.4">
      <c r="A413" s="12"/>
      <c r="B413" s="13"/>
      <c r="C413" s="14"/>
    </row>
    <row r="414" spans="1:4" ht="14.25" customHeight="1" x14ac:dyDescent="0.4">
      <c r="A414" s="12"/>
      <c r="B414" s="13"/>
      <c r="C414" s="14"/>
    </row>
    <row r="415" spans="1:4" ht="14.25" customHeight="1" x14ac:dyDescent="0.4">
      <c r="A415" s="12"/>
      <c r="B415" s="13"/>
      <c r="C415" s="14"/>
    </row>
    <row r="416" spans="1:4" ht="14.25" customHeight="1" x14ac:dyDescent="0.4">
      <c r="A416" s="12"/>
      <c r="B416" s="13"/>
      <c r="C416" s="14"/>
    </row>
    <row r="417" spans="1:3" ht="14.25" customHeight="1" x14ac:dyDescent="0.4">
      <c r="A417" s="12"/>
      <c r="B417" s="13"/>
      <c r="C417" s="14"/>
    </row>
    <row r="418" spans="1:3" ht="14.25" customHeight="1" x14ac:dyDescent="0.4">
      <c r="A418" s="12"/>
      <c r="B418" s="13"/>
      <c r="C418" s="14"/>
    </row>
    <row r="419" spans="1:3" ht="14.25" customHeight="1" x14ac:dyDescent="0.4">
      <c r="A419" s="12"/>
      <c r="B419" s="13"/>
      <c r="C419" s="14"/>
    </row>
    <row r="420" spans="1:3" ht="14.25" customHeight="1" x14ac:dyDescent="0.4">
      <c r="A420" s="12"/>
      <c r="B420" s="13"/>
      <c r="C420" s="14"/>
    </row>
    <row r="421" spans="1:3" ht="14.25" customHeight="1" x14ac:dyDescent="0.4">
      <c r="A421" s="12"/>
      <c r="B421" s="13"/>
      <c r="C421" s="14"/>
    </row>
    <row r="422" spans="1:3" ht="14.25" customHeight="1" x14ac:dyDescent="0.4">
      <c r="A422" s="12"/>
      <c r="B422" s="13"/>
      <c r="C422" s="14"/>
    </row>
    <row r="423" spans="1:3" ht="14.25" customHeight="1" x14ac:dyDescent="0.4">
      <c r="A423" s="12"/>
      <c r="B423" s="13"/>
      <c r="C423" s="14"/>
    </row>
    <row r="424" spans="1:3" ht="14.25" customHeight="1" x14ac:dyDescent="0.4"/>
    <row r="425" spans="1:3" ht="14.25" customHeight="1" x14ac:dyDescent="0.4"/>
    <row r="426" spans="1:3" ht="14.25" customHeight="1" x14ac:dyDescent="0.4"/>
    <row r="427" spans="1:3" ht="14.25" customHeight="1" x14ac:dyDescent="0.4"/>
    <row r="428" spans="1:3" ht="14.25" customHeight="1" x14ac:dyDescent="0.4"/>
    <row r="429" spans="1:3" ht="14.25" customHeight="1" x14ac:dyDescent="0.4"/>
    <row r="430" spans="1:3" ht="14.25" customHeight="1" x14ac:dyDescent="0.4"/>
    <row r="431" spans="1:3" ht="14.25" customHeight="1" x14ac:dyDescent="0.4"/>
    <row r="432" spans="1:3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mergeCells count="5">
    <mergeCell ref="AI51:AQ51"/>
    <mergeCell ref="G1:P1"/>
    <mergeCell ref="G17:O17"/>
    <mergeCell ref="AI13:AR13"/>
    <mergeCell ref="R1:AF1"/>
  </mergeCells>
  <conditionalFormatting sqref="H19:I2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:J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:L2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:M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:N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:O2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4:AQ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4:AR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61:AK6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9:L2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4:AK11 AQ4:AQ11">
    <cfRule type="cellIs" dxfId="49" priority="15" operator="greaterThan">
      <formula>1</formula>
    </cfRule>
  </conditionalFormatting>
  <conditionalFormatting sqref="H74:H7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:R7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5:H8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5:R8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6:H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6:R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4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4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H3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:R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2:H53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2:R53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8:H6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8:R6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J2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6:AK2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6:AL2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6:AM2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6:AN2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2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2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2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6:AR2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R2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2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4:AK4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4:AJ4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2" xr:uid="{00000000-0004-0000-0300-000000000000}"/>
    <hyperlink ref="D4" r:id="rId3" xr:uid="{00000000-0004-0000-0300-000001000000}"/>
    <hyperlink ref="D6" r:id="rId4" xr:uid="{00000000-0004-0000-0300-000002000000}"/>
    <hyperlink ref="D10" r:id="rId5" xr:uid="{00000000-0004-0000-0300-000003000000}"/>
    <hyperlink ref="D11" r:id="rId6" xr:uid="{00000000-0004-0000-0300-000004000000}"/>
    <hyperlink ref="D13" r:id="rId7" xr:uid="{00000000-0004-0000-0300-000005000000}"/>
    <hyperlink ref="D16" r:id="rId8" xr:uid="{00000000-0004-0000-0300-000006000000}"/>
    <hyperlink ref="D33" r:id="rId9" xr:uid="{00000000-0004-0000-0300-000007000000}"/>
    <hyperlink ref="D35" r:id="rId10" xr:uid="{00000000-0004-0000-0300-000008000000}"/>
    <hyperlink ref="D39" r:id="rId11" xr:uid="{00000000-0004-0000-0300-000009000000}"/>
    <hyperlink ref="D41" r:id="rId12" xr:uid="{00000000-0004-0000-0300-00000A000000}"/>
    <hyperlink ref="D46" r:id="rId13" xr:uid="{00000000-0004-0000-0300-00000B000000}"/>
    <hyperlink ref="D50" r:id="rId14" xr:uid="{00000000-0004-0000-0300-00000C000000}"/>
    <hyperlink ref="D54" r:id="rId15" xr:uid="{00000000-0004-0000-0300-00000D000000}"/>
    <hyperlink ref="D120" r:id="rId16" xr:uid="{00000000-0004-0000-0300-00000E000000}"/>
    <hyperlink ref="D123" r:id="rId17" xr:uid="{00000000-0004-0000-0300-00000F000000}"/>
    <hyperlink ref="D168" r:id="rId18" xr:uid="{00000000-0004-0000-0300-000010000000}"/>
    <hyperlink ref="D184" r:id="rId19" xr:uid="{00000000-0004-0000-0300-000011000000}"/>
    <hyperlink ref="D248" r:id="rId20" xr:uid="{00000000-0004-0000-0300-000012000000}"/>
  </hyperlinks>
  <pageMargins left="0.7" right="0.7" top="0.75" bottom="0.75" header="0" footer="0"/>
  <pageSetup orientation="portrait"/>
  <drawing r:id="rId2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S627"/>
  <sheetViews>
    <sheetView workbookViewId="0"/>
  </sheetViews>
  <sheetFormatPr defaultColWidth="12.61328125" defaultRowHeight="15" customHeight="1" x14ac:dyDescent="0.4"/>
  <cols>
    <col min="1" max="1" width="6.765625" customWidth="1"/>
    <col min="2" max="2" width="6.3828125" customWidth="1"/>
    <col min="3" max="3" width="7.3828125" customWidth="1"/>
    <col min="4" max="4" width="5.15234375" customWidth="1"/>
    <col min="5" max="5" width="2.23046875" customWidth="1"/>
    <col min="6" max="6" width="5.3828125" hidden="1" customWidth="1"/>
    <col min="7" max="7" width="12.3828125" customWidth="1"/>
    <col min="8" max="9" width="6.84375" customWidth="1"/>
    <col min="10" max="10" width="4.84375" customWidth="1"/>
    <col min="11" max="11" width="9.3828125" customWidth="1"/>
    <col min="12" max="12" width="11.61328125" customWidth="1"/>
    <col min="13" max="13" width="6.84375" customWidth="1"/>
    <col min="14" max="14" width="8.23046875" customWidth="1"/>
    <col min="15" max="15" width="10.61328125" customWidth="1"/>
    <col min="16" max="16" width="12" customWidth="1"/>
    <col min="17" max="17" width="7.23046875" customWidth="1"/>
    <col min="18" max="18" width="12.23046875" customWidth="1"/>
    <col min="19" max="19" width="7.23046875" customWidth="1"/>
    <col min="20" max="20" width="6.15234375" customWidth="1"/>
    <col min="21" max="21" width="5.61328125" customWidth="1"/>
    <col min="22" max="22" width="5.84375" customWidth="1"/>
    <col min="23" max="23" width="4.84375" customWidth="1"/>
    <col min="24" max="24" width="5.61328125" customWidth="1"/>
    <col min="25" max="25" width="5.23046875" customWidth="1"/>
    <col min="26" max="26" width="3.61328125" customWidth="1"/>
    <col min="27" max="27" width="5.15234375" customWidth="1"/>
    <col min="28" max="28" width="4.4609375" customWidth="1"/>
    <col min="29" max="29" width="4.84375" customWidth="1"/>
    <col min="30" max="30" width="6.84375" customWidth="1"/>
    <col min="31" max="32" width="10.4609375" customWidth="1"/>
    <col min="33" max="33" width="6.765625" customWidth="1"/>
    <col min="34" max="34" width="8.23046875" customWidth="1"/>
    <col min="35" max="35" width="13.3828125" customWidth="1"/>
    <col min="36" max="36" width="8.61328125" customWidth="1"/>
    <col min="37" max="37" width="8.3828125" customWidth="1"/>
    <col min="38" max="38" width="6.84375" customWidth="1"/>
    <col min="39" max="39" width="9.23046875" customWidth="1"/>
    <col min="40" max="40" width="13.3828125" customWidth="1"/>
    <col min="41" max="41" width="6.61328125" customWidth="1"/>
    <col min="42" max="42" width="8.15234375" customWidth="1"/>
    <col min="43" max="43" width="10.3828125" customWidth="1"/>
    <col min="44" max="44" width="11.84375" customWidth="1"/>
    <col min="45" max="45" width="8.61328125" customWidth="1"/>
    <col min="46" max="46" width="12.3828125" customWidth="1"/>
  </cols>
  <sheetData>
    <row r="1" spans="1:45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1" t="s">
        <v>4</v>
      </c>
      <c r="H1" s="132"/>
      <c r="I1" s="132"/>
      <c r="J1" s="132"/>
      <c r="K1" s="132"/>
      <c r="L1" s="132"/>
      <c r="M1" s="132"/>
      <c r="N1" s="132"/>
      <c r="O1" s="132"/>
      <c r="P1" s="133"/>
      <c r="Q1" s="5"/>
      <c r="R1" s="131" t="s">
        <v>5</v>
      </c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3"/>
      <c r="AG1" s="51" t="s">
        <v>25</v>
      </c>
      <c r="AK1" s="7" t="s">
        <v>6</v>
      </c>
      <c r="AL1" s="8" t="s">
        <v>7</v>
      </c>
      <c r="AM1" s="9" t="s">
        <v>8</v>
      </c>
      <c r="AN1" s="10" t="s">
        <v>9</v>
      </c>
      <c r="AO1" s="11" t="s">
        <v>8</v>
      </c>
      <c r="AP1" s="8" t="s">
        <v>10</v>
      </c>
      <c r="AQ1" s="7" t="s">
        <v>6</v>
      </c>
    </row>
    <row r="2" spans="1:45" ht="14.25" customHeight="1" x14ac:dyDescent="0.4">
      <c r="A2" s="12" t="s">
        <v>41</v>
      </c>
      <c r="B2" s="13">
        <v>1</v>
      </c>
      <c r="C2" s="14" t="s">
        <v>730</v>
      </c>
      <c r="D2" s="15" t="s">
        <v>731</v>
      </c>
      <c r="E2" s="4"/>
      <c r="F2" s="16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5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4"/>
      <c r="AG2" s="51" t="s">
        <v>732</v>
      </c>
      <c r="AK2" s="22"/>
      <c r="AL2" s="23"/>
      <c r="AM2" s="24">
        <f>COUNT(B$1:B$159)</f>
        <v>158</v>
      </c>
      <c r="AN2" s="25" t="s">
        <v>26</v>
      </c>
      <c r="AO2" s="24">
        <f>COUNT(B$1:B$159)</f>
        <v>158</v>
      </c>
      <c r="AP2" s="22"/>
      <c r="AQ2" s="22"/>
    </row>
    <row r="3" spans="1:45" ht="14.6" customHeight="1" x14ac:dyDescent="0.4">
      <c r="A3" s="12" t="s">
        <v>38</v>
      </c>
      <c r="B3" s="13">
        <v>1</v>
      </c>
      <c r="C3" s="14" t="s">
        <v>441</v>
      </c>
      <c r="D3" s="15" t="s">
        <v>733</v>
      </c>
      <c r="E3" s="4"/>
      <c r="F3" s="26"/>
      <c r="G3" s="27" t="s">
        <v>28</v>
      </c>
      <c r="H3" s="28">
        <f t="shared" ref="H3:H15" si="0">COUNTIF($A:$A,G3)</f>
        <v>55</v>
      </c>
      <c r="I3" s="28">
        <f t="shared" ref="I3:I15" si="1">COUNTIF($C:$C,G3)</f>
        <v>73</v>
      </c>
      <c r="J3" s="29">
        <f t="shared" ref="J3:J15" si="2">IF(I3,H3/I3,H3)</f>
        <v>0.75342465753424659</v>
      </c>
      <c r="K3" s="28">
        <f t="shared" ref="K3:K15" si="3">IFERROR(GETPIVOTDATA("Points",$R$2,"Sniper",G3),0)</f>
        <v>70</v>
      </c>
      <c r="L3" s="28">
        <f t="shared" ref="L3:L15" si="4">IFERROR(GETPIVOTDATA("Points",$R$2,"Snipee",G3),0)</f>
        <v>108</v>
      </c>
      <c r="M3" s="75">
        <f t="shared" ref="M3:M15" si="5">IF(L3,K3/L3,K3)</f>
        <v>0.64814814814814814</v>
      </c>
      <c r="N3" s="29">
        <f t="shared" ref="N3:N15" si="6">IF(H3,K3/H3,0)</f>
        <v>1.2727272727272727</v>
      </c>
      <c r="O3" s="29">
        <f t="shared" ref="O3:O15" si="7">IF(I3,L3/I3,0)</f>
        <v>1.4794520547945205</v>
      </c>
      <c r="P3" s="76">
        <f t="shared" ref="P3:P15" si="8">IFERROR(VLOOKUP(G3,R:AG,16,FALSE)/12,0)</f>
        <v>0.83333333333333337</v>
      </c>
      <c r="Q3" s="5"/>
      <c r="R3" s="112" t="s">
        <v>0</v>
      </c>
      <c r="S3" s="115" t="s">
        <v>35</v>
      </c>
      <c r="T3" s="116" t="s">
        <v>28</v>
      </c>
      <c r="U3" s="116" t="s">
        <v>12</v>
      </c>
      <c r="V3" s="116" t="s">
        <v>33</v>
      </c>
      <c r="W3" s="116" t="s">
        <v>31</v>
      </c>
      <c r="X3" s="116" t="s">
        <v>438</v>
      </c>
      <c r="Y3" s="116" t="s">
        <v>39</v>
      </c>
      <c r="Z3" s="116" t="s">
        <v>730</v>
      </c>
      <c r="AA3" s="116" t="s">
        <v>37</v>
      </c>
      <c r="AB3" s="116" t="s">
        <v>734</v>
      </c>
      <c r="AC3" s="116" t="s">
        <v>441</v>
      </c>
      <c r="AD3" s="116" t="s">
        <v>41</v>
      </c>
      <c r="AE3" s="117" t="s">
        <v>42</v>
      </c>
      <c r="AG3" s="51" t="s">
        <v>735</v>
      </c>
      <c r="AK3" s="22"/>
      <c r="AL3" s="22"/>
      <c r="AM3" s="32">
        <f>IFERROR(GETPIVOTDATA("Points",R2),0)</f>
        <v>553</v>
      </c>
      <c r="AN3" s="33" t="s">
        <v>43</v>
      </c>
      <c r="AO3" s="32">
        <f>IFERROR(GETPIVOTDATA("Points",R2),0)</f>
        <v>553</v>
      </c>
      <c r="AP3" s="22"/>
      <c r="AQ3" s="22"/>
    </row>
    <row r="4" spans="1:45" ht="14.6" customHeight="1" x14ac:dyDescent="0.4">
      <c r="A4" s="12" t="s">
        <v>734</v>
      </c>
      <c r="B4" s="13">
        <v>2</v>
      </c>
      <c r="C4" s="14" t="s">
        <v>39</v>
      </c>
      <c r="D4" s="15" t="s">
        <v>736</v>
      </c>
      <c r="E4" s="4"/>
      <c r="F4" s="26"/>
      <c r="G4" s="27" t="s">
        <v>33</v>
      </c>
      <c r="H4" s="28">
        <f t="shared" si="0"/>
        <v>18</v>
      </c>
      <c r="I4" s="28">
        <f t="shared" si="1"/>
        <v>39</v>
      </c>
      <c r="J4" s="29">
        <f t="shared" si="2"/>
        <v>0.46153846153846156</v>
      </c>
      <c r="K4" s="28">
        <f t="shared" si="3"/>
        <v>26</v>
      </c>
      <c r="L4" s="28">
        <f t="shared" si="4"/>
        <v>54</v>
      </c>
      <c r="M4" s="75">
        <f t="shared" si="5"/>
        <v>0.48148148148148145</v>
      </c>
      <c r="N4" s="29">
        <f t="shared" si="6"/>
        <v>1.4444444444444444</v>
      </c>
      <c r="O4" s="29">
        <f t="shared" si="7"/>
        <v>1.3846153846153846</v>
      </c>
      <c r="P4" s="76">
        <f t="shared" si="8"/>
        <v>0.66666666666666663</v>
      </c>
      <c r="Q4" s="5"/>
      <c r="R4" s="115" t="s">
        <v>438</v>
      </c>
      <c r="S4" s="145">
        <v>20</v>
      </c>
      <c r="T4" s="146">
        <v>44</v>
      </c>
      <c r="U4" s="146">
        <v>16</v>
      </c>
      <c r="V4" s="146">
        <v>10</v>
      </c>
      <c r="W4" s="146">
        <v>12</v>
      </c>
      <c r="X4" s="146"/>
      <c r="Y4" s="146">
        <v>5</v>
      </c>
      <c r="Z4" s="146">
        <v>2</v>
      </c>
      <c r="AA4" s="146">
        <v>4</v>
      </c>
      <c r="AB4" s="146"/>
      <c r="AC4" s="146">
        <v>2</v>
      </c>
      <c r="AD4" s="146"/>
      <c r="AE4" s="147">
        <v>115</v>
      </c>
      <c r="AG4" s="51">
        <f t="shared" ref="AG4:AG15" si="9">IF(COUNT(S4:AF4)&lt;&gt;0,COUNT(S4:AF4)-1,"")</f>
        <v>9</v>
      </c>
      <c r="AK4" s="35">
        <f ca="1">COUNTIF(H3:H14,AM4)</f>
        <v>0</v>
      </c>
      <c r="AL4" s="36" t="str">
        <f>$G$26</f>
        <v>David</v>
      </c>
      <c r="AM4" s="32" t="e">
        <f ca="1">Maxine(H3:H14)</f>
        <v>#NAME?</v>
      </c>
      <c r="AN4" s="33" t="s">
        <v>45</v>
      </c>
      <c r="AO4" s="37" t="e">
        <f ca="1">Maxine(H19:H22)</f>
        <v>#NAME?</v>
      </c>
      <c r="AP4" s="38" t="str">
        <f>$G$77</f>
        <v>Leads</v>
      </c>
      <c r="AQ4" s="35">
        <f ca="1">COUNTIF(H19:H22,AO4)</f>
        <v>0</v>
      </c>
    </row>
    <row r="5" spans="1:45" ht="14.6" customHeight="1" x14ac:dyDescent="0.4">
      <c r="A5" s="12" t="s">
        <v>438</v>
      </c>
      <c r="B5" s="13">
        <v>1</v>
      </c>
      <c r="C5" s="14" t="s">
        <v>28</v>
      </c>
      <c r="D5" s="15" t="s">
        <v>737</v>
      </c>
      <c r="E5" s="4">
        <v>1</v>
      </c>
      <c r="F5" s="26"/>
      <c r="G5" s="27" t="s">
        <v>41</v>
      </c>
      <c r="H5" s="28">
        <f t="shared" si="0"/>
        <v>4</v>
      </c>
      <c r="I5" s="28">
        <f t="shared" si="1"/>
        <v>8</v>
      </c>
      <c r="J5" s="29">
        <f t="shared" si="2"/>
        <v>0.5</v>
      </c>
      <c r="K5" s="28">
        <f t="shared" si="3"/>
        <v>4</v>
      </c>
      <c r="L5" s="28">
        <f t="shared" si="4"/>
        <v>11</v>
      </c>
      <c r="M5" s="75">
        <f t="shared" si="5"/>
        <v>0.36363636363636365</v>
      </c>
      <c r="N5" s="29">
        <f t="shared" si="6"/>
        <v>1</v>
      </c>
      <c r="O5" s="29">
        <f t="shared" si="7"/>
        <v>1.375</v>
      </c>
      <c r="P5" s="76">
        <f t="shared" si="8"/>
        <v>0.16666666666666666</v>
      </c>
      <c r="Q5" s="5"/>
      <c r="R5" s="118" t="s">
        <v>12</v>
      </c>
      <c r="S5" s="148">
        <v>29</v>
      </c>
      <c r="T5" s="149">
        <v>14</v>
      </c>
      <c r="U5" s="149"/>
      <c r="V5" s="149">
        <v>4</v>
      </c>
      <c r="W5" s="149">
        <v>23</v>
      </c>
      <c r="X5" s="149">
        <v>9</v>
      </c>
      <c r="Y5" s="149">
        <v>3</v>
      </c>
      <c r="Z5" s="149">
        <v>4</v>
      </c>
      <c r="AA5" s="149"/>
      <c r="AB5" s="149">
        <v>3</v>
      </c>
      <c r="AC5" s="149">
        <v>1</v>
      </c>
      <c r="AD5" s="149">
        <v>1</v>
      </c>
      <c r="AE5" s="150">
        <v>91</v>
      </c>
      <c r="AG5" s="51">
        <f t="shared" si="9"/>
        <v>10</v>
      </c>
      <c r="AK5" s="35">
        <f ca="1">COUNTIF(I3:I14,AM5)</f>
        <v>0</v>
      </c>
      <c r="AL5" s="36" t="str">
        <f>$G$42</f>
        <v>Carter</v>
      </c>
      <c r="AM5" s="32" t="e">
        <f ca="1">Maxine(I3:I14)</f>
        <v>#NAME?</v>
      </c>
      <c r="AN5" s="33" t="s">
        <v>47</v>
      </c>
      <c r="AO5" s="37" t="e">
        <f ca="1">Maxine(I19:I22)</f>
        <v>#NAME?</v>
      </c>
      <c r="AP5" s="39" t="str">
        <f>$G$88</f>
        <v>Tenors</v>
      </c>
      <c r="AQ5" s="35">
        <f ca="1">COUNTIF(I19:I22,AO5)</f>
        <v>0</v>
      </c>
    </row>
    <row r="6" spans="1:45" ht="14.6" customHeight="1" x14ac:dyDescent="0.4">
      <c r="A6" s="12" t="s">
        <v>28</v>
      </c>
      <c r="B6" s="13">
        <v>1</v>
      </c>
      <c r="C6" s="14" t="s">
        <v>438</v>
      </c>
      <c r="D6" s="15" t="s">
        <v>738</v>
      </c>
      <c r="E6" s="52"/>
      <c r="F6" s="26"/>
      <c r="G6" s="27" t="s">
        <v>38</v>
      </c>
      <c r="H6" s="28">
        <f t="shared" si="0"/>
        <v>43</v>
      </c>
      <c r="I6" s="28">
        <f t="shared" si="1"/>
        <v>31</v>
      </c>
      <c r="J6" s="29">
        <f t="shared" si="2"/>
        <v>1.3870967741935485</v>
      </c>
      <c r="K6" s="28">
        <f t="shared" si="3"/>
        <v>0</v>
      </c>
      <c r="L6" s="28">
        <f t="shared" si="4"/>
        <v>0</v>
      </c>
      <c r="M6" s="75">
        <f t="shared" si="5"/>
        <v>0</v>
      </c>
      <c r="N6" s="29">
        <f t="shared" si="6"/>
        <v>0</v>
      </c>
      <c r="O6" s="29">
        <f t="shared" si="7"/>
        <v>0</v>
      </c>
      <c r="P6" s="76">
        <f t="shared" si="8"/>
        <v>0</v>
      </c>
      <c r="Q6" s="5"/>
      <c r="R6" s="118" t="s">
        <v>734</v>
      </c>
      <c r="S6" s="148">
        <v>7</v>
      </c>
      <c r="T6" s="149">
        <v>15</v>
      </c>
      <c r="U6" s="149">
        <v>7</v>
      </c>
      <c r="V6" s="149">
        <v>13</v>
      </c>
      <c r="W6" s="149">
        <v>5</v>
      </c>
      <c r="X6" s="149"/>
      <c r="Y6" s="149">
        <v>10</v>
      </c>
      <c r="Z6" s="149">
        <v>4</v>
      </c>
      <c r="AA6" s="149">
        <v>6</v>
      </c>
      <c r="AB6" s="149"/>
      <c r="AC6" s="149">
        <v>2</v>
      </c>
      <c r="AD6" s="149">
        <v>3</v>
      </c>
      <c r="AE6" s="150">
        <v>72</v>
      </c>
      <c r="AG6" s="51">
        <f t="shared" si="9"/>
        <v>10</v>
      </c>
      <c r="AK6" s="35">
        <f ca="1">COUNTIF(K3:K14,AM6)</f>
        <v>0</v>
      </c>
      <c r="AL6" s="36" t="str">
        <f>$Q$26</f>
        <v>David</v>
      </c>
      <c r="AM6" s="32" t="e">
        <f ca="1">Maxine(K3:K14)</f>
        <v>#NAME?</v>
      </c>
      <c r="AN6" s="33" t="s">
        <v>49</v>
      </c>
      <c r="AO6" s="37" t="e">
        <f ca="1">Maxine(K19:K22)</f>
        <v>#NAME?</v>
      </c>
      <c r="AP6" s="39" t="str">
        <f>$Q$77</f>
        <v>Leads</v>
      </c>
      <c r="AQ6" s="35">
        <f ca="1">COUNTIF(K19:K22,AO6)</f>
        <v>0</v>
      </c>
    </row>
    <row r="7" spans="1:45" ht="14.6" customHeight="1" x14ac:dyDescent="0.4">
      <c r="A7" s="12" t="s">
        <v>734</v>
      </c>
      <c r="B7" s="13">
        <v>2</v>
      </c>
      <c r="C7" s="14" t="s">
        <v>12</v>
      </c>
      <c r="D7" s="15" t="s">
        <v>739</v>
      </c>
      <c r="E7" s="52"/>
      <c r="F7" s="26"/>
      <c r="G7" s="27" t="s">
        <v>438</v>
      </c>
      <c r="H7" s="28">
        <f t="shared" si="0"/>
        <v>87</v>
      </c>
      <c r="I7" s="28">
        <f t="shared" si="1"/>
        <v>51</v>
      </c>
      <c r="J7" s="29">
        <f t="shared" si="2"/>
        <v>1.7058823529411764</v>
      </c>
      <c r="K7" s="28">
        <f t="shared" si="3"/>
        <v>115</v>
      </c>
      <c r="L7" s="28">
        <f t="shared" si="4"/>
        <v>45</v>
      </c>
      <c r="M7" s="75">
        <f t="shared" si="5"/>
        <v>2.5555555555555554</v>
      </c>
      <c r="N7" s="29">
        <f t="shared" si="6"/>
        <v>1.3218390804597702</v>
      </c>
      <c r="O7" s="29">
        <f t="shared" si="7"/>
        <v>0.88235294117647056</v>
      </c>
      <c r="P7" s="76">
        <f t="shared" si="8"/>
        <v>0.75</v>
      </c>
      <c r="Q7" s="5"/>
      <c r="R7" s="118" t="s">
        <v>28</v>
      </c>
      <c r="S7" s="148">
        <v>11</v>
      </c>
      <c r="T7" s="149"/>
      <c r="U7" s="149">
        <v>6</v>
      </c>
      <c r="V7" s="149">
        <v>1</v>
      </c>
      <c r="W7" s="149">
        <v>8</v>
      </c>
      <c r="X7" s="149">
        <v>19</v>
      </c>
      <c r="Y7" s="149">
        <v>5</v>
      </c>
      <c r="Z7" s="149">
        <v>4</v>
      </c>
      <c r="AA7" s="149">
        <v>4</v>
      </c>
      <c r="AB7" s="149">
        <v>8</v>
      </c>
      <c r="AC7" s="149">
        <v>4</v>
      </c>
      <c r="AD7" s="149"/>
      <c r="AE7" s="150">
        <v>70</v>
      </c>
      <c r="AG7" s="51">
        <f t="shared" si="9"/>
        <v>10</v>
      </c>
      <c r="AK7" s="35">
        <f ca="1">COUNTIF(L3:L14,AM7)</f>
        <v>0</v>
      </c>
      <c r="AL7" s="36" t="str">
        <f>$Q$42</f>
        <v>Reuben</v>
      </c>
      <c r="AM7" s="32" t="e">
        <f ca="1">Maxine(L3:L14)</f>
        <v>#NAME?</v>
      </c>
      <c r="AN7" s="33" t="s">
        <v>51</v>
      </c>
      <c r="AO7" s="37" t="e">
        <f ca="1">Maxine(L19:L22)</f>
        <v>#NAME?</v>
      </c>
      <c r="AP7" s="39" t="str">
        <f>$Q$88</f>
        <v>Tenors</v>
      </c>
      <c r="AQ7" s="35">
        <f ca="1">COUNTIF(L19:L22,AO7)</f>
        <v>0</v>
      </c>
    </row>
    <row r="8" spans="1:45" ht="14.6" customHeight="1" x14ac:dyDescent="0.4">
      <c r="A8" s="12" t="s">
        <v>12</v>
      </c>
      <c r="B8" s="13">
        <v>2</v>
      </c>
      <c r="C8" s="14" t="s">
        <v>730</v>
      </c>
      <c r="D8" s="15" t="s">
        <v>740</v>
      </c>
      <c r="E8" s="52"/>
      <c r="F8" s="26"/>
      <c r="G8" s="27" t="s">
        <v>31</v>
      </c>
      <c r="H8" s="28">
        <f t="shared" si="0"/>
        <v>38</v>
      </c>
      <c r="I8" s="28">
        <f t="shared" si="1"/>
        <v>42</v>
      </c>
      <c r="J8" s="29">
        <f t="shared" si="2"/>
        <v>0.90476190476190477</v>
      </c>
      <c r="K8" s="28">
        <f t="shared" si="3"/>
        <v>51</v>
      </c>
      <c r="L8" s="28">
        <f t="shared" si="4"/>
        <v>54</v>
      </c>
      <c r="M8" s="75">
        <f t="shared" si="5"/>
        <v>0.94444444444444442</v>
      </c>
      <c r="N8" s="29">
        <f t="shared" si="6"/>
        <v>1.3421052631578947</v>
      </c>
      <c r="O8" s="29">
        <f t="shared" si="7"/>
        <v>1.2857142857142858</v>
      </c>
      <c r="P8" s="76">
        <f t="shared" si="8"/>
        <v>0.75</v>
      </c>
      <c r="Q8" s="5"/>
      <c r="R8" s="118" t="s">
        <v>39</v>
      </c>
      <c r="S8" s="148">
        <v>14</v>
      </c>
      <c r="T8" s="149">
        <v>12</v>
      </c>
      <c r="U8" s="149">
        <v>1</v>
      </c>
      <c r="V8" s="149">
        <v>13</v>
      </c>
      <c r="W8" s="149">
        <v>2</v>
      </c>
      <c r="X8" s="149">
        <v>6</v>
      </c>
      <c r="Y8" s="149"/>
      <c r="Z8" s="149">
        <v>2</v>
      </c>
      <c r="AA8" s="149"/>
      <c r="AB8" s="149">
        <v>2</v>
      </c>
      <c r="AC8" s="149">
        <v>1</v>
      </c>
      <c r="AD8" s="149"/>
      <c r="AE8" s="150">
        <v>53</v>
      </c>
      <c r="AG8" s="51">
        <f t="shared" si="9"/>
        <v>9</v>
      </c>
      <c r="AK8" s="35">
        <f ca="1">COUNTIF(J3:J14,AM8)</f>
        <v>0</v>
      </c>
      <c r="AL8" s="40" t="str">
        <f>$G$58</f>
        <v>Sam</v>
      </c>
      <c r="AM8" s="37" t="e">
        <f ca="1">Maxine(J3:J14)</f>
        <v>#NAME?</v>
      </c>
      <c r="AN8" s="33" t="s">
        <v>53</v>
      </c>
      <c r="AO8" s="37" t="e">
        <f ca="1">Maxine(J19:J22)</f>
        <v>#NAME?</v>
      </c>
      <c r="AP8" s="39" t="str">
        <f>$G$99</f>
        <v>Baris</v>
      </c>
      <c r="AQ8" s="35">
        <f ca="1">COUNTIF(J19:J22,AO8)</f>
        <v>0</v>
      </c>
    </row>
    <row r="9" spans="1:45" ht="14.6" customHeight="1" x14ac:dyDescent="0.4">
      <c r="A9" s="12" t="s">
        <v>730</v>
      </c>
      <c r="B9" s="13">
        <v>2</v>
      </c>
      <c r="C9" s="14" t="s">
        <v>35</v>
      </c>
      <c r="D9" s="15" t="s">
        <v>741</v>
      </c>
      <c r="E9" s="52"/>
      <c r="F9" s="15"/>
      <c r="G9" s="27" t="s">
        <v>441</v>
      </c>
      <c r="H9" s="28">
        <f t="shared" si="0"/>
        <v>17</v>
      </c>
      <c r="I9" s="28">
        <f t="shared" si="1"/>
        <v>12</v>
      </c>
      <c r="J9" s="29">
        <f t="shared" si="2"/>
        <v>1.4166666666666667</v>
      </c>
      <c r="K9" s="28">
        <f t="shared" si="3"/>
        <v>28</v>
      </c>
      <c r="L9" s="28">
        <f t="shared" si="4"/>
        <v>13</v>
      </c>
      <c r="M9" s="75">
        <f t="shared" si="5"/>
        <v>2.1538461538461537</v>
      </c>
      <c r="N9" s="29">
        <f t="shared" si="6"/>
        <v>1.6470588235294117</v>
      </c>
      <c r="O9" s="29">
        <f t="shared" si="7"/>
        <v>1.0833333333333333</v>
      </c>
      <c r="P9" s="76">
        <f t="shared" si="8"/>
        <v>0.75</v>
      </c>
      <c r="Q9" s="5"/>
      <c r="R9" s="118" t="s">
        <v>31</v>
      </c>
      <c r="S9" s="148">
        <v>16</v>
      </c>
      <c r="T9" s="149">
        <v>4</v>
      </c>
      <c r="U9" s="149">
        <v>14</v>
      </c>
      <c r="V9" s="149">
        <v>8</v>
      </c>
      <c r="W9" s="149"/>
      <c r="X9" s="149">
        <v>3</v>
      </c>
      <c r="Y9" s="149"/>
      <c r="Z9" s="149">
        <v>1</v>
      </c>
      <c r="AA9" s="149">
        <v>2</v>
      </c>
      <c r="AB9" s="149">
        <v>1</v>
      </c>
      <c r="AC9" s="149"/>
      <c r="AD9" s="149">
        <v>2</v>
      </c>
      <c r="AE9" s="150">
        <v>51</v>
      </c>
      <c r="AG9" s="51">
        <f t="shared" si="9"/>
        <v>9</v>
      </c>
      <c r="AK9" s="35">
        <f>COUNTIF(J3:J14,AM9)</f>
        <v>1</v>
      </c>
      <c r="AL9" s="40" t="str">
        <f>$G$70</f>
        <v>Reuben</v>
      </c>
      <c r="AM9" s="37">
        <f>MIN(J3:J14)</f>
        <v>0.46153846153846156</v>
      </c>
      <c r="AN9" s="33" t="s">
        <v>55</v>
      </c>
      <c r="AO9" s="37">
        <f>MIN(J19:J22)</f>
        <v>0.5446428571428571</v>
      </c>
      <c r="AP9" s="39" t="str">
        <f>$G$96</f>
        <v>Basses</v>
      </c>
      <c r="AQ9" s="35">
        <f>COUNTIF(J19:J22,AO9)</f>
        <v>1</v>
      </c>
    </row>
    <row r="10" spans="1:45" ht="14.6" customHeight="1" x14ac:dyDescent="0.4">
      <c r="A10" s="12" t="s">
        <v>734</v>
      </c>
      <c r="B10" s="13">
        <v>1</v>
      </c>
      <c r="C10" s="14" t="s">
        <v>730</v>
      </c>
      <c r="D10" s="15" t="s">
        <v>742</v>
      </c>
      <c r="E10" s="52"/>
      <c r="F10" s="15"/>
      <c r="G10" s="27" t="s">
        <v>734</v>
      </c>
      <c r="H10" s="28">
        <f t="shared" si="0"/>
        <v>43</v>
      </c>
      <c r="I10" s="28">
        <f t="shared" si="1"/>
        <v>17</v>
      </c>
      <c r="J10" s="29">
        <f t="shared" si="2"/>
        <v>2.5294117647058822</v>
      </c>
      <c r="K10" s="28">
        <f t="shared" si="3"/>
        <v>72</v>
      </c>
      <c r="L10" s="28">
        <f t="shared" si="4"/>
        <v>21</v>
      </c>
      <c r="M10" s="75">
        <f t="shared" si="5"/>
        <v>3.4285714285714284</v>
      </c>
      <c r="N10" s="29">
        <f t="shared" si="6"/>
        <v>1.6744186046511629</v>
      </c>
      <c r="O10" s="29">
        <f t="shared" si="7"/>
        <v>1.2352941176470589</v>
      </c>
      <c r="P10" s="76">
        <f t="shared" si="8"/>
        <v>0.83333333333333337</v>
      </c>
      <c r="Q10" s="5"/>
      <c r="R10" s="118" t="s">
        <v>441</v>
      </c>
      <c r="S10" s="148">
        <v>7</v>
      </c>
      <c r="T10" s="149">
        <v>3</v>
      </c>
      <c r="U10" s="149">
        <v>6</v>
      </c>
      <c r="V10" s="149">
        <v>1</v>
      </c>
      <c r="W10" s="149">
        <v>2</v>
      </c>
      <c r="X10" s="149"/>
      <c r="Y10" s="149">
        <v>2</v>
      </c>
      <c r="Z10" s="149"/>
      <c r="AA10" s="149">
        <v>2</v>
      </c>
      <c r="AB10" s="149">
        <v>3</v>
      </c>
      <c r="AC10" s="149"/>
      <c r="AD10" s="149">
        <v>2</v>
      </c>
      <c r="AE10" s="150">
        <v>28</v>
      </c>
      <c r="AG10" s="51">
        <f t="shared" si="9"/>
        <v>9</v>
      </c>
      <c r="AK10" s="35">
        <f ca="1">COUNTIF(M3:M14,AM10)</f>
        <v>0</v>
      </c>
      <c r="AL10" s="40" t="str">
        <f>$Q$58</f>
        <v>Sam</v>
      </c>
      <c r="AM10" s="37" t="e">
        <f ca="1">Maxine(M3:M14)</f>
        <v>#NAME?</v>
      </c>
      <c r="AN10" s="33" t="s">
        <v>57</v>
      </c>
      <c r="AO10" s="37" t="e">
        <f ca="1">Maxine(M19:M22)</f>
        <v>#NAME?</v>
      </c>
      <c r="AP10" s="39" t="str">
        <f>$Q$99</f>
        <v>Baris</v>
      </c>
      <c r="AQ10" s="35">
        <f ca="1">COUNTIF(M19:M22,AO10)</f>
        <v>0</v>
      </c>
    </row>
    <row r="11" spans="1:45" ht="14.6" customHeight="1" x14ac:dyDescent="0.4">
      <c r="A11" s="12" t="s">
        <v>28</v>
      </c>
      <c r="B11" s="13">
        <v>2</v>
      </c>
      <c r="C11" s="14" t="s">
        <v>35</v>
      </c>
      <c r="D11" s="15" t="s">
        <v>743</v>
      </c>
      <c r="E11" s="52"/>
      <c r="F11" s="26"/>
      <c r="G11" s="27" t="s">
        <v>12</v>
      </c>
      <c r="H11" s="28">
        <f t="shared" si="0"/>
        <v>60</v>
      </c>
      <c r="I11" s="28">
        <f t="shared" si="1"/>
        <v>41</v>
      </c>
      <c r="J11" s="29">
        <f t="shared" si="2"/>
        <v>1.4634146341463414</v>
      </c>
      <c r="K11" s="28">
        <f t="shared" si="3"/>
        <v>91</v>
      </c>
      <c r="L11" s="28">
        <f t="shared" si="4"/>
        <v>55</v>
      </c>
      <c r="M11" s="75">
        <f t="shared" si="5"/>
        <v>1.6545454545454545</v>
      </c>
      <c r="N11" s="29">
        <f t="shared" si="6"/>
        <v>1.5166666666666666</v>
      </c>
      <c r="O11" s="29">
        <f t="shared" si="7"/>
        <v>1.3414634146341464</v>
      </c>
      <c r="P11" s="76">
        <f t="shared" si="8"/>
        <v>0.83333333333333337</v>
      </c>
      <c r="Q11" s="5"/>
      <c r="R11" s="118" t="s">
        <v>730</v>
      </c>
      <c r="S11" s="148">
        <v>4</v>
      </c>
      <c r="T11" s="149">
        <v>10</v>
      </c>
      <c r="U11" s="149">
        <v>2</v>
      </c>
      <c r="V11" s="149">
        <v>2</v>
      </c>
      <c r="W11" s="149">
        <v>1</v>
      </c>
      <c r="X11" s="149"/>
      <c r="Y11" s="149">
        <v>1</v>
      </c>
      <c r="Z11" s="149"/>
      <c r="AA11" s="149">
        <v>4</v>
      </c>
      <c r="AB11" s="149"/>
      <c r="AC11" s="149"/>
      <c r="AD11" s="149">
        <v>3</v>
      </c>
      <c r="AE11" s="150">
        <v>27</v>
      </c>
      <c r="AG11" s="51">
        <f t="shared" si="9"/>
        <v>8</v>
      </c>
      <c r="AK11" s="35">
        <f>COUNTIF(M3:M14,AM11)</f>
        <v>1</v>
      </c>
      <c r="AL11" s="40" t="str">
        <f>$Q$70</f>
        <v>Reuben</v>
      </c>
      <c r="AM11" s="37">
        <f>MIN(M3:M14)</f>
        <v>0</v>
      </c>
      <c r="AN11" s="33" t="s">
        <v>59</v>
      </c>
      <c r="AO11" s="37">
        <f>MIN(M19:M22)</f>
        <v>0.5</v>
      </c>
      <c r="AP11" s="39" t="str">
        <f>$Q$96</f>
        <v>Basses</v>
      </c>
      <c r="AQ11" s="35">
        <f>COUNTIF(M19:M22,AO11)</f>
        <v>1</v>
      </c>
    </row>
    <row r="12" spans="1:45" ht="14.6" customHeight="1" x14ac:dyDescent="0.4">
      <c r="A12" s="12" t="s">
        <v>39</v>
      </c>
      <c r="B12" s="13">
        <v>2</v>
      </c>
      <c r="C12" s="14" t="s">
        <v>28</v>
      </c>
      <c r="D12" s="15" t="s">
        <v>744</v>
      </c>
      <c r="E12" s="4">
        <v>0</v>
      </c>
      <c r="F12" s="26"/>
      <c r="G12" s="27" t="s">
        <v>37</v>
      </c>
      <c r="H12" s="28">
        <f t="shared" si="0"/>
        <v>10</v>
      </c>
      <c r="I12" s="28">
        <f t="shared" si="1"/>
        <v>12</v>
      </c>
      <c r="J12" s="29">
        <f t="shared" si="2"/>
        <v>0.83333333333333337</v>
      </c>
      <c r="K12" s="28">
        <f t="shared" si="3"/>
        <v>16</v>
      </c>
      <c r="L12" s="28">
        <f t="shared" si="4"/>
        <v>22</v>
      </c>
      <c r="M12" s="75">
        <f t="shared" si="5"/>
        <v>0.72727272727272729</v>
      </c>
      <c r="N12" s="29">
        <f t="shared" si="6"/>
        <v>1.6</v>
      </c>
      <c r="O12" s="29">
        <f t="shared" si="7"/>
        <v>1.8333333333333333</v>
      </c>
      <c r="P12" s="76">
        <f t="shared" si="8"/>
        <v>0.5</v>
      </c>
      <c r="Q12" s="5"/>
      <c r="R12" s="118" t="s">
        <v>33</v>
      </c>
      <c r="S12" s="148">
        <v>8</v>
      </c>
      <c r="T12" s="149">
        <v>3</v>
      </c>
      <c r="U12" s="149">
        <v>3</v>
      </c>
      <c r="V12" s="149"/>
      <c r="W12" s="149">
        <v>1</v>
      </c>
      <c r="X12" s="149">
        <v>5</v>
      </c>
      <c r="Y12" s="149"/>
      <c r="Z12" s="149">
        <v>2</v>
      </c>
      <c r="AA12" s="149"/>
      <c r="AB12" s="149">
        <v>3</v>
      </c>
      <c r="AC12" s="149">
        <v>1</v>
      </c>
      <c r="AD12" s="149"/>
      <c r="AE12" s="150">
        <v>26</v>
      </c>
      <c r="AG12" s="51">
        <f t="shared" si="9"/>
        <v>8</v>
      </c>
    </row>
    <row r="13" spans="1:45" ht="14.6" customHeight="1" x14ac:dyDescent="0.4">
      <c r="A13" s="12" t="s">
        <v>441</v>
      </c>
      <c r="B13" s="13">
        <v>2</v>
      </c>
      <c r="C13" s="14" t="s">
        <v>38</v>
      </c>
      <c r="D13" s="15" t="s">
        <v>745</v>
      </c>
      <c r="E13" s="52"/>
      <c r="F13" s="26"/>
      <c r="G13" s="27" t="s">
        <v>39</v>
      </c>
      <c r="H13" s="28">
        <f t="shared" si="0"/>
        <v>32</v>
      </c>
      <c r="I13" s="28">
        <f t="shared" si="1"/>
        <v>18</v>
      </c>
      <c r="J13" s="29">
        <f t="shared" si="2"/>
        <v>1.7777777777777777</v>
      </c>
      <c r="K13" s="28">
        <f t="shared" si="3"/>
        <v>53</v>
      </c>
      <c r="L13" s="28">
        <f t="shared" si="4"/>
        <v>26</v>
      </c>
      <c r="M13" s="75">
        <f t="shared" si="5"/>
        <v>2.0384615384615383</v>
      </c>
      <c r="N13" s="29">
        <f t="shared" si="6"/>
        <v>1.65625</v>
      </c>
      <c r="O13" s="29">
        <f t="shared" si="7"/>
        <v>1.4444444444444444</v>
      </c>
      <c r="P13" s="76">
        <f t="shared" si="8"/>
        <v>0.75</v>
      </c>
      <c r="Q13" s="5"/>
      <c r="R13" s="118" t="s">
        <v>37</v>
      </c>
      <c r="S13" s="148">
        <v>4</v>
      </c>
      <c r="T13" s="149">
        <v>3</v>
      </c>
      <c r="U13" s="149"/>
      <c r="V13" s="149">
        <v>2</v>
      </c>
      <c r="W13" s="149"/>
      <c r="X13" s="149">
        <v>3</v>
      </c>
      <c r="Y13" s="149"/>
      <c r="Z13" s="149">
        <v>2</v>
      </c>
      <c r="AA13" s="149"/>
      <c r="AB13" s="149"/>
      <c r="AC13" s="149">
        <v>2</v>
      </c>
      <c r="AD13" s="149"/>
      <c r="AE13" s="150">
        <v>16</v>
      </c>
      <c r="AG13" s="51">
        <f t="shared" si="9"/>
        <v>6</v>
      </c>
      <c r="AI13" s="131" t="s">
        <v>62</v>
      </c>
      <c r="AJ13" s="132"/>
      <c r="AK13" s="132"/>
      <c r="AL13" s="132"/>
      <c r="AM13" s="132"/>
      <c r="AN13" s="132"/>
      <c r="AO13" s="132"/>
      <c r="AP13" s="132"/>
      <c r="AQ13" s="132"/>
      <c r="AR13" s="133"/>
    </row>
    <row r="14" spans="1:45" ht="14.6" customHeight="1" x14ac:dyDescent="0.4">
      <c r="A14" s="12" t="s">
        <v>12</v>
      </c>
      <c r="B14" s="13">
        <v>1</v>
      </c>
      <c r="C14" s="14" t="s">
        <v>41</v>
      </c>
      <c r="D14" s="15" t="s">
        <v>746</v>
      </c>
      <c r="E14" s="52"/>
      <c r="F14" s="26"/>
      <c r="G14" s="27" t="s">
        <v>730</v>
      </c>
      <c r="H14" s="28">
        <f t="shared" si="0"/>
        <v>19</v>
      </c>
      <c r="I14" s="28">
        <f t="shared" si="1"/>
        <v>19</v>
      </c>
      <c r="J14" s="29">
        <f t="shared" si="2"/>
        <v>1</v>
      </c>
      <c r="K14" s="28">
        <f t="shared" si="3"/>
        <v>27</v>
      </c>
      <c r="L14" s="28">
        <f t="shared" si="4"/>
        <v>24</v>
      </c>
      <c r="M14" s="75">
        <f t="shared" si="5"/>
        <v>1.125</v>
      </c>
      <c r="N14" s="29">
        <f t="shared" si="6"/>
        <v>1.4210526315789473</v>
      </c>
      <c r="O14" s="29">
        <f t="shared" si="7"/>
        <v>1.263157894736842</v>
      </c>
      <c r="P14" s="76">
        <f t="shared" si="8"/>
        <v>0.66666666666666663</v>
      </c>
      <c r="Q14" s="5"/>
      <c r="R14" s="118" t="s">
        <v>41</v>
      </c>
      <c r="S14" s="148"/>
      <c r="T14" s="149"/>
      <c r="U14" s="149"/>
      <c r="V14" s="149"/>
      <c r="W14" s="149"/>
      <c r="X14" s="149"/>
      <c r="Y14" s="149"/>
      <c r="Z14" s="149">
        <v>3</v>
      </c>
      <c r="AA14" s="149"/>
      <c r="AB14" s="149">
        <v>1</v>
      </c>
      <c r="AC14" s="149"/>
      <c r="AD14" s="149"/>
      <c r="AE14" s="150">
        <v>4</v>
      </c>
      <c r="AG14" s="51">
        <f t="shared" si="9"/>
        <v>2</v>
      </c>
      <c r="AI14" s="41" t="s">
        <v>14</v>
      </c>
      <c r="AJ14" s="25" t="s">
        <v>15</v>
      </c>
      <c r="AK14" s="25" t="s">
        <v>16</v>
      </c>
      <c r="AL14" s="25" t="s">
        <v>17</v>
      </c>
      <c r="AM14" s="25" t="s">
        <v>18</v>
      </c>
      <c r="AN14" s="25" t="s">
        <v>19</v>
      </c>
      <c r="AO14" s="25" t="s">
        <v>20</v>
      </c>
      <c r="AP14" s="25" t="s">
        <v>21</v>
      </c>
      <c r="AQ14" s="25" t="s">
        <v>22</v>
      </c>
      <c r="AR14" s="42" t="s">
        <v>23</v>
      </c>
    </row>
    <row r="15" spans="1:45" ht="14.6" customHeight="1" x14ac:dyDescent="0.4">
      <c r="A15" s="12" t="s">
        <v>28</v>
      </c>
      <c r="B15" s="13">
        <v>2</v>
      </c>
      <c r="C15" s="14" t="s">
        <v>35</v>
      </c>
      <c r="D15" s="15" t="s">
        <v>747</v>
      </c>
      <c r="E15" s="52"/>
      <c r="F15" s="26"/>
      <c r="G15" s="27" t="s">
        <v>35</v>
      </c>
      <c r="H15" s="28">
        <f t="shared" si="0"/>
        <v>0</v>
      </c>
      <c r="I15" s="28">
        <f t="shared" si="1"/>
        <v>63</v>
      </c>
      <c r="J15" s="29">
        <f t="shared" si="2"/>
        <v>0</v>
      </c>
      <c r="K15" s="28">
        <f t="shared" si="3"/>
        <v>0</v>
      </c>
      <c r="L15" s="28">
        <f t="shared" si="4"/>
        <v>120</v>
      </c>
      <c r="M15" s="75">
        <f t="shared" si="5"/>
        <v>0</v>
      </c>
      <c r="N15" s="29">
        <f t="shared" si="6"/>
        <v>0</v>
      </c>
      <c r="O15" s="29">
        <f t="shared" si="7"/>
        <v>1.9047619047619047</v>
      </c>
      <c r="P15" s="76">
        <f t="shared" si="8"/>
        <v>0</v>
      </c>
      <c r="Q15" s="5"/>
      <c r="R15" s="119" t="s">
        <v>42</v>
      </c>
      <c r="S15" s="151">
        <v>120</v>
      </c>
      <c r="T15" s="152">
        <v>108</v>
      </c>
      <c r="U15" s="152">
        <v>55</v>
      </c>
      <c r="V15" s="152">
        <v>54</v>
      </c>
      <c r="W15" s="152">
        <v>54</v>
      </c>
      <c r="X15" s="152">
        <v>45</v>
      </c>
      <c r="Y15" s="152">
        <v>26</v>
      </c>
      <c r="Z15" s="152">
        <v>24</v>
      </c>
      <c r="AA15" s="152">
        <v>22</v>
      </c>
      <c r="AB15" s="152">
        <v>21</v>
      </c>
      <c r="AC15" s="152">
        <v>13</v>
      </c>
      <c r="AD15" s="152">
        <v>11</v>
      </c>
      <c r="AE15" s="153">
        <v>553</v>
      </c>
      <c r="AG15" s="51">
        <f t="shared" si="9"/>
        <v>12</v>
      </c>
      <c r="AI15" s="34" t="s">
        <v>65</v>
      </c>
      <c r="AJ15" s="43">
        <v>7.5</v>
      </c>
      <c r="AK15" s="44">
        <v>-6</v>
      </c>
      <c r="AL15" s="44">
        <v>25</v>
      </c>
      <c r="AM15" s="44">
        <v>8.5</v>
      </c>
      <c r="AN15" s="44">
        <v>-6.5</v>
      </c>
      <c r="AO15" s="44">
        <v>25</v>
      </c>
      <c r="AP15" s="44">
        <v>20</v>
      </c>
      <c r="AQ15" s="44">
        <v>-20</v>
      </c>
      <c r="AR15" s="45">
        <v>250</v>
      </c>
      <c r="AS15" s="33" t="s">
        <v>66</v>
      </c>
    </row>
    <row r="16" spans="1:45" ht="14.6" customHeight="1" x14ac:dyDescent="0.4">
      <c r="A16" s="12" t="s">
        <v>39</v>
      </c>
      <c r="B16" s="13">
        <v>2</v>
      </c>
      <c r="C16" s="14" t="s">
        <v>35</v>
      </c>
      <c r="D16" s="15" t="s">
        <v>748</v>
      </c>
      <c r="E16" s="52"/>
      <c r="F16" s="26"/>
      <c r="Q16" s="46"/>
      <c r="AG16" s="51" t="str">
        <f t="shared" ref="AG16:AG22" si="10">IF(COUNT(S16:AE16)&lt;&gt;0,COUNT(S16:AE16)-1,"")</f>
        <v/>
      </c>
      <c r="AI16" s="77" t="s">
        <v>28</v>
      </c>
      <c r="AJ16" s="28">
        <f t="shared" ref="AJ16:AJ28" si="11">H3*$AJ$15</f>
        <v>412.5</v>
      </c>
      <c r="AK16" s="47">
        <f t="shared" ref="AK16:AK28" si="12">I3*$AK$15</f>
        <v>-438</v>
      </c>
      <c r="AL16" s="48">
        <f t="shared" ref="AL16:AL28" si="13">J3*$AL$15</f>
        <v>18.835616438356166</v>
      </c>
      <c r="AM16" s="78">
        <f t="shared" ref="AM16:AM28" si="14">K3*$AM$15</f>
        <v>595</v>
      </c>
      <c r="AN16" s="78">
        <f t="shared" ref="AN16:AN28" si="15">L3*$AN$15</f>
        <v>-702</v>
      </c>
      <c r="AO16" s="79">
        <f t="shared" ref="AO16:AO28" si="16">M3*$AO$15</f>
        <v>16.203703703703702</v>
      </c>
      <c r="AP16" s="48">
        <f t="shared" ref="AP16:AP28" si="17">N3*$AP$15</f>
        <v>25.454545454545453</v>
      </c>
      <c r="AQ16" s="48">
        <f t="shared" ref="AQ16:AQ28" si="18">O3*$AQ$15</f>
        <v>-29.589041095890408</v>
      </c>
      <c r="AR16" s="80">
        <f t="shared" ref="AR16:AR28" si="19">P3*$AR$15</f>
        <v>208.33333333333334</v>
      </c>
      <c r="AS16" s="49">
        <f t="shared" ref="AS16:AS28" si="20">SUM(AJ16:AR16)</f>
        <v>106.73815783404825</v>
      </c>
    </row>
    <row r="17" spans="1:45" ht="14.6" customHeight="1" x14ac:dyDescent="0.4">
      <c r="A17" s="12" t="s">
        <v>37</v>
      </c>
      <c r="B17" s="13">
        <v>1</v>
      </c>
      <c r="C17" s="14" t="s">
        <v>730</v>
      </c>
      <c r="D17" s="15" t="s">
        <v>749</v>
      </c>
      <c r="E17" s="52"/>
      <c r="F17" s="26"/>
      <c r="G17" s="131" t="s">
        <v>72</v>
      </c>
      <c r="H17" s="132"/>
      <c r="I17" s="132"/>
      <c r="J17" s="132"/>
      <c r="K17" s="132"/>
      <c r="L17" s="132"/>
      <c r="M17" s="132"/>
      <c r="N17" s="132"/>
      <c r="O17" s="133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 t="str">
        <f t="shared" si="10"/>
        <v/>
      </c>
      <c r="AI17" s="27" t="s">
        <v>33</v>
      </c>
      <c r="AJ17" s="28">
        <f t="shared" si="11"/>
        <v>135</v>
      </c>
      <c r="AK17" s="47">
        <f t="shared" si="12"/>
        <v>-234</v>
      </c>
      <c r="AL17" s="48">
        <f t="shared" si="13"/>
        <v>11.538461538461538</v>
      </c>
      <c r="AM17" s="78">
        <f t="shared" si="14"/>
        <v>221</v>
      </c>
      <c r="AN17" s="78">
        <f t="shared" si="15"/>
        <v>-351</v>
      </c>
      <c r="AO17" s="79">
        <f t="shared" si="16"/>
        <v>12.037037037037036</v>
      </c>
      <c r="AP17" s="48">
        <f t="shared" si="17"/>
        <v>28.888888888888889</v>
      </c>
      <c r="AQ17" s="48">
        <f t="shared" si="18"/>
        <v>-27.692307692307693</v>
      </c>
      <c r="AR17" s="80">
        <f t="shared" si="19"/>
        <v>166.66666666666666</v>
      </c>
      <c r="AS17" s="49">
        <f t="shared" si="20"/>
        <v>-37.561253561253551</v>
      </c>
    </row>
    <row r="18" spans="1:45" ht="14.6" customHeight="1" x14ac:dyDescent="0.4">
      <c r="A18" s="12" t="s">
        <v>730</v>
      </c>
      <c r="B18" s="13">
        <v>1</v>
      </c>
      <c r="C18" s="14" t="s">
        <v>37</v>
      </c>
      <c r="D18" s="15" t="s">
        <v>750</v>
      </c>
      <c r="E18" s="52"/>
      <c r="F18" s="26"/>
      <c r="G18" s="41" t="s">
        <v>74</v>
      </c>
      <c r="H18" s="25" t="s">
        <v>15</v>
      </c>
      <c r="I18" s="25" t="s">
        <v>16</v>
      </c>
      <c r="J18" s="25" t="s">
        <v>17</v>
      </c>
      <c r="K18" s="25" t="s">
        <v>18</v>
      </c>
      <c r="L18" s="25" t="s">
        <v>19</v>
      </c>
      <c r="M18" s="25" t="s">
        <v>20</v>
      </c>
      <c r="N18" s="18" t="s">
        <v>21</v>
      </c>
      <c r="O18" s="25" t="s">
        <v>22</v>
      </c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 t="str">
        <f t="shared" si="10"/>
        <v/>
      </c>
      <c r="AI18" s="27" t="s">
        <v>41</v>
      </c>
      <c r="AJ18" s="28">
        <f t="shared" si="11"/>
        <v>30</v>
      </c>
      <c r="AK18" s="47">
        <f t="shared" si="12"/>
        <v>-48</v>
      </c>
      <c r="AL18" s="48">
        <f t="shared" si="13"/>
        <v>12.5</v>
      </c>
      <c r="AM18" s="78">
        <f t="shared" si="14"/>
        <v>34</v>
      </c>
      <c r="AN18" s="78">
        <f t="shared" si="15"/>
        <v>-71.5</v>
      </c>
      <c r="AO18" s="79">
        <f t="shared" si="16"/>
        <v>9.0909090909090917</v>
      </c>
      <c r="AP18" s="48">
        <f t="shared" si="17"/>
        <v>20</v>
      </c>
      <c r="AQ18" s="48">
        <f t="shared" si="18"/>
        <v>-27.5</v>
      </c>
      <c r="AR18" s="80">
        <f t="shared" si="19"/>
        <v>41.666666666666664</v>
      </c>
      <c r="AS18" s="49">
        <f t="shared" si="20"/>
        <v>0.25757575757575779</v>
      </c>
    </row>
    <row r="19" spans="1:45" ht="14.25" customHeight="1" x14ac:dyDescent="0.4">
      <c r="A19" s="12" t="s">
        <v>38</v>
      </c>
      <c r="B19" s="13">
        <v>1</v>
      </c>
      <c r="C19" s="14" t="s">
        <v>33</v>
      </c>
      <c r="D19" s="15" t="s">
        <v>751</v>
      </c>
      <c r="E19" s="52"/>
      <c r="F19" s="26"/>
      <c r="G19" s="27" t="s">
        <v>76</v>
      </c>
      <c r="H19" s="54">
        <f>SUM(H3:H4)/COUNT(H3:H4)</f>
        <v>36.5</v>
      </c>
      <c r="I19" s="54">
        <f>SUM(I3:I4)/COUNT(I3:I4)</f>
        <v>56</v>
      </c>
      <c r="J19" s="55">
        <f>IF(I19,H19/I19,H19)</f>
        <v>0.6517857142857143</v>
      </c>
      <c r="K19" s="54">
        <f>SUM(K3:K4)/COUNT(K3:K4)</f>
        <v>48</v>
      </c>
      <c r="L19" s="54">
        <f>SUM(L3:L4)/COUNT(L3:L4)</f>
        <v>81</v>
      </c>
      <c r="M19" s="55">
        <f>IF(L19,K19/L19,K19)</f>
        <v>0.59259259259259256</v>
      </c>
      <c r="N19" s="56">
        <f t="shared" ref="N19:O23" si="21">IF(H19,K19/H19,0)</f>
        <v>1.3150684931506849</v>
      </c>
      <c r="O19" s="57">
        <f t="shared" si="21"/>
        <v>1.4464285714285714</v>
      </c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 t="str">
        <f t="shared" si="10"/>
        <v/>
      </c>
      <c r="AI19" s="27" t="s">
        <v>38</v>
      </c>
      <c r="AJ19" s="28">
        <f t="shared" si="11"/>
        <v>322.5</v>
      </c>
      <c r="AK19" s="47">
        <f t="shared" si="12"/>
        <v>-186</v>
      </c>
      <c r="AL19" s="48">
        <f t="shared" si="13"/>
        <v>34.677419354838712</v>
      </c>
      <c r="AM19" s="78">
        <f t="shared" si="14"/>
        <v>0</v>
      </c>
      <c r="AN19" s="78">
        <f t="shared" si="15"/>
        <v>0</v>
      </c>
      <c r="AO19" s="79">
        <f t="shared" si="16"/>
        <v>0</v>
      </c>
      <c r="AP19" s="48">
        <f t="shared" si="17"/>
        <v>0</v>
      </c>
      <c r="AQ19" s="48">
        <f t="shared" si="18"/>
        <v>0</v>
      </c>
      <c r="AR19" s="80">
        <f t="shared" si="19"/>
        <v>0</v>
      </c>
      <c r="AS19" s="49">
        <f t="shared" si="20"/>
        <v>171.17741935483872</v>
      </c>
    </row>
    <row r="20" spans="1:45" ht="14.25" customHeight="1" x14ac:dyDescent="0.4">
      <c r="A20" s="12" t="s">
        <v>33</v>
      </c>
      <c r="B20" s="13">
        <v>1</v>
      </c>
      <c r="C20" s="14" t="s">
        <v>38</v>
      </c>
      <c r="D20" s="15" t="s">
        <v>752</v>
      </c>
      <c r="E20" s="52"/>
      <c r="F20" s="26"/>
      <c r="G20" s="27" t="s">
        <v>77</v>
      </c>
      <c r="H20" s="54">
        <f>SUM(H5:H8)/COUNT(H5:H8)</f>
        <v>43</v>
      </c>
      <c r="I20" s="54">
        <f>SUM(I5:I8)/COUNT(I5:I8)</f>
        <v>33</v>
      </c>
      <c r="J20" s="55">
        <f>IF(I20,H20/I20,H20)</f>
        <v>1.303030303030303</v>
      </c>
      <c r="K20" s="54">
        <f>SUM(K5:K8)/COUNT(K5:K8)</f>
        <v>42.5</v>
      </c>
      <c r="L20" s="54">
        <f>SUM(L5:L8)/COUNT(L5:L8)</f>
        <v>27.5</v>
      </c>
      <c r="M20" s="55">
        <f>IF(L20,K20/L20,K20)</f>
        <v>1.5454545454545454</v>
      </c>
      <c r="N20" s="56">
        <f t="shared" si="21"/>
        <v>0.98837209302325579</v>
      </c>
      <c r="O20" s="57">
        <f t="shared" si="21"/>
        <v>0.83333333333333337</v>
      </c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 t="str">
        <f t="shared" si="10"/>
        <v/>
      </c>
      <c r="AI20" s="27" t="s">
        <v>438</v>
      </c>
      <c r="AJ20" s="28">
        <f t="shared" si="11"/>
        <v>652.5</v>
      </c>
      <c r="AK20" s="47">
        <f t="shared" si="12"/>
        <v>-306</v>
      </c>
      <c r="AL20" s="48">
        <f t="shared" si="13"/>
        <v>42.647058823529413</v>
      </c>
      <c r="AM20" s="78">
        <f t="shared" si="14"/>
        <v>977.5</v>
      </c>
      <c r="AN20" s="78">
        <f t="shared" si="15"/>
        <v>-292.5</v>
      </c>
      <c r="AO20" s="79">
        <f t="shared" si="16"/>
        <v>63.888888888888886</v>
      </c>
      <c r="AP20" s="48">
        <f t="shared" si="17"/>
        <v>26.436781609195403</v>
      </c>
      <c r="AQ20" s="48">
        <f t="shared" si="18"/>
        <v>-17.647058823529413</v>
      </c>
      <c r="AR20" s="80">
        <f t="shared" si="19"/>
        <v>187.5</v>
      </c>
      <c r="AS20" s="49">
        <f t="shared" si="20"/>
        <v>1334.325670498084</v>
      </c>
    </row>
    <row r="21" spans="1:45" ht="14.25" customHeight="1" x14ac:dyDescent="0.4">
      <c r="A21" s="12" t="s">
        <v>37</v>
      </c>
      <c r="B21" s="13">
        <v>2</v>
      </c>
      <c r="C21" s="14" t="s">
        <v>33</v>
      </c>
      <c r="D21" s="15" t="s">
        <v>753</v>
      </c>
      <c r="E21" s="52"/>
      <c r="F21" s="26"/>
      <c r="G21" s="27" t="s">
        <v>79</v>
      </c>
      <c r="H21" s="54">
        <f>SUM(H9:H11)/COUNT(H9:H11)</f>
        <v>40</v>
      </c>
      <c r="I21" s="54">
        <f>SUM(I9:I11)/COUNT(I9:I11)</f>
        <v>23.333333333333332</v>
      </c>
      <c r="J21" s="55">
        <f>IF(I21,H21/I21,H21)</f>
        <v>1.7142857142857144</v>
      </c>
      <c r="K21" s="54">
        <f>SUM(K9:K11)/COUNT(K9:K11)</f>
        <v>63.666666666666664</v>
      </c>
      <c r="L21" s="54">
        <f>SUM(L9:L11)/COUNT(L9:L11)</f>
        <v>29.666666666666668</v>
      </c>
      <c r="M21" s="55">
        <f>IF(L21,K21/L21,K21)</f>
        <v>2.1460674157303368</v>
      </c>
      <c r="N21" s="56">
        <f t="shared" si="21"/>
        <v>1.5916666666666666</v>
      </c>
      <c r="O21" s="57">
        <f t="shared" si="21"/>
        <v>1.2714285714285716</v>
      </c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 t="str">
        <f t="shared" si="10"/>
        <v/>
      </c>
      <c r="AI21" s="27" t="s">
        <v>31</v>
      </c>
      <c r="AJ21" s="28">
        <f t="shared" si="11"/>
        <v>285</v>
      </c>
      <c r="AK21" s="47">
        <f t="shared" si="12"/>
        <v>-252</v>
      </c>
      <c r="AL21" s="48">
        <f t="shared" si="13"/>
        <v>22.61904761904762</v>
      </c>
      <c r="AM21" s="78">
        <f t="shared" si="14"/>
        <v>433.5</v>
      </c>
      <c r="AN21" s="78">
        <f t="shared" si="15"/>
        <v>-351</v>
      </c>
      <c r="AO21" s="79">
        <f t="shared" si="16"/>
        <v>23.611111111111111</v>
      </c>
      <c r="AP21" s="48">
        <f t="shared" si="17"/>
        <v>26.842105263157894</v>
      </c>
      <c r="AQ21" s="48">
        <f t="shared" si="18"/>
        <v>-25.714285714285715</v>
      </c>
      <c r="AR21" s="80">
        <f t="shared" si="19"/>
        <v>187.5</v>
      </c>
      <c r="AS21" s="49">
        <f t="shared" si="20"/>
        <v>350.35797827903087</v>
      </c>
    </row>
    <row r="22" spans="1:45" ht="14.25" customHeight="1" x14ac:dyDescent="0.4">
      <c r="A22" s="12" t="s">
        <v>438</v>
      </c>
      <c r="B22" s="13">
        <v>1</v>
      </c>
      <c r="C22" s="14" t="s">
        <v>28</v>
      </c>
      <c r="D22" s="15" t="s">
        <v>754</v>
      </c>
      <c r="E22" s="4">
        <v>1</v>
      </c>
      <c r="F22" s="15"/>
      <c r="G22" s="27" t="s">
        <v>86</v>
      </c>
      <c r="H22" s="54">
        <f>SUM(H12:H15)/COUNT(H12:H15)</f>
        <v>15.25</v>
      </c>
      <c r="I22" s="54">
        <f>SUM(I12:I15)/COUNT(I12:I15)</f>
        <v>28</v>
      </c>
      <c r="J22" s="55">
        <f>IF(I22,H22/I22,H22)</f>
        <v>0.5446428571428571</v>
      </c>
      <c r="K22" s="54">
        <f>SUM(K12:K15)/COUNT(K12:K15)</f>
        <v>24</v>
      </c>
      <c r="L22" s="54">
        <f>SUM(L12:L15)/COUNT(L12:L15)</f>
        <v>48</v>
      </c>
      <c r="M22" s="55">
        <f>IF(L22,K22/L22,K22)</f>
        <v>0.5</v>
      </c>
      <c r="N22" s="56">
        <f t="shared" si="21"/>
        <v>1.5737704918032787</v>
      </c>
      <c r="O22" s="57">
        <f t="shared" si="21"/>
        <v>1.7142857142857142</v>
      </c>
      <c r="Q22" s="58"/>
      <c r="R22" s="59" t="s">
        <v>28</v>
      </c>
      <c r="S22" s="32" t="s">
        <v>81</v>
      </c>
      <c r="T22" s="60" t="s">
        <v>82</v>
      </c>
      <c r="U22" s="61" t="s">
        <v>83</v>
      </c>
      <c r="V22" s="62" t="s">
        <v>84</v>
      </c>
      <c r="AG22" s="51" t="str">
        <f t="shared" si="10"/>
        <v/>
      </c>
      <c r="AI22" s="27" t="s">
        <v>441</v>
      </c>
      <c r="AJ22" s="28">
        <f t="shared" si="11"/>
        <v>127.5</v>
      </c>
      <c r="AK22" s="47">
        <f t="shared" si="12"/>
        <v>-72</v>
      </c>
      <c r="AL22" s="48">
        <f t="shared" si="13"/>
        <v>35.416666666666671</v>
      </c>
      <c r="AM22" s="78">
        <f t="shared" si="14"/>
        <v>238</v>
      </c>
      <c r="AN22" s="78">
        <f t="shared" si="15"/>
        <v>-84.5</v>
      </c>
      <c r="AO22" s="79">
        <f t="shared" si="16"/>
        <v>53.846153846153847</v>
      </c>
      <c r="AP22" s="48">
        <f t="shared" si="17"/>
        <v>32.941176470588232</v>
      </c>
      <c r="AQ22" s="48">
        <f t="shared" si="18"/>
        <v>-21.666666666666664</v>
      </c>
      <c r="AR22" s="80">
        <f t="shared" si="19"/>
        <v>187.5</v>
      </c>
      <c r="AS22" s="49">
        <f t="shared" si="20"/>
        <v>497.0373303167421</v>
      </c>
    </row>
    <row r="23" spans="1:45" ht="14.25" customHeight="1" x14ac:dyDescent="0.4">
      <c r="A23" s="12" t="s">
        <v>28</v>
      </c>
      <c r="B23" s="13">
        <v>1</v>
      </c>
      <c r="C23" s="14" t="s">
        <v>438</v>
      </c>
      <c r="D23" s="15" t="s">
        <v>755</v>
      </c>
      <c r="E23" s="52"/>
      <c r="F23" s="26"/>
      <c r="G23" s="64" t="s">
        <v>88</v>
      </c>
      <c r="H23" s="54">
        <f>SUM(H12:H14)/COUNT(H12:H14)</f>
        <v>20.333333333333332</v>
      </c>
      <c r="I23" s="54">
        <f>SUM(I12:I14)/COUNT(I12:I14)</f>
        <v>16.333333333333332</v>
      </c>
      <c r="J23" s="55">
        <f>IF(I23,H23/I23,H23)</f>
        <v>1.2448979591836735</v>
      </c>
      <c r="K23" s="54">
        <f>SUM(K12:K14)/COUNT(K12:K14)</f>
        <v>32</v>
      </c>
      <c r="L23" s="54">
        <f>SUM(L12:L14)/COUNT(L12:L14)</f>
        <v>24</v>
      </c>
      <c r="M23" s="55">
        <f>IF(L23,K23/L23,K23)</f>
        <v>1.3333333333333333</v>
      </c>
      <c r="N23" s="56">
        <f t="shared" si="21"/>
        <v>1.5737704918032789</v>
      </c>
      <c r="O23" s="57">
        <f t="shared" si="21"/>
        <v>1.4693877551020409</v>
      </c>
      <c r="Q23" s="58"/>
      <c r="R23" s="36" t="s">
        <v>87</v>
      </c>
      <c r="S23" s="32">
        <f>COUNT(E:E)</f>
        <v>59</v>
      </c>
      <c r="T23" s="60">
        <f>COUNTIF(E:E,1)</f>
        <v>25</v>
      </c>
      <c r="U23" s="61">
        <f>S23-T23</f>
        <v>34</v>
      </c>
      <c r="V23" s="63">
        <f>IFERROR(T23/S23,0)</f>
        <v>0.42372881355932202</v>
      </c>
      <c r="AI23" s="27" t="s">
        <v>734</v>
      </c>
      <c r="AJ23" s="28">
        <f t="shared" si="11"/>
        <v>322.5</v>
      </c>
      <c r="AK23" s="47">
        <f t="shared" si="12"/>
        <v>-102</v>
      </c>
      <c r="AL23" s="48">
        <f t="shared" si="13"/>
        <v>63.235294117647058</v>
      </c>
      <c r="AM23" s="78">
        <f t="shared" si="14"/>
        <v>612</v>
      </c>
      <c r="AN23" s="78">
        <f t="shared" si="15"/>
        <v>-136.5</v>
      </c>
      <c r="AO23" s="79">
        <f t="shared" si="16"/>
        <v>85.714285714285708</v>
      </c>
      <c r="AP23" s="48">
        <f t="shared" si="17"/>
        <v>33.488372093023258</v>
      </c>
      <c r="AQ23" s="48">
        <f t="shared" si="18"/>
        <v>-24.705882352941178</v>
      </c>
      <c r="AR23" s="80">
        <f t="shared" si="19"/>
        <v>208.33333333333334</v>
      </c>
      <c r="AS23" s="49">
        <f t="shared" si="20"/>
        <v>1062.065402905348</v>
      </c>
    </row>
    <row r="24" spans="1:45" ht="14.25" customHeight="1" x14ac:dyDescent="0.4">
      <c r="A24" s="12" t="s">
        <v>33</v>
      </c>
      <c r="B24" s="13">
        <v>2</v>
      </c>
      <c r="C24" s="14" t="s">
        <v>734</v>
      </c>
      <c r="D24" s="15" t="s">
        <v>756</v>
      </c>
      <c r="E24" s="52"/>
      <c r="F24" s="15"/>
      <c r="J24" s="53"/>
      <c r="K24" s="53"/>
      <c r="L24" s="53"/>
      <c r="M24" s="31"/>
      <c r="N24" s="31"/>
      <c r="O24" s="31"/>
      <c r="Q24" s="5"/>
      <c r="AD24" s="53"/>
      <c r="AI24" s="27" t="s">
        <v>12</v>
      </c>
      <c r="AJ24" s="28">
        <f t="shared" si="11"/>
        <v>450</v>
      </c>
      <c r="AK24" s="47">
        <f t="shared" si="12"/>
        <v>-246</v>
      </c>
      <c r="AL24" s="48">
        <f t="shared" si="13"/>
        <v>36.585365853658537</v>
      </c>
      <c r="AM24" s="78">
        <f t="shared" si="14"/>
        <v>773.5</v>
      </c>
      <c r="AN24" s="78">
        <f t="shared" si="15"/>
        <v>-357.5</v>
      </c>
      <c r="AO24" s="79">
        <f t="shared" si="16"/>
        <v>41.363636363636367</v>
      </c>
      <c r="AP24" s="48">
        <f t="shared" si="17"/>
        <v>30.333333333333332</v>
      </c>
      <c r="AQ24" s="48">
        <f t="shared" si="18"/>
        <v>-26.829268292682929</v>
      </c>
      <c r="AR24" s="80">
        <f t="shared" si="19"/>
        <v>208.33333333333334</v>
      </c>
      <c r="AS24" s="49">
        <f t="shared" si="20"/>
        <v>909.78640059127872</v>
      </c>
    </row>
    <row r="25" spans="1:45" ht="14.25" customHeight="1" x14ac:dyDescent="0.4">
      <c r="A25" s="12" t="s">
        <v>38</v>
      </c>
      <c r="B25" s="13">
        <v>1</v>
      </c>
      <c r="C25" s="14" t="s">
        <v>730</v>
      </c>
      <c r="D25" s="15" t="s">
        <v>757</v>
      </c>
      <c r="E25" s="52"/>
      <c r="F25" s="26"/>
      <c r="G25" s="27" t="s">
        <v>14</v>
      </c>
      <c r="H25" s="33" t="s">
        <v>15</v>
      </c>
      <c r="Q25" s="27" t="s">
        <v>14</v>
      </c>
      <c r="R25" s="33" t="s">
        <v>18</v>
      </c>
      <c r="AI25" s="27" t="s">
        <v>37</v>
      </c>
      <c r="AJ25" s="28">
        <f t="shared" si="11"/>
        <v>75</v>
      </c>
      <c r="AK25" s="47">
        <f t="shared" si="12"/>
        <v>-72</v>
      </c>
      <c r="AL25" s="48">
        <f t="shared" si="13"/>
        <v>20.833333333333336</v>
      </c>
      <c r="AM25" s="78">
        <f t="shared" si="14"/>
        <v>136</v>
      </c>
      <c r="AN25" s="78">
        <f t="shared" si="15"/>
        <v>-143</v>
      </c>
      <c r="AO25" s="79">
        <f t="shared" si="16"/>
        <v>18.181818181818183</v>
      </c>
      <c r="AP25" s="48">
        <f t="shared" si="17"/>
        <v>32</v>
      </c>
      <c r="AQ25" s="48">
        <f t="shared" si="18"/>
        <v>-36.666666666666664</v>
      </c>
      <c r="AR25" s="80">
        <f t="shared" si="19"/>
        <v>125</v>
      </c>
      <c r="AS25" s="49">
        <f t="shared" si="20"/>
        <v>155.34848484848487</v>
      </c>
    </row>
    <row r="26" spans="1:45" ht="14.25" customHeight="1" x14ac:dyDescent="0.4">
      <c r="A26" s="12" t="s">
        <v>730</v>
      </c>
      <c r="B26" s="13">
        <v>1</v>
      </c>
      <c r="C26" s="14" t="s">
        <v>38</v>
      </c>
      <c r="D26" s="15" t="s">
        <v>758</v>
      </c>
      <c r="E26" s="52"/>
      <c r="F26" s="26"/>
      <c r="G26" s="27" t="s">
        <v>438</v>
      </c>
      <c r="H26" s="28">
        <f>$H$7</f>
        <v>87</v>
      </c>
      <c r="Q26" s="27" t="s">
        <v>438</v>
      </c>
      <c r="R26" s="28">
        <f>$K$7</f>
        <v>115</v>
      </c>
      <c r="AI26" s="27" t="s">
        <v>39</v>
      </c>
      <c r="AJ26" s="28">
        <f t="shared" si="11"/>
        <v>240</v>
      </c>
      <c r="AK26" s="47">
        <f t="shared" si="12"/>
        <v>-108</v>
      </c>
      <c r="AL26" s="48">
        <f t="shared" si="13"/>
        <v>44.444444444444443</v>
      </c>
      <c r="AM26" s="78">
        <f t="shared" si="14"/>
        <v>450.5</v>
      </c>
      <c r="AN26" s="78">
        <f t="shared" si="15"/>
        <v>-169</v>
      </c>
      <c r="AO26" s="79">
        <f t="shared" si="16"/>
        <v>50.96153846153846</v>
      </c>
      <c r="AP26" s="48">
        <f t="shared" si="17"/>
        <v>33.125</v>
      </c>
      <c r="AQ26" s="48">
        <f t="shared" si="18"/>
        <v>-28.888888888888889</v>
      </c>
      <c r="AR26" s="80">
        <f t="shared" si="19"/>
        <v>187.5</v>
      </c>
      <c r="AS26" s="49">
        <f t="shared" si="20"/>
        <v>700.642094017094</v>
      </c>
    </row>
    <row r="27" spans="1:45" ht="14.25" customHeight="1" x14ac:dyDescent="0.4">
      <c r="A27" s="12" t="s">
        <v>438</v>
      </c>
      <c r="B27" s="13">
        <v>2</v>
      </c>
      <c r="C27" s="14" t="s">
        <v>35</v>
      </c>
      <c r="D27" s="15" t="s">
        <v>759</v>
      </c>
      <c r="E27" s="52"/>
      <c r="F27" s="15"/>
      <c r="G27" s="27" t="s">
        <v>12</v>
      </c>
      <c r="H27" s="28">
        <f>$H$11</f>
        <v>60</v>
      </c>
      <c r="Q27" s="27" t="s">
        <v>12</v>
      </c>
      <c r="R27" s="28">
        <f>$K$11</f>
        <v>91</v>
      </c>
      <c r="AI27" s="27" t="s">
        <v>730</v>
      </c>
      <c r="AJ27" s="28">
        <f t="shared" si="11"/>
        <v>142.5</v>
      </c>
      <c r="AK27" s="47">
        <f t="shared" si="12"/>
        <v>-114</v>
      </c>
      <c r="AL27" s="48">
        <f t="shared" si="13"/>
        <v>25</v>
      </c>
      <c r="AM27" s="78">
        <f t="shared" si="14"/>
        <v>229.5</v>
      </c>
      <c r="AN27" s="78">
        <f t="shared" si="15"/>
        <v>-156</v>
      </c>
      <c r="AO27" s="79">
        <f t="shared" si="16"/>
        <v>28.125</v>
      </c>
      <c r="AP27" s="48">
        <f t="shared" si="17"/>
        <v>28.421052631578945</v>
      </c>
      <c r="AQ27" s="48">
        <f t="shared" si="18"/>
        <v>-25.263157894736842</v>
      </c>
      <c r="AR27" s="80">
        <f t="shared" si="19"/>
        <v>166.66666666666666</v>
      </c>
      <c r="AS27" s="49">
        <f t="shared" si="20"/>
        <v>324.94956140350877</v>
      </c>
    </row>
    <row r="28" spans="1:45" ht="14.25" customHeight="1" x14ac:dyDescent="0.4">
      <c r="A28" s="12" t="s">
        <v>38</v>
      </c>
      <c r="B28" s="13">
        <v>2</v>
      </c>
      <c r="C28" s="14" t="s">
        <v>28</v>
      </c>
      <c r="D28" s="15" t="s">
        <v>760</v>
      </c>
      <c r="E28" s="52">
        <v>0</v>
      </c>
      <c r="F28" s="26"/>
      <c r="G28" s="27" t="s">
        <v>28</v>
      </c>
      <c r="H28" s="28">
        <f>$H$3</f>
        <v>55</v>
      </c>
      <c r="Q28" s="27" t="s">
        <v>28</v>
      </c>
      <c r="R28" s="28">
        <f>$K$3</f>
        <v>70</v>
      </c>
      <c r="AI28" s="27" t="s">
        <v>35</v>
      </c>
      <c r="AJ28" s="28">
        <f t="shared" si="11"/>
        <v>0</v>
      </c>
      <c r="AK28" s="47">
        <f t="shared" si="12"/>
        <v>-378</v>
      </c>
      <c r="AL28" s="48">
        <f t="shared" si="13"/>
        <v>0</v>
      </c>
      <c r="AM28" s="78">
        <f t="shared" si="14"/>
        <v>0</v>
      </c>
      <c r="AN28" s="78">
        <f t="shared" si="15"/>
        <v>-780</v>
      </c>
      <c r="AO28" s="79">
        <f t="shared" si="16"/>
        <v>0</v>
      </c>
      <c r="AP28" s="48">
        <f t="shared" si="17"/>
        <v>0</v>
      </c>
      <c r="AQ28" s="48">
        <f t="shared" si="18"/>
        <v>-38.095238095238095</v>
      </c>
      <c r="AR28" s="80">
        <f t="shared" si="19"/>
        <v>0</v>
      </c>
      <c r="AS28" s="49">
        <f t="shared" si="20"/>
        <v>-1196.0952380952381</v>
      </c>
    </row>
    <row r="29" spans="1:45" ht="14.25" customHeight="1" x14ac:dyDescent="0.4">
      <c r="A29" s="12" t="s">
        <v>734</v>
      </c>
      <c r="B29" s="13">
        <v>2</v>
      </c>
      <c r="C29" s="14" t="s">
        <v>12</v>
      </c>
      <c r="D29" s="15" t="s">
        <v>761</v>
      </c>
      <c r="E29" s="52"/>
      <c r="F29" s="15"/>
      <c r="G29" s="27" t="s">
        <v>734</v>
      </c>
      <c r="H29" s="28">
        <f>$H$10</f>
        <v>43</v>
      </c>
      <c r="Q29" s="27" t="s">
        <v>734</v>
      </c>
      <c r="R29" s="28">
        <f>$K$10</f>
        <v>72</v>
      </c>
    </row>
    <row r="30" spans="1:45" ht="14.25" customHeight="1" x14ac:dyDescent="0.4">
      <c r="A30" s="12" t="s">
        <v>38</v>
      </c>
      <c r="B30" s="13">
        <v>2</v>
      </c>
      <c r="C30" s="14" t="s">
        <v>734</v>
      </c>
      <c r="D30" s="15" t="s">
        <v>762</v>
      </c>
      <c r="E30" s="52"/>
      <c r="F30" s="26"/>
      <c r="G30" s="27" t="s">
        <v>38</v>
      </c>
      <c r="H30" s="28">
        <f>$H$6</f>
        <v>43</v>
      </c>
      <c r="Q30" s="27" t="s">
        <v>38</v>
      </c>
      <c r="R30" s="28">
        <f>$K$6</f>
        <v>0</v>
      </c>
    </row>
    <row r="31" spans="1:45" ht="14.25" customHeight="1" x14ac:dyDescent="0.4">
      <c r="A31" s="12" t="s">
        <v>38</v>
      </c>
      <c r="B31" s="13">
        <v>2</v>
      </c>
      <c r="C31" s="14" t="s">
        <v>33</v>
      </c>
      <c r="D31" s="15" t="s">
        <v>763</v>
      </c>
      <c r="E31" s="52"/>
      <c r="F31" s="26"/>
      <c r="G31" s="27" t="s">
        <v>31</v>
      </c>
      <c r="H31" s="28">
        <f>$H$8</f>
        <v>38</v>
      </c>
      <c r="Q31" s="27" t="s">
        <v>31</v>
      </c>
      <c r="R31" s="28">
        <f>$K$8</f>
        <v>51</v>
      </c>
    </row>
    <row r="32" spans="1:45" ht="14.25" customHeight="1" x14ac:dyDescent="0.4">
      <c r="A32" s="12" t="s">
        <v>33</v>
      </c>
      <c r="B32" s="13">
        <v>1</v>
      </c>
      <c r="C32" s="14" t="s">
        <v>38</v>
      </c>
      <c r="D32" s="15" t="s">
        <v>764</v>
      </c>
      <c r="E32" s="52"/>
      <c r="F32" s="26"/>
      <c r="G32" s="27" t="s">
        <v>39</v>
      </c>
      <c r="H32" s="28">
        <f>$H$13</f>
        <v>32</v>
      </c>
      <c r="Q32" s="27" t="s">
        <v>39</v>
      </c>
      <c r="R32" s="28">
        <f>$K$13</f>
        <v>53</v>
      </c>
      <c r="AI32" s="53"/>
      <c r="AJ32" s="53"/>
      <c r="AK32" s="53"/>
    </row>
    <row r="33" spans="1:38" ht="14.25" customHeight="1" x14ac:dyDescent="0.4">
      <c r="A33" s="12" t="s">
        <v>441</v>
      </c>
      <c r="B33" s="13">
        <v>2</v>
      </c>
      <c r="C33" s="14" t="s">
        <v>734</v>
      </c>
      <c r="D33" s="15" t="s">
        <v>765</v>
      </c>
      <c r="E33" s="52"/>
      <c r="F33" s="26"/>
      <c r="G33" s="27" t="s">
        <v>730</v>
      </c>
      <c r="H33" s="28">
        <f>$H$14</f>
        <v>19</v>
      </c>
      <c r="Q33" s="27" t="s">
        <v>441</v>
      </c>
      <c r="R33" s="28">
        <f>$K$9</f>
        <v>28</v>
      </c>
      <c r="AI33" s="65" t="s">
        <v>14</v>
      </c>
      <c r="AJ33" s="66" t="s">
        <v>98</v>
      </c>
      <c r="AK33" s="66" t="s">
        <v>99</v>
      </c>
      <c r="AL33" s="53"/>
    </row>
    <row r="34" spans="1:38" ht="14.25" customHeight="1" x14ac:dyDescent="0.4">
      <c r="A34" s="12" t="s">
        <v>734</v>
      </c>
      <c r="B34" s="13">
        <v>1</v>
      </c>
      <c r="C34" s="14" t="s">
        <v>441</v>
      </c>
      <c r="D34" s="15" t="s">
        <v>766</v>
      </c>
      <c r="E34" s="52"/>
      <c r="F34" s="26"/>
      <c r="G34" s="27" t="s">
        <v>33</v>
      </c>
      <c r="H34" s="28">
        <f>$H$4</f>
        <v>18</v>
      </c>
      <c r="Q34" s="27" t="s">
        <v>730</v>
      </c>
      <c r="R34" s="28">
        <f>$K$14</f>
        <v>27</v>
      </c>
      <c r="AI34" s="77" t="s">
        <v>438</v>
      </c>
      <c r="AJ34" s="49">
        <f>$AS$20</f>
        <v>1334.325670498084</v>
      </c>
      <c r="AK34" s="67">
        <f t="shared" ref="AK34:AK46" si="22">AJ34-$AJ$46</f>
        <v>2530.4209085933221</v>
      </c>
      <c r="AL34" s="52">
        <v>1</v>
      </c>
    </row>
    <row r="35" spans="1:38" ht="14.25" customHeight="1" x14ac:dyDescent="0.4">
      <c r="A35" s="12" t="s">
        <v>28</v>
      </c>
      <c r="B35" s="13">
        <v>1</v>
      </c>
      <c r="C35" s="14" t="s">
        <v>438</v>
      </c>
      <c r="D35" s="15" t="s">
        <v>767</v>
      </c>
      <c r="E35" s="52"/>
      <c r="F35" s="15"/>
      <c r="G35" s="27" t="s">
        <v>441</v>
      </c>
      <c r="H35" s="28">
        <f>$H$9</f>
        <v>17</v>
      </c>
      <c r="Q35" s="27" t="s">
        <v>33</v>
      </c>
      <c r="R35" s="28">
        <f>$K$4</f>
        <v>26</v>
      </c>
      <c r="AI35" s="27" t="s">
        <v>734</v>
      </c>
      <c r="AJ35" s="49">
        <f>$AS$23</f>
        <v>1062.065402905348</v>
      </c>
      <c r="AK35" s="67">
        <f t="shared" si="22"/>
        <v>2258.1606410005861</v>
      </c>
      <c r="AL35" s="52">
        <v>2</v>
      </c>
    </row>
    <row r="36" spans="1:38" ht="14.25" customHeight="1" x14ac:dyDescent="0.4">
      <c r="A36" s="12" t="s">
        <v>438</v>
      </c>
      <c r="B36" s="13">
        <v>1</v>
      </c>
      <c r="C36" s="14" t="s">
        <v>28</v>
      </c>
      <c r="D36" s="15" t="s">
        <v>768</v>
      </c>
      <c r="E36" s="52">
        <v>0</v>
      </c>
      <c r="F36" s="26"/>
      <c r="G36" s="27" t="s">
        <v>37</v>
      </c>
      <c r="H36" s="28">
        <f>$H$12</f>
        <v>10</v>
      </c>
      <c r="Q36" s="27" t="s">
        <v>37</v>
      </c>
      <c r="R36" s="28">
        <f>$K$12</f>
        <v>16</v>
      </c>
      <c r="AI36" s="27" t="s">
        <v>12</v>
      </c>
      <c r="AJ36" s="49">
        <f>$AS$24</f>
        <v>909.78640059127872</v>
      </c>
      <c r="AK36" s="67">
        <f t="shared" si="22"/>
        <v>2105.8816386865169</v>
      </c>
      <c r="AL36" s="52">
        <v>3</v>
      </c>
    </row>
    <row r="37" spans="1:38" ht="14.25" customHeight="1" x14ac:dyDescent="0.4">
      <c r="A37" s="12" t="s">
        <v>730</v>
      </c>
      <c r="B37" s="13">
        <v>2</v>
      </c>
      <c r="C37" s="14" t="s">
        <v>38</v>
      </c>
      <c r="D37" s="15" t="s">
        <v>769</v>
      </c>
      <c r="E37" s="52"/>
      <c r="F37" s="15"/>
      <c r="G37" s="27" t="s">
        <v>41</v>
      </c>
      <c r="H37" s="28">
        <f>$H$5</f>
        <v>4</v>
      </c>
      <c r="Q37" s="27" t="s">
        <v>41</v>
      </c>
      <c r="R37" s="28">
        <f>$K$5</f>
        <v>4</v>
      </c>
      <c r="AI37" s="27" t="s">
        <v>39</v>
      </c>
      <c r="AJ37" s="49">
        <f>$AS$26</f>
        <v>700.642094017094</v>
      </c>
      <c r="AK37" s="67">
        <f t="shared" si="22"/>
        <v>1896.7373321123321</v>
      </c>
      <c r="AL37" s="52">
        <v>4</v>
      </c>
    </row>
    <row r="38" spans="1:38" ht="14.25" customHeight="1" x14ac:dyDescent="0.4">
      <c r="A38" s="12" t="s">
        <v>38</v>
      </c>
      <c r="B38" s="13">
        <v>1</v>
      </c>
      <c r="C38" s="14" t="s">
        <v>730</v>
      </c>
      <c r="D38" s="15" t="s">
        <v>770</v>
      </c>
      <c r="E38" s="52"/>
      <c r="F38" s="26"/>
      <c r="G38" s="27" t="s">
        <v>35</v>
      </c>
      <c r="H38" s="28">
        <f>$H$15</f>
        <v>0</v>
      </c>
      <c r="Q38" s="27" t="s">
        <v>35</v>
      </c>
      <c r="R38" s="28">
        <f>$K$15</f>
        <v>0</v>
      </c>
      <c r="AI38" s="27" t="s">
        <v>38</v>
      </c>
      <c r="AJ38" s="49">
        <f>$AS$19</f>
        <v>171.17741935483872</v>
      </c>
      <c r="AK38" s="67">
        <f t="shared" si="22"/>
        <v>1367.2726574500768</v>
      </c>
      <c r="AL38" s="52">
        <v>5</v>
      </c>
    </row>
    <row r="39" spans="1:38" ht="14.25" customHeight="1" x14ac:dyDescent="0.4">
      <c r="A39" s="12" t="s">
        <v>438</v>
      </c>
      <c r="B39" s="13">
        <v>1</v>
      </c>
      <c r="C39" s="14" t="s">
        <v>38</v>
      </c>
      <c r="D39" s="15" t="s">
        <v>771</v>
      </c>
      <c r="E39" s="52"/>
      <c r="F39" s="26"/>
      <c r="AI39" s="27" t="s">
        <v>441</v>
      </c>
      <c r="AJ39" s="49">
        <f>$AS$22</f>
        <v>497.0373303167421</v>
      </c>
      <c r="AK39" s="67">
        <f t="shared" si="22"/>
        <v>1693.1325684119802</v>
      </c>
      <c r="AL39" s="52">
        <v>6</v>
      </c>
    </row>
    <row r="40" spans="1:38" ht="14.25" customHeight="1" x14ac:dyDescent="0.4">
      <c r="A40" s="12" t="s">
        <v>38</v>
      </c>
      <c r="B40" s="13">
        <v>1</v>
      </c>
      <c r="C40" s="14" t="s">
        <v>438</v>
      </c>
      <c r="D40" s="15" t="s">
        <v>772</v>
      </c>
      <c r="E40" s="52"/>
      <c r="F40" s="26"/>
      <c r="AI40" s="27" t="s">
        <v>730</v>
      </c>
      <c r="AJ40" s="49">
        <f>$AS$27</f>
        <v>324.94956140350877</v>
      </c>
      <c r="AK40" s="67">
        <f t="shared" si="22"/>
        <v>1521.0447994987469</v>
      </c>
      <c r="AL40" s="52">
        <v>7</v>
      </c>
    </row>
    <row r="41" spans="1:38" ht="14.25" customHeight="1" x14ac:dyDescent="0.4">
      <c r="A41" s="12" t="s">
        <v>12</v>
      </c>
      <c r="B41" s="13">
        <v>2</v>
      </c>
      <c r="C41" s="14" t="s">
        <v>31</v>
      </c>
      <c r="D41" s="15" t="s">
        <v>773</v>
      </c>
      <c r="E41" s="52"/>
      <c r="F41" s="15"/>
      <c r="G41" s="27" t="s">
        <v>14</v>
      </c>
      <c r="H41" s="33" t="s">
        <v>16</v>
      </c>
      <c r="Q41" s="27" t="s">
        <v>14</v>
      </c>
      <c r="R41" s="33" t="s">
        <v>19</v>
      </c>
      <c r="AI41" s="27" t="s">
        <v>31</v>
      </c>
      <c r="AJ41" s="49">
        <f>$AS$21</f>
        <v>350.35797827903087</v>
      </c>
      <c r="AK41" s="67">
        <f t="shared" si="22"/>
        <v>1546.453216374269</v>
      </c>
      <c r="AL41" s="52">
        <v>8</v>
      </c>
    </row>
    <row r="42" spans="1:38" ht="14.25" customHeight="1" x14ac:dyDescent="0.4">
      <c r="A42" s="12" t="s">
        <v>12</v>
      </c>
      <c r="B42" s="13">
        <v>1</v>
      </c>
      <c r="C42" s="14" t="s">
        <v>28</v>
      </c>
      <c r="D42" s="15" t="s">
        <v>774</v>
      </c>
      <c r="E42" s="52">
        <v>0</v>
      </c>
      <c r="F42" s="26"/>
      <c r="G42" s="27" t="s">
        <v>28</v>
      </c>
      <c r="H42" s="28">
        <f>$I$3</f>
        <v>73</v>
      </c>
      <c r="Q42" s="27" t="s">
        <v>35</v>
      </c>
      <c r="R42" s="28">
        <f>$L$15</f>
        <v>120</v>
      </c>
      <c r="AI42" s="27" t="s">
        <v>37</v>
      </c>
      <c r="AJ42" s="49">
        <f>$AS$25</f>
        <v>155.34848484848487</v>
      </c>
      <c r="AK42" s="67">
        <f t="shared" si="22"/>
        <v>1351.4437229437231</v>
      </c>
      <c r="AL42" s="52">
        <v>9</v>
      </c>
    </row>
    <row r="43" spans="1:38" ht="14.25" customHeight="1" x14ac:dyDescent="0.4">
      <c r="A43" s="12" t="s">
        <v>28</v>
      </c>
      <c r="B43" s="13">
        <v>1</v>
      </c>
      <c r="C43" s="14" t="s">
        <v>12</v>
      </c>
      <c r="D43" s="15" t="s">
        <v>775</v>
      </c>
      <c r="E43" s="52"/>
      <c r="F43" s="26"/>
      <c r="G43" s="27" t="s">
        <v>35</v>
      </c>
      <c r="H43" s="28">
        <f>$I$15</f>
        <v>63</v>
      </c>
      <c r="Q43" s="27" t="s">
        <v>28</v>
      </c>
      <c r="R43" s="28">
        <f>$L$3</f>
        <v>108</v>
      </c>
      <c r="AI43" s="27" t="s">
        <v>28</v>
      </c>
      <c r="AJ43" s="49">
        <f>$AS$16</f>
        <v>106.73815783404825</v>
      </c>
      <c r="AK43" s="67">
        <f t="shared" si="22"/>
        <v>1302.8333959292863</v>
      </c>
      <c r="AL43" s="52">
        <v>10</v>
      </c>
    </row>
    <row r="44" spans="1:38" ht="14.25" customHeight="1" x14ac:dyDescent="0.4">
      <c r="A44" s="12" t="s">
        <v>441</v>
      </c>
      <c r="B44" s="13">
        <v>2</v>
      </c>
      <c r="C44" s="14" t="s">
        <v>35</v>
      </c>
      <c r="D44" s="15" t="s">
        <v>776</v>
      </c>
      <c r="E44" s="52"/>
      <c r="F44" s="26"/>
      <c r="G44" s="27" t="s">
        <v>438</v>
      </c>
      <c r="H44" s="28">
        <f>$I$7</f>
        <v>51</v>
      </c>
      <c r="Q44" s="27" t="s">
        <v>31</v>
      </c>
      <c r="R44" s="28">
        <f>$L$8</f>
        <v>54</v>
      </c>
      <c r="AI44" s="27" t="s">
        <v>41</v>
      </c>
      <c r="AJ44" s="49">
        <f>$AS$18</f>
        <v>0.25757575757575779</v>
      </c>
      <c r="AK44" s="67">
        <f t="shared" si="22"/>
        <v>1196.3528138528138</v>
      </c>
      <c r="AL44" s="52">
        <v>11</v>
      </c>
    </row>
    <row r="45" spans="1:38" ht="14.25" customHeight="1" x14ac:dyDescent="0.4">
      <c r="A45" s="12" t="s">
        <v>12</v>
      </c>
      <c r="B45" s="13">
        <v>1</v>
      </c>
      <c r="C45" s="14" t="s">
        <v>730</v>
      </c>
      <c r="D45" s="15" t="s">
        <v>777</v>
      </c>
      <c r="E45" s="52"/>
      <c r="F45" s="15"/>
      <c r="G45" s="27" t="s">
        <v>31</v>
      </c>
      <c r="H45" s="28">
        <f>$I$8</f>
        <v>42</v>
      </c>
      <c r="Q45" s="27" t="s">
        <v>33</v>
      </c>
      <c r="R45" s="28">
        <f>$L$4</f>
        <v>54</v>
      </c>
      <c r="AI45" s="27" t="s">
        <v>33</v>
      </c>
      <c r="AJ45" s="49">
        <f>$AS$17</f>
        <v>-37.561253561253551</v>
      </c>
      <c r="AK45" s="67">
        <f t="shared" si="22"/>
        <v>1158.5339845339845</v>
      </c>
      <c r="AL45" s="52">
        <v>12</v>
      </c>
    </row>
    <row r="46" spans="1:38" ht="14.25" customHeight="1" x14ac:dyDescent="0.4">
      <c r="A46" s="12" t="s">
        <v>33</v>
      </c>
      <c r="B46" s="13">
        <v>2</v>
      </c>
      <c r="C46" s="14" t="s">
        <v>730</v>
      </c>
      <c r="D46" s="15" t="s">
        <v>778</v>
      </c>
      <c r="E46" s="52"/>
      <c r="F46" s="26"/>
      <c r="G46" s="27" t="s">
        <v>12</v>
      </c>
      <c r="H46" s="28">
        <f>$I$11</f>
        <v>41</v>
      </c>
      <c r="Q46" s="27" t="s">
        <v>12</v>
      </c>
      <c r="R46" s="28">
        <f>$L$11</f>
        <v>55</v>
      </c>
      <c r="AI46" s="27" t="s">
        <v>35</v>
      </c>
      <c r="AJ46" s="49">
        <f>$AS$28</f>
        <v>-1196.0952380952381</v>
      </c>
      <c r="AK46" s="67">
        <f t="shared" si="22"/>
        <v>0</v>
      </c>
      <c r="AL46" s="52">
        <v>13</v>
      </c>
    </row>
    <row r="47" spans="1:38" ht="14.25" customHeight="1" x14ac:dyDescent="0.4">
      <c r="A47" s="12" t="s">
        <v>28</v>
      </c>
      <c r="B47" s="13">
        <v>2</v>
      </c>
      <c r="C47" s="14" t="s">
        <v>730</v>
      </c>
      <c r="D47" s="15" t="s">
        <v>779</v>
      </c>
      <c r="E47" s="52"/>
      <c r="F47" s="26"/>
      <c r="G47" s="27" t="s">
        <v>33</v>
      </c>
      <c r="H47" s="28">
        <f>$I$4</f>
        <v>39</v>
      </c>
      <c r="Q47" s="27" t="s">
        <v>438</v>
      </c>
      <c r="R47" s="28">
        <f>$L$7</f>
        <v>45</v>
      </c>
      <c r="AI47" s="53"/>
      <c r="AJ47" s="53"/>
      <c r="AK47" s="53"/>
    </row>
    <row r="48" spans="1:38" ht="14.25" customHeight="1" x14ac:dyDescent="0.4">
      <c r="A48" s="12" t="s">
        <v>28</v>
      </c>
      <c r="B48" s="13">
        <v>2</v>
      </c>
      <c r="C48" s="14" t="s">
        <v>35</v>
      </c>
      <c r="D48" s="15" t="s">
        <v>780</v>
      </c>
      <c r="E48" s="52"/>
      <c r="F48" s="26"/>
      <c r="G48" s="27" t="s">
        <v>38</v>
      </c>
      <c r="H48" s="28">
        <f>$I$6</f>
        <v>31</v>
      </c>
      <c r="Q48" s="27" t="s">
        <v>38</v>
      </c>
      <c r="R48" s="28">
        <f>$L$6</f>
        <v>0</v>
      </c>
      <c r="AI48" s="53"/>
      <c r="AJ48" s="53"/>
      <c r="AK48" s="53"/>
    </row>
    <row r="49" spans="1:44" ht="14.25" customHeight="1" x14ac:dyDescent="0.4">
      <c r="A49" s="12" t="s">
        <v>734</v>
      </c>
      <c r="B49" s="13">
        <v>2</v>
      </c>
      <c r="C49" s="14" t="s">
        <v>39</v>
      </c>
      <c r="D49" s="15" t="s">
        <v>781</v>
      </c>
      <c r="E49" s="52"/>
      <c r="F49" s="26"/>
      <c r="G49" s="27" t="s">
        <v>730</v>
      </c>
      <c r="H49" s="28">
        <f>$I$14</f>
        <v>19</v>
      </c>
      <c r="Q49" s="27" t="s">
        <v>39</v>
      </c>
      <c r="R49" s="28">
        <f>$L$13</f>
        <v>26</v>
      </c>
      <c r="AI49" s="53"/>
      <c r="AJ49" s="53"/>
      <c r="AK49" s="53"/>
    </row>
    <row r="50" spans="1:44" ht="14.25" customHeight="1" x14ac:dyDescent="0.4">
      <c r="A50" s="12" t="s">
        <v>730</v>
      </c>
      <c r="B50" s="13">
        <v>2</v>
      </c>
      <c r="C50" s="14" t="s">
        <v>35</v>
      </c>
      <c r="D50" s="15" t="s">
        <v>782</v>
      </c>
      <c r="E50" s="52"/>
      <c r="F50" s="26"/>
      <c r="G50" s="27" t="s">
        <v>39</v>
      </c>
      <c r="H50" s="28">
        <f>$I$13</f>
        <v>18</v>
      </c>
      <c r="Q50" s="27" t="s">
        <v>730</v>
      </c>
      <c r="R50" s="28">
        <f>$L$14</f>
        <v>24</v>
      </c>
      <c r="AI50" s="53"/>
      <c r="AJ50" s="53"/>
      <c r="AK50" s="53"/>
    </row>
    <row r="51" spans="1:44" ht="14.25" customHeight="1" x14ac:dyDescent="0.4">
      <c r="A51" s="12" t="s">
        <v>31</v>
      </c>
      <c r="B51" s="13">
        <v>2</v>
      </c>
      <c r="C51" s="14" t="s">
        <v>35</v>
      </c>
      <c r="D51" s="15" t="s">
        <v>783</v>
      </c>
      <c r="E51" s="52"/>
      <c r="F51" s="26"/>
      <c r="G51" s="27" t="s">
        <v>734</v>
      </c>
      <c r="H51" s="28">
        <f>$I$10</f>
        <v>17</v>
      </c>
      <c r="Q51" s="27" t="s">
        <v>734</v>
      </c>
      <c r="R51" s="28">
        <f>$L$10</f>
        <v>21</v>
      </c>
      <c r="AI51" s="131" t="s">
        <v>121</v>
      </c>
      <c r="AJ51" s="132"/>
      <c r="AK51" s="132"/>
      <c r="AL51" s="132"/>
      <c r="AM51" s="132"/>
      <c r="AN51" s="132"/>
      <c r="AO51" s="132"/>
      <c r="AP51" s="132"/>
      <c r="AQ51" s="133"/>
    </row>
    <row r="52" spans="1:44" ht="14.25" customHeight="1" x14ac:dyDescent="0.4">
      <c r="A52" s="12" t="s">
        <v>438</v>
      </c>
      <c r="B52" s="13">
        <v>2</v>
      </c>
      <c r="C52" s="14" t="s">
        <v>28</v>
      </c>
      <c r="D52" s="15" t="s">
        <v>784</v>
      </c>
      <c r="E52" s="52">
        <v>0</v>
      </c>
      <c r="F52" s="26"/>
      <c r="G52" s="27" t="s">
        <v>37</v>
      </c>
      <c r="H52" s="28">
        <f>$I$12</f>
        <v>12</v>
      </c>
      <c r="Q52" s="27" t="s">
        <v>37</v>
      </c>
      <c r="R52" s="28">
        <f>$L$12</f>
        <v>22</v>
      </c>
      <c r="AI52" s="68" t="s">
        <v>123</v>
      </c>
      <c r="AJ52" s="69" t="s">
        <v>15</v>
      </c>
      <c r="AK52" s="69" t="s">
        <v>16</v>
      </c>
      <c r="AL52" s="69" t="s">
        <v>17</v>
      </c>
      <c r="AM52" s="69" t="s">
        <v>18</v>
      </c>
      <c r="AN52" s="69" t="s">
        <v>19</v>
      </c>
      <c r="AO52" s="69" t="s">
        <v>20</v>
      </c>
      <c r="AP52" s="69" t="s">
        <v>21</v>
      </c>
      <c r="AQ52" s="69" t="s">
        <v>22</v>
      </c>
    </row>
    <row r="53" spans="1:44" ht="14.25" customHeight="1" x14ac:dyDescent="0.4">
      <c r="A53" s="12" t="s">
        <v>33</v>
      </c>
      <c r="B53" s="13">
        <v>2</v>
      </c>
      <c r="C53" s="14" t="s">
        <v>35</v>
      </c>
      <c r="D53" s="15" t="s">
        <v>785</v>
      </c>
      <c r="E53" s="52"/>
      <c r="F53" s="26"/>
      <c r="G53" s="27" t="s">
        <v>441</v>
      </c>
      <c r="H53" s="28">
        <f>$I$9</f>
        <v>12</v>
      </c>
      <c r="Q53" s="27" t="s">
        <v>441</v>
      </c>
      <c r="R53" s="28">
        <f>$L$9</f>
        <v>13</v>
      </c>
      <c r="AI53" s="27" t="s">
        <v>65</v>
      </c>
      <c r="AJ53" s="43">
        <v>7.5</v>
      </c>
      <c r="AK53" s="44">
        <v>-6</v>
      </c>
      <c r="AL53" s="44">
        <v>25</v>
      </c>
      <c r="AM53" s="44">
        <v>8.5</v>
      </c>
      <c r="AN53" s="44">
        <v>-6.5</v>
      </c>
      <c r="AO53" s="44">
        <v>25</v>
      </c>
      <c r="AP53" s="44">
        <v>20</v>
      </c>
      <c r="AQ53" s="44">
        <v>-20</v>
      </c>
      <c r="AR53" s="33" t="s">
        <v>66</v>
      </c>
    </row>
    <row r="54" spans="1:44" ht="14.25" customHeight="1" x14ac:dyDescent="0.4">
      <c r="A54" s="12" t="s">
        <v>438</v>
      </c>
      <c r="B54" s="13">
        <v>2</v>
      </c>
      <c r="C54" s="14" t="s">
        <v>35</v>
      </c>
      <c r="D54" s="15" t="s">
        <v>786</v>
      </c>
      <c r="E54" s="52"/>
      <c r="F54" s="26"/>
      <c r="G54" s="27" t="s">
        <v>41</v>
      </c>
      <c r="H54" s="28">
        <f>$I$5</f>
        <v>8</v>
      </c>
      <c r="Q54" s="27" t="s">
        <v>41</v>
      </c>
      <c r="R54" s="28">
        <f>$L$5</f>
        <v>11</v>
      </c>
      <c r="AI54" s="41" t="s">
        <v>76</v>
      </c>
      <c r="AJ54" s="29">
        <f>H19*$AJ$53</f>
        <v>273.75</v>
      </c>
      <c r="AK54" s="29">
        <f>I19*$AK$53</f>
        <v>-336</v>
      </c>
      <c r="AL54" s="29">
        <f>J19*$AL$53</f>
        <v>16.294642857142858</v>
      </c>
      <c r="AM54" s="29">
        <f>K19*$AM$53</f>
        <v>408</v>
      </c>
      <c r="AN54" s="29">
        <f>L19*$AN$53</f>
        <v>-526.5</v>
      </c>
      <c r="AO54" s="29">
        <f>M19*$AO$53</f>
        <v>14.814814814814813</v>
      </c>
      <c r="AP54" s="29">
        <f>N19*$AP$53</f>
        <v>26.301369863013697</v>
      </c>
      <c r="AQ54" s="29">
        <f>O19*$AQ$53</f>
        <v>-28.928571428571427</v>
      </c>
      <c r="AR54" s="29">
        <f>SUM(AJ54:AQ54)</f>
        <v>-152.26774389360003</v>
      </c>
    </row>
    <row r="55" spans="1:44" ht="14.25" customHeight="1" x14ac:dyDescent="0.4">
      <c r="A55" s="12" t="s">
        <v>438</v>
      </c>
      <c r="B55" s="13">
        <v>2</v>
      </c>
      <c r="C55" s="14" t="s">
        <v>35</v>
      </c>
      <c r="D55" s="15" t="s">
        <v>787</v>
      </c>
      <c r="E55" s="52"/>
      <c r="F55" s="26"/>
      <c r="AI55" s="27" t="s">
        <v>77</v>
      </c>
      <c r="AJ55" s="29">
        <f>H20*$AJ$53</f>
        <v>322.5</v>
      </c>
      <c r="AK55" s="29">
        <f>I20*$AK$53</f>
        <v>-198</v>
      </c>
      <c r="AL55" s="29">
        <f>J20*$AL$53</f>
        <v>32.575757575757578</v>
      </c>
      <c r="AM55" s="29">
        <f>K20*$AM$53</f>
        <v>361.25</v>
      </c>
      <c r="AN55" s="29">
        <f>L20*$AN$53</f>
        <v>-178.75</v>
      </c>
      <c r="AO55" s="29">
        <f>M20*$AO$53</f>
        <v>38.636363636363633</v>
      </c>
      <c r="AP55" s="29">
        <f>N20*$AP$53</f>
        <v>19.767441860465116</v>
      </c>
      <c r="AQ55" s="29">
        <f>O20*$AQ$53</f>
        <v>-16.666666666666668</v>
      </c>
      <c r="AR55" s="29">
        <f>SUM(AJ55:AQ55)</f>
        <v>381.31289640591956</v>
      </c>
    </row>
    <row r="56" spans="1:44" ht="14.25" customHeight="1" x14ac:dyDescent="0.4">
      <c r="A56" s="12" t="s">
        <v>734</v>
      </c>
      <c r="B56" s="13">
        <v>2</v>
      </c>
      <c r="C56" s="14" t="s">
        <v>39</v>
      </c>
      <c r="D56" s="15" t="s">
        <v>788</v>
      </c>
      <c r="E56" s="52"/>
      <c r="F56" s="26"/>
      <c r="AI56" s="27" t="s">
        <v>79</v>
      </c>
      <c r="AJ56" s="29">
        <f>H21*$AJ$53</f>
        <v>300</v>
      </c>
      <c r="AK56" s="29">
        <f>I21*$AK$53</f>
        <v>-140</v>
      </c>
      <c r="AL56" s="29">
        <f>J21*$AL$53</f>
        <v>42.857142857142861</v>
      </c>
      <c r="AM56" s="29">
        <f>K21*$AM$53</f>
        <v>541.16666666666663</v>
      </c>
      <c r="AN56" s="29">
        <f>L21*$AN$53</f>
        <v>-192.83333333333334</v>
      </c>
      <c r="AO56" s="29">
        <f>M21*$AO$53</f>
        <v>53.651685393258418</v>
      </c>
      <c r="AP56" s="29">
        <f>N21*$AP$53</f>
        <v>31.833333333333332</v>
      </c>
      <c r="AQ56" s="29">
        <f>O21*$AQ$53</f>
        <v>-25.428571428571431</v>
      </c>
      <c r="AR56" s="29">
        <f>SUM(AJ56:AQ56)</f>
        <v>611.24692348849646</v>
      </c>
    </row>
    <row r="57" spans="1:44" ht="14.25" customHeight="1" x14ac:dyDescent="0.4">
      <c r="A57" s="12" t="s">
        <v>441</v>
      </c>
      <c r="B57" s="13">
        <v>2</v>
      </c>
      <c r="C57" s="14" t="s">
        <v>39</v>
      </c>
      <c r="D57" s="15" t="s">
        <v>789</v>
      </c>
      <c r="E57" s="52"/>
      <c r="F57" s="26"/>
      <c r="G57" s="27" t="s">
        <v>14</v>
      </c>
      <c r="H57" s="33" t="s">
        <v>17</v>
      </c>
      <c r="Q57" s="27" t="s">
        <v>14</v>
      </c>
      <c r="R57" s="33" t="s">
        <v>20</v>
      </c>
      <c r="AI57" s="27" t="s">
        <v>86</v>
      </c>
      <c r="AJ57" s="29">
        <f>H22*$AJ$53</f>
        <v>114.375</v>
      </c>
      <c r="AK57" s="29">
        <f>I22*$AK$53</f>
        <v>-168</v>
      </c>
      <c r="AL57" s="29">
        <f>J22*$AL$53</f>
        <v>13.616071428571427</v>
      </c>
      <c r="AM57" s="29">
        <f>K22*$AM$53</f>
        <v>204</v>
      </c>
      <c r="AN57" s="29">
        <f>L22*$AN$53</f>
        <v>-312</v>
      </c>
      <c r="AO57" s="29">
        <f>M22*$AO$53</f>
        <v>12.5</v>
      </c>
      <c r="AP57" s="29">
        <f>N22*$AP$53</f>
        <v>31.475409836065573</v>
      </c>
      <c r="AQ57" s="29">
        <f>O22*$AQ$53</f>
        <v>-34.285714285714285</v>
      </c>
      <c r="AR57" s="29">
        <f>SUM(AJ57:AQ57)</f>
        <v>-138.31923302107725</v>
      </c>
    </row>
    <row r="58" spans="1:44" ht="14.25" customHeight="1" x14ac:dyDescent="0.4">
      <c r="A58" s="12" t="s">
        <v>39</v>
      </c>
      <c r="B58" s="13">
        <v>1</v>
      </c>
      <c r="C58" s="14" t="s">
        <v>441</v>
      </c>
      <c r="D58" s="15" t="s">
        <v>790</v>
      </c>
      <c r="E58" s="52"/>
      <c r="F58" s="26"/>
      <c r="G58" s="27" t="s">
        <v>734</v>
      </c>
      <c r="H58" s="29">
        <f>$J$10</f>
        <v>2.5294117647058822</v>
      </c>
      <c r="Q58" s="27" t="s">
        <v>734</v>
      </c>
      <c r="R58" s="29">
        <f>$M$10</f>
        <v>3.4285714285714284</v>
      </c>
      <c r="AI58" s="64" t="s">
        <v>88</v>
      </c>
      <c r="AJ58" s="29">
        <f>H23*$AJ$53</f>
        <v>152.5</v>
      </c>
      <c r="AK58" s="29">
        <f>I23*$AK$53</f>
        <v>-98</v>
      </c>
      <c r="AL58" s="29">
        <f>J23*$AL$53</f>
        <v>31.122448979591837</v>
      </c>
      <c r="AM58" s="29">
        <f>K23*$AM$53</f>
        <v>272</v>
      </c>
      <c r="AN58" s="29">
        <f>L23*$AN$53</f>
        <v>-156</v>
      </c>
      <c r="AO58" s="29">
        <f>M23*$AO$53</f>
        <v>33.333333333333329</v>
      </c>
      <c r="AP58" s="29">
        <f>N23*$AP$53</f>
        <v>31.475409836065577</v>
      </c>
      <c r="AQ58" s="29">
        <f>O23*$AQ$53</f>
        <v>-29.387755102040817</v>
      </c>
      <c r="AR58" s="29">
        <f>SUM(AJ58:AQ58)</f>
        <v>237.04343704694989</v>
      </c>
    </row>
    <row r="59" spans="1:44" ht="14.25" customHeight="1" x14ac:dyDescent="0.4">
      <c r="A59" s="12" t="s">
        <v>441</v>
      </c>
      <c r="B59" s="13">
        <v>2</v>
      </c>
      <c r="C59" s="14" t="s">
        <v>35</v>
      </c>
      <c r="D59" s="15" t="s">
        <v>791</v>
      </c>
      <c r="E59" s="52"/>
      <c r="F59" s="26"/>
      <c r="G59" s="27" t="s">
        <v>39</v>
      </c>
      <c r="H59" s="29">
        <f>$J$13</f>
        <v>1.7777777777777777</v>
      </c>
      <c r="Q59" s="27" t="s">
        <v>438</v>
      </c>
      <c r="R59" s="29">
        <f>$M$7</f>
        <v>2.5555555555555554</v>
      </c>
    </row>
    <row r="60" spans="1:44" ht="14.25" customHeight="1" x14ac:dyDescent="0.4">
      <c r="A60" s="12" t="s">
        <v>441</v>
      </c>
      <c r="B60" s="13">
        <v>2</v>
      </c>
      <c r="C60" s="14" t="s">
        <v>31</v>
      </c>
      <c r="D60" s="15" t="s">
        <v>792</v>
      </c>
      <c r="E60" s="52"/>
      <c r="F60" s="26"/>
      <c r="G60" s="27" t="s">
        <v>438</v>
      </c>
      <c r="H60" s="29">
        <f>$J$7</f>
        <v>1.7058823529411764</v>
      </c>
      <c r="Q60" s="27" t="s">
        <v>39</v>
      </c>
      <c r="R60" s="29">
        <f>$M$13</f>
        <v>2.0384615384615383</v>
      </c>
      <c r="AI60" s="65" t="s">
        <v>10</v>
      </c>
      <c r="AJ60" s="66" t="s">
        <v>98</v>
      </c>
      <c r="AK60" s="66" t="s">
        <v>99</v>
      </c>
    </row>
    <row r="61" spans="1:44" ht="14.25" customHeight="1" x14ac:dyDescent="0.4">
      <c r="A61" s="12" t="s">
        <v>438</v>
      </c>
      <c r="B61" s="13">
        <v>1</v>
      </c>
      <c r="C61" s="14" t="s">
        <v>39</v>
      </c>
      <c r="D61" s="15" t="s">
        <v>793</v>
      </c>
      <c r="E61" s="52"/>
      <c r="F61" s="15"/>
      <c r="G61" s="27" t="s">
        <v>12</v>
      </c>
      <c r="H61" s="29">
        <f>$J$11</f>
        <v>1.4634146341463414</v>
      </c>
      <c r="Q61" s="27" t="s">
        <v>441</v>
      </c>
      <c r="R61" s="29">
        <f>$M$9</f>
        <v>2.1538461538461537</v>
      </c>
      <c r="AI61" s="41" t="s">
        <v>79</v>
      </c>
      <c r="AJ61" s="67">
        <f>$AR$56</f>
        <v>611.24692348849646</v>
      </c>
      <c r="AK61" s="67">
        <f>AJ61-($AJ$65)</f>
        <v>763.51466738209649</v>
      </c>
    </row>
    <row r="62" spans="1:44" ht="14.25" customHeight="1" x14ac:dyDescent="0.4">
      <c r="A62" s="12" t="s">
        <v>39</v>
      </c>
      <c r="B62" s="13">
        <v>1</v>
      </c>
      <c r="C62" s="14" t="s">
        <v>438</v>
      </c>
      <c r="D62" s="15" t="s">
        <v>794</v>
      </c>
      <c r="E62" s="52"/>
      <c r="F62" s="26"/>
      <c r="G62" s="27" t="s">
        <v>441</v>
      </c>
      <c r="H62" s="29">
        <f>$J$9</f>
        <v>1.4166666666666667</v>
      </c>
      <c r="Q62" s="27" t="s">
        <v>12</v>
      </c>
      <c r="R62" s="29">
        <f>$M$11</f>
        <v>1.6545454545454545</v>
      </c>
      <c r="AI62" s="27" t="s">
        <v>77</v>
      </c>
      <c r="AJ62" s="67">
        <f>$AR$55</f>
        <v>381.31289640591956</v>
      </c>
      <c r="AK62" s="67">
        <f>AJ62-($AJ$65)</f>
        <v>533.58064029951959</v>
      </c>
    </row>
    <row r="63" spans="1:44" ht="14.25" customHeight="1" x14ac:dyDescent="0.4">
      <c r="A63" s="12" t="s">
        <v>734</v>
      </c>
      <c r="B63" s="13">
        <v>2</v>
      </c>
      <c r="C63" s="14" t="s">
        <v>35</v>
      </c>
      <c r="D63" s="15" t="s">
        <v>795</v>
      </c>
      <c r="E63" s="52"/>
      <c r="F63" s="26"/>
      <c r="G63" s="27" t="s">
        <v>38</v>
      </c>
      <c r="H63" s="29">
        <f>$J$6</f>
        <v>1.3870967741935485</v>
      </c>
      <c r="Q63" s="27" t="s">
        <v>38</v>
      </c>
      <c r="R63" s="29">
        <f>$M$6</f>
        <v>0</v>
      </c>
      <c r="AI63" s="64" t="s">
        <v>88</v>
      </c>
      <c r="AJ63" s="67">
        <f>$AR$58</f>
        <v>237.04343704694989</v>
      </c>
      <c r="AK63" s="67">
        <f>AJ63-($AJ$65)</f>
        <v>389.31118094054989</v>
      </c>
    </row>
    <row r="64" spans="1:44" ht="14.25" customHeight="1" x14ac:dyDescent="0.4">
      <c r="A64" s="12" t="s">
        <v>39</v>
      </c>
      <c r="B64" s="13">
        <v>2</v>
      </c>
      <c r="C64" s="14" t="s">
        <v>35</v>
      </c>
      <c r="D64" s="15" t="s">
        <v>796</v>
      </c>
      <c r="E64" s="52"/>
      <c r="F64" s="26"/>
      <c r="G64" s="27" t="s">
        <v>730</v>
      </c>
      <c r="H64" s="29">
        <f>$J$14</f>
        <v>1</v>
      </c>
      <c r="Q64" s="27" t="s">
        <v>730</v>
      </c>
      <c r="R64" s="29">
        <f>$M$14</f>
        <v>1.125</v>
      </c>
      <c r="AI64" s="27" t="s">
        <v>86</v>
      </c>
      <c r="AJ64" s="67">
        <f>$AR$57</f>
        <v>-138.31923302107725</v>
      </c>
      <c r="AK64" s="67">
        <f>AJ64-($AJ$65)</f>
        <v>13.948510872522775</v>
      </c>
    </row>
    <row r="65" spans="1:37" ht="14.25" customHeight="1" x14ac:dyDescent="0.4">
      <c r="A65" s="12" t="s">
        <v>734</v>
      </c>
      <c r="B65" s="13">
        <v>1</v>
      </c>
      <c r="C65" s="14" t="s">
        <v>33</v>
      </c>
      <c r="D65" s="15" t="s">
        <v>797</v>
      </c>
      <c r="E65" s="52"/>
      <c r="F65" s="26"/>
      <c r="G65" s="27" t="s">
        <v>31</v>
      </c>
      <c r="H65" s="29">
        <f>$J$8</f>
        <v>0.90476190476190477</v>
      </c>
      <c r="Q65" s="27" t="s">
        <v>31</v>
      </c>
      <c r="R65" s="29">
        <f>$M$8</f>
        <v>0.94444444444444442</v>
      </c>
      <c r="AI65" s="27" t="s">
        <v>76</v>
      </c>
      <c r="AJ65" s="81">
        <f>$AR$54</f>
        <v>-152.26774389360003</v>
      </c>
      <c r="AK65" s="67">
        <f>AJ65-($AJ$65)</f>
        <v>0</v>
      </c>
    </row>
    <row r="66" spans="1:37" ht="14.25" customHeight="1" x14ac:dyDescent="0.4">
      <c r="A66" s="12" t="s">
        <v>33</v>
      </c>
      <c r="B66" s="13">
        <v>1</v>
      </c>
      <c r="C66" s="14" t="s">
        <v>734</v>
      </c>
      <c r="D66" s="15" t="s">
        <v>798</v>
      </c>
      <c r="E66" s="52"/>
      <c r="F66" s="26"/>
      <c r="G66" s="27" t="s">
        <v>37</v>
      </c>
      <c r="H66" s="29">
        <f>$J$12</f>
        <v>0.83333333333333337</v>
      </c>
      <c r="Q66" s="27" t="s">
        <v>37</v>
      </c>
      <c r="R66" s="29">
        <f>$M$12</f>
        <v>0.72727272727272729</v>
      </c>
    </row>
    <row r="67" spans="1:37" ht="14.25" customHeight="1" x14ac:dyDescent="0.4">
      <c r="A67" s="12" t="s">
        <v>438</v>
      </c>
      <c r="B67" s="13">
        <v>2</v>
      </c>
      <c r="C67" s="14" t="s">
        <v>35</v>
      </c>
      <c r="D67" s="15" t="s">
        <v>799</v>
      </c>
      <c r="E67" s="52"/>
      <c r="F67" s="26"/>
      <c r="G67" s="27" t="s">
        <v>28</v>
      </c>
      <c r="H67" s="29">
        <f>$J$3</f>
        <v>0.75342465753424659</v>
      </c>
      <c r="Q67" s="27" t="s">
        <v>28</v>
      </c>
      <c r="R67" s="29">
        <f>$M$3</f>
        <v>0.64814814814814814</v>
      </c>
    </row>
    <row r="68" spans="1:37" ht="14.25" customHeight="1" x14ac:dyDescent="0.4">
      <c r="A68" s="12" t="s">
        <v>438</v>
      </c>
      <c r="B68" s="13">
        <v>1</v>
      </c>
      <c r="C68" s="14" t="s">
        <v>28</v>
      </c>
      <c r="D68" s="15" t="s">
        <v>800</v>
      </c>
      <c r="E68" s="52">
        <v>1</v>
      </c>
      <c r="F68" s="26"/>
      <c r="G68" s="27" t="s">
        <v>41</v>
      </c>
      <c r="H68" s="29">
        <f>$J$5</f>
        <v>0.5</v>
      </c>
      <c r="Q68" s="27" t="s">
        <v>33</v>
      </c>
      <c r="R68" s="29">
        <f>$M$4</f>
        <v>0.48148148148148145</v>
      </c>
    </row>
    <row r="69" spans="1:37" ht="14.25" customHeight="1" x14ac:dyDescent="0.4">
      <c r="A69" s="12" t="s">
        <v>28</v>
      </c>
      <c r="B69" s="13">
        <v>1</v>
      </c>
      <c r="C69" s="14" t="s">
        <v>438</v>
      </c>
      <c r="D69" s="15" t="s">
        <v>801</v>
      </c>
      <c r="E69" s="52"/>
      <c r="F69" s="26"/>
      <c r="G69" s="27" t="s">
        <v>33</v>
      </c>
      <c r="H69" s="29">
        <f>$J$4</f>
        <v>0.46153846153846156</v>
      </c>
      <c r="Q69" s="27" t="s">
        <v>41</v>
      </c>
      <c r="R69" s="29">
        <f>$M$5</f>
        <v>0.36363636363636365</v>
      </c>
      <c r="AI69" s="53"/>
      <c r="AJ69" s="53"/>
      <c r="AK69" s="53"/>
    </row>
    <row r="70" spans="1:37" ht="14.25" customHeight="1" x14ac:dyDescent="0.4">
      <c r="A70" s="12" t="s">
        <v>734</v>
      </c>
      <c r="B70" s="13">
        <v>2</v>
      </c>
      <c r="C70" s="14" t="s">
        <v>28</v>
      </c>
      <c r="D70" s="15" t="s">
        <v>802</v>
      </c>
      <c r="E70" s="52">
        <v>0</v>
      </c>
      <c r="F70" s="26"/>
      <c r="G70" s="27" t="s">
        <v>35</v>
      </c>
      <c r="H70" s="29">
        <f>$J$15</f>
        <v>0</v>
      </c>
      <c r="Q70" s="27" t="s">
        <v>35</v>
      </c>
      <c r="R70" s="29">
        <f>$M$15</f>
        <v>0</v>
      </c>
      <c r="AI70" s="53"/>
      <c r="AJ70" s="53"/>
      <c r="AK70" s="53"/>
    </row>
    <row r="71" spans="1:37" ht="14.25" customHeight="1" x14ac:dyDescent="0.4">
      <c r="A71" s="12" t="s">
        <v>734</v>
      </c>
      <c r="B71" s="13">
        <v>2</v>
      </c>
      <c r="C71" s="14" t="s">
        <v>28</v>
      </c>
      <c r="D71" s="15" t="s">
        <v>803</v>
      </c>
      <c r="E71" s="52">
        <v>0</v>
      </c>
      <c r="F71" s="15"/>
      <c r="AI71" s="53"/>
      <c r="AJ71" s="53"/>
      <c r="AK71" s="53"/>
    </row>
    <row r="72" spans="1:37" ht="14.25" customHeight="1" x14ac:dyDescent="0.4">
      <c r="A72" s="12" t="s">
        <v>38</v>
      </c>
      <c r="B72" s="13">
        <v>1</v>
      </c>
      <c r="C72" s="14" t="s">
        <v>12</v>
      </c>
      <c r="D72" s="15" t="s">
        <v>804</v>
      </c>
      <c r="E72" s="52"/>
      <c r="F72" s="26"/>
      <c r="AI72" s="53"/>
      <c r="AJ72" s="53"/>
      <c r="AK72" s="53"/>
    </row>
    <row r="73" spans="1:37" ht="14.25" customHeight="1" x14ac:dyDescent="0.4">
      <c r="A73" s="12" t="s">
        <v>12</v>
      </c>
      <c r="B73" s="13">
        <v>1</v>
      </c>
      <c r="C73" s="14" t="s">
        <v>38</v>
      </c>
      <c r="D73" s="15" t="s">
        <v>805</v>
      </c>
      <c r="E73" s="52"/>
      <c r="F73" s="26"/>
      <c r="G73" s="27" t="s">
        <v>74</v>
      </c>
      <c r="H73" s="33" t="s">
        <v>15</v>
      </c>
      <c r="Q73" s="27" t="s">
        <v>74</v>
      </c>
      <c r="R73" s="33" t="s">
        <v>18</v>
      </c>
      <c r="AJ73" s="53"/>
      <c r="AK73" s="53"/>
    </row>
    <row r="74" spans="1:37" ht="14.25" customHeight="1" x14ac:dyDescent="0.4">
      <c r="A74" s="12" t="s">
        <v>438</v>
      </c>
      <c r="B74" s="13">
        <v>2</v>
      </c>
      <c r="C74" s="14" t="s">
        <v>35</v>
      </c>
      <c r="D74" s="15" t="s">
        <v>806</v>
      </c>
      <c r="E74" s="52"/>
      <c r="F74" s="26"/>
      <c r="G74" s="41" t="s">
        <v>86</v>
      </c>
      <c r="H74" s="54">
        <f>$H$22</f>
        <v>15.25</v>
      </c>
      <c r="Q74" s="41" t="s">
        <v>86</v>
      </c>
      <c r="R74" s="54">
        <f>$K$22</f>
        <v>24</v>
      </c>
      <c r="AG74" s="53"/>
      <c r="AH74" s="53"/>
      <c r="AI74" s="53"/>
      <c r="AJ74" s="53"/>
      <c r="AK74" s="53"/>
    </row>
    <row r="75" spans="1:37" ht="14.25" customHeight="1" x14ac:dyDescent="0.4">
      <c r="A75" s="12" t="s">
        <v>438</v>
      </c>
      <c r="B75" s="13">
        <v>2</v>
      </c>
      <c r="C75" s="14" t="s">
        <v>28</v>
      </c>
      <c r="D75" s="15" t="s">
        <v>807</v>
      </c>
      <c r="E75" s="52">
        <v>1</v>
      </c>
      <c r="F75" s="26"/>
      <c r="G75" s="27" t="s">
        <v>76</v>
      </c>
      <c r="H75" s="54">
        <f>$H$19</f>
        <v>36.5</v>
      </c>
      <c r="Q75" s="27" t="s">
        <v>76</v>
      </c>
      <c r="R75" s="54">
        <f>$K$19</f>
        <v>48</v>
      </c>
      <c r="AE75" s="53"/>
      <c r="AF75" s="53"/>
      <c r="AG75" s="53"/>
    </row>
    <row r="76" spans="1:37" ht="14.25" customHeight="1" x14ac:dyDescent="0.4">
      <c r="A76" s="12" t="s">
        <v>734</v>
      </c>
      <c r="B76" s="13">
        <v>2</v>
      </c>
      <c r="C76" s="14" t="s">
        <v>35</v>
      </c>
      <c r="D76" s="15" t="s">
        <v>808</v>
      </c>
      <c r="E76" s="52"/>
      <c r="F76" s="26"/>
      <c r="G76" s="27" t="s">
        <v>79</v>
      </c>
      <c r="H76" s="54">
        <f>$H$21</f>
        <v>40</v>
      </c>
      <c r="Q76" s="27" t="s">
        <v>79</v>
      </c>
      <c r="R76" s="54">
        <f>$K$21</f>
        <v>63.666666666666664</v>
      </c>
    </row>
    <row r="77" spans="1:37" ht="14.25" customHeight="1" x14ac:dyDescent="0.4">
      <c r="A77" s="12" t="s">
        <v>28</v>
      </c>
      <c r="B77" s="13">
        <v>2</v>
      </c>
      <c r="C77" s="14" t="s">
        <v>734</v>
      </c>
      <c r="D77" s="15" t="s">
        <v>809</v>
      </c>
      <c r="E77" s="52"/>
      <c r="F77" s="26"/>
      <c r="G77" s="27" t="s">
        <v>77</v>
      </c>
      <c r="H77" s="54">
        <f>$H$20</f>
        <v>43</v>
      </c>
      <c r="Q77" s="27" t="s">
        <v>77</v>
      </c>
      <c r="R77" s="54">
        <f>$K$20</f>
        <v>42.5</v>
      </c>
    </row>
    <row r="78" spans="1:37" ht="14.25" customHeight="1" x14ac:dyDescent="0.4">
      <c r="A78" s="12" t="s">
        <v>734</v>
      </c>
      <c r="B78" s="13">
        <v>1</v>
      </c>
      <c r="C78" s="14" t="s">
        <v>28</v>
      </c>
      <c r="D78" s="15" t="s">
        <v>810</v>
      </c>
      <c r="E78" s="52">
        <v>1</v>
      </c>
      <c r="F78" s="26"/>
    </row>
    <row r="79" spans="1:37" ht="14.25" customHeight="1" x14ac:dyDescent="0.4">
      <c r="A79" s="12" t="s">
        <v>734</v>
      </c>
      <c r="B79" s="13">
        <v>2</v>
      </c>
      <c r="C79" s="14" t="s">
        <v>39</v>
      </c>
      <c r="D79" s="15" t="s">
        <v>811</v>
      </c>
      <c r="E79" s="52"/>
      <c r="F79" s="26"/>
    </row>
    <row r="80" spans="1:37" ht="14.25" customHeight="1" x14ac:dyDescent="0.4">
      <c r="A80" s="12" t="s">
        <v>39</v>
      </c>
      <c r="B80" s="13">
        <v>2</v>
      </c>
      <c r="C80" s="14" t="s">
        <v>28</v>
      </c>
      <c r="D80" s="15" t="s">
        <v>812</v>
      </c>
      <c r="E80" s="52">
        <v>1</v>
      </c>
      <c r="F80" s="26"/>
    </row>
    <row r="81" spans="1:37" ht="14.25" customHeight="1" x14ac:dyDescent="0.4">
      <c r="A81" s="12" t="s">
        <v>438</v>
      </c>
      <c r="B81" s="13">
        <v>2</v>
      </c>
      <c r="C81" s="14" t="s">
        <v>39</v>
      </c>
      <c r="D81" s="15" t="s">
        <v>813</v>
      </c>
      <c r="E81" s="52"/>
      <c r="F81" s="15"/>
    </row>
    <row r="82" spans="1:37" ht="14.25" customHeight="1" x14ac:dyDescent="0.4">
      <c r="A82" s="12" t="s">
        <v>28</v>
      </c>
      <c r="B82" s="13">
        <v>1</v>
      </c>
      <c r="C82" s="14" t="s">
        <v>39</v>
      </c>
      <c r="D82" s="15" t="s">
        <v>814</v>
      </c>
      <c r="E82" s="52"/>
      <c r="F82" s="26"/>
    </row>
    <row r="83" spans="1:37" ht="14.25" customHeight="1" x14ac:dyDescent="0.4">
      <c r="A83" s="12" t="s">
        <v>734</v>
      </c>
      <c r="B83" s="13">
        <v>2</v>
      </c>
      <c r="C83" s="14" t="s">
        <v>33</v>
      </c>
      <c r="D83" s="15" t="s">
        <v>815</v>
      </c>
      <c r="E83" s="52"/>
      <c r="F83" s="26"/>
    </row>
    <row r="84" spans="1:37" ht="14.25" customHeight="1" x14ac:dyDescent="0.4">
      <c r="A84" s="12" t="s">
        <v>734</v>
      </c>
      <c r="B84" s="13">
        <v>2</v>
      </c>
      <c r="C84" s="14" t="s">
        <v>28</v>
      </c>
      <c r="D84" s="15" t="s">
        <v>816</v>
      </c>
      <c r="E84" s="52">
        <v>1</v>
      </c>
      <c r="F84" s="26"/>
      <c r="G84" s="27" t="s">
        <v>74</v>
      </c>
      <c r="H84" s="33" t="s">
        <v>16</v>
      </c>
      <c r="Q84" s="27" t="s">
        <v>74</v>
      </c>
      <c r="R84" s="33" t="s">
        <v>19</v>
      </c>
    </row>
    <row r="85" spans="1:37" ht="14.25" customHeight="1" x14ac:dyDescent="0.4">
      <c r="A85" s="12" t="s">
        <v>28</v>
      </c>
      <c r="B85" s="13">
        <v>1</v>
      </c>
      <c r="C85" s="14" t="s">
        <v>734</v>
      </c>
      <c r="D85" s="15" t="s">
        <v>817</v>
      </c>
      <c r="E85" s="52"/>
      <c r="F85" s="26"/>
      <c r="G85" s="27" t="s">
        <v>79</v>
      </c>
      <c r="H85" s="56">
        <f>$I$21</f>
        <v>23.333333333333332</v>
      </c>
      <c r="Q85" s="27" t="s">
        <v>79</v>
      </c>
      <c r="R85" s="56">
        <f>$L$21</f>
        <v>29.666666666666668</v>
      </c>
    </row>
    <row r="86" spans="1:37" ht="14.25" customHeight="1" x14ac:dyDescent="0.4">
      <c r="A86" s="12" t="s">
        <v>438</v>
      </c>
      <c r="B86" s="13">
        <v>1</v>
      </c>
      <c r="C86" s="14" t="s">
        <v>28</v>
      </c>
      <c r="D86" s="15" t="s">
        <v>818</v>
      </c>
      <c r="E86" s="52">
        <v>1</v>
      </c>
      <c r="F86" s="26"/>
      <c r="G86" s="27" t="s">
        <v>86</v>
      </c>
      <c r="H86" s="56">
        <f>$I$22</f>
        <v>28</v>
      </c>
      <c r="Q86" s="27" t="s">
        <v>77</v>
      </c>
      <c r="R86" s="56">
        <f>$L$20</f>
        <v>27.5</v>
      </c>
    </row>
    <row r="87" spans="1:37" ht="14.25" customHeight="1" x14ac:dyDescent="0.4">
      <c r="A87" s="12" t="s">
        <v>28</v>
      </c>
      <c r="B87" s="13">
        <v>1</v>
      </c>
      <c r="C87" s="14" t="s">
        <v>438</v>
      </c>
      <c r="D87" s="15" t="s">
        <v>819</v>
      </c>
      <c r="E87" s="52"/>
      <c r="F87" s="26"/>
      <c r="G87" s="27" t="s">
        <v>77</v>
      </c>
      <c r="H87" s="56">
        <f>$I$20</f>
        <v>33</v>
      </c>
      <c r="Q87" s="27" t="s">
        <v>86</v>
      </c>
      <c r="R87" s="56">
        <f>$L$22</f>
        <v>48</v>
      </c>
    </row>
    <row r="88" spans="1:37" ht="14.25" customHeight="1" x14ac:dyDescent="0.4">
      <c r="A88" s="12" t="s">
        <v>438</v>
      </c>
      <c r="B88" s="13">
        <v>2</v>
      </c>
      <c r="C88" s="14" t="s">
        <v>28</v>
      </c>
      <c r="D88" s="15" t="s">
        <v>820</v>
      </c>
      <c r="E88" s="52">
        <v>0</v>
      </c>
      <c r="F88" s="26"/>
      <c r="G88" s="27" t="s">
        <v>76</v>
      </c>
      <c r="H88" s="56">
        <f>$I$19</f>
        <v>56</v>
      </c>
      <c r="Q88" s="27" t="s">
        <v>76</v>
      </c>
      <c r="R88" s="56">
        <f>$L$19</f>
        <v>81</v>
      </c>
    </row>
    <row r="89" spans="1:37" ht="14.25" customHeight="1" x14ac:dyDescent="0.4">
      <c r="A89" s="12" t="s">
        <v>39</v>
      </c>
      <c r="B89" s="13">
        <v>1</v>
      </c>
      <c r="C89" s="14" t="s">
        <v>438</v>
      </c>
      <c r="D89" s="15" t="s">
        <v>821</v>
      </c>
      <c r="E89" s="52"/>
      <c r="F89" s="26"/>
      <c r="AJ89" s="53"/>
      <c r="AK89" s="31"/>
    </row>
    <row r="90" spans="1:37" ht="14.25" customHeight="1" x14ac:dyDescent="0.4">
      <c r="A90" s="12" t="s">
        <v>441</v>
      </c>
      <c r="B90" s="13">
        <v>2</v>
      </c>
      <c r="C90" s="14" t="s">
        <v>12</v>
      </c>
      <c r="D90" s="15" t="s">
        <v>822</v>
      </c>
      <c r="E90" s="52"/>
      <c r="F90" s="26"/>
      <c r="AJ90" s="53"/>
      <c r="AK90" s="31"/>
    </row>
    <row r="91" spans="1:37" ht="14.25" customHeight="1" x14ac:dyDescent="0.4">
      <c r="A91" s="12" t="s">
        <v>33</v>
      </c>
      <c r="B91" s="13">
        <v>2</v>
      </c>
      <c r="C91" s="14" t="s">
        <v>28</v>
      </c>
      <c r="D91" s="15" t="s">
        <v>823</v>
      </c>
      <c r="E91" s="52">
        <v>0</v>
      </c>
      <c r="F91" s="26"/>
      <c r="AJ91" s="53"/>
      <c r="AK91" s="31"/>
    </row>
    <row r="92" spans="1:37" ht="14.25" customHeight="1" x14ac:dyDescent="0.4">
      <c r="A92" s="12" t="s">
        <v>12</v>
      </c>
      <c r="B92" s="13">
        <v>1</v>
      </c>
      <c r="C92" s="14" t="s">
        <v>441</v>
      </c>
      <c r="D92" s="15" t="s">
        <v>824</v>
      </c>
      <c r="E92" s="52"/>
      <c r="F92" s="26"/>
      <c r="AJ92" s="53"/>
      <c r="AK92" s="31"/>
    </row>
    <row r="93" spans="1:37" ht="14.25" customHeight="1" x14ac:dyDescent="0.4">
      <c r="A93" s="12" t="s">
        <v>33</v>
      </c>
      <c r="B93" s="13">
        <v>2</v>
      </c>
      <c r="C93" s="14" t="s">
        <v>438</v>
      </c>
      <c r="D93" s="15" t="s">
        <v>825</v>
      </c>
      <c r="E93" s="52"/>
      <c r="F93" s="26"/>
      <c r="AJ93" s="53"/>
      <c r="AK93" s="31"/>
    </row>
    <row r="94" spans="1:37" ht="14.25" customHeight="1" x14ac:dyDescent="0.4">
      <c r="A94" s="12" t="s">
        <v>39</v>
      </c>
      <c r="B94" s="13">
        <v>2</v>
      </c>
      <c r="C94" s="14" t="s">
        <v>28</v>
      </c>
      <c r="D94" s="15" t="s">
        <v>826</v>
      </c>
      <c r="E94" s="52">
        <v>0</v>
      </c>
      <c r="F94" s="26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G94" s="53"/>
      <c r="AJ94" s="53"/>
      <c r="AK94" s="31"/>
    </row>
    <row r="95" spans="1:37" ht="14.25" customHeight="1" x14ac:dyDescent="0.4">
      <c r="A95" s="12" t="s">
        <v>39</v>
      </c>
      <c r="B95" s="13">
        <v>2</v>
      </c>
      <c r="C95" s="14" t="s">
        <v>438</v>
      </c>
      <c r="D95" s="15" t="s">
        <v>827</v>
      </c>
      <c r="E95" s="52"/>
      <c r="F95" s="26"/>
      <c r="G95" s="27" t="s">
        <v>74</v>
      </c>
      <c r="H95" s="33" t="s">
        <v>17</v>
      </c>
      <c r="J95" s="53"/>
      <c r="K95" s="53"/>
      <c r="L95" s="53"/>
      <c r="M95" s="31"/>
      <c r="N95" s="31"/>
      <c r="O95" s="31"/>
      <c r="P95" s="31"/>
      <c r="Q95" s="27" t="s">
        <v>74</v>
      </c>
      <c r="R95" s="33" t="s">
        <v>20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G95" s="53"/>
      <c r="AJ95" s="53"/>
      <c r="AK95" s="31"/>
    </row>
    <row r="96" spans="1:37" ht="14.25" customHeight="1" x14ac:dyDescent="0.4">
      <c r="A96" s="12" t="s">
        <v>38</v>
      </c>
      <c r="B96" s="13">
        <v>2</v>
      </c>
      <c r="C96" s="14" t="s">
        <v>31</v>
      </c>
      <c r="D96" s="15" t="s">
        <v>828</v>
      </c>
      <c r="E96" s="52"/>
      <c r="F96" s="26"/>
      <c r="G96" s="41" t="s">
        <v>86</v>
      </c>
      <c r="H96" s="55">
        <f>$J$22</f>
        <v>0.5446428571428571</v>
      </c>
      <c r="J96" s="53"/>
      <c r="K96" s="53"/>
      <c r="L96" s="53"/>
      <c r="M96" s="31"/>
      <c r="N96" s="31"/>
      <c r="O96" s="31"/>
      <c r="P96" s="31"/>
      <c r="Q96" s="41" t="s">
        <v>86</v>
      </c>
      <c r="R96" s="55">
        <f>$M$22</f>
        <v>0.5</v>
      </c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G96" s="53"/>
      <c r="AJ96" s="53"/>
      <c r="AK96" s="31"/>
    </row>
    <row r="97" spans="1:37" ht="14.25" customHeight="1" x14ac:dyDescent="0.4">
      <c r="A97" s="12" t="s">
        <v>38</v>
      </c>
      <c r="B97" s="13">
        <v>2</v>
      </c>
      <c r="C97" s="14" t="s">
        <v>33</v>
      </c>
      <c r="D97" s="15" t="s">
        <v>829</v>
      </c>
      <c r="E97" s="52"/>
      <c r="F97" s="26"/>
      <c r="G97" s="27" t="s">
        <v>76</v>
      </c>
      <c r="H97" s="55">
        <f>$J$19</f>
        <v>0.6517857142857143</v>
      </c>
      <c r="J97" s="53"/>
      <c r="K97" s="53"/>
      <c r="L97" s="53"/>
      <c r="M97" s="31"/>
      <c r="N97" s="31"/>
      <c r="O97" s="31"/>
      <c r="P97" s="31"/>
      <c r="Q97" s="27" t="s">
        <v>76</v>
      </c>
      <c r="R97" s="55">
        <f>$M$19</f>
        <v>0.59259259259259256</v>
      </c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G97" s="53"/>
      <c r="AJ97" s="53"/>
      <c r="AK97" s="31"/>
    </row>
    <row r="98" spans="1:37" ht="14.25" customHeight="1" x14ac:dyDescent="0.4">
      <c r="A98" s="12" t="s">
        <v>12</v>
      </c>
      <c r="B98" s="13">
        <v>2</v>
      </c>
      <c r="C98" s="14" t="s">
        <v>438</v>
      </c>
      <c r="D98" s="15" t="s">
        <v>830</v>
      </c>
      <c r="E98" s="52"/>
      <c r="F98" s="26"/>
      <c r="G98" s="27" t="s">
        <v>77</v>
      </c>
      <c r="H98" s="55">
        <f>$J$20</f>
        <v>1.303030303030303</v>
      </c>
      <c r="J98" s="53"/>
      <c r="K98" s="53"/>
      <c r="L98" s="53"/>
      <c r="M98" s="31"/>
      <c r="N98" s="31"/>
      <c r="O98" s="31"/>
      <c r="P98" s="31"/>
      <c r="Q98" s="27" t="s">
        <v>77</v>
      </c>
      <c r="R98" s="55">
        <f>$M$20</f>
        <v>1.5454545454545454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G98" s="53"/>
      <c r="AJ98" s="53"/>
      <c r="AK98" s="31"/>
    </row>
    <row r="99" spans="1:37" ht="14.25" customHeight="1" x14ac:dyDescent="0.4">
      <c r="A99" s="12" t="s">
        <v>734</v>
      </c>
      <c r="B99" s="13">
        <v>2</v>
      </c>
      <c r="C99" s="14" t="s">
        <v>31</v>
      </c>
      <c r="D99" s="15" t="s">
        <v>831</v>
      </c>
      <c r="E99" s="52"/>
      <c r="F99" s="26"/>
      <c r="G99" s="27" t="s">
        <v>79</v>
      </c>
      <c r="H99" s="55">
        <f>$J$21</f>
        <v>1.7142857142857144</v>
      </c>
      <c r="J99" s="53"/>
      <c r="K99" s="53"/>
      <c r="L99" s="53"/>
      <c r="M99" s="31"/>
      <c r="N99" s="31"/>
      <c r="O99" s="31"/>
      <c r="P99" s="31"/>
      <c r="Q99" s="27" t="s">
        <v>79</v>
      </c>
      <c r="R99" s="55">
        <f>$M$21</f>
        <v>2.1460674157303368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G99" s="53"/>
      <c r="AJ99" s="53"/>
      <c r="AK99" s="31"/>
    </row>
    <row r="100" spans="1:37" ht="14.25" customHeight="1" x14ac:dyDescent="0.4">
      <c r="A100" s="12" t="s">
        <v>38</v>
      </c>
      <c r="B100" s="13">
        <v>1</v>
      </c>
      <c r="C100" s="14" t="s">
        <v>28</v>
      </c>
      <c r="D100" s="15" t="s">
        <v>832</v>
      </c>
      <c r="E100" s="52">
        <v>1</v>
      </c>
      <c r="F100" s="26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G100" s="53"/>
      <c r="AJ100" s="53"/>
      <c r="AK100" s="31"/>
    </row>
    <row r="101" spans="1:37" ht="14.25" customHeight="1" x14ac:dyDescent="0.4">
      <c r="A101" s="12" t="s">
        <v>28</v>
      </c>
      <c r="B101" s="13">
        <v>1</v>
      </c>
      <c r="C101" s="14" t="s">
        <v>38</v>
      </c>
      <c r="D101" s="15" t="s">
        <v>833</v>
      </c>
      <c r="E101" s="52"/>
      <c r="F101" s="26"/>
      <c r="J101" s="53"/>
      <c r="K101" s="53"/>
      <c r="L101" s="53"/>
      <c r="M101" s="31"/>
      <c r="N101" s="31"/>
      <c r="O101" s="31"/>
      <c r="P101" s="31"/>
      <c r="Q101" s="5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G101" s="53"/>
      <c r="AJ101" s="53"/>
      <c r="AK101" s="31"/>
    </row>
    <row r="102" spans="1:37" ht="14.25" customHeight="1" x14ac:dyDescent="0.4">
      <c r="A102" s="12" t="s">
        <v>438</v>
      </c>
      <c r="B102" s="13">
        <v>2</v>
      </c>
      <c r="C102" s="14" t="s">
        <v>31</v>
      </c>
      <c r="D102" s="15" t="s">
        <v>834</v>
      </c>
      <c r="E102" s="52"/>
      <c r="F102" s="26"/>
      <c r="J102" s="53"/>
      <c r="K102" s="53"/>
      <c r="L102" s="53"/>
      <c r="M102" s="31"/>
      <c r="N102" s="31"/>
      <c r="O102" s="31"/>
      <c r="P102" s="31"/>
      <c r="Q102" s="5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G102" s="53"/>
      <c r="AJ102" s="53"/>
      <c r="AK102" s="31"/>
    </row>
    <row r="103" spans="1:37" ht="14.25" customHeight="1" x14ac:dyDescent="0.4">
      <c r="A103" s="12" t="s">
        <v>12</v>
      </c>
      <c r="B103" s="13">
        <v>1</v>
      </c>
      <c r="C103" s="14" t="s">
        <v>31</v>
      </c>
      <c r="D103" s="15" t="s">
        <v>835</v>
      </c>
      <c r="E103" s="52"/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G103" s="53"/>
      <c r="AJ103" s="53"/>
      <c r="AK103" s="31"/>
    </row>
    <row r="104" spans="1:37" ht="14.25" customHeight="1" x14ac:dyDescent="0.4">
      <c r="A104" s="12" t="s">
        <v>31</v>
      </c>
      <c r="B104" s="13">
        <v>1</v>
      </c>
      <c r="C104" s="14" t="s">
        <v>12</v>
      </c>
      <c r="D104" s="15" t="s">
        <v>836</v>
      </c>
      <c r="E104" s="52"/>
      <c r="F104" s="26"/>
      <c r="J104" s="53"/>
      <c r="K104" s="53"/>
      <c r="L104" s="53"/>
      <c r="M104" s="31"/>
      <c r="N104" s="31"/>
      <c r="O104" s="31"/>
      <c r="P104" s="31"/>
      <c r="Q104" s="5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G104" s="53"/>
      <c r="AJ104" s="53"/>
      <c r="AK104" s="31"/>
    </row>
    <row r="105" spans="1:37" ht="14.25" customHeight="1" x14ac:dyDescent="0.4">
      <c r="A105" s="12" t="s">
        <v>734</v>
      </c>
      <c r="B105" s="13">
        <v>1</v>
      </c>
      <c r="C105" s="14" t="s">
        <v>28</v>
      </c>
      <c r="D105" s="15" t="s">
        <v>837</v>
      </c>
      <c r="E105" s="52">
        <v>0</v>
      </c>
      <c r="F105" s="26"/>
      <c r="J105" s="53"/>
      <c r="K105" s="53"/>
      <c r="L105" s="53"/>
      <c r="M105" s="31"/>
      <c r="N105" s="31"/>
      <c r="O105" s="31"/>
      <c r="P105" s="31"/>
      <c r="Q105" s="5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G105" s="53"/>
      <c r="AJ105" s="53"/>
      <c r="AK105" s="31"/>
    </row>
    <row r="106" spans="1:37" ht="14.25" customHeight="1" x14ac:dyDescent="0.4">
      <c r="A106" s="12" t="s">
        <v>28</v>
      </c>
      <c r="B106" s="13">
        <v>1</v>
      </c>
      <c r="C106" s="14" t="s">
        <v>734</v>
      </c>
      <c r="D106" s="15" t="s">
        <v>838</v>
      </c>
      <c r="E106" s="52"/>
      <c r="F106" s="26"/>
      <c r="J106" s="53"/>
      <c r="K106" s="53"/>
      <c r="L106" s="53"/>
      <c r="M106" s="31"/>
      <c r="N106" s="31"/>
      <c r="O106" s="31"/>
      <c r="P106" s="31"/>
      <c r="Q106" s="5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G106" s="53"/>
      <c r="AJ106" s="53"/>
      <c r="AK106" s="31"/>
    </row>
    <row r="107" spans="1:37" ht="14.25" customHeight="1" x14ac:dyDescent="0.4">
      <c r="A107" s="12" t="s">
        <v>438</v>
      </c>
      <c r="B107" s="13">
        <v>2</v>
      </c>
      <c r="C107" s="14" t="s">
        <v>28</v>
      </c>
      <c r="D107" s="15" t="s">
        <v>839</v>
      </c>
      <c r="E107" s="52">
        <v>0</v>
      </c>
      <c r="F107" s="26"/>
      <c r="J107" s="53"/>
      <c r="K107" s="53"/>
      <c r="L107" s="53"/>
      <c r="M107" s="31"/>
      <c r="N107" s="31"/>
      <c r="O107" s="31"/>
      <c r="P107" s="31"/>
      <c r="Q107" s="5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G107" s="53"/>
      <c r="AJ107" s="53"/>
      <c r="AK107" s="31"/>
    </row>
    <row r="108" spans="1:37" ht="14.25" customHeight="1" x14ac:dyDescent="0.4">
      <c r="A108" s="12" t="s">
        <v>38</v>
      </c>
      <c r="B108" s="13">
        <v>2</v>
      </c>
      <c r="C108" s="14" t="s">
        <v>28</v>
      </c>
      <c r="D108" s="15" t="s">
        <v>840</v>
      </c>
      <c r="E108" s="52">
        <v>0</v>
      </c>
      <c r="F108" s="26"/>
      <c r="J108" s="53"/>
      <c r="K108" s="53"/>
      <c r="L108" s="53"/>
      <c r="M108" s="31"/>
      <c r="N108" s="31"/>
      <c r="O108" s="31"/>
      <c r="P108" s="31"/>
      <c r="Q108" s="5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G108" s="53"/>
      <c r="AJ108" s="53"/>
      <c r="AK108" s="31"/>
    </row>
    <row r="109" spans="1:37" ht="14.25" customHeight="1" x14ac:dyDescent="0.4">
      <c r="A109" s="12" t="s">
        <v>438</v>
      </c>
      <c r="B109" s="13">
        <v>1</v>
      </c>
      <c r="C109" s="14" t="s">
        <v>39</v>
      </c>
      <c r="D109" s="15" t="s">
        <v>841</v>
      </c>
      <c r="E109" s="52"/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J109" s="53"/>
      <c r="AK109" s="31"/>
    </row>
    <row r="110" spans="1:37" ht="14.25" customHeight="1" x14ac:dyDescent="0.4">
      <c r="A110" s="12" t="s">
        <v>39</v>
      </c>
      <c r="B110" s="13">
        <v>1</v>
      </c>
      <c r="C110" s="14" t="s">
        <v>438</v>
      </c>
      <c r="D110" s="15" t="s">
        <v>842</v>
      </c>
      <c r="E110" s="52"/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J110" s="53"/>
      <c r="AK110" s="31"/>
    </row>
    <row r="111" spans="1:37" ht="14.25" customHeight="1" x14ac:dyDescent="0.4">
      <c r="A111" s="12" t="s">
        <v>28</v>
      </c>
      <c r="B111" s="13">
        <v>1</v>
      </c>
      <c r="C111" s="14" t="s">
        <v>39</v>
      </c>
      <c r="D111" s="15" t="s">
        <v>843</v>
      </c>
      <c r="E111" s="52"/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J111" s="53"/>
      <c r="AK111" s="31"/>
    </row>
    <row r="112" spans="1:37" ht="14.25" customHeight="1" x14ac:dyDescent="0.4">
      <c r="A112" s="12" t="s">
        <v>31</v>
      </c>
      <c r="B112" s="13">
        <v>2</v>
      </c>
      <c r="C112" s="14" t="s">
        <v>35</v>
      </c>
      <c r="D112" s="15" t="s">
        <v>844</v>
      </c>
      <c r="E112" s="52"/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J112" s="53"/>
      <c r="AK112" s="31"/>
    </row>
    <row r="113" spans="1:37" ht="14.25" customHeight="1" x14ac:dyDescent="0.4">
      <c r="A113" s="12" t="s">
        <v>39</v>
      </c>
      <c r="B113" s="13">
        <v>2</v>
      </c>
      <c r="C113" s="14" t="s">
        <v>33</v>
      </c>
      <c r="D113" s="15" t="s">
        <v>845</v>
      </c>
      <c r="E113" s="52"/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J113" s="53"/>
      <c r="AK113" s="31"/>
    </row>
    <row r="114" spans="1:37" ht="14.25" customHeight="1" x14ac:dyDescent="0.4">
      <c r="A114" s="12" t="s">
        <v>37</v>
      </c>
      <c r="B114" s="13">
        <v>2</v>
      </c>
      <c r="C114" s="14" t="s">
        <v>438</v>
      </c>
      <c r="D114" s="15" t="s">
        <v>846</v>
      </c>
      <c r="E114" s="52"/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J114" s="53"/>
      <c r="AK114" s="31"/>
    </row>
    <row r="115" spans="1:37" ht="14.25" customHeight="1" x14ac:dyDescent="0.4">
      <c r="A115" s="12" t="s">
        <v>734</v>
      </c>
      <c r="B115" s="13">
        <v>2</v>
      </c>
      <c r="C115" s="14" t="s">
        <v>37</v>
      </c>
      <c r="D115" s="15" t="s">
        <v>847</v>
      </c>
      <c r="E115" s="52"/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J115" s="53"/>
      <c r="AK115" s="31"/>
    </row>
    <row r="116" spans="1:37" ht="14.25" customHeight="1" x14ac:dyDescent="0.4">
      <c r="A116" s="12" t="s">
        <v>438</v>
      </c>
      <c r="B116" s="13">
        <v>2</v>
      </c>
      <c r="C116" s="14" t="s">
        <v>37</v>
      </c>
      <c r="D116" s="15" t="s">
        <v>848</v>
      </c>
      <c r="E116" s="52"/>
      <c r="F116" s="26"/>
      <c r="J116" s="53"/>
      <c r="K116" s="53"/>
      <c r="L116" s="53"/>
      <c r="M116" s="31"/>
      <c r="N116" s="31"/>
      <c r="O116" s="31"/>
      <c r="P116" s="31"/>
      <c r="Q116" s="5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J116" s="53"/>
      <c r="AK116" s="31"/>
    </row>
    <row r="117" spans="1:37" ht="14.25" customHeight="1" x14ac:dyDescent="0.4">
      <c r="A117" s="12" t="s">
        <v>438</v>
      </c>
      <c r="B117" s="13">
        <v>2</v>
      </c>
      <c r="C117" s="14" t="s">
        <v>38</v>
      </c>
      <c r="D117" s="15" t="s">
        <v>849</v>
      </c>
      <c r="E117" s="52"/>
      <c r="F117" s="26"/>
      <c r="J117" s="53"/>
      <c r="K117" s="53"/>
      <c r="L117" s="53"/>
      <c r="M117" s="31"/>
      <c r="N117" s="31"/>
      <c r="O117" s="31"/>
      <c r="P117" s="31"/>
      <c r="Q117" s="5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J117" s="53"/>
      <c r="AK117" s="31"/>
    </row>
    <row r="118" spans="1:37" ht="14.25" customHeight="1" x14ac:dyDescent="0.4">
      <c r="A118" s="12" t="s">
        <v>38</v>
      </c>
      <c r="B118" s="13">
        <v>1</v>
      </c>
      <c r="C118" s="14" t="s">
        <v>438</v>
      </c>
      <c r="D118" s="15" t="s">
        <v>850</v>
      </c>
      <c r="E118" s="52"/>
      <c r="F118" s="26"/>
      <c r="J118" s="53"/>
      <c r="K118" s="53"/>
      <c r="L118" s="53"/>
      <c r="M118" s="31"/>
      <c r="N118" s="31"/>
      <c r="O118" s="31"/>
      <c r="P118" s="31"/>
      <c r="Q118" s="5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J118" s="53"/>
      <c r="AK118" s="31"/>
    </row>
    <row r="119" spans="1:37" ht="14.25" customHeight="1" x14ac:dyDescent="0.4">
      <c r="A119" s="12" t="s">
        <v>37</v>
      </c>
      <c r="B119" s="13">
        <v>1</v>
      </c>
      <c r="C119" s="14" t="s">
        <v>730</v>
      </c>
      <c r="D119" s="15" t="s">
        <v>851</v>
      </c>
      <c r="E119" s="52"/>
      <c r="F119" s="26"/>
      <c r="J119" s="53"/>
      <c r="K119" s="53"/>
      <c r="L119" s="53"/>
      <c r="M119" s="31"/>
      <c r="N119" s="31"/>
      <c r="O119" s="31"/>
      <c r="P119" s="31"/>
      <c r="Q119" s="5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J119" s="53"/>
      <c r="AK119" s="31"/>
    </row>
    <row r="120" spans="1:37" ht="14.25" customHeight="1" x14ac:dyDescent="0.4">
      <c r="A120" s="12" t="s">
        <v>730</v>
      </c>
      <c r="B120" s="13">
        <v>1</v>
      </c>
      <c r="C120" s="14" t="s">
        <v>37</v>
      </c>
      <c r="D120" s="15" t="s">
        <v>852</v>
      </c>
      <c r="E120" s="52"/>
      <c r="F120" s="26"/>
      <c r="J120" s="53"/>
      <c r="K120" s="53"/>
      <c r="L120" s="53"/>
      <c r="M120" s="31"/>
      <c r="N120" s="31"/>
      <c r="O120" s="31"/>
      <c r="P120" s="31"/>
      <c r="Q120" s="5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J120" s="53"/>
      <c r="AK120" s="31"/>
    </row>
    <row r="121" spans="1:37" ht="14.25" customHeight="1" x14ac:dyDescent="0.4">
      <c r="A121" s="12" t="s">
        <v>39</v>
      </c>
      <c r="B121" s="13">
        <v>2</v>
      </c>
      <c r="C121" s="14" t="s">
        <v>35</v>
      </c>
      <c r="D121" s="15" t="s">
        <v>853</v>
      </c>
      <c r="E121" s="52"/>
      <c r="F121" s="26"/>
      <c r="J121" s="53"/>
      <c r="K121" s="53"/>
      <c r="L121" s="53"/>
      <c r="M121" s="31"/>
      <c r="N121" s="31"/>
      <c r="O121" s="31"/>
      <c r="P121" s="31"/>
      <c r="Q121" s="5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J121" s="53"/>
      <c r="AK121" s="31"/>
    </row>
    <row r="122" spans="1:37" ht="14.25" customHeight="1" x14ac:dyDescent="0.4">
      <c r="A122" s="12" t="s">
        <v>438</v>
      </c>
      <c r="B122" s="13">
        <v>2</v>
      </c>
      <c r="C122" s="14" t="s">
        <v>35</v>
      </c>
      <c r="D122" s="15" t="s">
        <v>854</v>
      </c>
      <c r="E122" s="52"/>
      <c r="F122" s="26"/>
      <c r="J122" s="53"/>
      <c r="K122" s="53"/>
      <c r="L122" s="53"/>
      <c r="M122" s="31"/>
      <c r="N122" s="31"/>
      <c r="O122" s="31"/>
      <c r="P122" s="31"/>
      <c r="Q122" s="5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J122" s="53"/>
      <c r="AK122" s="31"/>
    </row>
    <row r="123" spans="1:37" ht="14.25" customHeight="1" x14ac:dyDescent="0.4">
      <c r="A123" s="12" t="s">
        <v>438</v>
      </c>
      <c r="B123" s="13">
        <v>2</v>
      </c>
      <c r="C123" s="14" t="s">
        <v>28</v>
      </c>
      <c r="D123" s="15" t="s">
        <v>855</v>
      </c>
      <c r="E123" s="52">
        <v>1</v>
      </c>
      <c r="F123" s="26"/>
      <c r="J123" s="53"/>
      <c r="K123" s="53"/>
      <c r="L123" s="53"/>
      <c r="M123" s="31"/>
      <c r="N123" s="31"/>
      <c r="O123" s="31"/>
      <c r="P123" s="31"/>
      <c r="Q123" s="5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J123" s="53"/>
      <c r="AK123" s="31"/>
    </row>
    <row r="124" spans="1:37" ht="14.25" customHeight="1" x14ac:dyDescent="0.4">
      <c r="A124" s="12" t="s">
        <v>33</v>
      </c>
      <c r="B124" s="13">
        <v>2</v>
      </c>
      <c r="C124" s="14" t="s">
        <v>12</v>
      </c>
      <c r="D124" s="15" t="s">
        <v>856</v>
      </c>
      <c r="E124" s="52"/>
      <c r="F124" s="26"/>
      <c r="J124" s="53"/>
      <c r="K124" s="53"/>
      <c r="L124" s="53"/>
      <c r="M124" s="31"/>
      <c r="N124" s="31"/>
      <c r="O124" s="31"/>
      <c r="P124" s="31"/>
      <c r="Q124" s="5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J124" s="53"/>
      <c r="AK124" s="31"/>
    </row>
    <row r="125" spans="1:37" ht="14.25" customHeight="1" x14ac:dyDescent="0.4">
      <c r="A125" s="12" t="s">
        <v>734</v>
      </c>
      <c r="B125" s="13">
        <v>1</v>
      </c>
      <c r="C125" s="14" t="s">
        <v>730</v>
      </c>
      <c r="D125" s="15" t="s">
        <v>857</v>
      </c>
      <c r="E125" s="52"/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J125" s="53"/>
      <c r="AK125" s="31"/>
    </row>
    <row r="126" spans="1:37" ht="14.25" customHeight="1" x14ac:dyDescent="0.4">
      <c r="A126" s="12" t="s">
        <v>31</v>
      </c>
      <c r="B126" s="13">
        <v>1</v>
      </c>
      <c r="C126" s="74" t="s">
        <v>33</v>
      </c>
      <c r="D126" s="15" t="s">
        <v>858</v>
      </c>
      <c r="E126" s="52"/>
      <c r="F126" s="26"/>
    </row>
    <row r="127" spans="1:37" ht="14.25" customHeight="1" x14ac:dyDescent="0.4">
      <c r="A127" s="12" t="s">
        <v>33</v>
      </c>
      <c r="B127" s="13">
        <v>1</v>
      </c>
      <c r="C127" s="74" t="s">
        <v>31</v>
      </c>
      <c r="D127" s="15" t="s">
        <v>859</v>
      </c>
      <c r="E127" s="52"/>
      <c r="F127" s="26"/>
    </row>
    <row r="128" spans="1:37" ht="14.25" customHeight="1" x14ac:dyDescent="0.4">
      <c r="A128" s="12" t="s">
        <v>438</v>
      </c>
      <c r="B128" s="13">
        <v>1</v>
      </c>
      <c r="C128" s="74" t="s">
        <v>28</v>
      </c>
      <c r="D128" s="15" t="s">
        <v>860</v>
      </c>
      <c r="E128" s="52">
        <v>1</v>
      </c>
      <c r="F128" s="26"/>
    </row>
    <row r="129" spans="1:6" ht="14.25" customHeight="1" x14ac:dyDescent="0.4">
      <c r="A129" s="12" t="s">
        <v>28</v>
      </c>
      <c r="B129" s="13">
        <v>1</v>
      </c>
      <c r="C129" s="74" t="s">
        <v>438</v>
      </c>
      <c r="D129" s="15" t="s">
        <v>861</v>
      </c>
      <c r="E129" s="52"/>
      <c r="F129" s="26"/>
    </row>
    <row r="130" spans="1:6" ht="14.25" customHeight="1" x14ac:dyDescent="0.4">
      <c r="A130" s="12" t="s">
        <v>31</v>
      </c>
      <c r="B130" s="13">
        <v>1</v>
      </c>
      <c r="C130" s="14" t="s">
        <v>12</v>
      </c>
      <c r="D130" s="15" t="s">
        <v>862</v>
      </c>
      <c r="E130" s="52"/>
      <c r="F130" s="26"/>
    </row>
    <row r="131" spans="1:6" ht="14.25" customHeight="1" x14ac:dyDescent="0.4">
      <c r="A131" s="12" t="s">
        <v>28</v>
      </c>
      <c r="B131" s="13">
        <v>1</v>
      </c>
      <c r="C131" s="14" t="s">
        <v>438</v>
      </c>
      <c r="D131" s="15" t="s">
        <v>863</v>
      </c>
      <c r="E131" s="52"/>
      <c r="F131" s="26"/>
    </row>
    <row r="132" spans="1:6" ht="14.25" customHeight="1" x14ac:dyDescent="0.4">
      <c r="A132" s="12" t="s">
        <v>438</v>
      </c>
      <c r="B132" s="13">
        <v>1</v>
      </c>
      <c r="C132" s="14" t="s">
        <v>28</v>
      </c>
      <c r="D132" s="15" t="s">
        <v>864</v>
      </c>
      <c r="E132" s="52">
        <v>0</v>
      </c>
      <c r="F132" s="26"/>
    </row>
    <row r="133" spans="1:6" ht="14.25" customHeight="1" x14ac:dyDescent="0.4">
      <c r="A133" s="12" t="s">
        <v>28</v>
      </c>
      <c r="B133" s="13">
        <v>1</v>
      </c>
      <c r="C133" s="14" t="s">
        <v>39</v>
      </c>
      <c r="D133" s="15" t="s">
        <v>865</v>
      </c>
      <c r="E133" s="52"/>
      <c r="F133" s="26"/>
    </row>
    <row r="134" spans="1:6" ht="14.25" customHeight="1" x14ac:dyDescent="0.4">
      <c r="A134" s="12" t="s">
        <v>39</v>
      </c>
      <c r="B134" s="13">
        <v>1</v>
      </c>
      <c r="C134" s="14" t="s">
        <v>28</v>
      </c>
      <c r="D134" s="15" t="s">
        <v>866</v>
      </c>
      <c r="E134" s="52">
        <v>0</v>
      </c>
      <c r="F134" s="26"/>
    </row>
    <row r="135" spans="1:6" ht="14.25" customHeight="1" x14ac:dyDescent="0.4">
      <c r="A135" s="12" t="s">
        <v>38</v>
      </c>
      <c r="B135" s="13">
        <v>1</v>
      </c>
      <c r="C135" s="14" t="s">
        <v>12</v>
      </c>
      <c r="D135" s="15" t="s">
        <v>867</v>
      </c>
      <c r="E135" s="52"/>
      <c r="F135" s="26"/>
    </row>
    <row r="136" spans="1:6" ht="14.25" customHeight="1" x14ac:dyDescent="0.4">
      <c r="A136" s="12" t="s">
        <v>12</v>
      </c>
      <c r="B136" s="13">
        <v>1</v>
      </c>
      <c r="C136" s="14" t="s">
        <v>38</v>
      </c>
      <c r="D136" s="15" t="s">
        <v>868</v>
      </c>
      <c r="E136" s="52"/>
      <c r="F136" s="26"/>
    </row>
    <row r="137" spans="1:6" ht="14.25" customHeight="1" x14ac:dyDescent="0.4">
      <c r="A137" s="12" t="s">
        <v>38</v>
      </c>
      <c r="B137" s="13">
        <v>2</v>
      </c>
      <c r="C137" s="14" t="s">
        <v>31</v>
      </c>
      <c r="D137" s="15" t="s">
        <v>869</v>
      </c>
      <c r="E137" s="52"/>
      <c r="F137" s="26"/>
    </row>
    <row r="138" spans="1:6" ht="14.25" customHeight="1" x14ac:dyDescent="0.4">
      <c r="A138" s="12" t="s">
        <v>438</v>
      </c>
      <c r="B138" s="13">
        <v>1</v>
      </c>
      <c r="C138" s="14" t="s">
        <v>38</v>
      </c>
      <c r="D138" s="15" t="s">
        <v>870</v>
      </c>
      <c r="E138" s="52"/>
      <c r="F138" s="26"/>
    </row>
    <row r="139" spans="1:6" ht="14.25" customHeight="1" x14ac:dyDescent="0.4">
      <c r="A139" s="12" t="s">
        <v>38</v>
      </c>
      <c r="B139" s="13">
        <v>1</v>
      </c>
      <c r="C139" s="14" t="s">
        <v>438</v>
      </c>
      <c r="D139" s="15" t="s">
        <v>871</v>
      </c>
      <c r="E139" s="52"/>
      <c r="F139" s="26"/>
    </row>
    <row r="140" spans="1:6" ht="14.25" customHeight="1" x14ac:dyDescent="0.4">
      <c r="A140" s="12" t="s">
        <v>730</v>
      </c>
      <c r="B140" s="13">
        <v>2</v>
      </c>
      <c r="C140" s="14" t="s">
        <v>28</v>
      </c>
      <c r="D140" s="15" t="s">
        <v>872</v>
      </c>
      <c r="E140" s="52">
        <v>1</v>
      </c>
      <c r="F140" s="26"/>
    </row>
    <row r="141" spans="1:6" ht="14.25" customHeight="1" x14ac:dyDescent="0.4">
      <c r="A141" s="12" t="s">
        <v>28</v>
      </c>
      <c r="B141" s="13">
        <v>1</v>
      </c>
      <c r="C141" s="14" t="s">
        <v>734</v>
      </c>
      <c r="D141" s="15" t="s">
        <v>873</v>
      </c>
      <c r="E141" s="52"/>
      <c r="F141" s="26"/>
    </row>
    <row r="142" spans="1:6" ht="14.25" customHeight="1" x14ac:dyDescent="0.4">
      <c r="A142" s="12" t="s">
        <v>441</v>
      </c>
      <c r="B142" s="13">
        <v>2</v>
      </c>
      <c r="C142" s="14" t="s">
        <v>35</v>
      </c>
      <c r="D142" s="15" t="s">
        <v>874</v>
      </c>
      <c r="E142" s="52"/>
      <c r="F142" s="26"/>
    </row>
    <row r="143" spans="1:6" ht="14.25" customHeight="1" x14ac:dyDescent="0.4">
      <c r="A143" s="12" t="s">
        <v>12</v>
      </c>
      <c r="B143" s="13">
        <v>2</v>
      </c>
      <c r="C143" s="14" t="s">
        <v>28</v>
      </c>
      <c r="D143" s="15" t="s">
        <v>875</v>
      </c>
      <c r="E143" s="52">
        <v>0</v>
      </c>
      <c r="F143" s="26"/>
    </row>
    <row r="144" spans="1:6" ht="14.25" customHeight="1" x14ac:dyDescent="0.4">
      <c r="A144" s="12" t="s">
        <v>28</v>
      </c>
      <c r="B144" s="13">
        <v>1</v>
      </c>
      <c r="C144" s="14" t="s">
        <v>12</v>
      </c>
      <c r="D144" s="15" t="s">
        <v>876</v>
      </c>
      <c r="E144" s="52"/>
      <c r="F144" s="26"/>
    </row>
    <row r="145" spans="1:6" ht="14.25" customHeight="1" x14ac:dyDescent="0.4">
      <c r="A145" s="12" t="s">
        <v>12</v>
      </c>
      <c r="B145" s="13">
        <v>1</v>
      </c>
      <c r="C145" s="14" t="s">
        <v>28</v>
      </c>
      <c r="D145" s="15" t="s">
        <v>877</v>
      </c>
      <c r="E145" s="52">
        <v>0</v>
      </c>
      <c r="F145" s="26"/>
    </row>
    <row r="146" spans="1:6" ht="14.25" customHeight="1" x14ac:dyDescent="0.4">
      <c r="A146" s="12" t="s">
        <v>39</v>
      </c>
      <c r="B146" s="13">
        <v>1</v>
      </c>
      <c r="C146" s="14" t="s">
        <v>12</v>
      </c>
      <c r="D146" s="15" t="s">
        <v>878</v>
      </c>
      <c r="E146" s="52"/>
      <c r="F146" s="26"/>
    </row>
    <row r="147" spans="1:6" ht="14.25" customHeight="1" x14ac:dyDescent="0.4">
      <c r="A147" s="12" t="s">
        <v>12</v>
      </c>
      <c r="B147" s="13">
        <v>1</v>
      </c>
      <c r="C147" s="14" t="s">
        <v>39</v>
      </c>
      <c r="D147" s="15" t="s">
        <v>879</v>
      </c>
      <c r="E147" s="52"/>
      <c r="F147" s="26"/>
    </row>
    <row r="148" spans="1:6" ht="14.25" customHeight="1" x14ac:dyDescent="0.4">
      <c r="A148" s="12" t="s">
        <v>438</v>
      </c>
      <c r="B148" s="13">
        <v>2</v>
      </c>
      <c r="C148" s="14" t="s">
        <v>12</v>
      </c>
      <c r="D148" s="15" t="s">
        <v>880</v>
      </c>
      <c r="E148" s="52"/>
      <c r="F148" s="26"/>
    </row>
    <row r="149" spans="1:6" ht="14.25" customHeight="1" x14ac:dyDescent="0.4">
      <c r="A149" s="12" t="s">
        <v>438</v>
      </c>
      <c r="B149" s="13">
        <v>2</v>
      </c>
      <c r="C149" s="14" t="s">
        <v>35</v>
      </c>
      <c r="D149" s="15" t="s">
        <v>881</v>
      </c>
      <c r="E149" s="52"/>
      <c r="F149" s="26"/>
    </row>
    <row r="150" spans="1:6" ht="14.25" customHeight="1" x14ac:dyDescent="0.4">
      <c r="A150" s="12" t="s">
        <v>438</v>
      </c>
      <c r="B150" s="13">
        <v>2</v>
      </c>
      <c r="C150" s="14" t="s">
        <v>28</v>
      </c>
      <c r="D150" s="15" t="s">
        <v>882</v>
      </c>
      <c r="E150" s="52">
        <v>1</v>
      </c>
      <c r="F150" s="26"/>
    </row>
    <row r="151" spans="1:6" ht="14.25" customHeight="1" x14ac:dyDescent="0.4">
      <c r="A151" s="12" t="s">
        <v>31</v>
      </c>
      <c r="B151" s="13">
        <v>2</v>
      </c>
      <c r="C151" s="14" t="s">
        <v>37</v>
      </c>
      <c r="D151" s="15" t="s">
        <v>883</v>
      </c>
      <c r="E151" s="52"/>
      <c r="F151" s="26"/>
    </row>
    <row r="152" spans="1:6" ht="14.25" customHeight="1" x14ac:dyDescent="0.4">
      <c r="A152" s="12" t="s">
        <v>438</v>
      </c>
      <c r="B152" s="13">
        <v>2</v>
      </c>
      <c r="C152" s="14" t="s">
        <v>37</v>
      </c>
      <c r="D152" s="15" t="s">
        <v>884</v>
      </c>
      <c r="E152" s="52"/>
      <c r="F152" s="26"/>
    </row>
    <row r="153" spans="1:6" ht="14.25" customHeight="1" x14ac:dyDescent="0.4">
      <c r="A153" s="12" t="s">
        <v>39</v>
      </c>
      <c r="B153" s="13">
        <v>2</v>
      </c>
      <c r="C153" s="14" t="s">
        <v>33</v>
      </c>
      <c r="D153" s="15" t="s">
        <v>885</v>
      </c>
      <c r="E153" s="52"/>
      <c r="F153" s="26"/>
    </row>
    <row r="154" spans="1:6" ht="14.25" customHeight="1" x14ac:dyDescent="0.4">
      <c r="A154" s="12" t="s">
        <v>39</v>
      </c>
      <c r="B154" s="13">
        <v>1</v>
      </c>
      <c r="C154" s="14" t="s">
        <v>33</v>
      </c>
      <c r="D154" s="15" t="s">
        <v>886</v>
      </c>
      <c r="E154" s="52"/>
      <c r="F154" s="26"/>
    </row>
    <row r="155" spans="1:6" ht="14.25" customHeight="1" x14ac:dyDescent="0.4">
      <c r="A155" s="12" t="s">
        <v>438</v>
      </c>
      <c r="B155" s="13">
        <v>1</v>
      </c>
      <c r="C155" s="14" t="s">
        <v>28</v>
      </c>
      <c r="D155" s="15" t="s">
        <v>887</v>
      </c>
      <c r="E155" s="52">
        <v>1</v>
      </c>
      <c r="F155" s="26"/>
    </row>
    <row r="156" spans="1:6" ht="14.25" customHeight="1" x14ac:dyDescent="0.4">
      <c r="A156" s="12" t="s">
        <v>28</v>
      </c>
      <c r="B156" s="13">
        <v>1</v>
      </c>
      <c r="C156" s="14" t="s">
        <v>438</v>
      </c>
      <c r="D156" s="15" t="s">
        <v>888</v>
      </c>
      <c r="E156" s="52"/>
      <c r="F156" s="26"/>
    </row>
    <row r="157" spans="1:6" ht="14.25" customHeight="1" x14ac:dyDescent="0.4">
      <c r="A157" s="12" t="s">
        <v>33</v>
      </c>
      <c r="B157" s="13">
        <v>1</v>
      </c>
      <c r="C157" s="14" t="s">
        <v>12</v>
      </c>
      <c r="D157" s="15" t="s">
        <v>889</v>
      </c>
      <c r="E157" s="52"/>
      <c r="F157" s="26"/>
    </row>
    <row r="158" spans="1:6" ht="14.25" customHeight="1" x14ac:dyDescent="0.4">
      <c r="A158" s="12" t="s">
        <v>39</v>
      </c>
      <c r="B158" s="13">
        <v>2</v>
      </c>
      <c r="C158" s="14" t="s">
        <v>33</v>
      </c>
      <c r="D158" s="15" t="s">
        <v>890</v>
      </c>
      <c r="E158" s="52"/>
      <c r="F158" s="26"/>
    </row>
    <row r="159" spans="1:6" ht="14.25" customHeight="1" x14ac:dyDescent="0.4">
      <c r="A159" s="12" t="s">
        <v>12</v>
      </c>
      <c r="B159" s="13">
        <v>2</v>
      </c>
      <c r="C159" s="14" t="s">
        <v>28</v>
      </c>
      <c r="D159" s="15" t="s">
        <v>891</v>
      </c>
      <c r="E159" s="52">
        <v>1</v>
      </c>
      <c r="F159" s="26"/>
    </row>
    <row r="160" spans="1:6" ht="14.25" customHeight="1" x14ac:dyDescent="0.4">
      <c r="A160" s="12" t="s">
        <v>39</v>
      </c>
      <c r="B160" s="13">
        <v>1</v>
      </c>
      <c r="C160" s="14" t="s">
        <v>28</v>
      </c>
      <c r="D160" s="15" t="s">
        <v>892</v>
      </c>
      <c r="E160" s="52">
        <v>0</v>
      </c>
    </row>
    <row r="161" spans="1:5" ht="14.25" customHeight="1" x14ac:dyDescent="0.4">
      <c r="A161" s="12" t="s">
        <v>28</v>
      </c>
      <c r="B161" s="13">
        <v>2</v>
      </c>
      <c r="C161" s="14" t="s">
        <v>39</v>
      </c>
      <c r="D161" s="15" t="s">
        <v>893</v>
      </c>
      <c r="E161" s="52"/>
    </row>
    <row r="162" spans="1:5" ht="14.25" customHeight="1" x14ac:dyDescent="0.4">
      <c r="A162" s="12" t="s">
        <v>438</v>
      </c>
      <c r="B162" s="13">
        <v>1</v>
      </c>
      <c r="C162" s="14" t="s">
        <v>38</v>
      </c>
      <c r="D162" s="15" t="s">
        <v>894</v>
      </c>
      <c r="E162" s="52"/>
    </row>
    <row r="163" spans="1:5" ht="14.25" customHeight="1" x14ac:dyDescent="0.4">
      <c r="A163" s="12" t="s">
        <v>38</v>
      </c>
      <c r="B163" s="13">
        <v>1</v>
      </c>
      <c r="C163" s="14" t="s">
        <v>438</v>
      </c>
      <c r="D163" s="15" t="s">
        <v>895</v>
      </c>
      <c r="E163" s="52"/>
    </row>
    <row r="164" spans="1:5" ht="14.25" customHeight="1" x14ac:dyDescent="0.4">
      <c r="A164" s="12" t="s">
        <v>438</v>
      </c>
      <c r="B164" s="13">
        <v>2</v>
      </c>
      <c r="C164" s="14" t="s">
        <v>38</v>
      </c>
      <c r="D164" s="15" t="s">
        <v>896</v>
      </c>
      <c r="E164" s="52"/>
    </row>
    <row r="165" spans="1:5" ht="14.25" customHeight="1" x14ac:dyDescent="0.4">
      <c r="A165" s="12" t="s">
        <v>38</v>
      </c>
      <c r="B165" s="13">
        <v>1</v>
      </c>
      <c r="C165" s="14" t="s">
        <v>438</v>
      </c>
      <c r="D165" s="15" t="s">
        <v>897</v>
      </c>
      <c r="E165" s="52"/>
    </row>
    <row r="166" spans="1:5" ht="14.25" customHeight="1" x14ac:dyDescent="0.4">
      <c r="A166" s="12" t="s">
        <v>438</v>
      </c>
      <c r="B166" s="13">
        <v>1</v>
      </c>
      <c r="C166" s="14" t="s">
        <v>28</v>
      </c>
      <c r="D166" s="15" t="s">
        <v>898</v>
      </c>
      <c r="E166" s="52">
        <v>1</v>
      </c>
    </row>
    <row r="167" spans="1:5" ht="14.25" customHeight="1" x14ac:dyDescent="0.4">
      <c r="A167" s="12" t="s">
        <v>28</v>
      </c>
      <c r="B167" s="13">
        <v>1</v>
      </c>
      <c r="C167" s="14" t="s">
        <v>12</v>
      </c>
      <c r="D167" s="15" t="s">
        <v>899</v>
      </c>
      <c r="E167" s="52"/>
    </row>
    <row r="168" spans="1:5" ht="14.25" customHeight="1" x14ac:dyDescent="0.4">
      <c r="A168" s="12" t="s">
        <v>12</v>
      </c>
      <c r="B168" s="13">
        <v>1</v>
      </c>
      <c r="C168" s="14" t="s">
        <v>28</v>
      </c>
      <c r="D168" s="15" t="s">
        <v>900</v>
      </c>
      <c r="E168" s="52">
        <v>1</v>
      </c>
    </row>
    <row r="169" spans="1:5" ht="14.25" customHeight="1" x14ac:dyDescent="0.4">
      <c r="A169" s="12" t="s">
        <v>28</v>
      </c>
      <c r="B169" s="13">
        <v>2</v>
      </c>
      <c r="C169" s="14" t="s">
        <v>31</v>
      </c>
      <c r="D169" s="15" t="s">
        <v>901</v>
      </c>
      <c r="E169" s="52"/>
    </row>
    <row r="170" spans="1:5" ht="14.25" customHeight="1" x14ac:dyDescent="0.4">
      <c r="A170" s="12" t="s">
        <v>28</v>
      </c>
      <c r="B170" s="13">
        <v>1</v>
      </c>
      <c r="C170" s="14" t="s">
        <v>33</v>
      </c>
      <c r="D170" s="15" t="s">
        <v>902</v>
      </c>
      <c r="E170" s="52"/>
    </row>
    <row r="171" spans="1:5" ht="14.25" customHeight="1" x14ac:dyDescent="0.4">
      <c r="A171" s="12" t="s">
        <v>33</v>
      </c>
      <c r="B171" s="13">
        <v>1</v>
      </c>
      <c r="C171" s="14" t="s">
        <v>28</v>
      </c>
      <c r="D171" s="15" t="s">
        <v>903</v>
      </c>
      <c r="E171" s="52">
        <v>0</v>
      </c>
    </row>
    <row r="172" spans="1:5" ht="14.25" customHeight="1" x14ac:dyDescent="0.4">
      <c r="A172" s="12" t="s">
        <v>12</v>
      </c>
      <c r="B172" s="13">
        <v>2</v>
      </c>
      <c r="C172" s="14" t="s">
        <v>33</v>
      </c>
      <c r="D172" s="15" t="s">
        <v>904</v>
      </c>
      <c r="E172" s="52"/>
    </row>
    <row r="173" spans="1:5" ht="14.25" customHeight="1" x14ac:dyDescent="0.4">
      <c r="A173" s="12" t="s">
        <v>28</v>
      </c>
      <c r="B173" s="13">
        <v>2</v>
      </c>
      <c r="C173" s="14" t="s">
        <v>37</v>
      </c>
      <c r="D173" s="15" t="s">
        <v>905</v>
      </c>
      <c r="E173" s="52"/>
    </row>
    <row r="174" spans="1:5" ht="14.25" customHeight="1" x14ac:dyDescent="0.4">
      <c r="A174" s="12" t="s">
        <v>37</v>
      </c>
      <c r="B174" s="13">
        <v>2</v>
      </c>
      <c r="C174" s="14" t="s">
        <v>28</v>
      </c>
      <c r="D174" s="15" t="s">
        <v>906</v>
      </c>
      <c r="E174" s="52">
        <v>0</v>
      </c>
    </row>
    <row r="175" spans="1:5" ht="14.25" customHeight="1" x14ac:dyDescent="0.4">
      <c r="A175" s="12" t="s">
        <v>33</v>
      </c>
      <c r="B175" s="13">
        <v>2</v>
      </c>
      <c r="C175" s="14" t="s">
        <v>438</v>
      </c>
      <c r="D175" s="15" t="s">
        <v>907</v>
      </c>
      <c r="E175" s="52"/>
    </row>
    <row r="176" spans="1:5" ht="14.25" customHeight="1" x14ac:dyDescent="0.4">
      <c r="A176" s="12" t="s">
        <v>438</v>
      </c>
      <c r="B176" s="13">
        <v>1</v>
      </c>
      <c r="C176" s="14" t="s">
        <v>33</v>
      </c>
      <c r="D176" s="15" t="s">
        <v>908</v>
      </c>
      <c r="E176" s="52"/>
    </row>
    <row r="177" spans="1:5" ht="14.25" customHeight="1" x14ac:dyDescent="0.4">
      <c r="A177" s="12" t="s">
        <v>438</v>
      </c>
      <c r="B177" s="13">
        <v>2</v>
      </c>
      <c r="C177" s="14" t="s">
        <v>28</v>
      </c>
      <c r="D177" s="15" t="s">
        <v>909</v>
      </c>
      <c r="E177" s="52">
        <v>1</v>
      </c>
    </row>
    <row r="178" spans="1:5" ht="14.25" customHeight="1" x14ac:dyDescent="0.4">
      <c r="A178" s="12" t="s">
        <v>734</v>
      </c>
      <c r="B178" s="13">
        <v>2</v>
      </c>
      <c r="C178" s="14" t="s">
        <v>33</v>
      </c>
      <c r="D178" s="15" t="s">
        <v>910</v>
      </c>
      <c r="E178" s="52"/>
    </row>
    <row r="179" spans="1:5" ht="14.25" customHeight="1" x14ac:dyDescent="0.4">
      <c r="A179" s="12" t="s">
        <v>31</v>
      </c>
      <c r="B179" s="13">
        <v>2</v>
      </c>
      <c r="C179" s="14" t="s">
        <v>28</v>
      </c>
      <c r="D179" s="15" t="s">
        <v>911</v>
      </c>
      <c r="E179" s="52">
        <v>1</v>
      </c>
    </row>
    <row r="180" spans="1:5" ht="14.25" customHeight="1" x14ac:dyDescent="0.4">
      <c r="A180" s="12" t="s">
        <v>28</v>
      </c>
      <c r="B180" s="13">
        <v>1</v>
      </c>
      <c r="C180" s="14" t="s">
        <v>31</v>
      </c>
      <c r="D180" s="15" t="s">
        <v>912</v>
      </c>
      <c r="E180" s="52"/>
    </row>
    <row r="181" spans="1:5" ht="14.25" customHeight="1" x14ac:dyDescent="0.4">
      <c r="A181" s="12" t="s">
        <v>438</v>
      </c>
      <c r="B181" s="13">
        <v>2</v>
      </c>
      <c r="C181" s="14" t="s">
        <v>33</v>
      </c>
      <c r="D181" s="15" t="s">
        <v>913</v>
      </c>
      <c r="E181" s="52"/>
    </row>
    <row r="182" spans="1:5" ht="14.25" customHeight="1" x14ac:dyDescent="0.4">
      <c r="A182" s="12" t="s">
        <v>33</v>
      </c>
      <c r="B182" s="13">
        <v>1</v>
      </c>
      <c r="C182" s="14" t="s">
        <v>438</v>
      </c>
      <c r="D182" s="15" t="s">
        <v>914</v>
      </c>
      <c r="E182" s="52"/>
    </row>
    <row r="183" spans="1:5" ht="14.25" customHeight="1" x14ac:dyDescent="0.4">
      <c r="A183" s="12" t="s">
        <v>438</v>
      </c>
      <c r="B183" s="13">
        <v>2</v>
      </c>
      <c r="C183" s="14" t="s">
        <v>28</v>
      </c>
      <c r="D183" s="15" t="s">
        <v>915</v>
      </c>
      <c r="E183" s="52">
        <v>1</v>
      </c>
    </row>
    <row r="184" spans="1:5" ht="14.25" customHeight="1" x14ac:dyDescent="0.4">
      <c r="A184" s="12" t="s">
        <v>38</v>
      </c>
      <c r="B184" s="13">
        <v>2</v>
      </c>
      <c r="C184" s="14" t="s">
        <v>31</v>
      </c>
      <c r="D184" s="15" t="s">
        <v>916</v>
      </c>
      <c r="E184" s="52"/>
    </row>
    <row r="185" spans="1:5" ht="14.25" customHeight="1" x14ac:dyDescent="0.4">
      <c r="A185" s="12" t="s">
        <v>438</v>
      </c>
      <c r="B185" s="13">
        <v>2</v>
      </c>
      <c r="C185" s="14" t="s">
        <v>31</v>
      </c>
      <c r="D185" s="15" t="s">
        <v>917</v>
      </c>
      <c r="E185" s="52"/>
    </row>
    <row r="186" spans="1:5" ht="14.25" customHeight="1" x14ac:dyDescent="0.4">
      <c r="A186" s="12" t="s">
        <v>438</v>
      </c>
      <c r="B186" s="13">
        <v>1</v>
      </c>
      <c r="C186" s="14" t="s">
        <v>38</v>
      </c>
      <c r="D186" s="15" t="s">
        <v>918</v>
      </c>
      <c r="E186" s="52"/>
    </row>
    <row r="187" spans="1:5" ht="14.25" customHeight="1" x14ac:dyDescent="0.4">
      <c r="A187" s="12" t="s">
        <v>38</v>
      </c>
      <c r="B187" s="13">
        <v>1</v>
      </c>
      <c r="C187" s="14" t="s">
        <v>438</v>
      </c>
      <c r="D187" s="15" t="s">
        <v>919</v>
      </c>
      <c r="E187" s="52"/>
    </row>
    <row r="188" spans="1:5" ht="14.25" customHeight="1" x14ac:dyDescent="0.4">
      <c r="A188" s="12" t="s">
        <v>438</v>
      </c>
      <c r="B188" s="13">
        <v>2</v>
      </c>
      <c r="C188" s="14" t="s">
        <v>38</v>
      </c>
      <c r="D188" s="15" t="s">
        <v>920</v>
      </c>
      <c r="E188" s="52"/>
    </row>
    <row r="189" spans="1:5" ht="14.25" customHeight="1" x14ac:dyDescent="0.4">
      <c r="A189" s="12" t="s">
        <v>438</v>
      </c>
      <c r="B189" s="13">
        <v>2</v>
      </c>
      <c r="C189" s="14" t="s">
        <v>12</v>
      </c>
      <c r="D189" s="15" t="s">
        <v>921</v>
      </c>
      <c r="E189" s="52"/>
    </row>
    <row r="190" spans="1:5" ht="14.25" customHeight="1" x14ac:dyDescent="0.4">
      <c r="A190" s="12" t="s">
        <v>12</v>
      </c>
      <c r="B190" s="13">
        <v>1</v>
      </c>
      <c r="C190" s="14" t="s">
        <v>438</v>
      </c>
      <c r="D190" s="15" t="s">
        <v>922</v>
      </c>
      <c r="E190" s="52"/>
    </row>
    <row r="191" spans="1:5" ht="14.25" customHeight="1" x14ac:dyDescent="0.4">
      <c r="A191" s="12" t="s">
        <v>12</v>
      </c>
      <c r="B191" s="13">
        <v>1</v>
      </c>
      <c r="C191" s="14" t="s">
        <v>31</v>
      </c>
      <c r="D191" s="15" t="s">
        <v>923</v>
      </c>
      <c r="E191" s="52"/>
    </row>
    <row r="192" spans="1:5" ht="14.25" customHeight="1" x14ac:dyDescent="0.4">
      <c r="A192" s="12" t="s">
        <v>31</v>
      </c>
      <c r="B192" s="13">
        <v>1</v>
      </c>
      <c r="C192" s="14" t="s">
        <v>12</v>
      </c>
      <c r="D192" s="15" t="s">
        <v>924</v>
      </c>
      <c r="E192" s="52"/>
    </row>
    <row r="193" spans="1:5" ht="14.25" customHeight="1" x14ac:dyDescent="0.4">
      <c r="A193" s="12" t="s">
        <v>28</v>
      </c>
      <c r="B193" s="13">
        <v>1</v>
      </c>
      <c r="C193" s="14" t="s">
        <v>441</v>
      </c>
      <c r="D193" s="15" t="s">
        <v>925</v>
      </c>
      <c r="E193" s="52"/>
    </row>
    <row r="194" spans="1:5" ht="14.25" customHeight="1" x14ac:dyDescent="0.4">
      <c r="A194" s="12" t="s">
        <v>441</v>
      </c>
      <c r="B194" s="13">
        <v>2</v>
      </c>
      <c r="C194" s="14" t="s">
        <v>28</v>
      </c>
      <c r="D194" s="15" t="s">
        <v>926</v>
      </c>
      <c r="E194" s="52">
        <v>0</v>
      </c>
    </row>
    <row r="195" spans="1:5" ht="14.25" customHeight="1" x14ac:dyDescent="0.4">
      <c r="A195" s="12" t="s">
        <v>441</v>
      </c>
      <c r="B195" s="13">
        <v>1</v>
      </c>
      <c r="C195" s="14" t="s">
        <v>35</v>
      </c>
      <c r="D195" s="15" t="s">
        <v>927</v>
      </c>
      <c r="E195" s="52"/>
    </row>
    <row r="196" spans="1:5" ht="14.25" customHeight="1" x14ac:dyDescent="0.4">
      <c r="A196" s="12" t="s">
        <v>12</v>
      </c>
      <c r="B196" s="13">
        <v>2</v>
      </c>
      <c r="C196" s="14" t="s">
        <v>35</v>
      </c>
      <c r="D196" s="15" t="s">
        <v>928</v>
      </c>
      <c r="E196" s="52"/>
    </row>
    <row r="197" spans="1:5" ht="14.25" customHeight="1" x14ac:dyDescent="0.4">
      <c r="A197" s="12" t="s">
        <v>12</v>
      </c>
      <c r="B197" s="13">
        <v>2</v>
      </c>
      <c r="C197" s="14" t="s">
        <v>35</v>
      </c>
      <c r="D197" s="15" t="s">
        <v>929</v>
      </c>
      <c r="E197" s="52"/>
    </row>
    <row r="198" spans="1:5" ht="14.25" customHeight="1" x14ac:dyDescent="0.4">
      <c r="A198" s="12" t="s">
        <v>438</v>
      </c>
      <c r="B198" s="13">
        <v>2</v>
      </c>
      <c r="C198" s="14" t="s">
        <v>38</v>
      </c>
      <c r="D198" s="15" t="s">
        <v>930</v>
      </c>
      <c r="E198" s="52"/>
    </row>
    <row r="199" spans="1:5" ht="14.25" customHeight="1" x14ac:dyDescent="0.4">
      <c r="A199" s="12" t="s">
        <v>38</v>
      </c>
      <c r="B199" s="13">
        <v>1</v>
      </c>
      <c r="C199" s="14" t="s">
        <v>438</v>
      </c>
      <c r="D199" s="15" t="s">
        <v>931</v>
      </c>
      <c r="E199" s="52"/>
    </row>
    <row r="200" spans="1:5" ht="14.25" customHeight="1" x14ac:dyDescent="0.4">
      <c r="A200" s="12" t="s">
        <v>38</v>
      </c>
      <c r="B200" s="13">
        <v>2</v>
      </c>
      <c r="C200" s="14" t="s">
        <v>33</v>
      </c>
      <c r="D200" s="15" t="s">
        <v>932</v>
      </c>
      <c r="E200" s="52"/>
    </row>
    <row r="201" spans="1:5" ht="14.25" customHeight="1" x14ac:dyDescent="0.4">
      <c r="A201" s="12" t="s">
        <v>438</v>
      </c>
      <c r="B201" s="13">
        <v>2</v>
      </c>
      <c r="C201" s="14" t="s">
        <v>33</v>
      </c>
      <c r="D201" s="15" t="s">
        <v>933</v>
      </c>
      <c r="E201" s="52"/>
    </row>
    <row r="202" spans="1:5" ht="14.25" customHeight="1" x14ac:dyDescent="0.4">
      <c r="A202" s="12" t="s">
        <v>734</v>
      </c>
      <c r="B202" s="13">
        <v>2</v>
      </c>
      <c r="C202" s="14" t="s">
        <v>33</v>
      </c>
      <c r="D202" s="15" t="s">
        <v>934</v>
      </c>
      <c r="E202" s="52"/>
    </row>
    <row r="203" spans="1:5" ht="14.25" customHeight="1" x14ac:dyDescent="0.4">
      <c r="A203" s="12" t="s">
        <v>39</v>
      </c>
      <c r="B203" s="13">
        <v>2</v>
      </c>
      <c r="C203" s="14" t="s">
        <v>31</v>
      </c>
      <c r="D203" s="15" t="s">
        <v>935</v>
      </c>
      <c r="E203" s="52"/>
    </row>
    <row r="204" spans="1:5" ht="14.25" customHeight="1" x14ac:dyDescent="0.4">
      <c r="A204" s="12" t="s">
        <v>441</v>
      </c>
      <c r="B204" s="13">
        <v>2</v>
      </c>
      <c r="C204" s="14" t="s">
        <v>37</v>
      </c>
      <c r="D204" s="52" t="s">
        <v>936</v>
      </c>
      <c r="E204" s="52"/>
    </row>
    <row r="205" spans="1:5" ht="14.25" customHeight="1" x14ac:dyDescent="0.4">
      <c r="A205" s="12" t="s">
        <v>12</v>
      </c>
      <c r="B205" s="13">
        <v>2</v>
      </c>
      <c r="C205" s="14" t="s">
        <v>35</v>
      </c>
      <c r="D205" s="52" t="s">
        <v>937</v>
      </c>
      <c r="E205" s="52"/>
    </row>
    <row r="206" spans="1:5" ht="14.25" customHeight="1" x14ac:dyDescent="0.4">
      <c r="A206" s="12" t="s">
        <v>31</v>
      </c>
      <c r="B206" s="13">
        <v>2</v>
      </c>
      <c r="C206" s="14" t="s">
        <v>33</v>
      </c>
      <c r="D206" s="52" t="s">
        <v>938</v>
      </c>
      <c r="E206" s="52"/>
    </row>
    <row r="207" spans="1:5" ht="14.25" customHeight="1" x14ac:dyDescent="0.4">
      <c r="A207" s="12" t="s">
        <v>31</v>
      </c>
      <c r="B207" s="13">
        <v>1</v>
      </c>
      <c r="C207" s="14" t="s">
        <v>38</v>
      </c>
      <c r="D207" s="15" t="s">
        <v>939</v>
      </c>
      <c r="E207" s="52"/>
    </row>
    <row r="208" spans="1:5" ht="14.25" customHeight="1" x14ac:dyDescent="0.4">
      <c r="A208" s="12" t="s">
        <v>38</v>
      </c>
      <c r="B208" s="13">
        <v>1</v>
      </c>
      <c r="C208" s="14" t="s">
        <v>31</v>
      </c>
      <c r="D208" s="52" t="s">
        <v>940</v>
      </c>
      <c r="E208" s="52"/>
    </row>
    <row r="209" spans="1:5" ht="14.25" customHeight="1" x14ac:dyDescent="0.4">
      <c r="A209" s="12" t="s">
        <v>438</v>
      </c>
      <c r="B209" s="13">
        <v>2</v>
      </c>
      <c r="C209" s="14" t="s">
        <v>12</v>
      </c>
      <c r="D209" s="52" t="s">
        <v>941</v>
      </c>
      <c r="E209" s="52"/>
    </row>
    <row r="210" spans="1:5" ht="14.25" customHeight="1" x14ac:dyDescent="0.4">
      <c r="A210" s="12" t="s">
        <v>38</v>
      </c>
      <c r="B210" s="13">
        <v>2</v>
      </c>
      <c r="C210" s="14" t="s">
        <v>12</v>
      </c>
      <c r="D210" s="52" t="s">
        <v>942</v>
      </c>
      <c r="E210" s="52"/>
    </row>
    <row r="211" spans="1:5" ht="14.25" customHeight="1" x14ac:dyDescent="0.4">
      <c r="A211" s="12" t="s">
        <v>734</v>
      </c>
      <c r="B211" s="13">
        <v>1</v>
      </c>
      <c r="C211" s="14" t="s">
        <v>35</v>
      </c>
      <c r="D211" s="52" t="s">
        <v>943</v>
      </c>
      <c r="E211" s="52"/>
    </row>
    <row r="212" spans="1:5" ht="14.25" customHeight="1" x14ac:dyDescent="0.4">
      <c r="A212" s="12" t="s">
        <v>12</v>
      </c>
      <c r="B212" s="13">
        <v>2</v>
      </c>
      <c r="C212" s="14" t="s">
        <v>35</v>
      </c>
      <c r="D212" s="52" t="s">
        <v>944</v>
      </c>
      <c r="E212" s="52"/>
    </row>
    <row r="213" spans="1:5" ht="14.25" customHeight="1" x14ac:dyDescent="0.4">
      <c r="A213" s="12" t="s">
        <v>37</v>
      </c>
      <c r="B213" s="13">
        <v>2</v>
      </c>
      <c r="C213" s="14" t="s">
        <v>35</v>
      </c>
      <c r="D213" s="52" t="s">
        <v>945</v>
      </c>
      <c r="E213" s="52"/>
    </row>
    <row r="214" spans="1:5" ht="14.25" customHeight="1" x14ac:dyDescent="0.4">
      <c r="A214" s="12" t="s">
        <v>37</v>
      </c>
      <c r="B214" s="13">
        <v>2</v>
      </c>
      <c r="C214" s="14" t="s">
        <v>441</v>
      </c>
      <c r="D214" s="52" t="s">
        <v>945</v>
      </c>
      <c r="E214" s="52"/>
    </row>
    <row r="215" spans="1:5" ht="14.25" customHeight="1" x14ac:dyDescent="0.4">
      <c r="A215" s="12" t="s">
        <v>12</v>
      </c>
      <c r="B215" s="13">
        <v>2</v>
      </c>
      <c r="C215" s="14" t="s">
        <v>35</v>
      </c>
      <c r="D215" s="52" t="s">
        <v>946</v>
      </c>
      <c r="E215" s="52"/>
    </row>
    <row r="216" spans="1:5" ht="14.25" customHeight="1" x14ac:dyDescent="0.4">
      <c r="A216" s="12" t="s">
        <v>28</v>
      </c>
      <c r="B216" s="13">
        <v>2</v>
      </c>
      <c r="C216" s="14" t="s">
        <v>35</v>
      </c>
      <c r="D216" s="52" t="s">
        <v>947</v>
      </c>
      <c r="E216" s="52"/>
    </row>
    <row r="217" spans="1:5" ht="14.25" customHeight="1" x14ac:dyDescent="0.4">
      <c r="A217" s="12" t="s">
        <v>438</v>
      </c>
      <c r="B217" s="13">
        <v>2</v>
      </c>
      <c r="C217" s="14" t="s">
        <v>28</v>
      </c>
      <c r="D217" s="52" t="s">
        <v>948</v>
      </c>
      <c r="E217" s="52">
        <v>0</v>
      </c>
    </row>
    <row r="218" spans="1:5" ht="14.25" customHeight="1" x14ac:dyDescent="0.4">
      <c r="A218" s="12" t="s">
        <v>28</v>
      </c>
      <c r="B218" s="13">
        <v>1</v>
      </c>
      <c r="C218" s="14" t="s">
        <v>438</v>
      </c>
      <c r="D218" s="52" t="s">
        <v>949</v>
      </c>
    </row>
    <row r="219" spans="1:5" ht="14.25" customHeight="1" x14ac:dyDescent="0.4">
      <c r="A219" s="12" t="s">
        <v>31</v>
      </c>
      <c r="B219" s="13">
        <v>2</v>
      </c>
      <c r="C219" s="14" t="s">
        <v>33</v>
      </c>
      <c r="D219" s="52" t="s">
        <v>950</v>
      </c>
    </row>
    <row r="220" spans="1:5" ht="14.25" customHeight="1" x14ac:dyDescent="0.4">
      <c r="A220" s="12" t="s">
        <v>39</v>
      </c>
      <c r="B220" s="13">
        <v>2</v>
      </c>
      <c r="C220" s="14" t="s">
        <v>35</v>
      </c>
      <c r="D220" s="52" t="s">
        <v>951</v>
      </c>
    </row>
    <row r="221" spans="1:5" ht="14.25" customHeight="1" x14ac:dyDescent="0.4">
      <c r="A221" s="12" t="s">
        <v>438</v>
      </c>
      <c r="B221" s="13">
        <v>1</v>
      </c>
      <c r="C221" s="14" t="s">
        <v>28</v>
      </c>
      <c r="D221" s="52" t="s">
        <v>952</v>
      </c>
      <c r="E221" s="52">
        <v>1</v>
      </c>
    </row>
    <row r="222" spans="1:5" ht="14.25" customHeight="1" x14ac:dyDescent="0.4">
      <c r="A222" s="12" t="s">
        <v>28</v>
      </c>
      <c r="B222" s="13">
        <v>1</v>
      </c>
      <c r="C222" s="14" t="s">
        <v>438</v>
      </c>
      <c r="D222" s="52" t="s">
        <v>953</v>
      </c>
    </row>
    <row r="223" spans="1:5" ht="14.25" customHeight="1" x14ac:dyDescent="0.4">
      <c r="A223" s="12" t="s">
        <v>12</v>
      </c>
      <c r="B223" s="13">
        <v>2</v>
      </c>
      <c r="C223" s="14" t="s">
        <v>33</v>
      </c>
      <c r="D223" s="52" t="s">
        <v>954</v>
      </c>
    </row>
    <row r="224" spans="1:5" ht="14.25" customHeight="1" x14ac:dyDescent="0.4">
      <c r="A224" s="12" t="s">
        <v>33</v>
      </c>
      <c r="B224" s="13">
        <v>2</v>
      </c>
      <c r="C224" s="14" t="s">
        <v>35</v>
      </c>
      <c r="D224" s="15" t="s">
        <v>955</v>
      </c>
    </row>
    <row r="225" spans="1:5" ht="14.25" customHeight="1" x14ac:dyDescent="0.4">
      <c r="A225" s="12" t="s">
        <v>734</v>
      </c>
      <c r="B225" s="13">
        <v>2</v>
      </c>
      <c r="C225" s="14" t="s">
        <v>33</v>
      </c>
      <c r="D225" s="52" t="s">
        <v>956</v>
      </c>
    </row>
    <row r="226" spans="1:5" ht="14.25" customHeight="1" x14ac:dyDescent="0.4">
      <c r="A226" s="12" t="s">
        <v>12</v>
      </c>
      <c r="B226" s="13">
        <v>1</v>
      </c>
      <c r="C226" s="14" t="s">
        <v>35</v>
      </c>
      <c r="D226" s="52" t="s">
        <v>957</v>
      </c>
    </row>
    <row r="227" spans="1:5" ht="14.25" customHeight="1" x14ac:dyDescent="0.4">
      <c r="A227" s="12" t="s">
        <v>12</v>
      </c>
      <c r="B227" s="13">
        <v>1</v>
      </c>
      <c r="C227" s="14" t="s">
        <v>31</v>
      </c>
      <c r="D227" s="52" t="s">
        <v>958</v>
      </c>
    </row>
    <row r="228" spans="1:5" ht="14.25" customHeight="1" x14ac:dyDescent="0.4">
      <c r="A228" s="12" t="s">
        <v>31</v>
      </c>
      <c r="B228" s="13">
        <v>1</v>
      </c>
      <c r="C228" s="14" t="s">
        <v>12</v>
      </c>
      <c r="D228" s="52" t="s">
        <v>959</v>
      </c>
    </row>
    <row r="229" spans="1:5" ht="14.25" customHeight="1" x14ac:dyDescent="0.4">
      <c r="A229" s="12" t="s">
        <v>39</v>
      </c>
      <c r="B229" s="13">
        <v>2</v>
      </c>
      <c r="C229" s="14" t="s">
        <v>35</v>
      </c>
      <c r="D229" s="52" t="s">
        <v>960</v>
      </c>
    </row>
    <row r="230" spans="1:5" ht="14.25" customHeight="1" x14ac:dyDescent="0.4">
      <c r="A230" s="12" t="s">
        <v>438</v>
      </c>
      <c r="B230" s="13">
        <v>2</v>
      </c>
      <c r="C230" s="14" t="s">
        <v>38</v>
      </c>
      <c r="D230" s="52" t="s">
        <v>961</v>
      </c>
    </row>
    <row r="231" spans="1:5" ht="14.25" customHeight="1" x14ac:dyDescent="0.4">
      <c r="A231" s="12" t="s">
        <v>38</v>
      </c>
      <c r="B231" s="13">
        <v>1</v>
      </c>
      <c r="C231" s="14" t="s">
        <v>438</v>
      </c>
      <c r="D231" s="52" t="s">
        <v>962</v>
      </c>
    </row>
    <row r="232" spans="1:5" ht="14.25" customHeight="1" x14ac:dyDescent="0.4">
      <c r="A232" s="12" t="s">
        <v>39</v>
      </c>
      <c r="B232" s="13">
        <v>2</v>
      </c>
      <c r="C232" s="14" t="s">
        <v>35</v>
      </c>
      <c r="D232" s="52" t="s">
        <v>963</v>
      </c>
    </row>
    <row r="233" spans="1:5" ht="14.25" customHeight="1" x14ac:dyDescent="0.4">
      <c r="A233" s="12" t="s">
        <v>438</v>
      </c>
      <c r="B233" s="13">
        <v>2</v>
      </c>
      <c r="C233" s="14" t="s">
        <v>12</v>
      </c>
      <c r="D233" s="52" t="s">
        <v>964</v>
      </c>
    </row>
    <row r="234" spans="1:5" ht="14.25" customHeight="1" x14ac:dyDescent="0.4">
      <c r="A234" s="12" t="s">
        <v>438</v>
      </c>
      <c r="B234" s="13">
        <v>1</v>
      </c>
      <c r="C234" s="14" t="s">
        <v>28</v>
      </c>
      <c r="D234" s="52" t="s">
        <v>965</v>
      </c>
      <c r="E234" s="52">
        <v>0</v>
      </c>
    </row>
    <row r="235" spans="1:5" ht="14.25" customHeight="1" x14ac:dyDescent="0.4">
      <c r="A235" s="12" t="s">
        <v>28</v>
      </c>
      <c r="B235" s="13">
        <v>1</v>
      </c>
      <c r="C235" s="14" t="s">
        <v>438</v>
      </c>
      <c r="D235" s="52" t="s">
        <v>966</v>
      </c>
    </row>
    <row r="236" spans="1:5" ht="14.25" customHeight="1" x14ac:dyDescent="0.4">
      <c r="A236" s="12" t="s">
        <v>734</v>
      </c>
      <c r="B236" s="13">
        <v>1</v>
      </c>
      <c r="C236" s="14" t="s">
        <v>41</v>
      </c>
      <c r="D236" s="52" t="s">
        <v>967</v>
      </c>
    </row>
    <row r="237" spans="1:5" ht="14.25" customHeight="1" x14ac:dyDescent="0.4">
      <c r="A237" s="12" t="s">
        <v>41</v>
      </c>
      <c r="B237" s="13">
        <v>1</v>
      </c>
      <c r="C237" s="14" t="s">
        <v>734</v>
      </c>
      <c r="D237" s="52" t="s">
        <v>968</v>
      </c>
    </row>
    <row r="238" spans="1:5" ht="14.25" customHeight="1" x14ac:dyDescent="0.4">
      <c r="A238" s="12" t="s">
        <v>31</v>
      </c>
      <c r="B238" s="13">
        <v>2</v>
      </c>
      <c r="C238" s="14" t="s">
        <v>12</v>
      </c>
      <c r="D238" s="52" t="s">
        <v>969</v>
      </c>
    </row>
    <row r="239" spans="1:5" ht="14.25" customHeight="1" x14ac:dyDescent="0.4">
      <c r="A239" s="12" t="s">
        <v>438</v>
      </c>
      <c r="B239" s="13">
        <v>1</v>
      </c>
      <c r="C239" s="14" t="s">
        <v>39</v>
      </c>
      <c r="D239" s="52" t="s">
        <v>970</v>
      </c>
    </row>
    <row r="240" spans="1:5" ht="14.25" customHeight="1" x14ac:dyDescent="0.4">
      <c r="A240" s="12" t="s">
        <v>39</v>
      </c>
      <c r="B240" s="13">
        <v>1</v>
      </c>
      <c r="C240" s="14" t="s">
        <v>438</v>
      </c>
      <c r="D240" s="52" t="s">
        <v>971</v>
      </c>
    </row>
    <row r="241" spans="1:5" ht="14.25" customHeight="1" x14ac:dyDescent="0.4">
      <c r="A241" s="12" t="s">
        <v>28</v>
      </c>
      <c r="B241" s="13">
        <v>2</v>
      </c>
      <c r="C241" s="14" t="s">
        <v>35</v>
      </c>
      <c r="D241" s="52" t="s">
        <v>972</v>
      </c>
    </row>
    <row r="242" spans="1:5" ht="14.25" customHeight="1" x14ac:dyDescent="0.4">
      <c r="A242" s="12" t="s">
        <v>438</v>
      </c>
      <c r="B242" s="13">
        <v>2</v>
      </c>
      <c r="C242" s="14" t="s">
        <v>35</v>
      </c>
      <c r="D242" s="52" t="s">
        <v>973</v>
      </c>
    </row>
    <row r="243" spans="1:5" ht="14.25" customHeight="1" x14ac:dyDescent="0.4">
      <c r="A243" s="12" t="s">
        <v>31</v>
      </c>
      <c r="B243" s="13">
        <v>1</v>
      </c>
      <c r="C243" s="14" t="s">
        <v>12</v>
      </c>
      <c r="D243" s="52" t="s">
        <v>974</v>
      </c>
    </row>
    <row r="244" spans="1:5" ht="14.25" customHeight="1" x14ac:dyDescent="0.4">
      <c r="A244" s="12" t="s">
        <v>12</v>
      </c>
      <c r="B244" s="13">
        <v>1</v>
      </c>
      <c r="C244" s="14" t="s">
        <v>31</v>
      </c>
      <c r="D244" s="52" t="s">
        <v>975</v>
      </c>
    </row>
    <row r="245" spans="1:5" ht="14.25" customHeight="1" x14ac:dyDescent="0.4">
      <c r="A245" s="12" t="s">
        <v>438</v>
      </c>
      <c r="B245" s="13">
        <v>2</v>
      </c>
      <c r="C245" s="14" t="s">
        <v>31</v>
      </c>
      <c r="D245" s="52" t="s">
        <v>976</v>
      </c>
    </row>
    <row r="246" spans="1:5" ht="14.25" customHeight="1" x14ac:dyDescent="0.4">
      <c r="A246" s="12" t="s">
        <v>438</v>
      </c>
      <c r="B246" s="13">
        <v>1</v>
      </c>
      <c r="C246" s="14" t="s">
        <v>28</v>
      </c>
      <c r="D246" s="52" t="s">
        <v>977</v>
      </c>
      <c r="E246" s="52">
        <v>0</v>
      </c>
    </row>
    <row r="247" spans="1:5" ht="14.25" customHeight="1" x14ac:dyDescent="0.4">
      <c r="A247" s="12" t="s">
        <v>28</v>
      </c>
      <c r="B247" s="13">
        <v>1</v>
      </c>
      <c r="C247" s="14" t="s">
        <v>438</v>
      </c>
      <c r="D247" s="52" t="s">
        <v>978</v>
      </c>
    </row>
    <row r="248" spans="1:5" ht="14.25" customHeight="1" x14ac:dyDescent="0.4">
      <c r="A248" s="12" t="s">
        <v>438</v>
      </c>
      <c r="B248" s="13">
        <v>1</v>
      </c>
      <c r="C248" s="14" t="s">
        <v>33</v>
      </c>
      <c r="D248" s="52" t="s">
        <v>979</v>
      </c>
    </row>
    <row r="249" spans="1:5" ht="14.25" customHeight="1" x14ac:dyDescent="0.4">
      <c r="A249" s="12" t="s">
        <v>441</v>
      </c>
      <c r="B249" s="13">
        <v>2</v>
      </c>
      <c r="C249" s="14" t="s">
        <v>41</v>
      </c>
      <c r="D249" s="52" t="s">
        <v>980</v>
      </c>
    </row>
    <row r="250" spans="1:5" ht="14.25" customHeight="1" x14ac:dyDescent="0.4">
      <c r="A250" s="12" t="s">
        <v>28</v>
      </c>
      <c r="B250" s="13">
        <v>1</v>
      </c>
      <c r="C250" s="14" t="s">
        <v>441</v>
      </c>
      <c r="D250" s="4" t="s">
        <v>981</v>
      </c>
    </row>
    <row r="251" spans="1:5" ht="14.25" customHeight="1" x14ac:dyDescent="0.4">
      <c r="A251" s="12" t="s">
        <v>441</v>
      </c>
      <c r="B251" s="13">
        <v>1</v>
      </c>
      <c r="C251" s="14" t="s">
        <v>28</v>
      </c>
      <c r="D251" s="52" t="s">
        <v>982</v>
      </c>
      <c r="E251" s="52">
        <v>1</v>
      </c>
    </row>
    <row r="252" spans="1:5" ht="14.25" customHeight="1" x14ac:dyDescent="0.4">
      <c r="A252" s="12" t="s">
        <v>438</v>
      </c>
      <c r="B252" s="13">
        <v>2</v>
      </c>
      <c r="C252" s="14" t="s">
        <v>441</v>
      </c>
      <c r="D252" s="52" t="s">
        <v>983</v>
      </c>
    </row>
    <row r="253" spans="1:5" ht="14.25" customHeight="1" x14ac:dyDescent="0.4">
      <c r="A253" s="12" t="s">
        <v>734</v>
      </c>
      <c r="B253" s="13">
        <v>1</v>
      </c>
      <c r="C253" s="14" t="s">
        <v>39</v>
      </c>
      <c r="D253" s="52" t="s">
        <v>984</v>
      </c>
    </row>
    <row r="254" spans="1:5" ht="14.25" customHeight="1" x14ac:dyDescent="0.4">
      <c r="A254" s="12" t="s">
        <v>39</v>
      </c>
      <c r="B254" s="13">
        <v>1</v>
      </c>
      <c r="C254" s="14" t="s">
        <v>734</v>
      </c>
      <c r="D254" s="52" t="s">
        <v>985</v>
      </c>
    </row>
    <row r="255" spans="1:5" ht="14.25" customHeight="1" x14ac:dyDescent="0.4">
      <c r="A255" s="12" t="s">
        <v>33</v>
      </c>
      <c r="B255" s="13">
        <v>2</v>
      </c>
      <c r="C255" s="14" t="s">
        <v>35</v>
      </c>
      <c r="D255" s="52" t="s">
        <v>986</v>
      </c>
    </row>
    <row r="256" spans="1:5" ht="14.25" customHeight="1" x14ac:dyDescent="0.4">
      <c r="A256" s="12" t="s">
        <v>31</v>
      </c>
      <c r="B256" s="13">
        <v>2</v>
      </c>
      <c r="C256" s="14" t="s">
        <v>33</v>
      </c>
      <c r="D256" s="52" t="s">
        <v>987</v>
      </c>
    </row>
    <row r="257" spans="1:4" ht="14.25" customHeight="1" x14ac:dyDescent="0.4">
      <c r="A257" s="12" t="s">
        <v>39</v>
      </c>
      <c r="B257" s="13">
        <v>2</v>
      </c>
      <c r="C257" s="14" t="s">
        <v>35</v>
      </c>
      <c r="D257" s="52" t="s">
        <v>988</v>
      </c>
    </row>
    <row r="258" spans="1:4" ht="14.25" customHeight="1" x14ac:dyDescent="0.4">
      <c r="A258" s="12" t="s">
        <v>730</v>
      </c>
      <c r="B258" s="13">
        <v>2</v>
      </c>
      <c r="C258" s="14" t="s">
        <v>28</v>
      </c>
      <c r="D258" s="52" t="s">
        <v>989</v>
      </c>
    </row>
    <row r="259" spans="1:4" ht="14.25" customHeight="1" x14ac:dyDescent="0.4">
      <c r="A259" s="12" t="s">
        <v>438</v>
      </c>
      <c r="B259" s="13">
        <v>2</v>
      </c>
      <c r="C259" s="14" t="s">
        <v>12</v>
      </c>
      <c r="D259" s="52" t="s">
        <v>990</v>
      </c>
    </row>
    <row r="260" spans="1:4" ht="14.25" customHeight="1" x14ac:dyDescent="0.4">
      <c r="A260" s="12" t="s">
        <v>31</v>
      </c>
      <c r="B260" s="13">
        <v>1</v>
      </c>
      <c r="C260" s="14" t="s">
        <v>734</v>
      </c>
      <c r="D260" s="52" t="s">
        <v>991</v>
      </c>
    </row>
    <row r="261" spans="1:4" ht="14.25" customHeight="1" x14ac:dyDescent="0.4">
      <c r="A261" s="12" t="s">
        <v>734</v>
      </c>
      <c r="B261" s="13">
        <v>1</v>
      </c>
      <c r="C261" s="14" t="s">
        <v>31</v>
      </c>
      <c r="D261" s="52" t="s">
        <v>992</v>
      </c>
    </row>
    <row r="262" spans="1:4" ht="14.25" customHeight="1" x14ac:dyDescent="0.4">
      <c r="A262" s="12" t="s">
        <v>31</v>
      </c>
      <c r="B262" s="13">
        <v>1</v>
      </c>
      <c r="C262" s="14" t="s">
        <v>438</v>
      </c>
      <c r="D262" s="52" t="s">
        <v>993</v>
      </c>
    </row>
    <row r="263" spans="1:4" ht="14.25" customHeight="1" x14ac:dyDescent="0.4">
      <c r="A263" s="12" t="s">
        <v>438</v>
      </c>
      <c r="B263" s="13">
        <v>1</v>
      </c>
      <c r="C263" s="14" t="s">
        <v>31</v>
      </c>
      <c r="D263" s="52" t="s">
        <v>994</v>
      </c>
    </row>
    <row r="264" spans="1:4" ht="14.25" customHeight="1" x14ac:dyDescent="0.4">
      <c r="A264" s="12" t="s">
        <v>31</v>
      </c>
      <c r="B264" s="13">
        <v>2</v>
      </c>
      <c r="C264" s="14" t="s">
        <v>35</v>
      </c>
      <c r="D264" s="52" t="s">
        <v>995</v>
      </c>
    </row>
    <row r="265" spans="1:4" ht="14.25" customHeight="1" x14ac:dyDescent="0.4">
      <c r="A265" s="12" t="s">
        <v>31</v>
      </c>
      <c r="B265" s="13">
        <v>1</v>
      </c>
      <c r="C265" s="14" t="s">
        <v>12</v>
      </c>
      <c r="D265" s="52" t="s">
        <v>996</v>
      </c>
    </row>
    <row r="266" spans="1:4" ht="14.25" customHeight="1" x14ac:dyDescent="0.4">
      <c r="A266" s="12" t="s">
        <v>12</v>
      </c>
      <c r="B266" s="13">
        <v>1</v>
      </c>
      <c r="C266" s="14" t="s">
        <v>31</v>
      </c>
      <c r="D266" s="52" t="s">
        <v>997</v>
      </c>
    </row>
    <row r="267" spans="1:4" ht="14.25" customHeight="1" x14ac:dyDescent="0.4">
      <c r="A267" s="12" t="s">
        <v>12</v>
      </c>
      <c r="B267" s="13">
        <v>2</v>
      </c>
      <c r="C267" s="14" t="s">
        <v>35</v>
      </c>
      <c r="D267" s="52" t="s">
        <v>998</v>
      </c>
    </row>
    <row r="268" spans="1:4" ht="14.25" customHeight="1" x14ac:dyDescent="0.4">
      <c r="A268" s="12" t="s">
        <v>28</v>
      </c>
      <c r="B268" s="13">
        <v>2</v>
      </c>
      <c r="C268" s="14" t="s">
        <v>31</v>
      </c>
      <c r="D268" s="52" t="s">
        <v>999</v>
      </c>
    </row>
    <row r="269" spans="1:4" ht="14.25" customHeight="1" x14ac:dyDescent="0.4">
      <c r="A269" s="12" t="s">
        <v>12</v>
      </c>
      <c r="B269" s="13">
        <v>2</v>
      </c>
      <c r="C269" s="14" t="s">
        <v>35</v>
      </c>
      <c r="D269" s="52" t="s">
        <v>1000</v>
      </c>
    </row>
    <row r="270" spans="1:4" ht="14.25" customHeight="1" x14ac:dyDescent="0.4">
      <c r="A270" s="12" t="s">
        <v>31</v>
      </c>
      <c r="B270" s="13">
        <v>2</v>
      </c>
      <c r="C270" s="14" t="s">
        <v>35</v>
      </c>
      <c r="D270" s="52" t="s">
        <v>1001</v>
      </c>
    </row>
    <row r="271" spans="1:4" ht="14.25" customHeight="1" x14ac:dyDescent="0.4">
      <c r="A271" s="12" t="s">
        <v>38</v>
      </c>
      <c r="B271" s="13">
        <v>1</v>
      </c>
      <c r="C271" s="14" t="s">
        <v>31</v>
      </c>
      <c r="D271" s="52" t="s">
        <v>1002</v>
      </c>
    </row>
    <row r="272" spans="1:4" ht="14.25" customHeight="1" x14ac:dyDescent="0.4">
      <c r="A272" s="12" t="s">
        <v>31</v>
      </c>
      <c r="B272" s="13">
        <v>1</v>
      </c>
      <c r="C272" s="14" t="s">
        <v>38</v>
      </c>
      <c r="D272" s="52" t="s">
        <v>1003</v>
      </c>
    </row>
    <row r="273" spans="1:5" ht="14.25" customHeight="1" x14ac:dyDescent="0.4">
      <c r="A273" s="12" t="s">
        <v>38</v>
      </c>
      <c r="B273" s="13">
        <v>1</v>
      </c>
      <c r="C273" s="14" t="s">
        <v>33</v>
      </c>
      <c r="D273" s="52" t="s">
        <v>1004</v>
      </c>
    </row>
    <row r="274" spans="1:5" ht="14.25" customHeight="1" x14ac:dyDescent="0.4">
      <c r="A274" s="12" t="s">
        <v>734</v>
      </c>
      <c r="B274" s="13">
        <v>2</v>
      </c>
      <c r="C274" s="14" t="s">
        <v>33</v>
      </c>
      <c r="D274" s="52" t="s">
        <v>1005</v>
      </c>
    </row>
    <row r="275" spans="1:5" ht="14.25" customHeight="1" x14ac:dyDescent="0.4">
      <c r="A275" s="12" t="s">
        <v>28</v>
      </c>
      <c r="B275" s="13">
        <v>2</v>
      </c>
      <c r="C275" s="14" t="s">
        <v>734</v>
      </c>
      <c r="D275" s="52" t="s">
        <v>1006</v>
      </c>
    </row>
    <row r="276" spans="1:5" ht="14.25" customHeight="1" x14ac:dyDescent="0.4">
      <c r="A276" s="12" t="s">
        <v>734</v>
      </c>
      <c r="B276" s="13">
        <v>1</v>
      </c>
      <c r="C276" s="14" t="s">
        <v>39</v>
      </c>
      <c r="D276" s="52" t="s">
        <v>1007</v>
      </c>
    </row>
    <row r="277" spans="1:5" ht="14.25" customHeight="1" x14ac:dyDescent="0.4">
      <c r="A277" s="12" t="s">
        <v>39</v>
      </c>
      <c r="B277" s="13">
        <v>1</v>
      </c>
      <c r="C277" s="14" t="s">
        <v>734</v>
      </c>
      <c r="D277" s="52" t="s">
        <v>1008</v>
      </c>
    </row>
    <row r="278" spans="1:5" ht="14.25" customHeight="1" x14ac:dyDescent="0.4">
      <c r="A278" s="12" t="s">
        <v>39</v>
      </c>
      <c r="B278" s="13">
        <v>2</v>
      </c>
      <c r="C278" s="14" t="s">
        <v>33</v>
      </c>
      <c r="D278" s="52" t="s">
        <v>1008</v>
      </c>
    </row>
    <row r="279" spans="1:5" ht="14.25" customHeight="1" x14ac:dyDescent="0.4">
      <c r="A279" s="12" t="s">
        <v>28</v>
      </c>
      <c r="B279" s="13">
        <v>1</v>
      </c>
      <c r="C279" s="14" t="s">
        <v>35</v>
      </c>
      <c r="D279" s="52" t="s">
        <v>1009</v>
      </c>
    </row>
    <row r="280" spans="1:5" ht="14.25" customHeight="1" x14ac:dyDescent="0.4">
      <c r="A280" s="12" t="s">
        <v>31</v>
      </c>
      <c r="B280" s="13">
        <v>1</v>
      </c>
      <c r="C280" s="14" t="s">
        <v>38</v>
      </c>
      <c r="D280" s="52" t="s">
        <v>1010</v>
      </c>
    </row>
    <row r="281" spans="1:5" ht="14.25" customHeight="1" x14ac:dyDescent="0.4">
      <c r="A281" s="12" t="s">
        <v>38</v>
      </c>
      <c r="B281" s="13">
        <v>2</v>
      </c>
      <c r="C281" s="14" t="s">
        <v>31</v>
      </c>
      <c r="D281" s="52" t="s">
        <v>1011</v>
      </c>
    </row>
    <row r="282" spans="1:5" ht="14.25" customHeight="1" x14ac:dyDescent="0.4">
      <c r="A282" s="12" t="s">
        <v>38</v>
      </c>
      <c r="B282" s="13">
        <v>2</v>
      </c>
      <c r="C282" s="14" t="s">
        <v>33</v>
      </c>
      <c r="D282" s="52" t="s">
        <v>1012</v>
      </c>
    </row>
    <row r="283" spans="1:5" ht="14.25" customHeight="1" x14ac:dyDescent="0.4">
      <c r="A283" s="12" t="s">
        <v>438</v>
      </c>
      <c r="B283" s="13">
        <v>2</v>
      </c>
      <c r="C283" s="14" t="s">
        <v>38</v>
      </c>
      <c r="D283" s="52" t="s">
        <v>1013</v>
      </c>
    </row>
    <row r="284" spans="1:5" ht="14.25" customHeight="1" x14ac:dyDescent="0.4">
      <c r="A284" s="12" t="s">
        <v>734</v>
      </c>
      <c r="B284" s="13">
        <v>2</v>
      </c>
      <c r="C284" s="14" t="s">
        <v>28</v>
      </c>
      <c r="D284" s="52" t="s">
        <v>1014</v>
      </c>
      <c r="E284" s="52">
        <v>0</v>
      </c>
    </row>
    <row r="285" spans="1:5" ht="14.25" customHeight="1" x14ac:dyDescent="0.4">
      <c r="A285" s="12" t="s">
        <v>12</v>
      </c>
      <c r="B285" s="13">
        <v>2</v>
      </c>
      <c r="C285" s="14" t="s">
        <v>35</v>
      </c>
      <c r="D285" s="52" t="s">
        <v>1015</v>
      </c>
    </row>
    <row r="286" spans="1:5" ht="14.25" customHeight="1" x14ac:dyDescent="0.4">
      <c r="A286" s="12" t="s">
        <v>39</v>
      </c>
      <c r="B286" s="13">
        <v>2</v>
      </c>
      <c r="C286" s="14" t="s">
        <v>28</v>
      </c>
      <c r="D286" s="52" t="s">
        <v>1016</v>
      </c>
      <c r="E286" s="52">
        <v>0</v>
      </c>
    </row>
    <row r="287" spans="1:5" ht="14.25" customHeight="1" x14ac:dyDescent="0.4">
      <c r="A287" s="12" t="s">
        <v>730</v>
      </c>
      <c r="B287" s="13">
        <v>1</v>
      </c>
      <c r="C287" s="14" t="s">
        <v>39</v>
      </c>
      <c r="D287" s="52" t="s">
        <v>1017</v>
      </c>
    </row>
    <row r="288" spans="1:5" ht="14.25" customHeight="1" x14ac:dyDescent="0.4">
      <c r="A288" s="12" t="s">
        <v>39</v>
      </c>
      <c r="B288" s="13">
        <v>2</v>
      </c>
      <c r="C288" s="14" t="s">
        <v>730</v>
      </c>
      <c r="D288" s="52" t="s">
        <v>1018</v>
      </c>
    </row>
    <row r="289" spans="1:5" ht="14.25" customHeight="1" x14ac:dyDescent="0.4">
      <c r="A289" s="12" t="s">
        <v>38</v>
      </c>
      <c r="B289" s="13">
        <v>1</v>
      </c>
      <c r="C289" s="14" t="s">
        <v>28</v>
      </c>
      <c r="D289" s="52" t="s">
        <v>1019</v>
      </c>
      <c r="E289" s="52">
        <v>0</v>
      </c>
    </row>
    <row r="290" spans="1:5" ht="14.25" customHeight="1" x14ac:dyDescent="0.4">
      <c r="A290" s="12" t="s">
        <v>28</v>
      </c>
      <c r="B290" s="13">
        <v>1</v>
      </c>
      <c r="C290" s="14" t="s">
        <v>38</v>
      </c>
      <c r="D290" s="52" t="s">
        <v>1020</v>
      </c>
    </row>
    <row r="291" spans="1:5" ht="14.25" customHeight="1" x14ac:dyDescent="0.4">
      <c r="A291" s="12" t="s">
        <v>31</v>
      </c>
      <c r="B291" s="13">
        <v>2</v>
      </c>
      <c r="C291" s="14" t="s">
        <v>35</v>
      </c>
      <c r="D291" s="52" t="s">
        <v>1021</v>
      </c>
    </row>
    <row r="292" spans="1:5" ht="14.25" customHeight="1" x14ac:dyDescent="0.4">
      <c r="A292" s="12" t="s">
        <v>730</v>
      </c>
      <c r="B292" s="13">
        <v>2</v>
      </c>
      <c r="C292" s="14" t="s">
        <v>28</v>
      </c>
      <c r="D292" s="52" t="s">
        <v>1022</v>
      </c>
      <c r="E292" s="52">
        <v>0</v>
      </c>
    </row>
    <row r="293" spans="1:5" ht="14.25" customHeight="1" x14ac:dyDescent="0.4">
      <c r="A293" s="12" t="s">
        <v>730</v>
      </c>
      <c r="B293" s="13">
        <v>2</v>
      </c>
      <c r="C293" s="14" t="s">
        <v>37</v>
      </c>
      <c r="D293" s="52" t="s">
        <v>1023</v>
      </c>
    </row>
    <row r="294" spans="1:5" ht="14.25" customHeight="1" x14ac:dyDescent="0.4">
      <c r="A294" s="12" t="s">
        <v>734</v>
      </c>
      <c r="B294" s="13">
        <v>2</v>
      </c>
      <c r="C294" s="14" t="s">
        <v>28</v>
      </c>
      <c r="D294" s="52" t="s">
        <v>1024</v>
      </c>
      <c r="E294" s="52">
        <v>0</v>
      </c>
    </row>
    <row r="295" spans="1:5" ht="14.25" customHeight="1" x14ac:dyDescent="0.4">
      <c r="A295" s="12" t="s">
        <v>12</v>
      </c>
      <c r="B295" s="13">
        <v>1</v>
      </c>
      <c r="C295" s="14" t="s">
        <v>28</v>
      </c>
      <c r="D295" s="52" t="s">
        <v>1025</v>
      </c>
      <c r="E295" s="52">
        <v>0</v>
      </c>
    </row>
    <row r="296" spans="1:5" ht="14.25" customHeight="1" x14ac:dyDescent="0.4">
      <c r="A296" s="12" t="s">
        <v>28</v>
      </c>
      <c r="B296" s="13">
        <v>1</v>
      </c>
      <c r="C296" s="14" t="s">
        <v>12</v>
      </c>
      <c r="D296" s="52" t="s">
        <v>1026</v>
      </c>
    </row>
    <row r="297" spans="1:5" ht="14.25" customHeight="1" x14ac:dyDescent="0.4">
      <c r="A297" s="12" t="s">
        <v>730</v>
      </c>
      <c r="B297" s="13">
        <v>2</v>
      </c>
      <c r="C297" s="14" t="s">
        <v>12</v>
      </c>
      <c r="D297" s="52" t="s">
        <v>1027</v>
      </c>
    </row>
    <row r="298" spans="1:5" ht="14.25" customHeight="1" x14ac:dyDescent="0.4">
      <c r="A298" s="12" t="s">
        <v>12</v>
      </c>
      <c r="B298" s="13">
        <v>1</v>
      </c>
      <c r="C298" s="14" t="s">
        <v>730</v>
      </c>
      <c r="D298" s="52" t="s">
        <v>1028</v>
      </c>
    </row>
    <row r="299" spans="1:5" ht="14.25" customHeight="1" x14ac:dyDescent="0.4">
      <c r="A299" s="12" t="s">
        <v>12</v>
      </c>
      <c r="B299" s="13">
        <v>2</v>
      </c>
      <c r="C299" s="14" t="s">
        <v>35</v>
      </c>
      <c r="D299" s="52" t="s">
        <v>1029</v>
      </c>
    </row>
    <row r="300" spans="1:5" ht="14.25" customHeight="1" x14ac:dyDescent="0.4">
      <c r="A300" s="12" t="s">
        <v>31</v>
      </c>
      <c r="B300" s="13">
        <v>2</v>
      </c>
      <c r="C300" s="14" t="s">
        <v>41</v>
      </c>
      <c r="D300" s="52" t="s">
        <v>1030</v>
      </c>
    </row>
    <row r="301" spans="1:5" ht="14.25" customHeight="1" x14ac:dyDescent="0.4">
      <c r="A301" s="12" t="s">
        <v>12</v>
      </c>
      <c r="B301" s="13">
        <v>2</v>
      </c>
      <c r="C301" s="14" t="s">
        <v>31</v>
      </c>
      <c r="D301" s="52" t="s">
        <v>1031</v>
      </c>
    </row>
    <row r="302" spans="1:5" ht="14.25" customHeight="1" x14ac:dyDescent="0.4">
      <c r="A302" s="12" t="s">
        <v>31</v>
      </c>
      <c r="B302" s="13">
        <v>2</v>
      </c>
      <c r="C302" s="14" t="s">
        <v>12</v>
      </c>
      <c r="D302" s="52" t="s">
        <v>1032</v>
      </c>
    </row>
    <row r="303" spans="1:5" ht="14.25" customHeight="1" x14ac:dyDescent="0.4">
      <c r="A303" s="12" t="s">
        <v>438</v>
      </c>
      <c r="B303" s="13">
        <v>2</v>
      </c>
      <c r="C303" s="14" t="s">
        <v>12</v>
      </c>
      <c r="D303" s="52" t="s">
        <v>1033</v>
      </c>
    </row>
    <row r="304" spans="1:5" ht="14.25" customHeight="1" x14ac:dyDescent="0.4">
      <c r="A304" s="12" t="s">
        <v>12</v>
      </c>
      <c r="B304" s="13">
        <v>1</v>
      </c>
      <c r="C304" s="14" t="s">
        <v>438</v>
      </c>
      <c r="D304" s="52" t="s">
        <v>1034</v>
      </c>
    </row>
    <row r="305" spans="1:5" ht="14.25" customHeight="1" x14ac:dyDescent="0.4">
      <c r="A305" s="12" t="s">
        <v>31</v>
      </c>
      <c r="B305" s="13">
        <v>2</v>
      </c>
      <c r="C305" s="14" t="s">
        <v>35</v>
      </c>
      <c r="D305" s="52" t="s">
        <v>1035</v>
      </c>
    </row>
    <row r="306" spans="1:5" ht="14.25" customHeight="1" x14ac:dyDescent="0.4">
      <c r="A306" s="12" t="s">
        <v>438</v>
      </c>
      <c r="B306" s="13">
        <v>2</v>
      </c>
      <c r="C306" s="14" t="s">
        <v>33</v>
      </c>
      <c r="D306" s="52" t="s">
        <v>1036</v>
      </c>
    </row>
    <row r="307" spans="1:5" ht="14.25" customHeight="1" x14ac:dyDescent="0.4">
      <c r="A307" s="12" t="s">
        <v>734</v>
      </c>
      <c r="B307" s="13">
        <v>2</v>
      </c>
      <c r="C307" s="14" t="s">
        <v>28</v>
      </c>
      <c r="D307" s="52" t="s">
        <v>1037</v>
      </c>
      <c r="E307" s="52">
        <v>0</v>
      </c>
    </row>
    <row r="308" spans="1:5" ht="14.25" customHeight="1" x14ac:dyDescent="0.4">
      <c r="A308" s="12" t="s">
        <v>31</v>
      </c>
      <c r="B308" s="13">
        <v>2</v>
      </c>
      <c r="C308" s="14" t="s">
        <v>35</v>
      </c>
      <c r="D308" s="15" t="s">
        <v>1038</v>
      </c>
    </row>
    <row r="309" spans="1:5" ht="14.25" customHeight="1" x14ac:dyDescent="0.4">
      <c r="A309" s="12" t="s">
        <v>38</v>
      </c>
      <c r="B309" s="13">
        <v>1</v>
      </c>
      <c r="C309" s="14" t="s">
        <v>35</v>
      </c>
      <c r="D309" s="52" t="s">
        <v>1039</v>
      </c>
    </row>
    <row r="310" spans="1:5" ht="14.25" customHeight="1" x14ac:dyDescent="0.4">
      <c r="A310" s="12" t="s">
        <v>31</v>
      </c>
      <c r="B310" s="13">
        <v>1</v>
      </c>
      <c r="C310" s="14" t="s">
        <v>33</v>
      </c>
      <c r="D310" s="52" t="s">
        <v>1040</v>
      </c>
    </row>
    <row r="311" spans="1:5" ht="14.25" customHeight="1" x14ac:dyDescent="0.4">
      <c r="A311" s="12" t="s">
        <v>438</v>
      </c>
      <c r="B311" s="13">
        <v>1</v>
      </c>
      <c r="C311" s="14" t="s">
        <v>12</v>
      </c>
      <c r="D311" s="52" t="s">
        <v>1041</v>
      </c>
    </row>
    <row r="312" spans="1:5" ht="14.25" customHeight="1" x14ac:dyDescent="0.4">
      <c r="A312" s="12" t="s">
        <v>12</v>
      </c>
      <c r="B312" s="13">
        <v>1</v>
      </c>
      <c r="C312" s="14" t="s">
        <v>438</v>
      </c>
      <c r="D312" s="52" t="s">
        <v>1042</v>
      </c>
    </row>
    <row r="313" spans="1:5" ht="14.25" customHeight="1" x14ac:dyDescent="0.4">
      <c r="A313" s="12" t="s">
        <v>441</v>
      </c>
      <c r="B313" s="13">
        <v>1</v>
      </c>
      <c r="C313" s="14" t="s">
        <v>734</v>
      </c>
      <c r="D313" s="52" t="s">
        <v>1043</v>
      </c>
    </row>
    <row r="314" spans="1:5" ht="14.25" customHeight="1" x14ac:dyDescent="0.4">
      <c r="A314" s="12" t="s">
        <v>734</v>
      </c>
      <c r="B314" s="13">
        <v>1</v>
      </c>
      <c r="C314" s="14" t="s">
        <v>441</v>
      </c>
      <c r="D314" s="52" t="s">
        <v>1044</v>
      </c>
    </row>
    <row r="315" spans="1:5" ht="14.25" customHeight="1" x14ac:dyDescent="0.4">
      <c r="A315" s="12" t="s">
        <v>441</v>
      </c>
      <c r="B315" s="13">
        <v>2</v>
      </c>
      <c r="C315" s="14" t="s">
        <v>12</v>
      </c>
      <c r="D315" s="52" t="s">
        <v>1045</v>
      </c>
    </row>
    <row r="316" spans="1:5" ht="14.25" customHeight="1" x14ac:dyDescent="0.4">
      <c r="A316" s="12" t="s">
        <v>39</v>
      </c>
      <c r="B316" s="13">
        <v>2</v>
      </c>
      <c r="C316" s="14" t="s">
        <v>28</v>
      </c>
      <c r="D316" s="52" t="s">
        <v>1046</v>
      </c>
      <c r="E316" s="52">
        <v>0</v>
      </c>
    </row>
    <row r="317" spans="1:5" ht="14.25" customHeight="1" x14ac:dyDescent="0.4">
      <c r="A317" s="12" t="s">
        <v>12</v>
      </c>
      <c r="B317" s="13">
        <v>2</v>
      </c>
      <c r="C317" s="14" t="s">
        <v>28</v>
      </c>
      <c r="D317" s="52" t="s">
        <v>1047</v>
      </c>
      <c r="E317" s="52">
        <v>1</v>
      </c>
    </row>
    <row r="318" spans="1:5" ht="14.25" customHeight="1" x14ac:dyDescent="0.4">
      <c r="A318" s="12" t="s">
        <v>730</v>
      </c>
      <c r="B318" s="13">
        <v>2</v>
      </c>
      <c r="C318" s="14" t="s">
        <v>28</v>
      </c>
      <c r="D318" s="52" t="s">
        <v>1048</v>
      </c>
      <c r="E318" s="52">
        <v>1</v>
      </c>
    </row>
    <row r="319" spans="1:5" ht="14.25" customHeight="1" x14ac:dyDescent="0.4">
      <c r="A319" s="12" t="s">
        <v>734</v>
      </c>
      <c r="B319" s="13">
        <v>2</v>
      </c>
      <c r="C319" s="14" t="s">
        <v>37</v>
      </c>
      <c r="D319" s="52" t="s">
        <v>1049</v>
      </c>
    </row>
    <row r="320" spans="1:5" ht="14.25" customHeight="1" x14ac:dyDescent="0.4">
      <c r="A320" s="12" t="s">
        <v>734</v>
      </c>
      <c r="B320" s="13">
        <v>2</v>
      </c>
      <c r="C320" s="14" t="s">
        <v>730</v>
      </c>
      <c r="D320" s="52" t="s">
        <v>1050</v>
      </c>
    </row>
    <row r="321" spans="1:5" ht="14.25" customHeight="1" x14ac:dyDescent="0.4">
      <c r="A321" s="12" t="s">
        <v>31</v>
      </c>
      <c r="B321" s="13">
        <v>2</v>
      </c>
      <c r="C321" s="14" t="s">
        <v>35</v>
      </c>
      <c r="D321" s="52" t="s">
        <v>1051</v>
      </c>
    </row>
    <row r="322" spans="1:5" ht="14.25" customHeight="1" x14ac:dyDescent="0.4">
      <c r="A322" s="12" t="s">
        <v>12</v>
      </c>
      <c r="B322" s="13">
        <v>1</v>
      </c>
      <c r="C322" s="14" t="s">
        <v>28</v>
      </c>
      <c r="D322" s="52" t="s">
        <v>1052</v>
      </c>
      <c r="E322" s="52">
        <v>0</v>
      </c>
    </row>
    <row r="323" spans="1:5" ht="14.25" customHeight="1" x14ac:dyDescent="0.4">
      <c r="A323" s="12" t="s">
        <v>28</v>
      </c>
      <c r="B323" s="13">
        <v>1</v>
      </c>
      <c r="C323" s="14" t="s">
        <v>12</v>
      </c>
      <c r="D323" s="52" t="s">
        <v>1052</v>
      </c>
    </row>
    <row r="324" spans="1:5" ht="14.25" customHeight="1" x14ac:dyDescent="0.4">
      <c r="A324" s="12" t="s">
        <v>12</v>
      </c>
      <c r="B324" s="13">
        <v>2</v>
      </c>
      <c r="C324" s="14" t="s">
        <v>35</v>
      </c>
      <c r="D324" s="52" t="s">
        <v>1053</v>
      </c>
    </row>
    <row r="325" spans="1:5" ht="14.25" customHeight="1" x14ac:dyDescent="0.4">
      <c r="A325" s="12" t="s">
        <v>438</v>
      </c>
      <c r="B325" s="13">
        <v>1</v>
      </c>
      <c r="C325" s="14" t="s">
        <v>31</v>
      </c>
      <c r="D325" s="52" t="s">
        <v>1054</v>
      </c>
    </row>
    <row r="326" spans="1:5" ht="14.25" customHeight="1" x14ac:dyDescent="0.4">
      <c r="A326" s="12" t="s">
        <v>31</v>
      </c>
      <c r="B326" s="13">
        <v>1</v>
      </c>
      <c r="C326" s="14" t="s">
        <v>438</v>
      </c>
      <c r="D326" s="52" t="s">
        <v>1055</v>
      </c>
    </row>
    <row r="327" spans="1:5" ht="14.25" customHeight="1" x14ac:dyDescent="0.4">
      <c r="A327" s="12" t="s">
        <v>33</v>
      </c>
      <c r="B327" s="13">
        <v>1</v>
      </c>
      <c r="C327" s="14" t="s">
        <v>441</v>
      </c>
      <c r="D327" s="52" t="s">
        <v>1056</v>
      </c>
    </row>
    <row r="328" spans="1:5" ht="14.25" customHeight="1" x14ac:dyDescent="0.4">
      <c r="A328" s="12" t="s">
        <v>441</v>
      </c>
      <c r="B328" s="13">
        <v>1</v>
      </c>
      <c r="C328" s="14" t="s">
        <v>33</v>
      </c>
      <c r="D328" s="52" t="s">
        <v>1057</v>
      </c>
    </row>
    <row r="329" spans="1:5" ht="14.25" customHeight="1" x14ac:dyDescent="0.4">
      <c r="A329" s="12" t="s">
        <v>734</v>
      </c>
      <c r="B329" s="13">
        <v>2</v>
      </c>
      <c r="C329" s="14" t="s">
        <v>33</v>
      </c>
      <c r="D329" s="52" t="s">
        <v>1058</v>
      </c>
    </row>
    <row r="330" spans="1:5" ht="14.25" customHeight="1" x14ac:dyDescent="0.4">
      <c r="A330" s="12" t="s">
        <v>438</v>
      </c>
      <c r="B330" s="13">
        <v>2</v>
      </c>
      <c r="C330" s="14" t="s">
        <v>28</v>
      </c>
      <c r="D330" s="52" t="s">
        <v>1059</v>
      </c>
      <c r="E330" s="52">
        <v>1</v>
      </c>
    </row>
    <row r="331" spans="1:5" ht="14.25" customHeight="1" x14ac:dyDescent="0.4">
      <c r="A331" s="12" t="s">
        <v>31</v>
      </c>
      <c r="B331" s="13">
        <v>1</v>
      </c>
      <c r="C331" s="14" t="s">
        <v>12</v>
      </c>
      <c r="D331" s="52" t="s">
        <v>1060</v>
      </c>
    </row>
    <row r="332" spans="1:5" ht="14.25" customHeight="1" x14ac:dyDescent="0.4">
      <c r="A332" s="12" t="s">
        <v>12</v>
      </c>
      <c r="B332" s="13">
        <v>1</v>
      </c>
      <c r="C332" s="14" t="s">
        <v>31</v>
      </c>
      <c r="D332" s="52" t="s">
        <v>1061</v>
      </c>
    </row>
    <row r="333" spans="1:5" ht="14.25" customHeight="1" x14ac:dyDescent="0.4">
      <c r="A333" s="12" t="s">
        <v>438</v>
      </c>
      <c r="B333" s="13">
        <v>1</v>
      </c>
      <c r="C333" s="14" t="s">
        <v>38</v>
      </c>
      <c r="D333" s="52" t="s">
        <v>1062</v>
      </c>
    </row>
    <row r="334" spans="1:5" ht="14.25" customHeight="1" x14ac:dyDescent="0.4">
      <c r="A334" s="12" t="s">
        <v>38</v>
      </c>
      <c r="B334" s="13">
        <v>1</v>
      </c>
      <c r="C334" s="14" t="s">
        <v>438</v>
      </c>
      <c r="D334" s="52" t="s">
        <v>1063</v>
      </c>
    </row>
    <row r="335" spans="1:5" ht="14.25" customHeight="1" x14ac:dyDescent="0.4">
      <c r="A335" s="12" t="s">
        <v>734</v>
      </c>
      <c r="B335" s="13">
        <v>2</v>
      </c>
      <c r="C335" s="14" t="s">
        <v>37</v>
      </c>
      <c r="D335" s="52" t="s">
        <v>1064</v>
      </c>
    </row>
    <row r="336" spans="1:5" ht="14.25" customHeight="1" x14ac:dyDescent="0.4">
      <c r="A336" s="12" t="s">
        <v>38</v>
      </c>
      <c r="B336" s="13">
        <v>1</v>
      </c>
      <c r="C336" s="14" t="s">
        <v>31</v>
      </c>
      <c r="D336" s="52" t="s">
        <v>1065</v>
      </c>
    </row>
    <row r="337" spans="1:5" ht="14.25" customHeight="1" x14ac:dyDescent="0.4">
      <c r="A337" s="12" t="s">
        <v>31</v>
      </c>
      <c r="B337" s="13">
        <v>1</v>
      </c>
      <c r="C337" s="14" t="s">
        <v>38</v>
      </c>
      <c r="D337" s="52" t="s">
        <v>1066</v>
      </c>
    </row>
    <row r="338" spans="1:5" ht="14.25" customHeight="1" x14ac:dyDescent="0.4">
      <c r="A338" s="12" t="s">
        <v>438</v>
      </c>
      <c r="B338" s="13">
        <v>1</v>
      </c>
      <c r="C338" s="14" t="s">
        <v>28</v>
      </c>
      <c r="D338" s="52" t="s">
        <v>1067</v>
      </c>
    </row>
    <row r="339" spans="1:5" ht="14.25" customHeight="1" x14ac:dyDescent="0.4">
      <c r="A339" s="12" t="s">
        <v>39</v>
      </c>
      <c r="B339" s="13">
        <v>2</v>
      </c>
      <c r="C339" s="14" t="s">
        <v>33</v>
      </c>
      <c r="D339" s="52" t="s">
        <v>1068</v>
      </c>
    </row>
    <row r="340" spans="1:5" ht="14.25" customHeight="1" x14ac:dyDescent="0.4">
      <c r="A340" s="12" t="s">
        <v>28</v>
      </c>
      <c r="B340" s="13">
        <v>2</v>
      </c>
      <c r="C340" s="14" t="s">
        <v>438</v>
      </c>
      <c r="D340" s="52" t="s">
        <v>1069</v>
      </c>
    </row>
    <row r="341" spans="1:5" ht="14.25" customHeight="1" x14ac:dyDescent="0.4">
      <c r="A341" s="12" t="s">
        <v>28</v>
      </c>
      <c r="B341" s="13">
        <v>2</v>
      </c>
      <c r="C341" s="14" t="s">
        <v>37</v>
      </c>
      <c r="D341" s="52" t="s">
        <v>1070</v>
      </c>
    </row>
    <row r="342" spans="1:5" ht="14.25" customHeight="1" x14ac:dyDescent="0.4">
      <c r="A342" s="12" t="s">
        <v>438</v>
      </c>
      <c r="B342" s="13">
        <v>2</v>
      </c>
      <c r="C342" s="14" t="s">
        <v>28</v>
      </c>
      <c r="D342" s="52" t="s">
        <v>1071</v>
      </c>
      <c r="E342" s="52">
        <v>0</v>
      </c>
    </row>
    <row r="343" spans="1:5" ht="14.25" customHeight="1" x14ac:dyDescent="0.4">
      <c r="A343" s="12" t="s">
        <v>37</v>
      </c>
      <c r="B343" s="13">
        <v>1</v>
      </c>
      <c r="C343" s="14" t="s">
        <v>438</v>
      </c>
      <c r="D343" s="52" t="s">
        <v>1072</v>
      </c>
    </row>
    <row r="344" spans="1:5" ht="14.25" customHeight="1" x14ac:dyDescent="0.4">
      <c r="A344" s="12" t="s">
        <v>37</v>
      </c>
      <c r="B344" s="13">
        <v>1</v>
      </c>
      <c r="C344" s="14" t="s">
        <v>28</v>
      </c>
      <c r="D344" s="52" t="s">
        <v>1072</v>
      </c>
    </row>
    <row r="345" spans="1:5" ht="14.25" customHeight="1" x14ac:dyDescent="0.4">
      <c r="A345" s="12" t="s">
        <v>33</v>
      </c>
      <c r="B345" s="13">
        <v>2</v>
      </c>
      <c r="C345" s="14" t="s">
        <v>35</v>
      </c>
      <c r="D345" s="15" t="s">
        <v>1073</v>
      </c>
    </row>
    <row r="346" spans="1:5" ht="14.25" customHeight="1" x14ac:dyDescent="0.4">
      <c r="A346" s="12" t="s">
        <v>38</v>
      </c>
      <c r="B346" s="13">
        <v>2</v>
      </c>
      <c r="C346" s="14" t="s">
        <v>33</v>
      </c>
      <c r="D346" s="52" t="s">
        <v>1074</v>
      </c>
    </row>
    <row r="347" spans="1:5" ht="14.25" customHeight="1" x14ac:dyDescent="0.4">
      <c r="A347" s="12" t="s">
        <v>438</v>
      </c>
      <c r="B347" s="13">
        <v>1</v>
      </c>
      <c r="C347" s="14" t="s">
        <v>33</v>
      </c>
      <c r="D347" s="52" t="s">
        <v>1075</v>
      </c>
    </row>
    <row r="348" spans="1:5" ht="14.25" customHeight="1" x14ac:dyDescent="0.4">
      <c r="A348" s="12" t="s">
        <v>438</v>
      </c>
      <c r="B348" s="13">
        <v>1</v>
      </c>
      <c r="C348" s="14" t="s">
        <v>38</v>
      </c>
      <c r="D348" s="52" t="s">
        <v>1076</v>
      </c>
    </row>
    <row r="349" spans="1:5" ht="14.25" customHeight="1" x14ac:dyDescent="0.4">
      <c r="A349" s="12" t="s">
        <v>38</v>
      </c>
      <c r="B349" s="13">
        <v>1</v>
      </c>
      <c r="C349" s="14" t="s">
        <v>438</v>
      </c>
      <c r="D349" s="52" t="s">
        <v>1077</v>
      </c>
    </row>
    <row r="350" spans="1:5" ht="14.25" customHeight="1" x14ac:dyDescent="0.4">
      <c r="A350" s="12" t="s">
        <v>438</v>
      </c>
      <c r="B350" s="13">
        <v>2</v>
      </c>
      <c r="C350" s="14" t="s">
        <v>38</v>
      </c>
      <c r="D350" s="52" t="s">
        <v>1078</v>
      </c>
    </row>
    <row r="351" spans="1:5" ht="14.25" customHeight="1" x14ac:dyDescent="0.4">
      <c r="A351" s="12" t="s">
        <v>38</v>
      </c>
      <c r="B351" s="13">
        <v>1</v>
      </c>
      <c r="C351" s="14" t="s">
        <v>438</v>
      </c>
      <c r="D351" s="52" t="s">
        <v>1079</v>
      </c>
    </row>
    <row r="352" spans="1:5" ht="14.25" customHeight="1" x14ac:dyDescent="0.4">
      <c r="A352" s="12" t="s">
        <v>12</v>
      </c>
      <c r="B352" s="13">
        <v>2</v>
      </c>
      <c r="C352" s="14" t="s">
        <v>31</v>
      </c>
      <c r="D352" s="52" t="s">
        <v>1080</v>
      </c>
    </row>
    <row r="353" spans="1:4" ht="14.25" customHeight="1" x14ac:dyDescent="0.4">
      <c r="A353" s="12" t="s">
        <v>12</v>
      </c>
      <c r="B353" s="13">
        <v>2</v>
      </c>
      <c r="C353" s="14" t="s">
        <v>734</v>
      </c>
      <c r="D353" s="52" t="s">
        <v>1081</v>
      </c>
    </row>
    <row r="354" spans="1:4" ht="14.25" customHeight="1" x14ac:dyDescent="0.4">
      <c r="A354" s="12" t="s">
        <v>734</v>
      </c>
      <c r="B354" s="13">
        <v>1</v>
      </c>
      <c r="C354" s="14" t="s">
        <v>12</v>
      </c>
      <c r="D354" s="52" t="s">
        <v>1082</v>
      </c>
    </row>
    <row r="355" spans="1:4" ht="14.25" customHeight="1" x14ac:dyDescent="0.4">
      <c r="A355" s="12" t="s">
        <v>438</v>
      </c>
      <c r="B355" s="13">
        <v>2</v>
      </c>
      <c r="C355" s="14" t="s">
        <v>730</v>
      </c>
      <c r="D355" s="52" t="s">
        <v>1083</v>
      </c>
    </row>
    <row r="356" spans="1:4" ht="14.25" customHeight="1" x14ac:dyDescent="0.4">
      <c r="A356" s="12" t="s">
        <v>41</v>
      </c>
      <c r="B356" s="13">
        <v>1</v>
      </c>
      <c r="C356" s="14" t="s">
        <v>730</v>
      </c>
      <c r="D356" s="52" t="s">
        <v>1084</v>
      </c>
    </row>
    <row r="357" spans="1:4" ht="14.25" customHeight="1" x14ac:dyDescent="0.4">
      <c r="A357" s="12" t="s">
        <v>12</v>
      </c>
      <c r="B357" s="13">
        <v>2</v>
      </c>
      <c r="C357" s="14" t="s">
        <v>31</v>
      </c>
      <c r="D357" s="52" t="s">
        <v>1085</v>
      </c>
    </row>
    <row r="358" spans="1:4" ht="14.25" customHeight="1" x14ac:dyDescent="0.4">
      <c r="A358" s="12" t="s">
        <v>31</v>
      </c>
      <c r="B358" s="13">
        <v>1</v>
      </c>
      <c r="C358" s="14" t="s">
        <v>12</v>
      </c>
      <c r="D358" s="52" t="s">
        <v>1086</v>
      </c>
    </row>
    <row r="359" spans="1:4" ht="14.25" customHeight="1" x14ac:dyDescent="0.4">
      <c r="A359" s="12" t="s">
        <v>31</v>
      </c>
      <c r="B359" s="13">
        <v>2</v>
      </c>
      <c r="C359" s="14" t="s">
        <v>28</v>
      </c>
      <c r="D359" s="52" t="s">
        <v>1087</v>
      </c>
    </row>
    <row r="360" spans="1:4" ht="14.25" customHeight="1" x14ac:dyDescent="0.4">
      <c r="A360" s="12" t="s">
        <v>28</v>
      </c>
      <c r="B360" s="13">
        <v>1</v>
      </c>
      <c r="C360" s="14" t="s">
        <v>31</v>
      </c>
      <c r="D360" s="52" t="s">
        <v>1088</v>
      </c>
    </row>
    <row r="361" spans="1:4" ht="14.25" customHeight="1" x14ac:dyDescent="0.4">
      <c r="A361" s="12" t="s">
        <v>12</v>
      </c>
      <c r="B361" s="13">
        <v>2</v>
      </c>
      <c r="C361" s="14" t="s">
        <v>31</v>
      </c>
      <c r="D361" s="52" t="s">
        <v>1089</v>
      </c>
    </row>
    <row r="362" spans="1:4" ht="14.25" customHeight="1" x14ac:dyDescent="0.4">
      <c r="A362" s="12" t="s">
        <v>28</v>
      </c>
      <c r="B362" s="13">
        <v>2</v>
      </c>
      <c r="C362" s="14" t="s">
        <v>31</v>
      </c>
      <c r="D362" s="52" t="s">
        <v>1090</v>
      </c>
    </row>
    <row r="363" spans="1:4" ht="14.25" customHeight="1" x14ac:dyDescent="0.4">
      <c r="A363" s="12" t="s">
        <v>39</v>
      </c>
      <c r="B363" s="13">
        <v>2</v>
      </c>
      <c r="C363" s="14" t="s">
        <v>33</v>
      </c>
      <c r="D363" s="52" t="s">
        <v>1091</v>
      </c>
    </row>
    <row r="364" spans="1:4" ht="14.25" customHeight="1" x14ac:dyDescent="0.4">
      <c r="A364" s="12" t="s">
        <v>12</v>
      </c>
      <c r="B364" s="13">
        <v>2</v>
      </c>
      <c r="C364" s="14" t="s">
        <v>31</v>
      </c>
      <c r="D364" s="52" t="s">
        <v>1092</v>
      </c>
    </row>
    <row r="365" spans="1:4" ht="14.25" customHeight="1" x14ac:dyDescent="0.4">
      <c r="A365" s="12" t="s">
        <v>730</v>
      </c>
      <c r="B365" s="13">
        <v>1</v>
      </c>
      <c r="C365" s="14" t="s">
        <v>41</v>
      </c>
      <c r="D365" s="52" t="s">
        <v>1093</v>
      </c>
    </row>
    <row r="366" spans="1:4" ht="14.25" customHeight="1" x14ac:dyDescent="0.4">
      <c r="A366" s="12" t="s">
        <v>41</v>
      </c>
      <c r="B366" s="13">
        <v>1</v>
      </c>
      <c r="C366" s="14" t="s">
        <v>730</v>
      </c>
      <c r="D366" s="52" t="s">
        <v>1094</v>
      </c>
    </row>
    <row r="367" spans="1:4" ht="14.25" customHeight="1" x14ac:dyDescent="0.4">
      <c r="A367" s="12" t="s">
        <v>734</v>
      </c>
      <c r="B367" s="13">
        <v>2</v>
      </c>
      <c r="C367" s="14" t="s">
        <v>41</v>
      </c>
      <c r="D367" s="52" t="s">
        <v>1095</v>
      </c>
    </row>
    <row r="368" spans="1:4" ht="14.25" customHeight="1" x14ac:dyDescent="0.4">
      <c r="A368" s="12" t="s">
        <v>31</v>
      </c>
      <c r="B368" s="13">
        <v>1</v>
      </c>
      <c r="C368" s="14" t="s">
        <v>38</v>
      </c>
      <c r="D368" s="52" t="s">
        <v>1096</v>
      </c>
    </row>
    <row r="369" spans="1:4" ht="14.25" customHeight="1" x14ac:dyDescent="0.4">
      <c r="A369" s="12" t="s">
        <v>38</v>
      </c>
      <c r="B369" s="13">
        <v>2</v>
      </c>
      <c r="C369" s="14" t="s">
        <v>31</v>
      </c>
      <c r="D369" s="52" t="s">
        <v>1097</v>
      </c>
    </row>
    <row r="370" spans="1:4" ht="14.25" customHeight="1" x14ac:dyDescent="0.4">
      <c r="A370" s="12" t="s">
        <v>730</v>
      </c>
      <c r="B370" s="13">
        <v>1</v>
      </c>
      <c r="C370" s="14" t="s">
        <v>41</v>
      </c>
      <c r="D370" s="52" t="s">
        <v>1098</v>
      </c>
    </row>
    <row r="371" spans="1:4" ht="14.25" customHeight="1" x14ac:dyDescent="0.4">
      <c r="A371" s="12" t="s">
        <v>730</v>
      </c>
      <c r="B371" s="13">
        <v>2</v>
      </c>
      <c r="C371" s="14" t="s">
        <v>33</v>
      </c>
      <c r="D371" s="52" t="s">
        <v>1099</v>
      </c>
    </row>
    <row r="372" spans="1:4" ht="14.25" customHeight="1" x14ac:dyDescent="0.4">
      <c r="A372" s="12" t="s">
        <v>12</v>
      </c>
      <c r="B372" s="13">
        <v>2</v>
      </c>
      <c r="C372" s="14" t="s">
        <v>35</v>
      </c>
      <c r="D372" s="52" t="s">
        <v>1100</v>
      </c>
    </row>
    <row r="373" spans="1:4" ht="14.25" customHeight="1" x14ac:dyDescent="0.4">
      <c r="A373" s="12" t="s">
        <v>12</v>
      </c>
      <c r="B373" s="13">
        <v>2</v>
      </c>
      <c r="C373" s="14" t="s">
        <v>35</v>
      </c>
      <c r="D373" s="52" t="s">
        <v>1101</v>
      </c>
    </row>
    <row r="374" spans="1:4" ht="14.25" customHeight="1" x14ac:dyDescent="0.4">
      <c r="A374" s="12" t="s">
        <v>438</v>
      </c>
      <c r="B374" s="13">
        <v>1</v>
      </c>
      <c r="C374" s="14" t="s">
        <v>38</v>
      </c>
      <c r="D374" s="52" t="s">
        <v>1102</v>
      </c>
    </row>
    <row r="375" spans="1:4" ht="14.25" customHeight="1" x14ac:dyDescent="0.4">
      <c r="A375" s="12" t="s">
        <v>38</v>
      </c>
      <c r="B375" s="13">
        <v>1</v>
      </c>
      <c r="C375" s="14" t="s">
        <v>438</v>
      </c>
      <c r="D375" s="52" t="s">
        <v>1103</v>
      </c>
    </row>
    <row r="376" spans="1:4" ht="14.25" customHeight="1" x14ac:dyDescent="0.4">
      <c r="A376" s="12" t="s">
        <v>12</v>
      </c>
      <c r="B376" s="13">
        <v>2</v>
      </c>
      <c r="C376" s="14" t="s">
        <v>35</v>
      </c>
      <c r="D376" s="52" t="s">
        <v>1104</v>
      </c>
    </row>
    <row r="377" spans="1:4" ht="14.25" customHeight="1" x14ac:dyDescent="0.4">
      <c r="A377" s="12" t="s">
        <v>28</v>
      </c>
      <c r="B377" s="13">
        <v>2</v>
      </c>
      <c r="C377" s="14" t="s">
        <v>441</v>
      </c>
      <c r="D377" s="52" t="s">
        <v>1105</v>
      </c>
    </row>
    <row r="378" spans="1:4" ht="14.25" customHeight="1" x14ac:dyDescent="0.4">
      <c r="A378" s="12" t="s">
        <v>28</v>
      </c>
      <c r="B378" s="13">
        <v>2</v>
      </c>
      <c r="C378" s="14" t="s">
        <v>730</v>
      </c>
      <c r="D378" s="52" t="s">
        <v>1106</v>
      </c>
    </row>
    <row r="379" spans="1:4" ht="14.25" customHeight="1" x14ac:dyDescent="0.4">
      <c r="A379" s="12" t="s">
        <v>730</v>
      </c>
      <c r="B379" s="13">
        <v>2</v>
      </c>
      <c r="C379" s="14" t="s">
        <v>28</v>
      </c>
      <c r="D379" s="52" t="s">
        <v>1107</v>
      </c>
    </row>
    <row r="380" spans="1:4" ht="14.25" customHeight="1" x14ac:dyDescent="0.4">
      <c r="A380" s="12" t="s">
        <v>28</v>
      </c>
      <c r="B380" s="13">
        <v>2</v>
      </c>
      <c r="C380" s="14" t="s">
        <v>438</v>
      </c>
      <c r="D380" s="52" t="s">
        <v>1108</v>
      </c>
    </row>
    <row r="381" spans="1:4" ht="14.25" customHeight="1" x14ac:dyDescent="0.4">
      <c r="A381" s="12" t="s">
        <v>438</v>
      </c>
      <c r="B381" s="13">
        <v>1</v>
      </c>
      <c r="C381" s="14" t="s">
        <v>28</v>
      </c>
      <c r="D381" s="52" t="s">
        <v>1109</v>
      </c>
    </row>
    <row r="382" spans="1:4" ht="14.25" customHeight="1" x14ac:dyDescent="0.4">
      <c r="A382" s="12" t="s">
        <v>730</v>
      </c>
      <c r="B382" s="13">
        <v>1</v>
      </c>
      <c r="C382" s="14" t="s">
        <v>41</v>
      </c>
      <c r="D382" s="52" t="s">
        <v>1110</v>
      </c>
    </row>
    <row r="383" spans="1:4" ht="14.25" customHeight="1" x14ac:dyDescent="0.4">
      <c r="A383" s="12" t="s">
        <v>438</v>
      </c>
      <c r="B383" s="13">
        <v>2</v>
      </c>
      <c r="C383" s="14" t="s">
        <v>28</v>
      </c>
      <c r="D383" s="52" t="s">
        <v>1111</v>
      </c>
    </row>
    <row r="384" spans="1:4" ht="14.25" customHeight="1" x14ac:dyDescent="0.4">
      <c r="A384" s="12" t="s">
        <v>28</v>
      </c>
      <c r="B384" s="13">
        <v>1</v>
      </c>
      <c r="C384" s="14" t="s">
        <v>438</v>
      </c>
      <c r="D384" s="52" t="s">
        <v>1112</v>
      </c>
    </row>
    <row r="385" spans="1:4" ht="14.25" customHeight="1" x14ac:dyDescent="0.4">
      <c r="A385" s="12" t="s">
        <v>12</v>
      </c>
      <c r="B385" s="13">
        <v>2</v>
      </c>
      <c r="C385" s="14" t="s">
        <v>35</v>
      </c>
      <c r="D385" s="52" t="s">
        <v>1113</v>
      </c>
    </row>
    <row r="386" spans="1:4" ht="14.25" customHeight="1" x14ac:dyDescent="0.4">
      <c r="A386" s="12" t="s">
        <v>28</v>
      </c>
      <c r="B386" s="13">
        <v>1</v>
      </c>
      <c r="C386" s="14" t="s">
        <v>734</v>
      </c>
      <c r="D386" s="52" t="s">
        <v>1114</v>
      </c>
    </row>
    <row r="387" spans="1:4" ht="14.25" customHeight="1" x14ac:dyDescent="0.4">
      <c r="A387" s="12" t="s">
        <v>734</v>
      </c>
      <c r="B387" s="13">
        <v>1</v>
      </c>
      <c r="C387" s="14" t="s">
        <v>28</v>
      </c>
      <c r="D387" s="52" t="s">
        <v>1115</v>
      </c>
    </row>
    <row r="388" spans="1:4" ht="14.25" customHeight="1" x14ac:dyDescent="0.4">
      <c r="A388" s="12" t="s">
        <v>438</v>
      </c>
      <c r="B388" s="13">
        <v>2</v>
      </c>
      <c r="C388" s="14" t="s">
        <v>28</v>
      </c>
      <c r="D388" s="52" t="s">
        <v>1116</v>
      </c>
    </row>
    <row r="389" spans="1:4" ht="14.25" customHeight="1" x14ac:dyDescent="0.4">
      <c r="A389" s="12" t="s">
        <v>28</v>
      </c>
      <c r="B389" s="13">
        <v>1</v>
      </c>
      <c r="C389" s="14" t="s">
        <v>438</v>
      </c>
      <c r="D389" s="52" t="s">
        <v>1117</v>
      </c>
    </row>
    <row r="390" spans="1:4" ht="14.25" customHeight="1" x14ac:dyDescent="0.4">
      <c r="A390" s="12" t="s">
        <v>438</v>
      </c>
      <c r="B390" s="13">
        <v>1</v>
      </c>
      <c r="C390" s="14" t="s">
        <v>38</v>
      </c>
      <c r="D390" s="52" t="s">
        <v>1118</v>
      </c>
    </row>
    <row r="391" spans="1:4" ht="14.25" customHeight="1" x14ac:dyDescent="0.4">
      <c r="A391" s="12" t="s">
        <v>38</v>
      </c>
      <c r="B391" s="13">
        <v>1</v>
      </c>
      <c r="C391" s="14" t="s">
        <v>438</v>
      </c>
      <c r="D391" s="52" t="s">
        <v>1119</v>
      </c>
    </row>
    <row r="392" spans="1:4" ht="14.25" customHeight="1" x14ac:dyDescent="0.4">
      <c r="A392" s="12" t="s">
        <v>38</v>
      </c>
      <c r="B392" s="13">
        <v>1</v>
      </c>
      <c r="C392" s="14" t="s">
        <v>28</v>
      </c>
      <c r="D392" s="52" t="s">
        <v>1119</v>
      </c>
    </row>
    <row r="393" spans="1:4" ht="14.25" customHeight="1" x14ac:dyDescent="0.4">
      <c r="A393" s="12" t="s">
        <v>28</v>
      </c>
      <c r="B393" s="13">
        <v>1</v>
      </c>
      <c r="C393" s="14" t="s">
        <v>38</v>
      </c>
      <c r="D393" s="52" t="s">
        <v>1120</v>
      </c>
    </row>
    <row r="394" spans="1:4" ht="14.25" customHeight="1" x14ac:dyDescent="0.4">
      <c r="A394" s="12" t="s">
        <v>734</v>
      </c>
      <c r="B394" s="13">
        <v>2</v>
      </c>
      <c r="C394" s="14" t="s">
        <v>31</v>
      </c>
      <c r="D394" s="52" t="s">
        <v>1121</v>
      </c>
    </row>
    <row r="395" spans="1:4" ht="14.25" customHeight="1" x14ac:dyDescent="0.4">
      <c r="A395" s="12" t="s">
        <v>37</v>
      </c>
      <c r="B395" s="13">
        <v>2</v>
      </c>
      <c r="C395" s="14" t="s">
        <v>35</v>
      </c>
      <c r="D395" s="52" t="s">
        <v>1122</v>
      </c>
    </row>
    <row r="396" spans="1:4" ht="14.25" customHeight="1" x14ac:dyDescent="0.4">
      <c r="A396" s="12" t="s">
        <v>12</v>
      </c>
      <c r="B396" s="13">
        <v>2</v>
      </c>
      <c r="C396" s="14" t="s">
        <v>31</v>
      </c>
      <c r="D396" s="52" t="s">
        <v>1123</v>
      </c>
    </row>
    <row r="397" spans="1:4" ht="14.25" customHeight="1" x14ac:dyDescent="0.4">
      <c r="A397" s="12" t="s">
        <v>438</v>
      </c>
      <c r="B397" s="13">
        <v>2</v>
      </c>
      <c r="C397" s="14" t="s">
        <v>31</v>
      </c>
      <c r="D397" s="52" t="s">
        <v>1124</v>
      </c>
    </row>
    <row r="398" spans="1:4" ht="14.25" customHeight="1" x14ac:dyDescent="0.4">
      <c r="A398" s="12" t="s">
        <v>730</v>
      </c>
      <c r="B398" s="13">
        <v>1</v>
      </c>
      <c r="C398" s="14" t="s">
        <v>31</v>
      </c>
      <c r="D398" s="52" t="s">
        <v>1125</v>
      </c>
    </row>
    <row r="399" spans="1:4" ht="14.25" customHeight="1" x14ac:dyDescent="0.4">
      <c r="A399" s="12" t="s">
        <v>31</v>
      </c>
      <c r="B399" s="13">
        <v>1</v>
      </c>
      <c r="C399" s="14" t="s">
        <v>730</v>
      </c>
      <c r="D399" s="52" t="s">
        <v>1126</v>
      </c>
    </row>
    <row r="400" spans="1:4" ht="14.25" customHeight="1" x14ac:dyDescent="0.4">
      <c r="A400" s="12" t="s">
        <v>12</v>
      </c>
      <c r="B400" s="13">
        <v>2</v>
      </c>
      <c r="C400" s="14" t="s">
        <v>39</v>
      </c>
      <c r="D400" s="52" t="s">
        <v>1127</v>
      </c>
    </row>
    <row r="401" spans="1:4" ht="14.25" customHeight="1" x14ac:dyDescent="0.4">
      <c r="A401" s="12" t="s">
        <v>12</v>
      </c>
      <c r="B401" s="13">
        <v>2</v>
      </c>
      <c r="C401" s="14" t="s">
        <v>31</v>
      </c>
      <c r="D401" s="4" t="s">
        <v>1128</v>
      </c>
    </row>
    <row r="402" spans="1:4" ht="14.25" customHeight="1" x14ac:dyDescent="0.4">
      <c r="A402" s="12" t="s">
        <v>438</v>
      </c>
      <c r="B402" s="13">
        <v>1</v>
      </c>
      <c r="C402" s="14" t="s">
        <v>12</v>
      </c>
      <c r="D402" s="4" t="s">
        <v>1129</v>
      </c>
    </row>
    <row r="403" spans="1:4" ht="14.25" customHeight="1" x14ac:dyDescent="0.4">
      <c r="A403" s="12" t="s">
        <v>12</v>
      </c>
      <c r="B403" s="13">
        <v>1</v>
      </c>
      <c r="C403" s="14" t="s">
        <v>438</v>
      </c>
      <c r="D403" s="52" t="s">
        <v>1130</v>
      </c>
    </row>
    <row r="404" spans="1:4" ht="14.25" customHeight="1" x14ac:dyDescent="0.4">
      <c r="A404" s="12" t="s">
        <v>438</v>
      </c>
      <c r="B404" s="13">
        <v>2</v>
      </c>
      <c r="C404" s="14" t="s">
        <v>35</v>
      </c>
      <c r="D404" s="52" t="s">
        <v>1131</v>
      </c>
    </row>
    <row r="405" spans="1:4" ht="14.25" customHeight="1" x14ac:dyDescent="0.4">
      <c r="A405" s="12" t="s">
        <v>438</v>
      </c>
      <c r="B405" s="13">
        <v>2</v>
      </c>
      <c r="C405" s="14" t="s">
        <v>28</v>
      </c>
      <c r="D405" s="52" t="s">
        <v>1132</v>
      </c>
    </row>
    <row r="406" spans="1:4" ht="14.25" customHeight="1" x14ac:dyDescent="0.4">
      <c r="A406" s="12" t="s">
        <v>438</v>
      </c>
      <c r="B406" s="13">
        <v>2</v>
      </c>
      <c r="C406" s="14" t="s">
        <v>28</v>
      </c>
      <c r="D406" s="52" t="s">
        <v>1133</v>
      </c>
    </row>
    <row r="407" spans="1:4" ht="14.25" customHeight="1" x14ac:dyDescent="0.4">
      <c r="A407" s="12" t="s">
        <v>28</v>
      </c>
      <c r="B407" s="13">
        <v>1</v>
      </c>
      <c r="C407" s="14" t="s">
        <v>438</v>
      </c>
      <c r="D407" s="52" t="s">
        <v>1134</v>
      </c>
    </row>
    <row r="408" spans="1:4" ht="14.25" customHeight="1" x14ac:dyDescent="0.4">
      <c r="A408" s="12" t="s">
        <v>438</v>
      </c>
      <c r="B408" s="13">
        <v>1</v>
      </c>
      <c r="C408" s="14" t="s">
        <v>12</v>
      </c>
      <c r="D408" s="52" t="s">
        <v>1135</v>
      </c>
    </row>
    <row r="409" spans="1:4" ht="14.25" customHeight="1" x14ac:dyDescent="0.4">
      <c r="A409" s="12" t="s">
        <v>12</v>
      </c>
      <c r="B409" s="13">
        <v>2</v>
      </c>
      <c r="C409" s="14" t="s">
        <v>438</v>
      </c>
      <c r="D409" s="52" t="s">
        <v>1136</v>
      </c>
    </row>
    <row r="410" spans="1:4" ht="14.25" customHeight="1" x14ac:dyDescent="0.4">
      <c r="A410" s="12" t="s">
        <v>31</v>
      </c>
      <c r="B410" s="13">
        <v>2</v>
      </c>
      <c r="C410" s="14" t="s">
        <v>12</v>
      </c>
      <c r="D410" s="52" t="s">
        <v>1137</v>
      </c>
    </row>
    <row r="411" spans="1:4" ht="14.25" customHeight="1" x14ac:dyDescent="0.4">
      <c r="A411" s="12" t="s">
        <v>12</v>
      </c>
      <c r="B411" s="13">
        <v>1</v>
      </c>
      <c r="C411" s="14" t="s">
        <v>31</v>
      </c>
      <c r="D411" s="52" t="s">
        <v>1138</v>
      </c>
    </row>
    <row r="412" spans="1:4" ht="14.25" customHeight="1" x14ac:dyDescent="0.4">
      <c r="A412" s="12" t="s">
        <v>438</v>
      </c>
      <c r="B412" s="13">
        <v>1</v>
      </c>
      <c r="C412" s="14" t="s">
        <v>33</v>
      </c>
      <c r="D412" s="52" t="s">
        <v>1139</v>
      </c>
    </row>
    <row r="413" spans="1:4" ht="14.25" customHeight="1" x14ac:dyDescent="0.4">
      <c r="A413" s="12" t="s">
        <v>734</v>
      </c>
      <c r="B413" s="13">
        <v>2</v>
      </c>
      <c r="C413" s="14" t="s">
        <v>35</v>
      </c>
      <c r="D413" s="52" t="s">
        <v>1140</v>
      </c>
    </row>
    <row r="414" spans="1:4" ht="14.25" customHeight="1" x14ac:dyDescent="0.4">
      <c r="A414" s="12" t="s">
        <v>438</v>
      </c>
      <c r="B414" s="13">
        <v>2</v>
      </c>
      <c r="C414" s="14" t="s">
        <v>31</v>
      </c>
      <c r="D414" s="52" t="s">
        <v>1141</v>
      </c>
    </row>
    <row r="415" spans="1:4" ht="14.25" customHeight="1" x14ac:dyDescent="0.4">
      <c r="A415" s="12" t="s">
        <v>31</v>
      </c>
      <c r="B415" s="13">
        <v>1</v>
      </c>
      <c r="C415" s="14" t="s">
        <v>438</v>
      </c>
      <c r="D415" s="52" t="s">
        <v>1142</v>
      </c>
    </row>
    <row r="416" spans="1:4" ht="14.25" customHeight="1" x14ac:dyDescent="0.4">
      <c r="A416" s="12" t="s">
        <v>438</v>
      </c>
      <c r="B416" s="13">
        <v>1</v>
      </c>
      <c r="C416" s="14" t="s">
        <v>12</v>
      </c>
      <c r="D416" s="52" t="s">
        <v>1143</v>
      </c>
    </row>
    <row r="417" spans="1:4" ht="14.25" customHeight="1" x14ac:dyDescent="0.4">
      <c r="A417" s="12" t="s">
        <v>12</v>
      </c>
      <c r="B417" s="13">
        <v>1</v>
      </c>
      <c r="C417" s="14" t="s">
        <v>438</v>
      </c>
      <c r="D417" s="52" t="s">
        <v>1144</v>
      </c>
    </row>
    <row r="418" spans="1:4" ht="14.25" customHeight="1" x14ac:dyDescent="0.4">
      <c r="A418" s="12" t="s">
        <v>438</v>
      </c>
      <c r="B418" s="13">
        <v>2</v>
      </c>
      <c r="C418" s="14" t="s">
        <v>38</v>
      </c>
      <c r="D418" s="52" t="s">
        <v>1145</v>
      </c>
    </row>
    <row r="419" spans="1:4" ht="14.25" customHeight="1" x14ac:dyDescent="0.4">
      <c r="A419" s="12" t="s">
        <v>38</v>
      </c>
      <c r="B419" s="13">
        <v>1</v>
      </c>
      <c r="C419" s="14" t="s">
        <v>441</v>
      </c>
      <c r="D419" s="52" t="s">
        <v>1146</v>
      </c>
    </row>
    <row r="420" spans="1:4" ht="14.25" customHeight="1" x14ac:dyDescent="0.4">
      <c r="A420" s="12" t="s">
        <v>38</v>
      </c>
      <c r="B420" s="13">
        <v>1</v>
      </c>
      <c r="C420" s="14" t="s">
        <v>438</v>
      </c>
      <c r="D420" s="52" t="s">
        <v>1147</v>
      </c>
    </row>
    <row r="421" spans="1:4" ht="14.25" customHeight="1" x14ac:dyDescent="0.4">
      <c r="A421" s="12" t="s">
        <v>12</v>
      </c>
      <c r="B421" s="13">
        <v>2</v>
      </c>
      <c r="C421" s="14" t="s">
        <v>28</v>
      </c>
      <c r="D421" s="52" t="s">
        <v>1148</v>
      </c>
    </row>
    <row r="422" spans="1:4" ht="14.25" customHeight="1" x14ac:dyDescent="0.4">
      <c r="A422" s="12" t="s">
        <v>28</v>
      </c>
      <c r="B422" s="13">
        <v>1</v>
      </c>
      <c r="C422" s="14" t="s">
        <v>12</v>
      </c>
      <c r="D422" s="52" t="s">
        <v>1149</v>
      </c>
    </row>
    <row r="423" spans="1:4" ht="14.25" customHeight="1" x14ac:dyDescent="0.4">
      <c r="A423" s="12" t="s">
        <v>12</v>
      </c>
      <c r="B423" s="13">
        <v>1</v>
      </c>
      <c r="C423" s="14" t="s">
        <v>28</v>
      </c>
      <c r="D423" s="52" t="s">
        <v>1150</v>
      </c>
    </row>
    <row r="424" spans="1:4" ht="14.25" customHeight="1" x14ac:dyDescent="0.4">
      <c r="A424" s="12" t="s">
        <v>734</v>
      </c>
      <c r="B424" s="13">
        <v>2</v>
      </c>
      <c r="C424" s="14" t="s">
        <v>12</v>
      </c>
      <c r="D424" s="52" t="s">
        <v>1151</v>
      </c>
    </row>
    <row r="425" spans="1:4" ht="14.25" customHeight="1" x14ac:dyDescent="0.4">
      <c r="A425" s="12" t="s">
        <v>12</v>
      </c>
      <c r="B425" s="13">
        <v>1</v>
      </c>
      <c r="C425" s="14" t="s">
        <v>734</v>
      </c>
      <c r="D425" s="52" t="s">
        <v>1152</v>
      </c>
    </row>
    <row r="426" spans="1:4" ht="14.25" customHeight="1" x14ac:dyDescent="0.4">
      <c r="A426" s="12" t="s">
        <v>438</v>
      </c>
      <c r="B426" s="13">
        <v>2</v>
      </c>
      <c r="C426" s="14" t="s">
        <v>35</v>
      </c>
      <c r="D426" s="52" t="s">
        <v>1153</v>
      </c>
    </row>
    <row r="427" spans="1:4" ht="14.25" customHeight="1" x14ac:dyDescent="0.4">
      <c r="A427" s="12" t="s">
        <v>441</v>
      </c>
      <c r="B427" s="13">
        <v>2</v>
      </c>
      <c r="C427" s="14" t="s">
        <v>12</v>
      </c>
      <c r="D427" s="52" t="s">
        <v>1154</v>
      </c>
    </row>
    <row r="428" spans="1:4" ht="14.25" customHeight="1" x14ac:dyDescent="0.4">
      <c r="A428" s="12"/>
      <c r="B428" s="13"/>
      <c r="C428" s="14"/>
    </row>
    <row r="429" spans="1:4" ht="14.25" customHeight="1" x14ac:dyDescent="0.4">
      <c r="A429" s="12"/>
      <c r="B429" s="13"/>
      <c r="C429" s="14"/>
    </row>
    <row r="430" spans="1:4" ht="14.25" customHeight="1" x14ac:dyDescent="0.4">
      <c r="A430" s="12"/>
      <c r="B430" s="13"/>
      <c r="C430" s="14"/>
    </row>
    <row r="431" spans="1:4" ht="14.25" customHeight="1" x14ac:dyDescent="0.4">
      <c r="A431" s="12"/>
      <c r="B431" s="13"/>
      <c r="C431" s="14"/>
    </row>
    <row r="432" spans="1:4" ht="14.25" customHeight="1" x14ac:dyDescent="0.4">
      <c r="A432" s="12"/>
      <c r="B432" s="13"/>
      <c r="C432" s="14"/>
    </row>
    <row r="433" spans="1:3" ht="14.25" customHeight="1" x14ac:dyDescent="0.4">
      <c r="A433" s="12"/>
      <c r="B433" s="13"/>
      <c r="C433" s="14"/>
    </row>
    <row r="434" spans="1:3" ht="14.25" customHeight="1" x14ac:dyDescent="0.4">
      <c r="A434" s="12"/>
      <c r="B434" s="13"/>
      <c r="C434" s="14"/>
    </row>
    <row r="435" spans="1:3" ht="14.25" customHeight="1" x14ac:dyDescent="0.4">
      <c r="A435" s="12"/>
      <c r="B435" s="13"/>
      <c r="C435" s="14"/>
    </row>
    <row r="436" spans="1:3" ht="14.25" customHeight="1" x14ac:dyDescent="0.4">
      <c r="A436" s="12"/>
      <c r="B436" s="13"/>
      <c r="C436" s="14"/>
    </row>
    <row r="437" spans="1:3" ht="14.25" customHeight="1" x14ac:dyDescent="0.4">
      <c r="A437" s="12"/>
      <c r="B437" s="13"/>
      <c r="C437" s="14"/>
    </row>
    <row r="438" spans="1:3" ht="14.25" customHeight="1" x14ac:dyDescent="0.4">
      <c r="A438" s="12"/>
      <c r="B438" s="13"/>
      <c r="C438" s="14"/>
    </row>
    <row r="439" spans="1:3" ht="14.25" customHeight="1" x14ac:dyDescent="0.4">
      <c r="A439" s="12"/>
      <c r="B439" s="13"/>
      <c r="C439" s="14"/>
    </row>
    <row r="440" spans="1:3" ht="14.25" customHeight="1" x14ac:dyDescent="0.4">
      <c r="A440" s="12"/>
      <c r="B440" s="13"/>
      <c r="C440" s="14"/>
    </row>
    <row r="441" spans="1:3" ht="14.25" customHeight="1" x14ac:dyDescent="0.4">
      <c r="A441" s="12"/>
      <c r="B441" s="13"/>
      <c r="C441" s="14"/>
    </row>
    <row r="442" spans="1:3" ht="14.25" customHeight="1" x14ac:dyDescent="0.4">
      <c r="A442" s="12"/>
      <c r="B442" s="13"/>
      <c r="C442" s="14"/>
    </row>
    <row r="443" spans="1:3" ht="14.25" customHeight="1" x14ac:dyDescent="0.4">
      <c r="A443" s="12"/>
      <c r="B443" s="13"/>
      <c r="C443" s="14"/>
    </row>
    <row r="444" spans="1:3" ht="14.25" customHeight="1" x14ac:dyDescent="0.4">
      <c r="A444" s="12"/>
      <c r="B444" s="13"/>
      <c r="C444" s="14"/>
    </row>
    <row r="445" spans="1:3" ht="14.25" customHeight="1" x14ac:dyDescent="0.4">
      <c r="A445" s="12"/>
      <c r="B445" s="13"/>
      <c r="C445" s="14"/>
    </row>
    <row r="446" spans="1:3" ht="14.25" customHeight="1" x14ac:dyDescent="0.4">
      <c r="A446" s="12"/>
      <c r="B446" s="13"/>
      <c r="C446" s="14"/>
    </row>
    <row r="447" spans="1:3" ht="14.25" customHeight="1" x14ac:dyDescent="0.4">
      <c r="A447" s="12"/>
      <c r="B447" s="13"/>
      <c r="C447" s="14"/>
    </row>
    <row r="448" spans="1:3" ht="14.25" customHeight="1" x14ac:dyDescent="0.4">
      <c r="A448" s="12"/>
      <c r="B448" s="13"/>
      <c r="C448" s="14"/>
    </row>
    <row r="449" spans="1:3" ht="14.25" customHeight="1" x14ac:dyDescent="0.4">
      <c r="A449" s="12"/>
      <c r="B449" s="13"/>
      <c r="C449" s="14"/>
    </row>
    <row r="450" spans="1:3" ht="14.25" customHeight="1" x14ac:dyDescent="0.4">
      <c r="A450" s="12"/>
      <c r="B450" s="13"/>
      <c r="C450" s="14"/>
    </row>
    <row r="451" spans="1:3" ht="14.25" customHeight="1" x14ac:dyDescent="0.4">
      <c r="A451" s="12"/>
      <c r="B451" s="13"/>
      <c r="C451" s="14"/>
    </row>
    <row r="452" spans="1:3" ht="14.25" customHeight="1" x14ac:dyDescent="0.4">
      <c r="A452" s="12"/>
      <c r="B452" s="13"/>
      <c r="C452" s="14"/>
    </row>
    <row r="453" spans="1:3" ht="14.25" customHeight="1" x14ac:dyDescent="0.4">
      <c r="A453" s="12"/>
      <c r="B453" s="13"/>
      <c r="C453" s="14"/>
    </row>
    <row r="454" spans="1:3" ht="14.25" customHeight="1" x14ac:dyDescent="0.4">
      <c r="A454" s="12"/>
      <c r="B454" s="13"/>
      <c r="C454" s="14"/>
    </row>
    <row r="455" spans="1:3" ht="14.25" customHeight="1" x14ac:dyDescent="0.4">
      <c r="A455" s="12"/>
      <c r="B455" s="13"/>
      <c r="C455" s="14"/>
    </row>
    <row r="456" spans="1:3" ht="14.25" customHeight="1" x14ac:dyDescent="0.4">
      <c r="A456" s="12"/>
      <c r="B456" s="13"/>
      <c r="C456" s="14"/>
    </row>
    <row r="457" spans="1:3" ht="14.25" customHeight="1" x14ac:dyDescent="0.4">
      <c r="A457" s="12"/>
      <c r="B457" s="13"/>
      <c r="C457" s="14"/>
    </row>
    <row r="458" spans="1:3" ht="14.25" customHeight="1" x14ac:dyDescent="0.4">
      <c r="A458" s="12"/>
      <c r="B458" s="13"/>
      <c r="C458" s="14"/>
    </row>
    <row r="459" spans="1:3" ht="14.25" customHeight="1" x14ac:dyDescent="0.4">
      <c r="A459" s="12"/>
      <c r="B459" s="13"/>
      <c r="C459" s="14"/>
    </row>
    <row r="460" spans="1:3" ht="14.25" customHeight="1" x14ac:dyDescent="0.4">
      <c r="A460" s="12"/>
      <c r="B460" s="13"/>
      <c r="C460" s="14"/>
    </row>
    <row r="461" spans="1:3" ht="14.25" customHeight="1" x14ac:dyDescent="0.4">
      <c r="A461" s="12"/>
      <c r="B461" s="13"/>
      <c r="C461" s="14"/>
    </row>
    <row r="462" spans="1:3" ht="14.25" customHeight="1" x14ac:dyDescent="0.4">
      <c r="A462" s="12"/>
      <c r="B462" s="13"/>
      <c r="C462" s="14"/>
    </row>
    <row r="463" spans="1:3" ht="14.25" customHeight="1" x14ac:dyDescent="0.4">
      <c r="A463" s="12"/>
      <c r="B463" s="13"/>
      <c r="C463" s="14"/>
    </row>
    <row r="464" spans="1:3" ht="14.25" customHeight="1" x14ac:dyDescent="0.4">
      <c r="A464" s="12"/>
      <c r="B464" s="13"/>
      <c r="C464" s="14"/>
    </row>
    <row r="465" spans="1:3" ht="14.25" customHeight="1" x14ac:dyDescent="0.4">
      <c r="A465" s="12"/>
      <c r="B465" s="13"/>
      <c r="C465" s="14"/>
    </row>
    <row r="466" spans="1:3" ht="14.25" customHeight="1" x14ac:dyDescent="0.4">
      <c r="A466" s="12"/>
      <c r="B466" s="13"/>
      <c r="C466" s="14"/>
    </row>
    <row r="467" spans="1:3" ht="14.25" customHeight="1" x14ac:dyDescent="0.4">
      <c r="A467" s="12"/>
      <c r="B467" s="13"/>
      <c r="C467" s="14"/>
    </row>
    <row r="468" spans="1:3" ht="14.25" customHeight="1" x14ac:dyDescent="0.4">
      <c r="A468" s="12"/>
      <c r="B468" s="13"/>
      <c r="C468" s="14"/>
    </row>
    <row r="469" spans="1:3" ht="14.25" customHeight="1" x14ac:dyDescent="0.4">
      <c r="A469" s="12"/>
      <c r="B469" s="13"/>
      <c r="C469" s="14"/>
    </row>
    <row r="470" spans="1:3" ht="14.25" customHeight="1" x14ac:dyDescent="0.4">
      <c r="A470" s="12"/>
      <c r="B470" s="13"/>
      <c r="C470" s="14"/>
    </row>
    <row r="471" spans="1:3" ht="14.25" customHeight="1" x14ac:dyDescent="0.4">
      <c r="A471" s="12"/>
      <c r="B471" s="13"/>
      <c r="C471" s="14"/>
    </row>
    <row r="472" spans="1:3" ht="14.25" customHeight="1" x14ac:dyDescent="0.4">
      <c r="A472" s="12"/>
      <c r="B472" s="13"/>
      <c r="C472" s="14"/>
    </row>
    <row r="473" spans="1:3" ht="14.25" customHeight="1" x14ac:dyDescent="0.4">
      <c r="A473" s="12"/>
      <c r="B473" s="13"/>
      <c r="C473" s="14"/>
    </row>
    <row r="474" spans="1:3" ht="14.25" customHeight="1" x14ac:dyDescent="0.4">
      <c r="A474" s="12"/>
      <c r="B474" s="13"/>
      <c r="C474" s="14"/>
    </row>
    <row r="475" spans="1:3" ht="14.25" customHeight="1" x14ac:dyDescent="0.4">
      <c r="A475" s="12"/>
      <c r="B475" s="13"/>
      <c r="C475" s="14"/>
    </row>
    <row r="476" spans="1:3" ht="14.25" customHeight="1" x14ac:dyDescent="0.4">
      <c r="A476" s="12"/>
      <c r="B476" s="13"/>
      <c r="C476" s="14"/>
    </row>
    <row r="477" spans="1:3" ht="14.25" customHeight="1" x14ac:dyDescent="0.4">
      <c r="A477" s="12"/>
      <c r="B477" s="13"/>
      <c r="C477" s="14"/>
    </row>
    <row r="478" spans="1:3" ht="14.25" customHeight="1" x14ac:dyDescent="0.4">
      <c r="A478" s="12"/>
      <c r="B478" s="13"/>
      <c r="C478" s="14"/>
    </row>
    <row r="479" spans="1:3" ht="14.25" customHeight="1" x14ac:dyDescent="0.4">
      <c r="A479" s="12"/>
      <c r="B479" s="13"/>
      <c r="C479" s="14"/>
    </row>
    <row r="480" spans="1:3" ht="14.25" customHeight="1" x14ac:dyDescent="0.4">
      <c r="A480" s="12"/>
      <c r="B480" s="13"/>
      <c r="C480" s="14"/>
    </row>
    <row r="481" spans="1:3" ht="14.25" customHeight="1" x14ac:dyDescent="0.4">
      <c r="A481" s="12"/>
      <c r="B481" s="13"/>
      <c r="C481" s="14"/>
    </row>
    <row r="482" spans="1:3" ht="14.25" customHeight="1" x14ac:dyDescent="0.4">
      <c r="A482" s="12"/>
      <c r="B482" s="13"/>
      <c r="C482" s="14"/>
    </row>
    <row r="483" spans="1:3" ht="14.25" customHeight="1" x14ac:dyDescent="0.4">
      <c r="A483" s="12"/>
      <c r="B483" s="13"/>
      <c r="C483" s="14"/>
    </row>
    <row r="484" spans="1:3" ht="14.25" customHeight="1" x14ac:dyDescent="0.4">
      <c r="A484" s="12"/>
      <c r="B484" s="13"/>
      <c r="C484" s="14"/>
    </row>
    <row r="485" spans="1:3" ht="14.25" customHeight="1" x14ac:dyDescent="0.4">
      <c r="A485" s="12"/>
      <c r="B485" s="13"/>
      <c r="C485" s="14"/>
    </row>
    <row r="486" spans="1:3" ht="14.25" customHeight="1" x14ac:dyDescent="0.4">
      <c r="A486" s="12"/>
      <c r="B486" s="13"/>
      <c r="C486" s="14"/>
    </row>
    <row r="487" spans="1:3" ht="14.25" customHeight="1" x14ac:dyDescent="0.4">
      <c r="A487" s="12"/>
      <c r="B487" s="13"/>
      <c r="C487" s="14"/>
    </row>
    <row r="488" spans="1:3" ht="14.25" customHeight="1" x14ac:dyDescent="0.4">
      <c r="A488" s="12"/>
      <c r="B488" s="13"/>
      <c r="C488" s="14"/>
    </row>
    <row r="489" spans="1:3" ht="14.25" customHeight="1" x14ac:dyDescent="0.4">
      <c r="A489" s="12"/>
      <c r="B489" s="13"/>
      <c r="C489" s="14"/>
    </row>
    <row r="490" spans="1:3" ht="14.25" customHeight="1" x14ac:dyDescent="0.4">
      <c r="A490" s="12"/>
      <c r="B490" s="13"/>
      <c r="C490" s="14"/>
    </row>
    <row r="491" spans="1:3" ht="14.25" customHeight="1" x14ac:dyDescent="0.4">
      <c r="A491" s="12"/>
      <c r="B491" s="13"/>
      <c r="C491" s="14"/>
    </row>
    <row r="492" spans="1:3" ht="14.25" customHeight="1" x14ac:dyDescent="0.4">
      <c r="A492" s="12"/>
      <c r="B492" s="13"/>
      <c r="C492" s="14"/>
    </row>
    <row r="493" spans="1:3" ht="14.25" customHeight="1" x14ac:dyDescent="0.4">
      <c r="A493" s="12"/>
      <c r="B493" s="13"/>
      <c r="C493" s="14"/>
    </row>
    <row r="494" spans="1:3" ht="14.25" customHeight="1" x14ac:dyDescent="0.4">
      <c r="A494" s="12"/>
      <c r="B494" s="13"/>
      <c r="C494" s="14"/>
    </row>
    <row r="495" spans="1:3" ht="14.25" customHeight="1" x14ac:dyDescent="0.4">
      <c r="A495" s="12"/>
      <c r="B495" s="13"/>
      <c r="C495" s="14"/>
    </row>
    <row r="496" spans="1:3" ht="14.25" customHeight="1" x14ac:dyDescent="0.4">
      <c r="A496" s="12"/>
      <c r="B496" s="13"/>
      <c r="C496" s="14"/>
    </row>
    <row r="497" spans="1:3" ht="14.25" customHeight="1" x14ac:dyDescent="0.4">
      <c r="A497" s="12"/>
      <c r="B497" s="13"/>
      <c r="C497" s="14"/>
    </row>
    <row r="498" spans="1:3" ht="14.25" customHeight="1" x14ac:dyDescent="0.4">
      <c r="A498" s="12"/>
      <c r="B498" s="13"/>
      <c r="C498" s="14"/>
    </row>
    <row r="499" spans="1:3" ht="14.25" customHeight="1" x14ac:dyDescent="0.4">
      <c r="A499" s="12"/>
      <c r="B499" s="13"/>
      <c r="C499" s="14"/>
    </row>
    <row r="500" spans="1:3" ht="14.25" customHeight="1" x14ac:dyDescent="0.4">
      <c r="A500" s="12"/>
      <c r="B500" s="13"/>
      <c r="C500" s="14"/>
    </row>
    <row r="501" spans="1:3" ht="14.25" customHeight="1" x14ac:dyDescent="0.4">
      <c r="A501" s="12"/>
      <c r="B501" s="13"/>
      <c r="C501" s="14"/>
    </row>
    <row r="502" spans="1:3" ht="14.25" customHeight="1" x14ac:dyDescent="0.4">
      <c r="A502" s="12"/>
      <c r="B502" s="13"/>
      <c r="C502" s="14"/>
    </row>
    <row r="503" spans="1:3" ht="14.25" customHeight="1" x14ac:dyDescent="0.4">
      <c r="A503" s="12"/>
      <c r="B503" s="13"/>
      <c r="C503" s="14"/>
    </row>
    <row r="504" spans="1:3" ht="14.25" customHeight="1" x14ac:dyDescent="0.4">
      <c r="A504" s="12"/>
      <c r="B504" s="13"/>
      <c r="C504" s="14"/>
    </row>
    <row r="505" spans="1:3" ht="14.25" customHeight="1" x14ac:dyDescent="0.4">
      <c r="A505" s="12"/>
      <c r="B505" s="13"/>
      <c r="C505" s="14"/>
    </row>
    <row r="506" spans="1:3" ht="14.25" customHeight="1" x14ac:dyDescent="0.4">
      <c r="A506" s="12"/>
      <c r="B506" s="13"/>
      <c r="C506" s="14"/>
    </row>
    <row r="507" spans="1:3" ht="14.25" customHeight="1" x14ac:dyDescent="0.4">
      <c r="A507" s="12"/>
      <c r="B507" s="13"/>
      <c r="C507" s="14"/>
    </row>
    <row r="508" spans="1:3" ht="14.25" customHeight="1" x14ac:dyDescent="0.4">
      <c r="A508" s="12"/>
      <c r="B508" s="13"/>
      <c r="C508" s="14"/>
    </row>
    <row r="509" spans="1:3" ht="14.25" customHeight="1" x14ac:dyDescent="0.4">
      <c r="A509" s="12"/>
      <c r="B509" s="13"/>
      <c r="C509" s="14"/>
    </row>
    <row r="510" spans="1:3" ht="14.25" customHeight="1" x14ac:dyDescent="0.4">
      <c r="A510" s="12"/>
      <c r="B510" s="13"/>
      <c r="C510" s="14"/>
    </row>
    <row r="511" spans="1:3" ht="14.25" customHeight="1" x14ac:dyDescent="0.4">
      <c r="A511" s="12"/>
      <c r="B511" s="13"/>
      <c r="C511" s="14"/>
    </row>
    <row r="512" spans="1:3" ht="14.25" customHeight="1" x14ac:dyDescent="0.4">
      <c r="A512" s="12"/>
      <c r="B512" s="13"/>
      <c r="C512" s="14"/>
    </row>
    <row r="513" spans="1:3" ht="14.25" customHeight="1" x14ac:dyDescent="0.4">
      <c r="A513" s="12"/>
      <c r="B513" s="13"/>
      <c r="C513" s="14"/>
    </row>
    <row r="514" spans="1:3" ht="14.25" customHeight="1" x14ac:dyDescent="0.4">
      <c r="A514" s="12"/>
      <c r="B514" s="13"/>
      <c r="C514" s="14"/>
    </row>
    <row r="515" spans="1:3" ht="14.25" customHeight="1" x14ac:dyDescent="0.4">
      <c r="A515" s="12"/>
      <c r="B515" s="13"/>
      <c r="C515" s="14"/>
    </row>
    <row r="516" spans="1:3" ht="14.25" customHeight="1" x14ac:dyDescent="0.4">
      <c r="A516" s="12"/>
      <c r="B516" s="13"/>
      <c r="C516" s="14"/>
    </row>
    <row r="517" spans="1:3" ht="14.25" customHeight="1" x14ac:dyDescent="0.4">
      <c r="A517" s="12"/>
      <c r="B517" s="13"/>
      <c r="C517" s="14"/>
    </row>
    <row r="518" spans="1:3" ht="14.25" customHeight="1" x14ac:dyDescent="0.4">
      <c r="A518" s="12"/>
      <c r="B518" s="13"/>
      <c r="C518" s="14"/>
    </row>
    <row r="519" spans="1:3" ht="14.25" customHeight="1" x14ac:dyDescent="0.4">
      <c r="A519" s="12"/>
      <c r="B519" s="13"/>
      <c r="C519" s="14"/>
    </row>
    <row r="520" spans="1:3" ht="14.25" customHeight="1" x14ac:dyDescent="0.4">
      <c r="A520" s="12"/>
      <c r="B520" s="13"/>
      <c r="C520" s="14"/>
    </row>
    <row r="521" spans="1:3" ht="14.25" customHeight="1" x14ac:dyDescent="0.4">
      <c r="A521" s="12"/>
      <c r="B521" s="13"/>
      <c r="C521" s="14"/>
    </row>
    <row r="522" spans="1:3" ht="14.25" customHeight="1" x14ac:dyDescent="0.4">
      <c r="A522" s="12"/>
      <c r="B522" s="13"/>
      <c r="C522" s="14"/>
    </row>
    <row r="523" spans="1:3" ht="14.25" customHeight="1" x14ac:dyDescent="0.4">
      <c r="A523" s="12"/>
      <c r="B523" s="13"/>
      <c r="C523" s="14"/>
    </row>
    <row r="524" spans="1:3" ht="14.25" customHeight="1" x14ac:dyDescent="0.4">
      <c r="A524" s="12"/>
      <c r="B524" s="13"/>
      <c r="C524" s="14"/>
    </row>
    <row r="525" spans="1:3" ht="14.25" customHeight="1" x14ac:dyDescent="0.4">
      <c r="A525" s="12"/>
      <c r="B525" s="13"/>
      <c r="C525" s="14"/>
    </row>
    <row r="526" spans="1:3" ht="14.25" customHeight="1" x14ac:dyDescent="0.4">
      <c r="A526" s="12"/>
      <c r="B526" s="13"/>
      <c r="C526" s="14"/>
    </row>
    <row r="527" spans="1:3" ht="14.25" customHeight="1" x14ac:dyDescent="0.4">
      <c r="A527" s="12"/>
      <c r="B527" s="13"/>
      <c r="C527" s="14"/>
    </row>
    <row r="528" spans="1:3" ht="14.25" customHeight="1" x14ac:dyDescent="0.4">
      <c r="A528" s="12"/>
      <c r="B528" s="13"/>
      <c r="C528" s="14"/>
    </row>
    <row r="529" spans="1:3" ht="14.25" customHeight="1" x14ac:dyDescent="0.4">
      <c r="A529" s="12"/>
      <c r="B529" s="13"/>
      <c r="C529" s="14"/>
    </row>
    <row r="530" spans="1:3" ht="14.25" customHeight="1" x14ac:dyDescent="0.4">
      <c r="A530" s="12"/>
      <c r="B530" s="13"/>
      <c r="C530" s="14"/>
    </row>
    <row r="531" spans="1:3" ht="14.25" customHeight="1" x14ac:dyDescent="0.4">
      <c r="A531" s="12"/>
      <c r="B531" s="13"/>
      <c r="C531" s="14"/>
    </row>
    <row r="532" spans="1:3" ht="14.25" customHeight="1" x14ac:dyDescent="0.4">
      <c r="A532" s="12"/>
      <c r="B532" s="13"/>
      <c r="C532" s="14"/>
    </row>
    <row r="533" spans="1:3" ht="14.25" customHeight="1" x14ac:dyDescent="0.4">
      <c r="A533" s="12"/>
      <c r="B533" s="13"/>
      <c r="C533" s="14"/>
    </row>
    <row r="534" spans="1:3" ht="14.25" customHeight="1" x14ac:dyDescent="0.4">
      <c r="A534" s="12"/>
      <c r="B534" s="13"/>
      <c r="C534" s="14"/>
    </row>
    <row r="535" spans="1:3" ht="14.25" customHeight="1" x14ac:dyDescent="0.4">
      <c r="A535" s="12"/>
      <c r="B535" s="13"/>
      <c r="C535" s="14"/>
    </row>
    <row r="536" spans="1:3" ht="14.25" customHeight="1" x14ac:dyDescent="0.4">
      <c r="A536" s="12"/>
      <c r="B536" s="13"/>
      <c r="C536" s="14"/>
    </row>
    <row r="537" spans="1:3" ht="14.25" customHeight="1" x14ac:dyDescent="0.4">
      <c r="A537" s="12"/>
      <c r="B537" s="13"/>
      <c r="C537" s="14"/>
    </row>
    <row r="538" spans="1:3" ht="14.25" customHeight="1" x14ac:dyDescent="0.4">
      <c r="A538" s="12"/>
      <c r="B538" s="13"/>
      <c r="C538" s="14"/>
    </row>
    <row r="539" spans="1:3" ht="14.25" customHeight="1" x14ac:dyDescent="0.4">
      <c r="A539" s="12"/>
      <c r="B539" s="13"/>
      <c r="C539" s="14"/>
    </row>
    <row r="540" spans="1:3" ht="14.25" customHeight="1" x14ac:dyDescent="0.4">
      <c r="A540" s="12"/>
      <c r="B540" s="13"/>
      <c r="C540" s="14"/>
    </row>
    <row r="541" spans="1:3" ht="14.25" customHeight="1" x14ac:dyDescent="0.4">
      <c r="A541" s="12"/>
      <c r="B541" s="13"/>
      <c r="C541" s="14"/>
    </row>
    <row r="542" spans="1:3" ht="14.25" customHeight="1" x14ac:dyDescent="0.4">
      <c r="A542" s="12"/>
      <c r="B542" s="13"/>
      <c r="C542" s="14"/>
    </row>
    <row r="543" spans="1:3" ht="14.25" customHeight="1" x14ac:dyDescent="0.4">
      <c r="A543" s="12"/>
      <c r="B543" s="13"/>
      <c r="C543" s="14"/>
    </row>
    <row r="544" spans="1:3" ht="14.25" customHeight="1" x14ac:dyDescent="0.4">
      <c r="A544" s="12"/>
      <c r="B544" s="13"/>
      <c r="C544" s="14"/>
    </row>
    <row r="545" spans="1:3" ht="14.25" customHeight="1" x14ac:dyDescent="0.4">
      <c r="A545" s="12"/>
      <c r="B545" s="13"/>
      <c r="C545" s="14"/>
    </row>
    <row r="546" spans="1:3" ht="14.25" customHeight="1" x14ac:dyDescent="0.4">
      <c r="A546" s="12"/>
      <c r="B546" s="13"/>
      <c r="C546" s="14"/>
    </row>
    <row r="547" spans="1:3" ht="14.25" customHeight="1" x14ac:dyDescent="0.4">
      <c r="A547" s="12"/>
      <c r="B547" s="13"/>
      <c r="C547" s="14"/>
    </row>
    <row r="548" spans="1:3" ht="14.25" customHeight="1" x14ac:dyDescent="0.4">
      <c r="A548" s="12"/>
      <c r="B548" s="13"/>
      <c r="C548" s="14"/>
    </row>
    <row r="549" spans="1:3" ht="14.25" customHeight="1" x14ac:dyDescent="0.4">
      <c r="A549" s="12"/>
      <c r="B549" s="13"/>
      <c r="C549" s="14"/>
    </row>
    <row r="550" spans="1:3" ht="14.25" customHeight="1" x14ac:dyDescent="0.4">
      <c r="A550" s="12"/>
      <c r="B550" s="13"/>
      <c r="C550" s="14"/>
    </row>
    <row r="551" spans="1:3" ht="14.25" customHeight="1" x14ac:dyDescent="0.4">
      <c r="A551" s="12"/>
      <c r="B551" s="13"/>
      <c r="C551" s="14"/>
    </row>
    <row r="552" spans="1:3" ht="14.25" customHeight="1" x14ac:dyDescent="0.4">
      <c r="A552" s="12"/>
      <c r="B552" s="13"/>
      <c r="C552" s="14"/>
    </row>
    <row r="553" spans="1:3" ht="14.25" customHeight="1" x14ac:dyDescent="0.4">
      <c r="A553" s="12"/>
      <c r="B553" s="13"/>
      <c r="C553" s="14"/>
    </row>
    <row r="554" spans="1:3" ht="14.25" customHeight="1" x14ac:dyDescent="0.4">
      <c r="A554" s="12"/>
      <c r="B554" s="13"/>
      <c r="C554" s="14"/>
    </row>
    <row r="555" spans="1:3" ht="14.25" customHeight="1" x14ac:dyDescent="0.4">
      <c r="A555" s="12"/>
      <c r="B555" s="13"/>
      <c r="C555" s="14"/>
    </row>
    <row r="556" spans="1:3" ht="14.25" customHeight="1" x14ac:dyDescent="0.4">
      <c r="A556" s="12"/>
      <c r="B556" s="13"/>
      <c r="C556" s="14"/>
    </row>
    <row r="557" spans="1:3" ht="14.25" customHeight="1" x14ac:dyDescent="0.4">
      <c r="A557" s="12"/>
      <c r="B557" s="13"/>
      <c r="C557" s="14"/>
    </row>
    <row r="558" spans="1:3" ht="14.25" customHeight="1" x14ac:dyDescent="0.4">
      <c r="A558" s="12"/>
      <c r="B558" s="13"/>
      <c r="C558" s="14"/>
    </row>
    <row r="559" spans="1:3" ht="14.25" customHeight="1" x14ac:dyDescent="0.4">
      <c r="A559" s="12"/>
      <c r="B559" s="13"/>
      <c r="C559" s="14"/>
    </row>
    <row r="560" spans="1:3" ht="14.25" customHeight="1" x14ac:dyDescent="0.4">
      <c r="A560" s="12"/>
      <c r="B560" s="13"/>
      <c r="C560" s="14"/>
    </row>
    <row r="561" spans="1:3" ht="14.25" customHeight="1" x14ac:dyDescent="0.4">
      <c r="A561" s="12"/>
      <c r="B561" s="13"/>
      <c r="C561" s="14"/>
    </row>
    <row r="562" spans="1:3" ht="14.25" customHeight="1" x14ac:dyDescent="0.4">
      <c r="A562" s="12"/>
      <c r="B562" s="13"/>
      <c r="C562" s="14"/>
    </row>
    <row r="563" spans="1:3" ht="14.25" customHeight="1" x14ac:dyDescent="0.4">
      <c r="A563" s="12"/>
      <c r="B563" s="13"/>
      <c r="C563" s="14"/>
    </row>
    <row r="564" spans="1:3" ht="14.25" customHeight="1" x14ac:dyDescent="0.4">
      <c r="A564" s="12"/>
      <c r="B564" s="13"/>
      <c r="C564" s="14"/>
    </row>
    <row r="565" spans="1:3" ht="14.25" customHeight="1" x14ac:dyDescent="0.4">
      <c r="A565" s="12"/>
      <c r="B565" s="13"/>
      <c r="C565" s="14"/>
    </row>
    <row r="566" spans="1:3" ht="14.25" customHeight="1" x14ac:dyDescent="0.4">
      <c r="A566" s="12"/>
      <c r="B566" s="13"/>
      <c r="C566" s="14"/>
    </row>
    <row r="567" spans="1:3" ht="14.25" customHeight="1" x14ac:dyDescent="0.4">
      <c r="A567" s="12"/>
      <c r="B567" s="13"/>
      <c r="C567" s="14"/>
    </row>
    <row r="568" spans="1:3" ht="14.25" customHeight="1" x14ac:dyDescent="0.4">
      <c r="A568" s="12"/>
      <c r="B568" s="13"/>
      <c r="C568" s="14"/>
    </row>
    <row r="569" spans="1:3" ht="14.25" customHeight="1" x14ac:dyDescent="0.4">
      <c r="A569" s="12"/>
      <c r="B569" s="13"/>
      <c r="C569" s="14"/>
    </row>
    <row r="570" spans="1:3" ht="14.25" customHeight="1" x14ac:dyDescent="0.4">
      <c r="A570" s="12"/>
      <c r="B570" s="13"/>
      <c r="C570" s="14"/>
    </row>
    <row r="571" spans="1:3" ht="14.25" customHeight="1" x14ac:dyDescent="0.4">
      <c r="A571" s="12"/>
      <c r="B571" s="13"/>
      <c r="C571" s="14"/>
    </row>
    <row r="572" spans="1:3" ht="14.25" customHeight="1" x14ac:dyDescent="0.4">
      <c r="A572" s="12"/>
      <c r="B572" s="13"/>
      <c r="C572" s="14"/>
    </row>
    <row r="573" spans="1:3" ht="14.25" customHeight="1" x14ac:dyDescent="0.4">
      <c r="A573" s="12"/>
      <c r="B573" s="13"/>
      <c r="C573" s="14"/>
    </row>
    <row r="574" spans="1:3" ht="14.25" customHeight="1" x14ac:dyDescent="0.4">
      <c r="A574" s="12"/>
      <c r="B574" s="13"/>
      <c r="C574" s="14"/>
    </row>
    <row r="575" spans="1:3" ht="14.25" customHeight="1" x14ac:dyDescent="0.4">
      <c r="A575" s="12"/>
      <c r="B575" s="13"/>
      <c r="C575" s="14"/>
    </row>
    <row r="576" spans="1:3" ht="14.25" customHeight="1" x14ac:dyDescent="0.4">
      <c r="A576" s="12"/>
      <c r="B576" s="13"/>
      <c r="C576" s="14"/>
    </row>
    <row r="577" spans="1:3" ht="14.25" customHeight="1" x14ac:dyDescent="0.4">
      <c r="A577" s="12"/>
      <c r="B577" s="13"/>
      <c r="C577" s="14"/>
    </row>
    <row r="578" spans="1:3" ht="14.25" customHeight="1" x14ac:dyDescent="0.4">
      <c r="A578" s="12"/>
      <c r="B578" s="13"/>
      <c r="C578" s="14"/>
    </row>
    <row r="579" spans="1:3" ht="14.25" customHeight="1" x14ac:dyDescent="0.4">
      <c r="A579" s="12"/>
      <c r="B579" s="13"/>
      <c r="C579" s="14"/>
    </row>
    <row r="580" spans="1:3" ht="14.25" customHeight="1" x14ac:dyDescent="0.4">
      <c r="A580" s="12"/>
      <c r="B580" s="13"/>
      <c r="C580" s="14"/>
    </row>
    <row r="581" spans="1:3" ht="14.25" customHeight="1" x14ac:dyDescent="0.4">
      <c r="A581" s="12"/>
      <c r="B581" s="13"/>
      <c r="C581" s="14"/>
    </row>
    <row r="582" spans="1:3" ht="14.25" customHeight="1" x14ac:dyDescent="0.4">
      <c r="A582" s="12"/>
      <c r="B582" s="13"/>
      <c r="C582" s="14"/>
    </row>
    <row r="583" spans="1:3" ht="14.25" customHeight="1" x14ac:dyDescent="0.4">
      <c r="A583" s="12"/>
      <c r="B583" s="13"/>
      <c r="C583" s="14"/>
    </row>
    <row r="584" spans="1:3" ht="14.25" customHeight="1" x14ac:dyDescent="0.4">
      <c r="A584" s="12"/>
      <c r="B584" s="13"/>
      <c r="C584" s="14"/>
    </row>
    <row r="585" spans="1:3" ht="14.25" customHeight="1" x14ac:dyDescent="0.4">
      <c r="A585" s="12"/>
      <c r="B585" s="13"/>
      <c r="C585" s="14"/>
    </row>
    <row r="586" spans="1:3" ht="14.25" customHeight="1" x14ac:dyDescent="0.4">
      <c r="A586" s="12"/>
      <c r="B586" s="13"/>
      <c r="C586" s="14"/>
    </row>
    <row r="587" spans="1:3" ht="14.25" customHeight="1" x14ac:dyDescent="0.4">
      <c r="A587" s="12"/>
      <c r="B587" s="13"/>
      <c r="C587" s="14"/>
    </row>
    <row r="588" spans="1:3" ht="14.25" customHeight="1" x14ac:dyDescent="0.4">
      <c r="A588" s="12"/>
      <c r="B588" s="13"/>
      <c r="C588" s="14"/>
    </row>
    <row r="589" spans="1:3" ht="14.25" customHeight="1" x14ac:dyDescent="0.4">
      <c r="A589" s="12"/>
      <c r="B589" s="13"/>
      <c r="C589" s="14"/>
    </row>
    <row r="590" spans="1:3" ht="14.25" customHeight="1" x14ac:dyDescent="0.4">
      <c r="A590" s="12"/>
      <c r="B590" s="13"/>
      <c r="C590" s="14"/>
    </row>
    <row r="591" spans="1:3" ht="14.25" customHeight="1" x14ac:dyDescent="0.4">
      <c r="A591" s="12"/>
      <c r="B591" s="13"/>
      <c r="C591" s="14"/>
    </row>
    <row r="592" spans="1:3" ht="14.25" customHeight="1" x14ac:dyDescent="0.4">
      <c r="A592" s="12"/>
      <c r="B592" s="13"/>
      <c r="C592" s="14"/>
    </row>
    <row r="593" spans="1:3" ht="14.25" customHeight="1" x14ac:dyDescent="0.4">
      <c r="A593" s="12"/>
      <c r="B593" s="13"/>
      <c r="C593" s="14"/>
    </row>
    <row r="594" spans="1:3" ht="14.25" customHeight="1" x14ac:dyDescent="0.4">
      <c r="A594" s="12"/>
      <c r="B594" s="13"/>
      <c r="C594" s="14"/>
    </row>
    <row r="595" spans="1:3" ht="14.25" customHeight="1" x14ac:dyDescent="0.4">
      <c r="A595" s="12"/>
      <c r="B595" s="13"/>
      <c r="C595" s="14"/>
    </row>
    <row r="596" spans="1:3" ht="14.25" customHeight="1" x14ac:dyDescent="0.4">
      <c r="A596" s="12"/>
      <c r="B596" s="13"/>
      <c r="C596" s="14"/>
    </row>
    <row r="597" spans="1:3" ht="14.25" customHeight="1" x14ac:dyDescent="0.4">
      <c r="A597" s="12"/>
      <c r="B597" s="13"/>
      <c r="C597" s="14"/>
    </row>
    <row r="598" spans="1:3" ht="14.25" customHeight="1" x14ac:dyDescent="0.4">
      <c r="A598" s="12"/>
      <c r="B598" s="13"/>
      <c r="C598" s="14"/>
    </row>
    <row r="599" spans="1:3" ht="14.25" customHeight="1" x14ac:dyDescent="0.4">
      <c r="A599" s="12"/>
      <c r="B599" s="13"/>
      <c r="C599" s="14"/>
    </row>
    <row r="600" spans="1:3" ht="14.25" customHeight="1" x14ac:dyDescent="0.4">
      <c r="A600" s="12"/>
      <c r="B600" s="13"/>
      <c r="C600" s="14"/>
    </row>
    <row r="601" spans="1:3" ht="14.25" customHeight="1" x14ac:dyDescent="0.4">
      <c r="A601" s="12"/>
      <c r="B601" s="13"/>
      <c r="C601" s="14"/>
    </row>
    <row r="602" spans="1:3" ht="14.25" customHeight="1" x14ac:dyDescent="0.4">
      <c r="A602" s="12"/>
      <c r="B602" s="13"/>
      <c r="C602" s="14"/>
    </row>
    <row r="603" spans="1:3" ht="14.25" customHeight="1" x14ac:dyDescent="0.4">
      <c r="A603" s="12"/>
      <c r="B603" s="13"/>
      <c r="C603" s="14"/>
    </row>
    <row r="604" spans="1:3" ht="14.25" customHeight="1" x14ac:dyDescent="0.4">
      <c r="A604" s="12"/>
      <c r="B604" s="13"/>
      <c r="C604" s="14"/>
    </row>
    <row r="605" spans="1:3" ht="14.25" customHeight="1" x14ac:dyDescent="0.4">
      <c r="A605" s="12"/>
      <c r="B605" s="13"/>
      <c r="C605" s="14"/>
    </row>
    <row r="606" spans="1:3" ht="14.25" customHeight="1" x14ac:dyDescent="0.4">
      <c r="A606" s="12"/>
      <c r="B606" s="13"/>
      <c r="C606" s="14"/>
    </row>
    <row r="607" spans="1:3" ht="14.25" customHeight="1" x14ac:dyDescent="0.4">
      <c r="A607" s="12"/>
      <c r="B607" s="13"/>
      <c r="C607" s="14"/>
    </row>
    <row r="608" spans="1:3" ht="14.25" customHeight="1" x14ac:dyDescent="0.4">
      <c r="A608" s="12"/>
      <c r="B608" s="13"/>
      <c r="C608" s="14"/>
    </row>
    <row r="609" spans="1:3" ht="14.25" customHeight="1" x14ac:dyDescent="0.4">
      <c r="A609" s="12"/>
      <c r="B609" s="13"/>
      <c r="C609" s="14"/>
    </row>
    <row r="610" spans="1:3" ht="14.25" customHeight="1" x14ac:dyDescent="0.4">
      <c r="A610" s="12"/>
      <c r="B610" s="13"/>
      <c r="C610" s="14"/>
    </row>
    <row r="611" spans="1:3" ht="14.25" customHeight="1" x14ac:dyDescent="0.4">
      <c r="A611" s="12"/>
      <c r="B611" s="13"/>
      <c r="C611" s="14"/>
    </row>
    <row r="612" spans="1:3" ht="14.25" customHeight="1" x14ac:dyDescent="0.4">
      <c r="A612" s="12"/>
      <c r="B612" s="13"/>
      <c r="C612" s="14"/>
    </row>
    <row r="613" spans="1:3" ht="14.25" customHeight="1" x14ac:dyDescent="0.4">
      <c r="A613" s="12"/>
      <c r="B613" s="13"/>
      <c r="C613" s="14"/>
    </row>
    <row r="614" spans="1:3" ht="14.25" customHeight="1" x14ac:dyDescent="0.4">
      <c r="A614" s="12"/>
      <c r="B614" s="13"/>
      <c r="C614" s="14"/>
    </row>
    <row r="615" spans="1:3" ht="14.25" customHeight="1" x14ac:dyDescent="0.4">
      <c r="A615" s="12"/>
      <c r="B615" s="13"/>
      <c r="C615" s="14"/>
    </row>
    <row r="616" spans="1:3" ht="14.25" customHeight="1" x14ac:dyDescent="0.4">
      <c r="A616" s="12"/>
      <c r="B616" s="13"/>
      <c r="C616" s="14"/>
    </row>
    <row r="617" spans="1:3" ht="14.25" customHeight="1" x14ac:dyDescent="0.4">
      <c r="A617" s="12"/>
      <c r="B617" s="13"/>
      <c r="C617" s="14"/>
    </row>
    <row r="618" spans="1:3" ht="14.25" customHeight="1" x14ac:dyDescent="0.4">
      <c r="A618" s="12"/>
      <c r="B618" s="13"/>
      <c r="C618" s="14"/>
    </row>
    <row r="619" spans="1:3" ht="14.25" customHeight="1" x14ac:dyDescent="0.4">
      <c r="A619" s="12"/>
      <c r="B619" s="13"/>
      <c r="C619" s="14"/>
    </row>
    <row r="620" spans="1:3" ht="14.25" customHeight="1" x14ac:dyDescent="0.4">
      <c r="A620" s="12"/>
      <c r="B620" s="13"/>
      <c r="C620" s="14"/>
    </row>
    <row r="621" spans="1:3" ht="14.25" customHeight="1" x14ac:dyDescent="0.4">
      <c r="A621" s="12"/>
      <c r="B621" s="13"/>
      <c r="C621" s="14"/>
    </row>
    <row r="622" spans="1:3" ht="14.25" customHeight="1" x14ac:dyDescent="0.4">
      <c r="A622" s="12"/>
      <c r="B622" s="13"/>
      <c r="C622" s="14"/>
    </row>
    <row r="623" spans="1:3" ht="14.25" customHeight="1" x14ac:dyDescent="0.4">
      <c r="A623" s="12"/>
      <c r="B623" s="13"/>
      <c r="C623" s="14"/>
    </row>
    <row r="624" spans="1:3" ht="14.25" customHeight="1" x14ac:dyDescent="0.4">
      <c r="A624" s="12"/>
      <c r="B624" s="13"/>
      <c r="C624" s="14"/>
    </row>
    <row r="625" spans="1:3" ht="14.25" customHeight="1" x14ac:dyDescent="0.4">
      <c r="A625" s="12"/>
      <c r="B625" s="13"/>
      <c r="C625" s="14"/>
    </row>
    <row r="626" spans="1:3" ht="14.25" customHeight="1" x14ac:dyDescent="0.4">
      <c r="A626" s="12"/>
      <c r="B626" s="13"/>
      <c r="C626" s="14"/>
    </row>
    <row r="627" spans="1:3" ht="14.25" customHeight="1" x14ac:dyDescent="0.4">
      <c r="A627" s="12"/>
      <c r="B627" s="13"/>
      <c r="C627" s="14"/>
    </row>
  </sheetData>
  <mergeCells count="5">
    <mergeCell ref="AI51:AQ51"/>
    <mergeCell ref="G1:P1"/>
    <mergeCell ref="G17:O17"/>
    <mergeCell ref="AI13:AR13"/>
    <mergeCell ref="R1:AF1"/>
  </mergeCells>
  <conditionalFormatting sqref="H19:I2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:J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:L2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:M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:N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:O2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4:AK4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4:AQ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4:AR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61:AK6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2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9:L2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4:AK11 AQ4:AQ11">
    <cfRule type="cellIs" dxfId="48" priority="16" operator="greaterThan">
      <formula>1</formula>
    </cfRule>
  </conditionalFormatting>
  <conditionalFormatting sqref="H3:H1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H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2:H5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8:H7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:R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2:R5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8:R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J2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6:AK28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6:AM2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6:AN2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2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28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R2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2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4:AJ46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4:H7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:R7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5:H8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5:R8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6:H99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6:R9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24" r:id="rId2" xr:uid="{00000000-0004-0000-0400-000000000000}"/>
    <hyperlink ref="D345" r:id="rId3" xr:uid="{00000000-0004-0000-0400-000001000000}"/>
  </hyperlinks>
  <pageMargins left="0.7" right="0.7" top="0.75" bottom="0.75" header="0" footer="0"/>
  <pageSetup orientation="landscape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R1000"/>
  <sheetViews>
    <sheetView workbookViewId="0"/>
  </sheetViews>
  <sheetFormatPr defaultColWidth="12.61328125" defaultRowHeight="15" customHeight="1" x14ac:dyDescent="0.4"/>
  <cols>
    <col min="1" max="1" width="6.23046875" customWidth="1"/>
    <col min="2" max="2" width="6.15234375" customWidth="1"/>
    <col min="3" max="3" width="6.765625" customWidth="1"/>
    <col min="4" max="4" width="6" customWidth="1"/>
    <col min="5" max="5" width="1.84375" customWidth="1"/>
    <col min="6" max="6" width="4.84375" hidden="1" customWidth="1"/>
    <col min="7" max="7" width="7.15234375" customWidth="1"/>
    <col min="8" max="9" width="6.765625" customWidth="1"/>
    <col min="10" max="10" width="4.3828125" customWidth="1"/>
    <col min="11" max="11" width="9.15234375" customWidth="1"/>
    <col min="12" max="12" width="11.3828125" customWidth="1"/>
    <col min="13" max="13" width="6.3828125" customWidth="1"/>
    <col min="14" max="14" width="8" customWidth="1"/>
    <col min="15" max="15" width="10.3828125" customWidth="1"/>
    <col min="16" max="16" width="11.84375" customWidth="1"/>
    <col min="17" max="17" width="7.15234375" customWidth="1"/>
    <col min="18" max="18" width="12.23046875" customWidth="1"/>
    <col min="19" max="19" width="6.3828125" customWidth="1"/>
    <col min="20" max="20" width="3.3828125" customWidth="1"/>
    <col min="21" max="21" width="5.765625" customWidth="1"/>
    <col min="22" max="22" width="7.15234375" customWidth="1"/>
    <col min="23" max="23" width="4.3828125" customWidth="1"/>
    <col min="24" max="24" width="5" customWidth="1"/>
    <col min="25" max="25" width="4.84375" customWidth="1"/>
    <col min="26" max="26" width="5.15234375" customWidth="1"/>
    <col min="27" max="27" width="6.84375" customWidth="1"/>
    <col min="28" max="28" width="10.3828125" customWidth="1"/>
    <col min="29" max="29" width="6" customWidth="1"/>
    <col min="30" max="30" width="6.3828125" customWidth="1"/>
    <col min="31" max="31" width="10.765625" customWidth="1"/>
    <col min="32" max="32" width="7.15234375" customWidth="1"/>
    <col min="33" max="33" width="7" customWidth="1"/>
    <col min="34" max="34" width="8.23046875" customWidth="1"/>
    <col min="35" max="35" width="6.3828125" customWidth="1"/>
    <col min="36" max="36" width="9.15234375" customWidth="1"/>
    <col min="37" max="37" width="13.23046875" customWidth="1"/>
    <col min="38" max="38" width="6.3828125" customWidth="1"/>
    <col min="39" max="39" width="8" customWidth="1"/>
    <col min="40" max="40" width="10.3828125" customWidth="1"/>
    <col min="41" max="41" width="11.84375" customWidth="1"/>
    <col min="42" max="42" width="11.15234375" customWidth="1"/>
    <col min="43" max="43" width="7" customWidth="1"/>
    <col min="44" max="44" width="6.3828125" customWidth="1"/>
  </cols>
  <sheetData>
    <row r="1" spans="1:40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1" t="s">
        <v>4</v>
      </c>
      <c r="H1" s="132"/>
      <c r="I1" s="132"/>
      <c r="J1" s="132"/>
      <c r="K1" s="132"/>
      <c r="L1" s="132"/>
      <c r="M1" s="132"/>
      <c r="N1" s="132"/>
      <c r="O1" s="132"/>
      <c r="P1" s="133"/>
      <c r="Q1" s="5"/>
      <c r="R1" s="139" t="s">
        <v>5</v>
      </c>
      <c r="S1" s="140"/>
      <c r="T1" s="140"/>
      <c r="U1" s="140"/>
      <c r="V1" s="140"/>
      <c r="W1" s="140"/>
      <c r="X1" s="140"/>
      <c r="Y1" s="140"/>
      <c r="Z1" s="140"/>
      <c r="AA1" s="140"/>
      <c r="AB1" s="141"/>
      <c r="AD1" s="51" t="s">
        <v>25</v>
      </c>
      <c r="AH1" s="7" t="s">
        <v>6</v>
      </c>
      <c r="AI1" s="8" t="s">
        <v>7</v>
      </c>
      <c r="AJ1" s="9" t="s">
        <v>8</v>
      </c>
      <c r="AK1" s="10" t="s">
        <v>9</v>
      </c>
      <c r="AL1" s="11" t="s">
        <v>8</v>
      </c>
      <c r="AM1" s="8" t="s">
        <v>10</v>
      </c>
      <c r="AN1" s="7" t="s">
        <v>6</v>
      </c>
    </row>
    <row r="2" spans="1:40" ht="14.6" customHeight="1" x14ac:dyDescent="0.4">
      <c r="A2" s="12" t="s">
        <v>734</v>
      </c>
      <c r="B2" s="13">
        <v>2</v>
      </c>
      <c r="C2" s="14" t="s">
        <v>37</v>
      </c>
      <c r="D2" s="15" t="s">
        <v>1155</v>
      </c>
      <c r="E2" s="4"/>
      <c r="F2" s="16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5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4"/>
      <c r="AD2" s="51" t="s">
        <v>732</v>
      </c>
      <c r="AF2" s="51"/>
      <c r="AH2" s="22"/>
      <c r="AI2" s="23"/>
      <c r="AJ2" s="24">
        <f>COUNT(B$1:B$159)</f>
        <v>48</v>
      </c>
      <c r="AK2" s="25" t="s">
        <v>26</v>
      </c>
      <c r="AL2" s="24">
        <f>COUNT(B$1:B$159)</f>
        <v>48</v>
      </c>
      <c r="AM2" s="22"/>
      <c r="AN2" s="22"/>
    </row>
    <row r="3" spans="1:40" ht="14.6" customHeight="1" x14ac:dyDescent="0.4">
      <c r="A3" s="12" t="s">
        <v>734</v>
      </c>
      <c r="B3" s="13">
        <v>2</v>
      </c>
      <c r="C3" s="14" t="s">
        <v>33</v>
      </c>
      <c r="D3" s="15" t="s">
        <v>1156</v>
      </c>
      <c r="E3" s="4"/>
      <c r="F3" s="26"/>
      <c r="G3" s="27" t="s">
        <v>28</v>
      </c>
      <c r="H3" s="28">
        <f t="shared" ref="H3:H12" si="0">COUNTIF($A:$A,G3)</f>
        <v>8</v>
      </c>
      <c r="I3" s="28">
        <f t="shared" ref="I3:I12" si="1">COUNTIF($C:$C,G3)</f>
        <v>12</v>
      </c>
      <c r="J3" s="29">
        <f t="shared" ref="J3:J12" si="2">IF(I3,H3/I3,H3)</f>
        <v>0.66666666666666663</v>
      </c>
      <c r="K3" s="28">
        <f t="shared" ref="K3:K12" si="3">IFERROR(GETPIVOTDATA("Points",$R$2,"Sniper",G3),0)</f>
        <v>12</v>
      </c>
      <c r="L3" s="28">
        <f t="shared" ref="L3:L12" si="4">IFERROR(GETPIVOTDATA("Points",$R$2,"Snipee",G3),0)</f>
        <v>16</v>
      </c>
      <c r="M3" s="75">
        <f t="shared" ref="M3:M12" si="5">IF(L3,K3/L3,K3)</f>
        <v>0.75</v>
      </c>
      <c r="N3" s="29">
        <f t="shared" ref="N3:N12" si="6">IF(H3,K3/H3,0)</f>
        <v>1.5</v>
      </c>
      <c r="O3" s="29">
        <f t="shared" ref="O3:O12" si="7">IF(I3,L3/I3,0)</f>
        <v>1.3333333333333333</v>
      </c>
      <c r="P3" s="76">
        <f t="shared" ref="P3:P12" si="8">IFERROR(VLOOKUP(G3,R:AD,13,FALSE)/9,0)</f>
        <v>0.33333333333333331</v>
      </c>
      <c r="Q3" s="5"/>
      <c r="R3" s="112" t="s">
        <v>0</v>
      </c>
      <c r="S3" s="115" t="s">
        <v>28</v>
      </c>
      <c r="T3" s="116" t="s">
        <v>730</v>
      </c>
      <c r="U3" s="116" t="s">
        <v>33</v>
      </c>
      <c r="V3" s="116" t="s">
        <v>438</v>
      </c>
      <c r="W3" s="116" t="s">
        <v>734</v>
      </c>
      <c r="X3" s="116" t="s">
        <v>441</v>
      </c>
      <c r="Y3" s="116" t="s">
        <v>41</v>
      </c>
      <c r="Z3" s="116" t="s">
        <v>37</v>
      </c>
      <c r="AA3" s="116" t="s">
        <v>39</v>
      </c>
      <c r="AB3" s="117" t="s">
        <v>42</v>
      </c>
      <c r="AD3" s="51" t="s">
        <v>735</v>
      </c>
      <c r="AF3" s="51"/>
      <c r="AH3" s="22"/>
      <c r="AI3" s="22"/>
      <c r="AJ3" s="32">
        <f>GETPIVOTDATA("Points",$R$2)</f>
        <v>68</v>
      </c>
      <c r="AK3" s="33" t="s">
        <v>43</v>
      </c>
      <c r="AL3" s="32">
        <f>GETPIVOTDATA("Points",$R$2)</f>
        <v>68</v>
      </c>
      <c r="AM3" s="22"/>
      <c r="AN3" s="22"/>
    </row>
    <row r="4" spans="1:40" ht="14.6" customHeight="1" x14ac:dyDescent="0.4">
      <c r="A4" s="12" t="s">
        <v>438</v>
      </c>
      <c r="B4" s="13">
        <v>1</v>
      </c>
      <c r="C4" s="14" t="s">
        <v>28</v>
      </c>
      <c r="D4" s="15" t="s">
        <v>1157</v>
      </c>
      <c r="E4" s="4">
        <v>1</v>
      </c>
      <c r="F4" s="26"/>
      <c r="G4" s="27" t="s">
        <v>33</v>
      </c>
      <c r="H4" s="28">
        <f t="shared" si="0"/>
        <v>1</v>
      </c>
      <c r="I4" s="28">
        <f t="shared" si="1"/>
        <v>6</v>
      </c>
      <c r="J4" s="29">
        <f t="shared" si="2"/>
        <v>0.16666666666666666</v>
      </c>
      <c r="K4" s="28">
        <f t="shared" si="3"/>
        <v>1</v>
      </c>
      <c r="L4" s="28">
        <f t="shared" si="4"/>
        <v>12</v>
      </c>
      <c r="M4" s="75">
        <f t="shared" si="5"/>
        <v>8.3333333333333329E-2</v>
      </c>
      <c r="N4" s="29">
        <f t="shared" si="6"/>
        <v>1</v>
      </c>
      <c r="O4" s="29">
        <f t="shared" si="7"/>
        <v>2</v>
      </c>
      <c r="P4" s="76">
        <f t="shared" si="8"/>
        <v>0.1111111111111111</v>
      </c>
      <c r="Q4" s="5"/>
      <c r="R4" s="115" t="s">
        <v>734</v>
      </c>
      <c r="S4" s="145">
        <v>2</v>
      </c>
      <c r="T4" s="146">
        <v>6</v>
      </c>
      <c r="U4" s="146">
        <v>8</v>
      </c>
      <c r="V4" s="146"/>
      <c r="W4" s="146"/>
      <c r="X4" s="146">
        <v>2</v>
      </c>
      <c r="Y4" s="146"/>
      <c r="Z4" s="146">
        <v>3</v>
      </c>
      <c r="AA4" s="146">
        <v>2</v>
      </c>
      <c r="AB4" s="147">
        <v>23</v>
      </c>
      <c r="AD4" s="51">
        <f t="shared" ref="AD4:AD13" si="9">COUNT(S4:AC4)-1</f>
        <v>6</v>
      </c>
      <c r="AF4" s="51"/>
      <c r="AH4" s="35">
        <f ca="1">COUNTIF(H3:H12,AJ4)</f>
        <v>0</v>
      </c>
      <c r="AI4" s="36" t="str">
        <f>$G$23</f>
        <v>David</v>
      </c>
      <c r="AJ4" s="32" t="e">
        <f ca="1">Maxine(H3:H12)</f>
        <v>#NAME?</v>
      </c>
      <c r="AK4" s="33" t="s">
        <v>45</v>
      </c>
      <c r="AL4" s="37" t="e">
        <f ca="1">Maxine(H15:H18)</f>
        <v>#NAME?</v>
      </c>
      <c r="AM4" s="38" t="str">
        <f>$G$68</f>
        <v>Leads</v>
      </c>
      <c r="AN4" s="35">
        <f ca="1">COUNTIF(H15:H18,AL4)</f>
        <v>0</v>
      </c>
    </row>
    <row r="5" spans="1:40" ht="14.6" customHeight="1" x14ac:dyDescent="0.4">
      <c r="A5" s="12" t="s">
        <v>734</v>
      </c>
      <c r="B5" s="13">
        <v>2</v>
      </c>
      <c r="C5" s="14" t="s">
        <v>28</v>
      </c>
      <c r="D5" s="15" t="s">
        <v>1158</v>
      </c>
      <c r="E5" s="4">
        <v>1</v>
      </c>
      <c r="F5" s="26"/>
      <c r="G5" s="27" t="s">
        <v>41</v>
      </c>
      <c r="H5" s="28">
        <f t="shared" si="0"/>
        <v>0</v>
      </c>
      <c r="I5" s="28">
        <f t="shared" si="1"/>
        <v>2</v>
      </c>
      <c r="J5" s="29">
        <f t="shared" si="2"/>
        <v>0</v>
      </c>
      <c r="K5" s="28">
        <f t="shared" si="3"/>
        <v>0</v>
      </c>
      <c r="L5" s="28">
        <f t="shared" si="4"/>
        <v>3</v>
      </c>
      <c r="M5" s="75">
        <f t="shared" si="5"/>
        <v>0</v>
      </c>
      <c r="N5" s="29">
        <f t="shared" si="6"/>
        <v>0</v>
      </c>
      <c r="O5" s="29">
        <f t="shared" si="7"/>
        <v>1.5</v>
      </c>
      <c r="P5" s="76">
        <f t="shared" si="8"/>
        <v>0</v>
      </c>
      <c r="Q5" s="5"/>
      <c r="R5" s="118" t="s">
        <v>438</v>
      </c>
      <c r="S5" s="148">
        <v>9</v>
      </c>
      <c r="T5" s="149">
        <v>4</v>
      </c>
      <c r="U5" s="149">
        <v>2</v>
      </c>
      <c r="V5" s="149"/>
      <c r="W5" s="149"/>
      <c r="X5" s="149"/>
      <c r="Y5" s="149">
        <v>1</v>
      </c>
      <c r="Z5" s="149"/>
      <c r="AA5" s="149"/>
      <c r="AB5" s="150">
        <v>16</v>
      </c>
      <c r="AD5" s="51">
        <f t="shared" si="9"/>
        <v>4</v>
      </c>
      <c r="AF5" s="51"/>
      <c r="AH5" s="35">
        <f ca="1">COUNTIF(I3:I12,AJ5)</f>
        <v>0</v>
      </c>
      <c r="AI5" s="36" t="str">
        <f>$G$37</f>
        <v>Carter</v>
      </c>
      <c r="AJ5" s="32" t="e">
        <f ca="1">Maxine(I3:I12)</f>
        <v>#NAME?</v>
      </c>
      <c r="AK5" s="33" t="s">
        <v>47</v>
      </c>
      <c r="AL5" s="37" t="e">
        <f ca="1">Maxine(I15:I18)</f>
        <v>#NAME?</v>
      </c>
      <c r="AM5" s="38" t="str">
        <f>$G$77</f>
        <v>Tenors</v>
      </c>
      <c r="AN5" s="35">
        <f ca="1">COUNTIF(I15:I18,AL5)</f>
        <v>0</v>
      </c>
    </row>
    <row r="6" spans="1:40" ht="14.6" customHeight="1" x14ac:dyDescent="0.4">
      <c r="A6" s="12" t="s">
        <v>33</v>
      </c>
      <c r="B6" s="13">
        <v>1</v>
      </c>
      <c r="C6" s="14" t="s">
        <v>734</v>
      </c>
      <c r="D6" s="15" t="s">
        <v>1159</v>
      </c>
      <c r="E6" s="4"/>
      <c r="F6" s="26"/>
      <c r="G6" s="27" t="s">
        <v>38</v>
      </c>
      <c r="H6" s="28">
        <f t="shared" si="0"/>
        <v>5</v>
      </c>
      <c r="I6" s="28">
        <f t="shared" si="1"/>
        <v>0</v>
      </c>
      <c r="J6" s="29">
        <f t="shared" si="2"/>
        <v>5</v>
      </c>
      <c r="K6" s="28">
        <f t="shared" si="3"/>
        <v>0</v>
      </c>
      <c r="L6" s="28">
        <f t="shared" si="4"/>
        <v>0</v>
      </c>
      <c r="M6" s="75">
        <f t="shared" si="5"/>
        <v>0</v>
      </c>
      <c r="N6" s="29">
        <f t="shared" si="6"/>
        <v>0</v>
      </c>
      <c r="O6" s="29">
        <f t="shared" si="7"/>
        <v>0</v>
      </c>
      <c r="P6" s="76">
        <f t="shared" si="8"/>
        <v>0</v>
      </c>
      <c r="Q6" s="5"/>
      <c r="R6" s="118" t="s">
        <v>28</v>
      </c>
      <c r="S6" s="148"/>
      <c r="T6" s="149">
        <v>2</v>
      </c>
      <c r="U6" s="149"/>
      <c r="V6" s="149">
        <v>8</v>
      </c>
      <c r="W6" s="149">
        <v>2</v>
      </c>
      <c r="X6" s="149"/>
      <c r="Y6" s="149"/>
      <c r="Z6" s="149"/>
      <c r="AA6" s="149"/>
      <c r="AB6" s="150">
        <v>12</v>
      </c>
      <c r="AD6" s="51">
        <f t="shared" si="9"/>
        <v>3</v>
      </c>
      <c r="AF6" s="51"/>
      <c r="AH6" s="35">
        <f ca="1">COUNTIF(K3:K12,AJ6)</f>
        <v>0</v>
      </c>
      <c r="AI6" s="36" t="str">
        <f>$Q$23</f>
        <v>Sam</v>
      </c>
      <c r="AJ6" s="32" t="e">
        <f ca="1">Maxine(K3:K12)</f>
        <v>#NAME?</v>
      </c>
      <c r="AK6" s="33" t="s">
        <v>49</v>
      </c>
      <c r="AL6" s="37" t="e">
        <f ca="1">Maxine(K15:K18)</f>
        <v>#NAME?</v>
      </c>
      <c r="AM6" s="38" t="str">
        <f>$Q$68</f>
        <v>Baris</v>
      </c>
      <c r="AN6" s="35">
        <f ca="1">COUNTIF(K15:K18,AL6)</f>
        <v>0</v>
      </c>
    </row>
    <row r="7" spans="1:40" ht="14.6" customHeight="1" x14ac:dyDescent="0.4">
      <c r="A7" s="12" t="s">
        <v>28</v>
      </c>
      <c r="B7" s="13">
        <v>2</v>
      </c>
      <c r="C7" s="14" t="s">
        <v>438</v>
      </c>
      <c r="D7" s="15" t="s">
        <v>1160</v>
      </c>
      <c r="E7" s="4"/>
      <c r="F7" s="26"/>
      <c r="G7" s="27" t="s">
        <v>438</v>
      </c>
      <c r="H7" s="28">
        <f t="shared" si="0"/>
        <v>13</v>
      </c>
      <c r="I7" s="28">
        <f t="shared" si="1"/>
        <v>7</v>
      </c>
      <c r="J7" s="29">
        <f t="shared" si="2"/>
        <v>1.8571428571428572</v>
      </c>
      <c r="K7" s="28">
        <f t="shared" si="3"/>
        <v>16</v>
      </c>
      <c r="L7" s="28">
        <f t="shared" si="4"/>
        <v>10</v>
      </c>
      <c r="M7" s="75">
        <f t="shared" si="5"/>
        <v>1.6</v>
      </c>
      <c r="N7" s="29">
        <f t="shared" si="6"/>
        <v>1.2307692307692308</v>
      </c>
      <c r="O7" s="29">
        <f t="shared" si="7"/>
        <v>1.4285714285714286</v>
      </c>
      <c r="P7" s="76">
        <f t="shared" si="8"/>
        <v>0.44444444444444442</v>
      </c>
      <c r="Q7" s="5"/>
      <c r="R7" s="118" t="s">
        <v>39</v>
      </c>
      <c r="S7" s="148">
        <v>4</v>
      </c>
      <c r="T7" s="149"/>
      <c r="U7" s="149">
        <v>2</v>
      </c>
      <c r="V7" s="149"/>
      <c r="W7" s="149">
        <v>2</v>
      </c>
      <c r="X7" s="149">
        <v>2</v>
      </c>
      <c r="Y7" s="149"/>
      <c r="Z7" s="149"/>
      <c r="AA7" s="149"/>
      <c r="AB7" s="150">
        <v>10</v>
      </c>
      <c r="AD7" s="51">
        <f t="shared" si="9"/>
        <v>4</v>
      </c>
      <c r="AF7" s="51"/>
      <c r="AH7" s="35">
        <f ca="1">COUNTIF(L3:L12,AJ7)</f>
        <v>0</v>
      </c>
      <c r="AI7" s="36" t="str">
        <f>$Q$37</f>
        <v>Jon</v>
      </c>
      <c r="AJ7" s="32" t="e">
        <f ca="1">Maxine(L3:L12)</f>
        <v>#NAME?</v>
      </c>
      <c r="AK7" s="33" t="s">
        <v>51</v>
      </c>
      <c r="AL7" s="37" t="e">
        <f ca="1">Maxine(L15:L18)</f>
        <v>#NAME?</v>
      </c>
      <c r="AM7" s="38" t="str">
        <f>$Q$77</f>
        <v>Tenors</v>
      </c>
      <c r="AN7" s="35">
        <f ca="1">COUNTIF(L15:L18,AL7)</f>
        <v>0</v>
      </c>
    </row>
    <row r="8" spans="1:40" ht="14.6" customHeight="1" x14ac:dyDescent="0.4">
      <c r="A8" s="12" t="s">
        <v>438</v>
      </c>
      <c r="B8" s="13">
        <v>1</v>
      </c>
      <c r="C8" s="14" t="s">
        <v>28</v>
      </c>
      <c r="D8" s="15" t="s">
        <v>1161</v>
      </c>
      <c r="E8" s="4">
        <v>1</v>
      </c>
      <c r="F8" s="26"/>
      <c r="G8" s="27" t="s">
        <v>441</v>
      </c>
      <c r="H8" s="28">
        <f t="shared" si="0"/>
        <v>0</v>
      </c>
      <c r="I8" s="28">
        <f t="shared" si="1"/>
        <v>2</v>
      </c>
      <c r="J8" s="29">
        <f t="shared" si="2"/>
        <v>0</v>
      </c>
      <c r="K8" s="28">
        <f t="shared" si="3"/>
        <v>0</v>
      </c>
      <c r="L8" s="28">
        <f t="shared" si="4"/>
        <v>4</v>
      </c>
      <c r="M8" s="75">
        <f t="shared" si="5"/>
        <v>0</v>
      </c>
      <c r="N8" s="29">
        <f t="shared" si="6"/>
        <v>0</v>
      </c>
      <c r="O8" s="29">
        <f t="shared" si="7"/>
        <v>2</v>
      </c>
      <c r="P8" s="76">
        <f t="shared" si="8"/>
        <v>0</v>
      </c>
      <c r="Q8" s="5"/>
      <c r="R8" s="118" t="s">
        <v>730</v>
      </c>
      <c r="S8" s="148">
        <v>1</v>
      </c>
      <c r="T8" s="149"/>
      <c r="U8" s="149"/>
      <c r="V8" s="149">
        <v>2</v>
      </c>
      <c r="W8" s="149"/>
      <c r="X8" s="149"/>
      <c r="Y8" s="149"/>
      <c r="Z8" s="149"/>
      <c r="AA8" s="149"/>
      <c r="AB8" s="150">
        <v>3</v>
      </c>
      <c r="AD8" s="51">
        <f t="shared" si="9"/>
        <v>2</v>
      </c>
      <c r="AF8" s="51"/>
      <c r="AH8" s="35">
        <f ca="1">COUNTIF(J3:J12,AJ8)</f>
        <v>0</v>
      </c>
      <c r="AI8" s="40" t="str">
        <f>$G$51</f>
        <v>Maxine</v>
      </c>
      <c r="AJ8" s="37" t="e">
        <f ca="1">Maxine(J3:J12)</f>
        <v>#NAME?</v>
      </c>
      <c r="AK8" s="33" t="s">
        <v>53</v>
      </c>
      <c r="AL8" s="37" t="e">
        <f ca="1">Maxine(J15:J18)</f>
        <v>#NAME?</v>
      </c>
      <c r="AM8" s="38" t="str">
        <f>$G$86</f>
        <v>Leads</v>
      </c>
      <c r="AN8" s="35">
        <f ca="1">COUNTIF(J15:J18,AL8)</f>
        <v>0</v>
      </c>
    </row>
    <row r="9" spans="1:40" ht="14.6" customHeight="1" x14ac:dyDescent="0.4">
      <c r="A9" s="12" t="s">
        <v>438</v>
      </c>
      <c r="B9" s="13">
        <v>1</v>
      </c>
      <c r="C9" s="14" t="s">
        <v>41</v>
      </c>
      <c r="D9" s="15" t="s">
        <v>1162</v>
      </c>
      <c r="E9" s="4"/>
      <c r="F9" s="15"/>
      <c r="G9" s="27" t="s">
        <v>734</v>
      </c>
      <c r="H9" s="28">
        <f t="shared" si="0"/>
        <v>12</v>
      </c>
      <c r="I9" s="28">
        <f t="shared" si="1"/>
        <v>4</v>
      </c>
      <c r="J9" s="29">
        <f t="shared" si="2"/>
        <v>3</v>
      </c>
      <c r="K9" s="28">
        <f t="shared" si="3"/>
        <v>23</v>
      </c>
      <c r="L9" s="28">
        <f t="shared" si="4"/>
        <v>6</v>
      </c>
      <c r="M9" s="75">
        <f t="shared" si="5"/>
        <v>3.8333333333333335</v>
      </c>
      <c r="N9" s="29">
        <f t="shared" si="6"/>
        <v>1.9166666666666667</v>
      </c>
      <c r="O9" s="29">
        <f t="shared" si="7"/>
        <v>1.5</v>
      </c>
      <c r="P9" s="76">
        <f t="shared" si="8"/>
        <v>0.66666666666666663</v>
      </c>
      <c r="Q9" s="5"/>
      <c r="R9" s="118" t="s">
        <v>37</v>
      </c>
      <c r="S9" s="148"/>
      <c r="T9" s="149"/>
      <c r="U9" s="149"/>
      <c r="V9" s="149"/>
      <c r="W9" s="149">
        <v>1</v>
      </c>
      <c r="X9" s="149"/>
      <c r="Y9" s="149">
        <v>2</v>
      </c>
      <c r="Z9" s="149"/>
      <c r="AA9" s="149"/>
      <c r="AB9" s="150">
        <v>3</v>
      </c>
      <c r="AD9" s="51">
        <f t="shared" si="9"/>
        <v>2</v>
      </c>
      <c r="AF9" s="51"/>
      <c r="AH9" s="35">
        <f>COUNTIF(J3:J12,AJ9)</f>
        <v>2</v>
      </c>
      <c r="AI9" s="40" t="str">
        <f>$G$60</f>
        <v>Tyler</v>
      </c>
      <c r="AJ9" s="37">
        <f>MIN(J3:J12)</f>
        <v>0</v>
      </c>
      <c r="AK9" s="33" t="s">
        <v>55</v>
      </c>
      <c r="AL9" s="37">
        <f>MIN(J15:J18)</f>
        <v>0.5</v>
      </c>
      <c r="AM9" s="38" t="str">
        <f>$G$83</f>
        <v>Tenors</v>
      </c>
      <c r="AN9" s="35">
        <f>COUNTIF(J15:J18,AL9)</f>
        <v>1</v>
      </c>
    </row>
    <row r="10" spans="1:40" ht="14.6" customHeight="1" x14ac:dyDescent="0.4">
      <c r="A10" s="12" t="s">
        <v>438</v>
      </c>
      <c r="B10" s="13">
        <v>2</v>
      </c>
      <c r="C10" s="14" t="s">
        <v>33</v>
      </c>
      <c r="D10" s="15" t="s">
        <v>1163</v>
      </c>
      <c r="E10" s="4"/>
      <c r="F10" s="15"/>
      <c r="G10" s="27" t="s">
        <v>37</v>
      </c>
      <c r="H10" s="28">
        <f t="shared" si="0"/>
        <v>2</v>
      </c>
      <c r="I10" s="28">
        <f t="shared" si="1"/>
        <v>3</v>
      </c>
      <c r="J10" s="29">
        <f t="shared" si="2"/>
        <v>0.66666666666666663</v>
      </c>
      <c r="K10" s="28">
        <f t="shared" si="3"/>
        <v>3</v>
      </c>
      <c r="L10" s="28">
        <f t="shared" si="4"/>
        <v>3</v>
      </c>
      <c r="M10" s="75">
        <f t="shared" si="5"/>
        <v>1</v>
      </c>
      <c r="N10" s="29">
        <f t="shared" si="6"/>
        <v>1.5</v>
      </c>
      <c r="O10" s="29">
        <f t="shared" si="7"/>
        <v>1</v>
      </c>
      <c r="P10" s="76">
        <f t="shared" si="8"/>
        <v>0.22222222222222221</v>
      </c>
      <c r="Q10" s="5"/>
      <c r="R10" s="118" t="s">
        <v>33</v>
      </c>
      <c r="S10" s="148"/>
      <c r="T10" s="149"/>
      <c r="U10" s="149"/>
      <c r="V10" s="149"/>
      <c r="W10" s="149">
        <v>1</v>
      </c>
      <c r="X10" s="149"/>
      <c r="Y10" s="149"/>
      <c r="Z10" s="149"/>
      <c r="AA10" s="149"/>
      <c r="AB10" s="150">
        <v>1</v>
      </c>
      <c r="AD10" s="51">
        <f t="shared" si="9"/>
        <v>1</v>
      </c>
      <c r="AF10" s="51"/>
      <c r="AH10" s="35">
        <f ca="1">COUNTIF(M3:M12,AJ10)</f>
        <v>0</v>
      </c>
      <c r="AI10" s="40" t="str">
        <f>$Q$51</f>
        <v>Maxine</v>
      </c>
      <c r="AJ10" s="37" t="e">
        <f ca="1">Maxine(M3:M12)</f>
        <v>#NAME?</v>
      </c>
      <c r="AK10" s="33" t="s">
        <v>57</v>
      </c>
      <c r="AL10" s="37" t="e">
        <f ca="1">Maxine(M15:M18)</f>
        <v>#NAME?</v>
      </c>
      <c r="AM10" s="38" t="str">
        <f>$Q$86</f>
        <v>Baris</v>
      </c>
      <c r="AN10" s="35">
        <f ca="1">COUNTIF(M15:M18,AL10)</f>
        <v>0</v>
      </c>
    </row>
    <row r="11" spans="1:40" ht="14.6" customHeight="1" x14ac:dyDescent="0.4">
      <c r="A11" s="12" t="s">
        <v>438</v>
      </c>
      <c r="B11" s="13">
        <v>2</v>
      </c>
      <c r="C11" s="14" t="s">
        <v>730</v>
      </c>
      <c r="D11" s="15" t="s">
        <v>1164</v>
      </c>
      <c r="E11" s="4"/>
      <c r="F11" s="26"/>
      <c r="G11" s="27" t="s">
        <v>39</v>
      </c>
      <c r="H11" s="28">
        <f t="shared" si="0"/>
        <v>5</v>
      </c>
      <c r="I11" s="28">
        <f t="shared" si="1"/>
        <v>2</v>
      </c>
      <c r="J11" s="29">
        <f t="shared" si="2"/>
        <v>2.5</v>
      </c>
      <c r="K11" s="28">
        <f t="shared" si="3"/>
        <v>10</v>
      </c>
      <c r="L11" s="28">
        <f t="shared" si="4"/>
        <v>2</v>
      </c>
      <c r="M11" s="75">
        <f t="shared" si="5"/>
        <v>5</v>
      </c>
      <c r="N11" s="29">
        <f t="shared" si="6"/>
        <v>2</v>
      </c>
      <c r="O11" s="29">
        <f t="shared" si="7"/>
        <v>1</v>
      </c>
      <c r="P11" s="76">
        <f t="shared" si="8"/>
        <v>0.44444444444444442</v>
      </c>
      <c r="Q11" s="5"/>
      <c r="R11" s="119" t="s">
        <v>42</v>
      </c>
      <c r="S11" s="151">
        <v>16</v>
      </c>
      <c r="T11" s="152">
        <v>12</v>
      </c>
      <c r="U11" s="152">
        <v>12</v>
      </c>
      <c r="V11" s="152">
        <v>10</v>
      </c>
      <c r="W11" s="152">
        <v>6</v>
      </c>
      <c r="X11" s="152">
        <v>4</v>
      </c>
      <c r="Y11" s="152">
        <v>3</v>
      </c>
      <c r="Z11" s="152">
        <v>3</v>
      </c>
      <c r="AA11" s="152">
        <v>2</v>
      </c>
      <c r="AB11" s="153">
        <v>68</v>
      </c>
      <c r="AD11" s="51">
        <f t="shared" si="9"/>
        <v>9</v>
      </c>
      <c r="AF11" s="51"/>
      <c r="AH11" s="35">
        <f>COUNTIF(M3:M12,AJ11)-1</f>
        <v>2</v>
      </c>
      <c r="AI11" s="40" t="str">
        <f>$Q$60</f>
        <v>Tyler</v>
      </c>
      <c r="AJ11" s="37">
        <f>MIN(M3:M12)</f>
        <v>0</v>
      </c>
      <c r="AK11" s="33" t="s">
        <v>59</v>
      </c>
      <c r="AL11" s="37">
        <f>MIN(M15:M18)</f>
        <v>0.4642857142857143</v>
      </c>
      <c r="AM11" s="38" t="str">
        <f>$Q$83</f>
        <v>Tenors</v>
      </c>
      <c r="AN11" s="35">
        <f>COUNTIF(M15:M18,AL11)</f>
        <v>1</v>
      </c>
    </row>
    <row r="12" spans="1:40" ht="14.6" customHeight="1" x14ac:dyDescent="0.4">
      <c r="A12" s="12" t="s">
        <v>38</v>
      </c>
      <c r="B12" s="13">
        <v>1</v>
      </c>
      <c r="C12" s="14" t="s">
        <v>730</v>
      </c>
      <c r="D12" s="15" t="s">
        <v>1165</v>
      </c>
      <c r="E12" s="4"/>
      <c r="F12" s="26"/>
      <c r="G12" s="82" t="s">
        <v>730</v>
      </c>
      <c r="H12" s="28">
        <f t="shared" si="0"/>
        <v>2</v>
      </c>
      <c r="I12" s="28">
        <f t="shared" si="1"/>
        <v>10</v>
      </c>
      <c r="J12" s="29">
        <f t="shared" si="2"/>
        <v>0.2</v>
      </c>
      <c r="K12" s="28">
        <f t="shared" si="3"/>
        <v>3</v>
      </c>
      <c r="L12" s="28">
        <f t="shared" si="4"/>
        <v>12</v>
      </c>
      <c r="M12" s="75">
        <f t="shared" si="5"/>
        <v>0.25</v>
      </c>
      <c r="N12" s="29">
        <f t="shared" si="6"/>
        <v>1.5</v>
      </c>
      <c r="O12" s="29">
        <f t="shared" si="7"/>
        <v>1.2</v>
      </c>
      <c r="P12" s="76">
        <f t="shared" si="8"/>
        <v>0.22222222222222221</v>
      </c>
      <c r="Q12" s="5"/>
      <c r="AD12" s="51">
        <f t="shared" si="9"/>
        <v>-1</v>
      </c>
      <c r="AF12" s="51"/>
      <c r="AG12" s="53"/>
    </row>
    <row r="13" spans="1:40" ht="14.25" customHeight="1" x14ac:dyDescent="0.4">
      <c r="A13" s="12" t="s">
        <v>734</v>
      </c>
      <c r="B13" s="13">
        <v>1</v>
      </c>
      <c r="C13" s="14" t="s">
        <v>37</v>
      </c>
      <c r="D13" s="15" t="s">
        <v>1166</v>
      </c>
      <c r="E13" s="4"/>
      <c r="F13" s="26"/>
      <c r="G13" s="131" t="s">
        <v>72</v>
      </c>
      <c r="H13" s="132"/>
      <c r="I13" s="132"/>
      <c r="J13" s="132"/>
      <c r="K13" s="132"/>
      <c r="L13" s="132"/>
      <c r="M13" s="132"/>
      <c r="N13" s="132"/>
      <c r="O13" s="133"/>
      <c r="Q13" s="5"/>
      <c r="AD13" s="51">
        <f t="shared" si="9"/>
        <v>-1</v>
      </c>
      <c r="AF13" s="51"/>
      <c r="AG13" s="53"/>
    </row>
    <row r="14" spans="1:40" ht="14.25" customHeight="1" x14ac:dyDescent="0.4">
      <c r="A14" s="12" t="s">
        <v>37</v>
      </c>
      <c r="B14" s="13">
        <v>1</v>
      </c>
      <c r="C14" s="14" t="s">
        <v>734</v>
      </c>
      <c r="D14" s="15" t="s">
        <v>1167</v>
      </c>
      <c r="E14" s="4"/>
      <c r="F14" s="26"/>
      <c r="G14" s="41" t="s">
        <v>74</v>
      </c>
      <c r="H14" s="25" t="s">
        <v>15</v>
      </c>
      <c r="I14" s="25" t="s">
        <v>16</v>
      </c>
      <c r="J14" s="25" t="s">
        <v>17</v>
      </c>
      <c r="K14" s="25" t="s">
        <v>18</v>
      </c>
      <c r="L14" s="25" t="s">
        <v>19</v>
      </c>
      <c r="M14" s="25" t="s">
        <v>20</v>
      </c>
      <c r="N14" s="18" t="s">
        <v>21</v>
      </c>
      <c r="O14" s="25" t="s">
        <v>22</v>
      </c>
      <c r="Q14" s="5"/>
      <c r="AG14" s="53"/>
    </row>
    <row r="15" spans="1:40" ht="14.25" customHeight="1" x14ac:dyDescent="0.4">
      <c r="A15" s="12" t="s">
        <v>734</v>
      </c>
      <c r="B15" s="13">
        <v>2</v>
      </c>
      <c r="C15" s="14" t="s">
        <v>39</v>
      </c>
      <c r="D15" s="15" t="s">
        <v>1168</v>
      </c>
      <c r="E15" s="4"/>
      <c r="F15" s="26"/>
      <c r="G15" s="27" t="s">
        <v>76</v>
      </c>
      <c r="H15" s="54">
        <f>SUM(H3:H4)/COUNT(H3:H4)</f>
        <v>4.5</v>
      </c>
      <c r="I15" s="54">
        <f>SUM(I3:I4)/COUNT(I3:I4)</f>
        <v>9</v>
      </c>
      <c r="J15" s="55">
        <f>IF(I15,H15/I15,H15)</f>
        <v>0.5</v>
      </c>
      <c r="K15" s="54">
        <f>SUM(K3:K4)/COUNT(K3:K4)</f>
        <v>6.5</v>
      </c>
      <c r="L15" s="54">
        <f>SUM(L3:L4)/COUNT(L3:L4)</f>
        <v>14</v>
      </c>
      <c r="M15" s="55">
        <f>IF(L15,K15/L15,K15)</f>
        <v>0.4642857142857143</v>
      </c>
      <c r="N15" s="56">
        <f t="shared" ref="N15:O18" si="10">IF(H15,K15/H15,0)</f>
        <v>1.4444444444444444</v>
      </c>
      <c r="O15" s="57">
        <f t="shared" si="10"/>
        <v>1.5555555555555556</v>
      </c>
      <c r="Q15" s="5"/>
      <c r="AG15" s="83"/>
    </row>
    <row r="16" spans="1:40" ht="14.25" customHeight="1" x14ac:dyDescent="0.4">
      <c r="A16" s="12" t="s">
        <v>734</v>
      </c>
      <c r="B16" s="13">
        <v>2</v>
      </c>
      <c r="C16" s="14" t="s">
        <v>441</v>
      </c>
      <c r="D16" s="15" t="s">
        <v>1168</v>
      </c>
      <c r="E16" s="4"/>
      <c r="F16" s="26"/>
      <c r="G16" s="27" t="s">
        <v>77</v>
      </c>
      <c r="H16" s="54">
        <f>SUM(H5:H7)/COUNT(H5:H7)</f>
        <v>6</v>
      </c>
      <c r="I16" s="54">
        <f>SUM(I5:I7)/COUNT(I5:I7)</f>
        <v>3</v>
      </c>
      <c r="J16" s="55">
        <f>IF(I16,H16/I16,H16)</f>
        <v>2</v>
      </c>
      <c r="K16" s="54">
        <f>SUM(K5:K7)/COUNT(K5:K7)</f>
        <v>5.333333333333333</v>
      </c>
      <c r="L16" s="54">
        <f>SUM(L5:L7)/COUNT(L5:L7)</f>
        <v>4.333333333333333</v>
      </c>
      <c r="M16" s="55">
        <f>IF(L16,K16/L16,K16)</f>
        <v>1.2307692307692308</v>
      </c>
      <c r="N16" s="56">
        <f t="shared" si="10"/>
        <v>0.88888888888888884</v>
      </c>
      <c r="O16" s="57">
        <f t="shared" si="10"/>
        <v>1.4444444444444444</v>
      </c>
      <c r="Q16" s="46"/>
      <c r="AG16" s="53"/>
      <c r="AK16" s="31"/>
    </row>
    <row r="17" spans="1:44" ht="14.25" customHeight="1" x14ac:dyDescent="0.4">
      <c r="A17" s="12" t="s">
        <v>39</v>
      </c>
      <c r="B17" s="13">
        <v>2</v>
      </c>
      <c r="C17" s="14" t="s">
        <v>441</v>
      </c>
      <c r="D17" s="15" t="s">
        <v>1169</v>
      </c>
      <c r="E17" s="4"/>
      <c r="F17" s="26"/>
      <c r="G17" s="27" t="s">
        <v>79</v>
      </c>
      <c r="H17" s="54">
        <f>SUM(H8:H9)/COUNT(H8:H9)</f>
        <v>6</v>
      </c>
      <c r="I17" s="54">
        <f>SUM(I8:I9)/COUNT(I8:I9)</f>
        <v>3</v>
      </c>
      <c r="J17" s="55">
        <f>IF(I17,H17/I17,H17)</f>
        <v>2</v>
      </c>
      <c r="K17" s="54">
        <f>SUM(K8:K9)/COUNT(K8:K9)</f>
        <v>11.5</v>
      </c>
      <c r="L17" s="54">
        <f>SUM(L8:L9)/COUNT(L8:L9)</f>
        <v>5</v>
      </c>
      <c r="M17" s="55">
        <f>IF(L17,K17/L17,K17)</f>
        <v>2.2999999999999998</v>
      </c>
      <c r="N17" s="56">
        <f t="shared" si="10"/>
        <v>1.9166666666666667</v>
      </c>
      <c r="O17" s="57">
        <f t="shared" si="10"/>
        <v>1.6666666666666667</v>
      </c>
      <c r="R17" s="15"/>
      <c r="S17" s="58"/>
    </row>
    <row r="18" spans="1:44" ht="14.25" customHeight="1" x14ac:dyDescent="0.4">
      <c r="A18" s="12" t="s">
        <v>28</v>
      </c>
      <c r="B18" s="13">
        <v>1</v>
      </c>
      <c r="C18" s="14" t="s">
        <v>438</v>
      </c>
      <c r="D18" s="15" t="s">
        <v>1170</v>
      </c>
      <c r="E18" s="4"/>
      <c r="F18" s="26"/>
      <c r="G18" s="27" t="s">
        <v>86</v>
      </c>
      <c r="H18" s="54">
        <f>SUM(H10:H12)/COUNT(H10:H12)</f>
        <v>3</v>
      </c>
      <c r="I18" s="54">
        <f>SUM(I10:I12)/COUNT(I10:I12)</f>
        <v>5</v>
      </c>
      <c r="J18" s="55">
        <f>IF(I18,H18/I18,H18)</f>
        <v>0.6</v>
      </c>
      <c r="K18" s="54">
        <f>SUM(K10:K12)/COUNT(K10:K12)</f>
        <v>5.333333333333333</v>
      </c>
      <c r="L18" s="54">
        <f>SUM(L10:L12)/COUNT(L10:L12)</f>
        <v>5.666666666666667</v>
      </c>
      <c r="M18" s="55">
        <f>IF(L18,K18/L18,K18)</f>
        <v>0.94117647058823517</v>
      </c>
      <c r="N18" s="56">
        <f t="shared" si="10"/>
        <v>1.7777777777777777</v>
      </c>
      <c r="O18" s="57">
        <f t="shared" si="10"/>
        <v>1.1333333333333333</v>
      </c>
      <c r="S18" s="58"/>
      <c r="AF18" s="84" t="s">
        <v>123</v>
      </c>
      <c r="AG18" s="85" t="s">
        <v>15</v>
      </c>
      <c r="AH18" s="85" t="s">
        <v>16</v>
      </c>
      <c r="AI18" s="85" t="s">
        <v>17</v>
      </c>
      <c r="AJ18" s="85" t="s">
        <v>18</v>
      </c>
      <c r="AK18" s="85" t="s">
        <v>19</v>
      </c>
      <c r="AL18" s="85" t="s">
        <v>20</v>
      </c>
      <c r="AM18" s="85" t="s">
        <v>21</v>
      </c>
      <c r="AN18" s="85" t="s">
        <v>22</v>
      </c>
      <c r="AO18" s="85" t="s">
        <v>23</v>
      </c>
      <c r="AP18" s="85" t="s">
        <v>1171</v>
      </c>
    </row>
    <row r="19" spans="1:44" ht="14.25" customHeight="1" x14ac:dyDescent="0.4">
      <c r="A19" s="12" t="s">
        <v>438</v>
      </c>
      <c r="B19" s="13">
        <v>1</v>
      </c>
      <c r="C19" s="14" t="s">
        <v>28</v>
      </c>
      <c r="D19" s="15" t="s">
        <v>1172</v>
      </c>
      <c r="E19" s="4">
        <v>0</v>
      </c>
      <c r="F19" s="26"/>
      <c r="Q19" s="58"/>
      <c r="R19" s="59" t="s">
        <v>28</v>
      </c>
      <c r="S19" s="32" t="s">
        <v>81</v>
      </c>
      <c r="T19" s="60" t="s">
        <v>82</v>
      </c>
      <c r="U19" s="61" t="s">
        <v>83</v>
      </c>
      <c r="V19" s="62" t="s">
        <v>84</v>
      </c>
      <c r="AF19" s="86" t="s">
        <v>65</v>
      </c>
      <c r="AG19" s="43">
        <v>7.5</v>
      </c>
      <c r="AH19" s="44">
        <v>-6</v>
      </c>
      <c r="AI19" s="44">
        <v>25</v>
      </c>
      <c r="AJ19" s="44">
        <v>8.5</v>
      </c>
      <c r="AK19" s="44">
        <v>-6.5</v>
      </c>
      <c r="AL19" s="44">
        <v>25</v>
      </c>
      <c r="AM19" s="44">
        <v>20</v>
      </c>
      <c r="AN19" s="44">
        <v>-20</v>
      </c>
      <c r="AO19" s="25">
        <v>100</v>
      </c>
      <c r="AP19" s="44">
        <v>4</v>
      </c>
      <c r="AQ19" s="35" t="s">
        <v>66</v>
      </c>
      <c r="AR19" s="87" t="s">
        <v>472</v>
      </c>
    </row>
    <row r="20" spans="1:44" ht="14.25" customHeight="1" x14ac:dyDescent="0.4">
      <c r="A20" s="12" t="s">
        <v>734</v>
      </c>
      <c r="B20" s="13">
        <v>2</v>
      </c>
      <c r="C20" s="14" t="s">
        <v>33</v>
      </c>
      <c r="D20" s="15" t="s">
        <v>1173</v>
      </c>
      <c r="E20" s="4"/>
      <c r="F20" s="26"/>
      <c r="Q20" s="58"/>
      <c r="R20" s="36" t="s">
        <v>87</v>
      </c>
      <c r="S20" s="32">
        <f>COUNT(E:E)</f>
        <v>12</v>
      </c>
      <c r="T20" s="60">
        <f>COUNTIF(E:E,1)</f>
        <v>9</v>
      </c>
      <c r="U20" s="61">
        <f>S20-T20</f>
        <v>3</v>
      </c>
      <c r="V20" s="63">
        <f>T20/S20</f>
        <v>0.75</v>
      </c>
      <c r="AF20" s="86" t="s">
        <v>28</v>
      </c>
      <c r="AG20" s="29">
        <f t="shared" ref="AG20:AG29" si="11">H3*$AG$19</f>
        <v>60</v>
      </c>
      <c r="AH20" s="29">
        <f t="shared" ref="AH20:AH29" si="12">I3*$AH$19</f>
        <v>-72</v>
      </c>
      <c r="AI20" s="29">
        <f t="shared" ref="AI20:AI29" si="13">J3*$AI$19</f>
        <v>16.666666666666664</v>
      </c>
      <c r="AJ20" s="29">
        <f t="shared" ref="AJ20:AJ29" si="14">K3*$AJ$19</f>
        <v>102</v>
      </c>
      <c r="AK20" s="29">
        <f t="shared" ref="AK20:AK29" si="15">L3*$AK$19</f>
        <v>-104</v>
      </c>
      <c r="AL20" s="29">
        <f t="shared" ref="AL20:AL29" si="16">M3*$AL$19</f>
        <v>18.75</v>
      </c>
      <c r="AM20" s="29">
        <f t="shared" ref="AM20:AM29" si="17">N3*$AM$19</f>
        <v>30</v>
      </c>
      <c r="AN20" s="29">
        <f t="shared" ref="AN20:AN29" si="18">O3*$AN$19</f>
        <v>-26.666666666666664</v>
      </c>
      <c r="AO20" s="88">
        <f t="shared" ref="AO20:AO29" si="19">P3*100</f>
        <v>33.333333333333329</v>
      </c>
      <c r="AP20" s="29">
        <f t="shared" ref="AP20:AP29" si="20">SUM(H3:I3)*$AP$19</f>
        <v>80</v>
      </c>
      <c r="AQ20" s="67">
        <f t="shared" ref="AQ20:AQ29" si="21">SUM(AG20:AP20)</f>
        <v>138.08333333333331</v>
      </c>
      <c r="AR20" s="87"/>
    </row>
    <row r="21" spans="1:44" ht="14.25" customHeight="1" x14ac:dyDescent="0.4">
      <c r="A21" s="12" t="s">
        <v>38</v>
      </c>
      <c r="B21" s="13">
        <v>2</v>
      </c>
      <c r="C21" s="14" t="s">
        <v>730</v>
      </c>
      <c r="D21" s="15" t="s">
        <v>1174</v>
      </c>
      <c r="E21" s="4"/>
      <c r="F21" s="26"/>
      <c r="J21" s="53"/>
      <c r="K21" s="53"/>
      <c r="L21" s="53"/>
      <c r="M21" s="31"/>
      <c r="N21" s="31"/>
      <c r="O21" s="31"/>
      <c r="P21" s="31"/>
      <c r="Q21" s="5"/>
      <c r="AF21" s="86" t="s">
        <v>33</v>
      </c>
      <c r="AG21" s="29">
        <f t="shared" si="11"/>
        <v>7.5</v>
      </c>
      <c r="AH21" s="29">
        <f t="shared" si="12"/>
        <v>-36</v>
      </c>
      <c r="AI21" s="29">
        <f t="shared" si="13"/>
        <v>4.1666666666666661</v>
      </c>
      <c r="AJ21" s="29">
        <f t="shared" si="14"/>
        <v>8.5</v>
      </c>
      <c r="AK21" s="29">
        <f t="shared" si="15"/>
        <v>-78</v>
      </c>
      <c r="AL21" s="29">
        <f t="shared" si="16"/>
        <v>2.083333333333333</v>
      </c>
      <c r="AM21" s="29">
        <f t="shared" si="17"/>
        <v>20</v>
      </c>
      <c r="AN21" s="29">
        <f t="shared" si="18"/>
        <v>-40</v>
      </c>
      <c r="AO21" s="88">
        <f t="shared" si="19"/>
        <v>11.111111111111111</v>
      </c>
      <c r="AP21" s="29">
        <f t="shared" si="20"/>
        <v>28</v>
      </c>
      <c r="AQ21" s="67">
        <f t="shared" si="21"/>
        <v>-72.6388888888889</v>
      </c>
      <c r="AR21" s="87"/>
    </row>
    <row r="22" spans="1:44" ht="14.25" customHeight="1" x14ac:dyDescent="0.4">
      <c r="A22" s="12" t="s">
        <v>38</v>
      </c>
      <c r="B22" s="13">
        <v>2</v>
      </c>
      <c r="C22" s="14" t="s">
        <v>39</v>
      </c>
      <c r="D22" s="15" t="s">
        <v>1175</v>
      </c>
      <c r="E22" s="4"/>
      <c r="F22" s="15"/>
      <c r="G22" s="86" t="s">
        <v>14</v>
      </c>
      <c r="H22" s="33" t="s">
        <v>15</v>
      </c>
      <c r="J22" s="53"/>
      <c r="K22" s="53"/>
      <c r="L22" s="53"/>
      <c r="M22" s="31"/>
      <c r="N22" s="31"/>
      <c r="O22" s="31"/>
      <c r="Q22" s="86" t="s">
        <v>14</v>
      </c>
      <c r="R22" s="33" t="s">
        <v>18</v>
      </c>
      <c r="AF22" s="86" t="s">
        <v>41</v>
      </c>
      <c r="AG22" s="29">
        <f t="shared" si="11"/>
        <v>0</v>
      </c>
      <c r="AH22" s="29">
        <f t="shared" si="12"/>
        <v>-12</v>
      </c>
      <c r="AI22" s="29">
        <f t="shared" si="13"/>
        <v>0</v>
      </c>
      <c r="AJ22" s="29">
        <f t="shared" si="14"/>
        <v>0</v>
      </c>
      <c r="AK22" s="29">
        <f t="shared" si="15"/>
        <v>-19.5</v>
      </c>
      <c r="AL22" s="29">
        <f t="shared" si="16"/>
        <v>0</v>
      </c>
      <c r="AM22" s="29">
        <f t="shared" si="17"/>
        <v>0</v>
      </c>
      <c r="AN22" s="29">
        <f t="shared" si="18"/>
        <v>-30</v>
      </c>
      <c r="AO22" s="88">
        <f t="shared" si="19"/>
        <v>0</v>
      </c>
      <c r="AP22" s="29">
        <f t="shared" si="20"/>
        <v>8</v>
      </c>
      <c r="AQ22" s="67">
        <f t="shared" si="21"/>
        <v>-53.5</v>
      </c>
      <c r="AR22" s="87"/>
    </row>
    <row r="23" spans="1:44" ht="14.25" customHeight="1" x14ac:dyDescent="0.4">
      <c r="A23" s="12" t="s">
        <v>38</v>
      </c>
      <c r="B23" s="13">
        <v>2</v>
      </c>
      <c r="C23" s="14" t="s">
        <v>37</v>
      </c>
      <c r="D23" s="15" t="s">
        <v>1176</v>
      </c>
      <c r="E23" s="4"/>
      <c r="F23" s="26"/>
      <c r="G23" s="86" t="s">
        <v>438</v>
      </c>
      <c r="H23" s="89">
        <f>$H$7</f>
        <v>13</v>
      </c>
      <c r="J23" s="53"/>
      <c r="K23" s="53"/>
      <c r="L23" s="53"/>
      <c r="M23" s="31"/>
      <c r="N23" s="31"/>
      <c r="O23" s="31"/>
      <c r="Q23" s="86" t="s">
        <v>734</v>
      </c>
      <c r="R23" s="60">
        <f>$K$9</f>
        <v>23</v>
      </c>
      <c r="AF23" s="86" t="s">
        <v>38</v>
      </c>
      <c r="AG23" s="29">
        <f t="shared" si="11"/>
        <v>37.5</v>
      </c>
      <c r="AH23" s="29">
        <f t="shared" si="12"/>
        <v>0</v>
      </c>
      <c r="AI23" s="29">
        <f t="shared" si="13"/>
        <v>125</v>
      </c>
      <c r="AJ23" s="29">
        <f t="shared" si="14"/>
        <v>0</v>
      </c>
      <c r="AK23" s="29">
        <f t="shared" si="15"/>
        <v>0</v>
      </c>
      <c r="AL23" s="29">
        <f t="shared" si="16"/>
        <v>0</v>
      </c>
      <c r="AM23" s="29">
        <f t="shared" si="17"/>
        <v>0</v>
      </c>
      <c r="AN23" s="29">
        <f t="shared" si="18"/>
        <v>0</v>
      </c>
      <c r="AO23" s="88">
        <f t="shared" si="19"/>
        <v>0</v>
      </c>
      <c r="AP23" s="29">
        <f t="shared" si="20"/>
        <v>20</v>
      </c>
      <c r="AQ23" s="67">
        <f t="shared" si="21"/>
        <v>182.5</v>
      </c>
      <c r="AR23" s="87"/>
    </row>
    <row r="24" spans="1:44" ht="14.25" customHeight="1" x14ac:dyDescent="0.4">
      <c r="A24" s="12" t="s">
        <v>28</v>
      </c>
      <c r="B24" s="13">
        <v>2</v>
      </c>
      <c r="C24" s="14" t="s">
        <v>438</v>
      </c>
      <c r="D24" s="15" t="s">
        <v>1177</v>
      </c>
      <c r="E24" s="4"/>
      <c r="F24" s="15"/>
      <c r="G24" s="86" t="s">
        <v>734</v>
      </c>
      <c r="H24" s="89">
        <f>$H$9</f>
        <v>12</v>
      </c>
      <c r="J24" s="53"/>
      <c r="K24" s="53"/>
      <c r="L24" s="53"/>
      <c r="M24" s="31"/>
      <c r="N24" s="31"/>
      <c r="O24" s="31"/>
      <c r="Q24" s="86" t="s">
        <v>438</v>
      </c>
      <c r="R24" s="60">
        <f>$K$7</f>
        <v>16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F24" s="86" t="s">
        <v>438</v>
      </c>
      <c r="AG24" s="29">
        <f t="shared" si="11"/>
        <v>97.5</v>
      </c>
      <c r="AH24" s="29">
        <f t="shared" si="12"/>
        <v>-42</v>
      </c>
      <c r="AI24" s="29">
        <f t="shared" si="13"/>
        <v>46.428571428571431</v>
      </c>
      <c r="AJ24" s="29">
        <f t="shared" si="14"/>
        <v>136</v>
      </c>
      <c r="AK24" s="29">
        <f t="shared" si="15"/>
        <v>-65</v>
      </c>
      <c r="AL24" s="29">
        <f t="shared" si="16"/>
        <v>40</v>
      </c>
      <c r="AM24" s="29">
        <f t="shared" si="17"/>
        <v>24.615384615384617</v>
      </c>
      <c r="AN24" s="29">
        <f t="shared" si="18"/>
        <v>-28.571428571428573</v>
      </c>
      <c r="AO24" s="88">
        <f t="shared" si="19"/>
        <v>44.444444444444443</v>
      </c>
      <c r="AP24" s="29">
        <f t="shared" si="20"/>
        <v>80</v>
      </c>
      <c r="AQ24" s="67">
        <f t="shared" si="21"/>
        <v>333.41697191697193</v>
      </c>
      <c r="AR24" s="87"/>
    </row>
    <row r="25" spans="1:44" ht="14.25" customHeight="1" x14ac:dyDescent="0.4">
      <c r="A25" s="12" t="s">
        <v>734</v>
      </c>
      <c r="B25" s="13">
        <v>2</v>
      </c>
      <c r="C25" s="14" t="s">
        <v>730</v>
      </c>
      <c r="D25" s="15" t="s">
        <v>1178</v>
      </c>
      <c r="E25" s="4"/>
      <c r="F25" s="26"/>
      <c r="G25" s="86" t="s">
        <v>28</v>
      </c>
      <c r="H25" s="89">
        <f>$H$3</f>
        <v>8</v>
      </c>
      <c r="J25" s="53"/>
      <c r="K25" s="53"/>
      <c r="L25" s="53"/>
      <c r="M25" s="31"/>
      <c r="N25" s="31"/>
      <c r="O25" s="31"/>
      <c r="Q25" s="86" t="s">
        <v>28</v>
      </c>
      <c r="R25" s="60">
        <f>$K$3</f>
        <v>12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F25" s="86" t="s">
        <v>441</v>
      </c>
      <c r="AG25" s="29">
        <f t="shared" si="11"/>
        <v>0</v>
      </c>
      <c r="AH25" s="29">
        <f t="shared" si="12"/>
        <v>-12</v>
      </c>
      <c r="AI25" s="29">
        <f t="shared" si="13"/>
        <v>0</v>
      </c>
      <c r="AJ25" s="29">
        <f t="shared" si="14"/>
        <v>0</v>
      </c>
      <c r="AK25" s="29">
        <f t="shared" si="15"/>
        <v>-26</v>
      </c>
      <c r="AL25" s="29">
        <f t="shared" si="16"/>
        <v>0</v>
      </c>
      <c r="AM25" s="29">
        <f t="shared" si="17"/>
        <v>0</v>
      </c>
      <c r="AN25" s="29">
        <f t="shared" si="18"/>
        <v>-40</v>
      </c>
      <c r="AO25" s="88">
        <f t="shared" si="19"/>
        <v>0</v>
      </c>
      <c r="AP25" s="29">
        <f t="shared" si="20"/>
        <v>8</v>
      </c>
      <c r="AQ25" s="67">
        <f t="shared" si="21"/>
        <v>-70</v>
      </c>
      <c r="AR25" s="87"/>
    </row>
    <row r="26" spans="1:44" ht="14.25" customHeight="1" x14ac:dyDescent="0.4">
      <c r="A26" s="12" t="s">
        <v>734</v>
      </c>
      <c r="B26" s="13">
        <v>2</v>
      </c>
      <c r="C26" s="14" t="s">
        <v>730</v>
      </c>
      <c r="D26" s="15" t="s">
        <v>1179</v>
      </c>
      <c r="E26" s="4"/>
      <c r="F26" s="26"/>
      <c r="G26" s="86" t="s">
        <v>38</v>
      </c>
      <c r="H26" s="89">
        <f>$H$6</f>
        <v>5</v>
      </c>
      <c r="J26" s="53"/>
      <c r="K26" s="53"/>
      <c r="L26" s="53"/>
      <c r="M26" s="31"/>
      <c r="N26" s="31"/>
      <c r="O26" s="31"/>
      <c r="Q26" s="86" t="s">
        <v>39</v>
      </c>
      <c r="R26" s="60">
        <f>$K$11</f>
        <v>10</v>
      </c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F26" s="86" t="s">
        <v>734</v>
      </c>
      <c r="AG26" s="29">
        <f t="shared" si="11"/>
        <v>90</v>
      </c>
      <c r="AH26" s="29">
        <f t="shared" si="12"/>
        <v>-24</v>
      </c>
      <c r="AI26" s="29">
        <f t="shared" si="13"/>
        <v>75</v>
      </c>
      <c r="AJ26" s="29">
        <f t="shared" si="14"/>
        <v>195.5</v>
      </c>
      <c r="AK26" s="29">
        <f t="shared" si="15"/>
        <v>-39</v>
      </c>
      <c r="AL26" s="29">
        <f t="shared" si="16"/>
        <v>95.833333333333343</v>
      </c>
      <c r="AM26" s="29">
        <f t="shared" si="17"/>
        <v>38.333333333333336</v>
      </c>
      <c r="AN26" s="29">
        <f t="shared" si="18"/>
        <v>-30</v>
      </c>
      <c r="AO26" s="88">
        <f t="shared" si="19"/>
        <v>66.666666666666657</v>
      </c>
      <c r="AP26" s="29">
        <f t="shared" si="20"/>
        <v>64</v>
      </c>
      <c r="AQ26" s="67">
        <f t="shared" si="21"/>
        <v>532.33333333333337</v>
      </c>
      <c r="AR26" s="87"/>
    </row>
    <row r="27" spans="1:44" ht="14.25" customHeight="1" x14ac:dyDescent="0.4">
      <c r="A27" s="12" t="s">
        <v>39</v>
      </c>
      <c r="B27" s="13">
        <v>2</v>
      </c>
      <c r="C27" s="14" t="s">
        <v>28</v>
      </c>
      <c r="D27" s="15" t="s">
        <v>1180</v>
      </c>
      <c r="E27" s="4">
        <v>1</v>
      </c>
      <c r="F27" s="15"/>
      <c r="G27" s="86" t="s">
        <v>39</v>
      </c>
      <c r="H27" s="89">
        <f>$H$11</f>
        <v>5</v>
      </c>
      <c r="J27" s="53"/>
      <c r="K27" s="53"/>
      <c r="L27" s="53"/>
      <c r="M27" s="31"/>
      <c r="N27" s="31"/>
      <c r="O27" s="31"/>
      <c r="Q27" s="86" t="s">
        <v>38</v>
      </c>
      <c r="R27" s="60">
        <f>$K$6</f>
        <v>0</v>
      </c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F27" s="86" t="s">
        <v>37</v>
      </c>
      <c r="AG27" s="29">
        <f t="shared" si="11"/>
        <v>15</v>
      </c>
      <c r="AH27" s="29">
        <f t="shared" si="12"/>
        <v>-18</v>
      </c>
      <c r="AI27" s="29">
        <f t="shared" si="13"/>
        <v>16.666666666666664</v>
      </c>
      <c r="AJ27" s="29">
        <f t="shared" si="14"/>
        <v>25.5</v>
      </c>
      <c r="AK27" s="29">
        <f t="shared" si="15"/>
        <v>-19.5</v>
      </c>
      <c r="AL27" s="29">
        <f t="shared" si="16"/>
        <v>25</v>
      </c>
      <c r="AM27" s="29">
        <f t="shared" si="17"/>
        <v>30</v>
      </c>
      <c r="AN27" s="29">
        <f t="shared" si="18"/>
        <v>-20</v>
      </c>
      <c r="AO27" s="88">
        <f t="shared" si="19"/>
        <v>22.222222222222221</v>
      </c>
      <c r="AP27" s="29">
        <f t="shared" si="20"/>
        <v>20</v>
      </c>
      <c r="AQ27" s="67">
        <f t="shared" si="21"/>
        <v>96.888888888888886</v>
      </c>
      <c r="AR27" s="87"/>
    </row>
    <row r="28" spans="1:44" ht="14.25" customHeight="1" x14ac:dyDescent="0.4">
      <c r="A28" s="12" t="s">
        <v>37</v>
      </c>
      <c r="B28" s="13">
        <v>2</v>
      </c>
      <c r="C28" s="14" t="s">
        <v>41</v>
      </c>
      <c r="D28" s="15" t="s">
        <v>1181</v>
      </c>
      <c r="E28" s="4"/>
      <c r="F28" s="26"/>
      <c r="G28" s="86" t="s">
        <v>37</v>
      </c>
      <c r="H28" s="89">
        <f>$H$10</f>
        <v>2</v>
      </c>
      <c r="J28" s="53"/>
      <c r="K28" s="53"/>
      <c r="L28" s="53"/>
      <c r="M28" s="31"/>
      <c r="N28" s="31"/>
      <c r="O28" s="31"/>
      <c r="Q28" s="86" t="s">
        <v>37</v>
      </c>
      <c r="R28" s="60">
        <f>$K$10</f>
        <v>3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F28" s="86" t="s">
        <v>39</v>
      </c>
      <c r="AG28" s="29">
        <f t="shared" si="11"/>
        <v>37.5</v>
      </c>
      <c r="AH28" s="29">
        <f t="shared" si="12"/>
        <v>-12</v>
      </c>
      <c r="AI28" s="29">
        <f t="shared" si="13"/>
        <v>62.5</v>
      </c>
      <c r="AJ28" s="29">
        <f t="shared" si="14"/>
        <v>85</v>
      </c>
      <c r="AK28" s="29">
        <f t="shared" si="15"/>
        <v>-13</v>
      </c>
      <c r="AL28" s="29">
        <f t="shared" si="16"/>
        <v>125</v>
      </c>
      <c r="AM28" s="29">
        <f t="shared" si="17"/>
        <v>40</v>
      </c>
      <c r="AN28" s="29">
        <f t="shared" si="18"/>
        <v>-20</v>
      </c>
      <c r="AO28" s="88">
        <f t="shared" si="19"/>
        <v>44.444444444444443</v>
      </c>
      <c r="AP28" s="29">
        <f t="shared" si="20"/>
        <v>28</v>
      </c>
      <c r="AQ28" s="67">
        <f t="shared" si="21"/>
        <v>377.44444444444446</v>
      </c>
      <c r="AR28" s="87"/>
    </row>
    <row r="29" spans="1:44" ht="14.25" customHeight="1" x14ac:dyDescent="0.4">
      <c r="A29" s="12" t="s">
        <v>39</v>
      </c>
      <c r="B29" s="13">
        <v>2</v>
      </c>
      <c r="C29" s="14" t="s">
        <v>734</v>
      </c>
      <c r="D29" s="15" t="s">
        <v>1182</v>
      </c>
      <c r="E29" s="4"/>
      <c r="F29" s="15"/>
      <c r="G29" s="86" t="s">
        <v>730</v>
      </c>
      <c r="H29" s="89">
        <f>$H$12</f>
        <v>2</v>
      </c>
      <c r="J29" s="53"/>
      <c r="K29" s="53"/>
      <c r="L29" s="53"/>
      <c r="M29" s="31"/>
      <c r="N29" s="31"/>
      <c r="O29" s="31"/>
      <c r="Q29" s="86" t="s">
        <v>730</v>
      </c>
      <c r="R29" s="60">
        <f>$K$12</f>
        <v>3</v>
      </c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F29" s="86" t="s">
        <v>730</v>
      </c>
      <c r="AG29" s="29">
        <f t="shared" si="11"/>
        <v>15</v>
      </c>
      <c r="AH29" s="29">
        <f t="shared" si="12"/>
        <v>-60</v>
      </c>
      <c r="AI29" s="29">
        <f t="shared" si="13"/>
        <v>5</v>
      </c>
      <c r="AJ29" s="29">
        <f t="shared" si="14"/>
        <v>25.5</v>
      </c>
      <c r="AK29" s="29">
        <f t="shared" si="15"/>
        <v>-78</v>
      </c>
      <c r="AL29" s="29">
        <f t="shared" si="16"/>
        <v>6.25</v>
      </c>
      <c r="AM29" s="29">
        <f t="shared" si="17"/>
        <v>30</v>
      </c>
      <c r="AN29" s="29">
        <f t="shared" si="18"/>
        <v>-24</v>
      </c>
      <c r="AO29" s="88">
        <f t="shared" si="19"/>
        <v>22.222222222222221</v>
      </c>
      <c r="AP29" s="29">
        <f t="shared" si="20"/>
        <v>48</v>
      </c>
      <c r="AQ29" s="67">
        <f t="shared" si="21"/>
        <v>-10.027777777777779</v>
      </c>
      <c r="AR29" s="87"/>
    </row>
    <row r="30" spans="1:44" ht="14.25" customHeight="1" x14ac:dyDescent="0.4">
      <c r="A30" s="12" t="s">
        <v>734</v>
      </c>
      <c r="B30" s="13">
        <v>2</v>
      </c>
      <c r="C30" s="14" t="s">
        <v>33</v>
      </c>
      <c r="D30" s="15" t="s">
        <v>1183</v>
      </c>
      <c r="E30" s="4"/>
      <c r="F30" s="26"/>
      <c r="G30" s="86" t="s">
        <v>33</v>
      </c>
      <c r="H30" s="89">
        <f>$H$4</f>
        <v>1</v>
      </c>
      <c r="J30" s="53"/>
      <c r="K30" s="53"/>
      <c r="L30" s="53"/>
      <c r="M30" s="31"/>
      <c r="N30" s="31"/>
      <c r="O30" s="31"/>
      <c r="Q30" s="86" t="s">
        <v>33</v>
      </c>
      <c r="R30" s="60">
        <f>$K$4</f>
        <v>1</v>
      </c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</row>
    <row r="31" spans="1:44" ht="14.25" customHeight="1" x14ac:dyDescent="0.4">
      <c r="A31" s="12" t="s">
        <v>28</v>
      </c>
      <c r="B31" s="13">
        <v>1</v>
      </c>
      <c r="C31" s="14" t="s">
        <v>438</v>
      </c>
      <c r="D31" s="15" t="s">
        <v>1184</v>
      </c>
      <c r="E31" s="4"/>
      <c r="F31" s="26"/>
      <c r="G31" s="86" t="s">
        <v>41</v>
      </c>
      <c r="H31" s="89">
        <f>$H$5</f>
        <v>0</v>
      </c>
      <c r="J31" s="53"/>
      <c r="K31" s="53"/>
      <c r="L31" s="53"/>
      <c r="M31" s="31"/>
      <c r="N31" s="31"/>
      <c r="O31" s="31"/>
      <c r="Q31" s="86" t="s">
        <v>441</v>
      </c>
      <c r="R31" s="60">
        <f>$K$8</f>
        <v>0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</row>
    <row r="32" spans="1:44" ht="14.25" customHeight="1" x14ac:dyDescent="0.4">
      <c r="A32" s="12" t="s">
        <v>438</v>
      </c>
      <c r="B32" s="13">
        <v>1</v>
      </c>
      <c r="C32" s="14" t="s">
        <v>28</v>
      </c>
      <c r="D32" s="15" t="s">
        <v>1185</v>
      </c>
      <c r="E32" s="4">
        <v>1</v>
      </c>
      <c r="F32" s="26"/>
      <c r="G32" s="86" t="s">
        <v>441</v>
      </c>
      <c r="H32" s="89">
        <f>$H$8</f>
        <v>0</v>
      </c>
      <c r="J32" s="53"/>
      <c r="K32" s="53"/>
      <c r="L32" s="53"/>
      <c r="M32" s="31"/>
      <c r="N32" s="31"/>
      <c r="O32" s="31"/>
      <c r="Q32" s="86" t="s">
        <v>41</v>
      </c>
      <c r="R32" s="60">
        <f>$K$5</f>
        <v>0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F32" s="53"/>
      <c r="AG32" s="53"/>
      <c r="AH32" s="53"/>
    </row>
    <row r="33" spans="1:35" ht="14.25" customHeight="1" x14ac:dyDescent="0.4">
      <c r="A33" s="12" t="s">
        <v>438</v>
      </c>
      <c r="B33" s="13">
        <v>1</v>
      </c>
      <c r="C33" s="14" t="s">
        <v>730</v>
      </c>
      <c r="D33" s="15" t="s">
        <v>1186</v>
      </c>
      <c r="E33" s="4"/>
      <c r="F33" s="26"/>
      <c r="J33" s="53"/>
      <c r="K33" s="53"/>
      <c r="L33" s="53"/>
      <c r="M33" s="31"/>
      <c r="N33" s="31"/>
      <c r="O33" s="31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F33" s="65" t="s">
        <v>7</v>
      </c>
      <c r="AG33" s="66" t="s">
        <v>98</v>
      </c>
      <c r="AH33" s="66" t="s">
        <v>99</v>
      </c>
      <c r="AI33" s="53"/>
    </row>
    <row r="34" spans="1:35" ht="14.25" customHeight="1" x14ac:dyDescent="0.4">
      <c r="A34" s="12" t="s">
        <v>38</v>
      </c>
      <c r="B34" s="13">
        <v>2</v>
      </c>
      <c r="C34" s="14" t="s">
        <v>730</v>
      </c>
      <c r="D34" s="15" t="s">
        <v>1187</v>
      </c>
      <c r="E34" s="4"/>
      <c r="F34" s="26"/>
      <c r="J34" s="53"/>
      <c r="K34" s="53"/>
      <c r="L34" s="53"/>
      <c r="M34" s="31"/>
      <c r="N34" s="31"/>
      <c r="O34" s="31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F34" s="86" t="s">
        <v>38</v>
      </c>
      <c r="AG34" s="67">
        <f>$AQ$23</f>
        <v>182.5</v>
      </c>
      <c r="AH34" s="67">
        <f t="shared" ref="AH34:AH43" si="22">AG34-($AG$43)</f>
        <v>255.13888888888891</v>
      </c>
      <c r="AI34" s="52">
        <v>1</v>
      </c>
    </row>
    <row r="35" spans="1:35" ht="14.25" customHeight="1" x14ac:dyDescent="0.4">
      <c r="A35" s="12" t="s">
        <v>438</v>
      </c>
      <c r="B35" s="13">
        <v>1</v>
      </c>
      <c r="C35" s="14" t="s">
        <v>28</v>
      </c>
      <c r="D35" s="15" t="s">
        <v>1188</v>
      </c>
      <c r="E35" s="4">
        <v>1</v>
      </c>
      <c r="F35" s="15"/>
      <c r="J35" s="53"/>
      <c r="K35" s="53"/>
      <c r="L35" s="53"/>
      <c r="M35" s="31"/>
      <c r="N35" s="31"/>
      <c r="O35" s="31"/>
      <c r="P35" s="31"/>
      <c r="Q35" s="5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F35" s="86" t="s">
        <v>734</v>
      </c>
      <c r="AG35" s="67">
        <f>$AQ$26</f>
        <v>532.33333333333337</v>
      </c>
      <c r="AH35" s="67">
        <f t="shared" si="22"/>
        <v>604.97222222222229</v>
      </c>
      <c r="AI35" s="52">
        <v>2</v>
      </c>
    </row>
    <row r="36" spans="1:35" ht="14.25" customHeight="1" x14ac:dyDescent="0.4">
      <c r="A36" s="12" t="s">
        <v>39</v>
      </c>
      <c r="B36" s="13">
        <v>2</v>
      </c>
      <c r="C36" s="14" t="s">
        <v>33</v>
      </c>
      <c r="D36" s="15" t="s">
        <v>1189</v>
      </c>
      <c r="E36" s="4"/>
      <c r="F36" s="26"/>
      <c r="G36" s="86" t="s">
        <v>14</v>
      </c>
      <c r="H36" s="33" t="s">
        <v>16</v>
      </c>
      <c r="J36" s="53"/>
      <c r="K36" s="53"/>
      <c r="L36" s="53"/>
      <c r="M36" s="31"/>
      <c r="N36" s="31"/>
      <c r="O36" s="31"/>
      <c r="Q36" s="86" t="s">
        <v>14</v>
      </c>
      <c r="R36" s="33" t="s">
        <v>19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F36" s="86" t="s">
        <v>438</v>
      </c>
      <c r="AG36" s="67">
        <f>$AQ$24</f>
        <v>333.41697191697193</v>
      </c>
      <c r="AH36" s="67">
        <f t="shared" si="22"/>
        <v>406.05586080586085</v>
      </c>
      <c r="AI36" s="52">
        <v>3</v>
      </c>
    </row>
    <row r="37" spans="1:35" ht="14.25" customHeight="1" x14ac:dyDescent="0.4">
      <c r="A37" s="12" t="s">
        <v>734</v>
      </c>
      <c r="B37" s="13">
        <v>2</v>
      </c>
      <c r="C37" s="14" t="s">
        <v>33</v>
      </c>
      <c r="D37" s="15" t="s">
        <v>1190</v>
      </c>
      <c r="E37" s="4"/>
      <c r="F37" s="15"/>
      <c r="G37" s="86" t="s">
        <v>28</v>
      </c>
      <c r="H37" s="61">
        <f>$I$3</f>
        <v>12</v>
      </c>
      <c r="J37" s="53"/>
      <c r="K37" s="53"/>
      <c r="L37" s="53"/>
      <c r="M37" s="31"/>
      <c r="N37" s="31"/>
      <c r="O37" s="31"/>
      <c r="Q37" s="86" t="s">
        <v>730</v>
      </c>
      <c r="R37" s="61">
        <f>$L$12</f>
        <v>12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F37" s="86" t="s">
        <v>39</v>
      </c>
      <c r="AG37" s="67">
        <f>$AQ$28</f>
        <v>377.44444444444446</v>
      </c>
      <c r="AH37" s="67">
        <f t="shared" si="22"/>
        <v>450.08333333333337</v>
      </c>
      <c r="AI37" s="52">
        <v>4</v>
      </c>
    </row>
    <row r="38" spans="1:35" ht="14.25" customHeight="1" x14ac:dyDescent="0.4">
      <c r="A38" s="12" t="s">
        <v>28</v>
      </c>
      <c r="B38" s="13">
        <v>2</v>
      </c>
      <c r="C38" s="14" t="s">
        <v>734</v>
      </c>
      <c r="D38" s="15" t="s">
        <v>1191</v>
      </c>
      <c r="E38" s="4"/>
      <c r="F38" s="26"/>
      <c r="G38" s="86" t="s">
        <v>730</v>
      </c>
      <c r="H38" s="61">
        <f>$I$12</f>
        <v>10</v>
      </c>
      <c r="J38" s="53"/>
      <c r="K38" s="53"/>
      <c r="L38" s="53"/>
      <c r="M38" s="31"/>
      <c r="N38" s="31"/>
      <c r="O38" s="31"/>
      <c r="Q38" s="86" t="s">
        <v>28</v>
      </c>
      <c r="R38" s="61">
        <f>$L$3</f>
        <v>16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F38" s="86" t="s">
        <v>28</v>
      </c>
      <c r="AG38" s="67">
        <f>$AQ$20</f>
        <v>138.08333333333331</v>
      </c>
      <c r="AH38" s="67">
        <f t="shared" si="22"/>
        <v>210.72222222222223</v>
      </c>
      <c r="AI38" s="52">
        <v>5</v>
      </c>
    </row>
    <row r="39" spans="1:35" ht="14.25" customHeight="1" x14ac:dyDescent="0.4">
      <c r="A39" s="12" t="s">
        <v>730</v>
      </c>
      <c r="B39" s="13">
        <v>2</v>
      </c>
      <c r="C39" s="14" t="s">
        <v>438</v>
      </c>
      <c r="D39" s="15" t="s">
        <v>1192</v>
      </c>
      <c r="E39" s="4"/>
      <c r="F39" s="26"/>
      <c r="G39" s="86" t="s">
        <v>438</v>
      </c>
      <c r="H39" s="61">
        <f>$I$7</f>
        <v>7</v>
      </c>
      <c r="J39" s="53"/>
      <c r="K39" s="53"/>
      <c r="L39" s="53"/>
      <c r="M39" s="31"/>
      <c r="N39" s="31"/>
      <c r="O39" s="31"/>
      <c r="Q39" s="86" t="s">
        <v>33</v>
      </c>
      <c r="R39" s="61">
        <f>$L$4</f>
        <v>12</v>
      </c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F39" s="86" t="s">
        <v>37</v>
      </c>
      <c r="AG39" s="67">
        <f>$AQ$27</f>
        <v>96.888888888888886</v>
      </c>
      <c r="AH39" s="67">
        <f t="shared" si="22"/>
        <v>169.52777777777777</v>
      </c>
      <c r="AI39" s="52">
        <v>6</v>
      </c>
    </row>
    <row r="40" spans="1:35" ht="14.25" customHeight="1" x14ac:dyDescent="0.4">
      <c r="A40" s="12" t="s">
        <v>438</v>
      </c>
      <c r="B40" s="13">
        <v>1</v>
      </c>
      <c r="C40" s="14" t="s">
        <v>730</v>
      </c>
      <c r="D40" s="15" t="s">
        <v>1193</v>
      </c>
      <c r="E40" s="4"/>
      <c r="F40" s="26"/>
      <c r="G40" s="86" t="s">
        <v>33</v>
      </c>
      <c r="H40" s="61">
        <f>$I$4</f>
        <v>6</v>
      </c>
      <c r="J40" s="53"/>
      <c r="K40" s="53"/>
      <c r="L40" s="53"/>
      <c r="M40" s="31"/>
      <c r="N40" s="31"/>
      <c r="O40" s="31"/>
      <c r="Q40" s="86" t="s">
        <v>438</v>
      </c>
      <c r="R40" s="61">
        <f>$L$7</f>
        <v>10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F40" s="86" t="s">
        <v>41</v>
      </c>
      <c r="AG40" s="67">
        <f>$AQ$22</f>
        <v>-53.5</v>
      </c>
      <c r="AH40" s="67">
        <f t="shared" si="22"/>
        <v>19.1388888888889</v>
      </c>
      <c r="AI40" s="52">
        <v>7</v>
      </c>
    </row>
    <row r="41" spans="1:35" ht="14.25" customHeight="1" x14ac:dyDescent="0.4">
      <c r="A41" s="12" t="s">
        <v>438</v>
      </c>
      <c r="B41" s="13">
        <v>2</v>
      </c>
      <c r="C41" s="14" t="s">
        <v>28</v>
      </c>
      <c r="D41" s="15" t="s">
        <v>1194</v>
      </c>
      <c r="E41" s="4">
        <v>1</v>
      </c>
      <c r="F41" s="15"/>
      <c r="G41" s="86" t="s">
        <v>734</v>
      </c>
      <c r="H41" s="61">
        <f>$I$9</f>
        <v>4</v>
      </c>
      <c r="J41" s="53"/>
      <c r="K41" s="53"/>
      <c r="L41" s="53"/>
      <c r="M41" s="31"/>
      <c r="N41" s="31"/>
      <c r="O41" s="31"/>
      <c r="Q41" s="86" t="s">
        <v>734</v>
      </c>
      <c r="R41" s="61">
        <f>$L$9</f>
        <v>6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F41" s="86" t="s">
        <v>730</v>
      </c>
      <c r="AG41" s="67">
        <f>$AQ$29</f>
        <v>-10.027777777777779</v>
      </c>
      <c r="AH41" s="67">
        <f t="shared" si="22"/>
        <v>62.611111111111121</v>
      </c>
      <c r="AI41" s="52">
        <v>8</v>
      </c>
    </row>
    <row r="42" spans="1:35" ht="14.25" customHeight="1" x14ac:dyDescent="0.4">
      <c r="A42" s="12" t="s">
        <v>39</v>
      </c>
      <c r="B42" s="13">
        <v>2</v>
      </c>
      <c r="C42" s="14" t="s">
        <v>28</v>
      </c>
      <c r="D42" s="15" t="s">
        <v>1195</v>
      </c>
      <c r="E42" s="4">
        <v>1</v>
      </c>
      <c r="F42" s="26"/>
      <c r="G42" s="86" t="s">
        <v>37</v>
      </c>
      <c r="H42" s="61">
        <f>$I$10</f>
        <v>3</v>
      </c>
      <c r="J42" s="53"/>
      <c r="K42" s="53"/>
      <c r="L42" s="53"/>
      <c r="M42" s="31"/>
      <c r="N42" s="31"/>
      <c r="O42" s="31"/>
      <c r="Q42" s="86" t="s">
        <v>37</v>
      </c>
      <c r="R42" s="61">
        <f>$L$10</f>
        <v>3</v>
      </c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F42" s="86" t="s">
        <v>441</v>
      </c>
      <c r="AG42" s="67">
        <f>$AQ$25</f>
        <v>-70</v>
      </c>
      <c r="AH42" s="67">
        <f t="shared" si="22"/>
        <v>2.6388888888888999</v>
      </c>
      <c r="AI42" s="52">
        <v>9</v>
      </c>
    </row>
    <row r="43" spans="1:35" ht="14.25" customHeight="1" x14ac:dyDescent="0.4">
      <c r="A43" s="12" t="s">
        <v>438</v>
      </c>
      <c r="B43" s="13">
        <v>1</v>
      </c>
      <c r="C43" s="14" t="s">
        <v>28</v>
      </c>
      <c r="D43" s="15" t="s">
        <v>1196</v>
      </c>
      <c r="E43" s="4">
        <v>1</v>
      </c>
      <c r="F43" s="26"/>
      <c r="G43" s="86" t="s">
        <v>441</v>
      </c>
      <c r="H43" s="61">
        <f>$I$8</f>
        <v>2</v>
      </c>
      <c r="J43" s="53"/>
      <c r="K43" s="53"/>
      <c r="L43" s="53"/>
      <c r="M43" s="31"/>
      <c r="N43" s="31"/>
      <c r="O43" s="31"/>
      <c r="Q43" s="86" t="s">
        <v>441</v>
      </c>
      <c r="R43" s="61">
        <f>$L$8</f>
        <v>4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F43" s="86" t="s">
        <v>33</v>
      </c>
      <c r="AG43" s="67">
        <f>$AQ$21</f>
        <v>-72.6388888888889</v>
      </c>
      <c r="AH43" s="67">
        <f t="shared" si="22"/>
        <v>0</v>
      </c>
      <c r="AI43" s="52">
        <v>10</v>
      </c>
    </row>
    <row r="44" spans="1:35" ht="14.25" customHeight="1" x14ac:dyDescent="0.4">
      <c r="A44" s="12" t="s">
        <v>28</v>
      </c>
      <c r="B44" s="13">
        <v>1</v>
      </c>
      <c r="C44" s="14" t="s">
        <v>438</v>
      </c>
      <c r="D44" s="15" t="s">
        <v>1197</v>
      </c>
      <c r="E44" s="4"/>
      <c r="F44" s="26"/>
      <c r="G44" s="86" t="s">
        <v>39</v>
      </c>
      <c r="H44" s="61">
        <f>$I$11</f>
        <v>2</v>
      </c>
      <c r="J44" s="53"/>
      <c r="K44" s="53"/>
      <c r="L44" s="53"/>
      <c r="M44" s="31"/>
      <c r="N44" s="31"/>
      <c r="O44" s="31"/>
      <c r="Q44" s="86" t="s">
        <v>39</v>
      </c>
      <c r="R44" s="61">
        <f>$L$11</f>
        <v>2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</row>
    <row r="45" spans="1:35" ht="14.25" customHeight="1" x14ac:dyDescent="0.4">
      <c r="A45" s="12" t="s">
        <v>28</v>
      </c>
      <c r="B45" s="13">
        <v>2</v>
      </c>
      <c r="C45" s="14" t="s">
        <v>730</v>
      </c>
      <c r="D45" s="15" t="s">
        <v>1198</v>
      </c>
      <c r="E45" s="52"/>
      <c r="F45" s="15"/>
      <c r="G45" s="86" t="s">
        <v>41</v>
      </c>
      <c r="H45" s="61">
        <f>$I$5</f>
        <v>2</v>
      </c>
      <c r="J45" s="53"/>
      <c r="K45" s="53"/>
      <c r="L45" s="53"/>
      <c r="M45" s="31"/>
      <c r="N45" s="31"/>
      <c r="O45" s="31"/>
      <c r="Q45" s="86" t="s">
        <v>41</v>
      </c>
      <c r="R45" s="61">
        <f>$L$5</f>
        <v>3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</row>
    <row r="46" spans="1:35" ht="14.25" customHeight="1" x14ac:dyDescent="0.4">
      <c r="A46" s="12" t="s">
        <v>730</v>
      </c>
      <c r="B46" s="13">
        <v>1</v>
      </c>
      <c r="C46" s="14" t="s">
        <v>28</v>
      </c>
      <c r="D46" s="15" t="s">
        <v>1199</v>
      </c>
      <c r="E46" s="52">
        <v>0</v>
      </c>
      <c r="F46" s="26"/>
      <c r="G46" s="86" t="s">
        <v>38</v>
      </c>
      <c r="H46" s="61">
        <f>$I$6</f>
        <v>0</v>
      </c>
      <c r="J46" s="53"/>
      <c r="K46" s="53"/>
      <c r="L46" s="53"/>
      <c r="M46" s="31"/>
      <c r="N46" s="31"/>
      <c r="O46" s="31"/>
      <c r="Q46" s="86" t="s">
        <v>38</v>
      </c>
      <c r="R46" s="61">
        <f>$L$6</f>
        <v>0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F46" s="53"/>
      <c r="AG46" s="53"/>
      <c r="AH46" s="53"/>
    </row>
    <row r="47" spans="1:35" ht="14.25" customHeight="1" x14ac:dyDescent="0.4">
      <c r="A47" s="12" t="s">
        <v>438</v>
      </c>
      <c r="B47" s="13">
        <v>1</v>
      </c>
      <c r="C47" s="14" t="s">
        <v>28</v>
      </c>
      <c r="D47" s="15" t="s">
        <v>1200</v>
      </c>
      <c r="E47" s="52">
        <v>0</v>
      </c>
      <c r="F47" s="26"/>
      <c r="J47" s="53"/>
      <c r="K47" s="53"/>
      <c r="L47" s="53"/>
      <c r="M47" s="31"/>
      <c r="N47" s="31"/>
      <c r="O47" s="31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F47" s="53"/>
      <c r="AG47" s="53"/>
      <c r="AH47" s="53"/>
    </row>
    <row r="48" spans="1:35" ht="14.25" customHeight="1" x14ac:dyDescent="0.4">
      <c r="A48" s="12" t="s">
        <v>28</v>
      </c>
      <c r="B48" s="13">
        <v>1</v>
      </c>
      <c r="C48" s="14" t="s">
        <v>438</v>
      </c>
      <c r="D48" s="15" t="s">
        <v>1201</v>
      </c>
      <c r="E48" s="52"/>
      <c r="F48" s="26"/>
      <c r="J48" s="53"/>
      <c r="K48" s="53"/>
      <c r="L48" s="53"/>
      <c r="M48" s="31"/>
      <c r="N48" s="31"/>
      <c r="O48" s="31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F48" s="53"/>
      <c r="AG48" s="53"/>
      <c r="AH48" s="53"/>
    </row>
    <row r="49" spans="1:42" ht="14.25" customHeight="1" x14ac:dyDescent="0.4">
      <c r="A49" s="12" t="s">
        <v>734</v>
      </c>
      <c r="B49" s="13">
        <v>2</v>
      </c>
      <c r="C49" s="14" t="s">
        <v>730</v>
      </c>
      <c r="D49" s="15" t="s">
        <v>1202</v>
      </c>
      <c r="E49" s="52"/>
      <c r="F49" s="26"/>
      <c r="J49" s="53"/>
      <c r="K49" s="53"/>
      <c r="L49" s="53"/>
      <c r="M49" s="31"/>
      <c r="N49" s="31"/>
      <c r="O49" s="31"/>
      <c r="P49" s="31"/>
      <c r="Q49" s="5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F49" s="53"/>
      <c r="AG49" s="53"/>
      <c r="AH49" s="53"/>
    </row>
    <row r="50" spans="1:42" ht="14.25" customHeight="1" x14ac:dyDescent="0.4">
      <c r="D50" s="15"/>
      <c r="E50" s="52"/>
      <c r="F50" s="26"/>
      <c r="G50" s="86" t="s">
        <v>14</v>
      </c>
      <c r="H50" s="33" t="s">
        <v>17</v>
      </c>
      <c r="J50" s="53"/>
      <c r="K50" s="53"/>
      <c r="L50" s="53"/>
      <c r="M50" s="31"/>
      <c r="N50" s="31"/>
      <c r="O50" s="31"/>
      <c r="Q50" s="86" t="s">
        <v>14</v>
      </c>
      <c r="R50" s="33" t="s">
        <v>20</v>
      </c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F50" s="53"/>
      <c r="AG50" s="53"/>
      <c r="AH50" s="53"/>
    </row>
    <row r="51" spans="1:42" ht="14.25" customHeight="1" x14ac:dyDescent="0.4">
      <c r="D51" s="15"/>
      <c r="E51" s="52"/>
      <c r="F51" s="26"/>
      <c r="G51" s="86" t="s">
        <v>38</v>
      </c>
      <c r="H51" s="90">
        <f>$J$6</f>
        <v>5</v>
      </c>
      <c r="J51" s="53"/>
      <c r="K51" s="53"/>
      <c r="L51" s="53"/>
      <c r="M51" s="31"/>
      <c r="N51" s="31"/>
      <c r="O51" s="31"/>
      <c r="Q51" s="86" t="s">
        <v>38</v>
      </c>
      <c r="R51" s="90">
        <f>$M$6</f>
        <v>0</v>
      </c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F51" s="53"/>
      <c r="AG51" s="53"/>
      <c r="AH51" s="53"/>
    </row>
    <row r="52" spans="1:42" ht="14.25" customHeight="1" x14ac:dyDescent="0.4">
      <c r="F52" s="26"/>
      <c r="G52" s="86" t="s">
        <v>734</v>
      </c>
      <c r="H52" s="90">
        <f>$J$9</f>
        <v>3</v>
      </c>
      <c r="J52" s="53"/>
      <c r="K52" s="53"/>
      <c r="L52" s="53"/>
      <c r="M52" s="31"/>
      <c r="N52" s="31"/>
      <c r="O52" s="31"/>
      <c r="Q52" s="86" t="s">
        <v>734</v>
      </c>
      <c r="R52" s="90">
        <f>$M$9</f>
        <v>3.8333333333333335</v>
      </c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F52" s="35" t="s">
        <v>123</v>
      </c>
      <c r="AG52" s="85" t="s">
        <v>15</v>
      </c>
      <c r="AH52" s="85" t="s">
        <v>16</v>
      </c>
      <c r="AI52" s="85" t="s">
        <v>17</v>
      </c>
      <c r="AJ52" s="85" t="s">
        <v>18</v>
      </c>
      <c r="AK52" s="85" t="s">
        <v>19</v>
      </c>
      <c r="AL52" s="85" t="s">
        <v>20</v>
      </c>
      <c r="AM52" s="85" t="s">
        <v>21</v>
      </c>
      <c r="AN52" s="85" t="s">
        <v>22</v>
      </c>
      <c r="AO52" s="85" t="s">
        <v>1171</v>
      </c>
    </row>
    <row r="53" spans="1:42" ht="14.25" customHeight="1" x14ac:dyDescent="0.4">
      <c r="F53" s="26"/>
      <c r="G53" s="86" t="s">
        <v>39</v>
      </c>
      <c r="H53" s="90">
        <f>$J$11</f>
        <v>2.5</v>
      </c>
      <c r="J53" s="53"/>
      <c r="K53" s="53"/>
      <c r="L53" s="53"/>
      <c r="M53" s="31"/>
      <c r="N53" s="31"/>
      <c r="O53" s="31"/>
      <c r="Q53" s="86" t="s">
        <v>39</v>
      </c>
      <c r="R53" s="90">
        <f>$M$11</f>
        <v>5</v>
      </c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F53" s="27" t="s">
        <v>65</v>
      </c>
      <c r="AG53" s="44">
        <f>(20+18+16+4+5+6)/9</f>
        <v>7.666666666666667</v>
      </c>
      <c r="AH53" s="44">
        <f>-(9+5+6+7+8+9+10)/9</f>
        <v>-6</v>
      </c>
      <c r="AI53" s="44">
        <f>4*(3+15+6+14+9+10)/9</f>
        <v>25.333333333333332</v>
      </c>
      <c r="AJ53" s="44">
        <f>(30+9+24+7+1)/9</f>
        <v>7.8888888888888893</v>
      </c>
      <c r="AK53" s="44">
        <f>-(3+15+14+8+18)/9</f>
        <v>-6.4444444444444446</v>
      </c>
      <c r="AL53" s="44">
        <f>4*(10+18+8+12+6)/9</f>
        <v>24</v>
      </c>
      <c r="AM53" s="44">
        <f>5*(35+14)/9</f>
        <v>27.222222222222221</v>
      </c>
      <c r="AN53" s="44">
        <f>-5*(1+4+3+4+10+7+9)/9</f>
        <v>-21.111111111111111</v>
      </c>
      <c r="AO53" s="44">
        <v>4</v>
      </c>
      <c r="AP53" s="35" t="s">
        <v>1203</v>
      </c>
    </row>
    <row r="54" spans="1:42" ht="14.25" customHeight="1" x14ac:dyDescent="0.4">
      <c r="F54" s="26"/>
      <c r="G54" s="86" t="s">
        <v>438</v>
      </c>
      <c r="H54" s="90">
        <f>$J$7</f>
        <v>1.8571428571428572</v>
      </c>
      <c r="J54" s="53"/>
      <c r="K54" s="53"/>
      <c r="L54" s="53"/>
      <c r="M54" s="31"/>
      <c r="N54" s="31"/>
      <c r="O54" s="31"/>
      <c r="Q54" s="86" t="s">
        <v>438</v>
      </c>
      <c r="R54" s="90">
        <f>$M$7</f>
        <v>1.6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F54" s="41" t="s">
        <v>76</v>
      </c>
      <c r="AG54" s="29">
        <f>$AG$53*H15</f>
        <v>34.5</v>
      </c>
      <c r="AH54" s="29">
        <f>$AH$53*I15</f>
        <v>-54</v>
      </c>
      <c r="AI54" s="29">
        <f>$AI$53*J15</f>
        <v>12.666666666666666</v>
      </c>
      <c r="AJ54" s="29">
        <f>$AJ$53*K15</f>
        <v>51.277777777777779</v>
      </c>
      <c r="AK54" s="29">
        <f>$AK$53*L15</f>
        <v>-90.222222222222229</v>
      </c>
      <c r="AL54" s="29">
        <f>$AL$53*M15</f>
        <v>11.142857142857142</v>
      </c>
      <c r="AM54" s="29">
        <f>$AM$53*N15</f>
        <v>39.320987654320987</v>
      </c>
      <c r="AN54" s="29">
        <f>$AN$53*O15</f>
        <v>-32.839506172839506</v>
      </c>
      <c r="AO54" s="29">
        <f>SUM(H15:I15)*$AO$53</f>
        <v>54</v>
      </c>
      <c r="AP54" s="29">
        <f>SUM(AG54:AO54)</f>
        <v>25.846560846560834</v>
      </c>
    </row>
    <row r="55" spans="1:42" ht="14.25" customHeight="1" x14ac:dyDescent="0.4">
      <c r="F55" s="26"/>
      <c r="G55" s="86" t="s">
        <v>37</v>
      </c>
      <c r="H55" s="90">
        <f>$J$10</f>
        <v>0.66666666666666663</v>
      </c>
      <c r="J55" s="53"/>
      <c r="K55" s="53"/>
      <c r="L55" s="53"/>
      <c r="M55" s="31"/>
      <c r="N55" s="31"/>
      <c r="O55" s="31"/>
      <c r="Q55" s="86" t="s">
        <v>28</v>
      </c>
      <c r="R55" s="90">
        <f>$M$3</f>
        <v>0.75</v>
      </c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F55" s="27" t="s">
        <v>77</v>
      </c>
      <c r="AG55" s="29">
        <f>$AG$53*H16</f>
        <v>46</v>
      </c>
      <c r="AH55" s="29">
        <f>$AH$53*I16</f>
        <v>-18</v>
      </c>
      <c r="AI55" s="29">
        <f>$AI$53*J16</f>
        <v>50.666666666666664</v>
      </c>
      <c r="AJ55" s="29">
        <f>$AJ$53*K16</f>
        <v>42.074074074074076</v>
      </c>
      <c r="AK55" s="29">
        <f>$AK$53*L16</f>
        <v>-27.925925925925924</v>
      </c>
      <c r="AL55" s="29">
        <f>$AL$53*M16</f>
        <v>29.53846153846154</v>
      </c>
      <c r="AM55" s="29">
        <f>$AM$53*N16</f>
        <v>24.197530864197528</v>
      </c>
      <c r="AN55" s="29">
        <f>$AN$53*O16</f>
        <v>-30.493827160493826</v>
      </c>
      <c r="AO55" s="29">
        <f>SUM(H16:I16)*$AO$53</f>
        <v>36</v>
      </c>
      <c r="AP55" s="29">
        <f>SUM(AG55:AO55)</f>
        <v>152.05698005698005</v>
      </c>
    </row>
    <row r="56" spans="1:42" ht="14.25" customHeight="1" x14ac:dyDescent="0.4">
      <c r="F56" s="26"/>
      <c r="G56" s="86" t="s">
        <v>28</v>
      </c>
      <c r="H56" s="90">
        <f>$J$3</f>
        <v>0.66666666666666663</v>
      </c>
      <c r="J56" s="53"/>
      <c r="K56" s="53"/>
      <c r="L56" s="53"/>
      <c r="M56" s="31"/>
      <c r="N56" s="31"/>
      <c r="O56" s="31"/>
      <c r="Q56" s="86" t="s">
        <v>37</v>
      </c>
      <c r="R56" s="90">
        <f>$M$10</f>
        <v>1</v>
      </c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F56" s="27" t="s">
        <v>79</v>
      </c>
      <c r="AG56" s="29">
        <f>$AG$53*H17</f>
        <v>46</v>
      </c>
      <c r="AH56" s="29">
        <f>$AH$53*I17</f>
        <v>-18</v>
      </c>
      <c r="AI56" s="29">
        <f>$AI$53*J17</f>
        <v>50.666666666666664</v>
      </c>
      <c r="AJ56" s="29">
        <f>$AJ$53*K17</f>
        <v>90.722222222222229</v>
      </c>
      <c r="AK56" s="29">
        <f>$AK$53*L17</f>
        <v>-32.222222222222221</v>
      </c>
      <c r="AL56" s="29">
        <f>$AL$53*M17</f>
        <v>55.199999999999996</v>
      </c>
      <c r="AM56" s="29">
        <f>$AM$53*N17</f>
        <v>52.175925925925924</v>
      </c>
      <c r="AN56" s="29">
        <f>$AN$53*O17</f>
        <v>-35.185185185185183</v>
      </c>
      <c r="AO56" s="29">
        <f>SUM(H17:I17)*$AO$53</f>
        <v>36</v>
      </c>
      <c r="AP56" s="29">
        <f>SUM(AG56:AO56)</f>
        <v>245.35740740740738</v>
      </c>
    </row>
    <row r="57" spans="1:42" ht="14.25" customHeight="1" x14ac:dyDescent="0.4">
      <c r="F57" s="26"/>
      <c r="G57" s="86" t="s">
        <v>730</v>
      </c>
      <c r="H57" s="90">
        <f>$J$12</f>
        <v>0.2</v>
      </c>
      <c r="J57" s="53"/>
      <c r="K57" s="53"/>
      <c r="L57" s="53"/>
      <c r="M57" s="31"/>
      <c r="N57" s="31"/>
      <c r="O57" s="31"/>
      <c r="Q57" s="86" t="s">
        <v>730</v>
      </c>
      <c r="R57" s="90">
        <f>$M$12</f>
        <v>0.25</v>
      </c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F57" s="27" t="s">
        <v>86</v>
      </c>
      <c r="AG57" s="29">
        <f>$AG$53*H18</f>
        <v>23</v>
      </c>
      <c r="AH57" s="29">
        <f>$AH$53*I18</f>
        <v>-30</v>
      </c>
      <c r="AI57" s="29">
        <f>$AI$53*J18</f>
        <v>15.2</v>
      </c>
      <c r="AJ57" s="29">
        <f>$AJ$53*K18</f>
        <v>42.074074074074076</v>
      </c>
      <c r="AK57" s="29">
        <f>$AK$53*L18</f>
        <v>-36.518518518518519</v>
      </c>
      <c r="AL57" s="29">
        <f>$AL$53*M18</f>
        <v>22.588235294117645</v>
      </c>
      <c r="AM57" s="29">
        <f>$AM$53*N18</f>
        <v>48.395061728395056</v>
      </c>
      <c r="AN57" s="29">
        <f>$AN$53*O18</f>
        <v>-23.925925925925924</v>
      </c>
      <c r="AO57" s="29">
        <f>SUM(H18:I18)*$AO$53</f>
        <v>32</v>
      </c>
      <c r="AP57" s="29">
        <f>SUM(AG57:AO57)</f>
        <v>92.812926652142338</v>
      </c>
    </row>
    <row r="58" spans="1:42" ht="14.25" customHeight="1" x14ac:dyDescent="0.4">
      <c r="F58" s="26"/>
      <c r="G58" s="86" t="s">
        <v>33</v>
      </c>
      <c r="H58" s="90">
        <f>$J$4</f>
        <v>0.16666666666666666</v>
      </c>
      <c r="J58" s="53"/>
      <c r="K58" s="53"/>
      <c r="L58" s="53"/>
      <c r="M58" s="31"/>
      <c r="N58" s="31"/>
      <c r="O58" s="31"/>
      <c r="Q58" s="86" t="s">
        <v>33</v>
      </c>
      <c r="R58" s="90">
        <f>$M$4</f>
        <v>8.3333333333333329E-2</v>
      </c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</row>
    <row r="59" spans="1:42" ht="14.25" customHeight="1" x14ac:dyDescent="0.4">
      <c r="F59" s="26"/>
      <c r="G59" s="86" t="s">
        <v>41</v>
      </c>
      <c r="H59" s="90">
        <f>$J$5</f>
        <v>0</v>
      </c>
      <c r="J59" s="53"/>
      <c r="K59" s="53"/>
      <c r="L59" s="53"/>
      <c r="M59" s="31"/>
      <c r="N59" s="31"/>
      <c r="O59" s="31"/>
      <c r="Q59" s="86" t="s">
        <v>41</v>
      </c>
      <c r="R59" s="90">
        <f>$M$5</f>
        <v>0</v>
      </c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F59" s="65" t="s">
        <v>10</v>
      </c>
      <c r="AG59" s="66" t="s">
        <v>98</v>
      </c>
      <c r="AH59" s="66" t="s">
        <v>99</v>
      </c>
    </row>
    <row r="60" spans="1:42" ht="14.25" customHeight="1" x14ac:dyDescent="0.4">
      <c r="F60" s="26"/>
      <c r="G60" s="86" t="s">
        <v>441</v>
      </c>
      <c r="H60" s="90">
        <f>$J$8</f>
        <v>0</v>
      </c>
      <c r="J60" s="53"/>
      <c r="K60" s="53"/>
      <c r="L60" s="53"/>
      <c r="M60" s="31"/>
      <c r="N60" s="31"/>
      <c r="O60" s="31"/>
      <c r="Q60" s="86" t="s">
        <v>441</v>
      </c>
      <c r="R60" s="90">
        <f>$M$8</f>
        <v>0</v>
      </c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F60" s="41" t="s">
        <v>79</v>
      </c>
      <c r="AG60" s="67">
        <f>$AP$56</f>
        <v>245.35740740740738</v>
      </c>
      <c r="AH60" s="67">
        <f>AG60-($AG$63)</f>
        <v>219.51084656084655</v>
      </c>
    </row>
    <row r="61" spans="1:42" ht="14.25" customHeight="1" x14ac:dyDescent="0.4">
      <c r="F61" s="15"/>
      <c r="J61" s="53"/>
      <c r="K61" s="53"/>
      <c r="L61" s="53"/>
      <c r="M61" s="31"/>
      <c r="N61" s="31"/>
      <c r="O61" s="31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F61" s="27" t="s">
        <v>77</v>
      </c>
      <c r="AG61" s="67">
        <f>$AP$55</f>
        <v>152.05698005698005</v>
      </c>
      <c r="AH61" s="67">
        <f>AG61-($AG$63)</f>
        <v>126.21041921041922</v>
      </c>
    </row>
    <row r="62" spans="1:42" ht="14.25" customHeight="1" x14ac:dyDescent="0.4">
      <c r="F62" s="26"/>
      <c r="J62" s="53"/>
      <c r="K62" s="53"/>
      <c r="L62" s="53"/>
      <c r="M62" s="31"/>
      <c r="N62" s="31"/>
      <c r="O62" s="31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F62" s="27" t="s">
        <v>86</v>
      </c>
      <c r="AG62" s="67">
        <f>$AP$57</f>
        <v>92.812926652142338</v>
      </c>
      <c r="AH62" s="67">
        <f>AG62-($AG$63)</f>
        <v>66.966365805581503</v>
      </c>
    </row>
    <row r="63" spans="1:42" ht="14.25" customHeight="1" x14ac:dyDescent="0.4">
      <c r="F63" s="26"/>
      <c r="J63" s="53"/>
      <c r="K63" s="53"/>
      <c r="L63" s="53"/>
      <c r="M63" s="31"/>
      <c r="N63" s="31"/>
      <c r="O63" s="31"/>
      <c r="P63" s="31"/>
      <c r="Q63" s="5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F63" s="27" t="s">
        <v>76</v>
      </c>
      <c r="AG63" s="67">
        <f>$AP$54</f>
        <v>25.846560846560834</v>
      </c>
      <c r="AH63" s="67">
        <f>AG63-($AG$63)</f>
        <v>0</v>
      </c>
    </row>
    <row r="64" spans="1:42" ht="14.25" customHeight="1" x14ac:dyDescent="0.4">
      <c r="F64" s="26"/>
      <c r="G64" s="86" t="s">
        <v>74</v>
      </c>
      <c r="H64" s="33" t="s">
        <v>15</v>
      </c>
      <c r="J64" s="53"/>
      <c r="K64" s="53"/>
      <c r="L64" s="53"/>
      <c r="M64" s="31"/>
      <c r="N64" s="31"/>
      <c r="O64" s="31"/>
      <c r="Q64" s="86" t="s">
        <v>74</v>
      </c>
      <c r="R64" s="33" t="s">
        <v>18</v>
      </c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</row>
    <row r="65" spans="6:34" ht="14.25" customHeight="1" x14ac:dyDescent="0.4">
      <c r="F65" s="26"/>
      <c r="G65" s="86" t="s">
        <v>86</v>
      </c>
      <c r="H65" s="56">
        <f>$H$18</f>
        <v>3</v>
      </c>
      <c r="J65" s="53"/>
      <c r="K65" s="53"/>
      <c r="L65" s="53"/>
      <c r="M65" s="31"/>
      <c r="N65" s="31"/>
      <c r="O65" s="31"/>
      <c r="Q65" s="86" t="s">
        <v>86</v>
      </c>
      <c r="R65" s="91">
        <f>$K$18</f>
        <v>5.333333333333333</v>
      </c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</row>
    <row r="66" spans="6:34" ht="14.25" customHeight="1" x14ac:dyDescent="0.4">
      <c r="F66" s="26"/>
      <c r="G66" s="86" t="s">
        <v>76</v>
      </c>
      <c r="H66" s="56">
        <f>$H$15</f>
        <v>4.5</v>
      </c>
      <c r="J66" s="53"/>
      <c r="K66" s="53"/>
      <c r="L66" s="53"/>
      <c r="M66" s="31"/>
      <c r="N66" s="31"/>
      <c r="O66" s="31"/>
      <c r="Q66" s="86" t="s">
        <v>76</v>
      </c>
      <c r="R66" s="91">
        <f>$K$15</f>
        <v>6.5</v>
      </c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</row>
    <row r="67" spans="6:34" ht="14.25" customHeight="1" x14ac:dyDescent="0.4">
      <c r="F67" s="26"/>
      <c r="G67" s="86" t="s">
        <v>79</v>
      </c>
      <c r="H67" s="56">
        <f>$H$17</f>
        <v>6</v>
      </c>
      <c r="J67" s="53"/>
      <c r="K67" s="53"/>
      <c r="L67" s="53"/>
      <c r="M67" s="31"/>
      <c r="N67" s="31"/>
      <c r="O67" s="31"/>
      <c r="Q67" s="86" t="s">
        <v>77</v>
      </c>
      <c r="R67" s="91">
        <f>$K$16</f>
        <v>5.333333333333333</v>
      </c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</row>
    <row r="68" spans="6:34" ht="14.25" customHeight="1" x14ac:dyDescent="0.4">
      <c r="F68" s="26"/>
      <c r="G68" s="86" t="s">
        <v>77</v>
      </c>
      <c r="H68" s="56">
        <f>$H$16</f>
        <v>6</v>
      </c>
      <c r="J68" s="53"/>
      <c r="K68" s="53"/>
      <c r="L68" s="53"/>
      <c r="M68" s="31"/>
      <c r="N68" s="31"/>
      <c r="O68" s="31"/>
      <c r="Q68" s="86" t="s">
        <v>79</v>
      </c>
      <c r="R68" s="91">
        <f>$K$17</f>
        <v>11.5</v>
      </c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F68" s="53"/>
      <c r="AG68" s="53"/>
      <c r="AH68" s="53"/>
    </row>
    <row r="69" spans="6:34" ht="14.25" customHeight="1" x14ac:dyDescent="0.4">
      <c r="F69" s="26"/>
      <c r="J69" s="53"/>
      <c r="K69" s="53"/>
      <c r="L69" s="53"/>
      <c r="M69" s="31"/>
      <c r="N69" s="31"/>
      <c r="O69" s="31"/>
      <c r="P69" s="31"/>
      <c r="Q69" s="5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F69" s="53"/>
      <c r="AG69" s="53"/>
      <c r="AH69" s="53"/>
    </row>
    <row r="70" spans="6:34" ht="14.25" customHeight="1" x14ac:dyDescent="0.4">
      <c r="F70" s="26"/>
      <c r="J70" s="53"/>
      <c r="K70" s="53"/>
      <c r="L70" s="53"/>
      <c r="M70" s="31"/>
      <c r="N70" s="31"/>
      <c r="O70" s="31"/>
      <c r="P70" s="31"/>
      <c r="Q70" s="5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F70" s="53"/>
      <c r="AG70" s="53"/>
      <c r="AH70" s="53"/>
    </row>
    <row r="71" spans="6:34" ht="14.25" customHeight="1" x14ac:dyDescent="0.4">
      <c r="F71" s="15"/>
      <c r="J71" s="53"/>
      <c r="K71" s="53"/>
      <c r="L71" s="53"/>
      <c r="M71" s="31"/>
      <c r="N71" s="31"/>
      <c r="O71" s="31"/>
      <c r="P71" s="31"/>
      <c r="Q71" s="5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F71" s="53"/>
      <c r="AG71" s="53"/>
      <c r="AH71" s="53"/>
    </row>
    <row r="72" spans="6:34" ht="14.25" customHeight="1" x14ac:dyDescent="0.4">
      <c r="F72" s="26"/>
      <c r="J72" s="53"/>
      <c r="K72" s="53"/>
      <c r="L72" s="53"/>
      <c r="M72" s="31"/>
      <c r="N72" s="31"/>
      <c r="O72" s="31"/>
      <c r="P72" s="31"/>
      <c r="Q72" s="5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G72" s="53"/>
      <c r="AH72" s="53"/>
    </row>
    <row r="73" spans="6:34" ht="14.25" customHeight="1" x14ac:dyDescent="0.4">
      <c r="F73" s="26"/>
      <c r="G73" s="86" t="s">
        <v>74</v>
      </c>
      <c r="H73" s="33" t="s">
        <v>16</v>
      </c>
      <c r="J73" s="53"/>
      <c r="K73" s="53"/>
      <c r="L73" s="53"/>
      <c r="M73" s="31"/>
      <c r="N73" s="31"/>
      <c r="O73" s="31"/>
      <c r="Q73" s="86" t="s">
        <v>74</v>
      </c>
      <c r="R73" s="33" t="s">
        <v>19</v>
      </c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F73" s="53"/>
      <c r="AG73" s="53"/>
      <c r="AH73" s="53"/>
    </row>
    <row r="74" spans="6:34" ht="14.25" customHeight="1" x14ac:dyDescent="0.4">
      <c r="F74" s="26"/>
      <c r="G74" s="86" t="s">
        <v>77</v>
      </c>
      <c r="H74" s="57">
        <f>$I$16</f>
        <v>3</v>
      </c>
      <c r="J74" s="53"/>
      <c r="K74" s="53"/>
      <c r="L74" s="53"/>
      <c r="M74" s="31"/>
      <c r="N74" s="31"/>
      <c r="O74" s="31"/>
      <c r="Q74" s="86" t="s">
        <v>77</v>
      </c>
      <c r="R74" s="57">
        <f>$L$16</f>
        <v>4.333333333333333</v>
      </c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6:34" ht="14.25" customHeight="1" x14ac:dyDescent="0.4">
      <c r="F75" s="26"/>
      <c r="G75" s="86" t="s">
        <v>79</v>
      </c>
      <c r="H75" s="57">
        <f>$I$17</f>
        <v>3</v>
      </c>
      <c r="J75" s="53"/>
      <c r="K75" s="53"/>
      <c r="L75" s="53"/>
      <c r="M75" s="31"/>
      <c r="N75" s="31"/>
      <c r="O75" s="31"/>
      <c r="Q75" s="86" t="s">
        <v>79</v>
      </c>
      <c r="R75" s="57">
        <f>$L$17</f>
        <v>5</v>
      </c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</row>
    <row r="76" spans="6:34" ht="14.25" customHeight="1" x14ac:dyDescent="0.4">
      <c r="F76" s="26"/>
      <c r="G76" s="86" t="s">
        <v>86</v>
      </c>
      <c r="H76" s="57">
        <f>$I$18</f>
        <v>5</v>
      </c>
      <c r="J76" s="53"/>
      <c r="K76" s="53"/>
      <c r="L76" s="53"/>
      <c r="M76" s="31"/>
      <c r="N76" s="31"/>
      <c r="O76" s="31"/>
      <c r="Q76" s="86" t="s">
        <v>86</v>
      </c>
      <c r="R76" s="57">
        <f>$L$18</f>
        <v>5.666666666666667</v>
      </c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</row>
    <row r="77" spans="6:34" ht="14.25" customHeight="1" x14ac:dyDescent="0.4">
      <c r="F77" s="26"/>
      <c r="G77" s="86" t="s">
        <v>76</v>
      </c>
      <c r="H77" s="57">
        <f>$I$15</f>
        <v>9</v>
      </c>
      <c r="J77" s="53"/>
      <c r="K77" s="53"/>
      <c r="L77" s="53"/>
      <c r="M77" s="31"/>
      <c r="N77" s="31"/>
      <c r="O77" s="31"/>
      <c r="Q77" s="86" t="s">
        <v>76</v>
      </c>
      <c r="R77" s="57">
        <f>$L$15</f>
        <v>14</v>
      </c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</row>
    <row r="78" spans="6:34" ht="14.25" customHeight="1" x14ac:dyDescent="0.4">
      <c r="F78" s="26"/>
      <c r="J78" s="53"/>
      <c r="K78" s="53"/>
      <c r="L78" s="53"/>
      <c r="M78" s="31"/>
      <c r="N78" s="31"/>
      <c r="O78" s="31"/>
      <c r="P78" s="31"/>
      <c r="Q78" s="5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</row>
    <row r="79" spans="6:34" ht="14.25" customHeight="1" x14ac:dyDescent="0.4">
      <c r="F79" s="26"/>
      <c r="J79" s="53"/>
      <c r="K79" s="53"/>
      <c r="L79" s="53"/>
      <c r="M79" s="31"/>
      <c r="N79" s="31"/>
      <c r="O79" s="31"/>
      <c r="P79" s="31"/>
      <c r="Q79" s="5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</row>
    <row r="80" spans="6:34" ht="14.25" customHeight="1" x14ac:dyDescent="0.4">
      <c r="F80" s="26"/>
      <c r="J80" s="53"/>
      <c r="K80" s="53"/>
      <c r="L80" s="53"/>
      <c r="M80" s="31"/>
      <c r="N80" s="31"/>
      <c r="O80" s="31"/>
      <c r="P80" s="31"/>
      <c r="Q80" s="5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</row>
    <row r="81" spans="6:37" ht="14.25" customHeight="1" x14ac:dyDescent="0.4">
      <c r="F81" s="15"/>
      <c r="J81" s="53"/>
      <c r="K81" s="53"/>
      <c r="L81" s="53"/>
      <c r="M81" s="31"/>
      <c r="N81" s="31"/>
      <c r="O81" s="31"/>
      <c r="P81" s="31"/>
      <c r="Q81" s="5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</row>
    <row r="82" spans="6:37" ht="14.25" customHeight="1" x14ac:dyDescent="0.4">
      <c r="F82" s="26"/>
      <c r="G82" s="86" t="s">
        <v>74</v>
      </c>
      <c r="H82" s="33" t="s">
        <v>17</v>
      </c>
      <c r="J82" s="53"/>
      <c r="K82" s="53"/>
      <c r="L82" s="53"/>
      <c r="M82" s="31"/>
      <c r="N82" s="31"/>
      <c r="O82" s="31"/>
      <c r="Q82" s="86" t="s">
        <v>74</v>
      </c>
      <c r="R82" s="33" t="s">
        <v>20</v>
      </c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</row>
    <row r="83" spans="6:37" ht="14.25" customHeight="1" x14ac:dyDescent="0.4">
      <c r="F83" s="26"/>
      <c r="G83" s="86" t="s">
        <v>76</v>
      </c>
      <c r="H83" s="90">
        <f>$J$15</f>
        <v>0.5</v>
      </c>
      <c r="J83" s="53"/>
      <c r="K83" s="53"/>
      <c r="L83" s="53"/>
      <c r="M83" s="31"/>
      <c r="N83" s="31"/>
      <c r="O83" s="31"/>
      <c r="Q83" s="86" t="s">
        <v>76</v>
      </c>
      <c r="R83" s="90">
        <f>$M$15</f>
        <v>0.4642857142857143</v>
      </c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</row>
    <row r="84" spans="6:37" ht="14.25" customHeight="1" x14ac:dyDescent="0.4">
      <c r="F84" s="26"/>
      <c r="G84" s="86" t="s">
        <v>86</v>
      </c>
      <c r="H84" s="90">
        <f>$J$18</f>
        <v>0.6</v>
      </c>
      <c r="J84" s="53"/>
      <c r="K84" s="53"/>
      <c r="L84" s="53"/>
      <c r="M84" s="31"/>
      <c r="N84" s="31"/>
      <c r="O84" s="31"/>
      <c r="Q84" s="86" t="s">
        <v>86</v>
      </c>
      <c r="R84" s="90">
        <f>$M$18</f>
        <v>0.94117647058823517</v>
      </c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</row>
    <row r="85" spans="6:37" ht="14.25" customHeight="1" x14ac:dyDescent="0.4">
      <c r="F85" s="26"/>
      <c r="G85" s="86" t="s">
        <v>79</v>
      </c>
      <c r="H85" s="90">
        <f>$J$17</f>
        <v>2</v>
      </c>
      <c r="J85" s="53"/>
      <c r="K85" s="53"/>
      <c r="L85" s="53"/>
      <c r="M85" s="31"/>
      <c r="N85" s="31"/>
      <c r="O85" s="31"/>
      <c r="Q85" s="86" t="s">
        <v>77</v>
      </c>
      <c r="R85" s="90">
        <f>$M$16</f>
        <v>1.2307692307692308</v>
      </c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J85" s="53"/>
      <c r="AK85" s="31"/>
    </row>
    <row r="86" spans="6:37" ht="14.25" customHeight="1" x14ac:dyDescent="0.4">
      <c r="F86" s="26"/>
      <c r="G86" s="86" t="s">
        <v>77</v>
      </c>
      <c r="H86" s="90">
        <f>$J$16</f>
        <v>2</v>
      </c>
      <c r="J86" s="53"/>
      <c r="K86" s="53"/>
      <c r="L86" s="53"/>
      <c r="M86" s="31"/>
      <c r="N86" s="31"/>
      <c r="O86" s="31"/>
      <c r="Q86" s="86" t="s">
        <v>79</v>
      </c>
      <c r="R86" s="90">
        <f>$M$17</f>
        <v>2.2999999999999998</v>
      </c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J86" s="53"/>
      <c r="AK86" s="31"/>
    </row>
    <row r="87" spans="6:37" ht="14.25" customHeight="1" x14ac:dyDescent="0.4">
      <c r="F87" s="26"/>
      <c r="J87" s="53"/>
      <c r="K87" s="53"/>
      <c r="L87" s="53"/>
      <c r="M87" s="31"/>
      <c r="N87" s="31"/>
      <c r="O87" s="31"/>
      <c r="P87" s="31"/>
      <c r="Q87" s="5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J87" s="53"/>
      <c r="AK87" s="31"/>
    </row>
    <row r="88" spans="6:37" ht="14.25" customHeight="1" x14ac:dyDescent="0.4">
      <c r="F88" s="26"/>
      <c r="J88" s="53"/>
      <c r="K88" s="53"/>
      <c r="L88" s="53"/>
      <c r="M88" s="31"/>
      <c r="N88" s="31"/>
      <c r="O88" s="31"/>
      <c r="P88" s="31"/>
      <c r="Q88" s="5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J88" s="53"/>
      <c r="AK88" s="31"/>
    </row>
    <row r="89" spans="6:37" ht="14.25" customHeight="1" x14ac:dyDescent="0.4">
      <c r="F89" s="26"/>
      <c r="J89" s="53"/>
      <c r="K89" s="53"/>
      <c r="L89" s="53"/>
      <c r="M89" s="31"/>
      <c r="N89" s="31"/>
      <c r="O89" s="31"/>
      <c r="P89" s="31"/>
      <c r="Q89" s="5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J89" s="53"/>
      <c r="AK89" s="31"/>
    </row>
    <row r="90" spans="6:37" ht="14.25" customHeight="1" x14ac:dyDescent="0.4">
      <c r="F90" s="26"/>
      <c r="J90" s="53"/>
      <c r="K90" s="53"/>
      <c r="L90" s="53"/>
      <c r="M90" s="31"/>
      <c r="N90" s="31"/>
      <c r="O90" s="31"/>
      <c r="P90" s="31"/>
      <c r="Q90" s="5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J90" s="53"/>
      <c r="AK90" s="31"/>
    </row>
    <row r="91" spans="6:37" ht="14.25" customHeight="1" x14ac:dyDescent="0.4">
      <c r="F91" s="26"/>
      <c r="J91" s="53"/>
      <c r="K91" s="53"/>
      <c r="L91" s="53"/>
      <c r="M91" s="31"/>
      <c r="N91" s="31"/>
      <c r="O91" s="31"/>
      <c r="P91" s="31"/>
      <c r="Q91" s="5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J91" s="53"/>
      <c r="AK91" s="31"/>
    </row>
    <row r="92" spans="6:37" ht="14.25" customHeight="1" x14ac:dyDescent="0.4">
      <c r="F92" s="26"/>
      <c r="J92" s="53"/>
      <c r="K92" s="53"/>
      <c r="L92" s="53"/>
      <c r="M92" s="31"/>
      <c r="N92" s="31"/>
      <c r="O92" s="31"/>
      <c r="P92" s="31"/>
      <c r="Q92" s="5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J92" s="53"/>
      <c r="AK92" s="31"/>
    </row>
    <row r="93" spans="6:37" ht="14.25" customHeight="1" x14ac:dyDescent="0.4">
      <c r="F93" s="26"/>
      <c r="J93" s="53"/>
      <c r="K93" s="53"/>
      <c r="L93" s="53"/>
      <c r="M93" s="31"/>
      <c r="N93" s="31"/>
      <c r="O93" s="31"/>
      <c r="P93" s="31"/>
      <c r="Q93" s="5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J93" s="53"/>
      <c r="AK93" s="31"/>
    </row>
    <row r="94" spans="6:37" ht="14.25" customHeight="1" x14ac:dyDescent="0.4">
      <c r="F94" s="26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J94" s="53"/>
      <c r="AK94" s="31"/>
    </row>
    <row r="95" spans="6:37" ht="14.25" customHeight="1" x14ac:dyDescent="0.4">
      <c r="F95" s="26"/>
      <c r="J95" s="53"/>
      <c r="K95" s="53"/>
      <c r="L95" s="53"/>
      <c r="M95" s="31"/>
      <c r="N95" s="31"/>
      <c r="O95" s="31"/>
      <c r="P95" s="31"/>
      <c r="Q95" s="5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J95" s="53"/>
      <c r="AK95" s="31"/>
    </row>
    <row r="96" spans="6:37" ht="14.25" customHeight="1" x14ac:dyDescent="0.4">
      <c r="F96" s="26"/>
      <c r="J96" s="53"/>
      <c r="K96" s="53"/>
      <c r="L96" s="53"/>
      <c r="M96" s="31"/>
      <c r="N96" s="31"/>
      <c r="O96" s="31"/>
      <c r="P96" s="31"/>
      <c r="Q96" s="5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J96" s="53"/>
      <c r="AK96" s="31"/>
    </row>
    <row r="97" spans="6:37" ht="14.25" customHeight="1" x14ac:dyDescent="0.4">
      <c r="F97" s="26"/>
      <c r="J97" s="53"/>
      <c r="K97" s="53"/>
      <c r="L97" s="53"/>
      <c r="M97" s="31"/>
      <c r="N97" s="31"/>
      <c r="O97" s="31"/>
      <c r="P97" s="31"/>
      <c r="Q97" s="5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J97" s="53"/>
      <c r="AK97" s="31"/>
    </row>
    <row r="98" spans="6:37" ht="14.25" customHeight="1" x14ac:dyDescent="0.4">
      <c r="F98" s="26"/>
      <c r="J98" s="53"/>
      <c r="K98" s="53"/>
      <c r="L98" s="53"/>
      <c r="M98" s="31"/>
      <c r="N98" s="31"/>
      <c r="O98" s="31"/>
      <c r="P98" s="31"/>
      <c r="Q98" s="5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J98" s="53"/>
      <c r="AK98" s="31"/>
    </row>
    <row r="99" spans="6:37" ht="14.25" customHeight="1" x14ac:dyDescent="0.4">
      <c r="F99" s="26"/>
      <c r="J99" s="53"/>
      <c r="K99" s="53"/>
      <c r="L99" s="53"/>
      <c r="M99" s="31"/>
      <c r="N99" s="31"/>
      <c r="O99" s="31"/>
      <c r="P99" s="31"/>
      <c r="Q99" s="5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J99" s="53"/>
      <c r="AK99" s="31"/>
    </row>
    <row r="100" spans="6:37" ht="14.25" customHeight="1" x14ac:dyDescent="0.4">
      <c r="F100" s="26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J100" s="53"/>
      <c r="AK100" s="31"/>
    </row>
    <row r="101" spans="6:37" ht="14.25" customHeight="1" x14ac:dyDescent="0.4">
      <c r="F101" s="26"/>
      <c r="J101" s="53"/>
      <c r="K101" s="53"/>
      <c r="L101" s="53"/>
      <c r="M101" s="31"/>
      <c r="N101" s="31"/>
      <c r="O101" s="31"/>
      <c r="P101" s="31"/>
      <c r="Q101" s="5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J101" s="53"/>
      <c r="AK101" s="31"/>
    </row>
    <row r="102" spans="6:37" ht="14.25" customHeight="1" x14ac:dyDescent="0.4">
      <c r="F102" s="26"/>
      <c r="J102" s="53"/>
      <c r="K102" s="53"/>
      <c r="L102" s="53"/>
      <c r="M102" s="31"/>
      <c r="N102" s="31"/>
      <c r="O102" s="31"/>
      <c r="P102" s="31"/>
      <c r="Q102" s="5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J102" s="53"/>
      <c r="AK102" s="31"/>
    </row>
    <row r="103" spans="6:37" ht="14.25" customHeight="1" x14ac:dyDescent="0.4"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J103" s="53"/>
      <c r="AK103" s="31"/>
    </row>
    <row r="104" spans="6:37" ht="14.25" customHeight="1" x14ac:dyDescent="0.4">
      <c r="F104" s="26"/>
      <c r="J104" s="53"/>
      <c r="K104" s="53"/>
      <c r="L104" s="53"/>
      <c r="M104" s="31"/>
      <c r="N104" s="31"/>
      <c r="O104" s="31"/>
      <c r="P104" s="31"/>
      <c r="Q104" s="5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J104" s="53"/>
      <c r="AK104" s="31"/>
    </row>
    <row r="105" spans="6:37" ht="14.25" customHeight="1" x14ac:dyDescent="0.4">
      <c r="F105" s="26"/>
      <c r="J105" s="53"/>
      <c r="K105" s="53"/>
      <c r="L105" s="53"/>
      <c r="M105" s="31"/>
      <c r="N105" s="31"/>
      <c r="O105" s="31"/>
      <c r="P105" s="31"/>
      <c r="Q105" s="5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J105" s="53"/>
      <c r="AK105" s="31"/>
    </row>
    <row r="106" spans="6:37" ht="14.25" customHeight="1" x14ac:dyDescent="0.4">
      <c r="F106" s="26"/>
      <c r="J106" s="53"/>
      <c r="K106" s="53"/>
      <c r="L106" s="53"/>
      <c r="M106" s="31"/>
      <c r="N106" s="31"/>
      <c r="O106" s="31"/>
      <c r="P106" s="31"/>
      <c r="Q106" s="5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J106" s="53"/>
      <c r="AK106" s="31"/>
    </row>
    <row r="107" spans="6:37" ht="14.25" customHeight="1" x14ac:dyDescent="0.4">
      <c r="F107" s="26"/>
      <c r="J107" s="53"/>
      <c r="K107" s="53"/>
      <c r="L107" s="53"/>
      <c r="M107" s="31"/>
      <c r="N107" s="31"/>
      <c r="O107" s="31"/>
      <c r="P107" s="31"/>
      <c r="Q107" s="5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J107" s="53"/>
      <c r="AK107" s="31"/>
    </row>
    <row r="108" spans="6:37" ht="14.25" customHeight="1" x14ac:dyDescent="0.4">
      <c r="F108" s="26"/>
      <c r="J108" s="53"/>
      <c r="K108" s="53"/>
      <c r="L108" s="53"/>
      <c r="M108" s="31"/>
      <c r="N108" s="31"/>
      <c r="O108" s="31"/>
      <c r="P108" s="31"/>
      <c r="Q108" s="5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J108" s="53"/>
      <c r="AK108" s="31"/>
    </row>
    <row r="109" spans="6:37" ht="14.25" customHeight="1" x14ac:dyDescent="0.4"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J109" s="53"/>
      <c r="AK109" s="31"/>
    </row>
    <row r="110" spans="6:37" ht="14.25" customHeight="1" x14ac:dyDescent="0.4"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J110" s="53"/>
      <c r="AK110" s="31"/>
    </row>
    <row r="111" spans="6:37" ht="14.25" customHeight="1" x14ac:dyDescent="0.4"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J111" s="53"/>
      <c r="AK111" s="31"/>
    </row>
    <row r="112" spans="6:37" ht="14.25" customHeight="1" x14ac:dyDescent="0.4"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J112" s="53"/>
      <c r="AK112" s="31"/>
    </row>
    <row r="113" spans="6:37" ht="14.25" customHeight="1" x14ac:dyDescent="0.4"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J113" s="53"/>
      <c r="AK113" s="31"/>
    </row>
    <row r="114" spans="6:37" ht="14.25" customHeight="1" x14ac:dyDescent="0.4"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J114" s="53"/>
      <c r="AK114" s="31"/>
    </row>
    <row r="115" spans="6:37" ht="14.25" customHeight="1" x14ac:dyDescent="0.4"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J115" s="53"/>
      <c r="AK115" s="31"/>
    </row>
    <row r="116" spans="6:37" ht="14.25" customHeight="1" x14ac:dyDescent="0.4">
      <c r="F116" s="26"/>
      <c r="J116" s="53"/>
      <c r="K116" s="53"/>
      <c r="L116" s="53"/>
      <c r="M116" s="31"/>
      <c r="N116" s="31"/>
      <c r="O116" s="31"/>
      <c r="P116" s="31"/>
      <c r="Q116" s="5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J116" s="53"/>
      <c r="AK116" s="31"/>
    </row>
    <row r="117" spans="6:37" ht="14.25" customHeight="1" x14ac:dyDescent="0.4">
      <c r="F117" s="26"/>
      <c r="J117" s="53"/>
      <c r="K117" s="53"/>
      <c r="L117" s="53"/>
      <c r="M117" s="31"/>
      <c r="N117" s="31"/>
      <c r="O117" s="31"/>
      <c r="P117" s="31"/>
      <c r="Q117" s="5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J117" s="53"/>
      <c r="AK117" s="31"/>
    </row>
    <row r="118" spans="6:37" ht="14.25" customHeight="1" x14ac:dyDescent="0.4">
      <c r="F118" s="26"/>
      <c r="J118" s="53"/>
      <c r="K118" s="53"/>
      <c r="L118" s="53"/>
      <c r="M118" s="31"/>
      <c r="N118" s="31"/>
      <c r="O118" s="31"/>
      <c r="P118" s="31"/>
      <c r="Q118" s="5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J118" s="53"/>
      <c r="AK118" s="31"/>
    </row>
    <row r="119" spans="6:37" ht="14.25" customHeight="1" x14ac:dyDescent="0.4">
      <c r="F119" s="26"/>
      <c r="J119" s="53"/>
      <c r="K119" s="53"/>
      <c r="L119" s="53"/>
      <c r="M119" s="31"/>
      <c r="N119" s="31"/>
      <c r="O119" s="31"/>
      <c r="P119" s="31"/>
      <c r="Q119" s="5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J119" s="53"/>
      <c r="AK119" s="31"/>
    </row>
    <row r="120" spans="6:37" ht="14.25" customHeight="1" x14ac:dyDescent="0.4">
      <c r="F120" s="26"/>
      <c r="J120" s="53"/>
      <c r="K120" s="53"/>
      <c r="L120" s="53"/>
      <c r="M120" s="31"/>
      <c r="N120" s="31"/>
      <c r="O120" s="31"/>
      <c r="P120" s="31"/>
      <c r="Q120" s="5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J120" s="53"/>
      <c r="AK120" s="31"/>
    </row>
    <row r="121" spans="6:37" ht="14.25" customHeight="1" x14ac:dyDescent="0.4">
      <c r="F121" s="26"/>
      <c r="J121" s="53"/>
      <c r="K121" s="53"/>
      <c r="L121" s="53"/>
      <c r="M121" s="31"/>
      <c r="N121" s="31"/>
      <c r="O121" s="31"/>
      <c r="P121" s="31"/>
      <c r="Q121" s="5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J121" s="53"/>
      <c r="AK121" s="31"/>
    </row>
    <row r="122" spans="6:37" ht="14.25" customHeight="1" x14ac:dyDescent="0.4">
      <c r="F122" s="26"/>
      <c r="J122" s="53"/>
      <c r="K122" s="53"/>
      <c r="L122" s="53"/>
      <c r="M122" s="31"/>
      <c r="N122" s="31"/>
      <c r="O122" s="31"/>
      <c r="P122" s="31"/>
      <c r="Q122" s="5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J122" s="53"/>
      <c r="AK122" s="31"/>
    </row>
    <row r="123" spans="6:37" ht="14.25" customHeight="1" x14ac:dyDescent="0.4">
      <c r="F123" s="26"/>
      <c r="J123" s="53"/>
      <c r="K123" s="53"/>
      <c r="L123" s="53"/>
      <c r="M123" s="31"/>
      <c r="N123" s="31"/>
      <c r="O123" s="31"/>
      <c r="P123" s="31"/>
      <c r="Q123" s="5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J123" s="53"/>
      <c r="AK123" s="31"/>
    </row>
    <row r="124" spans="6:37" ht="14.25" customHeight="1" x14ac:dyDescent="0.4">
      <c r="F124" s="26"/>
      <c r="J124" s="53"/>
      <c r="K124" s="53"/>
      <c r="L124" s="53"/>
      <c r="M124" s="31"/>
      <c r="N124" s="31"/>
      <c r="O124" s="31"/>
      <c r="P124" s="31"/>
      <c r="Q124" s="5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J124" s="53"/>
      <c r="AK124" s="31"/>
    </row>
    <row r="125" spans="6:37" ht="14.25" customHeight="1" x14ac:dyDescent="0.4"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J125" s="53"/>
      <c r="AK125" s="31"/>
    </row>
    <row r="126" spans="6:37" ht="14.25" customHeight="1" x14ac:dyDescent="0.4">
      <c r="F126" s="26"/>
    </row>
    <row r="127" spans="6:37" ht="14.25" customHeight="1" x14ac:dyDescent="0.4">
      <c r="F127" s="26"/>
    </row>
    <row r="128" spans="6:37" ht="14.25" customHeight="1" x14ac:dyDescent="0.4">
      <c r="F128" s="26"/>
    </row>
    <row r="129" spans="6:6" ht="14.25" customHeight="1" x14ac:dyDescent="0.4">
      <c r="F129" s="26"/>
    </row>
    <row r="130" spans="6:6" ht="14.25" customHeight="1" x14ac:dyDescent="0.4">
      <c r="F130" s="26"/>
    </row>
    <row r="131" spans="6:6" ht="14.25" customHeight="1" x14ac:dyDescent="0.4">
      <c r="F131" s="26"/>
    </row>
    <row r="132" spans="6:6" ht="14.25" customHeight="1" x14ac:dyDescent="0.4">
      <c r="F132" s="26"/>
    </row>
    <row r="133" spans="6:6" ht="14.25" customHeight="1" x14ac:dyDescent="0.4">
      <c r="F133" s="26"/>
    </row>
    <row r="134" spans="6:6" ht="14.25" customHeight="1" x14ac:dyDescent="0.4">
      <c r="F134" s="26"/>
    </row>
    <row r="135" spans="6:6" ht="14.25" customHeight="1" x14ac:dyDescent="0.4">
      <c r="F135" s="26"/>
    </row>
    <row r="136" spans="6:6" ht="14.25" customHeight="1" x14ac:dyDescent="0.4">
      <c r="F136" s="26"/>
    </row>
    <row r="137" spans="6:6" ht="14.25" customHeight="1" x14ac:dyDescent="0.4">
      <c r="F137" s="26"/>
    </row>
    <row r="138" spans="6:6" ht="14.25" customHeight="1" x14ac:dyDescent="0.4">
      <c r="F138" s="26"/>
    </row>
    <row r="139" spans="6:6" ht="14.25" customHeight="1" x14ac:dyDescent="0.4">
      <c r="F139" s="26"/>
    </row>
    <row r="140" spans="6:6" ht="14.25" customHeight="1" x14ac:dyDescent="0.4">
      <c r="F140" s="26"/>
    </row>
    <row r="141" spans="6:6" ht="14.25" customHeight="1" x14ac:dyDescent="0.4">
      <c r="F141" s="26"/>
    </row>
    <row r="142" spans="6:6" ht="14.25" customHeight="1" x14ac:dyDescent="0.4">
      <c r="F142" s="26"/>
    </row>
    <row r="143" spans="6:6" ht="14.25" customHeight="1" x14ac:dyDescent="0.4">
      <c r="F143" s="26"/>
    </row>
    <row r="144" spans="6:6" ht="14.25" customHeight="1" x14ac:dyDescent="0.4">
      <c r="F144" s="26"/>
    </row>
    <row r="145" spans="6:6" ht="14.25" customHeight="1" x14ac:dyDescent="0.4">
      <c r="F145" s="26"/>
    </row>
    <row r="146" spans="6:6" ht="14.25" customHeight="1" x14ac:dyDescent="0.4">
      <c r="F146" s="26"/>
    </row>
    <row r="147" spans="6:6" ht="14.25" customHeight="1" x14ac:dyDescent="0.4">
      <c r="F147" s="26"/>
    </row>
    <row r="148" spans="6:6" ht="14.25" customHeight="1" x14ac:dyDescent="0.4">
      <c r="F148" s="26"/>
    </row>
    <row r="149" spans="6:6" ht="14.25" customHeight="1" x14ac:dyDescent="0.4">
      <c r="F149" s="26"/>
    </row>
    <row r="150" spans="6:6" ht="14.25" customHeight="1" x14ac:dyDescent="0.4">
      <c r="F150" s="26"/>
    </row>
    <row r="151" spans="6:6" ht="14.25" customHeight="1" x14ac:dyDescent="0.4">
      <c r="F151" s="26"/>
    </row>
    <row r="152" spans="6:6" ht="14.25" customHeight="1" x14ac:dyDescent="0.4">
      <c r="F152" s="26"/>
    </row>
    <row r="153" spans="6:6" ht="14.25" customHeight="1" x14ac:dyDescent="0.4">
      <c r="F153" s="26"/>
    </row>
    <row r="154" spans="6:6" ht="14.25" customHeight="1" x14ac:dyDescent="0.4">
      <c r="F154" s="26"/>
    </row>
    <row r="155" spans="6:6" ht="14.25" customHeight="1" x14ac:dyDescent="0.4">
      <c r="F155" s="26"/>
    </row>
    <row r="156" spans="6:6" ht="14.25" customHeight="1" x14ac:dyDescent="0.4">
      <c r="F156" s="26"/>
    </row>
    <row r="157" spans="6:6" ht="14.25" customHeight="1" x14ac:dyDescent="0.4">
      <c r="F157" s="26"/>
    </row>
    <row r="158" spans="6:6" ht="14.25" customHeight="1" x14ac:dyDescent="0.4">
      <c r="F158" s="26"/>
    </row>
    <row r="159" spans="6:6" ht="14.25" customHeight="1" x14ac:dyDescent="0.4">
      <c r="F159" s="26"/>
    </row>
    <row r="160" spans="6:6" ht="14.25" customHeight="1" x14ac:dyDescent="0.4"/>
    <row r="161" ht="14.25" customHeight="1" x14ac:dyDescent="0.4"/>
    <row r="162" ht="14.25" customHeight="1" x14ac:dyDescent="0.4"/>
    <row r="163" ht="14.25" customHeight="1" x14ac:dyDescent="0.4"/>
    <row r="164" ht="14.25" customHeight="1" x14ac:dyDescent="0.4"/>
    <row r="165" ht="14.25" customHeight="1" x14ac:dyDescent="0.4"/>
    <row r="166" ht="14.25" customHeight="1" x14ac:dyDescent="0.4"/>
    <row r="167" ht="14.25" customHeight="1" x14ac:dyDescent="0.4"/>
    <row r="168" ht="14.25" customHeight="1" x14ac:dyDescent="0.4"/>
    <row r="169" ht="14.25" customHeight="1" x14ac:dyDescent="0.4"/>
    <row r="170" ht="14.25" customHeight="1" x14ac:dyDescent="0.4"/>
    <row r="171" ht="14.25" customHeight="1" x14ac:dyDescent="0.4"/>
    <row r="172" ht="14.25" customHeight="1" x14ac:dyDescent="0.4"/>
    <row r="173" ht="14.25" customHeight="1" x14ac:dyDescent="0.4"/>
    <row r="174" ht="14.25" customHeight="1" x14ac:dyDescent="0.4"/>
    <row r="175" ht="14.25" customHeight="1" x14ac:dyDescent="0.4"/>
    <row r="176" ht="14.25" customHeight="1" x14ac:dyDescent="0.4"/>
    <row r="177" ht="14.25" customHeight="1" x14ac:dyDescent="0.4"/>
    <row r="178" ht="14.25" customHeight="1" x14ac:dyDescent="0.4"/>
    <row r="179" ht="14.25" customHeight="1" x14ac:dyDescent="0.4"/>
    <row r="180" ht="14.25" customHeight="1" x14ac:dyDescent="0.4"/>
    <row r="181" ht="14.25" customHeight="1" x14ac:dyDescent="0.4"/>
    <row r="182" ht="14.25" customHeight="1" x14ac:dyDescent="0.4"/>
    <row r="183" ht="14.25" customHeight="1" x14ac:dyDescent="0.4"/>
    <row r="184" ht="14.25" customHeight="1" x14ac:dyDescent="0.4"/>
    <row r="185" ht="14.25" customHeight="1" x14ac:dyDescent="0.4"/>
    <row r="186" ht="14.25" customHeight="1" x14ac:dyDescent="0.4"/>
    <row r="187" ht="14.25" customHeight="1" x14ac:dyDescent="0.4"/>
    <row r="188" ht="14.25" customHeight="1" x14ac:dyDescent="0.4"/>
    <row r="189" ht="14.25" customHeight="1" x14ac:dyDescent="0.4"/>
    <row r="190" ht="14.25" customHeight="1" x14ac:dyDescent="0.4"/>
    <row r="191" ht="14.25" customHeight="1" x14ac:dyDescent="0.4"/>
    <row r="192" ht="14.25" customHeight="1" x14ac:dyDescent="0.4"/>
    <row r="193" ht="14.25" customHeight="1" x14ac:dyDescent="0.4"/>
    <row r="194" ht="14.25" customHeight="1" x14ac:dyDescent="0.4"/>
    <row r="195" ht="14.25" customHeight="1" x14ac:dyDescent="0.4"/>
    <row r="196" ht="14.25" customHeight="1" x14ac:dyDescent="0.4"/>
    <row r="197" ht="14.25" customHeight="1" x14ac:dyDescent="0.4"/>
    <row r="198" ht="14.25" customHeight="1" x14ac:dyDescent="0.4"/>
    <row r="199" ht="14.25" customHeight="1" x14ac:dyDescent="0.4"/>
    <row r="200" ht="14.25" customHeight="1" x14ac:dyDescent="0.4"/>
    <row r="201" ht="14.25" customHeight="1" x14ac:dyDescent="0.4"/>
    <row r="202" ht="14.25" customHeight="1" x14ac:dyDescent="0.4"/>
    <row r="203" ht="14.25" customHeight="1" x14ac:dyDescent="0.4"/>
    <row r="204" ht="14.25" customHeight="1" x14ac:dyDescent="0.4"/>
    <row r="205" ht="14.25" customHeight="1" x14ac:dyDescent="0.4"/>
    <row r="206" ht="14.25" customHeight="1" x14ac:dyDescent="0.4"/>
    <row r="207" ht="14.25" customHeight="1" x14ac:dyDescent="0.4"/>
    <row r="208" ht="14.25" customHeight="1" x14ac:dyDescent="0.4"/>
    <row r="209" ht="14.25" customHeight="1" x14ac:dyDescent="0.4"/>
    <row r="210" ht="14.25" customHeight="1" x14ac:dyDescent="0.4"/>
    <row r="211" ht="14.25" customHeight="1" x14ac:dyDescent="0.4"/>
    <row r="212" ht="14.25" customHeight="1" x14ac:dyDescent="0.4"/>
    <row r="213" ht="14.25" customHeight="1" x14ac:dyDescent="0.4"/>
    <row r="214" ht="14.25" customHeight="1" x14ac:dyDescent="0.4"/>
    <row r="215" ht="14.25" customHeight="1" x14ac:dyDescent="0.4"/>
    <row r="216" ht="14.25" customHeight="1" x14ac:dyDescent="0.4"/>
    <row r="217" ht="14.25" customHeight="1" x14ac:dyDescent="0.4"/>
    <row r="218" ht="14.25" customHeight="1" x14ac:dyDescent="0.4"/>
    <row r="219" ht="14.25" customHeight="1" x14ac:dyDescent="0.4"/>
    <row r="220" ht="14.25" customHeight="1" x14ac:dyDescent="0.4"/>
    <row r="221" ht="14.25" customHeight="1" x14ac:dyDescent="0.4"/>
    <row r="222" ht="14.25" customHeight="1" x14ac:dyDescent="0.4"/>
    <row r="223" ht="14.25" customHeight="1" x14ac:dyDescent="0.4"/>
    <row r="224" ht="14.25" customHeight="1" x14ac:dyDescent="0.4"/>
    <row r="225" ht="14.25" customHeight="1" x14ac:dyDescent="0.4"/>
    <row r="226" ht="14.25" customHeight="1" x14ac:dyDescent="0.4"/>
    <row r="227" ht="14.25" customHeight="1" x14ac:dyDescent="0.4"/>
    <row r="228" ht="14.25" customHeight="1" x14ac:dyDescent="0.4"/>
    <row r="229" ht="14.25" customHeight="1" x14ac:dyDescent="0.4"/>
    <row r="230" ht="14.25" customHeight="1" x14ac:dyDescent="0.4"/>
    <row r="231" ht="14.25" customHeight="1" x14ac:dyDescent="0.4"/>
    <row r="232" ht="14.25" customHeight="1" x14ac:dyDescent="0.4"/>
    <row r="233" ht="14.25" customHeight="1" x14ac:dyDescent="0.4"/>
    <row r="234" ht="14.25" customHeight="1" x14ac:dyDescent="0.4"/>
    <row r="235" ht="14.25" customHeight="1" x14ac:dyDescent="0.4"/>
    <row r="236" ht="14.25" customHeight="1" x14ac:dyDescent="0.4"/>
    <row r="237" ht="14.25" customHeight="1" x14ac:dyDescent="0.4"/>
    <row r="238" ht="14.25" customHeight="1" x14ac:dyDescent="0.4"/>
    <row r="239" ht="14.25" customHeight="1" x14ac:dyDescent="0.4"/>
    <row r="240" ht="14.25" customHeight="1" x14ac:dyDescent="0.4"/>
    <row r="241" ht="14.25" customHeight="1" x14ac:dyDescent="0.4"/>
    <row r="242" ht="14.25" customHeight="1" x14ac:dyDescent="0.4"/>
    <row r="243" ht="14.25" customHeight="1" x14ac:dyDescent="0.4"/>
    <row r="244" ht="14.25" customHeight="1" x14ac:dyDescent="0.4"/>
    <row r="245" ht="14.25" customHeight="1" x14ac:dyDescent="0.4"/>
    <row r="246" ht="14.25" customHeight="1" x14ac:dyDescent="0.4"/>
    <row r="247" ht="14.25" customHeight="1" x14ac:dyDescent="0.4"/>
    <row r="248" ht="14.25" customHeight="1" x14ac:dyDescent="0.4"/>
    <row r="249" ht="14.25" customHeight="1" x14ac:dyDescent="0.4"/>
    <row r="250" ht="14.25" customHeight="1" x14ac:dyDescent="0.4"/>
    <row r="251" ht="14.25" customHeight="1" x14ac:dyDescent="0.4"/>
    <row r="252" ht="14.25" customHeight="1" x14ac:dyDescent="0.4"/>
    <row r="253" ht="14.25" customHeight="1" x14ac:dyDescent="0.4"/>
    <row r="254" ht="14.25" customHeight="1" x14ac:dyDescent="0.4"/>
    <row r="255" ht="14.25" customHeight="1" x14ac:dyDescent="0.4"/>
    <row r="256" ht="14.25" customHeight="1" x14ac:dyDescent="0.4"/>
    <row r="257" ht="14.25" customHeight="1" x14ac:dyDescent="0.4"/>
    <row r="258" ht="14.25" customHeight="1" x14ac:dyDescent="0.4"/>
    <row r="259" ht="14.25" customHeight="1" x14ac:dyDescent="0.4"/>
    <row r="260" ht="14.25" customHeight="1" x14ac:dyDescent="0.4"/>
    <row r="261" ht="14.25" customHeight="1" x14ac:dyDescent="0.4"/>
    <row r="262" ht="14.25" customHeight="1" x14ac:dyDescent="0.4"/>
    <row r="263" ht="14.25" customHeight="1" x14ac:dyDescent="0.4"/>
    <row r="264" ht="14.25" customHeight="1" x14ac:dyDescent="0.4"/>
    <row r="265" ht="14.25" customHeight="1" x14ac:dyDescent="0.4"/>
    <row r="266" ht="14.25" customHeight="1" x14ac:dyDescent="0.4"/>
    <row r="267" ht="14.25" customHeight="1" x14ac:dyDescent="0.4"/>
    <row r="268" ht="14.25" customHeight="1" x14ac:dyDescent="0.4"/>
    <row r="269" ht="14.25" customHeight="1" x14ac:dyDescent="0.4"/>
    <row r="270" ht="14.25" customHeight="1" x14ac:dyDescent="0.4"/>
    <row r="271" ht="14.25" customHeight="1" x14ac:dyDescent="0.4"/>
    <row r="272" ht="14.25" customHeight="1" x14ac:dyDescent="0.4"/>
    <row r="273" ht="14.25" customHeight="1" x14ac:dyDescent="0.4"/>
    <row r="274" ht="14.25" customHeight="1" x14ac:dyDescent="0.4"/>
    <row r="275" ht="14.25" customHeight="1" x14ac:dyDescent="0.4"/>
    <row r="276" ht="14.25" customHeight="1" x14ac:dyDescent="0.4"/>
    <row r="277" ht="14.25" customHeight="1" x14ac:dyDescent="0.4"/>
    <row r="278" ht="14.25" customHeight="1" x14ac:dyDescent="0.4"/>
    <row r="279" ht="14.25" customHeight="1" x14ac:dyDescent="0.4"/>
    <row r="280" ht="14.25" customHeight="1" x14ac:dyDescent="0.4"/>
    <row r="281" ht="14.25" customHeight="1" x14ac:dyDescent="0.4"/>
    <row r="282" ht="14.25" customHeight="1" x14ac:dyDescent="0.4"/>
    <row r="283" ht="14.25" customHeight="1" x14ac:dyDescent="0.4"/>
    <row r="284" ht="14.25" customHeight="1" x14ac:dyDescent="0.4"/>
    <row r="285" ht="14.25" customHeight="1" x14ac:dyDescent="0.4"/>
    <row r="286" ht="14.25" customHeight="1" x14ac:dyDescent="0.4"/>
    <row r="287" ht="15.75" customHeight="1" x14ac:dyDescent="0.4"/>
    <row r="288" ht="15.75" customHeight="1" x14ac:dyDescent="0.4"/>
    <row r="289" ht="15.75" customHeight="1" x14ac:dyDescent="0.4"/>
    <row r="290" ht="15.75" customHeight="1" x14ac:dyDescent="0.4"/>
    <row r="291" ht="15.75" customHeight="1" x14ac:dyDescent="0.4"/>
    <row r="292" ht="15.75" customHeight="1" x14ac:dyDescent="0.4"/>
    <row r="293" ht="15.75" customHeight="1" x14ac:dyDescent="0.4"/>
    <row r="294" ht="15.75" customHeight="1" x14ac:dyDescent="0.4"/>
    <row r="295" ht="15.75" customHeight="1" x14ac:dyDescent="0.4"/>
    <row r="296" ht="15.75" customHeight="1" x14ac:dyDescent="0.4"/>
    <row r="297" ht="15.75" customHeight="1" x14ac:dyDescent="0.4"/>
    <row r="298" ht="15.75" customHeight="1" x14ac:dyDescent="0.4"/>
    <row r="299" ht="15.75" customHeight="1" x14ac:dyDescent="0.4"/>
    <row r="300" ht="15.75" customHeight="1" x14ac:dyDescent="0.4"/>
    <row r="301" ht="15.75" customHeight="1" x14ac:dyDescent="0.4"/>
    <row r="302" ht="15.75" customHeight="1" x14ac:dyDescent="0.4"/>
    <row r="303" ht="15.75" customHeight="1" x14ac:dyDescent="0.4"/>
    <row r="304" ht="15.75" customHeight="1" x14ac:dyDescent="0.4"/>
    <row r="305" ht="15.75" customHeight="1" x14ac:dyDescent="0.4"/>
    <row r="306" ht="15.75" customHeight="1" x14ac:dyDescent="0.4"/>
    <row r="307" ht="15.75" customHeight="1" x14ac:dyDescent="0.4"/>
    <row r="308" ht="15.75" customHeight="1" x14ac:dyDescent="0.4"/>
    <row r="309" ht="15.75" customHeight="1" x14ac:dyDescent="0.4"/>
    <row r="310" ht="15.75" customHeight="1" x14ac:dyDescent="0.4"/>
    <row r="311" ht="15.75" customHeight="1" x14ac:dyDescent="0.4"/>
    <row r="312" ht="15.75" customHeight="1" x14ac:dyDescent="0.4"/>
    <row r="313" ht="15.75" customHeight="1" x14ac:dyDescent="0.4"/>
    <row r="314" ht="15.75" customHeight="1" x14ac:dyDescent="0.4"/>
    <row r="315" ht="15.75" customHeight="1" x14ac:dyDescent="0.4"/>
    <row r="316" ht="15.75" customHeight="1" x14ac:dyDescent="0.4"/>
    <row r="317" ht="15.75" customHeight="1" x14ac:dyDescent="0.4"/>
    <row r="318" ht="15.75" customHeight="1" x14ac:dyDescent="0.4"/>
    <row r="319" ht="15.75" customHeight="1" x14ac:dyDescent="0.4"/>
    <row r="320" ht="15.75" customHeight="1" x14ac:dyDescent="0.4"/>
    <row r="321" ht="15.75" customHeight="1" x14ac:dyDescent="0.4"/>
    <row r="322" ht="15.75" customHeight="1" x14ac:dyDescent="0.4"/>
    <row r="323" ht="15.75" customHeight="1" x14ac:dyDescent="0.4"/>
    <row r="324" ht="15.75" customHeight="1" x14ac:dyDescent="0.4"/>
    <row r="325" ht="15.75" customHeight="1" x14ac:dyDescent="0.4"/>
    <row r="326" ht="15.75" customHeight="1" x14ac:dyDescent="0.4"/>
    <row r="327" ht="15.75" customHeight="1" x14ac:dyDescent="0.4"/>
    <row r="328" ht="15.75" customHeight="1" x14ac:dyDescent="0.4"/>
    <row r="329" ht="15.75" customHeight="1" x14ac:dyDescent="0.4"/>
    <row r="330" ht="15.75" customHeight="1" x14ac:dyDescent="0.4"/>
    <row r="331" ht="15.75" customHeight="1" x14ac:dyDescent="0.4"/>
    <row r="332" ht="15.75" customHeight="1" x14ac:dyDescent="0.4"/>
    <row r="333" ht="15.75" customHeight="1" x14ac:dyDescent="0.4"/>
    <row r="334" ht="15.75" customHeight="1" x14ac:dyDescent="0.4"/>
    <row r="335" ht="15.75" customHeight="1" x14ac:dyDescent="0.4"/>
    <row r="336" ht="15.75" customHeight="1" x14ac:dyDescent="0.4"/>
    <row r="337" ht="15.75" customHeight="1" x14ac:dyDescent="0.4"/>
    <row r="338" ht="15.75" customHeight="1" x14ac:dyDescent="0.4"/>
    <row r="339" ht="15.75" customHeight="1" x14ac:dyDescent="0.4"/>
    <row r="340" ht="15.75" customHeight="1" x14ac:dyDescent="0.4"/>
    <row r="341" ht="15.75" customHeight="1" x14ac:dyDescent="0.4"/>
    <row r="342" ht="15.75" customHeight="1" x14ac:dyDescent="0.4"/>
    <row r="343" ht="15.75" customHeight="1" x14ac:dyDescent="0.4"/>
    <row r="344" ht="15.75" customHeight="1" x14ac:dyDescent="0.4"/>
    <row r="345" ht="15.75" customHeight="1" x14ac:dyDescent="0.4"/>
    <row r="346" ht="15.75" customHeight="1" x14ac:dyDescent="0.4"/>
    <row r="347" ht="15.75" customHeight="1" x14ac:dyDescent="0.4"/>
    <row r="348" ht="15.75" customHeight="1" x14ac:dyDescent="0.4"/>
    <row r="349" ht="15.75" customHeight="1" x14ac:dyDescent="0.4"/>
    <row r="350" ht="15.75" customHeight="1" x14ac:dyDescent="0.4"/>
    <row r="351" ht="15.75" customHeight="1" x14ac:dyDescent="0.4"/>
    <row r="352" ht="15.75" customHeight="1" x14ac:dyDescent="0.4"/>
    <row r="353" ht="15.75" customHeight="1" x14ac:dyDescent="0.4"/>
    <row r="354" ht="15.75" customHeight="1" x14ac:dyDescent="0.4"/>
    <row r="355" ht="15.75" customHeight="1" x14ac:dyDescent="0.4"/>
    <row r="356" ht="15.75" customHeight="1" x14ac:dyDescent="0.4"/>
    <row r="357" ht="15.75" customHeight="1" x14ac:dyDescent="0.4"/>
    <row r="358" ht="15.75" customHeight="1" x14ac:dyDescent="0.4"/>
    <row r="359" ht="15.75" customHeight="1" x14ac:dyDescent="0.4"/>
    <row r="360" ht="15.75" customHeight="1" x14ac:dyDescent="0.4"/>
    <row r="361" ht="15.75" customHeight="1" x14ac:dyDescent="0.4"/>
    <row r="362" ht="15.75" customHeight="1" x14ac:dyDescent="0.4"/>
    <row r="363" ht="15.75" customHeight="1" x14ac:dyDescent="0.4"/>
    <row r="364" ht="15.75" customHeight="1" x14ac:dyDescent="0.4"/>
    <row r="365" ht="15.75" customHeight="1" x14ac:dyDescent="0.4"/>
    <row r="366" ht="15.75" customHeight="1" x14ac:dyDescent="0.4"/>
    <row r="367" ht="15.75" customHeight="1" x14ac:dyDescent="0.4"/>
    <row r="368" ht="15.75" customHeight="1" x14ac:dyDescent="0.4"/>
    <row r="369" ht="15.75" customHeight="1" x14ac:dyDescent="0.4"/>
    <row r="370" ht="15.75" customHeight="1" x14ac:dyDescent="0.4"/>
    <row r="371" ht="15.75" customHeight="1" x14ac:dyDescent="0.4"/>
    <row r="372" ht="15.75" customHeight="1" x14ac:dyDescent="0.4"/>
    <row r="373" ht="15.75" customHeight="1" x14ac:dyDescent="0.4"/>
    <row r="374" ht="15.75" customHeight="1" x14ac:dyDescent="0.4"/>
    <row r="375" ht="15.75" customHeight="1" x14ac:dyDescent="0.4"/>
    <row r="376" ht="15.75" customHeight="1" x14ac:dyDescent="0.4"/>
    <row r="377" ht="15.75" customHeight="1" x14ac:dyDescent="0.4"/>
    <row r="378" ht="15.75" customHeight="1" x14ac:dyDescent="0.4"/>
    <row r="379" ht="15.75" customHeight="1" x14ac:dyDescent="0.4"/>
    <row r="380" ht="15.75" customHeight="1" x14ac:dyDescent="0.4"/>
    <row r="381" ht="15.75" customHeight="1" x14ac:dyDescent="0.4"/>
    <row r="382" ht="15.75" customHeight="1" x14ac:dyDescent="0.4"/>
    <row r="383" ht="15.75" customHeight="1" x14ac:dyDescent="0.4"/>
    <row r="384" ht="15.75" customHeight="1" x14ac:dyDescent="0.4"/>
    <row r="385" ht="15.75" customHeight="1" x14ac:dyDescent="0.4"/>
    <row r="386" ht="15.75" customHeight="1" x14ac:dyDescent="0.4"/>
    <row r="387" ht="15.75" customHeight="1" x14ac:dyDescent="0.4"/>
    <row r="388" ht="15.75" customHeight="1" x14ac:dyDescent="0.4"/>
    <row r="389" ht="15.75" customHeight="1" x14ac:dyDescent="0.4"/>
    <row r="390" ht="15.75" customHeight="1" x14ac:dyDescent="0.4"/>
    <row r="391" ht="15.75" customHeight="1" x14ac:dyDescent="0.4"/>
    <row r="392" ht="15.75" customHeight="1" x14ac:dyDescent="0.4"/>
    <row r="393" ht="15.75" customHeight="1" x14ac:dyDescent="0.4"/>
    <row r="394" ht="15.75" customHeight="1" x14ac:dyDescent="0.4"/>
    <row r="395" ht="15.75" customHeight="1" x14ac:dyDescent="0.4"/>
    <row r="396" ht="15.75" customHeight="1" x14ac:dyDescent="0.4"/>
    <row r="397" ht="15.75" customHeight="1" x14ac:dyDescent="0.4"/>
    <row r="398" ht="15.75" customHeight="1" x14ac:dyDescent="0.4"/>
    <row r="399" ht="15.75" customHeight="1" x14ac:dyDescent="0.4"/>
    <row r="400" ht="15.75" customHeight="1" x14ac:dyDescent="0.4"/>
    <row r="401" ht="15.75" customHeight="1" x14ac:dyDescent="0.4"/>
    <row r="402" ht="15.75" customHeight="1" x14ac:dyDescent="0.4"/>
    <row r="403" ht="15.75" customHeight="1" x14ac:dyDescent="0.4"/>
    <row r="404" ht="15.75" customHeight="1" x14ac:dyDescent="0.4"/>
    <row r="405" ht="15.75" customHeight="1" x14ac:dyDescent="0.4"/>
    <row r="406" ht="15.75" customHeight="1" x14ac:dyDescent="0.4"/>
    <row r="407" ht="15.75" customHeight="1" x14ac:dyDescent="0.4"/>
    <row r="408" ht="15.75" customHeight="1" x14ac:dyDescent="0.4"/>
    <row r="409" ht="15.75" customHeight="1" x14ac:dyDescent="0.4"/>
    <row r="410" ht="15.75" customHeight="1" x14ac:dyDescent="0.4"/>
    <row r="411" ht="15.75" customHeight="1" x14ac:dyDescent="0.4"/>
    <row r="412" ht="15.75" customHeight="1" x14ac:dyDescent="0.4"/>
    <row r="413" ht="15.75" customHeight="1" x14ac:dyDescent="0.4"/>
    <row r="414" ht="15.75" customHeight="1" x14ac:dyDescent="0.4"/>
    <row r="415" ht="15.75" customHeight="1" x14ac:dyDescent="0.4"/>
    <row r="416" ht="15.75" customHeight="1" x14ac:dyDescent="0.4"/>
    <row r="417" ht="15.75" customHeight="1" x14ac:dyDescent="0.4"/>
    <row r="418" ht="15.75" customHeight="1" x14ac:dyDescent="0.4"/>
    <row r="419" ht="15.75" customHeight="1" x14ac:dyDescent="0.4"/>
    <row r="420" ht="15.75" customHeight="1" x14ac:dyDescent="0.4"/>
    <row r="421" ht="15.75" customHeight="1" x14ac:dyDescent="0.4"/>
    <row r="422" ht="15.75" customHeight="1" x14ac:dyDescent="0.4"/>
    <row r="423" ht="15.75" customHeight="1" x14ac:dyDescent="0.4"/>
    <row r="424" ht="15.75" customHeight="1" x14ac:dyDescent="0.4"/>
    <row r="425" ht="15.75" customHeight="1" x14ac:dyDescent="0.4"/>
    <row r="426" ht="15.75" customHeight="1" x14ac:dyDescent="0.4"/>
    <row r="427" ht="15.75" customHeight="1" x14ac:dyDescent="0.4"/>
    <row r="428" ht="15.75" customHeight="1" x14ac:dyDescent="0.4"/>
    <row r="429" ht="15.75" customHeight="1" x14ac:dyDescent="0.4"/>
    <row r="430" ht="15.75" customHeight="1" x14ac:dyDescent="0.4"/>
    <row r="431" ht="15.75" customHeight="1" x14ac:dyDescent="0.4"/>
    <row r="432" ht="15.75" customHeight="1" x14ac:dyDescent="0.4"/>
    <row r="433" ht="15.75" customHeight="1" x14ac:dyDescent="0.4"/>
    <row r="434" ht="15.75" customHeight="1" x14ac:dyDescent="0.4"/>
    <row r="435" ht="15.75" customHeight="1" x14ac:dyDescent="0.4"/>
    <row r="436" ht="15.75" customHeight="1" x14ac:dyDescent="0.4"/>
    <row r="437" ht="15.75" customHeight="1" x14ac:dyDescent="0.4"/>
    <row r="438" ht="15.75" customHeight="1" x14ac:dyDescent="0.4"/>
    <row r="439" ht="15.75" customHeight="1" x14ac:dyDescent="0.4"/>
    <row r="440" ht="15.75" customHeight="1" x14ac:dyDescent="0.4"/>
    <row r="441" ht="15.75" customHeight="1" x14ac:dyDescent="0.4"/>
    <row r="442" ht="15.75" customHeight="1" x14ac:dyDescent="0.4"/>
    <row r="443" ht="15.75" customHeight="1" x14ac:dyDescent="0.4"/>
    <row r="444" ht="15.75" customHeight="1" x14ac:dyDescent="0.4"/>
    <row r="445" ht="15.75" customHeight="1" x14ac:dyDescent="0.4"/>
    <row r="446" ht="15.75" customHeight="1" x14ac:dyDescent="0.4"/>
    <row r="447" ht="15.75" customHeight="1" x14ac:dyDescent="0.4"/>
    <row r="448" ht="15.75" customHeight="1" x14ac:dyDescent="0.4"/>
    <row r="449" ht="15.75" customHeight="1" x14ac:dyDescent="0.4"/>
    <row r="450" ht="15.75" customHeight="1" x14ac:dyDescent="0.4"/>
    <row r="451" ht="15.75" customHeight="1" x14ac:dyDescent="0.4"/>
    <row r="452" ht="15.75" customHeight="1" x14ac:dyDescent="0.4"/>
    <row r="453" ht="15.75" customHeight="1" x14ac:dyDescent="0.4"/>
    <row r="454" ht="15.75" customHeight="1" x14ac:dyDescent="0.4"/>
    <row r="455" ht="15.75" customHeight="1" x14ac:dyDescent="0.4"/>
    <row r="456" ht="15.75" customHeight="1" x14ac:dyDescent="0.4"/>
    <row r="457" ht="15.75" customHeight="1" x14ac:dyDescent="0.4"/>
    <row r="458" ht="15.75" customHeight="1" x14ac:dyDescent="0.4"/>
    <row r="459" ht="15.75" customHeight="1" x14ac:dyDescent="0.4"/>
    <row r="460" ht="15.75" customHeight="1" x14ac:dyDescent="0.4"/>
    <row r="461" ht="15.75" customHeight="1" x14ac:dyDescent="0.4"/>
    <row r="462" ht="15.75" customHeight="1" x14ac:dyDescent="0.4"/>
    <row r="463" ht="15.75" customHeight="1" x14ac:dyDescent="0.4"/>
    <row r="464" ht="15.75" customHeight="1" x14ac:dyDescent="0.4"/>
    <row r="465" ht="15.75" customHeight="1" x14ac:dyDescent="0.4"/>
    <row r="466" ht="15.75" customHeight="1" x14ac:dyDescent="0.4"/>
    <row r="467" ht="15.75" customHeight="1" x14ac:dyDescent="0.4"/>
    <row r="468" ht="15.75" customHeight="1" x14ac:dyDescent="0.4"/>
    <row r="469" ht="15.75" customHeight="1" x14ac:dyDescent="0.4"/>
    <row r="470" ht="15.75" customHeight="1" x14ac:dyDescent="0.4"/>
    <row r="471" ht="15.75" customHeight="1" x14ac:dyDescent="0.4"/>
    <row r="472" ht="15.75" customHeight="1" x14ac:dyDescent="0.4"/>
    <row r="473" ht="15.75" customHeight="1" x14ac:dyDescent="0.4"/>
    <row r="474" ht="15.75" customHeight="1" x14ac:dyDescent="0.4"/>
    <row r="475" ht="15.75" customHeight="1" x14ac:dyDescent="0.4"/>
    <row r="476" ht="15.75" customHeight="1" x14ac:dyDescent="0.4"/>
    <row r="477" ht="15.75" customHeight="1" x14ac:dyDescent="0.4"/>
    <row r="478" ht="15.75" customHeight="1" x14ac:dyDescent="0.4"/>
    <row r="479" ht="15.75" customHeight="1" x14ac:dyDescent="0.4"/>
    <row r="480" ht="15.75" customHeight="1" x14ac:dyDescent="0.4"/>
    <row r="481" ht="15.75" customHeight="1" x14ac:dyDescent="0.4"/>
    <row r="482" ht="15.75" customHeight="1" x14ac:dyDescent="0.4"/>
    <row r="483" ht="15.75" customHeight="1" x14ac:dyDescent="0.4"/>
    <row r="484" ht="15.75" customHeight="1" x14ac:dyDescent="0.4"/>
    <row r="485" ht="15.75" customHeight="1" x14ac:dyDescent="0.4"/>
    <row r="486" ht="15.75" customHeight="1" x14ac:dyDescent="0.4"/>
    <row r="487" ht="15.75" customHeight="1" x14ac:dyDescent="0.4"/>
    <row r="488" ht="15.75" customHeight="1" x14ac:dyDescent="0.4"/>
    <row r="489" ht="15.75" customHeight="1" x14ac:dyDescent="0.4"/>
    <row r="490" ht="15.75" customHeight="1" x14ac:dyDescent="0.4"/>
    <row r="491" ht="15.75" customHeight="1" x14ac:dyDescent="0.4"/>
    <row r="492" ht="15.75" customHeight="1" x14ac:dyDescent="0.4"/>
    <row r="493" ht="15.75" customHeight="1" x14ac:dyDescent="0.4"/>
    <row r="494" ht="15.75" customHeight="1" x14ac:dyDescent="0.4"/>
    <row r="495" ht="15.75" customHeight="1" x14ac:dyDescent="0.4"/>
    <row r="496" ht="15.75" customHeight="1" x14ac:dyDescent="0.4"/>
    <row r="497" ht="15.75" customHeight="1" x14ac:dyDescent="0.4"/>
    <row r="498" ht="15.75" customHeight="1" x14ac:dyDescent="0.4"/>
    <row r="499" ht="15.75" customHeight="1" x14ac:dyDescent="0.4"/>
    <row r="500" ht="15.75" customHeight="1" x14ac:dyDescent="0.4"/>
    <row r="501" ht="15.75" customHeight="1" x14ac:dyDescent="0.4"/>
    <row r="502" ht="15.75" customHeight="1" x14ac:dyDescent="0.4"/>
    <row r="503" ht="15.75" customHeight="1" x14ac:dyDescent="0.4"/>
    <row r="504" ht="15.75" customHeight="1" x14ac:dyDescent="0.4"/>
    <row r="505" ht="15.75" customHeight="1" x14ac:dyDescent="0.4"/>
    <row r="506" ht="15.75" customHeight="1" x14ac:dyDescent="0.4"/>
    <row r="507" ht="15.75" customHeight="1" x14ac:dyDescent="0.4"/>
    <row r="508" ht="15.75" customHeight="1" x14ac:dyDescent="0.4"/>
    <row r="509" ht="15.75" customHeight="1" x14ac:dyDescent="0.4"/>
    <row r="510" ht="15.75" customHeight="1" x14ac:dyDescent="0.4"/>
    <row r="511" ht="15.75" customHeight="1" x14ac:dyDescent="0.4"/>
    <row r="512" ht="15.75" customHeight="1" x14ac:dyDescent="0.4"/>
    <row r="513" ht="15.75" customHeight="1" x14ac:dyDescent="0.4"/>
    <row r="514" ht="15.75" customHeight="1" x14ac:dyDescent="0.4"/>
    <row r="515" ht="15.75" customHeight="1" x14ac:dyDescent="0.4"/>
    <row r="516" ht="15.75" customHeight="1" x14ac:dyDescent="0.4"/>
    <row r="517" ht="15.75" customHeight="1" x14ac:dyDescent="0.4"/>
    <row r="518" ht="15.75" customHeight="1" x14ac:dyDescent="0.4"/>
    <row r="519" ht="15.75" customHeight="1" x14ac:dyDescent="0.4"/>
    <row r="520" ht="15.75" customHeight="1" x14ac:dyDescent="0.4"/>
    <row r="521" ht="15.75" customHeight="1" x14ac:dyDescent="0.4"/>
    <row r="522" ht="15.75" customHeight="1" x14ac:dyDescent="0.4"/>
    <row r="523" ht="15.75" customHeight="1" x14ac:dyDescent="0.4"/>
    <row r="524" ht="15.75" customHeight="1" x14ac:dyDescent="0.4"/>
    <row r="525" ht="15.75" customHeight="1" x14ac:dyDescent="0.4"/>
    <row r="526" ht="15.75" customHeight="1" x14ac:dyDescent="0.4"/>
    <row r="527" ht="15.75" customHeight="1" x14ac:dyDescent="0.4"/>
    <row r="528" ht="15.75" customHeight="1" x14ac:dyDescent="0.4"/>
    <row r="529" ht="15.75" customHeight="1" x14ac:dyDescent="0.4"/>
    <row r="530" ht="15.75" customHeight="1" x14ac:dyDescent="0.4"/>
    <row r="531" ht="15.75" customHeight="1" x14ac:dyDescent="0.4"/>
    <row r="532" ht="15.75" customHeight="1" x14ac:dyDescent="0.4"/>
    <row r="533" ht="15.75" customHeight="1" x14ac:dyDescent="0.4"/>
    <row r="534" ht="15.75" customHeight="1" x14ac:dyDescent="0.4"/>
    <row r="535" ht="15.75" customHeight="1" x14ac:dyDescent="0.4"/>
    <row r="536" ht="15.75" customHeight="1" x14ac:dyDescent="0.4"/>
    <row r="537" ht="15.75" customHeight="1" x14ac:dyDescent="0.4"/>
    <row r="538" ht="15.75" customHeight="1" x14ac:dyDescent="0.4"/>
    <row r="539" ht="15.75" customHeight="1" x14ac:dyDescent="0.4"/>
    <row r="540" ht="15.75" customHeight="1" x14ac:dyDescent="0.4"/>
    <row r="541" ht="15.75" customHeight="1" x14ac:dyDescent="0.4"/>
    <row r="542" ht="15.75" customHeight="1" x14ac:dyDescent="0.4"/>
    <row r="543" ht="15.75" customHeight="1" x14ac:dyDescent="0.4"/>
    <row r="544" ht="15.75" customHeight="1" x14ac:dyDescent="0.4"/>
    <row r="545" ht="15.75" customHeight="1" x14ac:dyDescent="0.4"/>
    <row r="546" ht="15.75" customHeight="1" x14ac:dyDescent="0.4"/>
    <row r="547" ht="15.75" customHeight="1" x14ac:dyDescent="0.4"/>
    <row r="548" ht="15.75" customHeight="1" x14ac:dyDescent="0.4"/>
    <row r="549" ht="15.75" customHeight="1" x14ac:dyDescent="0.4"/>
    <row r="550" ht="15.75" customHeight="1" x14ac:dyDescent="0.4"/>
    <row r="551" ht="15.75" customHeight="1" x14ac:dyDescent="0.4"/>
    <row r="552" ht="15.75" customHeight="1" x14ac:dyDescent="0.4"/>
    <row r="553" ht="15.75" customHeight="1" x14ac:dyDescent="0.4"/>
    <row r="554" ht="15.75" customHeight="1" x14ac:dyDescent="0.4"/>
    <row r="555" ht="15.75" customHeight="1" x14ac:dyDescent="0.4"/>
    <row r="556" ht="15.75" customHeight="1" x14ac:dyDescent="0.4"/>
    <row r="557" ht="15.75" customHeight="1" x14ac:dyDescent="0.4"/>
    <row r="558" ht="15.75" customHeight="1" x14ac:dyDescent="0.4"/>
    <row r="559" ht="15.75" customHeight="1" x14ac:dyDescent="0.4"/>
    <row r="560" ht="15.75" customHeight="1" x14ac:dyDescent="0.4"/>
    <row r="561" ht="15.75" customHeight="1" x14ac:dyDescent="0.4"/>
    <row r="562" ht="15.75" customHeight="1" x14ac:dyDescent="0.4"/>
    <row r="563" ht="15.75" customHeight="1" x14ac:dyDescent="0.4"/>
    <row r="564" ht="15.75" customHeight="1" x14ac:dyDescent="0.4"/>
    <row r="565" ht="15.75" customHeight="1" x14ac:dyDescent="0.4"/>
    <row r="566" ht="15.75" customHeight="1" x14ac:dyDescent="0.4"/>
    <row r="567" ht="15.75" customHeight="1" x14ac:dyDescent="0.4"/>
    <row r="568" ht="15.75" customHeight="1" x14ac:dyDescent="0.4"/>
    <row r="569" ht="15.75" customHeight="1" x14ac:dyDescent="0.4"/>
    <row r="570" ht="15.75" customHeight="1" x14ac:dyDescent="0.4"/>
    <row r="571" ht="15.75" customHeight="1" x14ac:dyDescent="0.4"/>
    <row r="572" ht="15.75" customHeight="1" x14ac:dyDescent="0.4"/>
    <row r="573" ht="15.75" customHeight="1" x14ac:dyDescent="0.4"/>
    <row r="574" ht="15.75" customHeight="1" x14ac:dyDescent="0.4"/>
    <row r="575" ht="15.75" customHeight="1" x14ac:dyDescent="0.4"/>
    <row r="576" ht="15.75" customHeight="1" x14ac:dyDescent="0.4"/>
    <row r="577" ht="15.75" customHeight="1" x14ac:dyDescent="0.4"/>
    <row r="578" ht="15.75" customHeight="1" x14ac:dyDescent="0.4"/>
    <row r="579" ht="15.75" customHeight="1" x14ac:dyDescent="0.4"/>
    <row r="580" ht="15.75" customHeight="1" x14ac:dyDescent="0.4"/>
    <row r="581" ht="15.75" customHeight="1" x14ac:dyDescent="0.4"/>
    <row r="582" ht="15.75" customHeight="1" x14ac:dyDescent="0.4"/>
    <row r="583" ht="15.75" customHeight="1" x14ac:dyDescent="0.4"/>
    <row r="584" ht="15.75" customHeight="1" x14ac:dyDescent="0.4"/>
    <row r="585" ht="15.75" customHeight="1" x14ac:dyDescent="0.4"/>
    <row r="586" ht="15.75" customHeight="1" x14ac:dyDescent="0.4"/>
    <row r="587" ht="15.75" customHeight="1" x14ac:dyDescent="0.4"/>
    <row r="588" ht="15.75" customHeight="1" x14ac:dyDescent="0.4"/>
    <row r="589" ht="15.75" customHeight="1" x14ac:dyDescent="0.4"/>
    <row r="590" ht="15.75" customHeight="1" x14ac:dyDescent="0.4"/>
    <row r="591" ht="15.75" customHeight="1" x14ac:dyDescent="0.4"/>
    <row r="592" ht="15.75" customHeight="1" x14ac:dyDescent="0.4"/>
    <row r="593" ht="15.75" customHeight="1" x14ac:dyDescent="0.4"/>
    <row r="594" ht="15.75" customHeight="1" x14ac:dyDescent="0.4"/>
    <row r="595" ht="15.75" customHeight="1" x14ac:dyDescent="0.4"/>
    <row r="596" ht="15.75" customHeight="1" x14ac:dyDescent="0.4"/>
    <row r="597" ht="15.75" customHeight="1" x14ac:dyDescent="0.4"/>
    <row r="598" ht="15.75" customHeight="1" x14ac:dyDescent="0.4"/>
    <row r="599" ht="15.75" customHeight="1" x14ac:dyDescent="0.4"/>
    <row r="600" ht="15.75" customHeight="1" x14ac:dyDescent="0.4"/>
    <row r="601" ht="15.75" customHeight="1" x14ac:dyDescent="0.4"/>
    <row r="602" ht="15.75" customHeight="1" x14ac:dyDescent="0.4"/>
    <row r="603" ht="15.75" customHeight="1" x14ac:dyDescent="0.4"/>
    <row r="604" ht="15.75" customHeight="1" x14ac:dyDescent="0.4"/>
    <row r="605" ht="15.75" customHeight="1" x14ac:dyDescent="0.4"/>
    <row r="606" ht="15.75" customHeight="1" x14ac:dyDescent="0.4"/>
    <row r="607" ht="15.75" customHeight="1" x14ac:dyDescent="0.4"/>
    <row r="608" ht="15.75" customHeight="1" x14ac:dyDescent="0.4"/>
    <row r="609" ht="15.75" customHeight="1" x14ac:dyDescent="0.4"/>
    <row r="610" ht="15.75" customHeight="1" x14ac:dyDescent="0.4"/>
    <row r="611" ht="15.75" customHeight="1" x14ac:dyDescent="0.4"/>
    <row r="612" ht="15.75" customHeight="1" x14ac:dyDescent="0.4"/>
    <row r="613" ht="15.75" customHeight="1" x14ac:dyDescent="0.4"/>
    <row r="614" ht="15.75" customHeight="1" x14ac:dyDescent="0.4"/>
    <row r="615" ht="15.75" customHeight="1" x14ac:dyDescent="0.4"/>
    <row r="616" ht="15.75" customHeight="1" x14ac:dyDescent="0.4"/>
    <row r="617" ht="15.75" customHeight="1" x14ac:dyDescent="0.4"/>
    <row r="618" ht="15.75" customHeight="1" x14ac:dyDescent="0.4"/>
    <row r="619" ht="15.75" customHeight="1" x14ac:dyDescent="0.4"/>
    <row r="620" ht="15.75" customHeight="1" x14ac:dyDescent="0.4"/>
    <row r="621" ht="15.75" customHeight="1" x14ac:dyDescent="0.4"/>
    <row r="622" ht="15.75" customHeight="1" x14ac:dyDescent="0.4"/>
    <row r="623" ht="15.75" customHeight="1" x14ac:dyDescent="0.4"/>
    <row r="624" ht="15.75" customHeight="1" x14ac:dyDescent="0.4"/>
    <row r="625" ht="15.75" customHeight="1" x14ac:dyDescent="0.4"/>
    <row r="626" ht="15.75" customHeight="1" x14ac:dyDescent="0.4"/>
    <row r="627" ht="15.75" customHeight="1" x14ac:dyDescent="0.4"/>
    <row r="628" ht="15.75" customHeight="1" x14ac:dyDescent="0.4"/>
    <row r="629" ht="15.75" customHeight="1" x14ac:dyDescent="0.4"/>
    <row r="630" ht="15.75" customHeight="1" x14ac:dyDescent="0.4"/>
    <row r="631" ht="15.75" customHeight="1" x14ac:dyDescent="0.4"/>
    <row r="632" ht="15.75" customHeight="1" x14ac:dyDescent="0.4"/>
    <row r="633" ht="15.75" customHeight="1" x14ac:dyDescent="0.4"/>
    <row r="634" ht="15.75" customHeight="1" x14ac:dyDescent="0.4"/>
    <row r="635" ht="15.75" customHeight="1" x14ac:dyDescent="0.4"/>
    <row r="636" ht="15.75" customHeight="1" x14ac:dyDescent="0.4"/>
    <row r="637" ht="15.75" customHeight="1" x14ac:dyDescent="0.4"/>
    <row r="638" ht="15.75" customHeight="1" x14ac:dyDescent="0.4"/>
    <row r="639" ht="15.75" customHeight="1" x14ac:dyDescent="0.4"/>
    <row r="640" ht="15.75" customHeight="1" x14ac:dyDescent="0.4"/>
    <row r="641" ht="15.75" customHeight="1" x14ac:dyDescent="0.4"/>
    <row r="642" ht="15.75" customHeight="1" x14ac:dyDescent="0.4"/>
    <row r="643" ht="15.75" customHeight="1" x14ac:dyDescent="0.4"/>
    <row r="644" ht="15.75" customHeight="1" x14ac:dyDescent="0.4"/>
    <row r="645" ht="15.75" customHeight="1" x14ac:dyDescent="0.4"/>
    <row r="646" ht="15.75" customHeight="1" x14ac:dyDescent="0.4"/>
    <row r="647" ht="15.75" customHeight="1" x14ac:dyDescent="0.4"/>
    <row r="648" ht="15.75" customHeight="1" x14ac:dyDescent="0.4"/>
    <row r="649" ht="15.75" customHeight="1" x14ac:dyDescent="0.4"/>
    <row r="650" ht="15.75" customHeight="1" x14ac:dyDescent="0.4"/>
    <row r="651" ht="15.75" customHeight="1" x14ac:dyDescent="0.4"/>
    <row r="652" ht="15.75" customHeight="1" x14ac:dyDescent="0.4"/>
    <row r="653" ht="15.75" customHeight="1" x14ac:dyDescent="0.4"/>
    <row r="654" ht="15.75" customHeight="1" x14ac:dyDescent="0.4"/>
    <row r="655" ht="15.75" customHeight="1" x14ac:dyDescent="0.4"/>
    <row r="656" ht="15.75" customHeight="1" x14ac:dyDescent="0.4"/>
    <row r="657" ht="15.75" customHeight="1" x14ac:dyDescent="0.4"/>
    <row r="658" ht="15.75" customHeight="1" x14ac:dyDescent="0.4"/>
    <row r="659" ht="15.75" customHeight="1" x14ac:dyDescent="0.4"/>
    <row r="660" ht="15.75" customHeight="1" x14ac:dyDescent="0.4"/>
    <row r="661" ht="15.75" customHeight="1" x14ac:dyDescent="0.4"/>
    <row r="662" ht="15.75" customHeight="1" x14ac:dyDescent="0.4"/>
    <row r="663" ht="15.75" customHeight="1" x14ac:dyDescent="0.4"/>
    <row r="664" ht="15.75" customHeight="1" x14ac:dyDescent="0.4"/>
    <row r="665" ht="15.75" customHeight="1" x14ac:dyDescent="0.4"/>
    <row r="666" ht="15.75" customHeight="1" x14ac:dyDescent="0.4"/>
    <row r="667" ht="15.75" customHeight="1" x14ac:dyDescent="0.4"/>
    <row r="668" ht="15.75" customHeight="1" x14ac:dyDescent="0.4"/>
    <row r="669" ht="15.75" customHeight="1" x14ac:dyDescent="0.4"/>
    <row r="670" ht="15.75" customHeight="1" x14ac:dyDescent="0.4"/>
    <row r="671" ht="15.75" customHeight="1" x14ac:dyDescent="0.4"/>
    <row r="672" ht="15.75" customHeight="1" x14ac:dyDescent="0.4"/>
    <row r="673" ht="15.75" customHeight="1" x14ac:dyDescent="0.4"/>
    <row r="674" ht="15.75" customHeight="1" x14ac:dyDescent="0.4"/>
    <row r="675" ht="15.75" customHeight="1" x14ac:dyDescent="0.4"/>
    <row r="676" ht="15.75" customHeight="1" x14ac:dyDescent="0.4"/>
    <row r="677" ht="15.75" customHeight="1" x14ac:dyDescent="0.4"/>
    <row r="678" ht="15.75" customHeight="1" x14ac:dyDescent="0.4"/>
    <row r="679" ht="15.75" customHeight="1" x14ac:dyDescent="0.4"/>
    <row r="680" ht="15.75" customHeight="1" x14ac:dyDescent="0.4"/>
    <row r="681" ht="15.75" customHeight="1" x14ac:dyDescent="0.4"/>
    <row r="682" ht="15.75" customHeight="1" x14ac:dyDescent="0.4"/>
    <row r="683" ht="15.75" customHeight="1" x14ac:dyDescent="0.4"/>
    <row r="684" ht="15.75" customHeight="1" x14ac:dyDescent="0.4"/>
    <row r="685" ht="15.75" customHeight="1" x14ac:dyDescent="0.4"/>
    <row r="686" ht="15.75" customHeight="1" x14ac:dyDescent="0.4"/>
    <row r="687" ht="15.75" customHeight="1" x14ac:dyDescent="0.4"/>
    <row r="688" ht="15.75" customHeight="1" x14ac:dyDescent="0.4"/>
    <row r="689" ht="15.75" customHeight="1" x14ac:dyDescent="0.4"/>
    <row r="690" ht="15.75" customHeight="1" x14ac:dyDescent="0.4"/>
    <row r="691" ht="15.75" customHeight="1" x14ac:dyDescent="0.4"/>
    <row r="692" ht="15.75" customHeight="1" x14ac:dyDescent="0.4"/>
    <row r="693" ht="15.75" customHeight="1" x14ac:dyDescent="0.4"/>
    <row r="694" ht="15.75" customHeight="1" x14ac:dyDescent="0.4"/>
    <row r="695" ht="15.75" customHeight="1" x14ac:dyDescent="0.4"/>
    <row r="696" ht="15.75" customHeight="1" x14ac:dyDescent="0.4"/>
    <row r="697" ht="15.75" customHeight="1" x14ac:dyDescent="0.4"/>
    <row r="698" ht="15.75" customHeight="1" x14ac:dyDescent="0.4"/>
    <row r="699" ht="15.75" customHeight="1" x14ac:dyDescent="0.4"/>
    <row r="700" ht="15.75" customHeight="1" x14ac:dyDescent="0.4"/>
    <row r="701" ht="15.75" customHeight="1" x14ac:dyDescent="0.4"/>
    <row r="702" ht="15.75" customHeight="1" x14ac:dyDescent="0.4"/>
    <row r="703" ht="15.75" customHeight="1" x14ac:dyDescent="0.4"/>
    <row r="704" ht="15.75" customHeight="1" x14ac:dyDescent="0.4"/>
    <row r="705" ht="15.75" customHeight="1" x14ac:dyDescent="0.4"/>
    <row r="706" ht="15.75" customHeight="1" x14ac:dyDescent="0.4"/>
    <row r="707" ht="15.75" customHeight="1" x14ac:dyDescent="0.4"/>
    <row r="708" ht="15.75" customHeight="1" x14ac:dyDescent="0.4"/>
    <row r="709" ht="15.75" customHeight="1" x14ac:dyDescent="0.4"/>
    <row r="710" ht="15.75" customHeight="1" x14ac:dyDescent="0.4"/>
    <row r="711" ht="15.75" customHeight="1" x14ac:dyDescent="0.4"/>
    <row r="712" ht="15.75" customHeight="1" x14ac:dyDescent="0.4"/>
    <row r="713" ht="15.75" customHeight="1" x14ac:dyDescent="0.4"/>
    <row r="714" ht="15.75" customHeight="1" x14ac:dyDescent="0.4"/>
    <row r="715" ht="15.75" customHeight="1" x14ac:dyDescent="0.4"/>
    <row r="716" ht="15.75" customHeight="1" x14ac:dyDescent="0.4"/>
    <row r="717" ht="15.75" customHeight="1" x14ac:dyDescent="0.4"/>
    <row r="718" ht="15.75" customHeight="1" x14ac:dyDescent="0.4"/>
    <row r="719" ht="15.75" customHeight="1" x14ac:dyDescent="0.4"/>
    <row r="720" ht="15.75" customHeight="1" x14ac:dyDescent="0.4"/>
    <row r="721" ht="15.75" customHeight="1" x14ac:dyDescent="0.4"/>
    <row r="722" ht="15.75" customHeight="1" x14ac:dyDescent="0.4"/>
    <row r="723" ht="15.75" customHeight="1" x14ac:dyDescent="0.4"/>
    <row r="724" ht="15.75" customHeight="1" x14ac:dyDescent="0.4"/>
    <row r="725" ht="15.75" customHeight="1" x14ac:dyDescent="0.4"/>
    <row r="726" ht="15.75" customHeight="1" x14ac:dyDescent="0.4"/>
    <row r="727" ht="15.75" customHeight="1" x14ac:dyDescent="0.4"/>
    <row r="728" ht="15.75" customHeight="1" x14ac:dyDescent="0.4"/>
    <row r="729" ht="15.75" customHeight="1" x14ac:dyDescent="0.4"/>
    <row r="730" ht="15.75" customHeight="1" x14ac:dyDescent="0.4"/>
    <row r="731" ht="15.75" customHeight="1" x14ac:dyDescent="0.4"/>
    <row r="732" ht="15.75" customHeight="1" x14ac:dyDescent="0.4"/>
    <row r="733" ht="15.75" customHeight="1" x14ac:dyDescent="0.4"/>
    <row r="734" ht="15.75" customHeight="1" x14ac:dyDescent="0.4"/>
    <row r="735" ht="15.75" customHeight="1" x14ac:dyDescent="0.4"/>
    <row r="736" ht="15.75" customHeight="1" x14ac:dyDescent="0.4"/>
    <row r="737" ht="15.75" customHeight="1" x14ac:dyDescent="0.4"/>
    <row r="738" ht="15.75" customHeight="1" x14ac:dyDescent="0.4"/>
    <row r="739" ht="15.75" customHeight="1" x14ac:dyDescent="0.4"/>
    <row r="740" ht="15.75" customHeight="1" x14ac:dyDescent="0.4"/>
    <row r="741" ht="15.75" customHeight="1" x14ac:dyDescent="0.4"/>
    <row r="742" ht="15.75" customHeight="1" x14ac:dyDescent="0.4"/>
    <row r="743" ht="15.75" customHeight="1" x14ac:dyDescent="0.4"/>
    <row r="744" ht="15.75" customHeight="1" x14ac:dyDescent="0.4"/>
    <row r="745" ht="15.75" customHeight="1" x14ac:dyDescent="0.4"/>
    <row r="746" ht="15.75" customHeight="1" x14ac:dyDescent="0.4"/>
    <row r="747" ht="15.75" customHeight="1" x14ac:dyDescent="0.4"/>
    <row r="748" ht="15.75" customHeight="1" x14ac:dyDescent="0.4"/>
    <row r="749" ht="15.75" customHeight="1" x14ac:dyDescent="0.4"/>
    <row r="750" ht="15.75" customHeight="1" x14ac:dyDescent="0.4"/>
    <row r="751" ht="15.75" customHeight="1" x14ac:dyDescent="0.4"/>
    <row r="752" ht="15.75" customHeight="1" x14ac:dyDescent="0.4"/>
    <row r="753" ht="15.75" customHeight="1" x14ac:dyDescent="0.4"/>
    <row r="754" ht="15.75" customHeight="1" x14ac:dyDescent="0.4"/>
    <row r="755" ht="15.75" customHeight="1" x14ac:dyDescent="0.4"/>
    <row r="756" ht="15.75" customHeight="1" x14ac:dyDescent="0.4"/>
    <row r="757" ht="15.75" customHeight="1" x14ac:dyDescent="0.4"/>
    <row r="758" ht="15.75" customHeight="1" x14ac:dyDescent="0.4"/>
    <row r="759" ht="15.75" customHeight="1" x14ac:dyDescent="0.4"/>
    <row r="760" ht="15.75" customHeight="1" x14ac:dyDescent="0.4"/>
    <row r="761" ht="15.75" customHeight="1" x14ac:dyDescent="0.4"/>
    <row r="762" ht="15.75" customHeight="1" x14ac:dyDescent="0.4"/>
    <row r="763" ht="15.75" customHeight="1" x14ac:dyDescent="0.4"/>
    <row r="764" ht="15.75" customHeight="1" x14ac:dyDescent="0.4"/>
    <row r="765" ht="15.75" customHeight="1" x14ac:dyDescent="0.4"/>
    <row r="766" ht="15.75" customHeight="1" x14ac:dyDescent="0.4"/>
    <row r="767" ht="15.75" customHeight="1" x14ac:dyDescent="0.4"/>
    <row r="768" ht="15.75" customHeight="1" x14ac:dyDescent="0.4"/>
    <row r="769" ht="15.75" customHeight="1" x14ac:dyDescent="0.4"/>
    <row r="770" ht="15.75" customHeight="1" x14ac:dyDescent="0.4"/>
    <row r="771" ht="15.75" customHeight="1" x14ac:dyDescent="0.4"/>
    <row r="772" ht="15.75" customHeight="1" x14ac:dyDescent="0.4"/>
    <row r="773" ht="15.75" customHeight="1" x14ac:dyDescent="0.4"/>
    <row r="774" ht="15.75" customHeight="1" x14ac:dyDescent="0.4"/>
    <row r="775" ht="15.75" customHeight="1" x14ac:dyDescent="0.4"/>
    <row r="776" ht="15.75" customHeight="1" x14ac:dyDescent="0.4"/>
    <row r="777" ht="15.75" customHeight="1" x14ac:dyDescent="0.4"/>
    <row r="778" ht="15.75" customHeight="1" x14ac:dyDescent="0.4"/>
    <row r="779" ht="15.75" customHeight="1" x14ac:dyDescent="0.4"/>
    <row r="780" ht="15.75" customHeight="1" x14ac:dyDescent="0.4"/>
    <row r="781" ht="15.75" customHeight="1" x14ac:dyDescent="0.4"/>
    <row r="782" ht="15.75" customHeight="1" x14ac:dyDescent="0.4"/>
    <row r="783" ht="15.75" customHeight="1" x14ac:dyDescent="0.4"/>
    <row r="784" ht="15.75" customHeight="1" x14ac:dyDescent="0.4"/>
    <row r="785" ht="15.75" customHeight="1" x14ac:dyDescent="0.4"/>
    <row r="786" ht="15.75" customHeight="1" x14ac:dyDescent="0.4"/>
    <row r="787" ht="15.75" customHeight="1" x14ac:dyDescent="0.4"/>
    <row r="788" ht="15.75" customHeight="1" x14ac:dyDescent="0.4"/>
    <row r="789" ht="15.75" customHeight="1" x14ac:dyDescent="0.4"/>
    <row r="790" ht="15.75" customHeight="1" x14ac:dyDescent="0.4"/>
    <row r="791" ht="15.75" customHeight="1" x14ac:dyDescent="0.4"/>
    <row r="792" ht="15.75" customHeight="1" x14ac:dyDescent="0.4"/>
    <row r="793" ht="15.75" customHeight="1" x14ac:dyDescent="0.4"/>
    <row r="794" ht="15.75" customHeight="1" x14ac:dyDescent="0.4"/>
    <row r="795" ht="15.75" customHeight="1" x14ac:dyDescent="0.4"/>
    <row r="796" ht="15.75" customHeight="1" x14ac:dyDescent="0.4"/>
    <row r="797" ht="15.75" customHeight="1" x14ac:dyDescent="0.4"/>
    <row r="798" ht="15.75" customHeight="1" x14ac:dyDescent="0.4"/>
    <row r="799" ht="15.75" customHeight="1" x14ac:dyDescent="0.4"/>
    <row r="800" ht="15.75" customHeight="1" x14ac:dyDescent="0.4"/>
    <row r="801" ht="15.75" customHeight="1" x14ac:dyDescent="0.4"/>
    <row r="802" ht="15.75" customHeight="1" x14ac:dyDescent="0.4"/>
    <row r="803" ht="15.75" customHeight="1" x14ac:dyDescent="0.4"/>
    <row r="804" ht="15.75" customHeight="1" x14ac:dyDescent="0.4"/>
    <row r="805" ht="15.75" customHeight="1" x14ac:dyDescent="0.4"/>
    <row r="806" ht="15.75" customHeight="1" x14ac:dyDescent="0.4"/>
    <row r="807" ht="15.75" customHeight="1" x14ac:dyDescent="0.4"/>
    <row r="808" ht="15.75" customHeight="1" x14ac:dyDescent="0.4"/>
    <row r="809" ht="15.75" customHeight="1" x14ac:dyDescent="0.4"/>
    <row r="810" ht="15.75" customHeight="1" x14ac:dyDescent="0.4"/>
    <row r="811" ht="15.75" customHeight="1" x14ac:dyDescent="0.4"/>
    <row r="812" ht="15.75" customHeight="1" x14ac:dyDescent="0.4"/>
    <row r="813" ht="15.75" customHeight="1" x14ac:dyDescent="0.4"/>
    <row r="814" ht="15.75" customHeight="1" x14ac:dyDescent="0.4"/>
    <row r="815" ht="15.75" customHeight="1" x14ac:dyDescent="0.4"/>
    <row r="816" ht="15.75" customHeight="1" x14ac:dyDescent="0.4"/>
    <row r="817" ht="15.75" customHeight="1" x14ac:dyDescent="0.4"/>
    <row r="818" ht="15.75" customHeight="1" x14ac:dyDescent="0.4"/>
    <row r="819" ht="15.75" customHeight="1" x14ac:dyDescent="0.4"/>
    <row r="820" ht="15.75" customHeight="1" x14ac:dyDescent="0.4"/>
    <row r="821" ht="15.75" customHeight="1" x14ac:dyDescent="0.4"/>
    <row r="822" ht="15.75" customHeight="1" x14ac:dyDescent="0.4"/>
    <row r="823" ht="15.75" customHeight="1" x14ac:dyDescent="0.4"/>
    <row r="824" ht="15.75" customHeight="1" x14ac:dyDescent="0.4"/>
    <row r="825" ht="15.75" customHeight="1" x14ac:dyDescent="0.4"/>
    <row r="826" ht="15.75" customHeight="1" x14ac:dyDescent="0.4"/>
    <row r="827" ht="15.75" customHeight="1" x14ac:dyDescent="0.4"/>
    <row r="828" ht="15.75" customHeight="1" x14ac:dyDescent="0.4"/>
    <row r="829" ht="15.75" customHeight="1" x14ac:dyDescent="0.4"/>
    <row r="830" ht="15.75" customHeight="1" x14ac:dyDescent="0.4"/>
    <row r="831" ht="15.75" customHeight="1" x14ac:dyDescent="0.4"/>
    <row r="832" ht="15.75" customHeight="1" x14ac:dyDescent="0.4"/>
    <row r="833" ht="15.75" customHeight="1" x14ac:dyDescent="0.4"/>
    <row r="834" ht="15.75" customHeight="1" x14ac:dyDescent="0.4"/>
    <row r="835" ht="15.75" customHeight="1" x14ac:dyDescent="0.4"/>
    <row r="836" ht="15.75" customHeight="1" x14ac:dyDescent="0.4"/>
    <row r="837" ht="15.75" customHeight="1" x14ac:dyDescent="0.4"/>
    <row r="838" ht="15.75" customHeight="1" x14ac:dyDescent="0.4"/>
    <row r="839" ht="15.75" customHeight="1" x14ac:dyDescent="0.4"/>
    <row r="840" ht="15.75" customHeight="1" x14ac:dyDescent="0.4"/>
    <row r="841" ht="15.75" customHeight="1" x14ac:dyDescent="0.4"/>
    <row r="842" ht="15.75" customHeight="1" x14ac:dyDescent="0.4"/>
    <row r="843" ht="15.75" customHeight="1" x14ac:dyDescent="0.4"/>
    <row r="844" ht="15.75" customHeight="1" x14ac:dyDescent="0.4"/>
    <row r="845" ht="15.75" customHeight="1" x14ac:dyDescent="0.4"/>
    <row r="846" ht="15.75" customHeight="1" x14ac:dyDescent="0.4"/>
    <row r="847" ht="15.75" customHeight="1" x14ac:dyDescent="0.4"/>
    <row r="848" ht="15.75" customHeight="1" x14ac:dyDescent="0.4"/>
    <row r="849" ht="15.75" customHeight="1" x14ac:dyDescent="0.4"/>
    <row r="850" ht="15.75" customHeight="1" x14ac:dyDescent="0.4"/>
    <row r="851" ht="15.75" customHeight="1" x14ac:dyDescent="0.4"/>
    <row r="852" ht="15.75" customHeight="1" x14ac:dyDescent="0.4"/>
    <row r="853" ht="15.75" customHeight="1" x14ac:dyDescent="0.4"/>
    <row r="854" ht="15.75" customHeight="1" x14ac:dyDescent="0.4"/>
    <row r="855" ht="15.75" customHeight="1" x14ac:dyDescent="0.4"/>
    <row r="856" ht="15.75" customHeight="1" x14ac:dyDescent="0.4"/>
    <row r="857" ht="15.75" customHeight="1" x14ac:dyDescent="0.4"/>
    <row r="858" ht="15.75" customHeight="1" x14ac:dyDescent="0.4"/>
    <row r="859" ht="15.75" customHeight="1" x14ac:dyDescent="0.4"/>
    <row r="860" ht="15.75" customHeight="1" x14ac:dyDescent="0.4"/>
    <row r="861" ht="15.75" customHeight="1" x14ac:dyDescent="0.4"/>
    <row r="862" ht="15.75" customHeight="1" x14ac:dyDescent="0.4"/>
    <row r="863" ht="15.75" customHeight="1" x14ac:dyDescent="0.4"/>
    <row r="864" ht="15.75" customHeight="1" x14ac:dyDescent="0.4"/>
    <row r="865" ht="15.75" customHeight="1" x14ac:dyDescent="0.4"/>
    <row r="866" ht="15.75" customHeight="1" x14ac:dyDescent="0.4"/>
    <row r="867" ht="15.75" customHeight="1" x14ac:dyDescent="0.4"/>
    <row r="868" ht="15.75" customHeight="1" x14ac:dyDescent="0.4"/>
    <row r="869" ht="15.75" customHeight="1" x14ac:dyDescent="0.4"/>
    <row r="870" ht="15.75" customHeight="1" x14ac:dyDescent="0.4"/>
    <row r="871" ht="15.75" customHeight="1" x14ac:dyDescent="0.4"/>
    <row r="872" ht="15.75" customHeight="1" x14ac:dyDescent="0.4"/>
    <row r="873" ht="15.75" customHeight="1" x14ac:dyDescent="0.4"/>
    <row r="874" ht="15.75" customHeight="1" x14ac:dyDescent="0.4"/>
    <row r="875" ht="15.75" customHeight="1" x14ac:dyDescent="0.4"/>
    <row r="876" ht="15.75" customHeight="1" x14ac:dyDescent="0.4"/>
    <row r="877" ht="15.75" customHeight="1" x14ac:dyDescent="0.4"/>
    <row r="878" ht="15.75" customHeight="1" x14ac:dyDescent="0.4"/>
    <row r="879" ht="15.75" customHeight="1" x14ac:dyDescent="0.4"/>
    <row r="880" ht="15.75" customHeight="1" x14ac:dyDescent="0.4"/>
    <row r="881" ht="15.75" customHeight="1" x14ac:dyDescent="0.4"/>
    <row r="882" ht="15.75" customHeight="1" x14ac:dyDescent="0.4"/>
    <row r="883" ht="15.75" customHeight="1" x14ac:dyDescent="0.4"/>
    <row r="884" ht="15.75" customHeight="1" x14ac:dyDescent="0.4"/>
    <row r="885" ht="15.75" customHeight="1" x14ac:dyDescent="0.4"/>
    <row r="886" ht="15.75" customHeight="1" x14ac:dyDescent="0.4"/>
    <row r="887" ht="15.75" customHeight="1" x14ac:dyDescent="0.4"/>
    <row r="888" ht="15.75" customHeight="1" x14ac:dyDescent="0.4"/>
    <row r="889" ht="15.75" customHeight="1" x14ac:dyDescent="0.4"/>
    <row r="890" ht="15.75" customHeight="1" x14ac:dyDescent="0.4"/>
    <row r="891" ht="15.75" customHeight="1" x14ac:dyDescent="0.4"/>
    <row r="892" ht="15.75" customHeight="1" x14ac:dyDescent="0.4"/>
    <row r="893" ht="15.75" customHeight="1" x14ac:dyDescent="0.4"/>
    <row r="894" ht="15.75" customHeight="1" x14ac:dyDescent="0.4"/>
    <row r="895" ht="15.75" customHeight="1" x14ac:dyDescent="0.4"/>
    <row r="896" ht="15.75" customHeight="1" x14ac:dyDescent="0.4"/>
    <row r="897" ht="15.75" customHeight="1" x14ac:dyDescent="0.4"/>
    <row r="898" ht="15.75" customHeight="1" x14ac:dyDescent="0.4"/>
    <row r="899" ht="15.75" customHeight="1" x14ac:dyDescent="0.4"/>
    <row r="900" ht="15.75" customHeight="1" x14ac:dyDescent="0.4"/>
    <row r="901" ht="15.75" customHeight="1" x14ac:dyDescent="0.4"/>
    <row r="902" ht="15.75" customHeight="1" x14ac:dyDescent="0.4"/>
    <row r="903" ht="15.75" customHeight="1" x14ac:dyDescent="0.4"/>
    <row r="904" ht="15.75" customHeight="1" x14ac:dyDescent="0.4"/>
    <row r="905" ht="15.75" customHeight="1" x14ac:dyDescent="0.4"/>
    <row r="906" ht="15.75" customHeight="1" x14ac:dyDescent="0.4"/>
    <row r="907" ht="15.75" customHeight="1" x14ac:dyDescent="0.4"/>
    <row r="908" ht="15.75" customHeight="1" x14ac:dyDescent="0.4"/>
    <row r="909" ht="15.75" customHeight="1" x14ac:dyDescent="0.4"/>
    <row r="910" ht="15.75" customHeight="1" x14ac:dyDescent="0.4"/>
    <row r="911" ht="15.75" customHeight="1" x14ac:dyDescent="0.4"/>
    <row r="912" ht="15.75" customHeight="1" x14ac:dyDescent="0.4"/>
    <row r="913" ht="15.75" customHeight="1" x14ac:dyDescent="0.4"/>
    <row r="914" ht="15.75" customHeight="1" x14ac:dyDescent="0.4"/>
    <row r="915" ht="15.75" customHeight="1" x14ac:dyDescent="0.4"/>
    <row r="916" ht="15.75" customHeight="1" x14ac:dyDescent="0.4"/>
    <row r="917" ht="15.75" customHeight="1" x14ac:dyDescent="0.4"/>
    <row r="918" ht="15.75" customHeight="1" x14ac:dyDescent="0.4"/>
    <row r="919" ht="15.75" customHeight="1" x14ac:dyDescent="0.4"/>
    <row r="920" ht="15.75" customHeight="1" x14ac:dyDescent="0.4"/>
    <row r="921" ht="15.75" customHeight="1" x14ac:dyDescent="0.4"/>
    <row r="922" ht="15.75" customHeight="1" x14ac:dyDescent="0.4"/>
    <row r="923" ht="15.75" customHeight="1" x14ac:dyDescent="0.4"/>
    <row r="924" ht="15.75" customHeight="1" x14ac:dyDescent="0.4"/>
    <row r="925" ht="15.75" customHeight="1" x14ac:dyDescent="0.4"/>
    <row r="926" ht="15.75" customHeight="1" x14ac:dyDescent="0.4"/>
    <row r="927" ht="15.75" customHeight="1" x14ac:dyDescent="0.4"/>
    <row r="928" ht="15.75" customHeight="1" x14ac:dyDescent="0.4"/>
    <row r="929" ht="15.75" customHeight="1" x14ac:dyDescent="0.4"/>
    <row r="930" ht="15.75" customHeight="1" x14ac:dyDescent="0.4"/>
    <row r="931" ht="15.75" customHeight="1" x14ac:dyDescent="0.4"/>
    <row r="932" ht="15.75" customHeight="1" x14ac:dyDescent="0.4"/>
    <row r="933" ht="15.75" customHeight="1" x14ac:dyDescent="0.4"/>
    <row r="934" ht="15.75" customHeight="1" x14ac:dyDescent="0.4"/>
    <row r="935" ht="15.75" customHeight="1" x14ac:dyDescent="0.4"/>
    <row r="936" ht="15.75" customHeight="1" x14ac:dyDescent="0.4"/>
    <row r="937" ht="15.75" customHeight="1" x14ac:dyDescent="0.4"/>
    <row r="938" ht="15.75" customHeight="1" x14ac:dyDescent="0.4"/>
    <row r="939" ht="15.75" customHeight="1" x14ac:dyDescent="0.4"/>
    <row r="940" ht="15.75" customHeight="1" x14ac:dyDescent="0.4"/>
    <row r="941" ht="15.75" customHeight="1" x14ac:dyDescent="0.4"/>
    <row r="942" ht="15.75" customHeight="1" x14ac:dyDescent="0.4"/>
    <row r="943" ht="15.75" customHeight="1" x14ac:dyDescent="0.4"/>
    <row r="944" ht="15.75" customHeight="1" x14ac:dyDescent="0.4"/>
    <row r="945" ht="15.75" customHeight="1" x14ac:dyDescent="0.4"/>
    <row r="946" ht="15.75" customHeight="1" x14ac:dyDescent="0.4"/>
    <row r="947" ht="15.75" customHeight="1" x14ac:dyDescent="0.4"/>
    <row r="948" ht="15.75" customHeight="1" x14ac:dyDescent="0.4"/>
    <row r="949" ht="15.75" customHeight="1" x14ac:dyDescent="0.4"/>
    <row r="950" ht="15.75" customHeight="1" x14ac:dyDescent="0.4"/>
    <row r="951" ht="15.75" customHeight="1" x14ac:dyDescent="0.4"/>
    <row r="952" ht="15.75" customHeight="1" x14ac:dyDescent="0.4"/>
    <row r="953" ht="15.75" customHeight="1" x14ac:dyDescent="0.4"/>
    <row r="954" ht="15.75" customHeight="1" x14ac:dyDescent="0.4"/>
    <row r="955" ht="15.75" customHeight="1" x14ac:dyDescent="0.4"/>
    <row r="956" ht="15.75" customHeight="1" x14ac:dyDescent="0.4"/>
    <row r="957" ht="15.75" customHeight="1" x14ac:dyDescent="0.4"/>
    <row r="958" ht="15.75" customHeight="1" x14ac:dyDescent="0.4"/>
    <row r="959" ht="15.75" customHeight="1" x14ac:dyDescent="0.4"/>
    <row r="960" ht="15.75" customHeight="1" x14ac:dyDescent="0.4"/>
    <row r="961" ht="15.75" customHeight="1" x14ac:dyDescent="0.4"/>
    <row r="962" ht="15.75" customHeight="1" x14ac:dyDescent="0.4"/>
    <row r="963" ht="15.75" customHeight="1" x14ac:dyDescent="0.4"/>
    <row r="964" ht="15.75" customHeight="1" x14ac:dyDescent="0.4"/>
    <row r="965" ht="15.75" customHeight="1" x14ac:dyDescent="0.4"/>
    <row r="966" ht="15.75" customHeight="1" x14ac:dyDescent="0.4"/>
    <row r="967" ht="15.75" customHeight="1" x14ac:dyDescent="0.4"/>
    <row r="968" ht="15.75" customHeight="1" x14ac:dyDescent="0.4"/>
    <row r="969" ht="15.75" customHeight="1" x14ac:dyDescent="0.4"/>
    <row r="970" ht="15.75" customHeight="1" x14ac:dyDescent="0.4"/>
    <row r="971" ht="15.75" customHeight="1" x14ac:dyDescent="0.4"/>
    <row r="972" ht="15.75" customHeight="1" x14ac:dyDescent="0.4"/>
    <row r="973" ht="15.75" customHeight="1" x14ac:dyDescent="0.4"/>
    <row r="974" ht="15.75" customHeight="1" x14ac:dyDescent="0.4"/>
    <row r="975" ht="15.75" customHeight="1" x14ac:dyDescent="0.4"/>
    <row r="976" ht="15.75" customHeight="1" x14ac:dyDescent="0.4"/>
    <row r="977" ht="15.75" customHeight="1" x14ac:dyDescent="0.4"/>
    <row r="978" ht="15.75" customHeight="1" x14ac:dyDescent="0.4"/>
    <row r="979" ht="15.75" customHeight="1" x14ac:dyDescent="0.4"/>
    <row r="980" ht="15.75" customHeight="1" x14ac:dyDescent="0.4"/>
    <row r="981" ht="15.75" customHeight="1" x14ac:dyDescent="0.4"/>
    <row r="982" ht="15.75" customHeight="1" x14ac:dyDescent="0.4"/>
    <row r="983" ht="15.75" customHeight="1" x14ac:dyDescent="0.4"/>
    <row r="984" ht="15.75" customHeight="1" x14ac:dyDescent="0.4"/>
    <row r="985" ht="15.75" customHeight="1" x14ac:dyDescent="0.4"/>
    <row r="986" ht="15.75" customHeight="1" x14ac:dyDescent="0.4"/>
    <row r="987" ht="15.75" customHeight="1" x14ac:dyDescent="0.4"/>
    <row r="988" ht="15.75" customHeight="1" x14ac:dyDescent="0.4"/>
    <row r="989" ht="15.75" customHeight="1" x14ac:dyDescent="0.4"/>
    <row r="990" ht="15.75" customHeight="1" x14ac:dyDescent="0.4"/>
    <row r="991" ht="15.75" customHeight="1" x14ac:dyDescent="0.4"/>
    <row r="992" ht="15.75" customHeight="1" x14ac:dyDescent="0.4"/>
    <row r="993" ht="15.75" customHeight="1" x14ac:dyDescent="0.4"/>
    <row r="994" ht="15.75" customHeight="1" x14ac:dyDescent="0.4"/>
    <row r="995" ht="15.75" customHeight="1" x14ac:dyDescent="0.4"/>
    <row r="996" ht="15.75" customHeight="1" x14ac:dyDescent="0.4"/>
    <row r="997" ht="15.75" customHeight="1" x14ac:dyDescent="0.4"/>
    <row r="998" ht="15.75" customHeight="1" x14ac:dyDescent="0.4"/>
    <row r="999" ht="15.75" customHeight="1" x14ac:dyDescent="0.4"/>
    <row r="1000" ht="15.75" customHeight="1" x14ac:dyDescent="0.4"/>
  </sheetData>
  <mergeCells count="3">
    <mergeCell ref="G13:O13"/>
    <mergeCell ref="R1:AB1"/>
    <mergeCell ref="G1:P1"/>
  </mergeCells>
  <conditionalFormatting sqref="H3:H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:I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L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:M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1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3:AG36 AG38:AG4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4:AH4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:H3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:R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4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7:R4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1:H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1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5:H6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5:R6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4:H7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74:R7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83:H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3:R86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4:AN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4:AP5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0:AG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60:AH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4:AO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4:AO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4:AG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5:L18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0:AQ2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4:AH11 AN4:AN11">
    <cfRule type="cellIs" dxfId="47" priority="40" operator="greaterThan">
      <formula>1</formula>
    </cfRule>
  </conditionalFormatting>
  <conditionalFormatting sqref="AG20:AP2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2" xr:uid="{00000000-0004-0000-0500-000000000000}"/>
    <hyperlink ref="D18" r:id="rId3" xr:uid="{00000000-0004-0000-0500-000001000000}"/>
    <hyperlink ref="D19" r:id="rId4" xr:uid="{00000000-0004-0000-0500-000002000000}"/>
    <hyperlink ref="D20" r:id="rId5" xr:uid="{00000000-0004-0000-0500-000003000000}"/>
    <hyperlink ref="D21" r:id="rId6" xr:uid="{00000000-0004-0000-0500-000004000000}"/>
    <hyperlink ref="D22" r:id="rId7" xr:uid="{00000000-0004-0000-0500-000005000000}"/>
    <hyperlink ref="D23" r:id="rId8" xr:uid="{00000000-0004-0000-0500-000006000000}"/>
    <hyperlink ref="D24" r:id="rId9" xr:uid="{00000000-0004-0000-0500-000007000000}"/>
    <hyperlink ref="D25" r:id="rId10" xr:uid="{00000000-0004-0000-0500-000008000000}"/>
    <hyperlink ref="D26" r:id="rId11" xr:uid="{00000000-0004-0000-0500-000009000000}"/>
    <hyperlink ref="D27" r:id="rId12" xr:uid="{00000000-0004-0000-0500-00000A000000}"/>
    <hyperlink ref="D28" r:id="rId13" xr:uid="{00000000-0004-0000-0500-00000B000000}"/>
    <hyperlink ref="D29" r:id="rId14" xr:uid="{00000000-0004-0000-0500-00000C000000}"/>
    <hyperlink ref="D30" r:id="rId15" xr:uid="{00000000-0004-0000-0500-00000D000000}"/>
    <hyperlink ref="D31" r:id="rId16" xr:uid="{00000000-0004-0000-0500-00000E000000}"/>
    <hyperlink ref="D32" r:id="rId17" xr:uid="{00000000-0004-0000-0500-00000F000000}"/>
    <hyperlink ref="D33" r:id="rId18" xr:uid="{00000000-0004-0000-0500-000010000000}"/>
    <hyperlink ref="D34" r:id="rId19" xr:uid="{00000000-0004-0000-0500-000011000000}"/>
    <hyperlink ref="D35" r:id="rId20" xr:uid="{00000000-0004-0000-0500-000012000000}"/>
    <hyperlink ref="D36" r:id="rId21" xr:uid="{00000000-0004-0000-0500-000013000000}"/>
    <hyperlink ref="D37" r:id="rId22" xr:uid="{00000000-0004-0000-0500-000014000000}"/>
    <hyperlink ref="D38" r:id="rId23" xr:uid="{00000000-0004-0000-0500-000015000000}"/>
    <hyperlink ref="D39" r:id="rId24" xr:uid="{00000000-0004-0000-0500-000016000000}"/>
    <hyperlink ref="D40" r:id="rId25" xr:uid="{00000000-0004-0000-0500-000017000000}"/>
    <hyperlink ref="D41" r:id="rId26" xr:uid="{00000000-0004-0000-0500-000018000000}"/>
    <hyperlink ref="D42" r:id="rId27" xr:uid="{00000000-0004-0000-0500-000019000000}"/>
    <hyperlink ref="D43" r:id="rId28" xr:uid="{00000000-0004-0000-0500-00001A000000}"/>
    <hyperlink ref="D44" r:id="rId29" xr:uid="{00000000-0004-0000-0500-00001B000000}"/>
    <hyperlink ref="D45" r:id="rId30" xr:uid="{00000000-0004-0000-0500-00001C000000}"/>
    <hyperlink ref="D46" r:id="rId31" xr:uid="{00000000-0004-0000-0500-00001D000000}"/>
    <hyperlink ref="D47" r:id="rId32" xr:uid="{00000000-0004-0000-0500-00001E000000}"/>
    <hyperlink ref="D48" r:id="rId33" xr:uid="{00000000-0004-0000-0500-00001F000000}"/>
    <hyperlink ref="D49" r:id="rId34" xr:uid="{00000000-0004-0000-0500-000020000000}"/>
  </hyperlinks>
  <pageMargins left="0.7" right="0.7" top="0.75" bottom="0.75" header="0" footer="0"/>
  <pageSetup orientation="landscape"/>
  <drawing r:id="rId3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AQ1000"/>
  <sheetViews>
    <sheetView workbookViewId="0"/>
  </sheetViews>
  <sheetFormatPr defaultColWidth="12.61328125" defaultRowHeight="15" customHeight="1" x14ac:dyDescent="0.4"/>
  <cols>
    <col min="1" max="1" width="7.84375" customWidth="1"/>
    <col min="2" max="2" width="5.84375" customWidth="1"/>
    <col min="3" max="3" width="7.84375" customWidth="1"/>
    <col min="4" max="4" width="7.23046875" customWidth="1"/>
    <col min="5" max="5" width="1.84375" customWidth="1"/>
    <col min="6" max="6" width="9.23046875" hidden="1" customWidth="1"/>
    <col min="7" max="7" width="7.765625" customWidth="1"/>
    <col min="8" max="9" width="6.765625" customWidth="1"/>
    <col min="10" max="10" width="7.3828125" customWidth="1"/>
    <col min="11" max="11" width="9.15234375" customWidth="1"/>
    <col min="12" max="12" width="11.3828125" customWidth="1"/>
    <col min="13" max="13" width="7.15234375" customWidth="1"/>
    <col min="14" max="14" width="8" customWidth="1"/>
    <col min="15" max="15" width="10.3828125" customWidth="1"/>
    <col min="16" max="16" width="11.84375" customWidth="1"/>
    <col min="17" max="17" width="7.84375" customWidth="1"/>
    <col min="18" max="18" width="10.3828125" customWidth="1"/>
    <col min="19" max="19" width="6.15234375" customWidth="1"/>
    <col min="20" max="20" width="5.15234375" customWidth="1"/>
    <col min="21" max="21" width="5" customWidth="1"/>
    <col min="22" max="22" width="7.23046875" customWidth="1"/>
    <col min="23" max="23" width="4.84375" customWidth="1"/>
    <col min="24" max="24" width="5.765625" customWidth="1"/>
    <col min="25" max="26" width="5.3828125" customWidth="1"/>
    <col min="27" max="27" width="7.84375" customWidth="1"/>
    <col min="28" max="28" width="7.15234375" customWidth="1"/>
    <col min="29" max="29" width="4.23046875" customWidth="1"/>
    <col min="30" max="30" width="3.765625" customWidth="1"/>
    <col min="31" max="31" width="10.3828125" customWidth="1"/>
    <col min="32" max="32" width="7.3828125" customWidth="1"/>
    <col min="33" max="33" width="8.23046875" customWidth="1"/>
    <col min="34" max="34" width="7.84375" customWidth="1"/>
    <col min="35" max="35" width="9.15234375" customWidth="1"/>
    <col min="36" max="36" width="13.84375" customWidth="1"/>
    <col min="37" max="37" width="6.84375" customWidth="1"/>
    <col min="38" max="38" width="8" customWidth="1"/>
    <col min="39" max="39" width="10.3828125" customWidth="1"/>
    <col min="40" max="40" width="11.84375" customWidth="1"/>
    <col min="41" max="41" width="11.3828125" customWidth="1"/>
    <col min="42" max="42" width="7.3828125" customWidth="1"/>
    <col min="43" max="43" width="8.3828125" customWidth="1"/>
    <col min="44" max="44" width="12.3828125" customWidth="1"/>
  </cols>
  <sheetData>
    <row r="1" spans="1:41" ht="14.25" customHeight="1" x14ac:dyDescent="0.4">
      <c r="A1" s="89" t="s">
        <v>0</v>
      </c>
      <c r="B1" s="13" t="s">
        <v>1</v>
      </c>
      <c r="C1" s="61" t="s">
        <v>2</v>
      </c>
      <c r="D1" s="4" t="s">
        <v>3</v>
      </c>
      <c r="F1" s="4"/>
      <c r="G1" s="131" t="s">
        <v>4</v>
      </c>
      <c r="H1" s="132"/>
      <c r="I1" s="132"/>
      <c r="J1" s="132"/>
      <c r="K1" s="132"/>
      <c r="L1" s="132"/>
      <c r="M1" s="132"/>
      <c r="N1" s="132"/>
      <c r="O1" s="132"/>
      <c r="P1" s="133"/>
      <c r="Q1" s="5"/>
      <c r="R1" s="142" t="s">
        <v>5</v>
      </c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1"/>
      <c r="AF1" s="53"/>
      <c r="AG1" s="7" t="s">
        <v>6</v>
      </c>
      <c r="AH1" s="8" t="s">
        <v>7</v>
      </c>
      <c r="AI1" s="9" t="s">
        <v>8</v>
      </c>
      <c r="AJ1" s="10" t="s">
        <v>9</v>
      </c>
      <c r="AK1" s="11" t="s">
        <v>8</v>
      </c>
      <c r="AL1" s="8" t="s">
        <v>10</v>
      </c>
      <c r="AM1" s="7" t="s">
        <v>6</v>
      </c>
      <c r="AN1" s="92"/>
      <c r="AO1" s="92"/>
    </row>
    <row r="2" spans="1:41" ht="14.25" customHeight="1" x14ac:dyDescent="0.4">
      <c r="A2" s="12" t="s">
        <v>36</v>
      </c>
      <c r="B2" s="13">
        <v>2</v>
      </c>
      <c r="C2" s="14" t="s">
        <v>33</v>
      </c>
      <c r="D2" s="15" t="str">
        <f>HYPERLINK("https://discord.com/channels/191975109500731392/1212839710439776287/1227290995746672661","Discord")</f>
        <v>Discord</v>
      </c>
      <c r="F2" s="15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93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4"/>
      <c r="AF2" s="53"/>
      <c r="AG2" s="94"/>
      <c r="AH2" s="23"/>
      <c r="AI2" s="24">
        <f>COUNT($B:$B)</f>
        <v>104</v>
      </c>
      <c r="AJ2" s="25" t="s">
        <v>1204</v>
      </c>
      <c r="AK2" s="24">
        <f>COUNT($B:$B)</f>
        <v>104</v>
      </c>
      <c r="AL2" s="22"/>
      <c r="AM2" s="94"/>
      <c r="AN2" s="53"/>
      <c r="AO2" s="53"/>
    </row>
    <row r="3" spans="1:41" ht="14.25" customHeight="1" x14ac:dyDescent="0.4">
      <c r="A3" s="12" t="s">
        <v>39</v>
      </c>
      <c r="B3" s="13">
        <v>1</v>
      </c>
      <c r="C3" s="14" t="s">
        <v>441</v>
      </c>
      <c r="D3" s="15" t="s">
        <v>1205</v>
      </c>
      <c r="F3" s="15"/>
      <c r="G3" s="27" t="s">
        <v>28</v>
      </c>
      <c r="H3" s="28">
        <f t="shared" ref="H3:H14" si="0">COUNTIF($A:$A,G3)</f>
        <v>22</v>
      </c>
      <c r="I3" s="28">
        <f t="shared" ref="I3:I14" si="1">COUNTIF($C:$C,G3)</f>
        <v>21</v>
      </c>
      <c r="J3" s="29">
        <f t="shared" ref="J3:J14" si="2">H3/I3</f>
        <v>1.0476190476190477</v>
      </c>
      <c r="K3" s="28">
        <f>GETPIVOTDATA("Points",$R$2,"Sniper",G3)</f>
        <v>27</v>
      </c>
      <c r="L3" s="28">
        <f t="shared" ref="L3:L14" si="3">GETPIVOTDATA("Points",$R$2,"Snipee",G3)</f>
        <v>30</v>
      </c>
      <c r="M3" s="75">
        <f>K3/L3</f>
        <v>0.9</v>
      </c>
      <c r="N3" s="29">
        <f>K3/H3</f>
        <v>1.2272727272727273</v>
      </c>
      <c r="O3" s="29">
        <f>L3/I3</f>
        <v>1.4285714285714286</v>
      </c>
      <c r="P3" s="88">
        <f>COUNT(S5:AD5)/11</f>
        <v>0.63636363636363635</v>
      </c>
      <c r="Q3" s="93"/>
      <c r="R3" s="112" t="s">
        <v>0</v>
      </c>
      <c r="S3" s="115" t="s">
        <v>28</v>
      </c>
      <c r="T3" s="116" t="s">
        <v>37</v>
      </c>
      <c r="U3" s="116" t="s">
        <v>441</v>
      </c>
      <c r="V3" s="116" t="s">
        <v>734</v>
      </c>
      <c r="W3" s="116" t="s">
        <v>1206</v>
      </c>
      <c r="X3" s="116" t="s">
        <v>33</v>
      </c>
      <c r="Y3" s="116" t="s">
        <v>39</v>
      </c>
      <c r="Z3" s="116" t="s">
        <v>438</v>
      </c>
      <c r="AA3" s="116" t="s">
        <v>36</v>
      </c>
      <c r="AB3" s="116" t="s">
        <v>41</v>
      </c>
      <c r="AC3" s="116" t="s">
        <v>38</v>
      </c>
      <c r="AD3" s="116" t="s">
        <v>730</v>
      </c>
      <c r="AE3" s="117" t="s">
        <v>42</v>
      </c>
      <c r="AF3" s="53"/>
      <c r="AG3" s="50"/>
      <c r="AH3" s="22"/>
      <c r="AI3" s="32">
        <f>GETPIVOTDATA("Points",$R$2)</f>
        <v>158</v>
      </c>
      <c r="AJ3" s="33" t="s">
        <v>1207</v>
      </c>
      <c r="AK3" s="32">
        <f>GETPIVOTDATA("Points",$R$2)</f>
        <v>158</v>
      </c>
      <c r="AL3" s="22"/>
      <c r="AM3" s="50"/>
      <c r="AN3" s="53"/>
      <c r="AO3" s="53"/>
    </row>
    <row r="4" spans="1:41" ht="14.25" customHeight="1" x14ac:dyDescent="0.4">
      <c r="A4" s="12" t="s">
        <v>38</v>
      </c>
      <c r="B4" s="13">
        <v>2</v>
      </c>
      <c r="C4" s="14" t="s">
        <v>33</v>
      </c>
      <c r="D4" s="15" t="s">
        <v>1205</v>
      </c>
      <c r="F4" s="15"/>
      <c r="G4" s="27" t="s">
        <v>33</v>
      </c>
      <c r="H4" s="28">
        <f t="shared" si="0"/>
        <v>3</v>
      </c>
      <c r="I4" s="28">
        <f t="shared" si="1"/>
        <v>7</v>
      </c>
      <c r="J4" s="29">
        <f t="shared" si="2"/>
        <v>0.42857142857142855</v>
      </c>
      <c r="K4" s="28">
        <f>GETPIVOTDATA("Points",$R$2,"Sniper",G4)</f>
        <v>5</v>
      </c>
      <c r="L4" s="28">
        <f t="shared" si="3"/>
        <v>13</v>
      </c>
      <c r="M4" s="75">
        <f>K4/L4</f>
        <v>0.38461538461538464</v>
      </c>
      <c r="N4" s="29">
        <f>K4/H4</f>
        <v>1.6666666666666667</v>
      </c>
      <c r="O4" s="29">
        <f>L4/I4</f>
        <v>1.8571428571428572</v>
      </c>
      <c r="P4" s="88">
        <f>COUNT(S12:AD12)/11</f>
        <v>0.18181818181818182</v>
      </c>
      <c r="Q4" s="93"/>
      <c r="R4" s="115" t="s">
        <v>734</v>
      </c>
      <c r="S4" s="145">
        <v>12</v>
      </c>
      <c r="T4" s="146">
        <v>7</v>
      </c>
      <c r="U4" s="146">
        <v>6</v>
      </c>
      <c r="V4" s="146"/>
      <c r="W4" s="146">
        <v>8</v>
      </c>
      <c r="X4" s="146"/>
      <c r="Y4" s="146">
        <v>1</v>
      </c>
      <c r="Z4" s="146"/>
      <c r="AA4" s="146">
        <v>2</v>
      </c>
      <c r="AB4" s="146">
        <v>2</v>
      </c>
      <c r="AC4" s="146"/>
      <c r="AD4" s="146"/>
      <c r="AE4" s="147">
        <v>38</v>
      </c>
      <c r="AF4" s="53"/>
      <c r="AG4" s="35">
        <f ca="1">COUNTIF(H23:H34,AI4)-1</f>
        <v>-1</v>
      </c>
      <c r="AH4" s="36" t="str">
        <f>$G$23</f>
        <v>Carter</v>
      </c>
      <c r="AI4" s="32" t="e">
        <f ca="1">Maxine(H3:H14)</f>
        <v>#NAME?</v>
      </c>
      <c r="AJ4" s="33" t="s">
        <v>1208</v>
      </c>
      <c r="AK4" s="32" t="e">
        <f ca="1">Maxine(H17:H20)</f>
        <v>#NAME?</v>
      </c>
      <c r="AL4" s="38" t="str">
        <f>$G$65</f>
        <v>Baris</v>
      </c>
      <c r="AM4" s="35">
        <f ca="1">COUNTIF(H17:H20,AK4)-1</f>
        <v>-1</v>
      </c>
      <c r="AN4" s="92"/>
      <c r="AO4" s="92"/>
    </row>
    <row r="5" spans="1:41" ht="14.25" customHeight="1" x14ac:dyDescent="0.4">
      <c r="A5" s="12" t="s">
        <v>39</v>
      </c>
      <c r="B5" s="13">
        <v>2</v>
      </c>
      <c r="C5" s="14" t="s">
        <v>37</v>
      </c>
      <c r="D5" s="15" t="s">
        <v>1205</v>
      </c>
      <c r="F5" s="15"/>
      <c r="G5" s="27" t="s">
        <v>1206</v>
      </c>
      <c r="H5" s="28">
        <f t="shared" si="0"/>
        <v>0</v>
      </c>
      <c r="I5" s="28">
        <f t="shared" si="1"/>
        <v>7</v>
      </c>
      <c r="J5" s="29">
        <f t="shared" si="2"/>
        <v>0</v>
      </c>
      <c r="K5" s="28"/>
      <c r="L5" s="28">
        <f t="shared" si="3"/>
        <v>14</v>
      </c>
      <c r="M5" s="75"/>
      <c r="N5" s="29"/>
      <c r="O5" s="29">
        <f t="shared" ref="O5:O14" si="4">L5/I5</f>
        <v>2</v>
      </c>
      <c r="P5" s="88">
        <v>0</v>
      </c>
      <c r="Q5" s="93"/>
      <c r="R5" s="118" t="s">
        <v>28</v>
      </c>
      <c r="S5" s="148"/>
      <c r="T5" s="149">
        <v>9</v>
      </c>
      <c r="U5" s="149">
        <v>1</v>
      </c>
      <c r="V5" s="149">
        <v>5</v>
      </c>
      <c r="W5" s="149"/>
      <c r="X5" s="149"/>
      <c r="Y5" s="149">
        <v>7</v>
      </c>
      <c r="Z5" s="149">
        <v>3</v>
      </c>
      <c r="AA5" s="149">
        <v>1</v>
      </c>
      <c r="AB5" s="149">
        <v>1</v>
      </c>
      <c r="AC5" s="149"/>
      <c r="AD5" s="149"/>
      <c r="AE5" s="150">
        <v>27</v>
      </c>
      <c r="AF5" s="53"/>
      <c r="AG5" s="35">
        <f ca="1">COUNTIF(H37:H48,AI5)-1</f>
        <v>-1</v>
      </c>
      <c r="AH5" s="36" t="str">
        <f>$G$37</f>
        <v>Carter</v>
      </c>
      <c r="AI5" s="32" t="e">
        <f ca="1">Maxine(I3:I14)</f>
        <v>#NAME?</v>
      </c>
      <c r="AJ5" s="33" t="s">
        <v>1209</v>
      </c>
      <c r="AK5" s="32" t="e">
        <f ca="1">Maxine(I17:I20)</f>
        <v>#NAME?</v>
      </c>
      <c r="AL5" s="38" t="str">
        <f>$G$74</f>
        <v>Tenors</v>
      </c>
      <c r="AM5" s="35">
        <f ca="1">COUNTIF(I17:I20,AK5)-1</f>
        <v>-1</v>
      </c>
      <c r="AN5" s="92"/>
      <c r="AO5" s="92"/>
    </row>
    <row r="6" spans="1:41" ht="14.25" customHeight="1" x14ac:dyDescent="0.4">
      <c r="A6" s="12" t="s">
        <v>33</v>
      </c>
      <c r="B6" s="13">
        <v>1</v>
      </c>
      <c r="C6" s="14" t="s">
        <v>38</v>
      </c>
      <c r="D6" s="15" t="s">
        <v>1205</v>
      </c>
      <c r="F6" s="15"/>
      <c r="G6" s="27" t="s">
        <v>41</v>
      </c>
      <c r="H6" s="28">
        <f t="shared" si="0"/>
        <v>3</v>
      </c>
      <c r="I6" s="28">
        <f t="shared" si="1"/>
        <v>5</v>
      </c>
      <c r="J6" s="29">
        <f t="shared" si="2"/>
        <v>0.6</v>
      </c>
      <c r="K6" s="28">
        <f t="shared" ref="K6:K14" si="5">GETPIVOTDATA("Points",$R$2,"Sniper",G6)</f>
        <v>4</v>
      </c>
      <c r="L6" s="28">
        <f t="shared" si="3"/>
        <v>9</v>
      </c>
      <c r="M6" s="75">
        <f t="shared" ref="M6:M14" si="6">K6/L6</f>
        <v>0.44444444444444442</v>
      </c>
      <c r="N6" s="29">
        <f t="shared" ref="N6:N14" si="7">K6/H6</f>
        <v>1.3333333333333333</v>
      </c>
      <c r="O6" s="29">
        <f t="shared" si="4"/>
        <v>1.8</v>
      </c>
      <c r="P6" s="88">
        <f>COUNT(S13:AD13)/11</f>
        <v>0.27272727272727271</v>
      </c>
      <c r="Q6" s="93"/>
      <c r="R6" s="118" t="s">
        <v>39</v>
      </c>
      <c r="S6" s="148">
        <v>6</v>
      </c>
      <c r="T6" s="149">
        <v>2</v>
      </c>
      <c r="U6" s="149">
        <v>1</v>
      </c>
      <c r="V6" s="149">
        <v>2</v>
      </c>
      <c r="W6" s="149">
        <v>4</v>
      </c>
      <c r="X6" s="149"/>
      <c r="Y6" s="149"/>
      <c r="Z6" s="149">
        <v>3</v>
      </c>
      <c r="AA6" s="149">
        <v>4</v>
      </c>
      <c r="AB6" s="149">
        <v>2</v>
      </c>
      <c r="AC6" s="149"/>
      <c r="AD6" s="149">
        <v>2</v>
      </c>
      <c r="AE6" s="150">
        <v>26</v>
      </c>
      <c r="AF6" s="53"/>
      <c r="AG6" s="35">
        <f ca="1">COUNTIF(R23:R34,AI6)-1</f>
        <v>-1</v>
      </c>
      <c r="AH6" s="36" t="str">
        <f>$Q$23</f>
        <v>Sam</v>
      </c>
      <c r="AI6" s="32" t="e">
        <f ca="1">Maxine(K3:K14)</f>
        <v>#NAME?</v>
      </c>
      <c r="AJ6" s="33" t="s">
        <v>1210</v>
      </c>
      <c r="AK6" s="32" t="e">
        <f ca="1">Maxine(K17:K20)</f>
        <v>#NAME?</v>
      </c>
      <c r="AL6" s="38" t="str">
        <f>$Q$65</f>
        <v>Baris</v>
      </c>
      <c r="AM6" s="35">
        <f ca="1">COUNTIF(K17:K20,AK6)-1</f>
        <v>-1</v>
      </c>
      <c r="AN6" s="92"/>
      <c r="AO6" s="92"/>
    </row>
    <row r="7" spans="1:41" ht="14.25" customHeight="1" x14ac:dyDescent="0.4">
      <c r="A7" s="12" t="s">
        <v>28</v>
      </c>
      <c r="B7" s="13">
        <v>1</v>
      </c>
      <c r="C7" s="14" t="s">
        <v>39</v>
      </c>
      <c r="D7" s="15" t="s">
        <v>1205</v>
      </c>
      <c r="F7" s="15"/>
      <c r="G7" s="27" t="s">
        <v>38</v>
      </c>
      <c r="H7" s="28">
        <f t="shared" si="0"/>
        <v>2</v>
      </c>
      <c r="I7" s="28">
        <f t="shared" si="1"/>
        <v>2</v>
      </c>
      <c r="J7" s="29">
        <f t="shared" si="2"/>
        <v>1</v>
      </c>
      <c r="K7" s="28">
        <f t="shared" si="5"/>
        <v>4</v>
      </c>
      <c r="L7" s="28">
        <f t="shared" si="3"/>
        <v>3</v>
      </c>
      <c r="M7" s="75">
        <f t="shared" si="6"/>
        <v>1.3333333333333333</v>
      </c>
      <c r="N7" s="29">
        <f t="shared" si="7"/>
        <v>2</v>
      </c>
      <c r="O7" s="29">
        <f t="shared" si="4"/>
        <v>1.5</v>
      </c>
      <c r="P7" s="88">
        <f>COUNT(S14:AD14)/11</f>
        <v>0.18181818181818182</v>
      </c>
      <c r="Q7" s="93"/>
      <c r="R7" s="118" t="s">
        <v>37</v>
      </c>
      <c r="S7" s="148">
        <v>8</v>
      </c>
      <c r="T7" s="149"/>
      <c r="U7" s="149"/>
      <c r="V7" s="149">
        <v>4</v>
      </c>
      <c r="W7" s="149"/>
      <c r="X7" s="149">
        <v>1</v>
      </c>
      <c r="Y7" s="149"/>
      <c r="Z7" s="149">
        <v>1</v>
      </c>
      <c r="AA7" s="149"/>
      <c r="AB7" s="149"/>
      <c r="AC7" s="149"/>
      <c r="AD7" s="149"/>
      <c r="AE7" s="150">
        <v>14</v>
      </c>
      <c r="AF7" s="53"/>
      <c r="AG7" s="35">
        <f ca="1">COUNTIF(R37:R48,AI7)-1</f>
        <v>-1</v>
      </c>
      <c r="AH7" s="36" t="str">
        <f>$Q$37</f>
        <v>Carter</v>
      </c>
      <c r="AI7" s="32" t="e">
        <f ca="1">Maxine(L3:L14)</f>
        <v>#NAME?</v>
      </c>
      <c r="AJ7" s="33" t="s">
        <v>1211</v>
      </c>
      <c r="AK7" s="32" t="e">
        <f ca="1">Maxine(L17:L20)</f>
        <v>#NAME?</v>
      </c>
      <c r="AL7" s="38" t="str">
        <f>$Q$74</f>
        <v>Tenors</v>
      </c>
      <c r="AM7" s="35">
        <f ca="1">COUNTIF(L17:L20,AK7)-1</f>
        <v>-1</v>
      </c>
      <c r="AN7" s="92"/>
      <c r="AO7" s="92"/>
    </row>
    <row r="8" spans="1:41" ht="14.25" customHeight="1" x14ac:dyDescent="0.4">
      <c r="A8" s="12" t="s">
        <v>39</v>
      </c>
      <c r="B8" s="13">
        <v>2</v>
      </c>
      <c r="C8" s="14" t="s">
        <v>28</v>
      </c>
      <c r="D8" s="15" t="s">
        <v>1205</v>
      </c>
      <c r="E8" s="4">
        <v>0</v>
      </c>
      <c r="F8" s="15"/>
      <c r="G8" s="27" t="s">
        <v>438</v>
      </c>
      <c r="H8" s="28">
        <f t="shared" si="0"/>
        <v>7</v>
      </c>
      <c r="I8" s="28">
        <f t="shared" si="1"/>
        <v>8</v>
      </c>
      <c r="J8" s="29">
        <f t="shared" si="2"/>
        <v>0.875</v>
      </c>
      <c r="K8" s="28">
        <f t="shared" si="5"/>
        <v>11</v>
      </c>
      <c r="L8" s="28">
        <f t="shared" si="3"/>
        <v>11</v>
      </c>
      <c r="M8" s="75">
        <f t="shared" si="6"/>
        <v>1</v>
      </c>
      <c r="N8" s="29">
        <f t="shared" si="7"/>
        <v>1.5714285714285714</v>
      </c>
      <c r="O8" s="29">
        <f t="shared" si="4"/>
        <v>1.375</v>
      </c>
      <c r="P8" s="88">
        <f>COUNT(S9:AD9)/11</f>
        <v>0.45454545454545453</v>
      </c>
      <c r="Q8" s="93"/>
      <c r="R8" s="118" t="s">
        <v>36</v>
      </c>
      <c r="S8" s="148">
        <v>1</v>
      </c>
      <c r="T8" s="149"/>
      <c r="U8" s="149">
        <v>3</v>
      </c>
      <c r="V8" s="149">
        <v>2</v>
      </c>
      <c r="W8" s="149"/>
      <c r="X8" s="149">
        <v>2</v>
      </c>
      <c r="Y8" s="149"/>
      <c r="Z8" s="149">
        <v>2</v>
      </c>
      <c r="AA8" s="149"/>
      <c r="AB8" s="149">
        <v>2</v>
      </c>
      <c r="AC8" s="149"/>
      <c r="AD8" s="149"/>
      <c r="AE8" s="150">
        <v>12</v>
      </c>
      <c r="AF8" s="53"/>
      <c r="AG8" s="35">
        <f ca="1">COUNTIF(H51:H62,AI8)-1</f>
        <v>-1</v>
      </c>
      <c r="AH8" s="40" t="str">
        <f>$G$51</f>
        <v>Jon</v>
      </c>
      <c r="AI8" s="37" t="e">
        <f ca="1">Maxine(J3:J14)</f>
        <v>#NAME?</v>
      </c>
      <c r="AJ8" s="33" t="s">
        <v>1212</v>
      </c>
      <c r="AK8" s="37" t="e">
        <f ca="1">Maxine(J17:J20)</f>
        <v>#NAME?</v>
      </c>
      <c r="AL8" s="38" t="str">
        <f>$G$83</f>
        <v>Basses</v>
      </c>
      <c r="AM8" s="35">
        <f ca="1">COUNTIF(J17:J20,AK8)-1</f>
        <v>-1</v>
      </c>
      <c r="AN8" s="92"/>
      <c r="AO8" s="92"/>
    </row>
    <row r="9" spans="1:41" ht="14.25" customHeight="1" x14ac:dyDescent="0.4">
      <c r="A9" s="12" t="s">
        <v>734</v>
      </c>
      <c r="B9" s="13">
        <v>1</v>
      </c>
      <c r="C9" s="14" t="s">
        <v>37</v>
      </c>
      <c r="D9" s="15" t="s">
        <v>1205</v>
      </c>
      <c r="F9" s="15"/>
      <c r="G9" s="27" t="s">
        <v>441</v>
      </c>
      <c r="H9" s="28">
        <f t="shared" si="0"/>
        <v>6</v>
      </c>
      <c r="I9" s="28">
        <f t="shared" si="1"/>
        <v>10</v>
      </c>
      <c r="J9" s="29">
        <f t="shared" si="2"/>
        <v>0.6</v>
      </c>
      <c r="K9" s="28">
        <f t="shared" si="5"/>
        <v>9</v>
      </c>
      <c r="L9" s="28">
        <f t="shared" si="3"/>
        <v>16</v>
      </c>
      <c r="M9" s="75">
        <f t="shared" si="6"/>
        <v>0.5625</v>
      </c>
      <c r="N9" s="29">
        <f t="shared" si="7"/>
        <v>1.5</v>
      </c>
      <c r="O9" s="29">
        <f t="shared" si="4"/>
        <v>1.6</v>
      </c>
      <c r="P9" s="88">
        <f>COUNT(S10:AD10)/11</f>
        <v>0.54545454545454541</v>
      </c>
      <c r="Q9" s="93"/>
      <c r="R9" s="118" t="s">
        <v>438</v>
      </c>
      <c r="S9" s="148">
        <v>1</v>
      </c>
      <c r="T9" s="149">
        <v>3</v>
      </c>
      <c r="U9" s="149">
        <v>1</v>
      </c>
      <c r="V9" s="149"/>
      <c r="W9" s="149"/>
      <c r="X9" s="149">
        <v>2</v>
      </c>
      <c r="Y9" s="149">
        <v>4</v>
      </c>
      <c r="Z9" s="149"/>
      <c r="AA9" s="149"/>
      <c r="AB9" s="149"/>
      <c r="AC9" s="149"/>
      <c r="AD9" s="149"/>
      <c r="AE9" s="150">
        <v>11</v>
      </c>
      <c r="AF9" s="53"/>
      <c r="AG9" s="35">
        <f ca="1">COUNTIF(R51:R62,AI9)-1</f>
        <v>-1</v>
      </c>
      <c r="AH9" s="40" t="str">
        <f>$Q$51</f>
        <v>Jon</v>
      </c>
      <c r="AI9" s="37" t="e">
        <f ca="1">Maxine(M3:M14)</f>
        <v>#NAME?</v>
      </c>
      <c r="AJ9" s="33" t="s">
        <v>1213</v>
      </c>
      <c r="AK9" s="37" t="e">
        <f ca="1">Maxine(M16:M19)</f>
        <v>#NAME?</v>
      </c>
      <c r="AL9" s="38" t="str">
        <f>$Q$83</f>
        <v>Baris</v>
      </c>
      <c r="AM9" s="35">
        <f ca="1">COUNTIF(M16:M19,AK9)-1</f>
        <v>-1</v>
      </c>
      <c r="AN9" s="92"/>
      <c r="AO9" s="92"/>
    </row>
    <row r="10" spans="1:41" ht="14.25" customHeight="1" x14ac:dyDescent="0.4">
      <c r="A10" s="12" t="s">
        <v>28</v>
      </c>
      <c r="B10" s="13">
        <v>1</v>
      </c>
      <c r="C10" s="14" t="s">
        <v>734</v>
      </c>
      <c r="D10" s="15" t="s">
        <v>1205</v>
      </c>
      <c r="F10" s="15"/>
      <c r="G10" s="27" t="s">
        <v>36</v>
      </c>
      <c r="H10" s="28">
        <f t="shared" si="0"/>
        <v>8</v>
      </c>
      <c r="I10" s="28">
        <f t="shared" si="1"/>
        <v>7</v>
      </c>
      <c r="J10" s="29">
        <f t="shared" si="2"/>
        <v>1.1428571428571428</v>
      </c>
      <c r="K10" s="28">
        <f t="shared" si="5"/>
        <v>12</v>
      </c>
      <c r="L10" s="28">
        <f t="shared" si="3"/>
        <v>10</v>
      </c>
      <c r="M10" s="75">
        <f t="shared" si="6"/>
        <v>1.2</v>
      </c>
      <c r="N10" s="29">
        <f t="shared" si="7"/>
        <v>1.5</v>
      </c>
      <c r="O10" s="29">
        <f t="shared" si="4"/>
        <v>1.4285714285714286</v>
      </c>
      <c r="P10" s="88">
        <f>COUNT(S8:AD8)/11</f>
        <v>0.54545454545454541</v>
      </c>
      <c r="Q10" s="93"/>
      <c r="R10" s="118" t="s">
        <v>441</v>
      </c>
      <c r="S10" s="148">
        <v>1</v>
      </c>
      <c r="T10" s="149"/>
      <c r="U10" s="149"/>
      <c r="V10" s="149"/>
      <c r="W10" s="149">
        <v>2</v>
      </c>
      <c r="X10" s="149">
        <v>2</v>
      </c>
      <c r="Y10" s="149"/>
      <c r="Z10" s="149">
        <v>1</v>
      </c>
      <c r="AA10" s="149">
        <v>1</v>
      </c>
      <c r="AB10" s="149">
        <v>2</v>
      </c>
      <c r="AC10" s="149"/>
      <c r="AD10" s="149"/>
      <c r="AE10" s="150">
        <v>9</v>
      </c>
      <c r="AF10" s="53"/>
    </row>
    <row r="11" spans="1:41" ht="14.25" customHeight="1" x14ac:dyDescent="0.4">
      <c r="A11" s="12" t="s">
        <v>734</v>
      </c>
      <c r="B11" s="13">
        <v>1</v>
      </c>
      <c r="C11" s="14" t="s">
        <v>28</v>
      </c>
      <c r="D11" s="15" t="s">
        <v>1205</v>
      </c>
      <c r="E11" s="4">
        <v>0</v>
      </c>
      <c r="F11" s="15"/>
      <c r="G11" s="27" t="s">
        <v>734</v>
      </c>
      <c r="H11" s="28">
        <f t="shared" si="0"/>
        <v>22</v>
      </c>
      <c r="I11" s="28">
        <f t="shared" si="1"/>
        <v>13</v>
      </c>
      <c r="J11" s="29">
        <f t="shared" si="2"/>
        <v>1.6923076923076923</v>
      </c>
      <c r="K11" s="28">
        <f t="shared" si="5"/>
        <v>38</v>
      </c>
      <c r="L11" s="28">
        <f t="shared" si="3"/>
        <v>15</v>
      </c>
      <c r="M11" s="75">
        <f t="shared" si="6"/>
        <v>2.5333333333333332</v>
      </c>
      <c r="N11" s="29">
        <f t="shared" si="7"/>
        <v>1.7272727272727273</v>
      </c>
      <c r="O11" s="29">
        <f t="shared" si="4"/>
        <v>1.1538461538461537</v>
      </c>
      <c r="P11" s="88">
        <f>COUNT(S4:AD4)/11</f>
        <v>0.63636363636363635</v>
      </c>
      <c r="Q11" s="93"/>
      <c r="R11" s="118" t="s">
        <v>730</v>
      </c>
      <c r="S11" s="148"/>
      <c r="T11" s="149">
        <v>2</v>
      </c>
      <c r="U11" s="149"/>
      <c r="V11" s="149"/>
      <c r="W11" s="149"/>
      <c r="X11" s="149">
        <v>4</v>
      </c>
      <c r="Y11" s="149"/>
      <c r="Z11" s="149"/>
      <c r="AA11" s="149">
        <v>2</v>
      </c>
      <c r="AB11" s="149"/>
      <c r="AC11" s="149"/>
      <c r="AD11" s="149"/>
      <c r="AE11" s="150">
        <v>8</v>
      </c>
      <c r="AF11" s="53"/>
    </row>
    <row r="12" spans="1:41" ht="14.25" customHeight="1" x14ac:dyDescent="0.4">
      <c r="A12" s="12" t="s">
        <v>734</v>
      </c>
      <c r="B12" s="13">
        <v>1</v>
      </c>
      <c r="C12" s="14" t="s">
        <v>28</v>
      </c>
      <c r="D12" s="15" t="s">
        <v>1205</v>
      </c>
      <c r="E12" s="4">
        <v>0</v>
      </c>
      <c r="F12" s="15"/>
      <c r="G12" s="27" t="s">
        <v>37</v>
      </c>
      <c r="H12" s="28">
        <f t="shared" si="0"/>
        <v>10</v>
      </c>
      <c r="I12" s="28">
        <f t="shared" si="1"/>
        <v>14</v>
      </c>
      <c r="J12" s="29">
        <f t="shared" si="2"/>
        <v>0.7142857142857143</v>
      </c>
      <c r="K12" s="28">
        <f t="shared" si="5"/>
        <v>14</v>
      </c>
      <c r="L12" s="28">
        <f t="shared" si="3"/>
        <v>23</v>
      </c>
      <c r="M12" s="75">
        <f t="shared" si="6"/>
        <v>0.60869565217391308</v>
      </c>
      <c r="N12" s="29">
        <f t="shared" si="7"/>
        <v>1.4</v>
      </c>
      <c r="O12" s="29">
        <f t="shared" si="4"/>
        <v>1.6428571428571428</v>
      </c>
      <c r="P12" s="88">
        <f>COUNT(S7:AD7)/11</f>
        <v>0.36363636363636365</v>
      </c>
      <c r="Q12" s="93"/>
      <c r="R12" s="118" t="s">
        <v>33</v>
      </c>
      <c r="S12" s="148"/>
      <c r="T12" s="149"/>
      <c r="U12" s="149">
        <v>2</v>
      </c>
      <c r="V12" s="149"/>
      <c r="W12" s="149"/>
      <c r="X12" s="149"/>
      <c r="Y12" s="149"/>
      <c r="Z12" s="149"/>
      <c r="AA12" s="149"/>
      <c r="AB12" s="149"/>
      <c r="AC12" s="149">
        <v>3</v>
      </c>
      <c r="AD12" s="149"/>
      <c r="AE12" s="150">
        <v>5</v>
      </c>
      <c r="AF12" s="53"/>
      <c r="AG12" s="53"/>
    </row>
    <row r="13" spans="1:41" ht="14.25" customHeight="1" x14ac:dyDescent="0.4">
      <c r="A13" s="12" t="s">
        <v>28</v>
      </c>
      <c r="B13" s="13">
        <v>1</v>
      </c>
      <c r="C13" s="14" t="s">
        <v>734</v>
      </c>
      <c r="D13" s="15" t="s">
        <v>1205</v>
      </c>
      <c r="F13" s="15"/>
      <c r="G13" s="27" t="s">
        <v>39</v>
      </c>
      <c r="H13" s="28">
        <f t="shared" si="0"/>
        <v>17</v>
      </c>
      <c r="I13" s="28">
        <f t="shared" si="1"/>
        <v>9</v>
      </c>
      <c r="J13" s="29">
        <f t="shared" si="2"/>
        <v>1.8888888888888888</v>
      </c>
      <c r="K13" s="28">
        <f t="shared" si="5"/>
        <v>26</v>
      </c>
      <c r="L13" s="28">
        <f t="shared" si="3"/>
        <v>12</v>
      </c>
      <c r="M13" s="75">
        <f t="shared" si="6"/>
        <v>2.1666666666666665</v>
      </c>
      <c r="N13" s="29">
        <f t="shared" si="7"/>
        <v>1.5294117647058822</v>
      </c>
      <c r="O13" s="29">
        <f t="shared" si="4"/>
        <v>1.3333333333333333</v>
      </c>
      <c r="P13" s="88">
        <f>COUNT(S6:AD6)/11</f>
        <v>0.81818181818181823</v>
      </c>
      <c r="Q13" s="93"/>
      <c r="R13" s="118" t="s">
        <v>41</v>
      </c>
      <c r="S13" s="148">
        <v>1</v>
      </c>
      <c r="T13" s="149"/>
      <c r="U13" s="149"/>
      <c r="V13" s="149">
        <v>2</v>
      </c>
      <c r="W13" s="149"/>
      <c r="X13" s="149"/>
      <c r="Y13" s="149"/>
      <c r="Z13" s="149">
        <v>1</v>
      </c>
      <c r="AA13" s="149"/>
      <c r="AB13" s="149"/>
      <c r="AC13" s="149"/>
      <c r="AD13" s="149"/>
      <c r="AE13" s="150">
        <v>4</v>
      </c>
      <c r="AF13" s="53"/>
      <c r="AG13" s="53"/>
    </row>
    <row r="14" spans="1:41" ht="14.25" customHeight="1" x14ac:dyDescent="0.4">
      <c r="A14" s="12" t="s">
        <v>734</v>
      </c>
      <c r="B14" s="13">
        <v>2</v>
      </c>
      <c r="C14" s="14" t="s">
        <v>441</v>
      </c>
      <c r="D14" s="15" t="s">
        <v>1205</v>
      </c>
      <c r="F14" s="15"/>
      <c r="G14" s="82" t="s">
        <v>730</v>
      </c>
      <c r="H14" s="28">
        <f t="shared" si="0"/>
        <v>4</v>
      </c>
      <c r="I14" s="28">
        <f t="shared" si="1"/>
        <v>1</v>
      </c>
      <c r="J14" s="29">
        <f t="shared" si="2"/>
        <v>4</v>
      </c>
      <c r="K14" s="28">
        <f t="shared" si="5"/>
        <v>8</v>
      </c>
      <c r="L14" s="28">
        <f t="shared" si="3"/>
        <v>2</v>
      </c>
      <c r="M14" s="75">
        <f t="shared" si="6"/>
        <v>4</v>
      </c>
      <c r="N14" s="29">
        <f t="shared" si="7"/>
        <v>2</v>
      </c>
      <c r="O14" s="29">
        <f t="shared" si="4"/>
        <v>2</v>
      </c>
      <c r="P14" s="88">
        <f>COUNT(S11:AD11)/11</f>
        <v>0.27272727272727271</v>
      </c>
      <c r="Q14" s="93"/>
      <c r="R14" s="118" t="s">
        <v>38</v>
      </c>
      <c r="S14" s="148"/>
      <c r="T14" s="149"/>
      <c r="U14" s="149">
        <v>2</v>
      </c>
      <c r="V14" s="149"/>
      <c r="W14" s="149"/>
      <c r="X14" s="149">
        <v>2</v>
      </c>
      <c r="Y14" s="149"/>
      <c r="Z14" s="149"/>
      <c r="AA14" s="149"/>
      <c r="AB14" s="149"/>
      <c r="AC14" s="149"/>
      <c r="AD14" s="149"/>
      <c r="AE14" s="150">
        <v>4</v>
      </c>
      <c r="AF14" s="53"/>
      <c r="AG14" s="53"/>
    </row>
    <row r="15" spans="1:41" ht="14.25" customHeight="1" x14ac:dyDescent="0.4">
      <c r="A15" s="12" t="s">
        <v>441</v>
      </c>
      <c r="B15" s="13">
        <v>2</v>
      </c>
      <c r="C15" s="14" t="s">
        <v>41</v>
      </c>
      <c r="D15" s="15" t="s">
        <v>1205</v>
      </c>
      <c r="F15" s="15"/>
      <c r="G15" s="131" t="s">
        <v>1214</v>
      </c>
      <c r="H15" s="132"/>
      <c r="I15" s="132"/>
      <c r="J15" s="132"/>
      <c r="K15" s="132"/>
      <c r="L15" s="132"/>
      <c r="M15" s="132"/>
      <c r="N15" s="132"/>
      <c r="O15" s="133"/>
      <c r="Q15" s="5"/>
      <c r="R15" s="119" t="s">
        <v>42</v>
      </c>
      <c r="S15" s="151">
        <v>30</v>
      </c>
      <c r="T15" s="152">
        <v>23</v>
      </c>
      <c r="U15" s="152">
        <v>16</v>
      </c>
      <c r="V15" s="152">
        <v>15</v>
      </c>
      <c r="W15" s="152">
        <v>14</v>
      </c>
      <c r="X15" s="152">
        <v>13</v>
      </c>
      <c r="Y15" s="152">
        <v>12</v>
      </c>
      <c r="Z15" s="152">
        <v>11</v>
      </c>
      <c r="AA15" s="152">
        <v>10</v>
      </c>
      <c r="AB15" s="152">
        <v>9</v>
      </c>
      <c r="AC15" s="152">
        <v>3</v>
      </c>
      <c r="AD15" s="152">
        <v>2</v>
      </c>
      <c r="AE15" s="153">
        <v>158</v>
      </c>
      <c r="AG15" s="83"/>
    </row>
    <row r="16" spans="1:41" ht="14.25" customHeight="1" x14ac:dyDescent="0.4">
      <c r="A16" s="12" t="s">
        <v>438</v>
      </c>
      <c r="B16" s="13">
        <v>2</v>
      </c>
      <c r="C16" s="14" t="s">
        <v>39</v>
      </c>
      <c r="D16" s="15" t="s">
        <v>1205</v>
      </c>
      <c r="F16" s="15"/>
      <c r="G16" s="41" t="s">
        <v>74</v>
      </c>
      <c r="H16" s="18" t="s">
        <v>15</v>
      </c>
      <c r="I16" s="18" t="s">
        <v>16</v>
      </c>
      <c r="J16" s="18" t="s">
        <v>17</v>
      </c>
      <c r="K16" s="18" t="s">
        <v>18</v>
      </c>
      <c r="L16" s="18" t="s">
        <v>19</v>
      </c>
      <c r="M16" s="18" t="s">
        <v>20</v>
      </c>
      <c r="N16" s="18" t="s">
        <v>21</v>
      </c>
      <c r="O16" s="18" t="s">
        <v>22</v>
      </c>
      <c r="Q16" s="46"/>
      <c r="AG16" s="53"/>
      <c r="AK16" s="31"/>
    </row>
    <row r="17" spans="1:43" ht="14.25" customHeight="1" x14ac:dyDescent="0.4">
      <c r="A17" s="12" t="s">
        <v>28</v>
      </c>
      <c r="B17" s="13">
        <v>2</v>
      </c>
      <c r="C17" s="14" t="s">
        <v>39</v>
      </c>
      <c r="D17" s="15" t="s">
        <v>1205</v>
      </c>
      <c r="F17" s="15"/>
      <c r="G17" s="27" t="s">
        <v>76</v>
      </c>
      <c r="H17" s="28">
        <f>SUM(H3:H5)</f>
        <v>25</v>
      </c>
      <c r="I17" s="28">
        <f>SUM(I3:I5)</f>
        <v>35</v>
      </c>
      <c r="J17" s="29">
        <f>H17/I17</f>
        <v>0.7142857142857143</v>
      </c>
      <c r="K17" s="28">
        <f>SUM(K3:K5)</f>
        <v>32</v>
      </c>
      <c r="L17" s="28">
        <f>SUM(L3:L5)</f>
        <v>57</v>
      </c>
      <c r="M17" s="29">
        <f>K17/L17</f>
        <v>0.56140350877192979</v>
      </c>
      <c r="N17" s="29">
        <f t="shared" ref="N17:O20" si="8">K17/H17</f>
        <v>1.28</v>
      </c>
      <c r="O17" s="29">
        <f t="shared" si="8"/>
        <v>1.6285714285714286</v>
      </c>
      <c r="Q17" s="15"/>
      <c r="AE17" s="84" t="s">
        <v>123</v>
      </c>
      <c r="AF17" s="85" t="s">
        <v>15</v>
      </c>
      <c r="AG17" s="85" t="s">
        <v>16</v>
      </c>
      <c r="AH17" s="85" t="s">
        <v>17</v>
      </c>
      <c r="AI17" s="85" t="s">
        <v>18</v>
      </c>
      <c r="AJ17" s="85" t="s">
        <v>19</v>
      </c>
      <c r="AK17" s="85" t="s">
        <v>20</v>
      </c>
      <c r="AL17" s="85" t="s">
        <v>21</v>
      </c>
      <c r="AM17" s="85" t="s">
        <v>22</v>
      </c>
      <c r="AN17" s="85" t="s">
        <v>23</v>
      </c>
      <c r="AO17" s="85" t="s">
        <v>1171</v>
      </c>
    </row>
    <row r="18" spans="1:43" ht="14.25" customHeight="1" x14ac:dyDescent="0.4">
      <c r="A18" s="12" t="s">
        <v>734</v>
      </c>
      <c r="B18" s="13">
        <v>2</v>
      </c>
      <c r="C18" s="14" t="s">
        <v>1206</v>
      </c>
      <c r="D18" s="15" t="s">
        <v>1205</v>
      </c>
      <c r="F18" s="15"/>
      <c r="G18" s="27" t="s">
        <v>77</v>
      </c>
      <c r="H18" s="28">
        <f>SUM(H6:H8)</f>
        <v>12</v>
      </c>
      <c r="I18" s="28">
        <f>SUM(I6:I8)</f>
        <v>15</v>
      </c>
      <c r="J18" s="29">
        <f>H18/I18</f>
        <v>0.8</v>
      </c>
      <c r="K18" s="28">
        <f>SUM(K6:K8)</f>
        <v>19</v>
      </c>
      <c r="L18" s="28">
        <f>SUM(L6:L8)</f>
        <v>23</v>
      </c>
      <c r="M18" s="29">
        <f>K18/L18</f>
        <v>0.82608695652173914</v>
      </c>
      <c r="N18" s="29">
        <f t="shared" si="8"/>
        <v>1.5833333333333333</v>
      </c>
      <c r="O18" s="29">
        <f t="shared" si="8"/>
        <v>1.5333333333333334</v>
      </c>
      <c r="AE18" s="86" t="s">
        <v>65</v>
      </c>
      <c r="AF18" s="43">
        <v>7.5</v>
      </c>
      <c r="AG18" s="44">
        <v>-6</v>
      </c>
      <c r="AH18" s="44">
        <v>25</v>
      </c>
      <c r="AI18" s="44">
        <v>8.5</v>
      </c>
      <c r="AJ18" s="44">
        <v>-6.5</v>
      </c>
      <c r="AK18" s="44">
        <v>25</v>
      </c>
      <c r="AL18" s="44">
        <v>20</v>
      </c>
      <c r="AM18" s="44">
        <v>-20</v>
      </c>
      <c r="AN18" s="25">
        <v>100</v>
      </c>
      <c r="AO18" s="44">
        <v>4</v>
      </c>
      <c r="AP18" s="35" t="s">
        <v>66</v>
      </c>
      <c r="AQ18" s="87" t="s">
        <v>472</v>
      </c>
    </row>
    <row r="19" spans="1:43" ht="14.25" customHeight="1" x14ac:dyDescent="0.4">
      <c r="A19" s="12" t="s">
        <v>734</v>
      </c>
      <c r="B19" s="13">
        <v>2</v>
      </c>
      <c r="C19" s="14" t="s">
        <v>41</v>
      </c>
      <c r="D19" s="15" t="s">
        <v>1205</v>
      </c>
      <c r="F19" s="15"/>
      <c r="G19" s="27" t="s">
        <v>79</v>
      </c>
      <c r="H19" s="28">
        <f>SUM(H9:H11)</f>
        <v>36</v>
      </c>
      <c r="I19" s="28">
        <f>SUM(I9:I11)</f>
        <v>30</v>
      </c>
      <c r="J19" s="29">
        <f>H19/I19</f>
        <v>1.2</v>
      </c>
      <c r="K19" s="28">
        <f>SUM(K9:K11)</f>
        <v>59</v>
      </c>
      <c r="L19" s="28">
        <f>SUM(L9:L11)</f>
        <v>41</v>
      </c>
      <c r="M19" s="29">
        <f>K19/L19</f>
        <v>1.4390243902439024</v>
      </c>
      <c r="N19" s="29">
        <f t="shared" si="8"/>
        <v>1.6388888888888888</v>
      </c>
      <c r="O19" s="29">
        <f t="shared" si="8"/>
        <v>1.3666666666666667</v>
      </c>
      <c r="Q19" s="58"/>
      <c r="R19" s="59" t="s">
        <v>28</v>
      </c>
      <c r="S19" s="32" t="s">
        <v>81</v>
      </c>
      <c r="T19" s="60" t="s">
        <v>82</v>
      </c>
      <c r="U19" s="61" t="s">
        <v>83</v>
      </c>
      <c r="V19" s="62" t="s">
        <v>84</v>
      </c>
      <c r="AE19" s="86" t="s">
        <v>28</v>
      </c>
      <c r="AF19" s="29">
        <f t="shared" ref="AF19:AF30" si="9">H3*$AF$18</f>
        <v>165</v>
      </c>
      <c r="AG19" s="29">
        <f t="shared" ref="AG19:AG30" si="10">I3*$AG$18</f>
        <v>-126</v>
      </c>
      <c r="AH19" s="29">
        <f t="shared" ref="AH19:AH30" si="11">J3*$AH$18</f>
        <v>26.190476190476193</v>
      </c>
      <c r="AI19" s="29">
        <f t="shared" ref="AI19:AI30" si="12">K3*$AI$18</f>
        <v>229.5</v>
      </c>
      <c r="AJ19" s="29">
        <f t="shared" ref="AJ19:AJ30" si="13">L3*$AJ$18</f>
        <v>-195</v>
      </c>
      <c r="AK19" s="29">
        <f t="shared" ref="AK19:AK30" si="14">M3*$AK$18</f>
        <v>22.5</v>
      </c>
      <c r="AL19" s="29">
        <f t="shared" ref="AL19:AL30" si="15">N3*$AL$18</f>
        <v>24.545454545454547</v>
      </c>
      <c r="AM19" s="29">
        <f t="shared" ref="AM19:AM30" si="16">O3*$AM$18</f>
        <v>-28.571428571428573</v>
      </c>
      <c r="AN19" s="88">
        <f t="shared" ref="AN19:AN30" si="17">P3*$AN$18</f>
        <v>63.636363636363633</v>
      </c>
      <c r="AO19" s="29">
        <f t="shared" ref="AO19:AO30" si="18">SUM(H3:I3)*$AO$18</f>
        <v>172</v>
      </c>
      <c r="AP19" s="67">
        <f t="shared" ref="AP19:AP30" si="19">SUM(AF19:AO19)</f>
        <v>353.80086580086584</v>
      </c>
      <c r="AQ19" s="87"/>
    </row>
    <row r="20" spans="1:43" ht="14.25" customHeight="1" x14ac:dyDescent="0.4">
      <c r="A20" s="12" t="s">
        <v>438</v>
      </c>
      <c r="B20" s="13">
        <v>2</v>
      </c>
      <c r="C20" s="14" t="s">
        <v>37</v>
      </c>
      <c r="D20" s="15" t="s">
        <v>1205</v>
      </c>
      <c r="F20" s="15"/>
      <c r="G20" s="27" t="s">
        <v>86</v>
      </c>
      <c r="H20" s="28">
        <f>SUM(H12:H14)</f>
        <v>31</v>
      </c>
      <c r="I20" s="28">
        <f>SUM(I12:I14)</f>
        <v>24</v>
      </c>
      <c r="J20" s="29">
        <f>H20/I20</f>
        <v>1.2916666666666667</v>
      </c>
      <c r="K20" s="28">
        <f>SUM(K12:K14)</f>
        <v>48</v>
      </c>
      <c r="L20" s="28">
        <f>SUM(L12:L14)</f>
        <v>37</v>
      </c>
      <c r="M20" s="29">
        <f>K20/L20</f>
        <v>1.2972972972972974</v>
      </c>
      <c r="N20" s="29">
        <f t="shared" si="8"/>
        <v>1.5483870967741935</v>
      </c>
      <c r="O20" s="29">
        <f t="shared" si="8"/>
        <v>1.5416666666666667</v>
      </c>
      <c r="Q20" s="58"/>
      <c r="R20" s="36" t="s">
        <v>87</v>
      </c>
      <c r="S20" s="32">
        <f>COUNT(E:E)</f>
        <v>21</v>
      </c>
      <c r="T20" s="60">
        <f>COUNTIF(E:E,"1")</f>
        <v>6</v>
      </c>
      <c r="U20" s="61">
        <f>COUNTIF(E:E,"0")</f>
        <v>15</v>
      </c>
      <c r="V20" s="63">
        <f>T20/S20</f>
        <v>0.2857142857142857</v>
      </c>
      <c r="AE20" s="86" t="s">
        <v>33</v>
      </c>
      <c r="AF20" s="29">
        <f t="shared" si="9"/>
        <v>22.5</v>
      </c>
      <c r="AG20" s="29">
        <f t="shared" si="10"/>
        <v>-42</v>
      </c>
      <c r="AH20" s="29">
        <f t="shared" si="11"/>
        <v>10.714285714285714</v>
      </c>
      <c r="AI20" s="29">
        <f t="shared" si="12"/>
        <v>42.5</v>
      </c>
      <c r="AJ20" s="29">
        <f t="shared" si="13"/>
        <v>-84.5</v>
      </c>
      <c r="AK20" s="29">
        <f t="shared" si="14"/>
        <v>9.6153846153846168</v>
      </c>
      <c r="AL20" s="29">
        <f t="shared" si="15"/>
        <v>33.333333333333336</v>
      </c>
      <c r="AM20" s="29">
        <f t="shared" si="16"/>
        <v>-37.142857142857146</v>
      </c>
      <c r="AN20" s="88">
        <f t="shared" si="17"/>
        <v>18.181818181818183</v>
      </c>
      <c r="AO20" s="29">
        <f t="shared" si="18"/>
        <v>40</v>
      </c>
      <c r="AP20" s="67">
        <f t="shared" si="19"/>
        <v>13.201964701964709</v>
      </c>
      <c r="AQ20" s="87"/>
    </row>
    <row r="21" spans="1:43" ht="14.25" customHeight="1" x14ac:dyDescent="0.4">
      <c r="A21" s="12" t="s">
        <v>438</v>
      </c>
      <c r="B21" s="13">
        <v>2</v>
      </c>
      <c r="C21" s="14" t="s">
        <v>39</v>
      </c>
      <c r="D21" s="15" t="s">
        <v>1205</v>
      </c>
      <c r="F21" s="15"/>
      <c r="J21" s="53"/>
      <c r="K21" s="53"/>
      <c r="L21" s="53"/>
      <c r="M21" s="31"/>
      <c r="N21" s="31"/>
      <c r="O21" s="31"/>
      <c r="P21" s="31"/>
      <c r="Q21" s="5"/>
      <c r="AE21" s="86" t="s">
        <v>1206</v>
      </c>
      <c r="AF21" s="29">
        <f t="shared" si="9"/>
        <v>0</v>
      </c>
      <c r="AG21" s="29">
        <f t="shared" si="10"/>
        <v>-42</v>
      </c>
      <c r="AH21" s="29">
        <f t="shared" si="11"/>
        <v>0</v>
      </c>
      <c r="AI21" s="29">
        <f t="shared" si="12"/>
        <v>0</v>
      </c>
      <c r="AJ21" s="29">
        <f t="shared" si="13"/>
        <v>-91</v>
      </c>
      <c r="AK21" s="29">
        <f t="shared" si="14"/>
        <v>0</v>
      </c>
      <c r="AL21" s="29">
        <f t="shared" si="15"/>
        <v>0</v>
      </c>
      <c r="AM21" s="29">
        <f t="shared" si="16"/>
        <v>-40</v>
      </c>
      <c r="AN21" s="88">
        <f t="shared" si="17"/>
        <v>0</v>
      </c>
      <c r="AO21" s="29">
        <f t="shared" si="18"/>
        <v>28</v>
      </c>
      <c r="AP21" s="67">
        <f t="shared" si="19"/>
        <v>-145</v>
      </c>
      <c r="AQ21" s="87"/>
    </row>
    <row r="22" spans="1:43" ht="14.25" customHeight="1" x14ac:dyDescent="0.4">
      <c r="A22" s="12" t="s">
        <v>39</v>
      </c>
      <c r="B22" s="13">
        <v>1</v>
      </c>
      <c r="C22" s="14" t="s">
        <v>438</v>
      </c>
      <c r="D22" s="15" t="s">
        <v>1205</v>
      </c>
      <c r="F22" s="15"/>
      <c r="G22" s="86" t="s">
        <v>14</v>
      </c>
      <c r="H22" s="33" t="s">
        <v>15</v>
      </c>
      <c r="J22" s="53"/>
      <c r="K22" s="53"/>
      <c r="L22" s="53"/>
      <c r="M22" s="31"/>
      <c r="N22" s="31"/>
      <c r="O22" s="31"/>
      <c r="Q22" s="86" t="s">
        <v>14</v>
      </c>
      <c r="R22" s="33" t="s">
        <v>18</v>
      </c>
      <c r="AE22" s="86" t="s">
        <v>41</v>
      </c>
      <c r="AF22" s="29">
        <f t="shared" si="9"/>
        <v>22.5</v>
      </c>
      <c r="AG22" s="29">
        <f t="shared" si="10"/>
        <v>-30</v>
      </c>
      <c r="AH22" s="29">
        <f t="shared" si="11"/>
        <v>15</v>
      </c>
      <c r="AI22" s="29">
        <f t="shared" si="12"/>
        <v>34</v>
      </c>
      <c r="AJ22" s="29">
        <f t="shared" si="13"/>
        <v>-58.5</v>
      </c>
      <c r="AK22" s="29">
        <f t="shared" si="14"/>
        <v>11.111111111111111</v>
      </c>
      <c r="AL22" s="29">
        <f t="shared" si="15"/>
        <v>26.666666666666664</v>
      </c>
      <c r="AM22" s="29">
        <f t="shared" si="16"/>
        <v>-36</v>
      </c>
      <c r="AN22" s="88">
        <f t="shared" si="17"/>
        <v>27.27272727272727</v>
      </c>
      <c r="AO22" s="29">
        <f t="shared" si="18"/>
        <v>32</v>
      </c>
      <c r="AP22" s="67">
        <f t="shared" si="19"/>
        <v>44.050505050505045</v>
      </c>
      <c r="AQ22" s="87"/>
    </row>
    <row r="23" spans="1:43" ht="14.25" customHeight="1" x14ac:dyDescent="0.4">
      <c r="A23" s="12" t="s">
        <v>438</v>
      </c>
      <c r="B23" s="13">
        <v>1</v>
      </c>
      <c r="C23" s="14" t="s">
        <v>28</v>
      </c>
      <c r="D23" s="15" t="s">
        <v>1205</v>
      </c>
      <c r="E23" s="4">
        <v>0</v>
      </c>
      <c r="F23" s="15"/>
      <c r="G23" s="86" t="s">
        <v>28</v>
      </c>
      <c r="H23" s="89">
        <f>$H$3</f>
        <v>22</v>
      </c>
      <c r="J23" s="53"/>
      <c r="K23" s="53"/>
      <c r="L23" s="53"/>
      <c r="M23" s="31"/>
      <c r="N23" s="31"/>
      <c r="O23" s="31"/>
      <c r="Q23" s="86" t="s">
        <v>734</v>
      </c>
      <c r="R23" s="60">
        <f>$K$11</f>
        <v>38</v>
      </c>
      <c r="AE23" s="86" t="s">
        <v>38</v>
      </c>
      <c r="AF23" s="29">
        <f t="shared" si="9"/>
        <v>15</v>
      </c>
      <c r="AG23" s="29">
        <f t="shared" si="10"/>
        <v>-12</v>
      </c>
      <c r="AH23" s="29">
        <f t="shared" si="11"/>
        <v>25</v>
      </c>
      <c r="AI23" s="29">
        <f t="shared" si="12"/>
        <v>34</v>
      </c>
      <c r="AJ23" s="29">
        <f t="shared" si="13"/>
        <v>-19.5</v>
      </c>
      <c r="AK23" s="29">
        <f t="shared" si="14"/>
        <v>33.333333333333329</v>
      </c>
      <c r="AL23" s="29">
        <f t="shared" si="15"/>
        <v>40</v>
      </c>
      <c r="AM23" s="29">
        <f t="shared" si="16"/>
        <v>-30</v>
      </c>
      <c r="AN23" s="88">
        <f t="shared" si="17"/>
        <v>18.181818181818183</v>
      </c>
      <c r="AO23" s="29">
        <f t="shared" si="18"/>
        <v>16</v>
      </c>
      <c r="AP23" s="67">
        <f t="shared" si="19"/>
        <v>120.01515151515152</v>
      </c>
      <c r="AQ23" s="87"/>
    </row>
    <row r="24" spans="1:43" ht="14.25" customHeight="1" x14ac:dyDescent="0.4">
      <c r="A24" s="12" t="s">
        <v>39</v>
      </c>
      <c r="B24" s="13">
        <v>1</v>
      </c>
      <c r="C24" s="14" t="s">
        <v>28</v>
      </c>
      <c r="D24" s="15" t="s">
        <v>1205</v>
      </c>
      <c r="E24" s="4">
        <v>0</v>
      </c>
      <c r="F24" s="15"/>
      <c r="G24" s="86" t="s">
        <v>734</v>
      </c>
      <c r="H24" s="89">
        <f>$H$11</f>
        <v>22</v>
      </c>
      <c r="J24" s="53"/>
      <c r="K24" s="53"/>
      <c r="L24" s="53"/>
      <c r="M24" s="31"/>
      <c r="N24" s="31"/>
      <c r="O24" s="31"/>
      <c r="Q24" s="86" t="s">
        <v>28</v>
      </c>
      <c r="R24" s="60">
        <f>$K$3</f>
        <v>27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86" t="s">
        <v>438</v>
      </c>
      <c r="AF24" s="29">
        <f t="shared" si="9"/>
        <v>52.5</v>
      </c>
      <c r="AG24" s="29">
        <f t="shared" si="10"/>
        <v>-48</v>
      </c>
      <c r="AH24" s="29">
        <f t="shared" si="11"/>
        <v>21.875</v>
      </c>
      <c r="AI24" s="29">
        <f t="shared" si="12"/>
        <v>93.5</v>
      </c>
      <c r="AJ24" s="29">
        <f t="shared" si="13"/>
        <v>-71.5</v>
      </c>
      <c r="AK24" s="29">
        <f t="shared" si="14"/>
        <v>25</v>
      </c>
      <c r="AL24" s="29">
        <f t="shared" si="15"/>
        <v>31.428571428571427</v>
      </c>
      <c r="AM24" s="29">
        <f t="shared" si="16"/>
        <v>-27.5</v>
      </c>
      <c r="AN24" s="88">
        <f t="shared" si="17"/>
        <v>45.454545454545453</v>
      </c>
      <c r="AO24" s="29">
        <f t="shared" si="18"/>
        <v>60</v>
      </c>
      <c r="AP24" s="67">
        <f t="shared" si="19"/>
        <v>182.75811688311688</v>
      </c>
      <c r="AQ24" s="87"/>
    </row>
    <row r="25" spans="1:43" ht="14.25" customHeight="1" x14ac:dyDescent="0.4">
      <c r="A25" s="12" t="s">
        <v>28</v>
      </c>
      <c r="B25" s="13">
        <v>1</v>
      </c>
      <c r="C25" s="14" t="s">
        <v>39</v>
      </c>
      <c r="D25" s="15" t="s">
        <v>1205</v>
      </c>
      <c r="F25" s="15"/>
      <c r="G25" s="86" t="s">
        <v>39</v>
      </c>
      <c r="H25" s="89">
        <f>$H$13</f>
        <v>17</v>
      </c>
      <c r="J25" s="53"/>
      <c r="K25" s="53"/>
      <c r="L25" s="53"/>
      <c r="M25" s="31"/>
      <c r="N25" s="31"/>
      <c r="O25" s="31"/>
      <c r="Q25" s="86" t="s">
        <v>39</v>
      </c>
      <c r="R25" s="60">
        <f>$K$13</f>
        <v>26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86" t="s">
        <v>441</v>
      </c>
      <c r="AF25" s="29">
        <f t="shared" si="9"/>
        <v>45</v>
      </c>
      <c r="AG25" s="29">
        <f t="shared" si="10"/>
        <v>-60</v>
      </c>
      <c r="AH25" s="29">
        <f t="shared" si="11"/>
        <v>15</v>
      </c>
      <c r="AI25" s="29">
        <f t="shared" si="12"/>
        <v>76.5</v>
      </c>
      <c r="AJ25" s="29">
        <f t="shared" si="13"/>
        <v>-104</v>
      </c>
      <c r="AK25" s="29">
        <f t="shared" si="14"/>
        <v>14.0625</v>
      </c>
      <c r="AL25" s="29">
        <f t="shared" si="15"/>
        <v>30</v>
      </c>
      <c r="AM25" s="29">
        <f t="shared" si="16"/>
        <v>-32</v>
      </c>
      <c r="AN25" s="88">
        <f t="shared" si="17"/>
        <v>54.54545454545454</v>
      </c>
      <c r="AO25" s="29">
        <f t="shared" si="18"/>
        <v>64</v>
      </c>
      <c r="AP25" s="67">
        <f t="shared" si="19"/>
        <v>103.10795454545453</v>
      </c>
      <c r="AQ25" s="87"/>
    </row>
    <row r="26" spans="1:43" ht="14.25" customHeight="1" x14ac:dyDescent="0.4">
      <c r="A26" s="12" t="s">
        <v>28</v>
      </c>
      <c r="B26" s="13">
        <v>1</v>
      </c>
      <c r="C26" s="14" t="s">
        <v>438</v>
      </c>
      <c r="D26" s="15" t="s">
        <v>1205</v>
      </c>
      <c r="F26" s="15"/>
      <c r="G26" s="86" t="s">
        <v>37</v>
      </c>
      <c r="H26" s="89">
        <f>$H$12</f>
        <v>10</v>
      </c>
      <c r="J26" s="53"/>
      <c r="K26" s="53"/>
      <c r="L26" s="53"/>
      <c r="M26" s="31"/>
      <c r="N26" s="31"/>
      <c r="O26" s="31"/>
      <c r="Q26" s="86" t="s">
        <v>37</v>
      </c>
      <c r="R26" s="60">
        <f>$K$12</f>
        <v>14</v>
      </c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86" t="s">
        <v>36</v>
      </c>
      <c r="AF26" s="29">
        <f t="shared" si="9"/>
        <v>60</v>
      </c>
      <c r="AG26" s="29">
        <f t="shared" si="10"/>
        <v>-42</v>
      </c>
      <c r="AH26" s="29">
        <f t="shared" si="11"/>
        <v>28.571428571428569</v>
      </c>
      <c r="AI26" s="29">
        <f t="shared" si="12"/>
        <v>102</v>
      </c>
      <c r="AJ26" s="29">
        <f t="shared" si="13"/>
        <v>-65</v>
      </c>
      <c r="AK26" s="29">
        <f t="shared" si="14"/>
        <v>30</v>
      </c>
      <c r="AL26" s="29">
        <f t="shared" si="15"/>
        <v>30</v>
      </c>
      <c r="AM26" s="29">
        <f t="shared" si="16"/>
        <v>-28.571428571428573</v>
      </c>
      <c r="AN26" s="88">
        <f t="shared" si="17"/>
        <v>54.54545454545454</v>
      </c>
      <c r="AO26" s="29">
        <f t="shared" si="18"/>
        <v>60</v>
      </c>
      <c r="AP26" s="67">
        <f t="shared" si="19"/>
        <v>229.54545454545453</v>
      </c>
      <c r="AQ26" s="87"/>
    </row>
    <row r="27" spans="1:43" ht="14.25" customHeight="1" x14ac:dyDescent="0.4">
      <c r="A27" s="12" t="s">
        <v>28</v>
      </c>
      <c r="B27" s="13">
        <v>2</v>
      </c>
      <c r="C27" s="14" t="s">
        <v>438</v>
      </c>
      <c r="D27" s="15" t="s">
        <v>1205</v>
      </c>
      <c r="F27" s="15"/>
      <c r="G27" s="86" t="s">
        <v>36</v>
      </c>
      <c r="H27" s="89">
        <f>$H$10</f>
        <v>8</v>
      </c>
      <c r="J27" s="53"/>
      <c r="K27" s="53"/>
      <c r="L27" s="53"/>
      <c r="M27" s="31"/>
      <c r="N27" s="31"/>
      <c r="O27" s="31"/>
      <c r="Q27" s="86" t="s">
        <v>36</v>
      </c>
      <c r="R27" s="60">
        <f>$K$10</f>
        <v>12</v>
      </c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86" t="s">
        <v>734</v>
      </c>
      <c r="AF27" s="29">
        <f t="shared" si="9"/>
        <v>165</v>
      </c>
      <c r="AG27" s="29">
        <f t="shared" si="10"/>
        <v>-78</v>
      </c>
      <c r="AH27" s="29">
        <f t="shared" si="11"/>
        <v>42.307692307692307</v>
      </c>
      <c r="AI27" s="29">
        <f t="shared" si="12"/>
        <v>323</v>
      </c>
      <c r="AJ27" s="29">
        <f t="shared" si="13"/>
        <v>-97.5</v>
      </c>
      <c r="AK27" s="29">
        <f t="shared" si="14"/>
        <v>63.333333333333329</v>
      </c>
      <c r="AL27" s="29">
        <f t="shared" si="15"/>
        <v>34.545454545454547</v>
      </c>
      <c r="AM27" s="29">
        <f t="shared" si="16"/>
        <v>-23.076923076923073</v>
      </c>
      <c r="AN27" s="88">
        <f t="shared" si="17"/>
        <v>63.636363636363633</v>
      </c>
      <c r="AO27" s="29">
        <f t="shared" si="18"/>
        <v>140</v>
      </c>
      <c r="AP27" s="67">
        <f t="shared" si="19"/>
        <v>633.24592074592078</v>
      </c>
      <c r="AQ27" s="87"/>
    </row>
    <row r="28" spans="1:43" ht="14.25" customHeight="1" x14ac:dyDescent="0.4">
      <c r="A28" s="12" t="s">
        <v>39</v>
      </c>
      <c r="B28" s="13">
        <v>2</v>
      </c>
      <c r="C28" s="14" t="s">
        <v>1206</v>
      </c>
      <c r="D28" s="15" t="s">
        <v>1205</v>
      </c>
      <c r="F28" s="15"/>
      <c r="G28" s="86" t="s">
        <v>438</v>
      </c>
      <c r="H28" s="89">
        <f>$H$8</f>
        <v>7</v>
      </c>
      <c r="J28" s="53"/>
      <c r="K28" s="53"/>
      <c r="L28" s="53"/>
      <c r="M28" s="31"/>
      <c r="N28" s="31"/>
      <c r="O28" s="31"/>
      <c r="Q28" s="86" t="s">
        <v>438</v>
      </c>
      <c r="R28" s="60">
        <f>$K$8</f>
        <v>11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86" t="s">
        <v>37</v>
      </c>
      <c r="AF28" s="29">
        <f t="shared" si="9"/>
        <v>75</v>
      </c>
      <c r="AG28" s="29">
        <f t="shared" si="10"/>
        <v>-84</v>
      </c>
      <c r="AH28" s="29">
        <f t="shared" si="11"/>
        <v>17.857142857142858</v>
      </c>
      <c r="AI28" s="29">
        <f t="shared" si="12"/>
        <v>119</v>
      </c>
      <c r="AJ28" s="29">
        <f t="shared" si="13"/>
        <v>-149.5</v>
      </c>
      <c r="AK28" s="29">
        <f t="shared" si="14"/>
        <v>15.217391304347828</v>
      </c>
      <c r="AL28" s="29">
        <f t="shared" si="15"/>
        <v>28</v>
      </c>
      <c r="AM28" s="29">
        <f t="shared" si="16"/>
        <v>-32.857142857142854</v>
      </c>
      <c r="AN28" s="88">
        <f t="shared" si="17"/>
        <v>36.363636363636367</v>
      </c>
      <c r="AO28" s="29">
        <f t="shared" si="18"/>
        <v>96</v>
      </c>
      <c r="AP28" s="67">
        <f t="shared" si="19"/>
        <v>121.0810276679842</v>
      </c>
      <c r="AQ28" s="87"/>
    </row>
    <row r="29" spans="1:43" ht="14.25" customHeight="1" x14ac:dyDescent="0.4">
      <c r="A29" s="12" t="s">
        <v>734</v>
      </c>
      <c r="B29" s="13">
        <v>2</v>
      </c>
      <c r="C29" s="14" t="s">
        <v>1206</v>
      </c>
      <c r="D29" s="15" t="s">
        <v>1205</v>
      </c>
      <c r="F29" s="15"/>
      <c r="G29" s="86" t="s">
        <v>441</v>
      </c>
      <c r="H29" s="89">
        <f>$H$9</f>
        <v>6</v>
      </c>
      <c r="J29" s="53"/>
      <c r="K29" s="53"/>
      <c r="L29" s="53"/>
      <c r="M29" s="31"/>
      <c r="N29" s="31"/>
      <c r="O29" s="31"/>
      <c r="Q29" s="86" t="s">
        <v>441</v>
      </c>
      <c r="R29" s="60">
        <f>$K$9</f>
        <v>9</v>
      </c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86" t="s">
        <v>39</v>
      </c>
      <c r="AF29" s="29">
        <f t="shared" si="9"/>
        <v>127.5</v>
      </c>
      <c r="AG29" s="29">
        <f t="shared" si="10"/>
        <v>-54</v>
      </c>
      <c r="AH29" s="29">
        <f t="shared" si="11"/>
        <v>47.222222222222221</v>
      </c>
      <c r="AI29" s="29">
        <f t="shared" si="12"/>
        <v>221</v>
      </c>
      <c r="AJ29" s="29">
        <f t="shared" si="13"/>
        <v>-78</v>
      </c>
      <c r="AK29" s="29">
        <f t="shared" si="14"/>
        <v>54.166666666666664</v>
      </c>
      <c r="AL29" s="29">
        <f t="shared" si="15"/>
        <v>30.588235294117645</v>
      </c>
      <c r="AM29" s="29">
        <f t="shared" si="16"/>
        <v>-26.666666666666664</v>
      </c>
      <c r="AN29" s="88">
        <f t="shared" si="17"/>
        <v>81.818181818181827</v>
      </c>
      <c r="AO29" s="29">
        <f t="shared" si="18"/>
        <v>104</v>
      </c>
      <c r="AP29" s="67">
        <f t="shared" si="19"/>
        <v>507.62863933452167</v>
      </c>
      <c r="AQ29" s="87"/>
    </row>
    <row r="30" spans="1:43" ht="14.25" customHeight="1" x14ac:dyDescent="0.4">
      <c r="A30" s="12" t="s">
        <v>441</v>
      </c>
      <c r="B30" s="13">
        <v>2</v>
      </c>
      <c r="C30" s="14" t="s">
        <v>1206</v>
      </c>
      <c r="D30" s="15" t="s">
        <v>1205</v>
      </c>
      <c r="F30" s="15"/>
      <c r="G30" s="86" t="s">
        <v>730</v>
      </c>
      <c r="H30" s="89">
        <f>$H$14</f>
        <v>4</v>
      </c>
      <c r="J30" s="53"/>
      <c r="K30" s="53"/>
      <c r="L30" s="53"/>
      <c r="M30" s="31"/>
      <c r="N30" s="31"/>
      <c r="O30" s="31"/>
      <c r="Q30" s="86" t="s">
        <v>730</v>
      </c>
      <c r="R30" s="60">
        <f>$K$14</f>
        <v>8</v>
      </c>
      <c r="T30" s="53"/>
      <c r="U30" s="53"/>
      <c r="V30" s="53"/>
      <c r="W30" s="53"/>
      <c r="X30" s="53"/>
      <c r="Y30" s="53"/>
      <c r="Z30" s="53"/>
      <c r="AA30" s="53"/>
      <c r="AB30" s="53"/>
      <c r="AC30" s="53"/>
      <c r="AE30" s="86" t="s">
        <v>730</v>
      </c>
      <c r="AF30" s="29">
        <f t="shared" si="9"/>
        <v>30</v>
      </c>
      <c r="AG30" s="29">
        <f t="shared" si="10"/>
        <v>-6</v>
      </c>
      <c r="AH30" s="29">
        <f t="shared" si="11"/>
        <v>100</v>
      </c>
      <c r="AI30" s="29">
        <f t="shared" si="12"/>
        <v>68</v>
      </c>
      <c r="AJ30" s="29">
        <f t="shared" si="13"/>
        <v>-13</v>
      </c>
      <c r="AK30" s="29">
        <f t="shared" si="14"/>
        <v>100</v>
      </c>
      <c r="AL30" s="29">
        <f t="shared" si="15"/>
        <v>40</v>
      </c>
      <c r="AM30" s="29">
        <f t="shared" si="16"/>
        <v>-40</v>
      </c>
      <c r="AN30" s="88">
        <f t="shared" si="17"/>
        <v>27.27272727272727</v>
      </c>
      <c r="AO30" s="29">
        <f t="shared" si="18"/>
        <v>20</v>
      </c>
      <c r="AP30" s="67">
        <f t="shared" si="19"/>
        <v>326.27272727272725</v>
      </c>
      <c r="AQ30" s="87"/>
    </row>
    <row r="31" spans="1:43" ht="14.25" customHeight="1" x14ac:dyDescent="0.4">
      <c r="A31" s="12" t="s">
        <v>37</v>
      </c>
      <c r="B31" s="13">
        <v>2</v>
      </c>
      <c r="C31" s="14" t="s">
        <v>734</v>
      </c>
      <c r="D31" s="15" t="s">
        <v>1205</v>
      </c>
      <c r="F31" s="15"/>
      <c r="G31" s="86" t="s">
        <v>41</v>
      </c>
      <c r="H31" s="89">
        <f>$H$6</f>
        <v>3</v>
      </c>
      <c r="J31" s="53"/>
      <c r="K31" s="53"/>
      <c r="L31" s="53"/>
      <c r="M31" s="31"/>
      <c r="N31" s="31"/>
      <c r="O31" s="31"/>
      <c r="Q31" s="86" t="s">
        <v>33</v>
      </c>
      <c r="R31" s="60">
        <f>$K$4</f>
        <v>5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</row>
    <row r="32" spans="1:43" ht="14.25" customHeight="1" x14ac:dyDescent="0.4">
      <c r="A32" s="12" t="s">
        <v>734</v>
      </c>
      <c r="B32" s="13">
        <v>2</v>
      </c>
      <c r="C32" s="14" t="s">
        <v>28</v>
      </c>
      <c r="D32" s="15" t="s">
        <v>1205</v>
      </c>
      <c r="E32" s="4">
        <v>1</v>
      </c>
      <c r="F32" s="15"/>
      <c r="G32" s="86" t="s">
        <v>33</v>
      </c>
      <c r="H32" s="89">
        <f>$H$4</f>
        <v>3</v>
      </c>
      <c r="J32" s="53"/>
      <c r="K32" s="53"/>
      <c r="L32" s="53"/>
      <c r="M32" s="31"/>
      <c r="N32" s="31"/>
      <c r="O32" s="31"/>
      <c r="Q32" s="86" t="s">
        <v>41</v>
      </c>
      <c r="R32" s="60">
        <f>$K$6</f>
        <v>4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65" t="s">
        <v>7</v>
      </c>
      <c r="AF32" s="66" t="s">
        <v>98</v>
      </c>
      <c r="AG32" s="66" t="s">
        <v>99</v>
      </c>
    </row>
    <row r="33" spans="1:34" ht="14.25" customHeight="1" x14ac:dyDescent="0.4">
      <c r="A33" s="12" t="s">
        <v>28</v>
      </c>
      <c r="B33" s="13">
        <v>1</v>
      </c>
      <c r="C33" s="14" t="s">
        <v>734</v>
      </c>
      <c r="D33" s="15" t="s">
        <v>1205</v>
      </c>
      <c r="F33" s="15"/>
      <c r="G33" s="86" t="s">
        <v>38</v>
      </c>
      <c r="H33" s="89">
        <f>$H$7</f>
        <v>2</v>
      </c>
      <c r="J33" s="53"/>
      <c r="K33" s="53"/>
      <c r="L33" s="53"/>
      <c r="M33" s="31"/>
      <c r="N33" s="31"/>
      <c r="O33" s="31"/>
      <c r="Q33" s="86" t="s">
        <v>38</v>
      </c>
      <c r="R33" s="60">
        <f>$K$7</f>
        <v>4</v>
      </c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86" t="s">
        <v>734</v>
      </c>
      <c r="AF33" s="67">
        <f>$AP$27</f>
        <v>633.24592074592078</v>
      </c>
      <c r="AG33" s="67">
        <f t="shared" ref="AG33:AG44" si="20">AF33-($AF$44)</f>
        <v>778.24592074592078</v>
      </c>
      <c r="AH33" s="52">
        <v>1</v>
      </c>
    </row>
    <row r="34" spans="1:34" ht="14.25" customHeight="1" x14ac:dyDescent="0.4">
      <c r="A34" s="12" t="s">
        <v>36</v>
      </c>
      <c r="B34" s="13">
        <v>1</v>
      </c>
      <c r="C34" s="14" t="s">
        <v>734</v>
      </c>
      <c r="D34" s="15" t="s">
        <v>1205</v>
      </c>
      <c r="F34" s="15"/>
      <c r="G34" s="86" t="s">
        <v>1206</v>
      </c>
      <c r="H34" s="89">
        <f>$H$5</f>
        <v>0</v>
      </c>
      <c r="J34" s="53"/>
      <c r="K34" s="53"/>
      <c r="L34" s="53"/>
      <c r="M34" s="31"/>
      <c r="N34" s="31"/>
      <c r="O34" s="31"/>
      <c r="Q34" s="86" t="s">
        <v>1206</v>
      </c>
      <c r="R34" s="60">
        <f>$K$5</f>
        <v>0</v>
      </c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86" t="s">
        <v>39</v>
      </c>
      <c r="AF34" s="67">
        <f>$AP$29</f>
        <v>507.62863933452167</v>
      </c>
      <c r="AG34" s="67">
        <f t="shared" si="20"/>
        <v>652.62863933452172</v>
      </c>
      <c r="AH34" s="52">
        <v>2</v>
      </c>
    </row>
    <row r="35" spans="1:34" ht="14.25" customHeight="1" x14ac:dyDescent="0.4">
      <c r="A35" s="12" t="s">
        <v>734</v>
      </c>
      <c r="B35" s="13">
        <v>1</v>
      </c>
      <c r="C35" s="14" t="s">
        <v>36</v>
      </c>
      <c r="D35" s="15" t="s">
        <v>1205</v>
      </c>
      <c r="F35" s="15"/>
      <c r="J35" s="53"/>
      <c r="K35" s="53"/>
      <c r="L35" s="53"/>
      <c r="M35" s="31"/>
      <c r="N35" s="31"/>
      <c r="O35" s="31"/>
      <c r="P35" s="31"/>
      <c r="Q35" s="5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86" t="s">
        <v>28</v>
      </c>
      <c r="AF35" s="67">
        <f>$AP$19</f>
        <v>353.80086580086584</v>
      </c>
      <c r="AG35" s="67">
        <f t="shared" si="20"/>
        <v>498.80086580086584</v>
      </c>
      <c r="AH35" s="52">
        <v>3</v>
      </c>
    </row>
    <row r="36" spans="1:34" ht="14.25" customHeight="1" x14ac:dyDescent="0.4">
      <c r="A36" s="12" t="s">
        <v>39</v>
      </c>
      <c r="B36" s="13">
        <v>2</v>
      </c>
      <c r="C36" s="14" t="s">
        <v>36</v>
      </c>
      <c r="D36" s="15" t="s">
        <v>1205</v>
      </c>
      <c r="F36" s="15"/>
      <c r="G36" s="86" t="s">
        <v>14</v>
      </c>
      <c r="H36" s="33" t="s">
        <v>16</v>
      </c>
      <c r="J36" s="53"/>
      <c r="K36" s="53"/>
      <c r="L36" s="53"/>
      <c r="M36" s="31"/>
      <c r="N36" s="31"/>
      <c r="O36" s="31"/>
      <c r="Q36" s="86" t="s">
        <v>14</v>
      </c>
      <c r="R36" s="33" t="s">
        <v>19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86" t="s">
        <v>730</v>
      </c>
      <c r="AF36" s="67">
        <f>$AP$30</f>
        <v>326.27272727272725</v>
      </c>
      <c r="AG36" s="67">
        <f t="shared" si="20"/>
        <v>471.27272727272725</v>
      </c>
      <c r="AH36" s="52">
        <v>4</v>
      </c>
    </row>
    <row r="37" spans="1:34" ht="14.25" customHeight="1" x14ac:dyDescent="0.4">
      <c r="A37" s="12" t="s">
        <v>734</v>
      </c>
      <c r="B37" s="13">
        <v>2</v>
      </c>
      <c r="C37" s="14" t="s">
        <v>28</v>
      </c>
      <c r="D37" s="15" t="s">
        <v>1205</v>
      </c>
      <c r="E37" s="4">
        <v>0</v>
      </c>
      <c r="F37" s="95"/>
      <c r="G37" s="86" t="s">
        <v>28</v>
      </c>
      <c r="H37" s="61">
        <f>$I$3</f>
        <v>21</v>
      </c>
      <c r="J37" s="53"/>
      <c r="K37" s="53"/>
      <c r="L37" s="53"/>
      <c r="M37" s="31"/>
      <c r="N37" s="31"/>
      <c r="O37" s="31"/>
      <c r="Q37" s="86" t="s">
        <v>28</v>
      </c>
      <c r="R37" s="61">
        <f>$L$3</f>
        <v>30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86" t="s">
        <v>36</v>
      </c>
      <c r="AF37" s="67">
        <f>$AP$26</f>
        <v>229.54545454545453</v>
      </c>
      <c r="AG37" s="67">
        <f t="shared" si="20"/>
        <v>374.5454545454545</v>
      </c>
      <c r="AH37" s="52">
        <v>5</v>
      </c>
    </row>
    <row r="38" spans="1:34" ht="14.25" customHeight="1" x14ac:dyDescent="0.4">
      <c r="A38" s="12" t="s">
        <v>39</v>
      </c>
      <c r="B38" s="13">
        <v>2</v>
      </c>
      <c r="C38" s="14" t="s">
        <v>438</v>
      </c>
      <c r="D38" s="15" t="s">
        <v>1205</v>
      </c>
      <c r="F38" s="95"/>
      <c r="G38" s="86" t="s">
        <v>37</v>
      </c>
      <c r="H38" s="61">
        <f>$I$12</f>
        <v>14</v>
      </c>
      <c r="J38" s="53"/>
      <c r="K38" s="53"/>
      <c r="L38" s="53"/>
      <c r="M38" s="31"/>
      <c r="N38" s="31"/>
      <c r="O38" s="31"/>
      <c r="Q38" s="86" t="s">
        <v>37</v>
      </c>
      <c r="R38" s="61">
        <f>$L$12</f>
        <v>23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86" t="s">
        <v>438</v>
      </c>
      <c r="AF38" s="67">
        <f>$AP$24</f>
        <v>182.75811688311688</v>
      </c>
      <c r="AG38" s="67">
        <f t="shared" si="20"/>
        <v>327.75811688311688</v>
      </c>
      <c r="AH38" s="52">
        <v>6</v>
      </c>
    </row>
    <row r="39" spans="1:34" ht="14.25" customHeight="1" x14ac:dyDescent="0.4">
      <c r="A39" s="12" t="s">
        <v>36</v>
      </c>
      <c r="B39" s="13">
        <v>1</v>
      </c>
      <c r="C39" s="14" t="s">
        <v>441</v>
      </c>
      <c r="D39" s="15" t="s">
        <v>1205</v>
      </c>
      <c r="F39" s="95"/>
      <c r="G39" s="86" t="s">
        <v>734</v>
      </c>
      <c r="H39" s="61">
        <f>$I$11</f>
        <v>13</v>
      </c>
      <c r="J39" s="53"/>
      <c r="K39" s="53"/>
      <c r="L39" s="53"/>
      <c r="M39" s="31"/>
      <c r="N39" s="31"/>
      <c r="O39" s="31"/>
      <c r="Q39" s="86" t="s">
        <v>441</v>
      </c>
      <c r="R39" s="61">
        <f>$L$9</f>
        <v>16</v>
      </c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86" t="s">
        <v>37</v>
      </c>
      <c r="AF39" s="67">
        <f>$AP$28</f>
        <v>121.0810276679842</v>
      </c>
      <c r="AG39" s="67">
        <f t="shared" si="20"/>
        <v>266.08102766798419</v>
      </c>
      <c r="AH39" s="52">
        <v>7</v>
      </c>
    </row>
    <row r="40" spans="1:34" ht="14.25" customHeight="1" x14ac:dyDescent="0.4">
      <c r="A40" s="12" t="s">
        <v>441</v>
      </c>
      <c r="B40" s="13">
        <v>1</v>
      </c>
      <c r="C40" s="14" t="s">
        <v>36</v>
      </c>
      <c r="D40" s="15" t="s">
        <v>1205</v>
      </c>
      <c r="F40" s="95"/>
      <c r="G40" s="86" t="s">
        <v>441</v>
      </c>
      <c r="H40" s="61">
        <f>$I$9</f>
        <v>10</v>
      </c>
      <c r="J40" s="53"/>
      <c r="K40" s="53"/>
      <c r="L40" s="53"/>
      <c r="M40" s="31"/>
      <c r="N40" s="31"/>
      <c r="O40" s="31"/>
      <c r="Q40" s="86" t="s">
        <v>734</v>
      </c>
      <c r="R40" s="61">
        <f>$L$11</f>
        <v>15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86" t="s">
        <v>38</v>
      </c>
      <c r="AF40" s="67">
        <f>$AP$23</f>
        <v>120.01515151515152</v>
      </c>
      <c r="AG40" s="67">
        <f t="shared" si="20"/>
        <v>265.0151515151515</v>
      </c>
      <c r="AH40" s="52">
        <v>8</v>
      </c>
    </row>
    <row r="41" spans="1:34" ht="14.25" customHeight="1" x14ac:dyDescent="0.4">
      <c r="A41" s="12" t="s">
        <v>39</v>
      </c>
      <c r="B41" s="13">
        <v>1</v>
      </c>
      <c r="C41" s="14" t="s">
        <v>734</v>
      </c>
      <c r="D41" s="15" t="s">
        <v>1205</v>
      </c>
      <c r="F41" s="95"/>
      <c r="G41" s="86" t="s">
        <v>39</v>
      </c>
      <c r="H41" s="61">
        <f>$I$13</f>
        <v>9</v>
      </c>
      <c r="J41" s="53"/>
      <c r="K41" s="53"/>
      <c r="L41" s="53"/>
      <c r="M41" s="31"/>
      <c r="N41" s="31"/>
      <c r="O41" s="31"/>
      <c r="Q41" s="86" t="s">
        <v>1206</v>
      </c>
      <c r="R41" s="61">
        <f>$L$5</f>
        <v>14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86" t="s">
        <v>441</v>
      </c>
      <c r="AF41" s="67">
        <f>$AP$25</f>
        <v>103.10795454545453</v>
      </c>
      <c r="AG41" s="67">
        <f t="shared" si="20"/>
        <v>248.10795454545453</v>
      </c>
      <c r="AH41" s="52">
        <v>9</v>
      </c>
    </row>
    <row r="42" spans="1:34" ht="14.25" customHeight="1" x14ac:dyDescent="0.4">
      <c r="A42" s="12" t="s">
        <v>39</v>
      </c>
      <c r="B42" s="13">
        <v>1</v>
      </c>
      <c r="C42" s="14" t="s">
        <v>734</v>
      </c>
      <c r="D42" s="15" t="s">
        <v>1205</v>
      </c>
      <c r="F42" s="95"/>
      <c r="G42" s="86" t="s">
        <v>438</v>
      </c>
      <c r="H42" s="61">
        <f>$I$8</f>
        <v>8</v>
      </c>
      <c r="J42" s="53"/>
      <c r="K42" s="53"/>
      <c r="L42" s="53"/>
      <c r="M42" s="31"/>
      <c r="N42" s="31"/>
      <c r="O42" s="31"/>
      <c r="Q42" s="86" t="s">
        <v>33</v>
      </c>
      <c r="R42" s="61">
        <f>$L$4</f>
        <v>13</v>
      </c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86" t="s">
        <v>41</v>
      </c>
      <c r="AF42" s="67">
        <f>$AP$22</f>
        <v>44.050505050505045</v>
      </c>
      <c r="AG42" s="67">
        <f t="shared" si="20"/>
        <v>189.05050505050505</v>
      </c>
      <c r="AH42" s="52">
        <v>10</v>
      </c>
    </row>
    <row r="43" spans="1:34" ht="14.25" customHeight="1" x14ac:dyDescent="0.4">
      <c r="A43" s="12" t="s">
        <v>734</v>
      </c>
      <c r="B43" s="13">
        <v>1</v>
      </c>
      <c r="C43" s="14" t="s">
        <v>39</v>
      </c>
      <c r="D43" s="15" t="s">
        <v>1205</v>
      </c>
      <c r="F43" s="95"/>
      <c r="G43" s="86" t="s">
        <v>1206</v>
      </c>
      <c r="H43" s="61">
        <f>$I$5</f>
        <v>7</v>
      </c>
      <c r="J43" s="53"/>
      <c r="K43" s="53"/>
      <c r="L43" s="53"/>
      <c r="M43" s="31"/>
      <c r="N43" s="31"/>
      <c r="O43" s="31"/>
      <c r="Q43" s="86" t="s">
        <v>39</v>
      </c>
      <c r="R43" s="61">
        <f>$L$13</f>
        <v>12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86" t="s">
        <v>33</v>
      </c>
      <c r="AF43" s="67">
        <f>$AP$20</f>
        <v>13.201964701964709</v>
      </c>
      <c r="AG43" s="67">
        <f t="shared" si="20"/>
        <v>158.2019647019647</v>
      </c>
      <c r="AH43" s="52">
        <v>11</v>
      </c>
    </row>
    <row r="44" spans="1:34" ht="14.25" customHeight="1" x14ac:dyDescent="0.4">
      <c r="A44" s="12" t="s">
        <v>39</v>
      </c>
      <c r="B44" s="13">
        <v>2</v>
      </c>
      <c r="C44" s="14" t="s">
        <v>36</v>
      </c>
      <c r="D44" s="15" t="s">
        <v>1205</v>
      </c>
      <c r="F44" s="95"/>
      <c r="G44" s="86" t="s">
        <v>36</v>
      </c>
      <c r="H44" s="61">
        <f>$I$10</f>
        <v>7</v>
      </c>
      <c r="J44" s="53"/>
      <c r="K44" s="53"/>
      <c r="L44" s="53"/>
      <c r="M44" s="31"/>
      <c r="N44" s="31"/>
      <c r="O44" s="31"/>
      <c r="Q44" s="86" t="s">
        <v>438</v>
      </c>
      <c r="R44" s="61">
        <f>$L$8</f>
        <v>11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86" t="s">
        <v>1206</v>
      </c>
      <c r="AF44" s="67">
        <f>$AP$21</f>
        <v>-145</v>
      </c>
      <c r="AG44" s="67">
        <f t="shared" si="20"/>
        <v>0</v>
      </c>
      <c r="AH44" s="52">
        <v>12</v>
      </c>
    </row>
    <row r="45" spans="1:34" ht="14.25" customHeight="1" x14ac:dyDescent="0.4">
      <c r="A45" s="12" t="s">
        <v>37</v>
      </c>
      <c r="B45" s="13">
        <v>2</v>
      </c>
      <c r="C45" s="14" t="s">
        <v>28</v>
      </c>
      <c r="D45" s="15" t="s">
        <v>1205</v>
      </c>
      <c r="E45" s="4">
        <v>1</v>
      </c>
      <c r="F45" s="95"/>
      <c r="G45" s="86" t="s">
        <v>33</v>
      </c>
      <c r="H45" s="61">
        <f>$I$4</f>
        <v>7</v>
      </c>
      <c r="J45" s="53"/>
      <c r="K45" s="53"/>
      <c r="L45" s="53"/>
      <c r="M45" s="31"/>
      <c r="N45" s="31"/>
      <c r="O45" s="31"/>
      <c r="Q45" s="86" t="s">
        <v>36</v>
      </c>
      <c r="R45" s="61">
        <f>$L$10</f>
        <v>10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</row>
    <row r="46" spans="1:34" ht="14.25" customHeight="1" x14ac:dyDescent="0.4">
      <c r="A46" s="12" t="s">
        <v>734</v>
      </c>
      <c r="B46" s="13">
        <v>2</v>
      </c>
      <c r="C46" s="14" t="s">
        <v>37</v>
      </c>
      <c r="D46" s="15" t="s">
        <v>1205</v>
      </c>
      <c r="F46" s="95"/>
      <c r="G46" s="86" t="s">
        <v>41</v>
      </c>
      <c r="H46" s="61">
        <f>$I$6</f>
        <v>5</v>
      </c>
      <c r="J46" s="53"/>
      <c r="K46" s="53"/>
      <c r="L46" s="53"/>
      <c r="M46" s="31"/>
      <c r="N46" s="31"/>
      <c r="O46" s="31"/>
      <c r="Q46" s="86" t="s">
        <v>41</v>
      </c>
      <c r="R46" s="61">
        <f>$L$6</f>
        <v>9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</row>
    <row r="47" spans="1:34" ht="14.25" customHeight="1" x14ac:dyDescent="0.4">
      <c r="A47" s="12" t="s">
        <v>37</v>
      </c>
      <c r="B47" s="13">
        <v>1</v>
      </c>
      <c r="C47" s="14" t="s">
        <v>734</v>
      </c>
      <c r="D47" s="15" t="s">
        <v>1205</v>
      </c>
      <c r="F47" s="95"/>
      <c r="G47" s="86" t="s">
        <v>38</v>
      </c>
      <c r="H47" s="61">
        <f>$I$7</f>
        <v>2</v>
      </c>
      <c r="J47" s="53"/>
      <c r="K47" s="53"/>
      <c r="L47" s="53"/>
      <c r="M47" s="31"/>
      <c r="N47" s="31"/>
      <c r="O47" s="31"/>
      <c r="Q47" s="86" t="s">
        <v>38</v>
      </c>
      <c r="R47" s="61">
        <f>$L$7</f>
        <v>3</v>
      </c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</row>
    <row r="48" spans="1:34" ht="14.25" customHeight="1" x14ac:dyDescent="0.4">
      <c r="A48" s="12" t="s">
        <v>28</v>
      </c>
      <c r="B48" s="13">
        <v>1</v>
      </c>
      <c r="C48" s="14" t="s">
        <v>37</v>
      </c>
      <c r="D48" s="15" t="s">
        <v>1205</v>
      </c>
      <c r="F48" s="95"/>
      <c r="G48" s="86" t="s">
        <v>730</v>
      </c>
      <c r="H48" s="61">
        <f>$I$14</f>
        <v>1</v>
      </c>
      <c r="J48" s="53"/>
      <c r="K48" s="53"/>
      <c r="L48" s="53"/>
      <c r="M48" s="31"/>
      <c r="N48" s="31"/>
      <c r="O48" s="31"/>
      <c r="Q48" s="86" t="s">
        <v>730</v>
      </c>
      <c r="R48" s="61">
        <f>$L$14</f>
        <v>2</v>
      </c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</row>
    <row r="49" spans="1:41" ht="14.25" customHeight="1" x14ac:dyDescent="0.4">
      <c r="A49" s="12" t="s">
        <v>37</v>
      </c>
      <c r="B49" s="13">
        <v>1</v>
      </c>
      <c r="C49" s="14" t="s">
        <v>28</v>
      </c>
      <c r="D49" s="15" t="s">
        <v>1205</v>
      </c>
      <c r="E49" s="4">
        <v>0</v>
      </c>
      <c r="F49" s="95"/>
      <c r="J49" s="53"/>
      <c r="K49" s="53"/>
      <c r="L49" s="53"/>
      <c r="M49" s="31"/>
      <c r="N49" s="31"/>
      <c r="O49" s="31"/>
      <c r="P49" s="31"/>
      <c r="Q49" s="5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</row>
    <row r="50" spans="1:41" ht="14.25" customHeight="1" x14ac:dyDescent="0.4">
      <c r="A50" s="12" t="s">
        <v>39</v>
      </c>
      <c r="B50" s="13">
        <v>1</v>
      </c>
      <c r="C50" s="14" t="s">
        <v>28</v>
      </c>
      <c r="D50" s="15" t="s">
        <v>1205</v>
      </c>
      <c r="E50" s="4">
        <v>0</v>
      </c>
      <c r="F50" s="95"/>
      <c r="G50" s="86" t="s">
        <v>14</v>
      </c>
      <c r="H50" s="33" t="s">
        <v>17</v>
      </c>
      <c r="J50" s="53"/>
      <c r="K50" s="53"/>
      <c r="L50" s="53"/>
      <c r="M50" s="31"/>
      <c r="N50" s="31"/>
      <c r="O50" s="31"/>
      <c r="Q50" s="86" t="s">
        <v>14</v>
      </c>
      <c r="R50" s="33" t="s">
        <v>20</v>
      </c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</row>
    <row r="51" spans="1:41" ht="14.25" customHeight="1" x14ac:dyDescent="0.4">
      <c r="A51" s="12" t="s">
        <v>28</v>
      </c>
      <c r="B51" s="13">
        <v>1</v>
      </c>
      <c r="C51" s="14" t="s">
        <v>39</v>
      </c>
      <c r="D51" s="15" t="s">
        <v>1205</v>
      </c>
      <c r="F51" s="95"/>
      <c r="G51" s="86" t="s">
        <v>730</v>
      </c>
      <c r="H51" s="90">
        <f>$J$14</f>
        <v>4</v>
      </c>
      <c r="J51" s="53"/>
      <c r="K51" s="53"/>
      <c r="L51" s="53"/>
      <c r="M51" s="31"/>
      <c r="N51" s="31"/>
      <c r="O51" s="31"/>
      <c r="Q51" s="86" t="s">
        <v>730</v>
      </c>
      <c r="R51" s="90">
        <f>$M$14</f>
        <v>4</v>
      </c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35" t="s">
        <v>123</v>
      </c>
      <c r="AF51" s="85" t="s">
        <v>15</v>
      </c>
      <c r="AG51" s="85" t="s">
        <v>16</v>
      </c>
      <c r="AH51" s="85" t="s">
        <v>17</v>
      </c>
      <c r="AI51" s="85" t="s">
        <v>18</v>
      </c>
      <c r="AJ51" s="85" t="s">
        <v>19</v>
      </c>
      <c r="AK51" s="85" t="s">
        <v>20</v>
      </c>
      <c r="AL51" s="85" t="s">
        <v>21</v>
      </c>
      <c r="AM51" s="85" t="s">
        <v>22</v>
      </c>
      <c r="AN51" s="85" t="s">
        <v>1171</v>
      </c>
    </row>
    <row r="52" spans="1:41" ht="14.25" customHeight="1" x14ac:dyDescent="0.4">
      <c r="A52" s="12" t="s">
        <v>39</v>
      </c>
      <c r="B52" s="13">
        <v>1</v>
      </c>
      <c r="C52" s="14" t="s">
        <v>28</v>
      </c>
      <c r="D52" s="15" t="s">
        <v>1205</v>
      </c>
      <c r="E52" s="4">
        <v>0</v>
      </c>
      <c r="F52" s="95"/>
      <c r="G52" s="86" t="s">
        <v>39</v>
      </c>
      <c r="H52" s="90">
        <f>$J$13</f>
        <v>1.8888888888888888</v>
      </c>
      <c r="J52" s="53"/>
      <c r="K52" s="53"/>
      <c r="L52" s="53"/>
      <c r="M52" s="31"/>
      <c r="N52" s="31"/>
      <c r="O52" s="31"/>
      <c r="Q52" s="86" t="s">
        <v>734</v>
      </c>
      <c r="R52" s="90">
        <f>$M$11</f>
        <v>2.5333333333333332</v>
      </c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27" t="s">
        <v>65</v>
      </c>
      <c r="AF52" s="43">
        <v>7.5</v>
      </c>
      <c r="AG52" s="44">
        <v>-6</v>
      </c>
      <c r="AH52" s="44">
        <v>25</v>
      </c>
      <c r="AI52" s="44">
        <v>8.5</v>
      </c>
      <c r="AJ52" s="44">
        <v>-6.5</v>
      </c>
      <c r="AK52" s="44">
        <v>25</v>
      </c>
      <c r="AL52" s="44">
        <v>20</v>
      </c>
      <c r="AM52" s="44">
        <v>-20</v>
      </c>
      <c r="AN52" s="44">
        <v>4</v>
      </c>
      <c r="AO52" s="35" t="s">
        <v>1203</v>
      </c>
    </row>
    <row r="53" spans="1:41" ht="14.25" customHeight="1" x14ac:dyDescent="0.4">
      <c r="A53" s="12" t="s">
        <v>28</v>
      </c>
      <c r="B53" s="13">
        <v>1</v>
      </c>
      <c r="C53" s="14" t="s">
        <v>39</v>
      </c>
      <c r="D53" s="15" t="s">
        <v>1205</v>
      </c>
      <c r="F53" s="95"/>
      <c r="G53" s="86" t="s">
        <v>734</v>
      </c>
      <c r="H53" s="90">
        <f>$J$11</f>
        <v>1.6923076923076923</v>
      </c>
      <c r="J53" s="53"/>
      <c r="K53" s="53"/>
      <c r="L53" s="53"/>
      <c r="M53" s="31"/>
      <c r="N53" s="31"/>
      <c r="O53" s="31"/>
      <c r="Q53" s="86" t="s">
        <v>39</v>
      </c>
      <c r="R53" s="90">
        <f>$M$13</f>
        <v>2.1666666666666665</v>
      </c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41" t="s">
        <v>76</v>
      </c>
      <c r="AF53" s="29">
        <f>$AF$52*H17</f>
        <v>187.5</v>
      </c>
      <c r="AG53" s="29">
        <f>$AG$52*I17</f>
        <v>-210</v>
      </c>
      <c r="AH53" s="29">
        <f>$AH$52*J17</f>
        <v>17.857142857142858</v>
      </c>
      <c r="AI53" s="29">
        <f>$AI$52*K17</f>
        <v>272</v>
      </c>
      <c r="AJ53" s="29">
        <f>$AJ$52*L17</f>
        <v>-370.5</v>
      </c>
      <c r="AK53" s="29">
        <f>$AK$52*M17</f>
        <v>14.035087719298245</v>
      </c>
      <c r="AL53" s="29">
        <f>$AL$52*N17</f>
        <v>25.6</v>
      </c>
      <c r="AM53" s="29">
        <f>$AM$52*O17</f>
        <v>-32.571428571428569</v>
      </c>
      <c r="AN53" s="29">
        <f>SUM(H17:I17)*$AN$52</f>
        <v>240</v>
      </c>
      <c r="AO53" s="29">
        <f>SUM(AF53:AN53)</f>
        <v>143.92080200501252</v>
      </c>
    </row>
    <row r="54" spans="1:41" ht="14.25" customHeight="1" x14ac:dyDescent="0.4">
      <c r="A54" s="12" t="s">
        <v>28</v>
      </c>
      <c r="B54" s="13">
        <v>1</v>
      </c>
      <c r="C54" s="14" t="s">
        <v>37</v>
      </c>
      <c r="D54" s="15" t="s">
        <v>1205</v>
      </c>
      <c r="F54" s="95"/>
      <c r="G54" s="86" t="s">
        <v>36</v>
      </c>
      <c r="H54" s="90">
        <f>$J$10</f>
        <v>1.1428571428571428</v>
      </c>
      <c r="J54" s="53"/>
      <c r="K54" s="53"/>
      <c r="L54" s="53"/>
      <c r="M54" s="31"/>
      <c r="N54" s="31"/>
      <c r="O54" s="31"/>
      <c r="Q54" s="86" t="s">
        <v>38</v>
      </c>
      <c r="R54" s="90">
        <f>$M$7</f>
        <v>1.3333333333333333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27" t="s">
        <v>77</v>
      </c>
      <c r="AF54" s="29">
        <f>$AF$52*H18</f>
        <v>90</v>
      </c>
      <c r="AG54" s="29">
        <f>$AG$52*I18</f>
        <v>-90</v>
      </c>
      <c r="AH54" s="29">
        <f>$AH$52*J18</f>
        <v>20</v>
      </c>
      <c r="AI54" s="29">
        <f>$AI$52*K18</f>
        <v>161.5</v>
      </c>
      <c r="AJ54" s="29">
        <f>$AJ$52*L18</f>
        <v>-149.5</v>
      </c>
      <c r="AK54" s="29">
        <f>$AK$52*M18</f>
        <v>20.652173913043477</v>
      </c>
      <c r="AL54" s="29">
        <f>$AL$52*N18</f>
        <v>31.666666666666664</v>
      </c>
      <c r="AM54" s="29">
        <f>$AM$52*O18</f>
        <v>-30.666666666666668</v>
      </c>
      <c r="AN54" s="29">
        <f>SUM(H18:I18)*$AN$52</f>
        <v>108</v>
      </c>
      <c r="AO54" s="29">
        <f>SUM(AF54:AN54)</f>
        <v>161.65217391304347</v>
      </c>
    </row>
    <row r="55" spans="1:41" ht="14.25" customHeight="1" x14ac:dyDescent="0.4">
      <c r="A55" s="12" t="s">
        <v>37</v>
      </c>
      <c r="B55" s="13">
        <v>1</v>
      </c>
      <c r="C55" s="14" t="s">
        <v>28</v>
      </c>
      <c r="D55" s="15" t="s">
        <v>1205</v>
      </c>
      <c r="E55" s="4">
        <v>1</v>
      </c>
      <c r="F55" s="95"/>
      <c r="G55" s="86" t="s">
        <v>28</v>
      </c>
      <c r="H55" s="90">
        <f>$J$3</f>
        <v>1.0476190476190477</v>
      </c>
      <c r="J55" s="53"/>
      <c r="K55" s="53"/>
      <c r="L55" s="53"/>
      <c r="M55" s="31"/>
      <c r="N55" s="31"/>
      <c r="O55" s="31"/>
      <c r="Q55" s="86" t="s">
        <v>36</v>
      </c>
      <c r="R55" s="90">
        <f>$M$10</f>
        <v>1.2</v>
      </c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27" t="s">
        <v>79</v>
      </c>
      <c r="AF55" s="29">
        <f>$AF$52*H19</f>
        <v>270</v>
      </c>
      <c r="AG55" s="29">
        <f>$AG$52*I19</f>
        <v>-180</v>
      </c>
      <c r="AH55" s="29">
        <f>$AH$52*J19</f>
        <v>30</v>
      </c>
      <c r="AI55" s="29">
        <f>$AI$52*K19</f>
        <v>501.5</v>
      </c>
      <c r="AJ55" s="29">
        <f>$AJ$52*L19</f>
        <v>-266.5</v>
      </c>
      <c r="AK55" s="29">
        <f>$AK$52*M19</f>
        <v>35.975609756097562</v>
      </c>
      <c r="AL55" s="29">
        <f>$AL$52*N19</f>
        <v>32.777777777777779</v>
      </c>
      <c r="AM55" s="29">
        <f>$AM$52*O19</f>
        <v>-27.333333333333336</v>
      </c>
      <c r="AN55" s="29">
        <f>SUM(H19:I19)*$AN$52</f>
        <v>264</v>
      </c>
      <c r="AO55" s="29">
        <f>SUM(AF55:AN55)</f>
        <v>660.42005420054204</v>
      </c>
    </row>
    <row r="56" spans="1:41" ht="14.25" customHeight="1" x14ac:dyDescent="0.4">
      <c r="A56" s="12" t="s">
        <v>730</v>
      </c>
      <c r="B56" s="13">
        <v>2</v>
      </c>
      <c r="C56" s="14" t="s">
        <v>33</v>
      </c>
      <c r="D56" s="15" t="s">
        <v>1205</v>
      </c>
      <c r="F56" s="95"/>
      <c r="G56" s="86" t="s">
        <v>38</v>
      </c>
      <c r="H56" s="90">
        <f>$J$7</f>
        <v>1</v>
      </c>
      <c r="J56" s="53"/>
      <c r="K56" s="53"/>
      <c r="L56" s="53"/>
      <c r="M56" s="31"/>
      <c r="N56" s="31"/>
      <c r="O56" s="31"/>
      <c r="Q56" s="86" t="s">
        <v>438</v>
      </c>
      <c r="R56" s="90">
        <f>$M$8</f>
        <v>1</v>
      </c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27" t="s">
        <v>86</v>
      </c>
      <c r="AF56" s="29">
        <f>$AF$52*H20</f>
        <v>232.5</v>
      </c>
      <c r="AG56" s="29">
        <f>$AG$52*I20</f>
        <v>-144</v>
      </c>
      <c r="AH56" s="29">
        <f>$AH$52*J20</f>
        <v>32.291666666666671</v>
      </c>
      <c r="AI56" s="29">
        <f>$AI$52*K20</f>
        <v>408</v>
      </c>
      <c r="AJ56" s="29">
        <f>$AJ$52*L20</f>
        <v>-240.5</v>
      </c>
      <c r="AK56" s="29">
        <f>$AK$52*M20</f>
        <v>32.432432432432435</v>
      </c>
      <c r="AL56" s="29">
        <f>$AL$52*N20</f>
        <v>30.967741935483872</v>
      </c>
      <c r="AM56" s="29">
        <f>$AM$52*O20</f>
        <v>-30.833333333333336</v>
      </c>
      <c r="AN56" s="29">
        <f>SUM(H20:I20)*$AN$52</f>
        <v>220</v>
      </c>
      <c r="AO56" s="29">
        <f>SUM(AF56:AN56)</f>
        <v>540.85850770124966</v>
      </c>
    </row>
    <row r="57" spans="1:41" ht="14.25" customHeight="1" x14ac:dyDescent="0.4">
      <c r="A57" s="12" t="s">
        <v>28</v>
      </c>
      <c r="B57" s="13">
        <v>1</v>
      </c>
      <c r="C57" s="14" t="s">
        <v>41</v>
      </c>
      <c r="D57" s="15" t="s">
        <v>1205</v>
      </c>
      <c r="F57" s="95"/>
      <c r="G57" s="86" t="s">
        <v>438</v>
      </c>
      <c r="H57" s="90">
        <f>$J$8</f>
        <v>0.875</v>
      </c>
      <c r="J57" s="53"/>
      <c r="K57" s="53"/>
      <c r="L57" s="53"/>
      <c r="M57" s="31"/>
      <c r="N57" s="31"/>
      <c r="O57" s="31"/>
      <c r="Q57" s="86" t="s">
        <v>28</v>
      </c>
      <c r="R57" s="90">
        <f>$M$3</f>
        <v>0.9</v>
      </c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27" t="s">
        <v>1215</v>
      </c>
      <c r="AF57" s="29">
        <f t="shared" ref="AF57:AN57" si="21">SUM(H4:H5)*AF52</f>
        <v>22.5</v>
      </c>
      <c r="AG57" s="29">
        <f t="shared" si="21"/>
        <v>-84</v>
      </c>
      <c r="AH57" s="29">
        <f t="shared" si="21"/>
        <v>10.714285714285714</v>
      </c>
      <c r="AI57" s="29">
        <f t="shared" si="21"/>
        <v>42.5</v>
      </c>
      <c r="AJ57" s="29">
        <f t="shared" si="21"/>
        <v>-175.5</v>
      </c>
      <c r="AK57" s="29">
        <f t="shared" si="21"/>
        <v>9.6153846153846168</v>
      </c>
      <c r="AL57" s="29">
        <f t="shared" si="21"/>
        <v>33.333333333333336</v>
      </c>
      <c r="AM57" s="29">
        <f t="shared" si="21"/>
        <v>-77.142857142857139</v>
      </c>
      <c r="AN57" s="29">
        <f t="shared" si="21"/>
        <v>0.72727272727272729</v>
      </c>
      <c r="AO57" s="29">
        <f>SUM(AF57:AN57)</f>
        <v>-217.25258075258074</v>
      </c>
    </row>
    <row r="58" spans="1:41" ht="14.25" customHeight="1" x14ac:dyDescent="0.4">
      <c r="A58" s="12" t="s">
        <v>41</v>
      </c>
      <c r="B58" s="13">
        <v>1</v>
      </c>
      <c r="C58" s="14" t="s">
        <v>28</v>
      </c>
      <c r="D58" s="15" t="s">
        <v>1205</v>
      </c>
      <c r="E58" s="4">
        <v>0</v>
      </c>
      <c r="F58" s="95"/>
      <c r="G58" s="86" t="s">
        <v>37</v>
      </c>
      <c r="H58" s="90">
        <f>$J$12</f>
        <v>0.7142857142857143</v>
      </c>
      <c r="J58" s="53"/>
      <c r="K58" s="53"/>
      <c r="L58" s="53"/>
      <c r="M58" s="31"/>
      <c r="N58" s="31"/>
      <c r="O58" s="31"/>
      <c r="Q58" s="86" t="s">
        <v>37</v>
      </c>
      <c r="R58" s="90">
        <f>$M$12</f>
        <v>0.60869565217391308</v>
      </c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</row>
    <row r="59" spans="1:41" ht="14.25" customHeight="1" x14ac:dyDescent="0.4">
      <c r="A59" s="12" t="s">
        <v>28</v>
      </c>
      <c r="B59" s="13">
        <v>1</v>
      </c>
      <c r="C59" s="14" t="s">
        <v>36</v>
      </c>
      <c r="D59" s="15" t="s">
        <v>1205</v>
      </c>
      <c r="F59" s="95"/>
      <c r="G59" s="86" t="s">
        <v>41</v>
      </c>
      <c r="H59" s="90">
        <f>$J$6</f>
        <v>0.6</v>
      </c>
      <c r="J59" s="53"/>
      <c r="K59" s="53"/>
      <c r="L59" s="53"/>
      <c r="M59" s="31"/>
      <c r="N59" s="31"/>
      <c r="O59" s="31"/>
      <c r="Q59" s="86" t="s">
        <v>441</v>
      </c>
      <c r="R59" s="90">
        <f>$M$9</f>
        <v>0.5625</v>
      </c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65" t="s">
        <v>10</v>
      </c>
      <c r="AF59" s="66" t="s">
        <v>98</v>
      </c>
      <c r="AG59" s="66" t="s">
        <v>99</v>
      </c>
    </row>
    <row r="60" spans="1:41" ht="14.25" customHeight="1" x14ac:dyDescent="0.4">
      <c r="A60" s="12" t="s">
        <v>36</v>
      </c>
      <c r="B60" s="13">
        <v>1</v>
      </c>
      <c r="C60" s="14" t="s">
        <v>28</v>
      </c>
      <c r="D60" s="15" t="s">
        <v>1205</v>
      </c>
      <c r="E60" s="4">
        <v>0</v>
      </c>
      <c r="F60" s="95"/>
      <c r="G60" s="86" t="s">
        <v>441</v>
      </c>
      <c r="H60" s="90">
        <f>$J$9</f>
        <v>0.6</v>
      </c>
      <c r="J60" s="53"/>
      <c r="K60" s="53"/>
      <c r="L60" s="53"/>
      <c r="M60" s="31"/>
      <c r="N60" s="31"/>
      <c r="O60" s="31"/>
      <c r="Q60" s="86" t="s">
        <v>41</v>
      </c>
      <c r="R60" s="90">
        <f>$M$6</f>
        <v>0.44444444444444442</v>
      </c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41" t="s">
        <v>79</v>
      </c>
      <c r="AF60" s="67">
        <f>$AO$55</f>
        <v>660.42005420054204</v>
      </c>
      <c r="AG60" s="67">
        <f t="shared" ref="AG60:AG65" si="22">AF60-$AF$65</f>
        <v>877.67263495312272</v>
      </c>
    </row>
    <row r="61" spans="1:41" ht="14.25" customHeight="1" x14ac:dyDescent="0.4">
      <c r="A61" s="12" t="s">
        <v>734</v>
      </c>
      <c r="B61" s="13">
        <v>2</v>
      </c>
      <c r="C61" s="14" t="s">
        <v>1206</v>
      </c>
      <c r="D61" s="15" t="s">
        <v>1205</v>
      </c>
      <c r="F61" s="95"/>
      <c r="G61" s="86" t="s">
        <v>33</v>
      </c>
      <c r="H61" s="90">
        <f>$J$4</f>
        <v>0.42857142857142855</v>
      </c>
      <c r="J61" s="53"/>
      <c r="K61" s="53"/>
      <c r="L61" s="53"/>
      <c r="M61" s="31"/>
      <c r="N61" s="31"/>
      <c r="O61" s="31"/>
      <c r="Q61" s="86" t="s">
        <v>33</v>
      </c>
      <c r="R61" s="90">
        <f>$M$4</f>
        <v>0.38461538461538464</v>
      </c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27" t="s">
        <v>86</v>
      </c>
      <c r="AF61" s="67">
        <f>$AO$56</f>
        <v>540.85850770124966</v>
      </c>
      <c r="AG61" s="67">
        <f t="shared" si="22"/>
        <v>758.11108845383046</v>
      </c>
    </row>
    <row r="62" spans="1:41" ht="14.25" customHeight="1" x14ac:dyDescent="0.4">
      <c r="A62" s="12" t="s">
        <v>28</v>
      </c>
      <c r="B62" s="13">
        <v>2</v>
      </c>
      <c r="C62" s="14" t="s">
        <v>37</v>
      </c>
      <c r="D62" s="15" t="s">
        <v>1205</v>
      </c>
      <c r="F62" s="95"/>
      <c r="G62" s="86" t="s">
        <v>1206</v>
      </c>
      <c r="H62" s="90">
        <f>$J$5</f>
        <v>0</v>
      </c>
      <c r="J62" s="53"/>
      <c r="K62" s="53"/>
      <c r="L62" s="53"/>
      <c r="M62" s="31"/>
      <c r="N62" s="31"/>
      <c r="O62" s="31"/>
      <c r="Q62" s="86" t="s">
        <v>1206</v>
      </c>
      <c r="R62" s="90">
        <f>$M$5</f>
        <v>0</v>
      </c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27" t="s">
        <v>77</v>
      </c>
      <c r="AF62" s="67">
        <f>$AO$54</f>
        <v>161.65217391304347</v>
      </c>
      <c r="AG62" s="67">
        <f t="shared" si="22"/>
        <v>378.90475466562418</v>
      </c>
    </row>
    <row r="63" spans="1:41" ht="14.25" customHeight="1" x14ac:dyDescent="0.4">
      <c r="A63" s="12" t="s">
        <v>36</v>
      </c>
      <c r="B63" s="13">
        <v>2</v>
      </c>
      <c r="C63" s="14" t="s">
        <v>438</v>
      </c>
      <c r="D63" s="15" t="s">
        <v>1205</v>
      </c>
      <c r="F63" s="95"/>
      <c r="J63" s="53"/>
      <c r="K63" s="53"/>
      <c r="L63" s="53"/>
      <c r="M63" s="31"/>
      <c r="N63" s="31"/>
      <c r="O63" s="31"/>
      <c r="P63" s="31"/>
      <c r="Q63" s="5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27" t="s">
        <v>76</v>
      </c>
      <c r="AF63" s="67">
        <f>$AO$53</f>
        <v>143.92080200501252</v>
      </c>
      <c r="AG63" s="67">
        <f t="shared" si="22"/>
        <v>361.17338275759323</v>
      </c>
    </row>
    <row r="64" spans="1:41" ht="14.25" customHeight="1" x14ac:dyDescent="0.4">
      <c r="A64" s="12" t="s">
        <v>734</v>
      </c>
      <c r="B64" s="13">
        <v>2</v>
      </c>
      <c r="C64" s="14" t="s">
        <v>1206</v>
      </c>
      <c r="D64" s="15" t="s">
        <v>1205</v>
      </c>
      <c r="F64" s="95"/>
      <c r="G64" s="86" t="s">
        <v>74</v>
      </c>
      <c r="H64" s="33" t="s">
        <v>15</v>
      </c>
      <c r="J64" s="53"/>
      <c r="K64" s="53"/>
      <c r="L64" s="53"/>
      <c r="M64" s="31"/>
      <c r="N64" s="31"/>
      <c r="O64" s="31"/>
      <c r="Q64" s="86" t="s">
        <v>74</v>
      </c>
      <c r="R64" s="33" t="s">
        <v>18</v>
      </c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27" t="s">
        <v>28</v>
      </c>
      <c r="AF64" s="67">
        <f>Fall2024PRE!$AQ$20</f>
        <v>138.08333333333331</v>
      </c>
      <c r="AG64" s="67">
        <f t="shared" si="22"/>
        <v>355.33591408591406</v>
      </c>
    </row>
    <row r="65" spans="1:33" ht="14.25" customHeight="1" x14ac:dyDescent="0.4">
      <c r="A65" s="12" t="s">
        <v>734</v>
      </c>
      <c r="B65" s="13">
        <v>2</v>
      </c>
      <c r="C65" s="14" t="s">
        <v>28</v>
      </c>
      <c r="D65" s="15" t="s">
        <v>1205</v>
      </c>
      <c r="E65" s="4">
        <v>1</v>
      </c>
      <c r="F65" s="95"/>
      <c r="G65" s="86" t="s">
        <v>79</v>
      </c>
      <c r="H65" s="89">
        <f>$H$19</f>
        <v>36</v>
      </c>
      <c r="J65" s="53"/>
      <c r="K65" s="53"/>
      <c r="L65" s="53"/>
      <c r="M65" s="31"/>
      <c r="N65" s="31"/>
      <c r="O65" s="31"/>
      <c r="Q65" s="86" t="s">
        <v>79</v>
      </c>
      <c r="R65" s="60">
        <f>$K$19</f>
        <v>59</v>
      </c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27" t="s">
        <v>1215</v>
      </c>
      <c r="AF65" s="67">
        <f>$AO$57</f>
        <v>-217.25258075258074</v>
      </c>
      <c r="AG65" s="67">
        <f t="shared" si="22"/>
        <v>0</v>
      </c>
    </row>
    <row r="66" spans="1:33" ht="14.25" customHeight="1" x14ac:dyDescent="0.4">
      <c r="A66" s="12" t="s">
        <v>28</v>
      </c>
      <c r="B66" s="13">
        <v>1</v>
      </c>
      <c r="C66" s="14" t="s">
        <v>734</v>
      </c>
      <c r="D66" s="15" t="s">
        <v>1205</v>
      </c>
      <c r="F66" s="95"/>
      <c r="G66" s="86" t="s">
        <v>86</v>
      </c>
      <c r="H66" s="89">
        <f>$H$20</f>
        <v>31</v>
      </c>
      <c r="J66" s="53"/>
      <c r="K66" s="53"/>
      <c r="L66" s="53"/>
      <c r="M66" s="31"/>
      <c r="N66" s="31"/>
      <c r="O66" s="31"/>
      <c r="Q66" s="86" t="s">
        <v>86</v>
      </c>
      <c r="R66" s="60">
        <f>$K$20</f>
        <v>48</v>
      </c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</row>
    <row r="67" spans="1:33" ht="14.25" customHeight="1" x14ac:dyDescent="0.4">
      <c r="A67" s="12" t="s">
        <v>734</v>
      </c>
      <c r="B67" s="13">
        <v>2</v>
      </c>
      <c r="C67" s="14" t="s">
        <v>28</v>
      </c>
      <c r="D67" s="15" t="s">
        <v>1205</v>
      </c>
      <c r="E67" s="4">
        <v>0</v>
      </c>
      <c r="F67" s="95"/>
      <c r="G67" s="86" t="s">
        <v>76</v>
      </c>
      <c r="H67" s="89">
        <f>$H$17</f>
        <v>25</v>
      </c>
      <c r="J67" s="53"/>
      <c r="K67" s="53"/>
      <c r="L67" s="53"/>
      <c r="M67" s="31"/>
      <c r="N67" s="31"/>
      <c r="O67" s="31"/>
      <c r="Q67" s="86" t="s">
        <v>76</v>
      </c>
      <c r="R67" s="60">
        <f>$K$17</f>
        <v>32</v>
      </c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</row>
    <row r="68" spans="1:33" ht="14.25" customHeight="1" x14ac:dyDescent="0.4">
      <c r="A68" s="12" t="s">
        <v>28</v>
      </c>
      <c r="B68" s="13">
        <v>1</v>
      </c>
      <c r="C68" s="14" t="s">
        <v>734</v>
      </c>
      <c r="D68" s="15" t="s">
        <v>1205</v>
      </c>
      <c r="F68" s="95"/>
      <c r="G68" s="86" t="s">
        <v>77</v>
      </c>
      <c r="H68" s="89">
        <f>$H$18</f>
        <v>12</v>
      </c>
      <c r="J68" s="53"/>
      <c r="K68" s="53"/>
      <c r="L68" s="53"/>
      <c r="M68" s="31"/>
      <c r="N68" s="31"/>
      <c r="O68" s="31"/>
      <c r="Q68" s="86" t="s">
        <v>77</v>
      </c>
      <c r="R68" s="60">
        <f>$K$18</f>
        <v>19</v>
      </c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G68" s="53"/>
    </row>
    <row r="69" spans="1:33" ht="14.25" customHeight="1" x14ac:dyDescent="0.4">
      <c r="A69" s="12" t="s">
        <v>39</v>
      </c>
      <c r="B69" s="13">
        <v>2</v>
      </c>
      <c r="C69" s="14" t="s">
        <v>730</v>
      </c>
      <c r="D69" s="15" t="s">
        <v>1205</v>
      </c>
      <c r="F69" s="95"/>
      <c r="J69" s="53"/>
      <c r="K69" s="53"/>
      <c r="L69" s="53"/>
      <c r="M69" s="31"/>
      <c r="N69" s="31"/>
      <c r="O69" s="31"/>
      <c r="P69" s="31"/>
      <c r="Q69" s="5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</row>
    <row r="70" spans="1:33" ht="14.25" customHeight="1" x14ac:dyDescent="0.4">
      <c r="A70" s="12" t="s">
        <v>730</v>
      </c>
      <c r="B70" s="13">
        <v>2</v>
      </c>
      <c r="C70" s="14" t="s">
        <v>33</v>
      </c>
      <c r="D70" s="15" t="s">
        <v>1205</v>
      </c>
      <c r="F70" s="95"/>
      <c r="J70" s="53"/>
      <c r="K70" s="53"/>
      <c r="L70" s="53"/>
      <c r="M70" s="31"/>
      <c r="N70" s="31"/>
      <c r="O70" s="31"/>
      <c r="P70" s="31"/>
      <c r="Q70" s="5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</row>
    <row r="71" spans="1:33" ht="14.25" customHeight="1" x14ac:dyDescent="0.4">
      <c r="A71" s="12" t="s">
        <v>28</v>
      </c>
      <c r="B71" s="13">
        <v>2</v>
      </c>
      <c r="C71" s="14" t="s">
        <v>37</v>
      </c>
      <c r="D71" s="15" t="s">
        <v>1205</v>
      </c>
      <c r="F71" s="95"/>
      <c r="J71" s="53"/>
      <c r="K71" s="53"/>
      <c r="L71" s="53"/>
      <c r="M71" s="31"/>
      <c r="N71" s="31"/>
      <c r="O71" s="31"/>
      <c r="P71" s="31"/>
      <c r="Q71" s="5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F71" s="53"/>
      <c r="AG71" s="53"/>
    </row>
    <row r="72" spans="1:33" ht="14.25" customHeight="1" x14ac:dyDescent="0.4">
      <c r="A72" s="12" t="s">
        <v>28</v>
      </c>
      <c r="B72" s="13">
        <v>1</v>
      </c>
      <c r="C72" s="14" t="s">
        <v>441</v>
      </c>
      <c r="D72" s="15" t="s">
        <v>1205</v>
      </c>
      <c r="F72" s="95"/>
      <c r="J72" s="53"/>
      <c r="K72" s="53"/>
      <c r="L72" s="53"/>
      <c r="M72" s="31"/>
      <c r="N72" s="31"/>
      <c r="O72" s="31"/>
      <c r="P72" s="31"/>
      <c r="Q72" s="5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</row>
    <row r="73" spans="1:33" ht="14.25" customHeight="1" x14ac:dyDescent="0.4">
      <c r="A73" s="12" t="s">
        <v>441</v>
      </c>
      <c r="B73" s="13">
        <v>1</v>
      </c>
      <c r="C73" s="14" t="s">
        <v>28</v>
      </c>
      <c r="D73" s="15" t="s">
        <v>1205</v>
      </c>
      <c r="E73" s="4">
        <v>0</v>
      </c>
      <c r="F73" s="95"/>
      <c r="G73" s="86" t="s">
        <v>74</v>
      </c>
      <c r="H73" s="33" t="s">
        <v>16</v>
      </c>
      <c r="J73" s="53"/>
      <c r="K73" s="53"/>
      <c r="L73" s="53"/>
      <c r="M73" s="31"/>
      <c r="N73" s="31"/>
      <c r="O73" s="31"/>
      <c r="Q73" s="86" t="s">
        <v>74</v>
      </c>
      <c r="R73" s="33" t="s">
        <v>19</v>
      </c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</row>
    <row r="74" spans="1:33" ht="14.25" customHeight="1" x14ac:dyDescent="0.4">
      <c r="A74" s="12" t="s">
        <v>36</v>
      </c>
      <c r="B74" s="13">
        <v>2</v>
      </c>
      <c r="C74" s="14" t="s">
        <v>441</v>
      </c>
      <c r="D74" s="15" t="s">
        <v>1205</v>
      </c>
      <c r="F74" s="95"/>
      <c r="G74" s="86" t="s">
        <v>76</v>
      </c>
      <c r="H74" s="61">
        <f>$I$17</f>
        <v>35</v>
      </c>
      <c r="J74" s="53"/>
      <c r="K74" s="53"/>
      <c r="L74" s="53"/>
      <c r="M74" s="31"/>
      <c r="N74" s="31"/>
      <c r="O74" s="31"/>
      <c r="Q74" s="86" t="s">
        <v>76</v>
      </c>
      <c r="R74" s="61">
        <f>$L$17</f>
        <v>57</v>
      </c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</row>
    <row r="75" spans="1:33" ht="14.25" customHeight="1" x14ac:dyDescent="0.4">
      <c r="A75" s="12" t="s">
        <v>39</v>
      </c>
      <c r="B75" s="13">
        <v>2</v>
      </c>
      <c r="C75" s="14" t="s">
        <v>1206</v>
      </c>
      <c r="D75" s="15" t="s">
        <v>1205</v>
      </c>
      <c r="F75" s="95"/>
      <c r="G75" s="86" t="s">
        <v>79</v>
      </c>
      <c r="H75" s="61">
        <f>$I$19</f>
        <v>30</v>
      </c>
      <c r="J75" s="53"/>
      <c r="K75" s="53"/>
      <c r="L75" s="53"/>
      <c r="M75" s="31"/>
      <c r="N75" s="31"/>
      <c r="O75" s="31"/>
      <c r="Q75" s="86" t="s">
        <v>79</v>
      </c>
      <c r="R75" s="61">
        <f>$L$19</f>
        <v>41</v>
      </c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</row>
    <row r="76" spans="1:33" ht="14.25" customHeight="1" x14ac:dyDescent="0.4">
      <c r="A76" s="12" t="s">
        <v>39</v>
      </c>
      <c r="B76" s="13">
        <v>2</v>
      </c>
      <c r="C76" s="14" t="s">
        <v>41</v>
      </c>
      <c r="D76" s="15" t="s">
        <v>1205</v>
      </c>
      <c r="F76" s="95"/>
      <c r="G76" s="86" t="s">
        <v>86</v>
      </c>
      <c r="H76" s="61">
        <f>$I$20</f>
        <v>24</v>
      </c>
      <c r="J76" s="53"/>
      <c r="K76" s="53"/>
      <c r="L76" s="53"/>
      <c r="M76" s="31"/>
      <c r="N76" s="31"/>
      <c r="O76" s="31"/>
      <c r="Q76" s="86" t="s">
        <v>86</v>
      </c>
      <c r="R76" s="61">
        <f>$L$20</f>
        <v>37</v>
      </c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</row>
    <row r="77" spans="1:33" ht="14.25" customHeight="1" x14ac:dyDescent="0.4">
      <c r="A77" s="12" t="s">
        <v>41</v>
      </c>
      <c r="B77" s="13">
        <v>1</v>
      </c>
      <c r="C77" s="14" t="s">
        <v>438</v>
      </c>
      <c r="D77" s="15" t="s">
        <v>1205</v>
      </c>
      <c r="F77" s="95"/>
      <c r="G77" s="86" t="s">
        <v>77</v>
      </c>
      <c r="H77" s="61">
        <f>$I$18</f>
        <v>15</v>
      </c>
      <c r="J77" s="53"/>
      <c r="K77" s="53"/>
      <c r="L77" s="53"/>
      <c r="M77" s="31"/>
      <c r="N77" s="31"/>
      <c r="O77" s="31"/>
      <c r="Q77" s="86" t="s">
        <v>77</v>
      </c>
      <c r="R77" s="61">
        <f>$L$18</f>
        <v>23</v>
      </c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</row>
    <row r="78" spans="1:33" ht="14.25" customHeight="1" x14ac:dyDescent="0.4">
      <c r="A78" s="12" t="s">
        <v>37</v>
      </c>
      <c r="B78" s="13">
        <v>2</v>
      </c>
      <c r="C78" s="14" t="s">
        <v>28</v>
      </c>
      <c r="D78" s="15" t="s">
        <v>1205</v>
      </c>
      <c r="E78" s="4">
        <v>0</v>
      </c>
      <c r="F78" s="95"/>
      <c r="J78" s="53"/>
      <c r="K78" s="53"/>
      <c r="L78" s="53"/>
      <c r="M78" s="31"/>
      <c r="N78" s="31"/>
      <c r="O78" s="31"/>
      <c r="P78" s="31"/>
      <c r="Q78" s="5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</row>
    <row r="79" spans="1:33" ht="14.25" customHeight="1" x14ac:dyDescent="0.4">
      <c r="A79" s="12" t="s">
        <v>28</v>
      </c>
      <c r="B79" s="13">
        <v>1</v>
      </c>
      <c r="C79" s="14" t="s">
        <v>37</v>
      </c>
      <c r="D79" s="15" t="s">
        <v>1205</v>
      </c>
      <c r="F79" s="95"/>
      <c r="J79" s="53"/>
      <c r="K79" s="53"/>
      <c r="L79" s="53"/>
      <c r="M79" s="31"/>
      <c r="N79" s="31"/>
      <c r="O79" s="31"/>
      <c r="P79" s="31"/>
      <c r="Q79" s="5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</row>
    <row r="80" spans="1:33" ht="14.25" customHeight="1" x14ac:dyDescent="0.4">
      <c r="A80" s="12" t="s">
        <v>28</v>
      </c>
      <c r="B80" s="13">
        <v>2</v>
      </c>
      <c r="C80" s="14" t="s">
        <v>37</v>
      </c>
      <c r="D80" s="15" t="s">
        <v>1205</v>
      </c>
      <c r="F80" s="95"/>
      <c r="J80" s="53"/>
      <c r="K80" s="53"/>
      <c r="L80" s="53"/>
      <c r="M80" s="31"/>
      <c r="N80" s="31"/>
      <c r="O80" s="31"/>
      <c r="P80" s="31"/>
      <c r="Q80" s="5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</row>
    <row r="81" spans="1:37" ht="14.25" customHeight="1" x14ac:dyDescent="0.4">
      <c r="A81" s="12" t="s">
        <v>33</v>
      </c>
      <c r="B81" s="13">
        <v>2</v>
      </c>
      <c r="C81" s="14" t="s">
        <v>38</v>
      </c>
      <c r="D81" s="15" t="s">
        <v>1205</v>
      </c>
      <c r="F81" s="95"/>
      <c r="J81" s="53"/>
      <c r="K81" s="53"/>
      <c r="L81" s="53"/>
      <c r="M81" s="31"/>
      <c r="N81" s="31"/>
      <c r="O81" s="31"/>
      <c r="P81" s="31"/>
      <c r="Q81" s="5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</row>
    <row r="82" spans="1:37" ht="14.25" customHeight="1" x14ac:dyDescent="0.4">
      <c r="A82" s="12" t="s">
        <v>28</v>
      </c>
      <c r="B82" s="13">
        <v>1</v>
      </c>
      <c r="C82" s="14" t="s">
        <v>39</v>
      </c>
      <c r="D82" s="15" t="s">
        <v>1205</v>
      </c>
      <c r="F82" s="95"/>
      <c r="G82" s="86" t="s">
        <v>74</v>
      </c>
      <c r="H82" s="33" t="s">
        <v>17</v>
      </c>
      <c r="J82" s="53"/>
      <c r="K82" s="53"/>
      <c r="L82" s="53"/>
      <c r="M82" s="31"/>
      <c r="N82" s="31"/>
      <c r="O82" s="31"/>
      <c r="Q82" s="86" t="s">
        <v>74</v>
      </c>
      <c r="R82" s="33" t="s">
        <v>20</v>
      </c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</row>
    <row r="83" spans="1:37" ht="14.25" customHeight="1" x14ac:dyDescent="0.4">
      <c r="A83" s="12" t="s">
        <v>39</v>
      </c>
      <c r="B83" s="13">
        <v>1</v>
      </c>
      <c r="C83" s="14" t="s">
        <v>28</v>
      </c>
      <c r="D83" s="15" t="s">
        <v>1205</v>
      </c>
      <c r="E83" s="4">
        <v>0</v>
      </c>
      <c r="F83" s="95"/>
      <c r="G83" s="86" t="s">
        <v>86</v>
      </c>
      <c r="H83" s="90">
        <f>$J$20</f>
        <v>1.2916666666666667</v>
      </c>
      <c r="J83" s="53"/>
      <c r="K83" s="53"/>
      <c r="L83" s="53"/>
      <c r="M83" s="31"/>
      <c r="N83" s="31"/>
      <c r="O83" s="31"/>
      <c r="Q83" s="86" t="s">
        <v>79</v>
      </c>
      <c r="R83" s="90">
        <f>$M$19</f>
        <v>1.4390243902439024</v>
      </c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</row>
    <row r="84" spans="1:37" ht="14.25" customHeight="1" x14ac:dyDescent="0.4">
      <c r="A84" s="12" t="s">
        <v>730</v>
      </c>
      <c r="B84" s="13">
        <v>2</v>
      </c>
      <c r="C84" s="14" t="s">
        <v>36</v>
      </c>
      <c r="D84" s="15" t="s">
        <v>1205</v>
      </c>
      <c r="F84" s="95"/>
      <c r="G84" s="86" t="s">
        <v>79</v>
      </c>
      <c r="H84" s="90">
        <f>$J$19</f>
        <v>1.2</v>
      </c>
      <c r="J84" s="53"/>
      <c r="K84" s="53"/>
      <c r="L84" s="53"/>
      <c r="M84" s="31"/>
      <c r="N84" s="31"/>
      <c r="O84" s="31"/>
      <c r="Q84" s="86" t="s">
        <v>86</v>
      </c>
      <c r="R84" s="90">
        <f>$M$20</f>
        <v>1.2972972972972974</v>
      </c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</row>
    <row r="85" spans="1:37" ht="14.25" customHeight="1" x14ac:dyDescent="0.4">
      <c r="A85" s="12" t="s">
        <v>734</v>
      </c>
      <c r="B85" s="13">
        <v>2</v>
      </c>
      <c r="C85" s="14" t="s">
        <v>28</v>
      </c>
      <c r="D85" s="15" t="s">
        <v>1205</v>
      </c>
      <c r="E85" s="4">
        <v>1</v>
      </c>
      <c r="F85" s="95"/>
      <c r="G85" s="86" t="s">
        <v>77</v>
      </c>
      <c r="H85" s="90">
        <f>$J$18</f>
        <v>0.8</v>
      </c>
      <c r="J85" s="53"/>
      <c r="K85" s="53"/>
      <c r="L85" s="53"/>
      <c r="M85" s="31"/>
      <c r="N85" s="31"/>
      <c r="O85" s="31"/>
      <c r="Q85" s="86" t="s">
        <v>77</v>
      </c>
      <c r="R85" s="90">
        <f>$M$18</f>
        <v>0.82608695652173914</v>
      </c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J85" s="53"/>
      <c r="AK85" s="31"/>
    </row>
    <row r="86" spans="1:37" ht="14.25" customHeight="1" x14ac:dyDescent="0.4">
      <c r="A86" s="12" t="s">
        <v>36</v>
      </c>
      <c r="B86" s="13">
        <v>1</v>
      </c>
      <c r="C86" s="14" t="s">
        <v>734</v>
      </c>
      <c r="D86" s="15" t="s">
        <v>1205</v>
      </c>
      <c r="F86" s="95"/>
      <c r="G86" s="86" t="s">
        <v>76</v>
      </c>
      <c r="H86" s="90">
        <f>$J$17</f>
        <v>0.7142857142857143</v>
      </c>
      <c r="J86" s="53"/>
      <c r="K86" s="53"/>
      <c r="L86" s="53"/>
      <c r="M86" s="31"/>
      <c r="N86" s="31"/>
      <c r="O86" s="31"/>
      <c r="Q86" s="86" t="s">
        <v>76</v>
      </c>
      <c r="R86" s="90">
        <f>$M$17</f>
        <v>0.56140350877192979</v>
      </c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J86" s="53"/>
      <c r="AK86" s="31"/>
    </row>
    <row r="87" spans="1:37" ht="14.25" customHeight="1" x14ac:dyDescent="0.4">
      <c r="A87" s="12" t="s">
        <v>734</v>
      </c>
      <c r="B87" s="13">
        <v>1</v>
      </c>
      <c r="C87" s="14" t="s">
        <v>36</v>
      </c>
      <c r="D87" s="15" t="s">
        <v>1205</v>
      </c>
      <c r="F87" s="95"/>
      <c r="J87" s="53"/>
      <c r="K87" s="53"/>
      <c r="L87" s="53"/>
      <c r="M87" s="31"/>
      <c r="N87" s="31"/>
      <c r="O87" s="31"/>
      <c r="P87" s="31"/>
      <c r="Q87" s="5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J87" s="53"/>
      <c r="AK87" s="31"/>
    </row>
    <row r="88" spans="1:37" ht="14.25" customHeight="1" x14ac:dyDescent="0.4">
      <c r="A88" s="12" t="s">
        <v>734</v>
      </c>
      <c r="B88" s="13">
        <v>2</v>
      </c>
      <c r="C88" s="14" t="s">
        <v>37</v>
      </c>
      <c r="D88" s="15" t="s">
        <v>1205</v>
      </c>
      <c r="F88" s="95"/>
      <c r="J88" s="53"/>
      <c r="K88" s="53"/>
      <c r="L88" s="53"/>
      <c r="M88" s="31"/>
      <c r="N88" s="31"/>
      <c r="O88" s="31"/>
      <c r="P88" s="31"/>
      <c r="Q88" s="5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J88" s="53"/>
      <c r="AK88" s="31"/>
    </row>
    <row r="89" spans="1:37" ht="14.25" customHeight="1" x14ac:dyDescent="0.4">
      <c r="A89" s="12" t="s">
        <v>37</v>
      </c>
      <c r="B89" s="13">
        <v>1</v>
      </c>
      <c r="C89" s="14" t="s">
        <v>734</v>
      </c>
      <c r="D89" s="15" t="s">
        <v>1205</v>
      </c>
      <c r="F89" s="95"/>
      <c r="J89" s="53"/>
      <c r="K89" s="53"/>
      <c r="L89" s="53"/>
      <c r="M89" s="31"/>
      <c r="N89" s="31"/>
      <c r="O89" s="31"/>
      <c r="P89" s="31"/>
      <c r="Q89" s="5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J89" s="53"/>
      <c r="AK89" s="31"/>
    </row>
    <row r="90" spans="1:37" ht="14.25" customHeight="1" x14ac:dyDescent="0.4">
      <c r="A90" s="12" t="s">
        <v>37</v>
      </c>
      <c r="B90" s="13">
        <v>2</v>
      </c>
      <c r="C90" s="14" t="s">
        <v>28</v>
      </c>
      <c r="D90" s="15" t="s">
        <v>1205</v>
      </c>
      <c r="E90" s="4">
        <v>1</v>
      </c>
      <c r="F90" s="95"/>
      <c r="J90" s="53"/>
      <c r="K90" s="53"/>
      <c r="L90" s="53"/>
      <c r="M90" s="31"/>
      <c r="N90" s="31"/>
      <c r="O90" s="31"/>
      <c r="P90" s="31"/>
      <c r="Q90" s="5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J90" s="53"/>
      <c r="AK90" s="31"/>
    </row>
    <row r="91" spans="1:37" ht="14.25" customHeight="1" x14ac:dyDescent="0.4">
      <c r="A91" s="12" t="s">
        <v>734</v>
      </c>
      <c r="B91" s="13">
        <v>2</v>
      </c>
      <c r="C91" s="14" t="s">
        <v>441</v>
      </c>
      <c r="D91" s="15" t="s">
        <v>1205</v>
      </c>
      <c r="F91" s="95"/>
      <c r="J91" s="53"/>
      <c r="K91" s="53"/>
      <c r="L91" s="53"/>
      <c r="M91" s="31"/>
      <c r="N91" s="31"/>
      <c r="O91" s="31"/>
      <c r="P91" s="31"/>
      <c r="Q91" s="5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J91" s="53"/>
      <c r="AK91" s="31"/>
    </row>
    <row r="92" spans="1:37" ht="14.25" customHeight="1" x14ac:dyDescent="0.4">
      <c r="A92" s="12" t="s">
        <v>41</v>
      </c>
      <c r="B92" s="13">
        <v>2</v>
      </c>
      <c r="C92" s="14" t="s">
        <v>734</v>
      </c>
      <c r="D92" s="15" t="s">
        <v>1205</v>
      </c>
      <c r="F92" s="95"/>
      <c r="J92" s="53"/>
      <c r="K92" s="53"/>
      <c r="L92" s="53"/>
      <c r="M92" s="31"/>
      <c r="N92" s="31"/>
      <c r="O92" s="31"/>
      <c r="P92" s="31"/>
      <c r="Q92" s="5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J92" s="53"/>
      <c r="AK92" s="31"/>
    </row>
    <row r="93" spans="1:37" ht="14.25" customHeight="1" x14ac:dyDescent="0.4">
      <c r="A93" s="12" t="s">
        <v>734</v>
      </c>
      <c r="B93" s="13">
        <v>2</v>
      </c>
      <c r="C93" s="14" t="s">
        <v>441</v>
      </c>
      <c r="D93" s="15" t="s">
        <v>1205</v>
      </c>
      <c r="F93" s="95"/>
      <c r="J93" s="53"/>
      <c r="K93" s="53"/>
      <c r="L93" s="53"/>
      <c r="M93" s="31"/>
      <c r="N93" s="31"/>
      <c r="O93" s="31"/>
      <c r="P93" s="31"/>
      <c r="Q93" s="5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J93" s="53"/>
      <c r="AK93" s="31"/>
    </row>
    <row r="94" spans="1:37" ht="14.25" customHeight="1" x14ac:dyDescent="0.4">
      <c r="A94" s="12" t="s">
        <v>37</v>
      </c>
      <c r="B94" s="13">
        <v>1</v>
      </c>
      <c r="C94" s="14" t="s">
        <v>33</v>
      </c>
      <c r="D94" s="15" t="s">
        <v>1205</v>
      </c>
      <c r="F94" s="95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J94" s="53"/>
      <c r="AK94" s="31"/>
    </row>
    <row r="95" spans="1:37" ht="14.25" customHeight="1" x14ac:dyDescent="0.4">
      <c r="A95" s="12" t="s">
        <v>36</v>
      </c>
      <c r="B95" s="13">
        <v>2</v>
      </c>
      <c r="C95" s="14" t="s">
        <v>41</v>
      </c>
      <c r="D95" s="15" t="s">
        <v>1205</v>
      </c>
      <c r="F95" s="95"/>
      <c r="J95" s="53"/>
      <c r="K95" s="53"/>
      <c r="L95" s="53"/>
      <c r="M95" s="31"/>
      <c r="N95" s="31"/>
      <c r="O95" s="31"/>
      <c r="P95" s="31"/>
      <c r="Q95" s="5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J95" s="53"/>
      <c r="AK95" s="31"/>
    </row>
    <row r="96" spans="1:37" ht="14.25" customHeight="1" x14ac:dyDescent="0.4">
      <c r="A96" s="12" t="s">
        <v>38</v>
      </c>
      <c r="B96" s="13">
        <v>2</v>
      </c>
      <c r="C96" s="14" t="s">
        <v>441</v>
      </c>
      <c r="D96" s="15" t="s">
        <v>1205</v>
      </c>
      <c r="F96" s="95"/>
      <c r="J96" s="53"/>
      <c r="K96" s="53"/>
      <c r="L96" s="53"/>
      <c r="M96" s="31"/>
      <c r="N96" s="31"/>
      <c r="O96" s="31"/>
      <c r="P96" s="31"/>
      <c r="Q96" s="5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J96" s="53"/>
      <c r="AK96" s="31"/>
    </row>
    <row r="97" spans="1:37" ht="14.25" customHeight="1" x14ac:dyDescent="0.4">
      <c r="A97" s="12" t="s">
        <v>438</v>
      </c>
      <c r="B97" s="13">
        <v>2</v>
      </c>
      <c r="C97" s="14" t="s">
        <v>33</v>
      </c>
      <c r="D97" s="15" t="s">
        <v>1205</v>
      </c>
      <c r="F97" s="95"/>
      <c r="J97" s="53"/>
      <c r="K97" s="53"/>
      <c r="L97" s="53"/>
      <c r="M97" s="31"/>
      <c r="N97" s="31"/>
      <c r="O97" s="31"/>
      <c r="P97" s="31"/>
      <c r="Q97" s="5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J97" s="53"/>
      <c r="AK97" s="31"/>
    </row>
    <row r="98" spans="1:37" ht="14.25" customHeight="1" x14ac:dyDescent="0.4">
      <c r="A98" s="12" t="s">
        <v>441</v>
      </c>
      <c r="B98" s="13">
        <v>2</v>
      </c>
      <c r="C98" s="14" t="s">
        <v>33</v>
      </c>
      <c r="D98" s="15" t="s">
        <v>1205</v>
      </c>
      <c r="F98" s="95"/>
      <c r="J98" s="53"/>
      <c r="K98" s="53"/>
      <c r="L98" s="53"/>
      <c r="M98" s="31"/>
      <c r="N98" s="31"/>
      <c r="O98" s="31"/>
      <c r="P98" s="31"/>
      <c r="Q98" s="5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J98" s="53"/>
      <c r="AK98" s="31"/>
    </row>
    <row r="99" spans="1:37" ht="14.25" customHeight="1" x14ac:dyDescent="0.4">
      <c r="A99" s="12" t="s">
        <v>441</v>
      </c>
      <c r="B99" s="13">
        <v>1</v>
      </c>
      <c r="C99" s="14" t="s">
        <v>438</v>
      </c>
      <c r="D99" s="15" t="s">
        <v>1205</v>
      </c>
      <c r="F99" s="95"/>
      <c r="J99" s="53"/>
      <c r="K99" s="53"/>
      <c r="L99" s="53"/>
      <c r="M99" s="31"/>
      <c r="N99" s="31"/>
      <c r="O99" s="31"/>
      <c r="P99" s="31"/>
      <c r="Q99" s="5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J99" s="53"/>
      <c r="AK99" s="31"/>
    </row>
    <row r="100" spans="1:37" ht="14.25" customHeight="1" x14ac:dyDescent="0.4">
      <c r="A100" s="12" t="s">
        <v>438</v>
      </c>
      <c r="B100" s="13">
        <v>1</v>
      </c>
      <c r="C100" s="14" t="s">
        <v>441</v>
      </c>
      <c r="D100" s="15" t="s">
        <v>1205</v>
      </c>
      <c r="F100" s="95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J100" s="53"/>
      <c r="AK100" s="31"/>
    </row>
    <row r="101" spans="1:37" ht="14.25" customHeight="1" x14ac:dyDescent="0.4">
      <c r="A101" s="12" t="s">
        <v>37</v>
      </c>
      <c r="B101" s="13">
        <v>1</v>
      </c>
      <c r="C101" s="14" t="s">
        <v>438</v>
      </c>
      <c r="D101" s="15" t="s">
        <v>1205</v>
      </c>
      <c r="F101" s="95"/>
    </row>
    <row r="102" spans="1:37" ht="14.25" customHeight="1" x14ac:dyDescent="0.4">
      <c r="A102" s="12" t="s">
        <v>438</v>
      </c>
      <c r="B102" s="13">
        <v>1</v>
      </c>
      <c r="C102" s="14" t="s">
        <v>37</v>
      </c>
      <c r="D102" s="15" t="s">
        <v>1205</v>
      </c>
      <c r="F102" s="95"/>
    </row>
    <row r="103" spans="1:37" ht="14.25" customHeight="1" x14ac:dyDescent="0.4">
      <c r="A103" s="12" t="s">
        <v>734</v>
      </c>
      <c r="B103" s="13">
        <v>2</v>
      </c>
      <c r="C103" s="14" t="s">
        <v>37</v>
      </c>
      <c r="D103" s="15" t="s">
        <v>1205</v>
      </c>
      <c r="F103" s="95"/>
    </row>
    <row r="104" spans="1:37" ht="14.25" customHeight="1" x14ac:dyDescent="0.4">
      <c r="A104" s="12" t="s">
        <v>730</v>
      </c>
      <c r="B104" s="13">
        <v>2</v>
      </c>
      <c r="C104" s="14" t="s">
        <v>37</v>
      </c>
      <c r="D104" s="15" t="s">
        <v>1205</v>
      </c>
      <c r="F104" s="95"/>
    </row>
    <row r="105" spans="1:37" ht="14.25" customHeight="1" x14ac:dyDescent="0.4">
      <c r="A105" s="12" t="s">
        <v>33</v>
      </c>
      <c r="B105" s="13">
        <v>2</v>
      </c>
      <c r="C105" s="14" t="s">
        <v>441</v>
      </c>
      <c r="D105" s="15" t="s">
        <v>1205</v>
      </c>
      <c r="F105" s="95"/>
    </row>
    <row r="106" spans="1:37" ht="14.25" customHeight="1" x14ac:dyDescent="0.4">
      <c r="F106" s="95"/>
    </row>
    <row r="107" spans="1:37" ht="14.25" customHeight="1" x14ac:dyDescent="0.4">
      <c r="F107" s="95"/>
    </row>
    <row r="108" spans="1:37" ht="14.25" customHeight="1" x14ac:dyDescent="0.4">
      <c r="F108" s="95"/>
    </row>
    <row r="109" spans="1:37" ht="14.25" customHeight="1" x14ac:dyDescent="0.4">
      <c r="F109" s="95"/>
    </row>
    <row r="110" spans="1:37" ht="14.25" customHeight="1" x14ac:dyDescent="0.4">
      <c r="F110" s="95"/>
    </row>
    <row r="111" spans="1:37" ht="14.25" customHeight="1" x14ac:dyDescent="0.4">
      <c r="F111" s="95"/>
    </row>
    <row r="112" spans="1:37" ht="14.25" customHeight="1" x14ac:dyDescent="0.4">
      <c r="F112" s="95"/>
    </row>
    <row r="113" spans="6:6" ht="14.25" customHeight="1" x14ac:dyDescent="0.4">
      <c r="F113" s="95"/>
    </row>
    <row r="114" spans="6:6" ht="14.25" customHeight="1" x14ac:dyDescent="0.4">
      <c r="F114" s="95"/>
    </row>
    <row r="115" spans="6:6" ht="14.25" customHeight="1" x14ac:dyDescent="0.4">
      <c r="F115" s="95"/>
    </row>
    <row r="116" spans="6:6" ht="14.25" customHeight="1" x14ac:dyDescent="0.4">
      <c r="F116" s="95"/>
    </row>
    <row r="117" spans="6:6" ht="14.25" customHeight="1" x14ac:dyDescent="0.4">
      <c r="F117" s="95"/>
    </row>
    <row r="118" spans="6:6" ht="14.25" customHeight="1" x14ac:dyDescent="0.4">
      <c r="F118" s="95"/>
    </row>
    <row r="119" spans="6:6" ht="14.25" customHeight="1" x14ac:dyDescent="0.4">
      <c r="F119" s="95"/>
    </row>
    <row r="120" spans="6:6" ht="14.25" customHeight="1" x14ac:dyDescent="0.4">
      <c r="F120" s="95"/>
    </row>
    <row r="121" spans="6:6" ht="14.25" customHeight="1" x14ac:dyDescent="0.4">
      <c r="F121" s="95"/>
    </row>
    <row r="122" spans="6:6" ht="14.25" customHeight="1" x14ac:dyDescent="0.4">
      <c r="F122" s="95"/>
    </row>
    <row r="123" spans="6:6" ht="14.25" customHeight="1" x14ac:dyDescent="0.4">
      <c r="F123" s="95"/>
    </row>
    <row r="124" spans="6:6" ht="14.25" customHeight="1" x14ac:dyDescent="0.4">
      <c r="F124" s="95"/>
    </row>
    <row r="125" spans="6:6" ht="14.25" customHeight="1" x14ac:dyDescent="0.4">
      <c r="F125" s="95"/>
    </row>
    <row r="126" spans="6:6" ht="14.25" customHeight="1" x14ac:dyDescent="0.4">
      <c r="F126" s="95"/>
    </row>
    <row r="127" spans="6:6" ht="14.25" customHeight="1" x14ac:dyDescent="0.4">
      <c r="F127" s="95"/>
    </row>
    <row r="128" spans="6:6" ht="14.25" customHeight="1" x14ac:dyDescent="0.4">
      <c r="F128" s="95"/>
    </row>
    <row r="129" spans="6:6" ht="14.25" customHeight="1" x14ac:dyDescent="0.4">
      <c r="F129" s="95"/>
    </row>
    <row r="130" spans="6:6" ht="14.25" customHeight="1" x14ac:dyDescent="0.4">
      <c r="F130" s="95"/>
    </row>
    <row r="131" spans="6:6" ht="14.25" customHeight="1" x14ac:dyDescent="0.4">
      <c r="F131" s="95"/>
    </row>
    <row r="132" spans="6:6" ht="14.25" customHeight="1" x14ac:dyDescent="0.4">
      <c r="F132" s="95"/>
    </row>
    <row r="133" spans="6:6" ht="14.25" customHeight="1" x14ac:dyDescent="0.4">
      <c r="F133" s="95"/>
    </row>
    <row r="134" spans="6:6" ht="14.25" customHeight="1" x14ac:dyDescent="0.4">
      <c r="F134" s="95"/>
    </row>
    <row r="135" spans="6:6" ht="14.25" customHeight="1" x14ac:dyDescent="0.4">
      <c r="F135" s="95"/>
    </row>
    <row r="136" spans="6:6" ht="14.25" customHeight="1" x14ac:dyDescent="0.4">
      <c r="F136" s="95"/>
    </row>
    <row r="137" spans="6:6" ht="14.25" customHeight="1" x14ac:dyDescent="0.4">
      <c r="F137" s="95"/>
    </row>
    <row r="138" spans="6:6" ht="14.25" customHeight="1" x14ac:dyDescent="0.4">
      <c r="F138" s="95"/>
    </row>
    <row r="139" spans="6:6" ht="14.25" customHeight="1" x14ac:dyDescent="0.4">
      <c r="F139" s="95"/>
    </row>
    <row r="140" spans="6:6" ht="14.25" customHeight="1" x14ac:dyDescent="0.4">
      <c r="F140" s="95"/>
    </row>
    <row r="141" spans="6:6" ht="14.25" customHeight="1" x14ac:dyDescent="0.4">
      <c r="F141" s="95"/>
    </row>
    <row r="142" spans="6:6" ht="14.25" customHeight="1" x14ac:dyDescent="0.4">
      <c r="F142" s="95"/>
    </row>
    <row r="143" spans="6:6" ht="14.25" customHeight="1" x14ac:dyDescent="0.4">
      <c r="F143" s="95"/>
    </row>
    <row r="144" spans="6:6" ht="14.25" customHeight="1" x14ac:dyDescent="0.4">
      <c r="F144" s="95"/>
    </row>
    <row r="145" spans="6:6" ht="14.25" customHeight="1" x14ac:dyDescent="0.4">
      <c r="F145" s="95"/>
    </row>
    <row r="146" spans="6:6" ht="14.25" customHeight="1" x14ac:dyDescent="0.4">
      <c r="F146" s="95"/>
    </row>
    <row r="147" spans="6:6" ht="14.25" customHeight="1" x14ac:dyDescent="0.4">
      <c r="F147" s="95"/>
    </row>
    <row r="148" spans="6:6" ht="14.25" customHeight="1" x14ac:dyDescent="0.4">
      <c r="F148" s="95"/>
    </row>
    <row r="149" spans="6:6" ht="14.25" customHeight="1" x14ac:dyDescent="0.4">
      <c r="F149" s="95"/>
    </row>
    <row r="150" spans="6:6" ht="14.25" customHeight="1" x14ac:dyDescent="0.4">
      <c r="F150" s="95"/>
    </row>
    <row r="151" spans="6:6" ht="14.25" customHeight="1" x14ac:dyDescent="0.4">
      <c r="F151" s="95"/>
    </row>
    <row r="152" spans="6:6" ht="14.25" customHeight="1" x14ac:dyDescent="0.4">
      <c r="F152" s="95"/>
    </row>
    <row r="153" spans="6:6" ht="14.25" customHeight="1" x14ac:dyDescent="0.4">
      <c r="F153" s="95"/>
    </row>
    <row r="154" spans="6:6" ht="14.25" customHeight="1" x14ac:dyDescent="0.4">
      <c r="F154" s="95"/>
    </row>
    <row r="155" spans="6:6" ht="14.25" customHeight="1" x14ac:dyDescent="0.4">
      <c r="F155" s="95"/>
    </row>
    <row r="156" spans="6:6" ht="14.25" customHeight="1" x14ac:dyDescent="0.4">
      <c r="F156" s="95"/>
    </row>
    <row r="157" spans="6:6" ht="14.25" customHeight="1" x14ac:dyDescent="0.4">
      <c r="F157" s="95"/>
    </row>
    <row r="158" spans="6:6" ht="14.25" customHeight="1" x14ac:dyDescent="0.4">
      <c r="F158" s="95"/>
    </row>
    <row r="159" spans="6:6" ht="14.25" customHeight="1" x14ac:dyDescent="0.4">
      <c r="F159" s="95"/>
    </row>
    <row r="160" spans="6:6" ht="14.25" customHeight="1" x14ac:dyDescent="0.4">
      <c r="F160" s="95"/>
    </row>
    <row r="161" spans="6:6" ht="14.25" customHeight="1" x14ac:dyDescent="0.4">
      <c r="F161" s="95"/>
    </row>
    <row r="162" spans="6:6" ht="14.25" customHeight="1" x14ac:dyDescent="0.4">
      <c r="F162" s="95"/>
    </row>
    <row r="163" spans="6:6" ht="14.25" customHeight="1" x14ac:dyDescent="0.4">
      <c r="F163" s="95"/>
    </row>
    <row r="164" spans="6:6" ht="14.25" customHeight="1" x14ac:dyDescent="0.4">
      <c r="F164" s="95"/>
    </row>
    <row r="165" spans="6:6" ht="14.25" customHeight="1" x14ac:dyDescent="0.4">
      <c r="F165" s="95"/>
    </row>
    <row r="166" spans="6:6" ht="14.25" customHeight="1" x14ac:dyDescent="0.4">
      <c r="F166" s="95"/>
    </row>
    <row r="167" spans="6:6" ht="14.25" customHeight="1" x14ac:dyDescent="0.4">
      <c r="F167" s="95"/>
    </row>
    <row r="168" spans="6:6" ht="14.25" customHeight="1" x14ac:dyDescent="0.4">
      <c r="F168" s="95"/>
    </row>
    <row r="169" spans="6:6" ht="14.25" customHeight="1" x14ac:dyDescent="0.4">
      <c r="F169" s="95"/>
    </row>
    <row r="170" spans="6:6" ht="14.25" customHeight="1" x14ac:dyDescent="0.4">
      <c r="F170" s="95"/>
    </row>
    <row r="171" spans="6:6" ht="14.25" customHeight="1" x14ac:dyDescent="0.4">
      <c r="F171" s="95"/>
    </row>
    <row r="172" spans="6:6" ht="14.25" customHeight="1" x14ac:dyDescent="0.4">
      <c r="F172" s="95"/>
    </row>
    <row r="173" spans="6:6" ht="14.25" customHeight="1" x14ac:dyDescent="0.4">
      <c r="F173" s="95"/>
    </row>
    <row r="174" spans="6:6" ht="14.25" customHeight="1" x14ac:dyDescent="0.4">
      <c r="F174" s="95"/>
    </row>
    <row r="175" spans="6:6" ht="14.25" customHeight="1" x14ac:dyDescent="0.4">
      <c r="F175" s="95"/>
    </row>
    <row r="176" spans="6:6" ht="14.25" customHeight="1" x14ac:dyDescent="0.4">
      <c r="F176" s="95"/>
    </row>
    <row r="177" spans="6:6" ht="14.25" customHeight="1" x14ac:dyDescent="0.4">
      <c r="F177" s="95"/>
    </row>
    <row r="178" spans="6:6" ht="14.25" customHeight="1" x14ac:dyDescent="0.4">
      <c r="F178" s="95"/>
    </row>
    <row r="179" spans="6:6" ht="14.25" customHeight="1" x14ac:dyDescent="0.4">
      <c r="F179" s="95"/>
    </row>
    <row r="180" spans="6:6" ht="14.25" customHeight="1" x14ac:dyDescent="0.4">
      <c r="F180" s="95"/>
    </row>
    <row r="181" spans="6:6" ht="14.25" customHeight="1" x14ac:dyDescent="0.4">
      <c r="F181" s="95"/>
    </row>
    <row r="182" spans="6:6" ht="14.25" customHeight="1" x14ac:dyDescent="0.4">
      <c r="F182" s="95"/>
    </row>
    <row r="183" spans="6:6" ht="14.25" customHeight="1" x14ac:dyDescent="0.4">
      <c r="F183" s="95"/>
    </row>
    <row r="184" spans="6:6" ht="14.25" customHeight="1" x14ac:dyDescent="0.4">
      <c r="F184" s="95"/>
    </row>
    <row r="185" spans="6:6" ht="14.25" customHeight="1" x14ac:dyDescent="0.4">
      <c r="F185" s="95"/>
    </row>
    <row r="186" spans="6:6" ht="14.25" customHeight="1" x14ac:dyDescent="0.4">
      <c r="F186" s="95"/>
    </row>
    <row r="187" spans="6:6" ht="14.25" customHeight="1" x14ac:dyDescent="0.4">
      <c r="F187" s="95"/>
    </row>
    <row r="188" spans="6:6" ht="14.25" customHeight="1" x14ac:dyDescent="0.4">
      <c r="F188" s="95"/>
    </row>
    <row r="189" spans="6:6" ht="14.25" customHeight="1" x14ac:dyDescent="0.4">
      <c r="F189" s="95"/>
    </row>
    <row r="190" spans="6:6" ht="14.25" customHeight="1" x14ac:dyDescent="0.4">
      <c r="F190" s="95"/>
    </row>
    <row r="191" spans="6:6" ht="14.25" customHeight="1" x14ac:dyDescent="0.4">
      <c r="F191" s="95"/>
    </row>
    <row r="192" spans="6:6" ht="14.25" customHeight="1" x14ac:dyDescent="0.4">
      <c r="F192" s="95"/>
    </row>
    <row r="193" spans="6:6" ht="14.25" customHeight="1" x14ac:dyDescent="0.4">
      <c r="F193" s="95"/>
    </row>
    <row r="194" spans="6:6" ht="14.25" customHeight="1" x14ac:dyDescent="0.4">
      <c r="F194" s="95"/>
    </row>
    <row r="195" spans="6:6" ht="14.25" customHeight="1" x14ac:dyDescent="0.4">
      <c r="F195" s="95"/>
    </row>
    <row r="196" spans="6:6" ht="14.25" customHeight="1" x14ac:dyDescent="0.4">
      <c r="F196" s="95"/>
    </row>
    <row r="197" spans="6:6" ht="14.25" customHeight="1" x14ac:dyDescent="0.4">
      <c r="F197" s="95"/>
    </row>
    <row r="198" spans="6:6" ht="14.25" customHeight="1" x14ac:dyDescent="0.4">
      <c r="F198" s="95"/>
    </row>
    <row r="199" spans="6:6" ht="14.25" customHeight="1" x14ac:dyDescent="0.4">
      <c r="F199" s="95"/>
    </row>
    <row r="200" spans="6:6" ht="14.25" customHeight="1" x14ac:dyDescent="0.4">
      <c r="F200" s="95"/>
    </row>
    <row r="201" spans="6:6" ht="14.25" customHeight="1" x14ac:dyDescent="0.4">
      <c r="F201" s="95"/>
    </row>
    <row r="202" spans="6:6" ht="14.25" customHeight="1" x14ac:dyDescent="0.4">
      <c r="F202" s="95"/>
    </row>
    <row r="203" spans="6:6" ht="14.25" customHeight="1" x14ac:dyDescent="0.4">
      <c r="F203" s="95"/>
    </row>
    <row r="204" spans="6:6" ht="14.25" customHeight="1" x14ac:dyDescent="0.4">
      <c r="F204" s="95"/>
    </row>
    <row r="205" spans="6:6" ht="14.25" customHeight="1" x14ac:dyDescent="0.4">
      <c r="F205" s="95"/>
    </row>
    <row r="206" spans="6:6" ht="14.25" customHeight="1" x14ac:dyDescent="0.4">
      <c r="F206" s="95"/>
    </row>
    <row r="207" spans="6:6" ht="14.25" customHeight="1" x14ac:dyDescent="0.4">
      <c r="F207" s="95"/>
    </row>
    <row r="208" spans="6:6" ht="14.25" customHeight="1" x14ac:dyDescent="0.4">
      <c r="F208" s="95"/>
    </row>
    <row r="209" spans="6:6" ht="14.25" customHeight="1" x14ac:dyDescent="0.4">
      <c r="F209" s="95"/>
    </row>
    <row r="210" spans="6:6" ht="14.25" customHeight="1" x14ac:dyDescent="0.4">
      <c r="F210" s="95"/>
    </row>
    <row r="211" spans="6:6" ht="14.25" customHeight="1" x14ac:dyDescent="0.4">
      <c r="F211" s="95"/>
    </row>
    <row r="212" spans="6:6" ht="14.25" customHeight="1" x14ac:dyDescent="0.4">
      <c r="F212" s="95"/>
    </row>
    <row r="213" spans="6:6" ht="14.25" customHeight="1" x14ac:dyDescent="0.4">
      <c r="F213" s="95"/>
    </row>
    <row r="214" spans="6:6" ht="14.25" customHeight="1" x14ac:dyDescent="0.4">
      <c r="F214" s="95"/>
    </row>
    <row r="215" spans="6:6" ht="14.25" customHeight="1" x14ac:dyDescent="0.4">
      <c r="F215" s="95"/>
    </row>
    <row r="216" spans="6:6" ht="14.25" customHeight="1" x14ac:dyDescent="0.4">
      <c r="F216" s="95"/>
    </row>
    <row r="217" spans="6:6" ht="14.25" customHeight="1" x14ac:dyDescent="0.4">
      <c r="F217" s="95"/>
    </row>
    <row r="218" spans="6:6" ht="14.25" customHeight="1" x14ac:dyDescent="0.4">
      <c r="F218" s="95"/>
    </row>
    <row r="219" spans="6:6" ht="14.25" customHeight="1" x14ac:dyDescent="0.4">
      <c r="F219" s="95"/>
    </row>
    <row r="220" spans="6:6" ht="14.25" customHeight="1" x14ac:dyDescent="0.4">
      <c r="F220" s="95"/>
    </row>
    <row r="221" spans="6:6" ht="14.25" customHeight="1" x14ac:dyDescent="0.4">
      <c r="F221" s="95"/>
    </row>
    <row r="222" spans="6:6" ht="14.25" customHeight="1" x14ac:dyDescent="0.4">
      <c r="F222" s="95"/>
    </row>
    <row r="223" spans="6:6" ht="14.25" customHeight="1" x14ac:dyDescent="0.4">
      <c r="F223" s="95"/>
    </row>
    <row r="224" spans="6:6" ht="14.25" customHeight="1" x14ac:dyDescent="0.4">
      <c r="F224" s="95"/>
    </row>
    <row r="225" spans="6:6" ht="14.25" customHeight="1" x14ac:dyDescent="0.4">
      <c r="F225" s="95"/>
    </row>
    <row r="226" spans="6:6" ht="14.25" customHeight="1" x14ac:dyDescent="0.4">
      <c r="F226" s="95"/>
    </row>
    <row r="227" spans="6:6" ht="14.25" customHeight="1" x14ac:dyDescent="0.4">
      <c r="F227" s="95"/>
    </row>
    <row r="228" spans="6:6" ht="14.25" customHeight="1" x14ac:dyDescent="0.4">
      <c r="F228" s="95"/>
    </row>
    <row r="229" spans="6:6" ht="14.25" customHeight="1" x14ac:dyDescent="0.4">
      <c r="F229" s="95"/>
    </row>
    <row r="230" spans="6:6" ht="14.25" customHeight="1" x14ac:dyDescent="0.4">
      <c r="F230" s="95"/>
    </row>
    <row r="231" spans="6:6" ht="14.25" customHeight="1" x14ac:dyDescent="0.4">
      <c r="F231" s="95"/>
    </row>
    <row r="232" spans="6:6" ht="14.25" customHeight="1" x14ac:dyDescent="0.4">
      <c r="F232" s="95"/>
    </row>
    <row r="233" spans="6:6" ht="14.25" customHeight="1" x14ac:dyDescent="0.4">
      <c r="F233" s="95"/>
    </row>
    <row r="234" spans="6:6" ht="14.25" customHeight="1" x14ac:dyDescent="0.4">
      <c r="F234" s="95"/>
    </row>
    <row r="235" spans="6:6" ht="14.25" customHeight="1" x14ac:dyDescent="0.4">
      <c r="F235" s="95"/>
    </row>
    <row r="236" spans="6:6" ht="14.25" customHeight="1" x14ac:dyDescent="0.4">
      <c r="F236" s="95"/>
    </row>
    <row r="237" spans="6:6" ht="14.25" customHeight="1" x14ac:dyDescent="0.4">
      <c r="F237" s="95"/>
    </row>
    <row r="238" spans="6:6" ht="14.25" customHeight="1" x14ac:dyDescent="0.4">
      <c r="F238" s="95"/>
    </row>
    <row r="239" spans="6:6" ht="14.25" customHeight="1" x14ac:dyDescent="0.4">
      <c r="F239" s="95"/>
    </row>
    <row r="240" spans="6:6" ht="14.25" customHeight="1" x14ac:dyDescent="0.4">
      <c r="F240" s="95"/>
    </row>
    <row r="241" spans="6:6" ht="14.25" customHeight="1" x14ac:dyDescent="0.4">
      <c r="F241" s="95"/>
    </row>
    <row r="242" spans="6:6" ht="14.25" customHeight="1" x14ac:dyDescent="0.4">
      <c r="F242" s="95"/>
    </row>
    <row r="243" spans="6:6" ht="14.25" customHeight="1" x14ac:dyDescent="0.4">
      <c r="F243" s="95"/>
    </row>
    <row r="244" spans="6:6" ht="14.25" customHeight="1" x14ac:dyDescent="0.4">
      <c r="F244" s="95"/>
    </row>
    <row r="245" spans="6:6" ht="14.25" customHeight="1" x14ac:dyDescent="0.4">
      <c r="F245" s="95"/>
    </row>
    <row r="246" spans="6:6" ht="14.25" customHeight="1" x14ac:dyDescent="0.4">
      <c r="F246" s="95"/>
    </row>
    <row r="247" spans="6:6" ht="14.25" customHeight="1" x14ac:dyDescent="0.4">
      <c r="F247" s="95"/>
    </row>
    <row r="248" spans="6:6" ht="14.25" customHeight="1" x14ac:dyDescent="0.4">
      <c r="F248" s="95"/>
    </row>
    <row r="249" spans="6:6" ht="14.25" customHeight="1" x14ac:dyDescent="0.4">
      <c r="F249" s="95"/>
    </row>
    <row r="250" spans="6:6" ht="14.25" customHeight="1" x14ac:dyDescent="0.4">
      <c r="F250" s="95"/>
    </row>
    <row r="251" spans="6:6" ht="14.25" customHeight="1" x14ac:dyDescent="0.4">
      <c r="F251" s="95"/>
    </row>
    <row r="252" spans="6:6" ht="14.25" customHeight="1" x14ac:dyDescent="0.4">
      <c r="F252" s="95"/>
    </row>
    <row r="253" spans="6:6" ht="14.25" customHeight="1" x14ac:dyDescent="0.4">
      <c r="F253" s="95"/>
    </row>
    <row r="254" spans="6:6" ht="14.25" customHeight="1" x14ac:dyDescent="0.4">
      <c r="F254" s="95"/>
    </row>
    <row r="255" spans="6:6" ht="14.25" customHeight="1" x14ac:dyDescent="0.4">
      <c r="F255" s="95"/>
    </row>
    <row r="256" spans="6:6" ht="14.25" customHeight="1" x14ac:dyDescent="0.4">
      <c r="F256" s="95"/>
    </row>
    <row r="257" spans="6:6" ht="14.25" customHeight="1" x14ac:dyDescent="0.4">
      <c r="F257" s="95"/>
    </row>
    <row r="258" spans="6:6" ht="14.25" customHeight="1" x14ac:dyDescent="0.4">
      <c r="F258" s="95"/>
    </row>
    <row r="259" spans="6:6" ht="14.25" customHeight="1" x14ac:dyDescent="0.4">
      <c r="F259" s="95"/>
    </row>
    <row r="260" spans="6:6" ht="14.25" customHeight="1" x14ac:dyDescent="0.4">
      <c r="F260" s="95"/>
    </row>
    <row r="261" spans="6:6" ht="14.25" customHeight="1" x14ac:dyDescent="0.4">
      <c r="F261" s="95"/>
    </row>
    <row r="262" spans="6:6" ht="14.25" customHeight="1" x14ac:dyDescent="0.4">
      <c r="F262" s="95"/>
    </row>
    <row r="263" spans="6:6" ht="14.25" customHeight="1" x14ac:dyDescent="0.4">
      <c r="F263" s="95"/>
    </row>
    <row r="264" spans="6:6" ht="14.25" customHeight="1" x14ac:dyDescent="0.4">
      <c r="F264" s="95"/>
    </row>
    <row r="265" spans="6:6" ht="14.25" customHeight="1" x14ac:dyDescent="0.4">
      <c r="F265" s="95"/>
    </row>
    <row r="266" spans="6:6" ht="14.25" customHeight="1" x14ac:dyDescent="0.4">
      <c r="F266" s="95"/>
    </row>
    <row r="267" spans="6:6" ht="14.25" customHeight="1" x14ac:dyDescent="0.4">
      <c r="F267" s="95"/>
    </row>
    <row r="268" spans="6:6" ht="14.25" customHeight="1" x14ac:dyDescent="0.4">
      <c r="F268" s="95"/>
    </row>
    <row r="269" spans="6:6" ht="14.25" customHeight="1" x14ac:dyDescent="0.4">
      <c r="F269" s="95"/>
    </row>
    <row r="270" spans="6:6" ht="14.25" customHeight="1" x14ac:dyDescent="0.4">
      <c r="F270" s="95"/>
    </row>
    <row r="271" spans="6:6" ht="14.25" customHeight="1" x14ac:dyDescent="0.4">
      <c r="F271" s="95"/>
    </row>
    <row r="272" spans="6:6" ht="14.25" customHeight="1" x14ac:dyDescent="0.4">
      <c r="F272" s="95"/>
    </row>
    <row r="273" spans="6:6" ht="14.25" customHeight="1" x14ac:dyDescent="0.4">
      <c r="F273" s="95"/>
    </row>
    <row r="274" spans="6:6" ht="14.25" customHeight="1" x14ac:dyDescent="0.4">
      <c r="F274" s="95"/>
    </row>
    <row r="275" spans="6:6" ht="14.25" customHeight="1" x14ac:dyDescent="0.4">
      <c r="F275" s="95"/>
    </row>
    <row r="276" spans="6:6" ht="14.25" customHeight="1" x14ac:dyDescent="0.4">
      <c r="F276" s="95"/>
    </row>
    <row r="277" spans="6:6" ht="14.25" customHeight="1" x14ac:dyDescent="0.4">
      <c r="F277" s="95"/>
    </row>
    <row r="278" spans="6:6" ht="14.25" customHeight="1" x14ac:dyDescent="0.4">
      <c r="F278" s="95"/>
    </row>
    <row r="279" spans="6:6" ht="14.25" customHeight="1" x14ac:dyDescent="0.4">
      <c r="F279" s="95"/>
    </row>
    <row r="280" spans="6:6" ht="14.25" customHeight="1" x14ac:dyDescent="0.4">
      <c r="F280" s="95"/>
    </row>
    <row r="281" spans="6:6" ht="14.25" customHeight="1" x14ac:dyDescent="0.4">
      <c r="F281" s="95"/>
    </row>
    <row r="282" spans="6:6" ht="14.25" customHeight="1" x14ac:dyDescent="0.4">
      <c r="F282" s="95"/>
    </row>
    <row r="283" spans="6:6" ht="14.25" customHeight="1" x14ac:dyDescent="0.4">
      <c r="F283" s="95"/>
    </row>
    <row r="284" spans="6:6" ht="14.25" customHeight="1" x14ac:dyDescent="0.4">
      <c r="F284" s="95"/>
    </row>
    <row r="285" spans="6:6" ht="14.25" customHeight="1" x14ac:dyDescent="0.4">
      <c r="F285" s="95"/>
    </row>
    <row r="286" spans="6:6" ht="14.25" customHeight="1" x14ac:dyDescent="0.4">
      <c r="F286" s="95"/>
    </row>
    <row r="287" spans="6:6" ht="14.25" customHeight="1" x14ac:dyDescent="0.4">
      <c r="F287" s="95"/>
    </row>
    <row r="288" spans="6:6" ht="14.25" customHeight="1" x14ac:dyDescent="0.4">
      <c r="F288" s="95"/>
    </row>
    <row r="289" spans="6:6" ht="14.25" customHeight="1" x14ac:dyDescent="0.4">
      <c r="F289" s="95"/>
    </row>
    <row r="290" spans="6:6" ht="14.25" customHeight="1" x14ac:dyDescent="0.4">
      <c r="F290" s="95"/>
    </row>
    <row r="291" spans="6:6" ht="14.25" customHeight="1" x14ac:dyDescent="0.4">
      <c r="F291" s="95"/>
    </row>
    <row r="292" spans="6:6" ht="14.25" customHeight="1" x14ac:dyDescent="0.4">
      <c r="F292" s="95"/>
    </row>
    <row r="293" spans="6:6" ht="14.25" customHeight="1" x14ac:dyDescent="0.4">
      <c r="F293" s="95"/>
    </row>
    <row r="294" spans="6:6" ht="14.25" customHeight="1" x14ac:dyDescent="0.4">
      <c r="F294" s="95"/>
    </row>
    <row r="295" spans="6:6" ht="14.25" customHeight="1" x14ac:dyDescent="0.4">
      <c r="F295" s="95"/>
    </row>
    <row r="296" spans="6:6" ht="14.25" customHeight="1" x14ac:dyDescent="0.4">
      <c r="F296" s="95"/>
    </row>
    <row r="297" spans="6:6" ht="14.25" customHeight="1" x14ac:dyDescent="0.4">
      <c r="F297" s="95"/>
    </row>
    <row r="298" spans="6:6" ht="14.25" customHeight="1" x14ac:dyDescent="0.4">
      <c r="F298" s="95"/>
    </row>
    <row r="299" spans="6:6" ht="14.25" customHeight="1" x14ac:dyDescent="0.4">
      <c r="F299" s="95"/>
    </row>
    <row r="300" spans="6:6" ht="14.25" customHeight="1" x14ac:dyDescent="0.4">
      <c r="F300" s="95"/>
    </row>
    <row r="301" spans="6:6" ht="14.25" customHeight="1" x14ac:dyDescent="0.4">
      <c r="F301" s="95"/>
    </row>
    <row r="302" spans="6:6" ht="14.25" customHeight="1" x14ac:dyDescent="0.4">
      <c r="F302" s="95"/>
    </row>
    <row r="303" spans="6:6" ht="14.25" customHeight="1" x14ac:dyDescent="0.4">
      <c r="F303" s="95"/>
    </row>
    <row r="304" spans="6:6" ht="14.25" customHeight="1" x14ac:dyDescent="0.4">
      <c r="F304" s="95"/>
    </row>
    <row r="305" spans="6:6" ht="14.25" customHeight="1" x14ac:dyDescent="0.4">
      <c r="F305" s="95"/>
    </row>
    <row r="306" spans="6:6" ht="15.75" customHeight="1" x14ac:dyDescent="0.4"/>
    <row r="307" spans="6:6" ht="15.75" customHeight="1" x14ac:dyDescent="0.4"/>
    <row r="308" spans="6:6" ht="15.75" customHeight="1" x14ac:dyDescent="0.4"/>
    <row r="309" spans="6:6" ht="15.75" customHeight="1" x14ac:dyDescent="0.4"/>
    <row r="310" spans="6:6" ht="15.75" customHeight="1" x14ac:dyDescent="0.4"/>
    <row r="311" spans="6:6" ht="15.75" customHeight="1" x14ac:dyDescent="0.4"/>
    <row r="312" spans="6:6" ht="15.75" customHeight="1" x14ac:dyDescent="0.4"/>
    <row r="313" spans="6:6" ht="15.75" customHeight="1" x14ac:dyDescent="0.4"/>
    <row r="314" spans="6:6" ht="15.75" customHeight="1" x14ac:dyDescent="0.4"/>
    <row r="315" spans="6:6" ht="15.75" customHeight="1" x14ac:dyDescent="0.4"/>
    <row r="316" spans="6:6" ht="15.75" customHeight="1" x14ac:dyDescent="0.4"/>
    <row r="317" spans="6:6" ht="15.75" customHeight="1" x14ac:dyDescent="0.4"/>
    <row r="318" spans="6:6" ht="15.75" customHeight="1" x14ac:dyDescent="0.4"/>
    <row r="319" spans="6:6" ht="15.75" customHeight="1" x14ac:dyDescent="0.4"/>
    <row r="320" spans="6:6" ht="15.75" customHeight="1" x14ac:dyDescent="0.4"/>
    <row r="321" ht="15.75" customHeight="1" x14ac:dyDescent="0.4"/>
    <row r="322" ht="15.75" customHeight="1" x14ac:dyDescent="0.4"/>
    <row r="323" ht="15.75" customHeight="1" x14ac:dyDescent="0.4"/>
    <row r="324" ht="15.75" customHeight="1" x14ac:dyDescent="0.4"/>
    <row r="325" ht="15.75" customHeight="1" x14ac:dyDescent="0.4"/>
    <row r="326" ht="15.75" customHeight="1" x14ac:dyDescent="0.4"/>
    <row r="327" ht="15.75" customHeight="1" x14ac:dyDescent="0.4"/>
    <row r="328" ht="15.75" customHeight="1" x14ac:dyDescent="0.4"/>
    <row r="329" ht="15.75" customHeight="1" x14ac:dyDescent="0.4"/>
    <row r="330" ht="15.75" customHeight="1" x14ac:dyDescent="0.4"/>
    <row r="331" ht="15.75" customHeight="1" x14ac:dyDescent="0.4"/>
    <row r="332" ht="15.75" customHeight="1" x14ac:dyDescent="0.4"/>
    <row r="333" ht="15.75" customHeight="1" x14ac:dyDescent="0.4"/>
    <row r="334" ht="15.75" customHeight="1" x14ac:dyDescent="0.4"/>
    <row r="335" ht="15.75" customHeight="1" x14ac:dyDescent="0.4"/>
    <row r="336" ht="15.75" customHeight="1" x14ac:dyDescent="0.4"/>
    <row r="337" ht="15.75" customHeight="1" x14ac:dyDescent="0.4"/>
    <row r="338" ht="15.75" customHeight="1" x14ac:dyDescent="0.4"/>
    <row r="339" ht="15.75" customHeight="1" x14ac:dyDescent="0.4"/>
    <row r="340" ht="15.75" customHeight="1" x14ac:dyDescent="0.4"/>
    <row r="341" ht="15.75" customHeight="1" x14ac:dyDescent="0.4"/>
    <row r="342" ht="15.75" customHeight="1" x14ac:dyDescent="0.4"/>
    <row r="343" ht="15.75" customHeight="1" x14ac:dyDescent="0.4"/>
    <row r="344" ht="15.75" customHeight="1" x14ac:dyDescent="0.4"/>
    <row r="345" ht="15.75" customHeight="1" x14ac:dyDescent="0.4"/>
    <row r="346" ht="15.75" customHeight="1" x14ac:dyDescent="0.4"/>
    <row r="347" ht="15.75" customHeight="1" x14ac:dyDescent="0.4"/>
    <row r="348" ht="15.75" customHeight="1" x14ac:dyDescent="0.4"/>
    <row r="349" ht="15.75" customHeight="1" x14ac:dyDescent="0.4"/>
    <row r="350" ht="15.75" customHeight="1" x14ac:dyDescent="0.4"/>
    <row r="351" ht="15.75" customHeight="1" x14ac:dyDescent="0.4"/>
    <row r="352" ht="15.75" customHeight="1" x14ac:dyDescent="0.4"/>
    <row r="353" ht="15.75" customHeight="1" x14ac:dyDescent="0.4"/>
    <row r="354" ht="15.75" customHeight="1" x14ac:dyDescent="0.4"/>
    <row r="355" ht="15.75" customHeight="1" x14ac:dyDescent="0.4"/>
    <row r="356" ht="15.75" customHeight="1" x14ac:dyDescent="0.4"/>
    <row r="357" ht="15.75" customHeight="1" x14ac:dyDescent="0.4"/>
    <row r="358" ht="15.75" customHeight="1" x14ac:dyDescent="0.4"/>
    <row r="359" ht="15.75" customHeight="1" x14ac:dyDescent="0.4"/>
    <row r="360" ht="15.75" customHeight="1" x14ac:dyDescent="0.4"/>
    <row r="361" ht="15.75" customHeight="1" x14ac:dyDescent="0.4"/>
    <row r="362" ht="15.75" customHeight="1" x14ac:dyDescent="0.4"/>
    <row r="363" ht="15.75" customHeight="1" x14ac:dyDescent="0.4"/>
    <row r="364" ht="15.75" customHeight="1" x14ac:dyDescent="0.4"/>
    <row r="365" ht="15.75" customHeight="1" x14ac:dyDescent="0.4"/>
    <row r="366" ht="15.75" customHeight="1" x14ac:dyDescent="0.4"/>
    <row r="367" ht="15.75" customHeight="1" x14ac:dyDescent="0.4"/>
    <row r="368" ht="15.75" customHeight="1" x14ac:dyDescent="0.4"/>
    <row r="369" ht="15.75" customHeight="1" x14ac:dyDescent="0.4"/>
    <row r="370" ht="15.75" customHeight="1" x14ac:dyDescent="0.4"/>
    <row r="371" ht="15.75" customHeight="1" x14ac:dyDescent="0.4"/>
    <row r="372" ht="15.75" customHeight="1" x14ac:dyDescent="0.4"/>
    <row r="373" ht="15.75" customHeight="1" x14ac:dyDescent="0.4"/>
    <row r="374" ht="15.75" customHeight="1" x14ac:dyDescent="0.4"/>
    <row r="375" ht="15.75" customHeight="1" x14ac:dyDescent="0.4"/>
    <row r="376" ht="15.75" customHeight="1" x14ac:dyDescent="0.4"/>
    <row r="377" ht="15.75" customHeight="1" x14ac:dyDescent="0.4"/>
    <row r="378" ht="15.75" customHeight="1" x14ac:dyDescent="0.4"/>
    <row r="379" ht="15.75" customHeight="1" x14ac:dyDescent="0.4"/>
    <row r="380" ht="15.75" customHeight="1" x14ac:dyDescent="0.4"/>
    <row r="381" ht="15.75" customHeight="1" x14ac:dyDescent="0.4"/>
    <row r="382" ht="15.75" customHeight="1" x14ac:dyDescent="0.4"/>
    <row r="383" ht="15.75" customHeight="1" x14ac:dyDescent="0.4"/>
    <row r="384" ht="15.75" customHeight="1" x14ac:dyDescent="0.4"/>
    <row r="385" ht="15.75" customHeight="1" x14ac:dyDescent="0.4"/>
    <row r="386" ht="15.75" customHeight="1" x14ac:dyDescent="0.4"/>
    <row r="387" ht="15.75" customHeight="1" x14ac:dyDescent="0.4"/>
    <row r="388" ht="15.75" customHeight="1" x14ac:dyDescent="0.4"/>
    <row r="389" ht="15.75" customHeight="1" x14ac:dyDescent="0.4"/>
    <row r="390" ht="15.75" customHeight="1" x14ac:dyDescent="0.4"/>
    <row r="391" ht="15.75" customHeight="1" x14ac:dyDescent="0.4"/>
    <row r="392" ht="15.75" customHeight="1" x14ac:dyDescent="0.4"/>
    <row r="393" ht="15.75" customHeight="1" x14ac:dyDescent="0.4"/>
    <row r="394" ht="15.75" customHeight="1" x14ac:dyDescent="0.4"/>
    <row r="395" ht="15.75" customHeight="1" x14ac:dyDescent="0.4"/>
    <row r="396" ht="15.75" customHeight="1" x14ac:dyDescent="0.4"/>
    <row r="397" ht="15.75" customHeight="1" x14ac:dyDescent="0.4"/>
    <row r="398" ht="15.75" customHeight="1" x14ac:dyDescent="0.4"/>
    <row r="399" ht="15.75" customHeight="1" x14ac:dyDescent="0.4"/>
    <row r="400" ht="15.75" customHeight="1" x14ac:dyDescent="0.4"/>
    <row r="401" ht="15.75" customHeight="1" x14ac:dyDescent="0.4"/>
    <row r="402" ht="15.75" customHeight="1" x14ac:dyDescent="0.4"/>
    <row r="403" ht="15.75" customHeight="1" x14ac:dyDescent="0.4"/>
    <row r="404" ht="15.75" customHeight="1" x14ac:dyDescent="0.4"/>
    <row r="405" ht="15.75" customHeight="1" x14ac:dyDescent="0.4"/>
    <row r="406" ht="15.75" customHeight="1" x14ac:dyDescent="0.4"/>
    <row r="407" ht="15.75" customHeight="1" x14ac:dyDescent="0.4"/>
    <row r="408" ht="15.75" customHeight="1" x14ac:dyDescent="0.4"/>
    <row r="409" ht="15.75" customHeight="1" x14ac:dyDescent="0.4"/>
    <row r="410" ht="15.75" customHeight="1" x14ac:dyDescent="0.4"/>
    <row r="411" ht="15.75" customHeight="1" x14ac:dyDescent="0.4"/>
    <row r="412" ht="15.75" customHeight="1" x14ac:dyDescent="0.4"/>
    <row r="413" ht="15.75" customHeight="1" x14ac:dyDescent="0.4"/>
    <row r="414" ht="15.75" customHeight="1" x14ac:dyDescent="0.4"/>
    <row r="415" ht="15.75" customHeight="1" x14ac:dyDescent="0.4"/>
    <row r="416" ht="15.75" customHeight="1" x14ac:dyDescent="0.4"/>
    <row r="417" ht="15.75" customHeight="1" x14ac:dyDescent="0.4"/>
    <row r="418" ht="15.75" customHeight="1" x14ac:dyDescent="0.4"/>
    <row r="419" ht="15.75" customHeight="1" x14ac:dyDescent="0.4"/>
    <row r="420" ht="15.75" customHeight="1" x14ac:dyDescent="0.4"/>
    <row r="421" ht="15.75" customHeight="1" x14ac:dyDescent="0.4"/>
    <row r="422" ht="15.75" customHeight="1" x14ac:dyDescent="0.4"/>
    <row r="423" ht="15.75" customHeight="1" x14ac:dyDescent="0.4"/>
    <row r="424" ht="15.75" customHeight="1" x14ac:dyDescent="0.4"/>
    <row r="425" ht="15.75" customHeight="1" x14ac:dyDescent="0.4"/>
    <row r="426" ht="15.75" customHeight="1" x14ac:dyDescent="0.4"/>
    <row r="427" ht="15.75" customHeight="1" x14ac:dyDescent="0.4"/>
    <row r="428" ht="15.75" customHeight="1" x14ac:dyDescent="0.4"/>
    <row r="429" ht="15.75" customHeight="1" x14ac:dyDescent="0.4"/>
    <row r="430" ht="15.75" customHeight="1" x14ac:dyDescent="0.4"/>
    <row r="431" ht="15.75" customHeight="1" x14ac:dyDescent="0.4"/>
    <row r="432" ht="15.75" customHeight="1" x14ac:dyDescent="0.4"/>
    <row r="433" ht="15.75" customHeight="1" x14ac:dyDescent="0.4"/>
    <row r="434" ht="15.75" customHeight="1" x14ac:dyDescent="0.4"/>
    <row r="435" ht="15.75" customHeight="1" x14ac:dyDescent="0.4"/>
    <row r="436" ht="15.75" customHeight="1" x14ac:dyDescent="0.4"/>
    <row r="437" ht="15.75" customHeight="1" x14ac:dyDescent="0.4"/>
    <row r="438" ht="15.75" customHeight="1" x14ac:dyDescent="0.4"/>
    <row r="439" ht="15.75" customHeight="1" x14ac:dyDescent="0.4"/>
    <row r="440" ht="15.75" customHeight="1" x14ac:dyDescent="0.4"/>
    <row r="441" ht="15.75" customHeight="1" x14ac:dyDescent="0.4"/>
    <row r="442" ht="15.75" customHeight="1" x14ac:dyDescent="0.4"/>
    <row r="443" ht="15.75" customHeight="1" x14ac:dyDescent="0.4"/>
    <row r="444" ht="15.75" customHeight="1" x14ac:dyDescent="0.4"/>
    <row r="445" ht="15.75" customHeight="1" x14ac:dyDescent="0.4"/>
    <row r="446" ht="15.75" customHeight="1" x14ac:dyDescent="0.4"/>
    <row r="447" ht="15.75" customHeight="1" x14ac:dyDescent="0.4"/>
    <row r="448" ht="15.75" customHeight="1" x14ac:dyDescent="0.4"/>
    <row r="449" ht="15.75" customHeight="1" x14ac:dyDescent="0.4"/>
    <row r="450" ht="15.75" customHeight="1" x14ac:dyDescent="0.4"/>
    <row r="451" ht="15.75" customHeight="1" x14ac:dyDescent="0.4"/>
    <row r="452" ht="15.75" customHeight="1" x14ac:dyDescent="0.4"/>
    <row r="453" ht="15.75" customHeight="1" x14ac:dyDescent="0.4"/>
    <row r="454" ht="15.75" customHeight="1" x14ac:dyDescent="0.4"/>
    <row r="455" ht="15.75" customHeight="1" x14ac:dyDescent="0.4"/>
    <row r="456" ht="15.75" customHeight="1" x14ac:dyDescent="0.4"/>
    <row r="457" ht="15.75" customHeight="1" x14ac:dyDescent="0.4"/>
    <row r="458" ht="15.75" customHeight="1" x14ac:dyDescent="0.4"/>
    <row r="459" ht="15.75" customHeight="1" x14ac:dyDescent="0.4"/>
    <row r="460" ht="15.75" customHeight="1" x14ac:dyDescent="0.4"/>
    <row r="461" ht="15.75" customHeight="1" x14ac:dyDescent="0.4"/>
    <row r="462" ht="15.75" customHeight="1" x14ac:dyDescent="0.4"/>
    <row r="463" ht="15.75" customHeight="1" x14ac:dyDescent="0.4"/>
    <row r="464" ht="15.75" customHeight="1" x14ac:dyDescent="0.4"/>
    <row r="465" ht="15.75" customHeight="1" x14ac:dyDescent="0.4"/>
    <row r="466" ht="15.75" customHeight="1" x14ac:dyDescent="0.4"/>
    <row r="467" ht="15.75" customHeight="1" x14ac:dyDescent="0.4"/>
    <row r="468" ht="15.75" customHeight="1" x14ac:dyDescent="0.4"/>
    <row r="469" ht="15.75" customHeight="1" x14ac:dyDescent="0.4"/>
    <row r="470" ht="15.75" customHeight="1" x14ac:dyDescent="0.4"/>
    <row r="471" ht="15.75" customHeight="1" x14ac:dyDescent="0.4"/>
    <row r="472" ht="15.75" customHeight="1" x14ac:dyDescent="0.4"/>
    <row r="473" ht="15.75" customHeight="1" x14ac:dyDescent="0.4"/>
    <row r="474" ht="15.75" customHeight="1" x14ac:dyDescent="0.4"/>
    <row r="475" ht="15.75" customHeight="1" x14ac:dyDescent="0.4"/>
    <row r="476" ht="15.75" customHeight="1" x14ac:dyDescent="0.4"/>
    <row r="477" ht="15.75" customHeight="1" x14ac:dyDescent="0.4"/>
    <row r="478" ht="15.75" customHeight="1" x14ac:dyDescent="0.4"/>
    <row r="479" ht="15.75" customHeight="1" x14ac:dyDescent="0.4"/>
    <row r="480" ht="15.75" customHeight="1" x14ac:dyDescent="0.4"/>
    <row r="481" ht="15.75" customHeight="1" x14ac:dyDescent="0.4"/>
    <row r="482" ht="15.75" customHeight="1" x14ac:dyDescent="0.4"/>
    <row r="483" ht="15.75" customHeight="1" x14ac:dyDescent="0.4"/>
    <row r="484" ht="15.75" customHeight="1" x14ac:dyDescent="0.4"/>
    <row r="485" ht="15.75" customHeight="1" x14ac:dyDescent="0.4"/>
    <row r="486" ht="15.75" customHeight="1" x14ac:dyDescent="0.4"/>
    <row r="487" ht="15.75" customHeight="1" x14ac:dyDescent="0.4"/>
    <row r="488" ht="15.75" customHeight="1" x14ac:dyDescent="0.4"/>
    <row r="489" ht="15.75" customHeight="1" x14ac:dyDescent="0.4"/>
    <row r="490" ht="15.75" customHeight="1" x14ac:dyDescent="0.4"/>
    <row r="491" ht="15.75" customHeight="1" x14ac:dyDescent="0.4"/>
    <row r="492" ht="15.75" customHeight="1" x14ac:dyDescent="0.4"/>
    <row r="493" ht="15.75" customHeight="1" x14ac:dyDescent="0.4"/>
    <row r="494" ht="15.75" customHeight="1" x14ac:dyDescent="0.4"/>
    <row r="495" ht="15.75" customHeight="1" x14ac:dyDescent="0.4"/>
    <row r="496" ht="15.75" customHeight="1" x14ac:dyDescent="0.4"/>
    <row r="497" ht="15.75" customHeight="1" x14ac:dyDescent="0.4"/>
    <row r="498" ht="15.75" customHeight="1" x14ac:dyDescent="0.4"/>
    <row r="499" ht="15.75" customHeight="1" x14ac:dyDescent="0.4"/>
    <row r="500" ht="15.75" customHeight="1" x14ac:dyDescent="0.4"/>
    <row r="501" ht="15.75" customHeight="1" x14ac:dyDescent="0.4"/>
    <row r="502" ht="15.75" customHeight="1" x14ac:dyDescent="0.4"/>
    <row r="503" ht="15.75" customHeight="1" x14ac:dyDescent="0.4"/>
    <row r="504" ht="15.75" customHeight="1" x14ac:dyDescent="0.4"/>
    <row r="505" ht="15.75" customHeight="1" x14ac:dyDescent="0.4"/>
    <row r="506" ht="15.75" customHeight="1" x14ac:dyDescent="0.4"/>
    <row r="507" ht="15.75" customHeight="1" x14ac:dyDescent="0.4"/>
    <row r="508" ht="15.75" customHeight="1" x14ac:dyDescent="0.4"/>
    <row r="509" ht="15.75" customHeight="1" x14ac:dyDescent="0.4"/>
    <row r="510" ht="15.75" customHeight="1" x14ac:dyDescent="0.4"/>
    <row r="511" ht="15.75" customHeight="1" x14ac:dyDescent="0.4"/>
    <row r="512" ht="15.75" customHeight="1" x14ac:dyDescent="0.4"/>
    <row r="513" ht="15.75" customHeight="1" x14ac:dyDescent="0.4"/>
    <row r="514" ht="15.75" customHeight="1" x14ac:dyDescent="0.4"/>
    <row r="515" ht="15.75" customHeight="1" x14ac:dyDescent="0.4"/>
    <row r="516" ht="15.75" customHeight="1" x14ac:dyDescent="0.4"/>
    <row r="517" ht="15.75" customHeight="1" x14ac:dyDescent="0.4"/>
    <row r="518" ht="15.75" customHeight="1" x14ac:dyDescent="0.4"/>
    <row r="519" ht="15.75" customHeight="1" x14ac:dyDescent="0.4"/>
    <row r="520" ht="15.75" customHeight="1" x14ac:dyDescent="0.4"/>
    <row r="521" ht="15.75" customHeight="1" x14ac:dyDescent="0.4"/>
    <row r="522" ht="15.75" customHeight="1" x14ac:dyDescent="0.4"/>
    <row r="523" ht="15.75" customHeight="1" x14ac:dyDescent="0.4"/>
    <row r="524" ht="15.75" customHeight="1" x14ac:dyDescent="0.4"/>
    <row r="525" ht="15.75" customHeight="1" x14ac:dyDescent="0.4"/>
    <row r="526" ht="15.75" customHeight="1" x14ac:dyDescent="0.4"/>
    <row r="527" ht="15.75" customHeight="1" x14ac:dyDescent="0.4"/>
    <row r="528" ht="15.75" customHeight="1" x14ac:dyDescent="0.4"/>
    <row r="529" ht="15.75" customHeight="1" x14ac:dyDescent="0.4"/>
    <row r="530" ht="15.75" customHeight="1" x14ac:dyDescent="0.4"/>
    <row r="531" ht="15.75" customHeight="1" x14ac:dyDescent="0.4"/>
    <row r="532" ht="15.75" customHeight="1" x14ac:dyDescent="0.4"/>
    <row r="533" ht="15.75" customHeight="1" x14ac:dyDescent="0.4"/>
    <row r="534" ht="15.75" customHeight="1" x14ac:dyDescent="0.4"/>
    <row r="535" ht="15.75" customHeight="1" x14ac:dyDescent="0.4"/>
    <row r="536" ht="15.75" customHeight="1" x14ac:dyDescent="0.4"/>
    <row r="537" ht="15.75" customHeight="1" x14ac:dyDescent="0.4"/>
    <row r="538" ht="15.75" customHeight="1" x14ac:dyDescent="0.4"/>
    <row r="539" ht="15.75" customHeight="1" x14ac:dyDescent="0.4"/>
    <row r="540" ht="15.75" customHeight="1" x14ac:dyDescent="0.4"/>
    <row r="541" ht="15.75" customHeight="1" x14ac:dyDescent="0.4"/>
    <row r="542" ht="15.75" customHeight="1" x14ac:dyDescent="0.4"/>
    <row r="543" ht="15.75" customHeight="1" x14ac:dyDescent="0.4"/>
    <row r="544" ht="15.75" customHeight="1" x14ac:dyDescent="0.4"/>
    <row r="545" ht="15.75" customHeight="1" x14ac:dyDescent="0.4"/>
    <row r="546" ht="15.75" customHeight="1" x14ac:dyDescent="0.4"/>
    <row r="547" ht="15.75" customHeight="1" x14ac:dyDescent="0.4"/>
    <row r="548" ht="15.75" customHeight="1" x14ac:dyDescent="0.4"/>
    <row r="549" ht="15.75" customHeight="1" x14ac:dyDescent="0.4"/>
    <row r="550" ht="15.75" customHeight="1" x14ac:dyDescent="0.4"/>
    <row r="551" ht="15.75" customHeight="1" x14ac:dyDescent="0.4"/>
    <row r="552" ht="15.75" customHeight="1" x14ac:dyDescent="0.4"/>
    <row r="553" ht="15.75" customHeight="1" x14ac:dyDescent="0.4"/>
    <row r="554" ht="15.75" customHeight="1" x14ac:dyDescent="0.4"/>
    <row r="555" ht="15.75" customHeight="1" x14ac:dyDescent="0.4"/>
    <row r="556" ht="15.75" customHeight="1" x14ac:dyDescent="0.4"/>
    <row r="557" ht="15.75" customHeight="1" x14ac:dyDescent="0.4"/>
    <row r="558" ht="15.75" customHeight="1" x14ac:dyDescent="0.4"/>
    <row r="559" ht="15.75" customHeight="1" x14ac:dyDescent="0.4"/>
    <row r="560" ht="15.75" customHeight="1" x14ac:dyDescent="0.4"/>
    <row r="561" ht="15.75" customHeight="1" x14ac:dyDescent="0.4"/>
    <row r="562" ht="15.75" customHeight="1" x14ac:dyDescent="0.4"/>
    <row r="563" ht="15.75" customHeight="1" x14ac:dyDescent="0.4"/>
    <row r="564" ht="15.75" customHeight="1" x14ac:dyDescent="0.4"/>
    <row r="565" ht="15.75" customHeight="1" x14ac:dyDescent="0.4"/>
    <row r="566" ht="15.75" customHeight="1" x14ac:dyDescent="0.4"/>
    <row r="567" ht="15.75" customHeight="1" x14ac:dyDescent="0.4"/>
    <row r="568" ht="15.75" customHeight="1" x14ac:dyDescent="0.4"/>
    <row r="569" ht="15.75" customHeight="1" x14ac:dyDescent="0.4"/>
    <row r="570" ht="15.75" customHeight="1" x14ac:dyDescent="0.4"/>
    <row r="571" ht="15.75" customHeight="1" x14ac:dyDescent="0.4"/>
    <row r="572" ht="15.75" customHeight="1" x14ac:dyDescent="0.4"/>
    <row r="573" ht="15.75" customHeight="1" x14ac:dyDescent="0.4"/>
    <row r="574" ht="15.75" customHeight="1" x14ac:dyDescent="0.4"/>
    <row r="575" ht="15.75" customHeight="1" x14ac:dyDescent="0.4"/>
    <row r="576" ht="15.75" customHeight="1" x14ac:dyDescent="0.4"/>
    <row r="577" ht="15.75" customHeight="1" x14ac:dyDescent="0.4"/>
    <row r="578" ht="15.75" customHeight="1" x14ac:dyDescent="0.4"/>
    <row r="579" ht="15.75" customHeight="1" x14ac:dyDescent="0.4"/>
    <row r="580" ht="15.75" customHeight="1" x14ac:dyDescent="0.4"/>
    <row r="581" ht="15.75" customHeight="1" x14ac:dyDescent="0.4"/>
    <row r="582" ht="15.75" customHeight="1" x14ac:dyDescent="0.4"/>
    <row r="583" ht="15.75" customHeight="1" x14ac:dyDescent="0.4"/>
    <row r="584" ht="15.75" customHeight="1" x14ac:dyDescent="0.4"/>
    <row r="585" ht="15.75" customHeight="1" x14ac:dyDescent="0.4"/>
    <row r="586" ht="15.75" customHeight="1" x14ac:dyDescent="0.4"/>
    <row r="587" ht="15.75" customHeight="1" x14ac:dyDescent="0.4"/>
    <row r="588" ht="15.75" customHeight="1" x14ac:dyDescent="0.4"/>
    <row r="589" ht="15.75" customHeight="1" x14ac:dyDescent="0.4"/>
    <row r="590" ht="15.75" customHeight="1" x14ac:dyDescent="0.4"/>
    <row r="591" ht="15.75" customHeight="1" x14ac:dyDescent="0.4"/>
    <row r="592" ht="15.75" customHeight="1" x14ac:dyDescent="0.4"/>
    <row r="593" ht="15.75" customHeight="1" x14ac:dyDescent="0.4"/>
    <row r="594" ht="15.75" customHeight="1" x14ac:dyDescent="0.4"/>
    <row r="595" ht="15.75" customHeight="1" x14ac:dyDescent="0.4"/>
    <row r="596" ht="15.75" customHeight="1" x14ac:dyDescent="0.4"/>
    <row r="597" ht="15.75" customHeight="1" x14ac:dyDescent="0.4"/>
    <row r="598" ht="15.75" customHeight="1" x14ac:dyDescent="0.4"/>
    <row r="599" ht="15.75" customHeight="1" x14ac:dyDescent="0.4"/>
    <row r="600" ht="15.75" customHeight="1" x14ac:dyDescent="0.4"/>
    <row r="601" ht="15.75" customHeight="1" x14ac:dyDescent="0.4"/>
    <row r="602" ht="15.75" customHeight="1" x14ac:dyDescent="0.4"/>
    <row r="603" ht="15.75" customHeight="1" x14ac:dyDescent="0.4"/>
    <row r="604" ht="15.75" customHeight="1" x14ac:dyDescent="0.4"/>
    <row r="605" ht="15.75" customHeight="1" x14ac:dyDescent="0.4"/>
    <row r="606" ht="15.75" customHeight="1" x14ac:dyDescent="0.4"/>
    <row r="607" ht="15.75" customHeight="1" x14ac:dyDescent="0.4"/>
    <row r="608" ht="15.75" customHeight="1" x14ac:dyDescent="0.4"/>
    <row r="609" ht="15.75" customHeight="1" x14ac:dyDescent="0.4"/>
    <row r="610" ht="15.75" customHeight="1" x14ac:dyDescent="0.4"/>
    <row r="611" ht="15.75" customHeight="1" x14ac:dyDescent="0.4"/>
    <row r="612" ht="15.75" customHeight="1" x14ac:dyDescent="0.4"/>
    <row r="613" ht="15.75" customHeight="1" x14ac:dyDescent="0.4"/>
    <row r="614" ht="15.75" customHeight="1" x14ac:dyDescent="0.4"/>
    <row r="615" ht="15.75" customHeight="1" x14ac:dyDescent="0.4"/>
    <row r="616" ht="15.75" customHeight="1" x14ac:dyDescent="0.4"/>
    <row r="617" ht="15.75" customHeight="1" x14ac:dyDescent="0.4"/>
    <row r="618" ht="15.75" customHeight="1" x14ac:dyDescent="0.4"/>
    <row r="619" ht="15.75" customHeight="1" x14ac:dyDescent="0.4"/>
    <row r="620" ht="15.75" customHeight="1" x14ac:dyDescent="0.4"/>
    <row r="621" ht="15.75" customHeight="1" x14ac:dyDescent="0.4"/>
    <row r="622" ht="15.75" customHeight="1" x14ac:dyDescent="0.4"/>
    <row r="623" ht="15.75" customHeight="1" x14ac:dyDescent="0.4"/>
    <row r="624" ht="15.75" customHeight="1" x14ac:dyDescent="0.4"/>
    <row r="625" ht="15.75" customHeight="1" x14ac:dyDescent="0.4"/>
    <row r="626" ht="15.75" customHeight="1" x14ac:dyDescent="0.4"/>
    <row r="627" ht="15.75" customHeight="1" x14ac:dyDescent="0.4"/>
    <row r="628" ht="15.75" customHeight="1" x14ac:dyDescent="0.4"/>
    <row r="629" ht="15.75" customHeight="1" x14ac:dyDescent="0.4"/>
    <row r="630" ht="15.75" customHeight="1" x14ac:dyDescent="0.4"/>
    <row r="631" ht="15.75" customHeight="1" x14ac:dyDescent="0.4"/>
    <row r="632" ht="15.75" customHeight="1" x14ac:dyDescent="0.4"/>
    <row r="633" ht="15.75" customHeight="1" x14ac:dyDescent="0.4"/>
    <row r="634" ht="15.75" customHeight="1" x14ac:dyDescent="0.4"/>
    <row r="635" ht="15.75" customHeight="1" x14ac:dyDescent="0.4"/>
    <row r="636" ht="15.75" customHeight="1" x14ac:dyDescent="0.4"/>
    <row r="637" ht="15.75" customHeight="1" x14ac:dyDescent="0.4"/>
    <row r="638" ht="15.75" customHeight="1" x14ac:dyDescent="0.4"/>
    <row r="639" ht="15.75" customHeight="1" x14ac:dyDescent="0.4"/>
    <row r="640" ht="15.75" customHeight="1" x14ac:dyDescent="0.4"/>
    <row r="641" ht="15.75" customHeight="1" x14ac:dyDescent="0.4"/>
    <row r="642" ht="15.75" customHeight="1" x14ac:dyDescent="0.4"/>
    <row r="643" ht="15.75" customHeight="1" x14ac:dyDescent="0.4"/>
    <row r="644" ht="15.75" customHeight="1" x14ac:dyDescent="0.4"/>
    <row r="645" ht="15.75" customHeight="1" x14ac:dyDescent="0.4"/>
    <row r="646" ht="15.75" customHeight="1" x14ac:dyDescent="0.4"/>
    <row r="647" ht="15.75" customHeight="1" x14ac:dyDescent="0.4"/>
    <row r="648" ht="15.75" customHeight="1" x14ac:dyDescent="0.4"/>
    <row r="649" ht="15.75" customHeight="1" x14ac:dyDescent="0.4"/>
    <row r="650" ht="15.75" customHeight="1" x14ac:dyDescent="0.4"/>
    <row r="651" ht="15.75" customHeight="1" x14ac:dyDescent="0.4"/>
    <row r="652" ht="15.75" customHeight="1" x14ac:dyDescent="0.4"/>
    <row r="653" ht="15.75" customHeight="1" x14ac:dyDescent="0.4"/>
    <row r="654" ht="15.75" customHeight="1" x14ac:dyDescent="0.4"/>
    <row r="655" ht="15.75" customHeight="1" x14ac:dyDescent="0.4"/>
    <row r="656" ht="15.75" customHeight="1" x14ac:dyDescent="0.4"/>
    <row r="657" ht="15.75" customHeight="1" x14ac:dyDescent="0.4"/>
    <row r="658" ht="15.75" customHeight="1" x14ac:dyDescent="0.4"/>
    <row r="659" ht="15.75" customHeight="1" x14ac:dyDescent="0.4"/>
    <row r="660" ht="15.75" customHeight="1" x14ac:dyDescent="0.4"/>
    <row r="661" ht="15.75" customHeight="1" x14ac:dyDescent="0.4"/>
    <row r="662" ht="15.75" customHeight="1" x14ac:dyDescent="0.4"/>
    <row r="663" ht="15.75" customHeight="1" x14ac:dyDescent="0.4"/>
    <row r="664" ht="15.75" customHeight="1" x14ac:dyDescent="0.4"/>
    <row r="665" ht="15.75" customHeight="1" x14ac:dyDescent="0.4"/>
    <row r="666" ht="15.75" customHeight="1" x14ac:dyDescent="0.4"/>
    <row r="667" ht="15.75" customHeight="1" x14ac:dyDescent="0.4"/>
    <row r="668" ht="15.75" customHeight="1" x14ac:dyDescent="0.4"/>
    <row r="669" ht="15.75" customHeight="1" x14ac:dyDescent="0.4"/>
    <row r="670" ht="15.75" customHeight="1" x14ac:dyDescent="0.4"/>
    <row r="671" ht="15.75" customHeight="1" x14ac:dyDescent="0.4"/>
    <row r="672" ht="15.75" customHeight="1" x14ac:dyDescent="0.4"/>
    <row r="673" ht="15.75" customHeight="1" x14ac:dyDescent="0.4"/>
    <row r="674" ht="15.75" customHeight="1" x14ac:dyDescent="0.4"/>
    <row r="675" ht="15.75" customHeight="1" x14ac:dyDescent="0.4"/>
    <row r="676" ht="15.75" customHeight="1" x14ac:dyDescent="0.4"/>
    <row r="677" ht="15.75" customHeight="1" x14ac:dyDescent="0.4"/>
    <row r="678" ht="15.75" customHeight="1" x14ac:dyDescent="0.4"/>
    <row r="679" ht="15.75" customHeight="1" x14ac:dyDescent="0.4"/>
    <row r="680" ht="15.75" customHeight="1" x14ac:dyDescent="0.4"/>
    <row r="681" ht="15.75" customHeight="1" x14ac:dyDescent="0.4"/>
    <row r="682" ht="15.75" customHeight="1" x14ac:dyDescent="0.4"/>
    <row r="683" ht="15.75" customHeight="1" x14ac:dyDescent="0.4"/>
    <row r="684" ht="15.75" customHeight="1" x14ac:dyDescent="0.4"/>
    <row r="685" ht="15.75" customHeight="1" x14ac:dyDescent="0.4"/>
    <row r="686" ht="15.75" customHeight="1" x14ac:dyDescent="0.4"/>
    <row r="687" ht="15.75" customHeight="1" x14ac:dyDescent="0.4"/>
    <row r="688" ht="15.75" customHeight="1" x14ac:dyDescent="0.4"/>
    <row r="689" ht="15.75" customHeight="1" x14ac:dyDescent="0.4"/>
    <row r="690" ht="15.75" customHeight="1" x14ac:dyDescent="0.4"/>
    <row r="691" ht="15.75" customHeight="1" x14ac:dyDescent="0.4"/>
    <row r="692" ht="15.75" customHeight="1" x14ac:dyDescent="0.4"/>
    <row r="693" ht="15.75" customHeight="1" x14ac:dyDescent="0.4"/>
    <row r="694" ht="15.75" customHeight="1" x14ac:dyDescent="0.4"/>
    <row r="695" ht="15.75" customHeight="1" x14ac:dyDescent="0.4"/>
    <row r="696" ht="15.75" customHeight="1" x14ac:dyDescent="0.4"/>
    <row r="697" ht="15.75" customHeight="1" x14ac:dyDescent="0.4"/>
    <row r="698" ht="15.75" customHeight="1" x14ac:dyDescent="0.4"/>
    <row r="699" ht="15.75" customHeight="1" x14ac:dyDescent="0.4"/>
    <row r="700" ht="15.75" customHeight="1" x14ac:dyDescent="0.4"/>
    <row r="701" ht="15.75" customHeight="1" x14ac:dyDescent="0.4"/>
    <row r="702" ht="15.75" customHeight="1" x14ac:dyDescent="0.4"/>
    <row r="703" ht="15.75" customHeight="1" x14ac:dyDescent="0.4"/>
    <row r="704" ht="15.75" customHeight="1" x14ac:dyDescent="0.4"/>
    <row r="705" ht="15.75" customHeight="1" x14ac:dyDescent="0.4"/>
    <row r="706" ht="15.75" customHeight="1" x14ac:dyDescent="0.4"/>
    <row r="707" ht="15.75" customHeight="1" x14ac:dyDescent="0.4"/>
    <row r="708" ht="15.75" customHeight="1" x14ac:dyDescent="0.4"/>
    <row r="709" ht="15.75" customHeight="1" x14ac:dyDescent="0.4"/>
    <row r="710" ht="15.75" customHeight="1" x14ac:dyDescent="0.4"/>
    <row r="711" ht="15.75" customHeight="1" x14ac:dyDescent="0.4"/>
    <row r="712" ht="15.75" customHeight="1" x14ac:dyDescent="0.4"/>
    <row r="713" ht="15.75" customHeight="1" x14ac:dyDescent="0.4"/>
    <row r="714" ht="15.75" customHeight="1" x14ac:dyDescent="0.4"/>
    <row r="715" ht="15.75" customHeight="1" x14ac:dyDescent="0.4"/>
    <row r="716" ht="15.75" customHeight="1" x14ac:dyDescent="0.4"/>
    <row r="717" ht="15.75" customHeight="1" x14ac:dyDescent="0.4"/>
    <row r="718" ht="15.75" customHeight="1" x14ac:dyDescent="0.4"/>
    <row r="719" ht="15.75" customHeight="1" x14ac:dyDescent="0.4"/>
    <row r="720" ht="15.75" customHeight="1" x14ac:dyDescent="0.4"/>
    <row r="721" ht="15.75" customHeight="1" x14ac:dyDescent="0.4"/>
    <row r="722" ht="15.75" customHeight="1" x14ac:dyDescent="0.4"/>
    <row r="723" ht="15.75" customHeight="1" x14ac:dyDescent="0.4"/>
    <row r="724" ht="15.75" customHeight="1" x14ac:dyDescent="0.4"/>
    <row r="725" ht="15.75" customHeight="1" x14ac:dyDescent="0.4"/>
    <row r="726" ht="15.75" customHeight="1" x14ac:dyDescent="0.4"/>
    <row r="727" ht="15.75" customHeight="1" x14ac:dyDescent="0.4"/>
    <row r="728" ht="15.75" customHeight="1" x14ac:dyDescent="0.4"/>
    <row r="729" ht="15.75" customHeight="1" x14ac:dyDescent="0.4"/>
    <row r="730" ht="15.75" customHeight="1" x14ac:dyDescent="0.4"/>
    <row r="731" ht="15.75" customHeight="1" x14ac:dyDescent="0.4"/>
    <row r="732" ht="15.75" customHeight="1" x14ac:dyDescent="0.4"/>
    <row r="733" ht="15.75" customHeight="1" x14ac:dyDescent="0.4"/>
    <row r="734" ht="15.75" customHeight="1" x14ac:dyDescent="0.4"/>
    <row r="735" ht="15.75" customHeight="1" x14ac:dyDescent="0.4"/>
    <row r="736" ht="15.75" customHeight="1" x14ac:dyDescent="0.4"/>
    <row r="737" ht="15.75" customHeight="1" x14ac:dyDescent="0.4"/>
    <row r="738" ht="15.75" customHeight="1" x14ac:dyDescent="0.4"/>
    <row r="739" ht="15.75" customHeight="1" x14ac:dyDescent="0.4"/>
    <row r="740" ht="15.75" customHeight="1" x14ac:dyDescent="0.4"/>
    <row r="741" ht="15.75" customHeight="1" x14ac:dyDescent="0.4"/>
    <row r="742" ht="15.75" customHeight="1" x14ac:dyDescent="0.4"/>
    <row r="743" ht="15.75" customHeight="1" x14ac:dyDescent="0.4"/>
    <row r="744" ht="15.75" customHeight="1" x14ac:dyDescent="0.4"/>
    <row r="745" ht="15.75" customHeight="1" x14ac:dyDescent="0.4"/>
    <row r="746" ht="15.75" customHeight="1" x14ac:dyDescent="0.4"/>
    <row r="747" ht="15.75" customHeight="1" x14ac:dyDescent="0.4"/>
    <row r="748" ht="15.75" customHeight="1" x14ac:dyDescent="0.4"/>
    <row r="749" ht="15.75" customHeight="1" x14ac:dyDescent="0.4"/>
    <row r="750" ht="15.75" customHeight="1" x14ac:dyDescent="0.4"/>
    <row r="751" ht="15.75" customHeight="1" x14ac:dyDescent="0.4"/>
    <row r="752" ht="15.75" customHeight="1" x14ac:dyDescent="0.4"/>
    <row r="753" ht="15.75" customHeight="1" x14ac:dyDescent="0.4"/>
    <row r="754" ht="15.75" customHeight="1" x14ac:dyDescent="0.4"/>
    <row r="755" ht="15.75" customHeight="1" x14ac:dyDescent="0.4"/>
    <row r="756" ht="15.75" customHeight="1" x14ac:dyDescent="0.4"/>
    <row r="757" ht="15.75" customHeight="1" x14ac:dyDescent="0.4"/>
    <row r="758" ht="15.75" customHeight="1" x14ac:dyDescent="0.4"/>
    <row r="759" ht="15.75" customHeight="1" x14ac:dyDescent="0.4"/>
    <row r="760" ht="15.75" customHeight="1" x14ac:dyDescent="0.4"/>
    <row r="761" ht="15.75" customHeight="1" x14ac:dyDescent="0.4"/>
    <row r="762" ht="15.75" customHeight="1" x14ac:dyDescent="0.4"/>
    <row r="763" ht="15.75" customHeight="1" x14ac:dyDescent="0.4"/>
    <row r="764" ht="15.75" customHeight="1" x14ac:dyDescent="0.4"/>
    <row r="765" ht="15.75" customHeight="1" x14ac:dyDescent="0.4"/>
    <row r="766" ht="15.75" customHeight="1" x14ac:dyDescent="0.4"/>
    <row r="767" ht="15.75" customHeight="1" x14ac:dyDescent="0.4"/>
    <row r="768" ht="15.75" customHeight="1" x14ac:dyDescent="0.4"/>
    <row r="769" ht="15.75" customHeight="1" x14ac:dyDescent="0.4"/>
    <row r="770" ht="15.75" customHeight="1" x14ac:dyDescent="0.4"/>
    <row r="771" ht="15.75" customHeight="1" x14ac:dyDescent="0.4"/>
    <row r="772" ht="15.75" customHeight="1" x14ac:dyDescent="0.4"/>
    <row r="773" ht="15.75" customHeight="1" x14ac:dyDescent="0.4"/>
    <row r="774" ht="15.75" customHeight="1" x14ac:dyDescent="0.4"/>
    <row r="775" ht="15.75" customHeight="1" x14ac:dyDescent="0.4"/>
    <row r="776" ht="15.75" customHeight="1" x14ac:dyDescent="0.4"/>
    <row r="777" ht="15.75" customHeight="1" x14ac:dyDescent="0.4"/>
    <row r="778" ht="15.75" customHeight="1" x14ac:dyDescent="0.4"/>
    <row r="779" ht="15.75" customHeight="1" x14ac:dyDescent="0.4"/>
    <row r="780" ht="15.75" customHeight="1" x14ac:dyDescent="0.4"/>
    <row r="781" ht="15.75" customHeight="1" x14ac:dyDescent="0.4"/>
    <row r="782" ht="15.75" customHeight="1" x14ac:dyDescent="0.4"/>
    <row r="783" ht="15.75" customHeight="1" x14ac:dyDescent="0.4"/>
    <row r="784" ht="15.75" customHeight="1" x14ac:dyDescent="0.4"/>
    <row r="785" ht="15.75" customHeight="1" x14ac:dyDescent="0.4"/>
    <row r="786" ht="15.75" customHeight="1" x14ac:dyDescent="0.4"/>
    <row r="787" ht="15.75" customHeight="1" x14ac:dyDescent="0.4"/>
    <row r="788" ht="15.75" customHeight="1" x14ac:dyDescent="0.4"/>
    <row r="789" ht="15.75" customHeight="1" x14ac:dyDescent="0.4"/>
    <row r="790" ht="15.75" customHeight="1" x14ac:dyDescent="0.4"/>
    <row r="791" ht="15.75" customHeight="1" x14ac:dyDescent="0.4"/>
    <row r="792" ht="15.75" customHeight="1" x14ac:dyDescent="0.4"/>
    <row r="793" ht="15.75" customHeight="1" x14ac:dyDescent="0.4"/>
    <row r="794" ht="15.75" customHeight="1" x14ac:dyDescent="0.4"/>
    <row r="795" ht="15.75" customHeight="1" x14ac:dyDescent="0.4"/>
    <row r="796" ht="15.75" customHeight="1" x14ac:dyDescent="0.4"/>
    <row r="797" ht="15.75" customHeight="1" x14ac:dyDescent="0.4"/>
    <row r="798" ht="15.75" customHeight="1" x14ac:dyDescent="0.4"/>
    <row r="799" ht="15.75" customHeight="1" x14ac:dyDescent="0.4"/>
    <row r="800" ht="15.75" customHeight="1" x14ac:dyDescent="0.4"/>
    <row r="801" ht="15.75" customHeight="1" x14ac:dyDescent="0.4"/>
    <row r="802" ht="15.75" customHeight="1" x14ac:dyDescent="0.4"/>
    <row r="803" ht="15.75" customHeight="1" x14ac:dyDescent="0.4"/>
    <row r="804" ht="15.75" customHeight="1" x14ac:dyDescent="0.4"/>
    <row r="805" ht="15.75" customHeight="1" x14ac:dyDescent="0.4"/>
    <row r="806" ht="15.75" customHeight="1" x14ac:dyDescent="0.4"/>
    <row r="807" ht="15.75" customHeight="1" x14ac:dyDescent="0.4"/>
    <row r="808" ht="15.75" customHeight="1" x14ac:dyDescent="0.4"/>
    <row r="809" ht="15.75" customHeight="1" x14ac:dyDescent="0.4"/>
    <row r="810" ht="15.75" customHeight="1" x14ac:dyDescent="0.4"/>
    <row r="811" ht="15.75" customHeight="1" x14ac:dyDescent="0.4"/>
    <row r="812" ht="15.75" customHeight="1" x14ac:dyDescent="0.4"/>
    <row r="813" ht="15.75" customHeight="1" x14ac:dyDescent="0.4"/>
    <row r="814" ht="15.75" customHeight="1" x14ac:dyDescent="0.4"/>
    <row r="815" ht="15.75" customHeight="1" x14ac:dyDescent="0.4"/>
    <row r="816" ht="15.75" customHeight="1" x14ac:dyDescent="0.4"/>
    <row r="817" ht="15.75" customHeight="1" x14ac:dyDescent="0.4"/>
    <row r="818" ht="15.75" customHeight="1" x14ac:dyDescent="0.4"/>
    <row r="819" ht="15.75" customHeight="1" x14ac:dyDescent="0.4"/>
    <row r="820" ht="15.75" customHeight="1" x14ac:dyDescent="0.4"/>
    <row r="821" ht="15.75" customHeight="1" x14ac:dyDescent="0.4"/>
    <row r="822" ht="15.75" customHeight="1" x14ac:dyDescent="0.4"/>
    <row r="823" ht="15.75" customHeight="1" x14ac:dyDescent="0.4"/>
    <row r="824" ht="15.75" customHeight="1" x14ac:dyDescent="0.4"/>
    <row r="825" ht="15.75" customHeight="1" x14ac:dyDescent="0.4"/>
    <row r="826" ht="15.75" customHeight="1" x14ac:dyDescent="0.4"/>
    <row r="827" ht="15.75" customHeight="1" x14ac:dyDescent="0.4"/>
    <row r="828" ht="15.75" customHeight="1" x14ac:dyDescent="0.4"/>
    <row r="829" ht="15.75" customHeight="1" x14ac:dyDescent="0.4"/>
    <row r="830" ht="15.75" customHeight="1" x14ac:dyDescent="0.4"/>
    <row r="831" ht="15.75" customHeight="1" x14ac:dyDescent="0.4"/>
    <row r="832" ht="15.75" customHeight="1" x14ac:dyDescent="0.4"/>
    <row r="833" ht="15.75" customHeight="1" x14ac:dyDescent="0.4"/>
    <row r="834" ht="15.75" customHeight="1" x14ac:dyDescent="0.4"/>
    <row r="835" ht="15.75" customHeight="1" x14ac:dyDescent="0.4"/>
    <row r="836" ht="15.75" customHeight="1" x14ac:dyDescent="0.4"/>
    <row r="837" ht="15.75" customHeight="1" x14ac:dyDescent="0.4"/>
    <row r="838" ht="15.75" customHeight="1" x14ac:dyDescent="0.4"/>
    <row r="839" ht="15.75" customHeight="1" x14ac:dyDescent="0.4"/>
    <row r="840" ht="15.75" customHeight="1" x14ac:dyDescent="0.4"/>
    <row r="841" ht="15.75" customHeight="1" x14ac:dyDescent="0.4"/>
    <row r="842" ht="15.75" customHeight="1" x14ac:dyDescent="0.4"/>
    <row r="843" ht="15.75" customHeight="1" x14ac:dyDescent="0.4"/>
    <row r="844" ht="15.75" customHeight="1" x14ac:dyDescent="0.4"/>
    <row r="845" ht="15.75" customHeight="1" x14ac:dyDescent="0.4"/>
    <row r="846" ht="15.75" customHeight="1" x14ac:dyDescent="0.4"/>
    <row r="847" ht="15.75" customHeight="1" x14ac:dyDescent="0.4"/>
    <row r="848" ht="15.75" customHeight="1" x14ac:dyDescent="0.4"/>
    <row r="849" ht="15.75" customHeight="1" x14ac:dyDescent="0.4"/>
    <row r="850" ht="15.75" customHeight="1" x14ac:dyDescent="0.4"/>
    <row r="851" ht="15.75" customHeight="1" x14ac:dyDescent="0.4"/>
    <row r="852" ht="15.75" customHeight="1" x14ac:dyDescent="0.4"/>
    <row r="853" ht="15.75" customHeight="1" x14ac:dyDescent="0.4"/>
    <row r="854" ht="15.75" customHeight="1" x14ac:dyDescent="0.4"/>
    <row r="855" ht="15.75" customHeight="1" x14ac:dyDescent="0.4"/>
    <row r="856" ht="15.75" customHeight="1" x14ac:dyDescent="0.4"/>
    <row r="857" ht="15.75" customHeight="1" x14ac:dyDescent="0.4"/>
    <row r="858" ht="15.75" customHeight="1" x14ac:dyDescent="0.4"/>
    <row r="859" ht="15.75" customHeight="1" x14ac:dyDescent="0.4"/>
    <row r="860" ht="15.75" customHeight="1" x14ac:dyDescent="0.4"/>
    <row r="861" ht="15.75" customHeight="1" x14ac:dyDescent="0.4"/>
    <row r="862" ht="15.75" customHeight="1" x14ac:dyDescent="0.4"/>
    <row r="863" ht="15.75" customHeight="1" x14ac:dyDescent="0.4"/>
    <row r="864" ht="15.75" customHeight="1" x14ac:dyDescent="0.4"/>
    <row r="865" ht="15.75" customHeight="1" x14ac:dyDescent="0.4"/>
    <row r="866" ht="15.75" customHeight="1" x14ac:dyDescent="0.4"/>
    <row r="867" ht="15.75" customHeight="1" x14ac:dyDescent="0.4"/>
    <row r="868" ht="15.75" customHeight="1" x14ac:dyDescent="0.4"/>
    <row r="869" ht="15.75" customHeight="1" x14ac:dyDescent="0.4"/>
    <row r="870" ht="15.75" customHeight="1" x14ac:dyDescent="0.4"/>
    <row r="871" ht="15.75" customHeight="1" x14ac:dyDescent="0.4"/>
    <row r="872" ht="15.75" customHeight="1" x14ac:dyDescent="0.4"/>
    <row r="873" ht="15.75" customHeight="1" x14ac:dyDescent="0.4"/>
    <row r="874" ht="15.75" customHeight="1" x14ac:dyDescent="0.4"/>
    <row r="875" ht="15.75" customHeight="1" x14ac:dyDescent="0.4"/>
    <row r="876" ht="15.75" customHeight="1" x14ac:dyDescent="0.4"/>
    <row r="877" ht="15.75" customHeight="1" x14ac:dyDescent="0.4"/>
    <row r="878" ht="15.75" customHeight="1" x14ac:dyDescent="0.4"/>
    <row r="879" ht="15.75" customHeight="1" x14ac:dyDescent="0.4"/>
    <row r="880" ht="15.75" customHeight="1" x14ac:dyDescent="0.4"/>
    <row r="881" ht="15.75" customHeight="1" x14ac:dyDescent="0.4"/>
    <row r="882" ht="15.75" customHeight="1" x14ac:dyDescent="0.4"/>
    <row r="883" ht="15.75" customHeight="1" x14ac:dyDescent="0.4"/>
    <row r="884" ht="15.75" customHeight="1" x14ac:dyDescent="0.4"/>
    <row r="885" ht="15.75" customHeight="1" x14ac:dyDescent="0.4"/>
    <row r="886" ht="15.75" customHeight="1" x14ac:dyDescent="0.4"/>
    <row r="887" ht="15.75" customHeight="1" x14ac:dyDescent="0.4"/>
    <row r="888" ht="15.75" customHeight="1" x14ac:dyDescent="0.4"/>
    <row r="889" ht="15.75" customHeight="1" x14ac:dyDescent="0.4"/>
    <row r="890" ht="15.75" customHeight="1" x14ac:dyDescent="0.4"/>
    <row r="891" ht="15.75" customHeight="1" x14ac:dyDescent="0.4"/>
    <row r="892" ht="15.75" customHeight="1" x14ac:dyDescent="0.4"/>
    <row r="893" ht="15.75" customHeight="1" x14ac:dyDescent="0.4"/>
    <row r="894" ht="15.75" customHeight="1" x14ac:dyDescent="0.4"/>
    <row r="895" ht="15.75" customHeight="1" x14ac:dyDescent="0.4"/>
    <row r="896" ht="15.75" customHeight="1" x14ac:dyDescent="0.4"/>
    <row r="897" ht="15.75" customHeight="1" x14ac:dyDescent="0.4"/>
    <row r="898" ht="15.75" customHeight="1" x14ac:dyDescent="0.4"/>
    <row r="899" ht="15.75" customHeight="1" x14ac:dyDescent="0.4"/>
    <row r="900" ht="15.75" customHeight="1" x14ac:dyDescent="0.4"/>
    <row r="901" ht="15.75" customHeight="1" x14ac:dyDescent="0.4"/>
    <row r="902" ht="15.75" customHeight="1" x14ac:dyDescent="0.4"/>
    <row r="903" ht="15.75" customHeight="1" x14ac:dyDescent="0.4"/>
    <row r="904" ht="15.75" customHeight="1" x14ac:dyDescent="0.4"/>
    <row r="905" ht="15.75" customHeight="1" x14ac:dyDescent="0.4"/>
    <row r="906" ht="15.75" customHeight="1" x14ac:dyDescent="0.4"/>
    <row r="907" ht="15.75" customHeight="1" x14ac:dyDescent="0.4"/>
    <row r="908" ht="15.75" customHeight="1" x14ac:dyDescent="0.4"/>
    <row r="909" ht="15.75" customHeight="1" x14ac:dyDescent="0.4"/>
    <row r="910" ht="15.75" customHeight="1" x14ac:dyDescent="0.4"/>
    <row r="911" ht="15.75" customHeight="1" x14ac:dyDescent="0.4"/>
    <row r="912" ht="15.75" customHeight="1" x14ac:dyDescent="0.4"/>
    <row r="913" ht="15.75" customHeight="1" x14ac:dyDescent="0.4"/>
    <row r="914" ht="15.75" customHeight="1" x14ac:dyDescent="0.4"/>
    <row r="915" ht="15.75" customHeight="1" x14ac:dyDescent="0.4"/>
    <row r="916" ht="15.75" customHeight="1" x14ac:dyDescent="0.4"/>
    <row r="917" ht="15.75" customHeight="1" x14ac:dyDescent="0.4"/>
    <row r="918" ht="15.75" customHeight="1" x14ac:dyDescent="0.4"/>
    <row r="919" ht="15.75" customHeight="1" x14ac:dyDescent="0.4"/>
    <row r="920" ht="15.75" customHeight="1" x14ac:dyDescent="0.4"/>
    <row r="921" ht="15.75" customHeight="1" x14ac:dyDescent="0.4"/>
    <row r="922" ht="15.75" customHeight="1" x14ac:dyDescent="0.4"/>
    <row r="923" ht="15.75" customHeight="1" x14ac:dyDescent="0.4"/>
    <row r="924" ht="15.75" customHeight="1" x14ac:dyDescent="0.4"/>
    <row r="925" ht="15.75" customHeight="1" x14ac:dyDescent="0.4"/>
    <row r="926" ht="15.75" customHeight="1" x14ac:dyDescent="0.4"/>
    <row r="927" ht="15.75" customHeight="1" x14ac:dyDescent="0.4"/>
    <row r="928" ht="15.75" customHeight="1" x14ac:dyDescent="0.4"/>
    <row r="929" ht="15.75" customHeight="1" x14ac:dyDescent="0.4"/>
    <row r="930" ht="15.75" customHeight="1" x14ac:dyDescent="0.4"/>
    <row r="931" ht="15.75" customHeight="1" x14ac:dyDescent="0.4"/>
    <row r="932" ht="15.75" customHeight="1" x14ac:dyDescent="0.4"/>
    <row r="933" ht="15.75" customHeight="1" x14ac:dyDescent="0.4"/>
    <row r="934" ht="15.75" customHeight="1" x14ac:dyDescent="0.4"/>
    <row r="935" ht="15.75" customHeight="1" x14ac:dyDescent="0.4"/>
    <row r="936" ht="15.75" customHeight="1" x14ac:dyDescent="0.4"/>
    <row r="937" ht="15.75" customHeight="1" x14ac:dyDescent="0.4"/>
    <row r="938" ht="15.75" customHeight="1" x14ac:dyDescent="0.4"/>
    <row r="939" ht="15.75" customHeight="1" x14ac:dyDescent="0.4"/>
    <row r="940" ht="15.75" customHeight="1" x14ac:dyDescent="0.4"/>
    <row r="941" ht="15.75" customHeight="1" x14ac:dyDescent="0.4"/>
    <row r="942" ht="15.75" customHeight="1" x14ac:dyDescent="0.4"/>
    <row r="943" ht="15.75" customHeight="1" x14ac:dyDescent="0.4"/>
    <row r="944" ht="15.75" customHeight="1" x14ac:dyDescent="0.4"/>
    <row r="945" ht="15.75" customHeight="1" x14ac:dyDescent="0.4"/>
    <row r="946" ht="15.75" customHeight="1" x14ac:dyDescent="0.4"/>
    <row r="947" ht="15.75" customHeight="1" x14ac:dyDescent="0.4"/>
    <row r="948" ht="15.75" customHeight="1" x14ac:dyDescent="0.4"/>
    <row r="949" ht="15.75" customHeight="1" x14ac:dyDescent="0.4"/>
    <row r="950" ht="15.75" customHeight="1" x14ac:dyDescent="0.4"/>
    <row r="951" ht="15.75" customHeight="1" x14ac:dyDescent="0.4"/>
    <row r="952" ht="15.75" customHeight="1" x14ac:dyDescent="0.4"/>
    <row r="953" ht="15.75" customHeight="1" x14ac:dyDescent="0.4"/>
    <row r="954" ht="15.75" customHeight="1" x14ac:dyDescent="0.4"/>
    <row r="955" ht="15.75" customHeight="1" x14ac:dyDescent="0.4"/>
    <row r="956" ht="15.75" customHeight="1" x14ac:dyDescent="0.4"/>
    <row r="957" ht="15.75" customHeight="1" x14ac:dyDescent="0.4"/>
    <row r="958" ht="15.75" customHeight="1" x14ac:dyDescent="0.4"/>
    <row r="959" ht="15.75" customHeight="1" x14ac:dyDescent="0.4"/>
    <row r="960" ht="15.75" customHeight="1" x14ac:dyDescent="0.4"/>
    <row r="961" ht="15.75" customHeight="1" x14ac:dyDescent="0.4"/>
    <row r="962" ht="15.75" customHeight="1" x14ac:dyDescent="0.4"/>
    <row r="963" ht="15.75" customHeight="1" x14ac:dyDescent="0.4"/>
    <row r="964" ht="15.75" customHeight="1" x14ac:dyDescent="0.4"/>
    <row r="965" ht="15.75" customHeight="1" x14ac:dyDescent="0.4"/>
    <row r="966" ht="15.75" customHeight="1" x14ac:dyDescent="0.4"/>
    <row r="967" ht="15.75" customHeight="1" x14ac:dyDescent="0.4"/>
    <row r="968" ht="15.75" customHeight="1" x14ac:dyDescent="0.4"/>
    <row r="969" ht="15.75" customHeight="1" x14ac:dyDescent="0.4"/>
    <row r="970" ht="15.75" customHeight="1" x14ac:dyDescent="0.4"/>
    <row r="971" ht="15.75" customHeight="1" x14ac:dyDescent="0.4"/>
    <row r="972" ht="15.75" customHeight="1" x14ac:dyDescent="0.4"/>
    <row r="973" ht="15.75" customHeight="1" x14ac:dyDescent="0.4"/>
    <row r="974" ht="15.75" customHeight="1" x14ac:dyDescent="0.4"/>
    <row r="975" ht="15.75" customHeight="1" x14ac:dyDescent="0.4"/>
    <row r="976" ht="15.75" customHeight="1" x14ac:dyDescent="0.4"/>
    <row r="977" ht="15.75" customHeight="1" x14ac:dyDescent="0.4"/>
    <row r="978" ht="15.75" customHeight="1" x14ac:dyDescent="0.4"/>
    <row r="979" ht="15.75" customHeight="1" x14ac:dyDescent="0.4"/>
    <row r="980" ht="15.75" customHeight="1" x14ac:dyDescent="0.4"/>
    <row r="981" ht="15.75" customHeight="1" x14ac:dyDescent="0.4"/>
    <row r="982" ht="15.75" customHeight="1" x14ac:dyDescent="0.4"/>
    <row r="983" ht="15.75" customHeight="1" x14ac:dyDescent="0.4"/>
    <row r="984" ht="15.75" customHeight="1" x14ac:dyDescent="0.4"/>
    <row r="985" ht="15.75" customHeight="1" x14ac:dyDescent="0.4"/>
    <row r="986" ht="15.75" customHeight="1" x14ac:dyDescent="0.4"/>
    <row r="987" ht="15.75" customHeight="1" x14ac:dyDescent="0.4"/>
    <row r="988" ht="15.75" customHeight="1" x14ac:dyDescent="0.4"/>
    <row r="989" ht="15.75" customHeight="1" x14ac:dyDescent="0.4"/>
    <row r="990" ht="15.75" customHeight="1" x14ac:dyDescent="0.4"/>
    <row r="991" ht="15.75" customHeight="1" x14ac:dyDescent="0.4"/>
    <row r="992" ht="15.75" customHeight="1" x14ac:dyDescent="0.4"/>
    <row r="993" ht="15.75" customHeight="1" x14ac:dyDescent="0.4"/>
    <row r="994" ht="15.75" customHeight="1" x14ac:dyDescent="0.4"/>
    <row r="995" ht="15.75" customHeight="1" x14ac:dyDescent="0.4"/>
    <row r="996" ht="15.75" customHeight="1" x14ac:dyDescent="0.4"/>
    <row r="997" ht="15.75" customHeight="1" x14ac:dyDescent="0.4"/>
    <row r="998" ht="15.75" customHeight="1" x14ac:dyDescent="0.4"/>
    <row r="999" ht="15.75" customHeight="1" x14ac:dyDescent="0.4"/>
    <row r="1000" ht="15.75" customHeight="1" x14ac:dyDescent="0.4"/>
  </sheetData>
  <mergeCells count="3">
    <mergeCell ref="G15:O15"/>
    <mergeCell ref="R1:AE1"/>
    <mergeCell ref="G1:P1"/>
  </mergeCells>
  <conditionalFormatting sqref="H3:H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:I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:H3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4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1:H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5:H6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4:H7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83:H8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2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L2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:M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:N2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7:O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:R3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7:R4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1:R6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5:R6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:R7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3:R8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3:AF4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60:AF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3:AG44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0:AG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3:AO5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:H2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I2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:K2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:L2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0:AF6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9">
    <cfRule type="cellIs" dxfId="46" priority="38" operator="greaterThan">
      <formula>0</formula>
    </cfRule>
  </conditionalFormatting>
  <conditionalFormatting sqref="AM4:AO9">
    <cfRule type="cellIs" dxfId="45" priority="39" operator="greaterThan">
      <formula>0</formula>
    </cfRule>
  </conditionalFormatting>
  <conditionalFormatting sqref="AF53:AN5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3:AF57 AG57:AN5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3:AG5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3:AN5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60:AF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9:AM30 AO19:AO3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9:AP3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0:AM20 AO2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1:AM21 AO2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2:AM22 AO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3:AM23 AO2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4:AM24 AO24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5:AM25 AO2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6:AM26 AO2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7:AM27 AO2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8:AM28 AO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M29 AO2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0:AM30 AO3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9:AN3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9:AO3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3" r:id="rId2" xr:uid="{00000000-0004-0000-0600-000000000000}"/>
    <hyperlink ref="D4" r:id="rId3" xr:uid="{00000000-0004-0000-0600-000001000000}"/>
    <hyperlink ref="D5" r:id="rId4" xr:uid="{00000000-0004-0000-0600-000002000000}"/>
    <hyperlink ref="D6" r:id="rId5" xr:uid="{00000000-0004-0000-0600-000003000000}"/>
    <hyperlink ref="D7" r:id="rId6" xr:uid="{00000000-0004-0000-0600-000004000000}"/>
    <hyperlink ref="D8" r:id="rId7" xr:uid="{00000000-0004-0000-0600-000005000000}"/>
    <hyperlink ref="D9" r:id="rId8" xr:uid="{00000000-0004-0000-0600-000006000000}"/>
    <hyperlink ref="D10" r:id="rId9" xr:uid="{00000000-0004-0000-0600-000007000000}"/>
    <hyperlink ref="D11" r:id="rId10" xr:uid="{00000000-0004-0000-0600-000008000000}"/>
    <hyperlink ref="D12" r:id="rId11" xr:uid="{00000000-0004-0000-0600-000009000000}"/>
    <hyperlink ref="D13" r:id="rId12" xr:uid="{00000000-0004-0000-0600-00000A000000}"/>
    <hyperlink ref="D14" r:id="rId13" xr:uid="{00000000-0004-0000-0600-00000B000000}"/>
    <hyperlink ref="D15" r:id="rId14" xr:uid="{00000000-0004-0000-0600-00000C000000}"/>
    <hyperlink ref="D16" r:id="rId15" xr:uid="{00000000-0004-0000-0600-00000D000000}"/>
    <hyperlink ref="D17" r:id="rId16" xr:uid="{00000000-0004-0000-0600-00000E000000}"/>
    <hyperlink ref="D18" r:id="rId17" xr:uid="{00000000-0004-0000-0600-00000F000000}"/>
    <hyperlink ref="D19" r:id="rId18" xr:uid="{00000000-0004-0000-0600-000010000000}"/>
    <hyperlink ref="D20" r:id="rId19" xr:uid="{00000000-0004-0000-0600-000011000000}"/>
    <hyperlink ref="D21" r:id="rId20" xr:uid="{00000000-0004-0000-0600-000012000000}"/>
    <hyperlink ref="D22" r:id="rId21" xr:uid="{00000000-0004-0000-0600-000013000000}"/>
    <hyperlink ref="D23" r:id="rId22" xr:uid="{00000000-0004-0000-0600-000014000000}"/>
    <hyperlink ref="D24" r:id="rId23" xr:uid="{00000000-0004-0000-0600-000015000000}"/>
    <hyperlink ref="D25" r:id="rId24" xr:uid="{00000000-0004-0000-0600-000016000000}"/>
    <hyperlink ref="D26" r:id="rId25" xr:uid="{00000000-0004-0000-0600-000017000000}"/>
    <hyperlink ref="D27" r:id="rId26" xr:uid="{00000000-0004-0000-0600-000018000000}"/>
    <hyperlink ref="D28" r:id="rId27" xr:uid="{00000000-0004-0000-0600-000019000000}"/>
    <hyperlink ref="D29" r:id="rId28" xr:uid="{00000000-0004-0000-0600-00001A000000}"/>
    <hyperlink ref="D30" r:id="rId29" xr:uid="{00000000-0004-0000-0600-00001B000000}"/>
    <hyperlink ref="D31" r:id="rId30" xr:uid="{00000000-0004-0000-0600-00001C000000}"/>
    <hyperlink ref="D32" r:id="rId31" xr:uid="{00000000-0004-0000-0600-00001D000000}"/>
    <hyperlink ref="D33" r:id="rId32" xr:uid="{00000000-0004-0000-0600-00001E000000}"/>
    <hyperlink ref="D34" r:id="rId33" xr:uid="{00000000-0004-0000-0600-00001F000000}"/>
    <hyperlink ref="D35" r:id="rId34" xr:uid="{00000000-0004-0000-0600-000020000000}"/>
    <hyperlink ref="D36" r:id="rId35" xr:uid="{00000000-0004-0000-0600-000021000000}"/>
    <hyperlink ref="D37" r:id="rId36" xr:uid="{00000000-0004-0000-0600-000022000000}"/>
    <hyperlink ref="D38" r:id="rId37" xr:uid="{00000000-0004-0000-0600-000023000000}"/>
    <hyperlink ref="D39" r:id="rId38" xr:uid="{00000000-0004-0000-0600-000024000000}"/>
    <hyperlink ref="D40" r:id="rId39" xr:uid="{00000000-0004-0000-0600-000025000000}"/>
    <hyperlink ref="D41" r:id="rId40" xr:uid="{00000000-0004-0000-0600-000026000000}"/>
    <hyperlink ref="D42" r:id="rId41" xr:uid="{00000000-0004-0000-0600-000027000000}"/>
    <hyperlink ref="D43" r:id="rId42" xr:uid="{00000000-0004-0000-0600-000028000000}"/>
    <hyperlink ref="D44" r:id="rId43" xr:uid="{00000000-0004-0000-0600-000029000000}"/>
    <hyperlink ref="D45" r:id="rId44" xr:uid="{00000000-0004-0000-0600-00002A000000}"/>
    <hyperlink ref="D46" r:id="rId45" xr:uid="{00000000-0004-0000-0600-00002B000000}"/>
    <hyperlink ref="D47" r:id="rId46" xr:uid="{00000000-0004-0000-0600-00002C000000}"/>
    <hyperlink ref="D48" r:id="rId47" xr:uid="{00000000-0004-0000-0600-00002D000000}"/>
    <hyperlink ref="D49" r:id="rId48" xr:uid="{00000000-0004-0000-0600-00002E000000}"/>
    <hyperlink ref="D50" r:id="rId49" xr:uid="{00000000-0004-0000-0600-00002F000000}"/>
    <hyperlink ref="D51" r:id="rId50" xr:uid="{00000000-0004-0000-0600-000030000000}"/>
    <hyperlink ref="D52" r:id="rId51" xr:uid="{00000000-0004-0000-0600-000031000000}"/>
    <hyperlink ref="D53" r:id="rId52" xr:uid="{00000000-0004-0000-0600-000032000000}"/>
    <hyperlink ref="D54" r:id="rId53" xr:uid="{00000000-0004-0000-0600-000033000000}"/>
    <hyperlink ref="D55" r:id="rId54" xr:uid="{00000000-0004-0000-0600-000034000000}"/>
    <hyperlink ref="D56" r:id="rId55" xr:uid="{00000000-0004-0000-0600-000035000000}"/>
    <hyperlink ref="D57" r:id="rId56" xr:uid="{00000000-0004-0000-0600-000036000000}"/>
    <hyperlink ref="D58" r:id="rId57" xr:uid="{00000000-0004-0000-0600-000037000000}"/>
    <hyperlink ref="D59" r:id="rId58" xr:uid="{00000000-0004-0000-0600-000038000000}"/>
    <hyperlink ref="D60" r:id="rId59" xr:uid="{00000000-0004-0000-0600-000039000000}"/>
    <hyperlink ref="D61" r:id="rId60" xr:uid="{00000000-0004-0000-0600-00003A000000}"/>
    <hyperlink ref="D62" r:id="rId61" xr:uid="{00000000-0004-0000-0600-00003B000000}"/>
    <hyperlink ref="D63" r:id="rId62" xr:uid="{00000000-0004-0000-0600-00003C000000}"/>
    <hyperlink ref="D64" r:id="rId63" xr:uid="{00000000-0004-0000-0600-00003D000000}"/>
    <hyperlink ref="D65" r:id="rId64" xr:uid="{00000000-0004-0000-0600-00003E000000}"/>
    <hyperlink ref="D66" r:id="rId65" xr:uid="{00000000-0004-0000-0600-00003F000000}"/>
    <hyperlink ref="D67" r:id="rId66" xr:uid="{00000000-0004-0000-0600-000040000000}"/>
    <hyperlink ref="D68" r:id="rId67" xr:uid="{00000000-0004-0000-0600-000041000000}"/>
    <hyperlink ref="D69" r:id="rId68" xr:uid="{00000000-0004-0000-0600-000042000000}"/>
    <hyperlink ref="D70" r:id="rId69" xr:uid="{00000000-0004-0000-0600-000043000000}"/>
    <hyperlink ref="D71" r:id="rId70" xr:uid="{00000000-0004-0000-0600-000044000000}"/>
    <hyperlink ref="D72" r:id="rId71" xr:uid="{00000000-0004-0000-0600-000045000000}"/>
    <hyperlink ref="D73" r:id="rId72" xr:uid="{00000000-0004-0000-0600-000046000000}"/>
    <hyperlink ref="D74" r:id="rId73" xr:uid="{00000000-0004-0000-0600-000047000000}"/>
    <hyperlink ref="D75" r:id="rId74" xr:uid="{00000000-0004-0000-0600-000048000000}"/>
    <hyperlink ref="D76" r:id="rId75" xr:uid="{00000000-0004-0000-0600-000049000000}"/>
    <hyperlink ref="D77" r:id="rId76" xr:uid="{00000000-0004-0000-0600-00004A000000}"/>
    <hyperlink ref="D78" r:id="rId77" xr:uid="{00000000-0004-0000-0600-00004B000000}"/>
    <hyperlink ref="D79" r:id="rId78" xr:uid="{00000000-0004-0000-0600-00004C000000}"/>
    <hyperlink ref="D80" r:id="rId79" xr:uid="{00000000-0004-0000-0600-00004D000000}"/>
    <hyperlink ref="D81" r:id="rId80" xr:uid="{00000000-0004-0000-0600-00004E000000}"/>
    <hyperlink ref="D82" r:id="rId81" xr:uid="{00000000-0004-0000-0600-00004F000000}"/>
    <hyperlink ref="D83" r:id="rId82" xr:uid="{00000000-0004-0000-0600-000050000000}"/>
    <hyperlink ref="D84" r:id="rId83" xr:uid="{00000000-0004-0000-0600-000051000000}"/>
    <hyperlink ref="D85" r:id="rId84" xr:uid="{00000000-0004-0000-0600-000052000000}"/>
    <hyperlink ref="D86" r:id="rId85" xr:uid="{00000000-0004-0000-0600-000053000000}"/>
    <hyperlink ref="D87" r:id="rId86" xr:uid="{00000000-0004-0000-0600-000054000000}"/>
    <hyperlink ref="D88" r:id="rId87" xr:uid="{00000000-0004-0000-0600-000055000000}"/>
    <hyperlink ref="D89" r:id="rId88" xr:uid="{00000000-0004-0000-0600-000056000000}"/>
    <hyperlink ref="D90" r:id="rId89" xr:uid="{00000000-0004-0000-0600-000057000000}"/>
    <hyperlink ref="D91" r:id="rId90" xr:uid="{00000000-0004-0000-0600-000058000000}"/>
    <hyperlink ref="D92" r:id="rId91" xr:uid="{00000000-0004-0000-0600-000059000000}"/>
    <hyperlink ref="D93" r:id="rId92" xr:uid="{00000000-0004-0000-0600-00005A000000}"/>
    <hyperlink ref="D94" r:id="rId93" xr:uid="{00000000-0004-0000-0600-00005B000000}"/>
    <hyperlink ref="D95" r:id="rId94" xr:uid="{00000000-0004-0000-0600-00005C000000}"/>
    <hyperlink ref="D96" r:id="rId95" xr:uid="{00000000-0004-0000-0600-00005D000000}"/>
    <hyperlink ref="D97" r:id="rId96" xr:uid="{00000000-0004-0000-0600-00005E000000}"/>
    <hyperlink ref="D98" r:id="rId97" xr:uid="{00000000-0004-0000-0600-00005F000000}"/>
    <hyperlink ref="D99" r:id="rId98" xr:uid="{00000000-0004-0000-0600-000060000000}"/>
    <hyperlink ref="D100" r:id="rId99" xr:uid="{00000000-0004-0000-0600-000061000000}"/>
    <hyperlink ref="D101" r:id="rId100" xr:uid="{00000000-0004-0000-0600-000062000000}"/>
    <hyperlink ref="D102" r:id="rId101" xr:uid="{00000000-0004-0000-0600-000063000000}"/>
    <hyperlink ref="D103" r:id="rId102" xr:uid="{00000000-0004-0000-0600-000064000000}"/>
    <hyperlink ref="D104" r:id="rId103" xr:uid="{00000000-0004-0000-0600-000065000000}"/>
    <hyperlink ref="D105" r:id="rId104" xr:uid="{00000000-0004-0000-0600-000066000000}"/>
  </hyperlinks>
  <pageMargins left="0" right="0" top="0" bottom="0.1" header="0" footer="0"/>
  <pageSetup fitToHeight="0" orientation="landscape"/>
  <drawing r:id="rId10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AO1000"/>
  <sheetViews>
    <sheetView workbookViewId="0"/>
  </sheetViews>
  <sheetFormatPr defaultColWidth="12.61328125" defaultRowHeight="15" customHeight="1" x14ac:dyDescent="0.4"/>
  <cols>
    <col min="1" max="1" width="7.84375" customWidth="1"/>
    <col min="2" max="2" width="6.23046875" customWidth="1"/>
    <col min="3" max="3" width="7.84375" customWidth="1"/>
    <col min="4" max="4" width="7" customWidth="1"/>
    <col min="5" max="5" width="4.84375" hidden="1" customWidth="1"/>
    <col min="6" max="6" width="7.84375" customWidth="1"/>
    <col min="7" max="8" width="6.84375" customWidth="1"/>
    <col min="9" max="9" width="4.765625" customWidth="1"/>
    <col min="10" max="10" width="9.3828125" customWidth="1"/>
    <col min="11" max="11" width="11.3828125" customWidth="1"/>
    <col min="12" max="12" width="6.765625" customWidth="1"/>
    <col min="13" max="13" width="8.3828125" customWidth="1"/>
    <col min="14" max="14" width="10.3828125" customWidth="1"/>
    <col min="15" max="15" width="11.84375" customWidth="1"/>
    <col min="16" max="16" width="7.84375" customWidth="1"/>
    <col min="17" max="17" width="12.3828125" customWidth="1"/>
    <col min="18" max="18" width="9.15234375" customWidth="1"/>
    <col min="19" max="19" width="4.3828125" customWidth="1"/>
    <col min="20" max="20" width="5.3828125" customWidth="1"/>
    <col min="21" max="21" width="3.765625" customWidth="1"/>
    <col min="22" max="22" width="5.15234375" customWidth="1"/>
    <col min="23" max="23" width="5.765625" customWidth="1"/>
    <col min="24" max="24" width="5" customWidth="1"/>
    <col min="25" max="25" width="4.23046875" customWidth="1"/>
    <col min="26" max="26" width="4.84375" customWidth="1"/>
    <col min="27" max="27" width="5.3828125" customWidth="1"/>
    <col min="28" max="28" width="7.15234375" customWidth="1"/>
    <col min="29" max="29" width="7.84375" customWidth="1"/>
    <col min="30" max="30" width="10.3828125" customWidth="1"/>
    <col min="31" max="31" width="7.3828125" customWidth="1"/>
    <col min="32" max="32" width="8.3828125" customWidth="1"/>
    <col min="33" max="33" width="5.765625" customWidth="1"/>
    <col min="34" max="34" width="9.3828125" customWidth="1"/>
    <col min="35" max="35" width="11.3828125" customWidth="1"/>
    <col min="36" max="36" width="14.15234375" customWidth="1"/>
    <col min="37" max="37" width="8.3828125" customWidth="1"/>
    <col min="38" max="38" width="10.3828125" customWidth="1"/>
    <col min="39" max="39" width="7.3828125" customWidth="1"/>
    <col min="40" max="41" width="8.3828125" customWidth="1"/>
  </cols>
  <sheetData>
    <row r="1" spans="1:39" ht="14.25" customHeight="1" x14ac:dyDescent="0.4">
      <c r="A1" s="1" t="s">
        <v>0</v>
      </c>
      <c r="B1" s="2" t="s">
        <v>1</v>
      </c>
      <c r="C1" s="3" t="s">
        <v>2</v>
      </c>
      <c r="D1" s="96" t="s">
        <v>3</v>
      </c>
      <c r="E1" s="97"/>
      <c r="F1" s="131" t="s">
        <v>4</v>
      </c>
      <c r="G1" s="132"/>
      <c r="H1" s="132"/>
      <c r="I1" s="132"/>
      <c r="J1" s="132"/>
      <c r="K1" s="132"/>
      <c r="L1" s="132"/>
      <c r="M1" s="132"/>
      <c r="N1" s="132"/>
      <c r="O1" s="133"/>
      <c r="P1" s="5"/>
      <c r="Q1" s="144" t="s">
        <v>5</v>
      </c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3"/>
      <c r="AG1" s="7" t="s">
        <v>6</v>
      </c>
      <c r="AH1" s="8" t="s">
        <v>7</v>
      </c>
      <c r="AI1" s="9" t="s">
        <v>8</v>
      </c>
      <c r="AJ1" s="10" t="s">
        <v>9</v>
      </c>
      <c r="AK1" s="11" t="s">
        <v>8</v>
      </c>
      <c r="AL1" s="8" t="s">
        <v>10</v>
      </c>
      <c r="AM1" s="7" t="s">
        <v>6</v>
      </c>
    </row>
    <row r="2" spans="1:39" ht="14.6" customHeight="1" x14ac:dyDescent="0.4">
      <c r="A2" s="12" t="s">
        <v>438</v>
      </c>
      <c r="B2" s="13">
        <v>1</v>
      </c>
      <c r="C2" s="14" t="s">
        <v>39</v>
      </c>
      <c r="D2" s="15" t="s">
        <v>1216</v>
      </c>
      <c r="E2" s="98"/>
      <c r="F2" s="41" t="s">
        <v>14</v>
      </c>
      <c r="G2" s="25" t="s">
        <v>15</v>
      </c>
      <c r="H2" s="25" t="s">
        <v>16</v>
      </c>
      <c r="I2" s="25" t="s">
        <v>17</v>
      </c>
      <c r="J2" s="25" t="s">
        <v>18</v>
      </c>
      <c r="K2" s="25" t="s">
        <v>19</v>
      </c>
      <c r="L2" s="25" t="s">
        <v>20</v>
      </c>
      <c r="M2" s="18" t="s">
        <v>21</v>
      </c>
      <c r="N2" s="18" t="s">
        <v>22</v>
      </c>
      <c r="O2" s="42" t="s">
        <v>23</v>
      </c>
      <c r="P2" s="5"/>
      <c r="Q2" s="112" t="s">
        <v>24</v>
      </c>
      <c r="R2" s="112" t="s">
        <v>2</v>
      </c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4"/>
      <c r="AE2" s="99"/>
      <c r="AG2" s="22"/>
      <c r="AH2" s="23"/>
      <c r="AI2" s="24">
        <f>COUNT(B$1:B$159)</f>
        <v>157</v>
      </c>
      <c r="AJ2" s="25" t="s">
        <v>1204</v>
      </c>
      <c r="AK2" s="24">
        <f>COUNT(B$1:B$159)</f>
        <v>157</v>
      </c>
      <c r="AL2" s="22"/>
      <c r="AM2" s="22"/>
    </row>
    <row r="3" spans="1:39" ht="14.6" customHeight="1" x14ac:dyDescent="0.4">
      <c r="A3" s="12" t="s">
        <v>39</v>
      </c>
      <c r="B3" s="13">
        <v>1</v>
      </c>
      <c r="C3" s="14" t="s">
        <v>438</v>
      </c>
      <c r="D3" s="15" t="s">
        <v>1217</v>
      </c>
      <c r="E3" s="98"/>
      <c r="F3" s="27" t="s">
        <v>28</v>
      </c>
      <c r="G3" s="28">
        <f t="shared" ref="G3:G14" si="0">COUNTIF($A:$A,F3)</f>
        <v>18</v>
      </c>
      <c r="H3" s="28">
        <f t="shared" ref="H3:H14" si="1">COUNTIF($C:$C,F3)</f>
        <v>24</v>
      </c>
      <c r="I3" s="29">
        <f t="shared" ref="I3:I14" si="2">IF(H3,G3/H3,0)</f>
        <v>0.75</v>
      </c>
      <c r="J3" s="28">
        <f t="shared" ref="J3:J14" si="3">IFERROR(GETPIVOTDATA("Points",$Q$2,"Sniper",F3),0)</f>
        <v>26</v>
      </c>
      <c r="K3" s="28">
        <f t="shared" ref="K3:K14" si="4">IFERROR(GETPIVOTDATA("Points",$Q$2,"Snipee",F3),0)</f>
        <v>36</v>
      </c>
      <c r="L3" s="75">
        <f t="shared" ref="L3:L14" si="5">IF(K3,J3/K3,0)</f>
        <v>0.72222222222222221</v>
      </c>
      <c r="M3" s="29">
        <f t="shared" ref="M3:M14" si="6">IF(G3,J3/G3,0)</f>
        <v>1.4444444444444444</v>
      </c>
      <c r="N3" s="29">
        <f t="shared" ref="N3:N14" si="7">IF(H3,K3/H3,0)</f>
        <v>1.5</v>
      </c>
      <c r="O3" s="76">
        <f t="shared" ref="O3:O14" si="8">(IFERROR(VLOOKUP(F3,$Q:$AE,15,FALSE),0))/11</f>
        <v>0.54545454545454541</v>
      </c>
      <c r="P3" s="88"/>
      <c r="Q3" s="112" t="s">
        <v>0</v>
      </c>
      <c r="R3" s="115" t="s">
        <v>28</v>
      </c>
      <c r="S3" s="116" t="s">
        <v>438</v>
      </c>
      <c r="T3" s="116" t="s">
        <v>37</v>
      </c>
      <c r="U3" s="116" t="s">
        <v>734</v>
      </c>
      <c r="V3" s="116" t="s">
        <v>730</v>
      </c>
      <c r="W3" s="116" t="s">
        <v>33</v>
      </c>
      <c r="X3" s="116" t="s">
        <v>1206</v>
      </c>
      <c r="Y3" s="116" t="s">
        <v>36</v>
      </c>
      <c r="Z3" s="116" t="s">
        <v>39</v>
      </c>
      <c r="AA3" s="116" t="s">
        <v>41</v>
      </c>
      <c r="AB3" s="116" t="s">
        <v>441</v>
      </c>
      <c r="AC3" s="117" t="s">
        <v>42</v>
      </c>
      <c r="AE3" s="100" t="s">
        <v>735</v>
      </c>
      <c r="AG3" s="22"/>
      <c r="AH3" s="22"/>
      <c r="AI3" s="32">
        <f>GETPIVOTDATA("Points",$Q$2)</f>
        <v>194</v>
      </c>
      <c r="AJ3" s="33" t="s">
        <v>1207</v>
      </c>
      <c r="AK3" s="32">
        <f>GETPIVOTDATA("Points",$Q$2)</f>
        <v>194</v>
      </c>
      <c r="AL3" s="22"/>
      <c r="AM3" s="22"/>
    </row>
    <row r="4" spans="1:39" ht="14.6" customHeight="1" x14ac:dyDescent="0.4">
      <c r="A4" s="12" t="s">
        <v>734</v>
      </c>
      <c r="B4" s="13">
        <v>2</v>
      </c>
      <c r="C4" s="14" t="s">
        <v>438</v>
      </c>
      <c r="D4" s="15" t="s">
        <v>1218</v>
      </c>
      <c r="E4" s="98"/>
      <c r="F4" s="27" t="s">
        <v>33</v>
      </c>
      <c r="G4" s="28">
        <f t="shared" si="0"/>
        <v>0</v>
      </c>
      <c r="H4" s="28">
        <f t="shared" si="1"/>
        <v>9</v>
      </c>
      <c r="I4" s="29">
        <f t="shared" si="2"/>
        <v>0</v>
      </c>
      <c r="J4" s="28">
        <f t="shared" si="3"/>
        <v>0</v>
      </c>
      <c r="K4" s="28">
        <f t="shared" si="4"/>
        <v>13</v>
      </c>
      <c r="L4" s="75">
        <f t="shared" si="5"/>
        <v>0</v>
      </c>
      <c r="M4" s="29">
        <f t="shared" si="6"/>
        <v>0</v>
      </c>
      <c r="N4" s="29">
        <f t="shared" si="7"/>
        <v>1.4444444444444444</v>
      </c>
      <c r="O4" s="76">
        <f t="shared" si="8"/>
        <v>0</v>
      </c>
      <c r="P4" s="5"/>
      <c r="Q4" s="115" t="s">
        <v>734</v>
      </c>
      <c r="R4" s="145">
        <v>10</v>
      </c>
      <c r="S4" s="146">
        <v>8</v>
      </c>
      <c r="T4" s="146">
        <v>1</v>
      </c>
      <c r="U4" s="146"/>
      <c r="V4" s="146">
        <v>7</v>
      </c>
      <c r="W4" s="146">
        <v>4</v>
      </c>
      <c r="X4" s="146">
        <v>6</v>
      </c>
      <c r="Y4" s="146">
        <v>2</v>
      </c>
      <c r="Z4" s="146">
        <v>2</v>
      </c>
      <c r="AA4" s="146">
        <v>3</v>
      </c>
      <c r="AB4" s="146">
        <v>4</v>
      </c>
      <c r="AC4" s="147">
        <v>47</v>
      </c>
      <c r="AE4" s="101">
        <f t="shared" ref="AE4:AE14" si="9">COUNT(R4:AC4)</f>
        <v>11</v>
      </c>
      <c r="AG4" s="35">
        <f ca="1">COUNTIF(G3:G14,AI4)-1</f>
        <v>-1</v>
      </c>
      <c r="AH4" s="36" t="str">
        <f>$F$23</f>
        <v>David</v>
      </c>
      <c r="AI4" s="32" t="e">
        <f ca="1">Maxine(G3:G14)</f>
        <v>#NAME?</v>
      </c>
      <c r="AJ4" s="33" t="s">
        <v>1208</v>
      </c>
      <c r="AK4" s="32" t="e">
        <f ca="1">Maxine(G17:G20)</f>
        <v>#NAME?</v>
      </c>
      <c r="AL4" s="38" t="str">
        <f>$F$68</f>
        <v>Leads</v>
      </c>
      <c r="AM4" s="35">
        <f ca="1">COUNTIF(G17:G20,AK4)-1</f>
        <v>-1</v>
      </c>
    </row>
    <row r="5" spans="1:39" ht="14.6" customHeight="1" x14ac:dyDescent="0.4">
      <c r="A5" s="12" t="s">
        <v>38</v>
      </c>
      <c r="B5" s="13">
        <v>2</v>
      </c>
      <c r="C5" s="14" t="s">
        <v>441</v>
      </c>
      <c r="D5" s="15" t="s">
        <v>1219</v>
      </c>
      <c r="E5" s="98"/>
      <c r="F5" s="27" t="s">
        <v>1206</v>
      </c>
      <c r="G5" s="28">
        <f t="shared" si="0"/>
        <v>1</v>
      </c>
      <c r="H5" s="28">
        <f t="shared" si="1"/>
        <v>6</v>
      </c>
      <c r="I5" s="29">
        <f t="shared" si="2"/>
        <v>0.16666666666666666</v>
      </c>
      <c r="J5" s="28">
        <f t="shared" si="3"/>
        <v>2</v>
      </c>
      <c r="K5" s="28">
        <f t="shared" si="4"/>
        <v>12</v>
      </c>
      <c r="L5" s="75">
        <f t="shared" si="5"/>
        <v>0.16666666666666666</v>
      </c>
      <c r="M5" s="29">
        <f t="shared" si="6"/>
        <v>2</v>
      </c>
      <c r="N5" s="29">
        <f t="shared" si="7"/>
        <v>2</v>
      </c>
      <c r="O5" s="76">
        <f t="shared" si="8"/>
        <v>0.18181818181818182</v>
      </c>
      <c r="P5" s="5"/>
      <c r="Q5" s="118" t="s">
        <v>438</v>
      </c>
      <c r="R5" s="148">
        <v>12</v>
      </c>
      <c r="S5" s="149"/>
      <c r="T5" s="149">
        <v>6</v>
      </c>
      <c r="U5" s="149">
        <v>10</v>
      </c>
      <c r="V5" s="149">
        <v>5</v>
      </c>
      <c r="W5" s="149">
        <v>0</v>
      </c>
      <c r="X5" s="149"/>
      <c r="Y5" s="149">
        <v>4</v>
      </c>
      <c r="Z5" s="149">
        <v>4</v>
      </c>
      <c r="AA5" s="149"/>
      <c r="AB5" s="149">
        <v>2</v>
      </c>
      <c r="AC5" s="150">
        <v>43</v>
      </c>
      <c r="AE5" s="101">
        <f t="shared" si="9"/>
        <v>9</v>
      </c>
      <c r="AG5" s="35">
        <f ca="1">COUNTIF(H3:H14,AI5)-1</f>
        <v>-1</v>
      </c>
      <c r="AH5" s="36" t="str">
        <f>$F$37</f>
        <v>Sam</v>
      </c>
      <c r="AI5" s="32" t="e">
        <f ca="1">Maxine(H3:H14)</f>
        <v>#NAME?</v>
      </c>
      <c r="AJ5" s="33" t="s">
        <v>1209</v>
      </c>
      <c r="AK5" s="32" t="e">
        <f ca="1">Maxine(H17:H20)</f>
        <v>#NAME?</v>
      </c>
      <c r="AL5" s="38" t="str">
        <f>$F$77</f>
        <v>Leads</v>
      </c>
      <c r="AM5" s="35">
        <f ca="1">COUNTIF(H17:H20,AK5)-1</f>
        <v>-1</v>
      </c>
    </row>
    <row r="6" spans="1:39" ht="14.6" customHeight="1" x14ac:dyDescent="0.4">
      <c r="A6" s="12" t="s">
        <v>28</v>
      </c>
      <c r="B6" s="13">
        <v>2</v>
      </c>
      <c r="C6" s="14" t="s">
        <v>37</v>
      </c>
      <c r="D6" s="15" t="s">
        <v>1220</v>
      </c>
      <c r="E6" s="98"/>
      <c r="F6" s="27" t="s">
        <v>41</v>
      </c>
      <c r="G6" s="28">
        <f t="shared" si="0"/>
        <v>2</v>
      </c>
      <c r="H6" s="28">
        <f t="shared" si="1"/>
        <v>8</v>
      </c>
      <c r="I6" s="29">
        <f t="shared" si="2"/>
        <v>0.25</v>
      </c>
      <c r="J6" s="28">
        <f t="shared" si="3"/>
        <v>3</v>
      </c>
      <c r="K6" s="28">
        <f t="shared" si="4"/>
        <v>10</v>
      </c>
      <c r="L6" s="75">
        <f t="shared" si="5"/>
        <v>0.3</v>
      </c>
      <c r="M6" s="29">
        <f t="shared" si="6"/>
        <v>1.5</v>
      </c>
      <c r="N6" s="29">
        <f t="shared" si="7"/>
        <v>1.25</v>
      </c>
      <c r="O6" s="76">
        <f t="shared" si="8"/>
        <v>0.27272727272727271</v>
      </c>
      <c r="P6" s="5"/>
      <c r="Q6" s="118" t="s">
        <v>39</v>
      </c>
      <c r="R6" s="148">
        <v>5</v>
      </c>
      <c r="S6" s="149">
        <v>4</v>
      </c>
      <c r="T6" s="149">
        <v>2</v>
      </c>
      <c r="U6" s="149">
        <v>1</v>
      </c>
      <c r="V6" s="149">
        <v>3</v>
      </c>
      <c r="W6" s="149">
        <v>3</v>
      </c>
      <c r="X6" s="149">
        <v>2</v>
      </c>
      <c r="Y6" s="149">
        <v>4</v>
      </c>
      <c r="Z6" s="149"/>
      <c r="AA6" s="149">
        <v>2</v>
      </c>
      <c r="AB6" s="149">
        <v>2</v>
      </c>
      <c r="AC6" s="150">
        <v>28</v>
      </c>
      <c r="AE6" s="101">
        <f t="shared" si="9"/>
        <v>11</v>
      </c>
      <c r="AG6" s="35">
        <f ca="1">COUNTIF(J3:J14,AI6)-1</f>
        <v>-1</v>
      </c>
      <c r="AH6" s="36" t="str">
        <f>$P$23</f>
        <v>Sam</v>
      </c>
      <c r="AI6" s="32" t="e">
        <f ca="1">Maxine(J3:J14)</f>
        <v>#NAME?</v>
      </c>
      <c r="AJ6" s="33" t="s">
        <v>1210</v>
      </c>
      <c r="AK6" s="32" t="e">
        <f ca="1">Maxine(J17:J20)</f>
        <v>#NAME?</v>
      </c>
      <c r="AL6" s="38" t="str">
        <f>$P$68</f>
        <v>Leads</v>
      </c>
      <c r="AM6" s="35">
        <f ca="1">COUNTIF(J17:J20,AK6)-1</f>
        <v>-1</v>
      </c>
    </row>
    <row r="7" spans="1:39" ht="14.6" customHeight="1" x14ac:dyDescent="0.4">
      <c r="A7" s="12" t="s">
        <v>734</v>
      </c>
      <c r="B7" s="13">
        <v>1</v>
      </c>
      <c r="C7" s="14" t="s">
        <v>41</v>
      </c>
      <c r="D7" s="15" t="s">
        <v>1221</v>
      </c>
      <c r="E7" s="98"/>
      <c r="F7" s="27" t="s">
        <v>38</v>
      </c>
      <c r="G7" s="28">
        <f t="shared" si="0"/>
        <v>24</v>
      </c>
      <c r="H7" s="28">
        <f t="shared" si="1"/>
        <v>11</v>
      </c>
      <c r="I7" s="29">
        <f t="shared" si="2"/>
        <v>2.1818181818181817</v>
      </c>
      <c r="J7" s="28">
        <f t="shared" si="3"/>
        <v>0</v>
      </c>
      <c r="K7" s="28">
        <f t="shared" si="4"/>
        <v>0</v>
      </c>
      <c r="L7" s="75">
        <f t="shared" si="5"/>
        <v>0</v>
      </c>
      <c r="M7" s="29">
        <f t="shared" si="6"/>
        <v>0</v>
      </c>
      <c r="N7" s="29">
        <f t="shared" si="7"/>
        <v>0</v>
      </c>
      <c r="O7" s="76">
        <f t="shared" si="8"/>
        <v>0</v>
      </c>
      <c r="P7" s="5"/>
      <c r="Q7" s="118" t="s">
        <v>28</v>
      </c>
      <c r="R7" s="148"/>
      <c r="S7" s="149">
        <v>8</v>
      </c>
      <c r="T7" s="149">
        <v>10</v>
      </c>
      <c r="U7" s="149">
        <v>4</v>
      </c>
      <c r="V7" s="149">
        <v>2</v>
      </c>
      <c r="W7" s="149"/>
      <c r="X7" s="149"/>
      <c r="Y7" s="149"/>
      <c r="Z7" s="149">
        <v>2</v>
      </c>
      <c r="AA7" s="149"/>
      <c r="AB7" s="149"/>
      <c r="AC7" s="150">
        <v>26</v>
      </c>
      <c r="AE7" s="101">
        <f t="shared" si="9"/>
        <v>6</v>
      </c>
      <c r="AG7" s="35">
        <f ca="1">COUNTIF(K3:K14,AI7)-1</f>
        <v>-1</v>
      </c>
      <c r="AH7" s="36" t="str">
        <f>$P$37</f>
        <v>Carter</v>
      </c>
      <c r="AI7" s="32" t="e">
        <f ca="1">Maxine(K3:K14)</f>
        <v>#NAME?</v>
      </c>
      <c r="AJ7" s="33" t="s">
        <v>1211</v>
      </c>
      <c r="AK7" s="32" t="e">
        <f ca="1">Maxine(K17:K20)</f>
        <v>#NAME?</v>
      </c>
      <c r="AL7" s="38" t="str">
        <f>$P$77</f>
        <v>Tenors</v>
      </c>
      <c r="AM7" s="35">
        <f ca="1">COUNTIF(K17:K20,AK7)-1</f>
        <v>-1</v>
      </c>
    </row>
    <row r="8" spans="1:39" ht="14.6" customHeight="1" x14ac:dyDescent="0.4">
      <c r="A8" s="12" t="s">
        <v>28</v>
      </c>
      <c r="B8" s="13">
        <v>2</v>
      </c>
      <c r="C8" s="14" t="s">
        <v>438</v>
      </c>
      <c r="D8" s="15" t="s">
        <v>1222</v>
      </c>
      <c r="E8" s="98"/>
      <c r="F8" s="27" t="s">
        <v>438</v>
      </c>
      <c r="G8" s="28">
        <f t="shared" si="0"/>
        <v>31</v>
      </c>
      <c r="H8" s="28">
        <f t="shared" si="1"/>
        <v>23</v>
      </c>
      <c r="I8" s="29">
        <f t="shared" si="2"/>
        <v>1.3478260869565217</v>
      </c>
      <c r="J8" s="28">
        <f t="shared" si="3"/>
        <v>43</v>
      </c>
      <c r="K8" s="28">
        <f t="shared" si="4"/>
        <v>30</v>
      </c>
      <c r="L8" s="75">
        <f t="shared" si="5"/>
        <v>1.4333333333333333</v>
      </c>
      <c r="M8" s="29">
        <f t="shared" si="6"/>
        <v>1.3870967741935485</v>
      </c>
      <c r="N8" s="29">
        <f t="shared" si="7"/>
        <v>1.3043478260869565</v>
      </c>
      <c r="O8" s="76">
        <f t="shared" si="8"/>
        <v>0.81818181818181823</v>
      </c>
      <c r="P8" s="5"/>
      <c r="Q8" s="118" t="s">
        <v>730</v>
      </c>
      <c r="R8" s="148">
        <v>2</v>
      </c>
      <c r="S8" s="149">
        <v>4</v>
      </c>
      <c r="T8" s="149">
        <v>2</v>
      </c>
      <c r="U8" s="149">
        <v>2</v>
      </c>
      <c r="V8" s="149"/>
      <c r="W8" s="149">
        <v>4</v>
      </c>
      <c r="X8" s="149">
        <v>2</v>
      </c>
      <c r="Y8" s="149"/>
      <c r="Z8" s="149">
        <v>3</v>
      </c>
      <c r="AA8" s="149">
        <v>1</v>
      </c>
      <c r="AB8" s="149"/>
      <c r="AC8" s="150">
        <v>20</v>
      </c>
      <c r="AE8" s="101">
        <f t="shared" si="9"/>
        <v>9</v>
      </c>
      <c r="AG8" s="35">
        <f ca="1">COUNTIF(I3:I14,AI8)-1</f>
        <v>-1</v>
      </c>
      <c r="AH8" s="40" t="str">
        <f>$F$51</f>
        <v>Peter</v>
      </c>
      <c r="AI8" s="37" t="e">
        <f ca="1">Maxine(I3:I14)</f>
        <v>#NAME?</v>
      </c>
      <c r="AJ8" s="33" t="s">
        <v>1212</v>
      </c>
      <c r="AK8" s="37" t="e">
        <f ca="1">Maxine(I17:I20)</f>
        <v>#NAME?</v>
      </c>
      <c r="AL8" s="38" t="str">
        <f>$F$86</f>
        <v>Leads</v>
      </c>
      <c r="AM8" s="35">
        <f ca="1">COUNTIF(I17:I20,AK8)-1</f>
        <v>-1</v>
      </c>
    </row>
    <row r="9" spans="1:39" ht="14.6" customHeight="1" x14ac:dyDescent="0.4">
      <c r="A9" s="12" t="s">
        <v>38</v>
      </c>
      <c r="B9" s="13">
        <v>2</v>
      </c>
      <c r="C9" s="14" t="s">
        <v>734</v>
      </c>
      <c r="D9" s="15" t="s">
        <v>1223</v>
      </c>
      <c r="E9" s="98"/>
      <c r="F9" s="27" t="s">
        <v>441</v>
      </c>
      <c r="G9" s="28">
        <f t="shared" si="0"/>
        <v>1</v>
      </c>
      <c r="H9" s="28">
        <f t="shared" si="1"/>
        <v>7</v>
      </c>
      <c r="I9" s="29">
        <f t="shared" si="2"/>
        <v>0.14285714285714285</v>
      </c>
      <c r="J9" s="28">
        <f t="shared" si="3"/>
        <v>2</v>
      </c>
      <c r="K9" s="28">
        <f t="shared" si="4"/>
        <v>10</v>
      </c>
      <c r="L9" s="75">
        <f t="shared" si="5"/>
        <v>0.2</v>
      </c>
      <c r="M9" s="29">
        <f t="shared" si="6"/>
        <v>2</v>
      </c>
      <c r="N9" s="29">
        <f t="shared" si="7"/>
        <v>1.4285714285714286</v>
      </c>
      <c r="O9" s="76">
        <f t="shared" si="8"/>
        <v>0.18181818181818182</v>
      </c>
      <c r="P9" s="5"/>
      <c r="Q9" s="118" t="s">
        <v>37</v>
      </c>
      <c r="R9" s="148">
        <v>7</v>
      </c>
      <c r="S9" s="149">
        <v>5</v>
      </c>
      <c r="T9" s="149"/>
      <c r="U9" s="149">
        <v>1</v>
      </c>
      <c r="V9" s="149">
        <v>1</v>
      </c>
      <c r="W9" s="149">
        <v>2</v>
      </c>
      <c r="X9" s="149"/>
      <c r="Y9" s="149"/>
      <c r="Z9" s="149"/>
      <c r="AA9" s="149">
        <v>1</v>
      </c>
      <c r="AB9" s="149"/>
      <c r="AC9" s="150">
        <v>17</v>
      </c>
      <c r="AE9" s="101">
        <f t="shared" si="9"/>
        <v>7</v>
      </c>
      <c r="AG9" s="35">
        <f>COUNTIF(I3:I14,AI9)-1</f>
        <v>0</v>
      </c>
      <c r="AH9" s="40" t="s">
        <v>33</v>
      </c>
      <c r="AI9" s="37">
        <f>MIN(I3:I14)</f>
        <v>0</v>
      </c>
      <c r="AJ9" s="33" t="s">
        <v>1224</v>
      </c>
      <c r="AK9" s="37">
        <f>MIN(I17:I20)</f>
        <v>0.48717948717948717</v>
      </c>
      <c r="AL9" s="38" t="str">
        <f>$F$83</f>
        <v>Tenors</v>
      </c>
      <c r="AM9" s="35">
        <f>COUNTIF(I17:I20,AK9)-1</f>
        <v>0</v>
      </c>
    </row>
    <row r="10" spans="1:39" ht="14.6" customHeight="1" x14ac:dyDescent="0.4">
      <c r="A10" s="12" t="s">
        <v>39</v>
      </c>
      <c r="B10" s="13">
        <v>1</v>
      </c>
      <c r="C10" s="14" t="s">
        <v>734</v>
      </c>
      <c r="D10" s="15" t="s">
        <v>1225</v>
      </c>
      <c r="E10" s="98"/>
      <c r="F10" s="27" t="s">
        <v>36</v>
      </c>
      <c r="G10" s="28">
        <f t="shared" si="0"/>
        <v>4</v>
      </c>
      <c r="H10" s="28">
        <f t="shared" si="1"/>
        <v>7</v>
      </c>
      <c r="I10" s="29">
        <f t="shared" si="2"/>
        <v>0.5714285714285714</v>
      </c>
      <c r="J10" s="28">
        <f t="shared" si="3"/>
        <v>6</v>
      </c>
      <c r="K10" s="28">
        <f t="shared" si="4"/>
        <v>12</v>
      </c>
      <c r="L10" s="75">
        <f t="shared" si="5"/>
        <v>0.5</v>
      </c>
      <c r="M10" s="29">
        <f t="shared" si="6"/>
        <v>1.5</v>
      </c>
      <c r="N10" s="29">
        <f t="shared" si="7"/>
        <v>1.7142857142857142</v>
      </c>
      <c r="O10" s="76">
        <f t="shared" si="8"/>
        <v>0.45454545454545453</v>
      </c>
      <c r="P10" s="5"/>
      <c r="Q10" s="118" t="s">
        <v>36</v>
      </c>
      <c r="R10" s="148"/>
      <c r="S10" s="149">
        <v>1</v>
      </c>
      <c r="T10" s="149"/>
      <c r="U10" s="149">
        <v>2</v>
      </c>
      <c r="V10" s="149"/>
      <c r="W10" s="149"/>
      <c r="X10" s="149">
        <v>2</v>
      </c>
      <c r="Y10" s="149"/>
      <c r="Z10" s="149"/>
      <c r="AA10" s="149">
        <v>1</v>
      </c>
      <c r="AB10" s="149"/>
      <c r="AC10" s="150">
        <v>6</v>
      </c>
      <c r="AE10" s="101">
        <f t="shared" si="9"/>
        <v>5</v>
      </c>
      <c r="AG10" s="35">
        <f ca="1">COUNTIF(L3:L14,AI10)-1</f>
        <v>-1</v>
      </c>
      <c r="AH10" s="40" t="str">
        <f>$P$51</f>
        <v>Maxine</v>
      </c>
      <c r="AI10" s="37" t="e">
        <f ca="1">Maxine(L3:L14)</f>
        <v>#NAME?</v>
      </c>
      <c r="AJ10" s="33" t="s">
        <v>1213</v>
      </c>
      <c r="AK10" s="37" t="e">
        <f ca="1">Maxine(L17:L20)</f>
        <v>#NAME?</v>
      </c>
      <c r="AL10" s="38" t="str">
        <f>$P$86</f>
        <v>Leads</v>
      </c>
      <c r="AM10" s="35">
        <f ca="1">COUNTIF(L17:L20,AK10)-1</f>
        <v>-1</v>
      </c>
    </row>
    <row r="11" spans="1:39" ht="14.6" customHeight="1" x14ac:dyDescent="0.4">
      <c r="A11" s="12" t="s">
        <v>734</v>
      </c>
      <c r="B11" s="13">
        <v>2</v>
      </c>
      <c r="C11" s="14" t="s">
        <v>28</v>
      </c>
      <c r="D11" s="15" t="s">
        <v>1226</v>
      </c>
      <c r="E11" s="98"/>
      <c r="F11" s="27" t="s">
        <v>734</v>
      </c>
      <c r="G11" s="28">
        <f t="shared" si="0"/>
        <v>31</v>
      </c>
      <c r="H11" s="28">
        <f t="shared" si="1"/>
        <v>24</v>
      </c>
      <c r="I11" s="29">
        <f t="shared" si="2"/>
        <v>1.2916666666666667</v>
      </c>
      <c r="J11" s="28">
        <f t="shared" si="3"/>
        <v>47</v>
      </c>
      <c r="K11" s="28">
        <f t="shared" si="4"/>
        <v>20</v>
      </c>
      <c r="L11" s="75">
        <f t="shared" si="5"/>
        <v>2.35</v>
      </c>
      <c r="M11" s="29">
        <f t="shared" si="6"/>
        <v>1.5161290322580645</v>
      </c>
      <c r="N11" s="29">
        <f t="shared" si="7"/>
        <v>0.83333333333333337</v>
      </c>
      <c r="O11" s="76">
        <f t="shared" si="8"/>
        <v>1</v>
      </c>
      <c r="P11" s="5"/>
      <c r="Q11" s="118" t="s">
        <v>41</v>
      </c>
      <c r="R11" s="148"/>
      <c r="S11" s="149"/>
      <c r="T11" s="149"/>
      <c r="U11" s="149"/>
      <c r="V11" s="149">
        <v>1</v>
      </c>
      <c r="W11" s="149"/>
      <c r="X11" s="149"/>
      <c r="Y11" s="149">
        <v>2</v>
      </c>
      <c r="Z11" s="149"/>
      <c r="AA11" s="149"/>
      <c r="AB11" s="149"/>
      <c r="AC11" s="150">
        <v>3</v>
      </c>
      <c r="AE11" s="101">
        <f t="shared" si="9"/>
        <v>3</v>
      </c>
      <c r="AG11" s="35">
        <f>COUNTIF(L3:L14,AI11)-1</f>
        <v>1</v>
      </c>
      <c r="AH11" s="40" t="s">
        <v>33</v>
      </c>
      <c r="AI11" s="37">
        <f>MIN(L3:L14)</f>
        <v>0</v>
      </c>
      <c r="AJ11" s="33" t="s">
        <v>1227</v>
      </c>
      <c r="AK11" s="37">
        <f>MIN(L17:L20)</f>
        <v>0.45901639344262296</v>
      </c>
      <c r="AL11" s="38" t="str">
        <f>$P$83</f>
        <v>Tenors</v>
      </c>
      <c r="AM11" s="35">
        <f>COUNTIF(L17:L20,AK11)-1</f>
        <v>0</v>
      </c>
    </row>
    <row r="12" spans="1:39" ht="14.6" customHeight="1" x14ac:dyDescent="0.4">
      <c r="A12" s="12" t="s">
        <v>438</v>
      </c>
      <c r="B12" s="13">
        <v>2</v>
      </c>
      <c r="C12" s="14" t="s">
        <v>28</v>
      </c>
      <c r="D12" s="15" t="s">
        <v>1228</v>
      </c>
      <c r="E12" s="98"/>
      <c r="F12" s="27" t="s">
        <v>37</v>
      </c>
      <c r="G12" s="28">
        <f t="shared" si="0"/>
        <v>12</v>
      </c>
      <c r="H12" s="28">
        <f t="shared" si="1"/>
        <v>14</v>
      </c>
      <c r="I12" s="29">
        <f t="shared" si="2"/>
        <v>0.8571428571428571</v>
      </c>
      <c r="J12" s="28">
        <f t="shared" si="3"/>
        <v>17</v>
      </c>
      <c r="K12" s="28">
        <f t="shared" si="4"/>
        <v>21</v>
      </c>
      <c r="L12" s="75">
        <f t="shared" si="5"/>
        <v>0.80952380952380953</v>
      </c>
      <c r="M12" s="29">
        <f t="shared" si="6"/>
        <v>1.4166666666666667</v>
      </c>
      <c r="N12" s="29">
        <f t="shared" si="7"/>
        <v>1.5</v>
      </c>
      <c r="O12" s="76">
        <f t="shared" si="8"/>
        <v>0.63636363636363635</v>
      </c>
      <c r="P12" s="5"/>
      <c r="Q12" s="118" t="s">
        <v>1206</v>
      </c>
      <c r="R12" s="148"/>
      <c r="S12" s="149"/>
      <c r="T12" s="149"/>
      <c r="U12" s="149"/>
      <c r="V12" s="149"/>
      <c r="W12" s="149"/>
      <c r="X12" s="149"/>
      <c r="Y12" s="149"/>
      <c r="Z12" s="149"/>
      <c r="AA12" s="149"/>
      <c r="AB12" s="149">
        <v>2</v>
      </c>
      <c r="AC12" s="150">
        <v>2</v>
      </c>
      <c r="AE12" s="101">
        <f t="shared" si="9"/>
        <v>2</v>
      </c>
      <c r="AF12" s="53"/>
    </row>
    <row r="13" spans="1:39" ht="14.6" customHeight="1" x14ac:dyDescent="0.4">
      <c r="A13" s="12" t="s">
        <v>734</v>
      </c>
      <c r="B13" s="13">
        <v>2</v>
      </c>
      <c r="C13" s="14" t="s">
        <v>41</v>
      </c>
      <c r="D13" s="15" t="s">
        <v>1229</v>
      </c>
      <c r="E13" s="98"/>
      <c r="F13" s="27" t="s">
        <v>39</v>
      </c>
      <c r="G13" s="28">
        <f t="shared" si="0"/>
        <v>20</v>
      </c>
      <c r="H13" s="28">
        <f t="shared" si="1"/>
        <v>9</v>
      </c>
      <c r="I13" s="29">
        <f t="shared" si="2"/>
        <v>2.2222222222222223</v>
      </c>
      <c r="J13" s="28">
        <f t="shared" si="3"/>
        <v>28</v>
      </c>
      <c r="K13" s="28">
        <f t="shared" si="4"/>
        <v>11</v>
      </c>
      <c r="L13" s="75">
        <f t="shared" si="5"/>
        <v>2.5454545454545454</v>
      </c>
      <c r="M13" s="29">
        <f t="shared" si="6"/>
        <v>1.4</v>
      </c>
      <c r="N13" s="29">
        <f t="shared" si="7"/>
        <v>1.2222222222222223</v>
      </c>
      <c r="O13" s="76">
        <f t="shared" si="8"/>
        <v>1</v>
      </c>
      <c r="P13" s="5"/>
      <c r="Q13" s="118" t="s">
        <v>441</v>
      </c>
      <c r="R13" s="148"/>
      <c r="S13" s="149"/>
      <c r="T13" s="149"/>
      <c r="U13" s="149"/>
      <c r="V13" s="149"/>
      <c r="W13" s="149"/>
      <c r="X13" s="149"/>
      <c r="Y13" s="149"/>
      <c r="Z13" s="149"/>
      <c r="AA13" s="149">
        <v>2</v>
      </c>
      <c r="AB13" s="149"/>
      <c r="AC13" s="150">
        <v>2</v>
      </c>
      <c r="AE13" s="101">
        <f t="shared" si="9"/>
        <v>2</v>
      </c>
      <c r="AF13" s="53"/>
    </row>
    <row r="14" spans="1:39" ht="14.6" customHeight="1" x14ac:dyDescent="0.4">
      <c r="A14" s="12" t="s">
        <v>730</v>
      </c>
      <c r="B14" s="13">
        <v>2</v>
      </c>
      <c r="C14" s="14" t="s">
        <v>28</v>
      </c>
      <c r="D14" s="15" t="s">
        <v>1230</v>
      </c>
      <c r="E14" s="98"/>
      <c r="F14" s="82" t="s">
        <v>730</v>
      </c>
      <c r="G14" s="28">
        <f t="shared" si="0"/>
        <v>13</v>
      </c>
      <c r="H14" s="28">
        <f t="shared" si="1"/>
        <v>15</v>
      </c>
      <c r="I14" s="29">
        <f t="shared" si="2"/>
        <v>0.8666666666666667</v>
      </c>
      <c r="J14" s="28">
        <f t="shared" si="3"/>
        <v>20</v>
      </c>
      <c r="K14" s="28">
        <f t="shared" si="4"/>
        <v>19</v>
      </c>
      <c r="L14" s="75">
        <f t="shared" si="5"/>
        <v>1.0526315789473684</v>
      </c>
      <c r="M14" s="29">
        <f t="shared" si="6"/>
        <v>1.5384615384615385</v>
      </c>
      <c r="N14" s="29">
        <f t="shared" si="7"/>
        <v>1.2666666666666666</v>
      </c>
      <c r="O14" s="76">
        <f t="shared" si="8"/>
        <v>0.81818181818181823</v>
      </c>
      <c r="P14" s="5"/>
      <c r="Q14" s="119" t="s">
        <v>42</v>
      </c>
      <c r="R14" s="151">
        <v>36</v>
      </c>
      <c r="S14" s="152">
        <v>30</v>
      </c>
      <c r="T14" s="152">
        <v>21</v>
      </c>
      <c r="U14" s="152">
        <v>20</v>
      </c>
      <c r="V14" s="152">
        <v>19</v>
      </c>
      <c r="W14" s="152">
        <v>13</v>
      </c>
      <c r="X14" s="152">
        <v>12</v>
      </c>
      <c r="Y14" s="152">
        <v>12</v>
      </c>
      <c r="Z14" s="152">
        <v>11</v>
      </c>
      <c r="AA14" s="152">
        <v>10</v>
      </c>
      <c r="AB14" s="152">
        <v>10</v>
      </c>
      <c r="AC14" s="153">
        <v>194</v>
      </c>
      <c r="AE14" s="101">
        <f t="shared" si="9"/>
        <v>12</v>
      </c>
      <c r="AF14" s="53"/>
    </row>
    <row r="15" spans="1:39" ht="14.6" customHeight="1" x14ac:dyDescent="0.4">
      <c r="A15" s="12" t="s">
        <v>39</v>
      </c>
      <c r="B15" s="13">
        <v>1</v>
      </c>
      <c r="C15" s="14" t="s">
        <v>33</v>
      </c>
      <c r="D15" s="15" t="s">
        <v>1231</v>
      </c>
      <c r="E15" s="98"/>
      <c r="F15" s="131" t="s">
        <v>1214</v>
      </c>
      <c r="G15" s="132"/>
      <c r="H15" s="132"/>
      <c r="I15" s="132"/>
      <c r="J15" s="132"/>
      <c r="K15" s="132"/>
      <c r="L15" s="132"/>
      <c r="M15" s="132"/>
      <c r="N15" s="133"/>
      <c r="P15" s="5"/>
      <c r="AE15" s="33"/>
      <c r="AF15" s="83"/>
    </row>
    <row r="16" spans="1:39" ht="14.25" customHeight="1" x14ac:dyDescent="0.4">
      <c r="A16" s="12" t="s">
        <v>730</v>
      </c>
      <c r="B16" s="13">
        <v>2</v>
      </c>
      <c r="C16" s="14" t="s">
        <v>438</v>
      </c>
      <c r="D16" s="15" t="s">
        <v>1232</v>
      </c>
      <c r="E16" s="98"/>
      <c r="F16" s="41" t="s">
        <v>74</v>
      </c>
      <c r="G16" s="25" t="s">
        <v>15</v>
      </c>
      <c r="H16" s="25" t="s">
        <v>16</v>
      </c>
      <c r="I16" s="25" t="s">
        <v>17</v>
      </c>
      <c r="J16" s="25" t="s">
        <v>18</v>
      </c>
      <c r="K16" s="25" t="s">
        <v>19</v>
      </c>
      <c r="L16" s="25" t="s">
        <v>20</v>
      </c>
      <c r="M16" s="18" t="s">
        <v>21</v>
      </c>
      <c r="N16" s="25" t="s">
        <v>22</v>
      </c>
      <c r="P16" s="46"/>
      <c r="AF16" s="53"/>
      <c r="AJ16" s="31"/>
    </row>
    <row r="17" spans="1:41" ht="14.25" customHeight="1" x14ac:dyDescent="0.4">
      <c r="A17" s="12" t="s">
        <v>28</v>
      </c>
      <c r="B17" s="13">
        <v>2</v>
      </c>
      <c r="C17" s="14" t="s">
        <v>37</v>
      </c>
      <c r="D17" s="15" t="s">
        <v>1233</v>
      </c>
      <c r="E17" s="98"/>
      <c r="F17" s="27" t="s">
        <v>76</v>
      </c>
      <c r="G17" s="102">
        <f>SUM(G3:G5)</f>
        <v>19</v>
      </c>
      <c r="H17" s="103">
        <f>SUM(H3:H5)</f>
        <v>39</v>
      </c>
      <c r="I17" s="55">
        <f>IF(H17,G17/H17,0)</f>
        <v>0.48717948717948717</v>
      </c>
      <c r="J17" s="102">
        <f>SUM(J3:J5)</f>
        <v>28</v>
      </c>
      <c r="K17" s="103">
        <f>SUM(K3:K5)</f>
        <v>61</v>
      </c>
      <c r="L17" s="55">
        <f>IF(K17,J17/K17,0)</f>
        <v>0.45901639344262296</v>
      </c>
      <c r="M17" s="56">
        <f t="shared" ref="M17:N20" si="10">IF(G17,J17/G17,0)</f>
        <v>1.4736842105263157</v>
      </c>
      <c r="N17" s="57">
        <f t="shared" si="10"/>
        <v>1.5641025641025641</v>
      </c>
      <c r="R17" s="58"/>
      <c r="AD17" s="84" t="s">
        <v>123</v>
      </c>
      <c r="AE17" s="85" t="s">
        <v>15</v>
      </c>
      <c r="AF17" s="85" t="s">
        <v>16</v>
      </c>
      <c r="AG17" s="85" t="s">
        <v>17</v>
      </c>
      <c r="AH17" s="85" t="s">
        <v>18</v>
      </c>
      <c r="AI17" s="85" t="s">
        <v>19</v>
      </c>
      <c r="AJ17" s="85" t="s">
        <v>20</v>
      </c>
      <c r="AK17" s="85" t="s">
        <v>21</v>
      </c>
      <c r="AL17" s="85" t="s">
        <v>22</v>
      </c>
    </row>
    <row r="18" spans="1:41" ht="14.25" customHeight="1" x14ac:dyDescent="0.4">
      <c r="A18" s="12" t="s">
        <v>438</v>
      </c>
      <c r="B18" s="13">
        <v>2</v>
      </c>
      <c r="C18" s="14" t="s">
        <v>441</v>
      </c>
      <c r="D18" s="15" t="s">
        <v>1234</v>
      </c>
      <c r="E18" s="98"/>
      <c r="F18" s="27" t="s">
        <v>77</v>
      </c>
      <c r="G18" s="89">
        <f>SUM(G6:G8)</f>
        <v>57</v>
      </c>
      <c r="H18" s="61">
        <f>SUM(H6:H8)</f>
        <v>42</v>
      </c>
      <c r="I18" s="55">
        <f>IF(H18,G18/H18,0)</f>
        <v>1.3571428571428572</v>
      </c>
      <c r="J18" s="102">
        <f>SUM(J6:J8)</f>
        <v>46</v>
      </c>
      <c r="K18" s="103">
        <f>SUM(K6:K8)</f>
        <v>40</v>
      </c>
      <c r="L18" s="55">
        <f>IF(K18,J18/K18,0)</f>
        <v>1.1499999999999999</v>
      </c>
      <c r="M18" s="56">
        <f t="shared" si="10"/>
        <v>0.80701754385964908</v>
      </c>
      <c r="N18" s="57">
        <f t="shared" si="10"/>
        <v>0.95238095238095233</v>
      </c>
      <c r="R18" s="58"/>
      <c r="AD18" s="86" t="s">
        <v>65</v>
      </c>
      <c r="AE18" s="43">
        <f>(20+18+16+4+5+6)/9</f>
        <v>7.666666666666667</v>
      </c>
      <c r="AF18" s="44">
        <f>-(9+5+6+7+8+9+10)/9</f>
        <v>-6</v>
      </c>
      <c r="AG18" s="44">
        <f>4*(3+15+6+14+9+10)/9</f>
        <v>25.333333333333332</v>
      </c>
      <c r="AH18" s="44">
        <f>(30+9+24+7+1)/9</f>
        <v>7.8888888888888893</v>
      </c>
      <c r="AI18" s="44">
        <f>-(3+15+14+8+18)/9</f>
        <v>-6.4444444444444446</v>
      </c>
      <c r="AJ18" s="44">
        <f>4*(10+18+8+12+6)/9</f>
        <v>24</v>
      </c>
      <c r="AK18" s="44">
        <f>5*(35+14)/9</f>
        <v>27.222222222222221</v>
      </c>
      <c r="AL18" s="44">
        <f>-5*(1+4+3+4+10+7+9)/9</f>
        <v>-21.111111111111111</v>
      </c>
      <c r="AM18" s="35" t="s">
        <v>66</v>
      </c>
      <c r="AN18" s="143" t="s">
        <v>472</v>
      </c>
      <c r="AO18" s="135"/>
    </row>
    <row r="19" spans="1:41" ht="14.25" customHeight="1" x14ac:dyDescent="0.4">
      <c r="A19" s="12" t="s">
        <v>38</v>
      </c>
      <c r="B19" s="13">
        <v>2</v>
      </c>
      <c r="C19" s="14" t="s">
        <v>441</v>
      </c>
      <c r="D19" s="15" t="s">
        <v>1235</v>
      </c>
      <c r="E19" s="98"/>
      <c r="F19" s="27" t="s">
        <v>79</v>
      </c>
      <c r="G19" s="89">
        <f>SUM(G9:G11)</f>
        <v>36</v>
      </c>
      <c r="H19" s="61">
        <f>SUM(H9:H11)</f>
        <v>38</v>
      </c>
      <c r="I19" s="55">
        <f>IF(H19,G19/H19,0)</f>
        <v>0.94736842105263153</v>
      </c>
      <c r="J19" s="102">
        <f>SUM(J9:J11)</f>
        <v>55</v>
      </c>
      <c r="K19" s="103">
        <f>SUM(K9:K11)</f>
        <v>42</v>
      </c>
      <c r="L19" s="55">
        <f>IF(K19,J19/K19,0)</f>
        <v>1.3095238095238095</v>
      </c>
      <c r="M19" s="56">
        <f t="shared" si="10"/>
        <v>1.5277777777777777</v>
      </c>
      <c r="N19" s="57">
        <f t="shared" si="10"/>
        <v>1.1052631578947369</v>
      </c>
      <c r="P19" s="58"/>
      <c r="AD19" s="86" t="s">
        <v>28</v>
      </c>
      <c r="AE19" s="29">
        <f t="shared" ref="AE19:AE30" si="11">G3*$AE$18</f>
        <v>138</v>
      </c>
      <c r="AF19" s="29">
        <f t="shared" ref="AF19:AF30" si="12">H3*$AF$18</f>
        <v>-144</v>
      </c>
      <c r="AG19" s="29">
        <f t="shared" ref="AG19:AG30" si="13">I3*$AG$18</f>
        <v>19</v>
      </c>
      <c r="AH19" s="29">
        <f t="shared" ref="AH19:AH30" si="14">J3*$AH$18</f>
        <v>205.11111111111111</v>
      </c>
      <c r="AI19" s="29">
        <f t="shared" ref="AI19:AI30" si="15">K3*$AI$18</f>
        <v>-232</v>
      </c>
      <c r="AJ19" s="29">
        <f t="shared" ref="AJ19:AJ30" si="16">L3*$AJ$18</f>
        <v>17.333333333333332</v>
      </c>
      <c r="AK19" s="29">
        <f t="shared" ref="AK19:AK30" si="17">M3*$AK$18</f>
        <v>39.320987654320987</v>
      </c>
      <c r="AL19" s="29">
        <f t="shared" ref="AL19:AL30" si="18">N3*$AL$18</f>
        <v>-31.666666666666664</v>
      </c>
      <c r="AM19" s="67">
        <f t="shared" ref="AM19:AM30" si="19">SUM(AE19:AL19)</f>
        <v>11.098765432098766</v>
      </c>
      <c r="AN19" s="143"/>
      <c r="AO19" s="135"/>
    </row>
    <row r="20" spans="1:41" ht="14.25" customHeight="1" x14ac:dyDescent="0.4">
      <c r="A20" s="12" t="s">
        <v>438</v>
      </c>
      <c r="B20" s="13">
        <v>1</v>
      </c>
      <c r="C20" s="14" t="s">
        <v>37</v>
      </c>
      <c r="D20" s="15" t="s">
        <v>1236</v>
      </c>
      <c r="E20" s="98"/>
      <c r="F20" s="27" t="s">
        <v>86</v>
      </c>
      <c r="G20" s="89">
        <f>SUM(G12:G14)</f>
        <v>45</v>
      </c>
      <c r="H20" s="61">
        <f>SUM(H12:H14)</f>
        <v>38</v>
      </c>
      <c r="I20" s="55">
        <f>IF(H20,G20/H20,0)</f>
        <v>1.1842105263157894</v>
      </c>
      <c r="J20" s="102">
        <f>SUM(J12:J14)</f>
        <v>65</v>
      </c>
      <c r="K20" s="103">
        <f>SUM(K12:K14)</f>
        <v>51</v>
      </c>
      <c r="L20" s="55">
        <f>IF(K20,J20/K20,0)</f>
        <v>1.2745098039215685</v>
      </c>
      <c r="M20" s="56">
        <f t="shared" si="10"/>
        <v>1.4444444444444444</v>
      </c>
      <c r="N20" s="57">
        <f t="shared" si="10"/>
        <v>1.3421052631578947</v>
      </c>
      <c r="P20" s="58"/>
      <c r="AD20" s="86" t="s">
        <v>33</v>
      </c>
      <c r="AE20" s="29">
        <f t="shared" si="11"/>
        <v>0</v>
      </c>
      <c r="AF20" s="29">
        <f t="shared" si="12"/>
        <v>-54</v>
      </c>
      <c r="AG20" s="29">
        <f t="shared" si="13"/>
        <v>0</v>
      </c>
      <c r="AH20" s="29">
        <f t="shared" si="14"/>
        <v>0</v>
      </c>
      <c r="AI20" s="29">
        <f t="shared" si="15"/>
        <v>-83.777777777777786</v>
      </c>
      <c r="AJ20" s="29">
        <f t="shared" si="16"/>
        <v>0</v>
      </c>
      <c r="AK20" s="29">
        <f t="shared" si="17"/>
        <v>0</v>
      </c>
      <c r="AL20" s="29">
        <f t="shared" si="18"/>
        <v>-30.493827160493826</v>
      </c>
      <c r="AM20" s="67">
        <f t="shared" si="19"/>
        <v>-168.27160493827159</v>
      </c>
      <c r="AN20" s="143"/>
      <c r="AO20" s="135"/>
    </row>
    <row r="21" spans="1:41" ht="14.25" customHeight="1" x14ac:dyDescent="0.4">
      <c r="A21" s="12" t="s">
        <v>438</v>
      </c>
      <c r="B21" s="13">
        <v>1</v>
      </c>
      <c r="C21" s="14" t="s">
        <v>38</v>
      </c>
      <c r="D21" s="15" t="s">
        <v>1237</v>
      </c>
      <c r="E21" s="98"/>
      <c r="I21" s="53"/>
      <c r="J21" s="53"/>
      <c r="K21" s="53"/>
      <c r="L21" s="31"/>
      <c r="M21" s="31"/>
      <c r="N21" s="31"/>
      <c r="O21" s="31"/>
      <c r="P21" s="5"/>
      <c r="AD21" s="86" t="s">
        <v>1206</v>
      </c>
      <c r="AE21" s="29">
        <f t="shared" si="11"/>
        <v>7.666666666666667</v>
      </c>
      <c r="AF21" s="29">
        <f t="shared" si="12"/>
        <v>-36</v>
      </c>
      <c r="AG21" s="29">
        <f t="shared" si="13"/>
        <v>4.2222222222222214</v>
      </c>
      <c r="AH21" s="29">
        <f t="shared" si="14"/>
        <v>15.777777777777779</v>
      </c>
      <c r="AI21" s="29">
        <f t="shared" si="15"/>
        <v>-77.333333333333343</v>
      </c>
      <c r="AJ21" s="29">
        <f t="shared" si="16"/>
        <v>4</v>
      </c>
      <c r="AK21" s="29">
        <f t="shared" si="17"/>
        <v>54.444444444444443</v>
      </c>
      <c r="AL21" s="29">
        <f t="shared" si="18"/>
        <v>-42.222222222222221</v>
      </c>
      <c r="AM21" s="67">
        <f t="shared" si="19"/>
        <v>-69.444444444444457</v>
      </c>
      <c r="AN21" s="143"/>
      <c r="AO21" s="135"/>
    </row>
    <row r="22" spans="1:41" ht="14.25" customHeight="1" x14ac:dyDescent="0.4">
      <c r="A22" s="12" t="s">
        <v>438</v>
      </c>
      <c r="B22" s="13">
        <v>1</v>
      </c>
      <c r="C22" s="14" t="s">
        <v>734</v>
      </c>
      <c r="D22" s="15" t="s">
        <v>1237</v>
      </c>
      <c r="E22" s="98"/>
      <c r="F22" s="86" t="s">
        <v>14</v>
      </c>
      <c r="G22" s="33" t="s">
        <v>15</v>
      </c>
      <c r="I22" s="53"/>
      <c r="J22" s="53"/>
      <c r="K22" s="53"/>
      <c r="L22" s="31"/>
      <c r="M22" s="31"/>
      <c r="N22" s="31"/>
      <c r="P22" s="86" t="s">
        <v>14</v>
      </c>
      <c r="Q22" s="33" t="s">
        <v>18</v>
      </c>
      <c r="AD22" s="86" t="s">
        <v>41</v>
      </c>
      <c r="AE22" s="29">
        <f t="shared" si="11"/>
        <v>15.333333333333334</v>
      </c>
      <c r="AF22" s="29">
        <f t="shared" si="12"/>
        <v>-48</v>
      </c>
      <c r="AG22" s="29">
        <f t="shared" si="13"/>
        <v>6.333333333333333</v>
      </c>
      <c r="AH22" s="29">
        <f t="shared" si="14"/>
        <v>23.666666666666668</v>
      </c>
      <c r="AI22" s="29">
        <f t="shared" si="15"/>
        <v>-64.444444444444443</v>
      </c>
      <c r="AJ22" s="29">
        <f t="shared" si="16"/>
        <v>7.1999999999999993</v>
      </c>
      <c r="AK22" s="29">
        <f t="shared" si="17"/>
        <v>40.833333333333329</v>
      </c>
      <c r="AL22" s="29">
        <f t="shared" si="18"/>
        <v>-26.388888888888889</v>
      </c>
      <c r="AM22" s="67">
        <f t="shared" si="19"/>
        <v>-45.466666666666669</v>
      </c>
      <c r="AN22" s="143"/>
      <c r="AO22" s="135"/>
    </row>
    <row r="23" spans="1:41" ht="14.25" customHeight="1" x14ac:dyDescent="0.4">
      <c r="A23" s="12" t="s">
        <v>734</v>
      </c>
      <c r="B23" s="13">
        <v>1</v>
      </c>
      <c r="C23" s="14" t="s">
        <v>438</v>
      </c>
      <c r="D23" s="15" t="s">
        <v>1238</v>
      </c>
      <c r="E23" s="98"/>
      <c r="F23" s="86" t="s">
        <v>438</v>
      </c>
      <c r="G23" s="89">
        <f>$G$8</f>
        <v>31</v>
      </c>
      <c r="I23" s="53"/>
      <c r="J23" s="53"/>
      <c r="K23" s="53"/>
      <c r="L23" s="31"/>
      <c r="M23" s="31"/>
      <c r="N23" s="31"/>
      <c r="P23" s="86" t="s">
        <v>734</v>
      </c>
      <c r="Q23" s="60">
        <f>$J$11</f>
        <v>47</v>
      </c>
      <c r="AD23" s="86" t="s">
        <v>38</v>
      </c>
      <c r="AE23" s="29">
        <f t="shared" si="11"/>
        <v>184</v>
      </c>
      <c r="AF23" s="29">
        <f t="shared" si="12"/>
        <v>-66</v>
      </c>
      <c r="AG23" s="29">
        <f t="shared" si="13"/>
        <v>55.272727272727266</v>
      </c>
      <c r="AH23" s="29">
        <f t="shared" si="14"/>
        <v>0</v>
      </c>
      <c r="AI23" s="29">
        <f t="shared" si="15"/>
        <v>0</v>
      </c>
      <c r="AJ23" s="29">
        <f t="shared" si="16"/>
        <v>0</v>
      </c>
      <c r="AK23" s="29">
        <f t="shared" si="17"/>
        <v>0</v>
      </c>
      <c r="AL23" s="29">
        <f t="shared" si="18"/>
        <v>0</v>
      </c>
      <c r="AM23" s="67">
        <f t="shared" si="19"/>
        <v>173.27272727272725</v>
      </c>
      <c r="AN23" s="143"/>
      <c r="AO23" s="135"/>
    </row>
    <row r="24" spans="1:41" ht="14.25" customHeight="1" x14ac:dyDescent="0.4">
      <c r="A24" s="12" t="s">
        <v>734</v>
      </c>
      <c r="B24" s="13">
        <v>1</v>
      </c>
      <c r="C24" s="14" t="s">
        <v>38</v>
      </c>
      <c r="D24" s="15" t="s">
        <v>1238</v>
      </c>
      <c r="E24" s="98"/>
      <c r="F24" s="86" t="s">
        <v>734</v>
      </c>
      <c r="G24" s="89">
        <f>$G$11</f>
        <v>31</v>
      </c>
      <c r="I24" s="53"/>
      <c r="J24" s="53"/>
      <c r="K24" s="53"/>
      <c r="L24" s="31"/>
      <c r="M24" s="31"/>
      <c r="N24" s="31"/>
      <c r="P24" s="86" t="s">
        <v>438</v>
      </c>
      <c r="Q24" s="60">
        <f>$J$8</f>
        <v>43</v>
      </c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86" t="s">
        <v>438</v>
      </c>
      <c r="AE24" s="29">
        <f t="shared" si="11"/>
        <v>237.66666666666669</v>
      </c>
      <c r="AF24" s="29">
        <f t="shared" si="12"/>
        <v>-138</v>
      </c>
      <c r="AG24" s="29">
        <f t="shared" si="13"/>
        <v>34.144927536231883</v>
      </c>
      <c r="AH24" s="29">
        <f t="shared" si="14"/>
        <v>339.22222222222223</v>
      </c>
      <c r="AI24" s="29">
        <f t="shared" si="15"/>
        <v>-193.33333333333334</v>
      </c>
      <c r="AJ24" s="29">
        <f t="shared" si="16"/>
        <v>34.4</v>
      </c>
      <c r="AK24" s="29">
        <f t="shared" si="17"/>
        <v>37.759856630824373</v>
      </c>
      <c r="AL24" s="29">
        <f t="shared" si="18"/>
        <v>-27.536231884057973</v>
      </c>
      <c r="AM24" s="67">
        <f t="shared" si="19"/>
        <v>324.3241078385538</v>
      </c>
      <c r="AN24" s="143"/>
      <c r="AO24" s="135"/>
    </row>
    <row r="25" spans="1:41" ht="14.25" customHeight="1" x14ac:dyDescent="0.4">
      <c r="A25" s="12" t="s">
        <v>38</v>
      </c>
      <c r="B25" s="13">
        <v>1</v>
      </c>
      <c r="C25" s="14" t="s">
        <v>734</v>
      </c>
      <c r="D25" s="15" t="s">
        <v>1239</v>
      </c>
      <c r="E25" s="98"/>
      <c r="F25" s="86" t="s">
        <v>38</v>
      </c>
      <c r="G25" s="89">
        <f>$G$7</f>
        <v>24</v>
      </c>
      <c r="I25" s="53"/>
      <c r="J25" s="53"/>
      <c r="K25" s="53"/>
      <c r="L25" s="31"/>
      <c r="M25" s="31"/>
      <c r="N25" s="31"/>
      <c r="P25" s="86" t="s">
        <v>38</v>
      </c>
      <c r="Q25" s="60">
        <f>$J$7</f>
        <v>0</v>
      </c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86" t="s">
        <v>441</v>
      </c>
      <c r="AE25" s="29">
        <f t="shared" si="11"/>
        <v>7.666666666666667</v>
      </c>
      <c r="AF25" s="29">
        <f t="shared" si="12"/>
        <v>-42</v>
      </c>
      <c r="AG25" s="29">
        <f t="shared" si="13"/>
        <v>3.6190476190476186</v>
      </c>
      <c r="AH25" s="29">
        <f t="shared" si="14"/>
        <v>15.777777777777779</v>
      </c>
      <c r="AI25" s="29">
        <f t="shared" si="15"/>
        <v>-64.444444444444443</v>
      </c>
      <c r="AJ25" s="29">
        <f t="shared" si="16"/>
        <v>4.8000000000000007</v>
      </c>
      <c r="AK25" s="29">
        <f t="shared" si="17"/>
        <v>54.444444444444443</v>
      </c>
      <c r="AL25" s="29">
        <f t="shared" si="18"/>
        <v>-30.158730158730158</v>
      </c>
      <c r="AM25" s="67">
        <f t="shared" si="19"/>
        <v>-50.295238095238098</v>
      </c>
      <c r="AN25" s="143"/>
      <c r="AO25" s="135"/>
    </row>
    <row r="26" spans="1:41" ht="14.25" customHeight="1" x14ac:dyDescent="0.4">
      <c r="A26" s="12" t="s">
        <v>38</v>
      </c>
      <c r="B26" s="13">
        <v>1</v>
      </c>
      <c r="C26" s="14" t="s">
        <v>438</v>
      </c>
      <c r="D26" s="15" t="s">
        <v>1239</v>
      </c>
      <c r="E26" s="98"/>
      <c r="F26" s="86" t="s">
        <v>39</v>
      </c>
      <c r="G26" s="89">
        <f>$G$13</f>
        <v>20</v>
      </c>
      <c r="I26" s="53"/>
      <c r="J26" s="53"/>
      <c r="K26" s="53"/>
      <c r="L26" s="31"/>
      <c r="M26" s="31"/>
      <c r="N26" s="31"/>
      <c r="P26" s="86" t="s">
        <v>39</v>
      </c>
      <c r="Q26" s="60">
        <f>$J$13</f>
        <v>28</v>
      </c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86" t="s">
        <v>36</v>
      </c>
      <c r="AE26" s="29">
        <f t="shared" si="11"/>
        <v>30.666666666666668</v>
      </c>
      <c r="AF26" s="29">
        <f t="shared" si="12"/>
        <v>-42</v>
      </c>
      <c r="AG26" s="29">
        <f t="shared" si="13"/>
        <v>14.476190476190474</v>
      </c>
      <c r="AH26" s="29">
        <f t="shared" si="14"/>
        <v>47.333333333333336</v>
      </c>
      <c r="AI26" s="29">
        <f t="shared" si="15"/>
        <v>-77.333333333333343</v>
      </c>
      <c r="AJ26" s="29">
        <f t="shared" si="16"/>
        <v>12</v>
      </c>
      <c r="AK26" s="29">
        <f t="shared" si="17"/>
        <v>40.833333333333329</v>
      </c>
      <c r="AL26" s="29">
        <f t="shared" si="18"/>
        <v>-36.19047619047619</v>
      </c>
      <c r="AM26" s="67">
        <f t="shared" si="19"/>
        <v>-10.214285714285722</v>
      </c>
      <c r="AN26" s="143"/>
      <c r="AO26" s="135"/>
    </row>
    <row r="27" spans="1:41" ht="14.25" customHeight="1" x14ac:dyDescent="0.4">
      <c r="A27" s="12" t="s">
        <v>438</v>
      </c>
      <c r="B27" s="13">
        <v>2</v>
      </c>
      <c r="C27" s="14" t="s">
        <v>734</v>
      </c>
      <c r="D27" s="15" t="s">
        <v>1240</v>
      </c>
      <c r="E27" s="98"/>
      <c r="F27" s="86" t="s">
        <v>28</v>
      </c>
      <c r="G27" s="89">
        <f>$G$3</f>
        <v>18</v>
      </c>
      <c r="I27" s="53"/>
      <c r="J27" s="53"/>
      <c r="K27" s="53"/>
      <c r="L27" s="31"/>
      <c r="M27" s="31"/>
      <c r="N27" s="31"/>
      <c r="P27" s="86" t="s">
        <v>28</v>
      </c>
      <c r="Q27" s="60">
        <f>$J$3</f>
        <v>26</v>
      </c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86" t="s">
        <v>734</v>
      </c>
      <c r="AE27" s="29">
        <f t="shared" si="11"/>
        <v>237.66666666666669</v>
      </c>
      <c r="AF27" s="29">
        <f t="shared" si="12"/>
        <v>-144</v>
      </c>
      <c r="AG27" s="29">
        <f t="shared" si="13"/>
        <v>32.722222222222221</v>
      </c>
      <c r="AH27" s="29">
        <f t="shared" si="14"/>
        <v>370.77777777777777</v>
      </c>
      <c r="AI27" s="29">
        <f t="shared" si="15"/>
        <v>-128.88888888888889</v>
      </c>
      <c r="AJ27" s="29">
        <f t="shared" si="16"/>
        <v>56.400000000000006</v>
      </c>
      <c r="AK27" s="29">
        <f t="shared" si="17"/>
        <v>41.272401433691755</v>
      </c>
      <c r="AL27" s="29">
        <f t="shared" si="18"/>
        <v>-17.592592592592592</v>
      </c>
      <c r="AM27" s="67">
        <f t="shared" si="19"/>
        <v>448.35758661887695</v>
      </c>
      <c r="AN27" s="143"/>
      <c r="AO27" s="135"/>
    </row>
    <row r="28" spans="1:41" ht="14.25" customHeight="1" x14ac:dyDescent="0.4">
      <c r="A28" s="12" t="s">
        <v>39</v>
      </c>
      <c r="B28" s="13">
        <v>1</v>
      </c>
      <c r="C28" s="14" t="s">
        <v>438</v>
      </c>
      <c r="D28" s="26" t="s">
        <v>1241</v>
      </c>
      <c r="E28" s="104"/>
      <c r="F28" s="86" t="s">
        <v>730</v>
      </c>
      <c r="G28" s="89">
        <f>$G$14</f>
        <v>13</v>
      </c>
      <c r="I28" s="53"/>
      <c r="J28" s="53"/>
      <c r="K28" s="53"/>
      <c r="L28" s="31"/>
      <c r="M28" s="31"/>
      <c r="N28" s="31"/>
      <c r="P28" s="86" t="s">
        <v>730</v>
      </c>
      <c r="Q28" s="60">
        <f>$J$14</f>
        <v>20</v>
      </c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86" t="s">
        <v>37</v>
      </c>
      <c r="AE28" s="29">
        <f t="shared" si="11"/>
        <v>92</v>
      </c>
      <c r="AF28" s="29">
        <f t="shared" si="12"/>
        <v>-84</v>
      </c>
      <c r="AG28" s="29">
        <f t="shared" si="13"/>
        <v>21.714285714285712</v>
      </c>
      <c r="AH28" s="29">
        <f t="shared" si="14"/>
        <v>134.11111111111111</v>
      </c>
      <c r="AI28" s="29">
        <f t="shared" si="15"/>
        <v>-135.33333333333334</v>
      </c>
      <c r="AJ28" s="29">
        <f t="shared" si="16"/>
        <v>19.428571428571431</v>
      </c>
      <c r="AK28" s="29">
        <f t="shared" si="17"/>
        <v>38.564814814814817</v>
      </c>
      <c r="AL28" s="29">
        <f t="shared" si="18"/>
        <v>-31.666666666666664</v>
      </c>
      <c r="AM28" s="67">
        <f t="shared" si="19"/>
        <v>54.818783068783084</v>
      </c>
      <c r="AN28" s="143"/>
      <c r="AO28" s="135"/>
    </row>
    <row r="29" spans="1:41" ht="14.25" customHeight="1" x14ac:dyDescent="0.4">
      <c r="A29" s="12" t="s">
        <v>38</v>
      </c>
      <c r="B29" s="13">
        <v>2</v>
      </c>
      <c r="C29" s="14" t="s">
        <v>734</v>
      </c>
      <c r="D29" s="15" t="s">
        <v>1242</v>
      </c>
      <c r="E29" s="98"/>
      <c r="F29" s="86" t="s">
        <v>37</v>
      </c>
      <c r="G29" s="89">
        <f>$G$12</f>
        <v>12</v>
      </c>
      <c r="I29" s="53"/>
      <c r="J29" s="53"/>
      <c r="K29" s="53"/>
      <c r="L29" s="31"/>
      <c r="M29" s="31"/>
      <c r="N29" s="31"/>
      <c r="P29" s="86" t="s">
        <v>37</v>
      </c>
      <c r="Q29" s="60">
        <f>$J$12</f>
        <v>17</v>
      </c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86" t="s">
        <v>39</v>
      </c>
      <c r="AE29" s="29">
        <f t="shared" si="11"/>
        <v>153.33333333333334</v>
      </c>
      <c r="AF29" s="29">
        <f t="shared" si="12"/>
        <v>-54</v>
      </c>
      <c r="AG29" s="29">
        <f t="shared" si="13"/>
        <v>56.296296296296298</v>
      </c>
      <c r="AH29" s="29">
        <f t="shared" si="14"/>
        <v>220.88888888888891</v>
      </c>
      <c r="AI29" s="29">
        <f t="shared" si="15"/>
        <v>-70.888888888888886</v>
      </c>
      <c r="AJ29" s="29">
        <f t="shared" si="16"/>
        <v>61.090909090909093</v>
      </c>
      <c r="AK29" s="29">
        <f t="shared" si="17"/>
        <v>38.111111111111107</v>
      </c>
      <c r="AL29" s="29">
        <f t="shared" si="18"/>
        <v>-25.802469135802472</v>
      </c>
      <c r="AM29" s="67">
        <f t="shared" si="19"/>
        <v>379.0291806958474</v>
      </c>
      <c r="AN29" s="143"/>
      <c r="AO29" s="135"/>
    </row>
    <row r="30" spans="1:41" ht="14.25" customHeight="1" x14ac:dyDescent="0.4">
      <c r="A30" s="12" t="s">
        <v>28</v>
      </c>
      <c r="B30" s="13">
        <v>2</v>
      </c>
      <c r="C30" s="14" t="s">
        <v>37</v>
      </c>
      <c r="D30" s="26" t="s">
        <v>1243</v>
      </c>
      <c r="E30" s="104"/>
      <c r="F30" s="86" t="s">
        <v>36</v>
      </c>
      <c r="G30" s="89">
        <f>$G$10</f>
        <v>4</v>
      </c>
      <c r="I30" s="53"/>
      <c r="J30" s="53"/>
      <c r="K30" s="53"/>
      <c r="L30" s="31"/>
      <c r="M30" s="31"/>
      <c r="N30" s="31"/>
      <c r="P30" s="86" t="s">
        <v>36</v>
      </c>
      <c r="Q30" s="60">
        <f>$J$10</f>
        <v>6</v>
      </c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86" t="s">
        <v>730</v>
      </c>
      <c r="AE30" s="29">
        <f t="shared" si="11"/>
        <v>99.666666666666671</v>
      </c>
      <c r="AF30" s="29">
        <f t="shared" si="12"/>
        <v>-90</v>
      </c>
      <c r="AG30" s="29">
        <f t="shared" si="13"/>
        <v>21.955555555555556</v>
      </c>
      <c r="AH30" s="29">
        <f t="shared" si="14"/>
        <v>157.77777777777777</v>
      </c>
      <c r="AI30" s="29">
        <f t="shared" si="15"/>
        <v>-122.44444444444444</v>
      </c>
      <c r="AJ30" s="29">
        <f t="shared" si="16"/>
        <v>25.263157894736842</v>
      </c>
      <c r="AK30" s="29">
        <f t="shared" si="17"/>
        <v>41.880341880341881</v>
      </c>
      <c r="AL30" s="29">
        <f t="shared" si="18"/>
        <v>-26.74074074074074</v>
      </c>
      <c r="AM30" s="67">
        <f t="shared" si="19"/>
        <v>107.35831458989355</v>
      </c>
      <c r="AN30" s="143"/>
      <c r="AO30" s="135"/>
    </row>
    <row r="31" spans="1:41" ht="14.25" customHeight="1" x14ac:dyDescent="0.4">
      <c r="A31" s="12" t="s">
        <v>438</v>
      </c>
      <c r="B31" s="13">
        <v>2</v>
      </c>
      <c r="C31" s="14" t="s">
        <v>37</v>
      </c>
      <c r="D31" s="26" t="s">
        <v>1244</v>
      </c>
      <c r="E31" s="104"/>
      <c r="F31" s="86" t="s">
        <v>41</v>
      </c>
      <c r="G31" s="89">
        <f>$G$6</f>
        <v>2</v>
      </c>
      <c r="I31" s="53"/>
      <c r="J31" s="53"/>
      <c r="K31" s="53"/>
      <c r="L31" s="31"/>
      <c r="M31" s="31"/>
      <c r="N31" s="31"/>
      <c r="P31" s="86" t="s">
        <v>41</v>
      </c>
      <c r="Q31" s="60">
        <f>$J$6</f>
        <v>3</v>
      </c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</row>
    <row r="32" spans="1:41" ht="14.25" customHeight="1" x14ac:dyDescent="0.4">
      <c r="A32" s="12" t="s">
        <v>39</v>
      </c>
      <c r="B32" s="13">
        <v>1</v>
      </c>
      <c r="C32" s="14" t="s">
        <v>38</v>
      </c>
      <c r="D32" s="26" t="s">
        <v>1245</v>
      </c>
      <c r="E32" s="104"/>
      <c r="F32" s="86" t="s">
        <v>441</v>
      </c>
      <c r="G32" s="89">
        <f>$G$9</f>
        <v>1</v>
      </c>
      <c r="I32" s="53"/>
      <c r="J32" s="53"/>
      <c r="K32" s="53"/>
      <c r="L32" s="31"/>
      <c r="M32" s="31"/>
      <c r="N32" s="31"/>
      <c r="P32" s="86" t="s">
        <v>441</v>
      </c>
      <c r="Q32" s="60">
        <f>$J$9</f>
        <v>2</v>
      </c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65" t="s">
        <v>7</v>
      </c>
      <c r="AE32" s="66" t="s">
        <v>98</v>
      </c>
      <c r="AF32" s="66" t="s">
        <v>99</v>
      </c>
    </row>
    <row r="33" spans="1:33" ht="14.25" customHeight="1" x14ac:dyDescent="0.4">
      <c r="A33" s="12" t="s">
        <v>38</v>
      </c>
      <c r="B33" s="13">
        <v>1</v>
      </c>
      <c r="C33" s="14" t="s">
        <v>39</v>
      </c>
      <c r="D33" s="26" t="s">
        <v>1246</v>
      </c>
      <c r="E33" s="104"/>
      <c r="F33" s="86" t="s">
        <v>1206</v>
      </c>
      <c r="G33" s="89">
        <f>$G$5</f>
        <v>1</v>
      </c>
      <c r="I33" s="53"/>
      <c r="J33" s="53"/>
      <c r="K33" s="53"/>
      <c r="L33" s="31"/>
      <c r="M33" s="31"/>
      <c r="N33" s="31"/>
      <c r="P33" s="86" t="s">
        <v>1206</v>
      </c>
      <c r="Q33" s="60">
        <f>$J$5</f>
        <v>2</v>
      </c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86" t="s">
        <v>38</v>
      </c>
      <c r="AE33" s="67">
        <f>$AM$23</f>
        <v>173.27272727272725</v>
      </c>
      <c r="AF33" s="67">
        <f t="shared" ref="AF33:AF44" si="20">AE33-($AE$44)</f>
        <v>341.54433221099885</v>
      </c>
      <c r="AG33" s="52">
        <v>1</v>
      </c>
    </row>
    <row r="34" spans="1:33" ht="14.25" customHeight="1" x14ac:dyDescent="0.4">
      <c r="A34" s="12" t="s">
        <v>38</v>
      </c>
      <c r="B34" s="13">
        <v>1</v>
      </c>
      <c r="C34" s="14" t="s">
        <v>438</v>
      </c>
      <c r="D34" s="26" t="s">
        <v>1247</v>
      </c>
      <c r="E34" s="104"/>
      <c r="F34" s="86" t="s">
        <v>33</v>
      </c>
      <c r="G34" s="89">
        <f>$G$4</f>
        <v>0</v>
      </c>
      <c r="I34" s="53"/>
      <c r="J34" s="53"/>
      <c r="K34" s="53"/>
      <c r="L34" s="31"/>
      <c r="M34" s="31"/>
      <c r="N34" s="31"/>
      <c r="P34" s="86" t="s">
        <v>33</v>
      </c>
      <c r="Q34" s="60">
        <f>$J$4</f>
        <v>0</v>
      </c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86" t="s">
        <v>39</v>
      </c>
      <c r="AE34" s="67">
        <f>$AM$29</f>
        <v>379.0291806958474</v>
      </c>
      <c r="AF34" s="67">
        <f t="shared" si="20"/>
        <v>547.30078563411894</v>
      </c>
      <c r="AG34" s="52">
        <v>2</v>
      </c>
    </row>
    <row r="35" spans="1:33" ht="14.25" customHeight="1" x14ac:dyDescent="0.4">
      <c r="A35" s="12" t="s">
        <v>38</v>
      </c>
      <c r="B35" s="13">
        <v>1</v>
      </c>
      <c r="C35" s="14" t="s">
        <v>734</v>
      </c>
      <c r="D35" s="15" t="s">
        <v>1248</v>
      </c>
      <c r="E35" s="98"/>
      <c r="I35" s="53"/>
      <c r="J35" s="53"/>
      <c r="K35" s="53"/>
      <c r="L35" s="31"/>
      <c r="M35" s="31"/>
      <c r="N35" s="31"/>
      <c r="O35" s="31"/>
      <c r="P35" s="5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86" t="s">
        <v>734</v>
      </c>
      <c r="AE35" s="67">
        <f>$AM$27</f>
        <v>448.35758661887695</v>
      </c>
      <c r="AF35" s="67">
        <f t="shared" si="20"/>
        <v>616.62919155714849</v>
      </c>
      <c r="AG35" s="52">
        <v>3</v>
      </c>
    </row>
    <row r="36" spans="1:33" ht="14.25" customHeight="1" x14ac:dyDescent="0.4">
      <c r="A36" s="12" t="s">
        <v>438</v>
      </c>
      <c r="B36" s="13">
        <v>1</v>
      </c>
      <c r="C36" s="14" t="s">
        <v>38</v>
      </c>
      <c r="D36" s="26" t="s">
        <v>1249</v>
      </c>
      <c r="E36" s="104"/>
      <c r="F36" s="86" t="s">
        <v>14</v>
      </c>
      <c r="G36" s="33" t="s">
        <v>16</v>
      </c>
      <c r="I36" s="53"/>
      <c r="J36" s="53"/>
      <c r="K36" s="53"/>
      <c r="L36" s="31"/>
      <c r="M36" s="31"/>
      <c r="N36" s="31"/>
      <c r="P36" s="86" t="s">
        <v>14</v>
      </c>
      <c r="Q36" s="33" t="s">
        <v>19</v>
      </c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86" t="s">
        <v>438</v>
      </c>
      <c r="AE36" s="67">
        <f>$AM$24</f>
        <v>324.3241078385538</v>
      </c>
      <c r="AF36" s="67">
        <f t="shared" si="20"/>
        <v>492.59571277682539</v>
      </c>
      <c r="AG36" s="52">
        <v>4</v>
      </c>
    </row>
    <row r="37" spans="1:33" ht="14.25" customHeight="1" x14ac:dyDescent="0.4">
      <c r="A37" s="12" t="s">
        <v>438</v>
      </c>
      <c r="B37" s="13">
        <v>2</v>
      </c>
      <c r="C37" s="14" t="s">
        <v>734</v>
      </c>
      <c r="D37" s="15" t="s">
        <v>1250</v>
      </c>
      <c r="E37" s="98"/>
      <c r="F37" s="86" t="s">
        <v>734</v>
      </c>
      <c r="G37" s="61">
        <f>$H$11</f>
        <v>24</v>
      </c>
      <c r="I37" s="53"/>
      <c r="J37" s="53"/>
      <c r="K37" s="53"/>
      <c r="L37" s="31"/>
      <c r="M37" s="31"/>
      <c r="N37" s="31"/>
      <c r="P37" s="86" t="s">
        <v>28</v>
      </c>
      <c r="Q37" s="61">
        <f>$K$3</f>
        <v>36</v>
      </c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86" t="s">
        <v>730</v>
      </c>
      <c r="AE37" s="67">
        <f>$AM$30</f>
        <v>107.35831458989355</v>
      </c>
      <c r="AF37" s="67">
        <f t="shared" si="20"/>
        <v>275.62991952816515</v>
      </c>
      <c r="AG37" s="52">
        <v>5</v>
      </c>
    </row>
    <row r="38" spans="1:33" ht="14.25" customHeight="1" x14ac:dyDescent="0.4">
      <c r="A38" s="12" t="s">
        <v>39</v>
      </c>
      <c r="B38" s="13">
        <v>1</v>
      </c>
      <c r="C38" s="14" t="s">
        <v>37</v>
      </c>
      <c r="D38" s="26" t="s">
        <v>1251</v>
      </c>
      <c r="E38" s="104"/>
      <c r="F38" s="86" t="s">
        <v>28</v>
      </c>
      <c r="G38" s="61">
        <f>$H$3</f>
        <v>24</v>
      </c>
      <c r="I38" s="53"/>
      <c r="J38" s="53"/>
      <c r="K38" s="53"/>
      <c r="L38" s="31"/>
      <c r="M38" s="31"/>
      <c r="N38" s="31"/>
      <c r="P38" s="86" t="s">
        <v>734</v>
      </c>
      <c r="Q38" s="61">
        <f>$K$11</f>
        <v>20</v>
      </c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86" t="s">
        <v>37</v>
      </c>
      <c r="AE38" s="67">
        <f>$AM$28</f>
        <v>54.818783068783084</v>
      </c>
      <c r="AF38" s="67">
        <f t="shared" si="20"/>
        <v>223.09038800705468</v>
      </c>
      <c r="AG38" s="52">
        <v>6</v>
      </c>
    </row>
    <row r="39" spans="1:33" ht="14.25" customHeight="1" x14ac:dyDescent="0.4">
      <c r="A39" s="12" t="s">
        <v>438</v>
      </c>
      <c r="B39" s="13">
        <v>1</v>
      </c>
      <c r="C39" s="14" t="s">
        <v>36</v>
      </c>
      <c r="D39" s="26" t="s">
        <v>1252</v>
      </c>
      <c r="E39" s="104"/>
      <c r="F39" s="86" t="s">
        <v>438</v>
      </c>
      <c r="G39" s="61">
        <f>$H$8</f>
        <v>23</v>
      </c>
      <c r="I39" s="53"/>
      <c r="J39" s="53"/>
      <c r="K39" s="53"/>
      <c r="L39" s="31"/>
      <c r="M39" s="31"/>
      <c r="N39" s="31"/>
      <c r="P39" s="86" t="s">
        <v>438</v>
      </c>
      <c r="Q39" s="61">
        <f>$K$8</f>
        <v>30</v>
      </c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86" t="s">
        <v>36</v>
      </c>
      <c r="AE39" s="67">
        <f>$AM$26</f>
        <v>-10.214285714285722</v>
      </c>
      <c r="AF39" s="67">
        <f t="shared" si="20"/>
        <v>158.05731922398587</v>
      </c>
      <c r="AG39" s="52">
        <v>7</v>
      </c>
    </row>
    <row r="40" spans="1:33" ht="14.25" customHeight="1" x14ac:dyDescent="0.4">
      <c r="A40" s="12" t="s">
        <v>734</v>
      </c>
      <c r="B40" s="13">
        <v>2</v>
      </c>
      <c r="C40" s="14" t="s">
        <v>38</v>
      </c>
      <c r="D40" s="26" t="s">
        <v>1253</v>
      </c>
      <c r="E40" s="104"/>
      <c r="F40" s="86" t="s">
        <v>730</v>
      </c>
      <c r="G40" s="61">
        <f>$H$14</f>
        <v>15</v>
      </c>
      <c r="I40" s="53"/>
      <c r="J40" s="53"/>
      <c r="K40" s="53"/>
      <c r="L40" s="31"/>
      <c r="M40" s="31"/>
      <c r="N40" s="31"/>
      <c r="P40" s="86" t="s">
        <v>730</v>
      </c>
      <c r="Q40" s="61">
        <f>$K$14</f>
        <v>19</v>
      </c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86" t="s">
        <v>28</v>
      </c>
      <c r="AE40" s="67">
        <f>$AM$19</f>
        <v>11.098765432098766</v>
      </c>
      <c r="AF40" s="67">
        <f t="shared" si="20"/>
        <v>179.37037037037035</v>
      </c>
      <c r="AG40" s="52">
        <v>8</v>
      </c>
    </row>
    <row r="41" spans="1:33" ht="14.25" customHeight="1" x14ac:dyDescent="0.4">
      <c r="A41" s="12" t="s">
        <v>38</v>
      </c>
      <c r="B41" s="13">
        <v>2</v>
      </c>
      <c r="C41" s="14" t="s">
        <v>734</v>
      </c>
      <c r="D41" s="15" t="s">
        <v>1254</v>
      </c>
      <c r="E41" s="98"/>
      <c r="F41" s="86" t="s">
        <v>37</v>
      </c>
      <c r="G41" s="61">
        <f>$H$12</f>
        <v>14</v>
      </c>
      <c r="I41" s="53"/>
      <c r="J41" s="53"/>
      <c r="K41" s="53"/>
      <c r="L41" s="31"/>
      <c r="M41" s="31"/>
      <c r="N41" s="31"/>
      <c r="P41" s="86" t="s">
        <v>37</v>
      </c>
      <c r="Q41" s="61">
        <f>$K$12</f>
        <v>21</v>
      </c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86" t="s">
        <v>41</v>
      </c>
      <c r="AE41" s="67">
        <f>$AM$22</f>
        <v>-45.466666666666669</v>
      </c>
      <c r="AF41" s="67">
        <f t="shared" si="20"/>
        <v>122.80493827160493</v>
      </c>
      <c r="AG41" s="52">
        <v>9</v>
      </c>
    </row>
    <row r="42" spans="1:33" ht="14.25" customHeight="1" x14ac:dyDescent="0.4">
      <c r="A42" s="12" t="s">
        <v>734</v>
      </c>
      <c r="B42" s="13">
        <v>2</v>
      </c>
      <c r="C42" s="14" t="s">
        <v>438</v>
      </c>
      <c r="D42" s="26" t="s">
        <v>1255</v>
      </c>
      <c r="E42" s="104"/>
      <c r="F42" s="86" t="s">
        <v>38</v>
      </c>
      <c r="G42" s="61">
        <f>$H$7</f>
        <v>11</v>
      </c>
      <c r="I42" s="53"/>
      <c r="J42" s="53"/>
      <c r="K42" s="53"/>
      <c r="L42" s="31"/>
      <c r="M42" s="31"/>
      <c r="N42" s="31"/>
      <c r="P42" s="86" t="s">
        <v>33</v>
      </c>
      <c r="Q42" s="61">
        <f>$K$4</f>
        <v>13</v>
      </c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86" t="s">
        <v>1206</v>
      </c>
      <c r="AE42" s="67">
        <f>$AM$21</f>
        <v>-69.444444444444457</v>
      </c>
      <c r="AF42" s="67">
        <f t="shared" si="20"/>
        <v>98.827160493827137</v>
      </c>
      <c r="AG42" s="52">
        <v>10</v>
      </c>
    </row>
    <row r="43" spans="1:33" ht="14.25" customHeight="1" x14ac:dyDescent="0.4">
      <c r="A43" s="12" t="s">
        <v>438</v>
      </c>
      <c r="B43" s="13">
        <v>2</v>
      </c>
      <c r="C43" s="14" t="s">
        <v>28</v>
      </c>
      <c r="D43" s="26" t="s">
        <v>1256</v>
      </c>
      <c r="E43" s="104"/>
      <c r="F43" s="86" t="s">
        <v>39</v>
      </c>
      <c r="G43" s="61">
        <f>$H$13</f>
        <v>9</v>
      </c>
      <c r="I43" s="53"/>
      <c r="J43" s="53"/>
      <c r="K43" s="53"/>
      <c r="L43" s="31"/>
      <c r="M43" s="31"/>
      <c r="N43" s="31"/>
      <c r="P43" s="86" t="s">
        <v>38</v>
      </c>
      <c r="Q43" s="61">
        <f>$K$7</f>
        <v>0</v>
      </c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86" t="s">
        <v>441</v>
      </c>
      <c r="AE43" s="67">
        <f>$AM$25</f>
        <v>-50.295238095238098</v>
      </c>
      <c r="AF43" s="67">
        <f t="shared" si="20"/>
        <v>117.9763668430335</v>
      </c>
      <c r="AG43" s="52">
        <v>11</v>
      </c>
    </row>
    <row r="44" spans="1:33" ht="14.25" customHeight="1" x14ac:dyDescent="0.4">
      <c r="A44" s="12" t="s">
        <v>734</v>
      </c>
      <c r="B44" s="13">
        <v>1</v>
      </c>
      <c r="C44" s="14" t="s">
        <v>28</v>
      </c>
      <c r="D44" s="26" t="s">
        <v>1257</v>
      </c>
      <c r="E44" s="104"/>
      <c r="F44" s="86" t="s">
        <v>33</v>
      </c>
      <c r="G44" s="61">
        <f>$H$4</f>
        <v>9</v>
      </c>
      <c r="I44" s="53"/>
      <c r="J44" s="53"/>
      <c r="K44" s="53"/>
      <c r="L44" s="31"/>
      <c r="M44" s="31"/>
      <c r="N44" s="31"/>
      <c r="P44" s="86" t="s">
        <v>441</v>
      </c>
      <c r="Q44" s="61">
        <f>$K$9</f>
        <v>10</v>
      </c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86" t="s">
        <v>33</v>
      </c>
      <c r="AE44" s="67">
        <f>$AM$20</f>
        <v>-168.27160493827159</v>
      </c>
      <c r="AF44" s="67">
        <f t="shared" si="20"/>
        <v>0</v>
      </c>
      <c r="AG44" s="52">
        <v>12</v>
      </c>
    </row>
    <row r="45" spans="1:33" ht="14.25" customHeight="1" x14ac:dyDescent="0.4">
      <c r="A45" s="12" t="s">
        <v>28</v>
      </c>
      <c r="B45" s="13">
        <v>1</v>
      </c>
      <c r="C45" s="14" t="s">
        <v>734</v>
      </c>
      <c r="D45" s="15" t="s">
        <v>1258</v>
      </c>
      <c r="E45" s="98"/>
      <c r="F45" s="86" t="s">
        <v>41</v>
      </c>
      <c r="G45" s="61">
        <f>$H$6</f>
        <v>8</v>
      </c>
      <c r="I45" s="53"/>
      <c r="J45" s="53"/>
      <c r="K45" s="53"/>
      <c r="L45" s="31"/>
      <c r="M45" s="31"/>
      <c r="N45" s="31"/>
      <c r="P45" s="86" t="s">
        <v>39</v>
      </c>
      <c r="Q45" s="61">
        <f>$K$13</f>
        <v>11</v>
      </c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</row>
    <row r="46" spans="1:33" ht="14.25" customHeight="1" x14ac:dyDescent="0.4">
      <c r="A46" s="12" t="s">
        <v>438</v>
      </c>
      <c r="B46" s="13">
        <v>1</v>
      </c>
      <c r="C46" s="14" t="s">
        <v>734</v>
      </c>
      <c r="D46" s="26" t="s">
        <v>1259</v>
      </c>
      <c r="E46" s="104"/>
      <c r="F46" s="86" t="s">
        <v>36</v>
      </c>
      <c r="G46" s="61">
        <f>$H$10</f>
        <v>7</v>
      </c>
      <c r="I46" s="53"/>
      <c r="J46" s="53"/>
      <c r="K46" s="53"/>
      <c r="L46" s="31"/>
      <c r="M46" s="31"/>
      <c r="N46" s="31"/>
      <c r="P46" s="86" t="s">
        <v>36</v>
      </c>
      <c r="Q46" s="61">
        <f>$K$10</f>
        <v>12</v>
      </c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</row>
    <row r="47" spans="1:33" ht="14.25" customHeight="1" x14ac:dyDescent="0.4">
      <c r="A47" s="12" t="s">
        <v>734</v>
      </c>
      <c r="B47" s="13">
        <v>1</v>
      </c>
      <c r="C47" s="14" t="s">
        <v>438</v>
      </c>
      <c r="D47" s="26" t="s">
        <v>1260</v>
      </c>
      <c r="E47" s="104"/>
      <c r="F47" s="86" t="s">
        <v>441</v>
      </c>
      <c r="G47" s="61">
        <f>$H$9</f>
        <v>7</v>
      </c>
      <c r="I47" s="53"/>
      <c r="J47" s="53"/>
      <c r="K47" s="53"/>
      <c r="L47" s="31"/>
      <c r="M47" s="31"/>
      <c r="N47" s="31"/>
      <c r="P47" s="86" t="s">
        <v>1206</v>
      </c>
      <c r="Q47" s="61">
        <f>$K$5</f>
        <v>12</v>
      </c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</row>
    <row r="48" spans="1:33" ht="14.25" customHeight="1" x14ac:dyDescent="0.4">
      <c r="A48" s="12" t="s">
        <v>734</v>
      </c>
      <c r="B48" s="13">
        <v>2</v>
      </c>
      <c r="C48" s="14" t="s">
        <v>441</v>
      </c>
      <c r="D48" s="26" t="s">
        <v>1261</v>
      </c>
      <c r="E48" s="104"/>
      <c r="F48" s="86" t="s">
        <v>1206</v>
      </c>
      <c r="G48" s="61">
        <f>$H$5</f>
        <v>6</v>
      </c>
      <c r="I48" s="53"/>
      <c r="J48" s="53"/>
      <c r="K48" s="53"/>
      <c r="L48" s="31"/>
      <c r="M48" s="31"/>
      <c r="N48" s="31"/>
      <c r="P48" s="86" t="s">
        <v>41</v>
      </c>
      <c r="Q48" s="61">
        <f>$K$6</f>
        <v>10</v>
      </c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</row>
    <row r="49" spans="1:39" ht="14.25" customHeight="1" x14ac:dyDescent="0.4">
      <c r="A49" s="12" t="s">
        <v>39</v>
      </c>
      <c r="B49" s="13">
        <v>2</v>
      </c>
      <c r="C49" s="14" t="s">
        <v>36</v>
      </c>
      <c r="D49" s="26" t="s">
        <v>1262</v>
      </c>
      <c r="E49" s="104"/>
      <c r="I49" s="53"/>
      <c r="J49" s="53"/>
      <c r="K49" s="53"/>
      <c r="L49" s="31"/>
      <c r="M49" s="31"/>
      <c r="N49" s="31"/>
      <c r="O49" s="31"/>
      <c r="P49" s="5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</row>
    <row r="50" spans="1:39" ht="14.25" customHeight="1" x14ac:dyDescent="0.4">
      <c r="A50" s="12" t="s">
        <v>730</v>
      </c>
      <c r="B50" s="13">
        <v>1</v>
      </c>
      <c r="C50" s="14" t="s">
        <v>41</v>
      </c>
      <c r="D50" s="26" t="s">
        <v>1263</v>
      </c>
      <c r="E50" s="104"/>
      <c r="F50" s="86" t="s">
        <v>14</v>
      </c>
      <c r="G50" s="33" t="s">
        <v>17</v>
      </c>
      <c r="I50" s="53"/>
      <c r="J50" s="53"/>
      <c r="K50" s="53"/>
      <c r="L50" s="31"/>
      <c r="M50" s="31"/>
      <c r="N50" s="31"/>
      <c r="P50" s="86" t="s">
        <v>14</v>
      </c>
      <c r="Q50" s="33" t="s">
        <v>20</v>
      </c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</row>
    <row r="51" spans="1:39" ht="14.25" customHeight="1" x14ac:dyDescent="0.4">
      <c r="A51" s="12" t="s">
        <v>41</v>
      </c>
      <c r="B51" s="13">
        <v>1</v>
      </c>
      <c r="C51" s="14" t="s">
        <v>730</v>
      </c>
      <c r="D51" s="26" t="s">
        <v>1264</v>
      </c>
      <c r="E51" s="104"/>
      <c r="F51" s="86" t="s">
        <v>39</v>
      </c>
      <c r="G51" s="90">
        <f>$I$13</f>
        <v>2.2222222222222223</v>
      </c>
      <c r="I51" s="53"/>
      <c r="J51" s="53"/>
      <c r="K51" s="53"/>
      <c r="L51" s="31"/>
      <c r="M51" s="31"/>
      <c r="N51" s="31"/>
      <c r="P51" s="86" t="s">
        <v>38</v>
      </c>
      <c r="Q51" s="90">
        <f>$L$7</f>
        <v>0</v>
      </c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35" t="s">
        <v>123</v>
      </c>
      <c r="AE51" s="85" t="s">
        <v>15</v>
      </c>
      <c r="AF51" s="85" t="s">
        <v>16</v>
      </c>
      <c r="AG51" s="85" t="s">
        <v>17</v>
      </c>
      <c r="AH51" s="85" t="s">
        <v>18</v>
      </c>
      <c r="AI51" s="85" t="s">
        <v>19</v>
      </c>
      <c r="AJ51" s="85" t="s">
        <v>20</v>
      </c>
      <c r="AK51" s="85" t="s">
        <v>21</v>
      </c>
      <c r="AL51" s="85" t="s">
        <v>22</v>
      </c>
    </row>
    <row r="52" spans="1:39" ht="14.25" customHeight="1" x14ac:dyDescent="0.4">
      <c r="A52" s="12" t="s">
        <v>39</v>
      </c>
      <c r="B52" s="13">
        <v>2</v>
      </c>
      <c r="C52" s="14" t="s">
        <v>730</v>
      </c>
      <c r="D52" s="26" t="s">
        <v>1265</v>
      </c>
      <c r="E52" s="104"/>
      <c r="F52" s="86" t="s">
        <v>38</v>
      </c>
      <c r="G52" s="90">
        <f>$I$7</f>
        <v>2.1818181818181817</v>
      </c>
      <c r="I52" s="53"/>
      <c r="J52" s="53"/>
      <c r="K52" s="53"/>
      <c r="L52" s="31"/>
      <c r="M52" s="31"/>
      <c r="N52" s="31"/>
      <c r="P52" s="86" t="s">
        <v>39</v>
      </c>
      <c r="Q52" s="90">
        <f>$L$13</f>
        <v>2.5454545454545454</v>
      </c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27" t="s">
        <v>65</v>
      </c>
      <c r="AE52" s="44">
        <f>(20+18+16+4+5+6)/9</f>
        <v>7.666666666666667</v>
      </c>
      <c r="AF52" s="44">
        <f>-(9+5+6+7+8+9+10)/9</f>
        <v>-6</v>
      </c>
      <c r="AG52" s="44">
        <f>4*(3+15+6+14+9+10)/9</f>
        <v>25.333333333333332</v>
      </c>
      <c r="AH52" s="44">
        <f>(30+9+24+7+1)/9</f>
        <v>7.8888888888888893</v>
      </c>
      <c r="AI52" s="44">
        <f>-(3+15+14+8+18)/9</f>
        <v>-6.4444444444444446</v>
      </c>
      <c r="AJ52" s="44">
        <f>4*(10+18+8+12+6)/9</f>
        <v>24</v>
      </c>
      <c r="AK52" s="44">
        <f>5*(35+14)/9</f>
        <v>27.222222222222221</v>
      </c>
      <c r="AL52" s="44">
        <f>-5*(1+4+3+4+10+7+9)/9</f>
        <v>-21.111111111111111</v>
      </c>
      <c r="AM52" s="105" t="s">
        <v>1203</v>
      </c>
    </row>
    <row r="53" spans="1:39" ht="14.25" customHeight="1" x14ac:dyDescent="0.4">
      <c r="A53" s="12" t="s">
        <v>734</v>
      </c>
      <c r="B53" s="13">
        <v>2</v>
      </c>
      <c r="C53" s="14" t="s">
        <v>36</v>
      </c>
      <c r="D53" s="26" t="s">
        <v>1266</v>
      </c>
      <c r="E53" s="104"/>
      <c r="F53" s="86" t="s">
        <v>438</v>
      </c>
      <c r="G53" s="90">
        <f>$I$8</f>
        <v>1.3478260869565217</v>
      </c>
      <c r="I53" s="53"/>
      <c r="J53" s="53"/>
      <c r="K53" s="53"/>
      <c r="L53" s="31"/>
      <c r="M53" s="31"/>
      <c r="N53" s="31"/>
      <c r="P53" s="86" t="s">
        <v>734</v>
      </c>
      <c r="Q53" s="90">
        <f>$L$11</f>
        <v>2.35</v>
      </c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41" t="s">
        <v>76</v>
      </c>
      <c r="AE53" s="29">
        <f>$AE$52*G17</f>
        <v>145.66666666666669</v>
      </c>
      <c r="AF53" s="29">
        <f>$AF$52*H17</f>
        <v>-234</v>
      </c>
      <c r="AG53" s="29">
        <f>$AG$52*I17</f>
        <v>12.341880341880341</v>
      </c>
      <c r="AH53" s="29">
        <f>$AH$52*J17</f>
        <v>220.88888888888891</v>
      </c>
      <c r="AI53" s="29">
        <f>$AI$52*K17</f>
        <v>-393.11111111111114</v>
      </c>
      <c r="AJ53" s="29">
        <f>$AJ$52*L17</f>
        <v>11.016393442622951</v>
      </c>
      <c r="AK53" s="29">
        <f>$AK$52*M17</f>
        <v>40.116959064327482</v>
      </c>
      <c r="AL53" s="29">
        <f>$AL$52*N17</f>
        <v>-33.019943019943021</v>
      </c>
      <c r="AM53" s="29">
        <f>SUM(AE53:AL53)</f>
        <v>-230.10026572666777</v>
      </c>
    </row>
    <row r="54" spans="1:39" ht="14.25" customHeight="1" x14ac:dyDescent="0.4">
      <c r="A54" s="12" t="s">
        <v>734</v>
      </c>
      <c r="B54" s="13">
        <v>2</v>
      </c>
      <c r="C54" s="14" t="s">
        <v>33</v>
      </c>
      <c r="D54" s="26" t="s">
        <v>1267</v>
      </c>
      <c r="E54" s="104"/>
      <c r="F54" s="86" t="s">
        <v>734</v>
      </c>
      <c r="G54" s="90">
        <f>$I$11</f>
        <v>1.2916666666666667</v>
      </c>
      <c r="I54" s="53"/>
      <c r="J54" s="53"/>
      <c r="K54" s="53"/>
      <c r="L54" s="31"/>
      <c r="M54" s="31"/>
      <c r="N54" s="31"/>
      <c r="P54" s="86" t="s">
        <v>438</v>
      </c>
      <c r="Q54" s="90">
        <f>$L$8</f>
        <v>1.4333333333333333</v>
      </c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27" t="s">
        <v>77</v>
      </c>
      <c r="AE54" s="29">
        <f>$AE$52*G18</f>
        <v>437</v>
      </c>
      <c r="AF54" s="29">
        <f>$AF$52*H18</f>
        <v>-252</v>
      </c>
      <c r="AG54" s="29">
        <f>$AG$52*I18</f>
        <v>34.38095238095238</v>
      </c>
      <c r="AH54" s="29">
        <f>$AH$52*J18</f>
        <v>362.88888888888891</v>
      </c>
      <c r="AI54" s="29">
        <f>$AI$52*K18</f>
        <v>-257.77777777777777</v>
      </c>
      <c r="AJ54" s="29">
        <f>$AJ$52*L18</f>
        <v>27.599999999999998</v>
      </c>
      <c r="AK54" s="29">
        <f>$AK$52*M18</f>
        <v>21.968810916179336</v>
      </c>
      <c r="AL54" s="29">
        <f>$AL$52*N18</f>
        <v>-20.105820105820104</v>
      </c>
      <c r="AM54" s="29">
        <f>SUM(AE54:AL54)</f>
        <v>353.95505430242281</v>
      </c>
    </row>
    <row r="55" spans="1:39" ht="14.25" customHeight="1" x14ac:dyDescent="0.4">
      <c r="A55" s="12" t="s">
        <v>730</v>
      </c>
      <c r="B55" s="13">
        <v>2</v>
      </c>
      <c r="C55" s="14" t="s">
        <v>33</v>
      </c>
      <c r="D55" s="26" t="s">
        <v>1268</v>
      </c>
      <c r="E55" s="104"/>
      <c r="F55" s="86" t="s">
        <v>730</v>
      </c>
      <c r="G55" s="90">
        <f>$I$14</f>
        <v>0.8666666666666667</v>
      </c>
      <c r="I55" s="53"/>
      <c r="J55" s="53"/>
      <c r="K55" s="53"/>
      <c r="L55" s="31"/>
      <c r="M55" s="31"/>
      <c r="N55" s="31"/>
      <c r="P55" s="86" t="s">
        <v>730</v>
      </c>
      <c r="Q55" s="90">
        <f>$L$14</f>
        <v>1.0526315789473684</v>
      </c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27" t="s">
        <v>79</v>
      </c>
      <c r="AE55" s="29">
        <f>$AE$52*G19</f>
        <v>276</v>
      </c>
      <c r="AF55" s="29">
        <f>$AF$52*H19</f>
        <v>-228</v>
      </c>
      <c r="AG55" s="29">
        <f>$AG$52*I19</f>
        <v>23.999999999999996</v>
      </c>
      <c r="AH55" s="29">
        <f>$AH$52*J19</f>
        <v>433.88888888888891</v>
      </c>
      <c r="AI55" s="29">
        <f>$AI$52*K19</f>
        <v>-270.66666666666669</v>
      </c>
      <c r="AJ55" s="29">
        <f>$AJ$52*L19</f>
        <v>31.428571428571431</v>
      </c>
      <c r="AK55" s="29">
        <f>$AK$52*M19</f>
        <v>41.589506172839499</v>
      </c>
      <c r="AL55" s="29">
        <f>$AL$52*N19</f>
        <v>-23.333333333333336</v>
      </c>
      <c r="AM55" s="29">
        <f>SUM(AE55:AL55)</f>
        <v>284.90696649029985</v>
      </c>
    </row>
    <row r="56" spans="1:39" ht="14.25" customHeight="1" x14ac:dyDescent="0.4">
      <c r="A56" s="12" t="s">
        <v>734</v>
      </c>
      <c r="B56" s="13">
        <v>2</v>
      </c>
      <c r="C56" s="14" t="s">
        <v>39</v>
      </c>
      <c r="D56" s="26" t="s">
        <v>1269</v>
      </c>
      <c r="E56" s="104"/>
      <c r="F56" s="86" t="s">
        <v>37</v>
      </c>
      <c r="G56" s="90">
        <f>$I$12</f>
        <v>0.8571428571428571</v>
      </c>
      <c r="I56" s="53"/>
      <c r="J56" s="53"/>
      <c r="K56" s="53"/>
      <c r="L56" s="31"/>
      <c r="M56" s="31"/>
      <c r="N56" s="31"/>
      <c r="P56" s="86" t="s">
        <v>37</v>
      </c>
      <c r="Q56" s="90">
        <f>$L$12</f>
        <v>0.80952380952380953</v>
      </c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27" t="s">
        <v>86</v>
      </c>
      <c r="AE56" s="29">
        <f>$AE$52*G20</f>
        <v>345</v>
      </c>
      <c r="AF56" s="29">
        <f>$AF$52*H20</f>
        <v>-228</v>
      </c>
      <c r="AG56" s="29">
        <f>$AG$52*I20</f>
        <v>29.999999999999996</v>
      </c>
      <c r="AH56" s="29">
        <f>$AH$52*J20</f>
        <v>512.77777777777783</v>
      </c>
      <c r="AI56" s="29">
        <f>$AI$52*K20</f>
        <v>-328.66666666666669</v>
      </c>
      <c r="AJ56" s="29">
        <f>$AJ$52*L20</f>
        <v>30.588235294117645</v>
      </c>
      <c r="AK56" s="29">
        <f>$AK$52*M20</f>
        <v>39.320987654320987</v>
      </c>
      <c r="AL56" s="29">
        <f>$AL$52*N20</f>
        <v>-28.333333333333332</v>
      </c>
      <c r="AM56" s="29">
        <f>SUM(AE56:AL56)</f>
        <v>372.68700072621647</v>
      </c>
    </row>
    <row r="57" spans="1:39" ht="14.25" customHeight="1" x14ac:dyDescent="0.4">
      <c r="A57" s="12" t="s">
        <v>734</v>
      </c>
      <c r="B57" s="13">
        <v>2</v>
      </c>
      <c r="C57" s="14" t="s">
        <v>438</v>
      </c>
      <c r="D57" s="26" t="s">
        <v>1269</v>
      </c>
      <c r="E57" s="104"/>
      <c r="F57" s="86" t="s">
        <v>28</v>
      </c>
      <c r="G57" s="90">
        <f>$I$3</f>
        <v>0.75</v>
      </c>
      <c r="I57" s="53"/>
      <c r="J57" s="53"/>
      <c r="K57" s="53"/>
      <c r="L57" s="31"/>
      <c r="M57" s="31"/>
      <c r="N57" s="31"/>
      <c r="P57" s="86" t="s">
        <v>28</v>
      </c>
      <c r="Q57" s="90">
        <f>$L$3</f>
        <v>0.72222222222222221</v>
      </c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</row>
    <row r="58" spans="1:39" ht="14.25" customHeight="1" x14ac:dyDescent="0.4">
      <c r="A58" s="12" t="s">
        <v>38</v>
      </c>
      <c r="B58" s="13">
        <v>2</v>
      </c>
      <c r="C58" s="14" t="s">
        <v>28</v>
      </c>
      <c r="D58" s="26" t="s">
        <v>1270</v>
      </c>
      <c r="E58" s="104"/>
      <c r="F58" s="86" t="s">
        <v>36</v>
      </c>
      <c r="G58" s="90">
        <f>$I$10</f>
        <v>0.5714285714285714</v>
      </c>
      <c r="I58" s="53"/>
      <c r="J58" s="53"/>
      <c r="K58" s="53"/>
      <c r="L58" s="31"/>
      <c r="M58" s="31"/>
      <c r="N58" s="31"/>
      <c r="P58" s="86" t="s">
        <v>36</v>
      </c>
      <c r="Q58" s="90">
        <f>$L$10</f>
        <v>0.5</v>
      </c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65" t="s">
        <v>10</v>
      </c>
      <c r="AE58" s="66" t="s">
        <v>98</v>
      </c>
      <c r="AF58" s="66" t="s">
        <v>99</v>
      </c>
    </row>
    <row r="59" spans="1:39" ht="14.25" customHeight="1" x14ac:dyDescent="0.4">
      <c r="A59" s="12" t="s">
        <v>438</v>
      </c>
      <c r="B59" s="13">
        <v>2</v>
      </c>
      <c r="C59" s="14" t="s">
        <v>37</v>
      </c>
      <c r="D59" s="26" t="s">
        <v>1271</v>
      </c>
      <c r="E59" s="104"/>
      <c r="F59" s="86" t="s">
        <v>41</v>
      </c>
      <c r="G59" s="90">
        <f>$I$6</f>
        <v>0.25</v>
      </c>
      <c r="I59" s="53"/>
      <c r="J59" s="53"/>
      <c r="K59" s="53"/>
      <c r="L59" s="31"/>
      <c r="M59" s="31"/>
      <c r="N59" s="31"/>
      <c r="P59" s="86" t="s">
        <v>41</v>
      </c>
      <c r="Q59" s="90">
        <f>$L$6</f>
        <v>0.3</v>
      </c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41" t="s">
        <v>77</v>
      </c>
      <c r="AE59" s="67">
        <f>$AM$54</f>
        <v>353.95505430242281</v>
      </c>
      <c r="AF59" s="67">
        <f>AE59-($AE$62)</f>
        <v>584.05532002909058</v>
      </c>
    </row>
    <row r="60" spans="1:39" ht="14.25" customHeight="1" x14ac:dyDescent="0.4">
      <c r="A60" s="12" t="s">
        <v>38</v>
      </c>
      <c r="B60" s="13">
        <v>1</v>
      </c>
      <c r="C60" s="14" t="s">
        <v>730</v>
      </c>
      <c r="D60" s="26" t="s">
        <v>1272</v>
      </c>
      <c r="E60" s="104"/>
      <c r="F60" s="86" t="s">
        <v>1206</v>
      </c>
      <c r="G60" s="90">
        <f>$I$5</f>
        <v>0.16666666666666666</v>
      </c>
      <c r="I60" s="53"/>
      <c r="J60" s="53"/>
      <c r="K60" s="53"/>
      <c r="L60" s="31"/>
      <c r="M60" s="31"/>
      <c r="N60" s="31"/>
      <c r="P60" s="86" t="s">
        <v>1206</v>
      </c>
      <c r="Q60" s="90">
        <f>$L$5</f>
        <v>0.16666666666666666</v>
      </c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27" t="s">
        <v>86</v>
      </c>
      <c r="AE60" s="67">
        <f>$AM$56</f>
        <v>372.68700072621647</v>
      </c>
      <c r="AF60" s="67">
        <f>AE60-($AE$62)</f>
        <v>602.7872664528843</v>
      </c>
    </row>
    <row r="61" spans="1:39" ht="14.25" customHeight="1" x14ac:dyDescent="0.4">
      <c r="A61" s="12" t="s">
        <v>38</v>
      </c>
      <c r="B61" s="13">
        <v>1</v>
      </c>
      <c r="C61" s="14" t="s">
        <v>734</v>
      </c>
      <c r="D61" s="15" t="s">
        <v>1273</v>
      </c>
      <c r="E61" s="98"/>
      <c r="F61" s="86" t="s">
        <v>441</v>
      </c>
      <c r="G61" s="90">
        <f>$I$9</f>
        <v>0.14285714285714285</v>
      </c>
      <c r="I61" s="53"/>
      <c r="J61" s="53"/>
      <c r="K61" s="53"/>
      <c r="L61" s="31"/>
      <c r="M61" s="31"/>
      <c r="N61" s="31"/>
      <c r="P61" s="86" t="s">
        <v>441</v>
      </c>
      <c r="Q61" s="90">
        <f>$L$9</f>
        <v>0.2</v>
      </c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27" t="s">
        <v>79</v>
      </c>
      <c r="AE61" s="67">
        <f>$AM$55</f>
        <v>284.90696649029985</v>
      </c>
      <c r="AF61" s="67">
        <f>AE61-($AE$62)</f>
        <v>515.00723221696762</v>
      </c>
    </row>
    <row r="62" spans="1:39" ht="14.25" customHeight="1" x14ac:dyDescent="0.4">
      <c r="A62" s="12" t="s">
        <v>38</v>
      </c>
      <c r="B62" s="13">
        <v>1</v>
      </c>
      <c r="C62" s="14" t="s">
        <v>438</v>
      </c>
      <c r="D62" s="26" t="s">
        <v>1274</v>
      </c>
      <c r="E62" s="104"/>
      <c r="F62" s="86" t="s">
        <v>33</v>
      </c>
      <c r="G62" s="90">
        <f>$I$4</f>
        <v>0</v>
      </c>
      <c r="I62" s="53"/>
      <c r="J62" s="53"/>
      <c r="K62" s="53"/>
      <c r="L62" s="31"/>
      <c r="M62" s="31"/>
      <c r="N62" s="31"/>
      <c r="P62" s="86" t="s">
        <v>33</v>
      </c>
      <c r="Q62" s="90">
        <f>$L$4</f>
        <v>0</v>
      </c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27" t="s">
        <v>76</v>
      </c>
      <c r="AE62" s="67">
        <f>$AM$53</f>
        <v>-230.10026572666777</v>
      </c>
      <c r="AF62" s="67">
        <f>AE62-($AE$62)</f>
        <v>0</v>
      </c>
    </row>
    <row r="63" spans="1:39" ht="14.25" customHeight="1" x14ac:dyDescent="0.4">
      <c r="A63" s="12" t="s">
        <v>438</v>
      </c>
      <c r="B63" s="13">
        <v>2</v>
      </c>
      <c r="C63" s="14" t="s">
        <v>38</v>
      </c>
      <c r="D63" s="26" t="s">
        <v>1275</v>
      </c>
      <c r="E63" s="104"/>
      <c r="I63" s="53"/>
      <c r="J63" s="53"/>
      <c r="K63" s="53"/>
      <c r="L63" s="31"/>
      <c r="M63" s="31"/>
      <c r="N63" s="31"/>
      <c r="O63" s="31"/>
      <c r="P63" s="5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</row>
    <row r="64" spans="1:39" ht="14.25" customHeight="1" x14ac:dyDescent="0.4">
      <c r="A64" s="12" t="s">
        <v>28</v>
      </c>
      <c r="B64" s="13">
        <v>2</v>
      </c>
      <c r="C64" s="14" t="s">
        <v>37</v>
      </c>
      <c r="D64" s="26" t="s">
        <v>1276</v>
      </c>
      <c r="E64" s="104"/>
      <c r="F64" s="86" t="s">
        <v>74</v>
      </c>
      <c r="G64" s="33" t="s">
        <v>15</v>
      </c>
      <c r="I64" s="53"/>
      <c r="J64" s="53"/>
      <c r="K64" s="53"/>
      <c r="L64" s="31"/>
      <c r="M64" s="31"/>
      <c r="N64" s="31"/>
      <c r="P64" s="86" t="s">
        <v>74</v>
      </c>
      <c r="Q64" s="33" t="s">
        <v>18</v>
      </c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</row>
    <row r="65" spans="1:32" ht="14.25" customHeight="1" x14ac:dyDescent="0.4">
      <c r="A65" s="12" t="s">
        <v>37</v>
      </c>
      <c r="B65" s="13">
        <v>2</v>
      </c>
      <c r="C65" s="14" t="s">
        <v>33</v>
      </c>
      <c r="D65" s="26" t="s">
        <v>1277</v>
      </c>
      <c r="E65" s="104"/>
      <c r="F65" s="86" t="s">
        <v>76</v>
      </c>
      <c r="G65" s="89">
        <f>$G$17</f>
        <v>19</v>
      </c>
      <c r="I65" s="53"/>
      <c r="J65" s="53"/>
      <c r="K65" s="53"/>
      <c r="L65" s="31"/>
      <c r="M65" s="31"/>
      <c r="N65" s="31"/>
      <c r="P65" s="86" t="s">
        <v>76</v>
      </c>
      <c r="Q65" s="60">
        <f>$J$17</f>
        <v>28</v>
      </c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</row>
    <row r="66" spans="1:32" ht="14.25" customHeight="1" x14ac:dyDescent="0.4">
      <c r="A66" s="12" t="s">
        <v>734</v>
      </c>
      <c r="B66" s="13">
        <v>2</v>
      </c>
      <c r="C66" s="14" t="s">
        <v>33</v>
      </c>
      <c r="D66" s="26" t="s">
        <v>1278</v>
      </c>
      <c r="E66" s="104"/>
      <c r="F66" s="86" t="s">
        <v>79</v>
      </c>
      <c r="G66" s="89">
        <f>$G$19</f>
        <v>36</v>
      </c>
      <c r="I66" s="53"/>
      <c r="J66" s="53"/>
      <c r="K66" s="53"/>
      <c r="L66" s="31"/>
      <c r="M66" s="31"/>
      <c r="N66" s="31"/>
      <c r="P66" s="86" t="s">
        <v>79</v>
      </c>
      <c r="Q66" s="60">
        <f>$J$19</f>
        <v>55</v>
      </c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</row>
    <row r="67" spans="1:32" ht="14.25" customHeight="1" x14ac:dyDescent="0.4">
      <c r="A67" s="12" t="s">
        <v>734</v>
      </c>
      <c r="B67" s="13">
        <v>2</v>
      </c>
      <c r="C67" s="14" t="s">
        <v>1206</v>
      </c>
      <c r="D67" s="26" t="s">
        <v>1279</v>
      </c>
      <c r="E67" s="104"/>
      <c r="F67" s="86" t="s">
        <v>86</v>
      </c>
      <c r="G67" s="89">
        <f>$G$20</f>
        <v>45</v>
      </c>
      <c r="I67" s="53"/>
      <c r="J67" s="53"/>
      <c r="K67" s="53"/>
      <c r="L67" s="31"/>
      <c r="M67" s="31"/>
      <c r="N67" s="31"/>
      <c r="P67" s="86" t="s">
        <v>86</v>
      </c>
      <c r="Q67" s="60">
        <f>$J$20</f>
        <v>65</v>
      </c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</row>
    <row r="68" spans="1:32" ht="14.25" customHeight="1" x14ac:dyDescent="0.4">
      <c r="A68" s="12" t="s">
        <v>438</v>
      </c>
      <c r="B68" s="13">
        <v>2</v>
      </c>
      <c r="C68" s="14" t="s">
        <v>734</v>
      </c>
      <c r="D68" s="26" t="s">
        <v>1280</v>
      </c>
      <c r="E68" s="104"/>
      <c r="F68" s="86" t="s">
        <v>77</v>
      </c>
      <c r="G68" s="89">
        <f>$G$18</f>
        <v>57</v>
      </c>
      <c r="I68" s="53"/>
      <c r="J68" s="53"/>
      <c r="K68" s="53"/>
      <c r="L68" s="31"/>
      <c r="M68" s="31"/>
      <c r="N68" s="31"/>
      <c r="P68" s="86" t="s">
        <v>77</v>
      </c>
      <c r="Q68" s="60">
        <f>$J$18</f>
        <v>46</v>
      </c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</row>
    <row r="69" spans="1:32" ht="14.25" customHeight="1" x14ac:dyDescent="0.4">
      <c r="A69" s="12" t="s">
        <v>28</v>
      </c>
      <c r="B69" s="13">
        <v>2</v>
      </c>
      <c r="C69" s="14" t="s">
        <v>734</v>
      </c>
      <c r="D69" s="26" t="s">
        <v>1280</v>
      </c>
      <c r="E69" s="104"/>
      <c r="I69" s="53"/>
      <c r="J69" s="53"/>
      <c r="K69" s="53"/>
      <c r="L69" s="31"/>
      <c r="M69" s="31"/>
      <c r="N69" s="31"/>
      <c r="O69" s="31"/>
      <c r="P69" s="5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</row>
    <row r="70" spans="1:32" ht="14.25" customHeight="1" x14ac:dyDescent="0.4">
      <c r="A70" s="12" t="s">
        <v>28</v>
      </c>
      <c r="B70" s="13">
        <v>2</v>
      </c>
      <c r="C70" s="14" t="s">
        <v>438</v>
      </c>
      <c r="D70" s="26" t="s">
        <v>1281</v>
      </c>
      <c r="E70" s="104"/>
      <c r="I70" s="53"/>
      <c r="J70" s="53"/>
      <c r="K70" s="53"/>
      <c r="L70" s="31"/>
      <c r="M70" s="31"/>
      <c r="N70" s="31"/>
      <c r="O70" s="31"/>
      <c r="P70" s="5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</row>
    <row r="71" spans="1:32" ht="14.25" customHeight="1" x14ac:dyDescent="0.4">
      <c r="A71" s="12" t="s">
        <v>734</v>
      </c>
      <c r="B71" s="13">
        <v>2</v>
      </c>
      <c r="C71" s="14" t="s">
        <v>28</v>
      </c>
      <c r="D71" s="15" t="s">
        <v>1282</v>
      </c>
      <c r="E71" s="98"/>
      <c r="I71" s="53"/>
      <c r="J71" s="53"/>
      <c r="K71" s="53"/>
      <c r="L71" s="31"/>
      <c r="M71" s="31"/>
      <c r="N71" s="31"/>
      <c r="O71" s="31"/>
      <c r="P71" s="5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E71" s="53"/>
      <c r="AF71" s="53"/>
    </row>
    <row r="72" spans="1:32" ht="14.25" customHeight="1" x14ac:dyDescent="0.4">
      <c r="A72" s="12" t="s">
        <v>438</v>
      </c>
      <c r="B72" s="13">
        <v>2</v>
      </c>
      <c r="C72" s="14" t="s">
        <v>734</v>
      </c>
      <c r="D72" s="26" t="s">
        <v>1283</v>
      </c>
      <c r="E72" s="104"/>
      <c r="I72" s="53"/>
      <c r="J72" s="53"/>
      <c r="K72" s="53"/>
      <c r="L72" s="31"/>
      <c r="M72" s="31"/>
      <c r="N72" s="31"/>
      <c r="O72" s="31"/>
      <c r="P72" s="5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</row>
    <row r="73" spans="1:32" ht="14.25" customHeight="1" x14ac:dyDescent="0.4">
      <c r="A73" s="12" t="s">
        <v>36</v>
      </c>
      <c r="B73" s="13">
        <v>1</v>
      </c>
      <c r="C73" s="14" t="s">
        <v>41</v>
      </c>
      <c r="D73" s="26" t="s">
        <v>1284</v>
      </c>
      <c r="E73" s="104"/>
      <c r="F73" s="86" t="s">
        <v>74</v>
      </c>
      <c r="G73" s="33" t="s">
        <v>16</v>
      </c>
      <c r="I73" s="53"/>
      <c r="J73" s="53"/>
      <c r="K73" s="53"/>
      <c r="L73" s="31"/>
      <c r="M73" s="31"/>
      <c r="N73" s="31"/>
      <c r="P73" s="86" t="s">
        <v>74</v>
      </c>
      <c r="Q73" s="33" t="s">
        <v>19</v>
      </c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</row>
    <row r="74" spans="1:32" ht="14.25" customHeight="1" x14ac:dyDescent="0.4">
      <c r="A74" s="12" t="s">
        <v>734</v>
      </c>
      <c r="B74" s="13">
        <v>2</v>
      </c>
      <c r="C74" s="14" t="s">
        <v>28</v>
      </c>
      <c r="D74" s="26" t="s">
        <v>1285</v>
      </c>
      <c r="E74" s="104"/>
      <c r="F74" s="86" t="s">
        <v>86</v>
      </c>
      <c r="G74" s="61">
        <f>$H$20</f>
        <v>38</v>
      </c>
      <c r="I74" s="53"/>
      <c r="J74" s="53"/>
      <c r="K74" s="53"/>
      <c r="L74" s="31"/>
      <c r="M74" s="31"/>
      <c r="N74" s="31"/>
      <c r="P74" s="86" t="s">
        <v>86</v>
      </c>
      <c r="Q74" s="61">
        <f>$K$20</f>
        <v>51</v>
      </c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</row>
    <row r="75" spans="1:32" ht="14.25" customHeight="1" x14ac:dyDescent="0.4">
      <c r="A75" s="12" t="s">
        <v>41</v>
      </c>
      <c r="B75" s="13">
        <v>2</v>
      </c>
      <c r="C75" s="14" t="s">
        <v>36</v>
      </c>
      <c r="D75" s="26" t="s">
        <v>1286</v>
      </c>
      <c r="E75" s="104"/>
      <c r="F75" s="86" t="s">
        <v>79</v>
      </c>
      <c r="G75" s="61">
        <f>$H$19</f>
        <v>38</v>
      </c>
      <c r="I75" s="53"/>
      <c r="J75" s="53"/>
      <c r="K75" s="53"/>
      <c r="L75" s="31"/>
      <c r="M75" s="31"/>
      <c r="N75" s="31"/>
      <c r="P75" s="86" t="s">
        <v>77</v>
      </c>
      <c r="Q75" s="61">
        <f>$K$18</f>
        <v>40</v>
      </c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</row>
    <row r="76" spans="1:32" ht="14.25" customHeight="1" x14ac:dyDescent="0.4">
      <c r="A76" s="12" t="s">
        <v>730</v>
      </c>
      <c r="B76" s="13">
        <v>2</v>
      </c>
      <c r="C76" s="14" t="s">
        <v>438</v>
      </c>
      <c r="D76" s="26" t="s">
        <v>1287</v>
      </c>
      <c r="E76" s="104"/>
      <c r="F76" s="86" t="s">
        <v>76</v>
      </c>
      <c r="G76" s="61">
        <f>$H$17</f>
        <v>39</v>
      </c>
      <c r="I76" s="53"/>
      <c r="J76" s="53"/>
      <c r="K76" s="53"/>
      <c r="L76" s="31"/>
      <c r="M76" s="31"/>
      <c r="N76" s="31"/>
      <c r="P76" s="86" t="s">
        <v>79</v>
      </c>
      <c r="Q76" s="61">
        <f>$K$19</f>
        <v>42</v>
      </c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</row>
    <row r="77" spans="1:32" ht="14.25" customHeight="1" x14ac:dyDescent="0.4">
      <c r="A77" s="12" t="s">
        <v>438</v>
      </c>
      <c r="B77" s="13">
        <v>1</v>
      </c>
      <c r="C77" s="14" t="s">
        <v>36</v>
      </c>
      <c r="D77" s="26" t="s">
        <v>1288</v>
      </c>
      <c r="E77" s="104"/>
      <c r="F77" s="86" t="s">
        <v>77</v>
      </c>
      <c r="G77" s="61">
        <f>$H$18</f>
        <v>42</v>
      </c>
      <c r="I77" s="53"/>
      <c r="J77" s="53"/>
      <c r="K77" s="53"/>
      <c r="L77" s="31"/>
      <c r="M77" s="31"/>
      <c r="N77" s="31"/>
      <c r="P77" s="86" t="s">
        <v>76</v>
      </c>
      <c r="Q77" s="61">
        <f>$K$17</f>
        <v>61</v>
      </c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</row>
    <row r="78" spans="1:32" ht="14.25" customHeight="1" x14ac:dyDescent="0.4">
      <c r="A78" s="12" t="s">
        <v>36</v>
      </c>
      <c r="B78" s="13">
        <v>1</v>
      </c>
      <c r="C78" s="14" t="s">
        <v>438</v>
      </c>
      <c r="D78" s="26" t="s">
        <v>1289</v>
      </c>
      <c r="E78" s="104"/>
      <c r="I78" s="53"/>
      <c r="J78" s="53"/>
      <c r="K78" s="53"/>
      <c r="L78" s="31"/>
      <c r="M78" s="31"/>
      <c r="N78" s="31"/>
      <c r="O78" s="31"/>
      <c r="P78" s="5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</row>
    <row r="79" spans="1:32" ht="14.25" customHeight="1" x14ac:dyDescent="0.4">
      <c r="A79" s="12" t="s">
        <v>37</v>
      </c>
      <c r="B79" s="13">
        <v>1</v>
      </c>
      <c r="C79" s="14" t="s">
        <v>41</v>
      </c>
      <c r="D79" s="26" t="s">
        <v>1290</v>
      </c>
      <c r="E79" s="104"/>
      <c r="I79" s="53"/>
      <c r="J79" s="53"/>
      <c r="K79" s="53"/>
      <c r="L79" s="31"/>
      <c r="M79" s="31"/>
      <c r="N79" s="31"/>
      <c r="O79" s="31"/>
      <c r="P79" s="5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</row>
    <row r="80" spans="1:32" ht="14.25" customHeight="1" x14ac:dyDescent="0.4">
      <c r="A80" s="12" t="s">
        <v>734</v>
      </c>
      <c r="B80" s="13">
        <v>1</v>
      </c>
      <c r="C80" s="14" t="s">
        <v>38</v>
      </c>
      <c r="D80" s="26" t="s">
        <v>1291</v>
      </c>
      <c r="E80" s="104"/>
      <c r="I80" s="53"/>
      <c r="J80" s="53"/>
      <c r="K80" s="53"/>
      <c r="L80" s="31"/>
      <c r="M80" s="31"/>
      <c r="N80" s="31"/>
      <c r="O80" s="31"/>
      <c r="P80" s="5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</row>
    <row r="81" spans="1:36" ht="14.25" customHeight="1" x14ac:dyDescent="0.4">
      <c r="A81" s="12" t="s">
        <v>38</v>
      </c>
      <c r="B81" s="13">
        <v>1</v>
      </c>
      <c r="C81" s="14" t="s">
        <v>734</v>
      </c>
      <c r="D81" s="15" t="s">
        <v>1292</v>
      </c>
      <c r="E81" s="98"/>
      <c r="I81" s="53"/>
      <c r="J81" s="53"/>
      <c r="K81" s="53"/>
      <c r="L81" s="31"/>
      <c r="M81" s="31"/>
      <c r="N81" s="31"/>
      <c r="O81" s="31"/>
      <c r="P81" s="5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</row>
    <row r="82" spans="1:36" ht="14.25" customHeight="1" x14ac:dyDescent="0.4">
      <c r="A82" s="12" t="s">
        <v>38</v>
      </c>
      <c r="B82" s="13">
        <v>2</v>
      </c>
      <c r="C82" s="14" t="s">
        <v>734</v>
      </c>
      <c r="D82" s="26" t="s">
        <v>1293</v>
      </c>
      <c r="E82" s="104"/>
      <c r="F82" s="86" t="s">
        <v>74</v>
      </c>
      <c r="G82" s="33" t="s">
        <v>17</v>
      </c>
      <c r="I82" s="53"/>
      <c r="J82" s="53"/>
      <c r="K82" s="53"/>
      <c r="L82" s="31"/>
      <c r="M82" s="31"/>
      <c r="N82" s="31"/>
      <c r="P82" s="86" t="s">
        <v>74</v>
      </c>
      <c r="Q82" s="33" t="s">
        <v>20</v>
      </c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</row>
    <row r="83" spans="1:36" ht="14.25" customHeight="1" x14ac:dyDescent="0.4">
      <c r="A83" s="12" t="s">
        <v>38</v>
      </c>
      <c r="B83" s="13">
        <v>2</v>
      </c>
      <c r="C83" s="14" t="s">
        <v>41</v>
      </c>
      <c r="D83" s="26" t="s">
        <v>1294</v>
      </c>
      <c r="E83" s="104"/>
      <c r="F83" s="86" t="s">
        <v>76</v>
      </c>
      <c r="G83" s="90">
        <f>$I$17</f>
        <v>0.48717948717948717</v>
      </c>
      <c r="I83" s="53"/>
      <c r="J83" s="53"/>
      <c r="K83" s="53"/>
      <c r="L83" s="31"/>
      <c r="M83" s="31"/>
      <c r="N83" s="31"/>
      <c r="P83" s="86" t="s">
        <v>76</v>
      </c>
      <c r="Q83" s="90">
        <f>$L$17</f>
        <v>0.45901639344262296</v>
      </c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</row>
    <row r="84" spans="1:36" ht="14.25" customHeight="1" x14ac:dyDescent="0.4">
      <c r="A84" s="12" t="s">
        <v>734</v>
      </c>
      <c r="B84" s="13">
        <v>2</v>
      </c>
      <c r="C84" s="14" t="s">
        <v>730</v>
      </c>
      <c r="D84" s="26" t="s">
        <v>1295</v>
      </c>
      <c r="E84" s="104"/>
      <c r="F84" s="86" t="s">
        <v>79</v>
      </c>
      <c r="G84" s="90">
        <f>$I$19</f>
        <v>0.94736842105263153</v>
      </c>
      <c r="I84" s="53"/>
      <c r="J84" s="53"/>
      <c r="K84" s="53"/>
      <c r="L84" s="31"/>
      <c r="M84" s="31"/>
      <c r="N84" s="31"/>
      <c r="P84" s="86" t="s">
        <v>79</v>
      </c>
      <c r="Q84" s="90">
        <f>$L$19</f>
        <v>1.3095238095238095</v>
      </c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</row>
    <row r="85" spans="1:36" ht="14.25" customHeight="1" x14ac:dyDescent="0.4">
      <c r="A85" s="12" t="s">
        <v>28</v>
      </c>
      <c r="B85" s="13">
        <v>2</v>
      </c>
      <c r="C85" s="14" t="s">
        <v>438</v>
      </c>
      <c r="D85" s="26" t="s">
        <v>1296</v>
      </c>
      <c r="E85" s="104"/>
      <c r="F85" s="86" t="s">
        <v>86</v>
      </c>
      <c r="G85" s="90">
        <f>$I$20</f>
        <v>1.1842105263157894</v>
      </c>
      <c r="I85" s="53"/>
      <c r="J85" s="53"/>
      <c r="K85" s="53"/>
      <c r="L85" s="31"/>
      <c r="M85" s="31"/>
      <c r="N85" s="31"/>
      <c r="P85" s="86" t="s">
        <v>86</v>
      </c>
      <c r="Q85" s="90">
        <f>$L$20</f>
        <v>1.2745098039215685</v>
      </c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I85" s="53"/>
      <c r="AJ85" s="31"/>
    </row>
    <row r="86" spans="1:36" ht="14.25" customHeight="1" x14ac:dyDescent="0.4">
      <c r="A86" s="12" t="s">
        <v>37</v>
      </c>
      <c r="B86" s="13">
        <v>2</v>
      </c>
      <c r="C86" s="14" t="s">
        <v>28</v>
      </c>
      <c r="D86" s="26" t="s">
        <v>1297</v>
      </c>
      <c r="E86" s="104"/>
      <c r="F86" s="86" t="s">
        <v>77</v>
      </c>
      <c r="G86" s="90">
        <f>$I$18</f>
        <v>1.3571428571428572</v>
      </c>
      <c r="I86" s="53"/>
      <c r="J86" s="53"/>
      <c r="K86" s="53"/>
      <c r="L86" s="31"/>
      <c r="M86" s="31"/>
      <c r="N86" s="31"/>
      <c r="P86" s="86" t="s">
        <v>77</v>
      </c>
      <c r="Q86" s="90">
        <f>$L$18</f>
        <v>1.1499999999999999</v>
      </c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I86" s="53"/>
      <c r="AJ86" s="31"/>
    </row>
    <row r="87" spans="1:36" ht="14.25" customHeight="1" x14ac:dyDescent="0.4">
      <c r="A87" s="12" t="s">
        <v>730</v>
      </c>
      <c r="B87" s="13">
        <v>2</v>
      </c>
      <c r="C87" s="14" t="s">
        <v>1206</v>
      </c>
      <c r="D87" s="26" t="s">
        <v>1298</v>
      </c>
      <c r="E87" s="104"/>
      <c r="I87" s="53"/>
      <c r="J87" s="53"/>
      <c r="K87" s="53"/>
      <c r="L87" s="31"/>
      <c r="M87" s="31"/>
      <c r="N87" s="31"/>
      <c r="O87" s="31"/>
      <c r="P87" s="5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I87" s="53"/>
      <c r="AJ87" s="31"/>
    </row>
    <row r="88" spans="1:36" ht="14.25" customHeight="1" x14ac:dyDescent="0.4">
      <c r="A88" s="12" t="s">
        <v>38</v>
      </c>
      <c r="B88" s="13">
        <v>2</v>
      </c>
      <c r="C88" s="14" t="s">
        <v>730</v>
      </c>
      <c r="D88" s="26" t="s">
        <v>1299</v>
      </c>
      <c r="E88" s="104"/>
      <c r="I88" s="53"/>
      <c r="J88" s="53"/>
      <c r="K88" s="53"/>
      <c r="L88" s="31"/>
      <c r="M88" s="31"/>
      <c r="N88" s="31"/>
      <c r="O88" s="31"/>
      <c r="P88" s="5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I88" s="53"/>
      <c r="AJ88" s="31"/>
    </row>
    <row r="89" spans="1:36" ht="14.25" customHeight="1" x14ac:dyDescent="0.4">
      <c r="A89" s="12" t="s">
        <v>730</v>
      </c>
      <c r="B89" s="13">
        <v>2</v>
      </c>
      <c r="C89" s="14" t="s">
        <v>38</v>
      </c>
      <c r="D89" s="26" t="s">
        <v>1300</v>
      </c>
      <c r="E89" s="104"/>
      <c r="I89" s="53"/>
      <c r="J89" s="53"/>
      <c r="K89" s="53"/>
      <c r="L89" s="31"/>
      <c r="M89" s="31"/>
      <c r="N89" s="31"/>
      <c r="O89" s="31"/>
      <c r="P89" s="5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I89" s="53"/>
      <c r="AJ89" s="31"/>
    </row>
    <row r="90" spans="1:36" ht="14.25" customHeight="1" x14ac:dyDescent="0.4">
      <c r="A90" s="12" t="s">
        <v>734</v>
      </c>
      <c r="B90" s="13">
        <v>2</v>
      </c>
      <c r="C90" s="14" t="s">
        <v>441</v>
      </c>
      <c r="D90" s="26" t="s">
        <v>1301</v>
      </c>
      <c r="E90" s="104"/>
      <c r="I90" s="53"/>
      <c r="J90" s="53"/>
      <c r="K90" s="53"/>
      <c r="L90" s="31"/>
      <c r="M90" s="31"/>
      <c r="N90" s="31"/>
      <c r="O90" s="31"/>
      <c r="P90" s="5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I90" s="53"/>
      <c r="AJ90" s="31"/>
    </row>
    <row r="91" spans="1:36" ht="14.25" customHeight="1" x14ac:dyDescent="0.4">
      <c r="A91" s="12" t="s">
        <v>28</v>
      </c>
      <c r="B91" s="13">
        <v>1</v>
      </c>
      <c r="C91" s="14" t="s">
        <v>37</v>
      </c>
      <c r="D91" s="26" t="s">
        <v>1302</v>
      </c>
      <c r="E91" s="104"/>
      <c r="I91" s="53"/>
      <c r="J91" s="53"/>
      <c r="K91" s="53"/>
      <c r="L91" s="31"/>
      <c r="M91" s="31"/>
      <c r="N91" s="31"/>
      <c r="O91" s="31"/>
      <c r="P91" s="5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I91" s="53"/>
      <c r="AJ91" s="31"/>
    </row>
    <row r="92" spans="1:36" ht="14.25" customHeight="1" x14ac:dyDescent="0.4">
      <c r="A92" s="12" t="s">
        <v>38</v>
      </c>
      <c r="B92" s="13">
        <v>2</v>
      </c>
      <c r="C92" s="14" t="s">
        <v>734</v>
      </c>
      <c r="D92" s="26" t="s">
        <v>1303</v>
      </c>
      <c r="E92" s="104"/>
      <c r="I92" s="53"/>
      <c r="J92" s="53"/>
      <c r="K92" s="53"/>
      <c r="L92" s="31"/>
      <c r="M92" s="31"/>
      <c r="N92" s="31"/>
      <c r="O92" s="31"/>
      <c r="P92" s="5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I92" s="53"/>
      <c r="AJ92" s="31"/>
    </row>
    <row r="93" spans="1:36" ht="14.25" customHeight="1" x14ac:dyDescent="0.4">
      <c r="A93" s="12" t="s">
        <v>37</v>
      </c>
      <c r="B93" s="13">
        <v>2</v>
      </c>
      <c r="C93" s="14" t="s">
        <v>28</v>
      </c>
      <c r="D93" s="26" t="s">
        <v>1304</v>
      </c>
      <c r="E93" s="104"/>
      <c r="I93" s="53"/>
      <c r="J93" s="53"/>
      <c r="K93" s="53"/>
      <c r="L93" s="31"/>
      <c r="M93" s="31"/>
      <c r="N93" s="31"/>
      <c r="O93" s="31"/>
      <c r="P93" s="5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I93" s="53"/>
      <c r="AJ93" s="31"/>
    </row>
    <row r="94" spans="1:36" ht="14.25" customHeight="1" x14ac:dyDescent="0.4">
      <c r="A94" s="12" t="s">
        <v>438</v>
      </c>
      <c r="B94" s="13">
        <v>2</v>
      </c>
      <c r="C94" s="14" t="s">
        <v>28</v>
      </c>
      <c r="D94" s="26" t="s">
        <v>1305</v>
      </c>
      <c r="E94" s="104"/>
      <c r="I94" s="53"/>
      <c r="J94" s="53"/>
      <c r="K94" s="53"/>
      <c r="L94" s="31"/>
      <c r="M94" s="31"/>
      <c r="N94" s="31"/>
      <c r="O94" s="31"/>
      <c r="P94" s="5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I94" s="53"/>
      <c r="AJ94" s="31"/>
    </row>
    <row r="95" spans="1:36" ht="14.25" customHeight="1" x14ac:dyDescent="0.4">
      <c r="A95" s="12" t="s">
        <v>38</v>
      </c>
      <c r="B95" s="13">
        <v>1</v>
      </c>
      <c r="C95" s="14" t="s">
        <v>734</v>
      </c>
      <c r="D95" s="26" t="s">
        <v>1306</v>
      </c>
      <c r="E95" s="104"/>
      <c r="I95" s="53"/>
      <c r="J95" s="53"/>
      <c r="K95" s="53"/>
      <c r="L95" s="31"/>
      <c r="M95" s="31"/>
      <c r="N95" s="31"/>
      <c r="O95" s="31"/>
      <c r="P95" s="5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I95" s="53"/>
      <c r="AJ95" s="31"/>
    </row>
    <row r="96" spans="1:36" ht="14.25" customHeight="1" x14ac:dyDescent="0.4">
      <c r="A96" s="12" t="s">
        <v>734</v>
      </c>
      <c r="B96" s="13">
        <v>1</v>
      </c>
      <c r="C96" s="14" t="s">
        <v>38</v>
      </c>
      <c r="D96" s="26" t="s">
        <v>1307</v>
      </c>
      <c r="E96" s="104"/>
      <c r="I96" s="53"/>
      <c r="J96" s="53"/>
      <c r="K96" s="53"/>
      <c r="L96" s="31"/>
      <c r="M96" s="31"/>
      <c r="N96" s="31"/>
      <c r="O96" s="31"/>
      <c r="P96" s="5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I96" s="53"/>
      <c r="AJ96" s="31"/>
    </row>
    <row r="97" spans="1:36" ht="14.25" customHeight="1" x14ac:dyDescent="0.4">
      <c r="A97" s="12" t="s">
        <v>734</v>
      </c>
      <c r="B97" s="13">
        <v>2</v>
      </c>
      <c r="C97" s="14" t="s">
        <v>28</v>
      </c>
      <c r="D97" s="26" t="s">
        <v>1308</v>
      </c>
      <c r="E97" s="104"/>
      <c r="I97" s="53"/>
      <c r="J97" s="53"/>
      <c r="K97" s="53"/>
      <c r="L97" s="31"/>
      <c r="M97" s="31"/>
      <c r="N97" s="31"/>
      <c r="O97" s="31"/>
      <c r="P97" s="5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I97" s="53"/>
      <c r="AJ97" s="31"/>
    </row>
    <row r="98" spans="1:36" ht="14.25" customHeight="1" x14ac:dyDescent="0.4">
      <c r="A98" s="12" t="s">
        <v>38</v>
      </c>
      <c r="B98" s="13">
        <v>2</v>
      </c>
      <c r="C98" s="14" t="s">
        <v>28</v>
      </c>
      <c r="D98" s="26" t="s">
        <v>1309</v>
      </c>
      <c r="E98" s="104"/>
      <c r="I98" s="53"/>
      <c r="J98" s="53"/>
      <c r="K98" s="53"/>
      <c r="L98" s="31"/>
      <c r="M98" s="31"/>
      <c r="N98" s="31"/>
      <c r="O98" s="31"/>
      <c r="P98" s="5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I98" s="53"/>
      <c r="AJ98" s="31"/>
    </row>
    <row r="99" spans="1:36" ht="14.25" customHeight="1" x14ac:dyDescent="0.4">
      <c r="A99" s="12" t="s">
        <v>734</v>
      </c>
      <c r="B99" s="13">
        <v>2</v>
      </c>
      <c r="C99" s="14" t="s">
        <v>1206</v>
      </c>
      <c r="D99" s="26" t="s">
        <v>1310</v>
      </c>
      <c r="E99" s="104"/>
      <c r="I99" s="53"/>
      <c r="J99" s="53"/>
      <c r="K99" s="53"/>
      <c r="L99" s="31"/>
      <c r="M99" s="31"/>
      <c r="N99" s="31"/>
      <c r="O99" s="31"/>
      <c r="P99" s="5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I99" s="53"/>
      <c r="AJ99" s="31"/>
    </row>
    <row r="100" spans="1:36" ht="14.25" customHeight="1" x14ac:dyDescent="0.4">
      <c r="A100" s="12" t="s">
        <v>438</v>
      </c>
      <c r="B100" s="13">
        <v>2</v>
      </c>
      <c r="C100" s="14" t="s">
        <v>28</v>
      </c>
      <c r="D100" s="26" t="s">
        <v>1311</v>
      </c>
      <c r="E100" s="104"/>
      <c r="I100" s="53"/>
      <c r="J100" s="53"/>
      <c r="K100" s="53"/>
      <c r="L100" s="31"/>
      <c r="M100" s="31"/>
      <c r="N100" s="31"/>
      <c r="O100" s="31"/>
      <c r="P100" s="5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I100" s="53"/>
      <c r="AJ100" s="31"/>
    </row>
    <row r="101" spans="1:36" ht="14.25" customHeight="1" x14ac:dyDescent="0.4">
      <c r="A101" s="12" t="s">
        <v>438</v>
      </c>
      <c r="B101" s="13">
        <v>2</v>
      </c>
      <c r="C101" s="14" t="s">
        <v>39</v>
      </c>
      <c r="D101" s="26" t="s">
        <v>1312</v>
      </c>
      <c r="E101" s="104"/>
      <c r="I101" s="53"/>
      <c r="J101" s="53"/>
      <c r="K101" s="53"/>
      <c r="L101" s="31"/>
      <c r="M101" s="31"/>
      <c r="N101" s="31"/>
      <c r="O101" s="31"/>
      <c r="P101" s="5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I101" s="53"/>
      <c r="AJ101" s="31"/>
    </row>
    <row r="102" spans="1:36" ht="14.25" customHeight="1" x14ac:dyDescent="0.4">
      <c r="A102" s="12" t="s">
        <v>39</v>
      </c>
      <c r="B102" s="13">
        <v>1</v>
      </c>
      <c r="C102" s="14" t="s">
        <v>438</v>
      </c>
      <c r="D102" s="26" t="s">
        <v>1313</v>
      </c>
      <c r="E102" s="104"/>
      <c r="I102" s="53"/>
      <c r="J102" s="53"/>
      <c r="K102" s="53"/>
      <c r="L102" s="31"/>
      <c r="M102" s="31"/>
      <c r="N102" s="31"/>
      <c r="O102" s="31"/>
      <c r="P102" s="5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I102" s="53"/>
      <c r="AJ102" s="31"/>
    </row>
    <row r="103" spans="1:36" ht="14.25" customHeight="1" x14ac:dyDescent="0.4">
      <c r="A103" s="12" t="s">
        <v>438</v>
      </c>
      <c r="B103" s="13">
        <v>2</v>
      </c>
      <c r="C103" s="14" t="s">
        <v>36</v>
      </c>
      <c r="D103" s="26" t="s">
        <v>1314</v>
      </c>
      <c r="E103" s="104"/>
      <c r="I103" s="53"/>
      <c r="J103" s="53"/>
      <c r="K103" s="53"/>
      <c r="L103" s="31"/>
      <c r="M103" s="31"/>
      <c r="N103" s="31"/>
      <c r="O103" s="31"/>
      <c r="P103" s="5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I103" s="53"/>
      <c r="AJ103" s="31"/>
    </row>
    <row r="104" spans="1:36" ht="14.25" customHeight="1" x14ac:dyDescent="0.4">
      <c r="A104" s="12" t="s">
        <v>39</v>
      </c>
      <c r="B104" s="13">
        <v>2</v>
      </c>
      <c r="C104" s="14" t="s">
        <v>36</v>
      </c>
      <c r="D104" s="26" t="s">
        <v>1315</v>
      </c>
      <c r="E104" s="104"/>
      <c r="I104" s="53"/>
      <c r="J104" s="53"/>
      <c r="K104" s="53"/>
      <c r="L104" s="31"/>
      <c r="M104" s="31"/>
      <c r="N104" s="31"/>
      <c r="O104" s="31"/>
      <c r="P104" s="5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I104" s="53"/>
      <c r="AJ104" s="31"/>
    </row>
    <row r="105" spans="1:36" ht="14.25" customHeight="1" x14ac:dyDescent="0.4">
      <c r="A105" s="12" t="s">
        <v>441</v>
      </c>
      <c r="B105" s="13">
        <v>2</v>
      </c>
      <c r="C105" s="14" t="s">
        <v>41</v>
      </c>
      <c r="D105" s="26" t="s">
        <v>1316</v>
      </c>
      <c r="E105" s="104"/>
      <c r="I105" s="53"/>
      <c r="J105" s="53"/>
      <c r="K105" s="53"/>
      <c r="L105" s="31"/>
      <c r="M105" s="31"/>
      <c r="N105" s="31"/>
      <c r="O105" s="31"/>
      <c r="P105" s="5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I105" s="53"/>
      <c r="AJ105" s="31"/>
    </row>
    <row r="106" spans="1:36" ht="14.25" customHeight="1" x14ac:dyDescent="0.4">
      <c r="A106" s="12" t="s">
        <v>730</v>
      </c>
      <c r="B106" s="13">
        <v>2</v>
      </c>
      <c r="C106" s="14" t="s">
        <v>39</v>
      </c>
      <c r="D106" s="26" t="s">
        <v>1317</v>
      </c>
      <c r="E106" s="104"/>
      <c r="I106" s="53"/>
      <c r="J106" s="53"/>
      <c r="K106" s="53"/>
      <c r="L106" s="31"/>
      <c r="M106" s="31"/>
      <c r="N106" s="31"/>
      <c r="O106" s="31"/>
      <c r="P106" s="5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I106" s="53"/>
      <c r="AJ106" s="31"/>
    </row>
    <row r="107" spans="1:36" ht="14.25" customHeight="1" x14ac:dyDescent="0.4">
      <c r="A107" s="12" t="s">
        <v>730</v>
      </c>
      <c r="B107" s="13">
        <v>1</v>
      </c>
      <c r="C107" s="14" t="s">
        <v>39</v>
      </c>
      <c r="D107" s="26" t="s">
        <v>1318</v>
      </c>
      <c r="E107" s="104"/>
      <c r="I107" s="53"/>
      <c r="J107" s="53"/>
      <c r="K107" s="53"/>
      <c r="L107" s="31"/>
      <c r="M107" s="31"/>
      <c r="N107" s="31"/>
      <c r="O107" s="31"/>
      <c r="P107" s="5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I107" s="53"/>
      <c r="AJ107" s="31"/>
    </row>
    <row r="108" spans="1:36" ht="14.25" customHeight="1" x14ac:dyDescent="0.4">
      <c r="A108" s="12" t="s">
        <v>39</v>
      </c>
      <c r="B108" s="13">
        <v>1</v>
      </c>
      <c r="C108" s="14" t="s">
        <v>730</v>
      </c>
      <c r="D108" s="26" t="s">
        <v>1319</v>
      </c>
      <c r="E108" s="104"/>
      <c r="I108" s="53"/>
      <c r="J108" s="53"/>
      <c r="K108" s="53"/>
      <c r="L108" s="31"/>
      <c r="M108" s="31"/>
      <c r="N108" s="31"/>
      <c r="O108" s="31"/>
      <c r="P108" s="5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I108" s="53"/>
      <c r="AJ108" s="31"/>
    </row>
    <row r="109" spans="1:36" ht="14.25" customHeight="1" x14ac:dyDescent="0.4">
      <c r="A109" s="12" t="s">
        <v>39</v>
      </c>
      <c r="B109" s="13">
        <v>2</v>
      </c>
      <c r="C109" s="14" t="s">
        <v>41</v>
      </c>
      <c r="D109" s="26" t="s">
        <v>1320</v>
      </c>
      <c r="E109" s="104"/>
      <c r="I109" s="53"/>
      <c r="J109" s="53"/>
      <c r="K109" s="53"/>
      <c r="L109" s="31"/>
      <c r="M109" s="31"/>
      <c r="N109" s="31"/>
      <c r="O109" s="31"/>
      <c r="P109" s="5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I109" s="53"/>
      <c r="AJ109" s="31"/>
    </row>
    <row r="110" spans="1:36" ht="14.25" customHeight="1" x14ac:dyDescent="0.4">
      <c r="A110" s="12" t="s">
        <v>734</v>
      </c>
      <c r="B110" s="13">
        <v>2</v>
      </c>
      <c r="C110" s="14" t="s">
        <v>730</v>
      </c>
      <c r="D110" s="26" t="s">
        <v>1321</v>
      </c>
      <c r="E110" s="104"/>
      <c r="I110" s="53"/>
      <c r="J110" s="53"/>
      <c r="K110" s="53"/>
      <c r="L110" s="31"/>
      <c r="M110" s="31"/>
      <c r="N110" s="31"/>
      <c r="O110" s="31"/>
      <c r="P110" s="5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I110" s="53"/>
      <c r="AJ110" s="31"/>
    </row>
    <row r="111" spans="1:36" ht="14.25" customHeight="1" x14ac:dyDescent="0.4">
      <c r="A111" s="12" t="s">
        <v>28</v>
      </c>
      <c r="B111" s="13">
        <v>1</v>
      </c>
      <c r="C111" s="14" t="s">
        <v>37</v>
      </c>
      <c r="D111" s="26" t="s">
        <v>1322</v>
      </c>
      <c r="E111" s="104"/>
      <c r="I111" s="53"/>
      <c r="J111" s="53"/>
      <c r="K111" s="53"/>
      <c r="L111" s="31"/>
      <c r="M111" s="31"/>
      <c r="N111" s="31"/>
      <c r="O111" s="31"/>
      <c r="P111" s="5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I111" s="53"/>
      <c r="AJ111" s="31"/>
    </row>
    <row r="112" spans="1:36" ht="14.25" customHeight="1" x14ac:dyDescent="0.4">
      <c r="A112" s="12" t="s">
        <v>37</v>
      </c>
      <c r="B112" s="13">
        <v>1</v>
      </c>
      <c r="C112" s="14" t="s">
        <v>28</v>
      </c>
      <c r="D112" s="26" t="s">
        <v>1323</v>
      </c>
      <c r="E112" s="104"/>
      <c r="I112" s="53"/>
      <c r="J112" s="53"/>
      <c r="K112" s="53"/>
      <c r="L112" s="31"/>
      <c r="M112" s="31"/>
      <c r="N112" s="31"/>
      <c r="O112" s="31"/>
      <c r="P112" s="5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I112" s="53"/>
      <c r="AJ112" s="31"/>
    </row>
    <row r="113" spans="1:36" ht="14.25" customHeight="1" x14ac:dyDescent="0.4">
      <c r="A113" s="12" t="s">
        <v>38</v>
      </c>
      <c r="B113" s="13">
        <v>2</v>
      </c>
      <c r="C113" s="14" t="s">
        <v>730</v>
      </c>
      <c r="D113" s="26" t="s">
        <v>1324</v>
      </c>
      <c r="E113" s="104"/>
      <c r="I113" s="53"/>
      <c r="J113" s="53"/>
      <c r="K113" s="53"/>
      <c r="L113" s="31"/>
      <c r="M113" s="31"/>
      <c r="N113" s="31"/>
      <c r="O113" s="31"/>
      <c r="P113" s="5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I113" s="53"/>
      <c r="AJ113" s="31"/>
    </row>
    <row r="114" spans="1:36" ht="14.25" customHeight="1" x14ac:dyDescent="0.4">
      <c r="A114" s="12" t="s">
        <v>438</v>
      </c>
      <c r="B114" s="13">
        <v>2</v>
      </c>
      <c r="C114" s="14" t="s">
        <v>730</v>
      </c>
      <c r="D114" s="26" t="s">
        <v>1325</v>
      </c>
      <c r="E114" s="104"/>
      <c r="I114" s="53"/>
      <c r="J114" s="53"/>
      <c r="K114" s="53"/>
      <c r="L114" s="31"/>
      <c r="M114" s="31"/>
      <c r="N114" s="31"/>
      <c r="O114" s="31"/>
      <c r="P114" s="5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I114" s="53"/>
      <c r="AJ114" s="31"/>
    </row>
    <row r="115" spans="1:36" ht="14.25" customHeight="1" x14ac:dyDescent="0.4">
      <c r="A115" s="12" t="s">
        <v>37</v>
      </c>
      <c r="B115" s="13">
        <v>1</v>
      </c>
      <c r="C115" s="14" t="s">
        <v>438</v>
      </c>
      <c r="D115" s="26" t="s">
        <v>1326</v>
      </c>
      <c r="E115" s="104"/>
      <c r="I115" s="53"/>
      <c r="J115" s="53"/>
      <c r="K115" s="53"/>
      <c r="L115" s="31"/>
      <c r="M115" s="31"/>
      <c r="N115" s="31"/>
      <c r="O115" s="31"/>
      <c r="P115" s="5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I115" s="53"/>
      <c r="AJ115" s="31"/>
    </row>
    <row r="116" spans="1:36" ht="14.25" customHeight="1" x14ac:dyDescent="0.4">
      <c r="A116" s="12" t="s">
        <v>37</v>
      </c>
      <c r="B116" s="13">
        <v>1</v>
      </c>
      <c r="C116" s="14" t="s">
        <v>38</v>
      </c>
      <c r="D116" s="26" t="s">
        <v>1326</v>
      </c>
      <c r="E116" s="104"/>
      <c r="I116" s="53"/>
      <c r="J116" s="53"/>
      <c r="K116" s="53"/>
      <c r="L116" s="31"/>
      <c r="M116" s="31"/>
      <c r="N116" s="31"/>
      <c r="O116" s="31"/>
      <c r="P116" s="5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I116" s="53"/>
      <c r="AJ116" s="31"/>
    </row>
    <row r="117" spans="1:36" ht="14.25" customHeight="1" x14ac:dyDescent="0.4">
      <c r="A117" s="12" t="s">
        <v>438</v>
      </c>
      <c r="B117" s="13">
        <v>1</v>
      </c>
      <c r="C117" s="14" t="s">
        <v>37</v>
      </c>
      <c r="D117" s="26" t="s">
        <v>1327</v>
      </c>
      <c r="E117" s="104"/>
      <c r="I117" s="53"/>
      <c r="J117" s="53"/>
      <c r="K117" s="53"/>
      <c r="L117" s="31"/>
      <c r="M117" s="31"/>
      <c r="N117" s="31"/>
      <c r="O117" s="31"/>
      <c r="P117" s="5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I117" s="53"/>
      <c r="AJ117" s="31"/>
    </row>
    <row r="118" spans="1:36" ht="14.25" customHeight="1" x14ac:dyDescent="0.4">
      <c r="A118" s="12" t="s">
        <v>438</v>
      </c>
      <c r="B118" s="13">
        <v>1</v>
      </c>
      <c r="C118" s="14" t="s">
        <v>28</v>
      </c>
      <c r="D118" s="26" t="s">
        <v>1328</v>
      </c>
      <c r="E118" s="104"/>
      <c r="I118" s="53"/>
      <c r="J118" s="53"/>
      <c r="K118" s="53"/>
      <c r="L118" s="31"/>
      <c r="M118" s="31"/>
      <c r="N118" s="31"/>
      <c r="O118" s="31"/>
      <c r="P118" s="5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I118" s="53"/>
      <c r="AJ118" s="31"/>
    </row>
    <row r="119" spans="1:36" ht="14.25" customHeight="1" x14ac:dyDescent="0.4">
      <c r="A119" s="12" t="s">
        <v>38</v>
      </c>
      <c r="B119" s="13">
        <v>1</v>
      </c>
      <c r="C119" s="14" t="s">
        <v>28</v>
      </c>
      <c r="D119" s="26" t="s">
        <v>1329</v>
      </c>
      <c r="E119" s="104"/>
      <c r="I119" s="53"/>
      <c r="J119" s="53"/>
      <c r="K119" s="53"/>
      <c r="L119" s="31"/>
      <c r="M119" s="31"/>
      <c r="N119" s="31"/>
      <c r="O119" s="31"/>
      <c r="P119" s="5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I119" s="53"/>
      <c r="AJ119" s="31"/>
    </row>
    <row r="120" spans="1:36" ht="14.25" customHeight="1" x14ac:dyDescent="0.4">
      <c r="A120" s="12" t="s">
        <v>28</v>
      </c>
      <c r="B120" s="13">
        <v>1</v>
      </c>
      <c r="C120" s="14" t="s">
        <v>38</v>
      </c>
      <c r="D120" s="26" t="s">
        <v>1330</v>
      </c>
      <c r="E120" s="104"/>
      <c r="I120" s="53"/>
      <c r="J120" s="53"/>
      <c r="K120" s="53"/>
      <c r="L120" s="31"/>
      <c r="M120" s="31"/>
      <c r="N120" s="31"/>
      <c r="O120" s="31"/>
      <c r="P120" s="5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I120" s="53"/>
      <c r="AJ120" s="31"/>
    </row>
    <row r="121" spans="1:36" ht="14.25" customHeight="1" x14ac:dyDescent="0.4">
      <c r="A121" s="12" t="s">
        <v>28</v>
      </c>
      <c r="B121" s="13">
        <v>1</v>
      </c>
      <c r="C121" s="14" t="s">
        <v>438</v>
      </c>
      <c r="D121" s="26" t="s">
        <v>1330</v>
      </c>
      <c r="E121" s="104"/>
      <c r="I121" s="53"/>
      <c r="J121" s="53"/>
      <c r="K121" s="53"/>
      <c r="L121" s="31"/>
      <c r="M121" s="31"/>
      <c r="N121" s="31"/>
      <c r="O121" s="31"/>
      <c r="P121" s="5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I121" s="53"/>
      <c r="AJ121" s="31"/>
    </row>
    <row r="122" spans="1:36" ht="14.25" customHeight="1" x14ac:dyDescent="0.4">
      <c r="A122" s="12" t="s">
        <v>38</v>
      </c>
      <c r="B122" s="13">
        <v>2</v>
      </c>
      <c r="C122" s="14" t="s">
        <v>33</v>
      </c>
      <c r="D122" s="26" t="s">
        <v>1331</v>
      </c>
      <c r="E122" s="104"/>
      <c r="I122" s="53"/>
      <c r="J122" s="53"/>
      <c r="K122" s="53"/>
      <c r="L122" s="31"/>
      <c r="M122" s="31"/>
      <c r="N122" s="31"/>
      <c r="O122" s="31"/>
      <c r="P122" s="5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I122" s="53"/>
      <c r="AJ122" s="31"/>
    </row>
    <row r="123" spans="1:36" ht="14.25" customHeight="1" x14ac:dyDescent="0.4">
      <c r="A123" s="12" t="s">
        <v>730</v>
      </c>
      <c r="B123" s="13">
        <v>2</v>
      </c>
      <c r="C123" s="14" t="s">
        <v>37</v>
      </c>
      <c r="D123" s="26" t="s">
        <v>1332</v>
      </c>
      <c r="E123" s="104"/>
      <c r="I123" s="53"/>
      <c r="J123" s="53"/>
      <c r="K123" s="53"/>
      <c r="L123" s="31"/>
      <c r="M123" s="31"/>
      <c r="N123" s="31"/>
      <c r="O123" s="31"/>
      <c r="P123" s="5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I123" s="53"/>
      <c r="AJ123" s="31"/>
    </row>
    <row r="124" spans="1:36" ht="14.25" customHeight="1" x14ac:dyDescent="0.4">
      <c r="A124" s="12" t="s">
        <v>37</v>
      </c>
      <c r="B124" s="13">
        <v>1</v>
      </c>
      <c r="C124" s="14" t="s">
        <v>730</v>
      </c>
      <c r="D124" s="26" t="s">
        <v>1333</v>
      </c>
      <c r="E124" s="104"/>
      <c r="I124" s="53"/>
      <c r="J124" s="53"/>
      <c r="K124" s="53"/>
      <c r="L124" s="31"/>
      <c r="M124" s="31"/>
      <c r="N124" s="31"/>
      <c r="O124" s="31"/>
      <c r="P124" s="5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I124" s="53"/>
      <c r="AJ124" s="31"/>
    </row>
    <row r="125" spans="1:36" ht="14.25" customHeight="1" x14ac:dyDescent="0.4">
      <c r="A125" s="12" t="s">
        <v>438</v>
      </c>
      <c r="B125" s="13">
        <v>1</v>
      </c>
      <c r="C125" s="14" t="s">
        <v>730</v>
      </c>
      <c r="D125" s="26" t="s">
        <v>1334</v>
      </c>
      <c r="E125" s="104"/>
      <c r="I125" s="53"/>
      <c r="J125" s="53"/>
      <c r="K125" s="53"/>
      <c r="L125" s="31"/>
      <c r="M125" s="31"/>
      <c r="N125" s="31"/>
      <c r="O125" s="31"/>
      <c r="P125" s="5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I125" s="53"/>
      <c r="AJ125" s="31"/>
    </row>
    <row r="126" spans="1:36" ht="14.25" customHeight="1" x14ac:dyDescent="0.4">
      <c r="A126" s="12" t="s">
        <v>36</v>
      </c>
      <c r="B126" s="13">
        <v>2</v>
      </c>
      <c r="C126" s="74" t="s">
        <v>1206</v>
      </c>
      <c r="D126" s="26" t="s">
        <v>1335</v>
      </c>
      <c r="E126" s="104"/>
    </row>
    <row r="127" spans="1:36" ht="14.25" customHeight="1" x14ac:dyDescent="0.4">
      <c r="A127" s="12" t="s">
        <v>36</v>
      </c>
      <c r="B127" s="13">
        <v>2</v>
      </c>
      <c r="C127" s="74" t="s">
        <v>734</v>
      </c>
      <c r="D127" s="26" t="s">
        <v>1336</v>
      </c>
      <c r="E127" s="104"/>
    </row>
    <row r="128" spans="1:36" ht="14.25" customHeight="1" x14ac:dyDescent="0.4">
      <c r="A128" s="12" t="s">
        <v>734</v>
      </c>
      <c r="B128" s="13">
        <v>2</v>
      </c>
      <c r="C128" s="74" t="s">
        <v>1206</v>
      </c>
      <c r="D128" s="26" t="s">
        <v>1337</v>
      </c>
      <c r="E128" s="104"/>
    </row>
    <row r="129" spans="1:5" ht="14.25" customHeight="1" x14ac:dyDescent="0.4">
      <c r="A129" s="12" t="s">
        <v>438</v>
      </c>
      <c r="B129" s="13">
        <v>0</v>
      </c>
      <c r="C129" s="74" t="s">
        <v>33</v>
      </c>
      <c r="D129" s="26" t="s">
        <v>1338</v>
      </c>
      <c r="E129" s="104"/>
    </row>
    <row r="130" spans="1:5" ht="14.25" customHeight="1" x14ac:dyDescent="0.4">
      <c r="A130" s="12" t="s">
        <v>1206</v>
      </c>
      <c r="B130" s="13">
        <v>2</v>
      </c>
      <c r="C130" s="14" t="s">
        <v>441</v>
      </c>
      <c r="D130" s="26" t="s">
        <v>1339</v>
      </c>
      <c r="E130" s="104"/>
    </row>
    <row r="131" spans="1:5" ht="14.25" customHeight="1" x14ac:dyDescent="0.4">
      <c r="A131" s="12" t="s">
        <v>734</v>
      </c>
      <c r="B131" s="13">
        <v>1</v>
      </c>
      <c r="C131" s="14" t="s">
        <v>28</v>
      </c>
      <c r="D131" s="26" t="s">
        <v>1340</v>
      </c>
      <c r="E131" s="104"/>
    </row>
    <row r="132" spans="1:5" ht="14.25" customHeight="1" x14ac:dyDescent="0.4">
      <c r="A132" s="12" t="s">
        <v>28</v>
      </c>
      <c r="B132" s="13">
        <v>1</v>
      </c>
      <c r="C132" s="14" t="s">
        <v>734</v>
      </c>
      <c r="D132" s="26" t="s">
        <v>1341</v>
      </c>
      <c r="E132" s="104"/>
    </row>
    <row r="133" spans="1:5" ht="14.25" customHeight="1" x14ac:dyDescent="0.4">
      <c r="A133" s="12" t="s">
        <v>39</v>
      </c>
      <c r="B133" s="13">
        <v>2</v>
      </c>
      <c r="C133" s="14" t="s">
        <v>28</v>
      </c>
      <c r="D133" s="26" t="s">
        <v>1342</v>
      </c>
      <c r="E133" s="104"/>
    </row>
    <row r="134" spans="1:5" ht="14.25" customHeight="1" x14ac:dyDescent="0.4">
      <c r="A134" s="12" t="s">
        <v>28</v>
      </c>
      <c r="B134" s="13">
        <v>1</v>
      </c>
      <c r="C134" s="14" t="s">
        <v>39</v>
      </c>
      <c r="D134" s="26" t="s">
        <v>1343</v>
      </c>
      <c r="E134" s="104"/>
    </row>
    <row r="135" spans="1:5" ht="14.25" customHeight="1" x14ac:dyDescent="0.4">
      <c r="A135" s="12" t="s">
        <v>37</v>
      </c>
      <c r="B135" s="13">
        <v>2</v>
      </c>
      <c r="C135" s="14" t="s">
        <v>438</v>
      </c>
      <c r="D135" s="26" t="s">
        <v>1344</v>
      </c>
      <c r="E135" s="104"/>
    </row>
    <row r="136" spans="1:5" ht="14.25" customHeight="1" x14ac:dyDescent="0.4">
      <c r="A136" s="12" t="s">
        <v>28</v>
      </c>
      <c r="B136" s="13">
        <v>2</v>
      </c>
      <c r="C136" s="14" t="s">
        <v>730</v>
      </c>
      <c r="D136" s="26" t="s">
        <v>1345</v>
      </c>
      <c r="E136" s="104"/>
    </row>
    <row r="137" spans="1:5" ht="14.25" customHeight="1" x14ac:dyDescent="0.4">
      <c r="A137" s="12" t="s">
        <v>438</v>
      </c>
      <c r="B137" s="13">
        <v>2</v>
      </c>
      <c r="C137" s="14" t="s">
        <v>28</v>
      </c>
      <c r="D137" s="26" t="s">
        <v>1346</v>
      </c>
      <c r="E137" s="104"/>
    </row>
    <row r="138" spans="1:5" ht="14.25" customHeight="1" x14ac:dyDescent="0.4">
      <c r="A138" s="12" t="s">
        <v>37</v>
      </c>
      <c r="B138" s="13">
        <v>2</v>
      </c>
      <c r="C138" s="14" t="s">
        <v>28</v>
      </c>
      <c r="D138" s="26" t="s">
        <v>1347</v>
      </c>
      <c r="E138" s="104"/>
    </row>
    <row r="139" spans="1:5" ht="14.25" customHeight="1" x14ac:dyDescent="0.4">
      <c r="A139" s="12" t="s">
        <v>37</v>
      </c>
      <c r="B139" s="13">
        <v>2</v>
      </c>
      <c r="C139" s="14" t="s">
        <v>438</v>
      </c>
      <c r="D139" s="26" t="s">
        <v>1348</v>
      </c>
      <c r="E139" s="104"/>
    </row>
    <row r="140" spans="1:5" ht="14.25" customHeight="1" x14ac:dyDescent="0.4">
      <c r="A140" s="12" t="s">
        <v>39</v>
      </c>
      <c r="B140" s="13">
        <v>1</v>
      </c>
      <c r="C140" s="14" t="s">
        <v>37</v>
      </c>
      <c r="D140" s="26" t="s">
        <v>1349</v>
      </c>
      <c r="E140" s="104"/>
    </row>
    <row r="141" spans="1:5" ht="14.25" customHeight="1" x14ac:dyDescent="0.4">
      <c r="A141" s="12" t="s">
        <v>37</v>
      </c>
      <c r="B141" s="13">
        <v>1</v>
      </c>
      <c r="C141" s="14" t="s">
        <v>734</v>
      </c>
      <c r="D141" s="26" t="s">
        <v>1350</v>
      </c>
      <c r="E141" s="104"/>
    </row>
    <row r="142" spans="1:5" ht="14.25" customHeight="1" x14ac:dyDescent="0.4">
      <c r="A142" s="12" t="s">
        <v>734</v>
      </c>
      <c r="B142" s="13">
        <v>1</v>
      </c>
      <c r="C142" s="14" t="s">
        <v>37</v>
      </c>
      <c r="D142" s="26" t="s">
        <v>1351</v>
      </c>
      <c r="E142" s="104"/>
    </row>
    <row r="143" spans="1:5" ht="14.25" customHeight="1" x14ac:dyDescent="0.4">
      <c r="A143" s="12" t="s">
        <v>39</v>
      </c>
      <c r="B143" s="13">
        <v>1</v>
      </c>
      <c r="C143" s="14" t="s">
        <v>28</v>
      </c>
      <c r="D143" s="26" t="s">
        <v>1352</v>
      </c>
      <c r="E143" s="104"/>
    </row>
    <row r="144" spans="1:5" ht="14.25" customHeight="1" x14ac:dyDescent="0.4">
      <c r="A144" s="12" t="s">
        <v>28</v>
      </c>
      <c r="B144" s="13">
        <v>1</v>
      </c>
      <c r="C144" s="14" t="s">
        <v>39</v>
      </c>
      <c r="D144" s="26" t="s">
        <v>1353</v>
      </c>
      <c r="E144" s="104"/>
    </row>
    <row r="145" spans="1:5" ht="14.25" customHeight="1" x14ac:dyDescent="0.4">
      <c r="A145" s="12" t="s">
        <v>39</v>
      </c>
      <c r="B145" s="13">
        <v>1</v>
      </c>
      <c r="C145" s="14" t="s">
        <v>438</v>
      </c>
      <c r="D145" s="26" t="s">
        <v>1354</v>
      </c>
      <c r="E145" s="104"/>
    </row>
    <row r="146" spans="1:5" ht="14.25" customHeight="1" x14ac:dyDescent="0.4">
      <c r="A146" s="12" t="s">
        <v>438</v>
      </c>
      <c r="B146" s="13">
        <v>1</v>
      </c>
      <c r="C146" s="14" t="s">
        <v>39</v>
      </c>
      <c r="D146" s="26" t="s">
        <v>1355</v>
      </c>
      <c r="E146" s="104"/>
    </row>
    <row r="147" spans="1:5" ht="14.25" customHeight="1" x14ac:dyDescent="0.4">
      <c r="A147" s="12" t="s">
        <v>438</v>
      </c>
      <c r="B147" s="13">
        <v>1</v>
      </c>
      <c r="C147" s="14" t="s">
        <v>28</v>
      </c>
      <c r="D147" s="26" t="s">
        <v>1356</v>
      </c>
      <c r="E147" s="104"/>
    </row>
    <row r="148" spans="1:5" ht="14.25" customHeight="1" x14ac:dyDescent="0.4">
      <c r="A148" s="12" t="s">
        <v>28</v>
      </c>
      <c r="B148" s="13">
        <v>1</v>
      </c>
      <c r="C148" s="14" t="s">
        <v>438</v>
      </c>
      <c r="D148" s="26" t="s">
        <v>1357</v>
      </c>
      <c r="E148" s="104"/>
    </row>
    <row r="149" spans="1:5" ht="14.25" customHeight="1" x14ac:dyDescent="0.4">
      <c r="A149" s="12" t="s">
        <v>39</v>
      </c>
      <c r="B149" s="13">
        <v>2</v>
      </c>
      <c r="C149" s="14" t="s">
        <v>28</v>
      </c>
      <c r="D149" s="26" t="s">
        <v>1358</v>
      </c>
      <c r="E149" s="104"/>
    </row>
    <row r="150" spans="1:5" ht="14.25" customHeight="1" x14ac:dyDescent="0.4">
      <c r="A150" s="12" t="s">
        <v>730</v>
      </c>
      <c r="B150" s="13">
        <v>2</v>
      </c>
      <c r="C150" s="14" t="s">
        <v>33</v>
      </c>
      <c r="D150" s="26" t="s">
        <v>1359</v>
      </c>
      <c r="E150" s="104"/>
    </row>
    <row r="151" spans="1:5" ht="14.25" customHeight="1" x14ac:dyDescent="0.4">
      <c r="A151" s="12" t="s">
        <v>438</v>
      </c>
      <c r="B151" s="13">
        <v>2</v>
      </c>
      <c r="C151" s="14" t="s">
        <v>730</v>
      </c>
      <c r="D151" s="26" t="s">
        <v>1360</v>
      </c>
      <c r="E151" s="104"/>
    </row>
    <row r="152" spans="1:5" ht="14.25" customHeight="1" x14ac:dyDescent="0.4">
      <c r="A152" s="12" t="s">
        <v>730</v>
      </c>
      <c r="B152" s="13">
        <v>1</v>
      </c>
      <c r="C152" s="14" t="s">
        <v>734</v>
      </c>
      <c r="D152" s="26" t="s">
        <v>1361</v>
      </c>
      <c r="E152" s="104"/>
    </row>
    <row r="153" spans="1:5" ht="14.25" customHeight="1" x14ac:dyDescent="0.4">
      <c r="A153" s="12" t="s">
        <v>734</v>
      </c>
      <c r="B153" s="13">
        <v>1</v>
      </c>
      <c r="C153" s="14" t="s">
        <v>730</v>
      </c>
      <c r="D153" s="26" t="s">
        <v>1362</v>
      </c>
      <c r="E153" s="104"/>
    </row>
    <row r="154" spans="1:5" ht="14.25" customHeight="1" x14ac:dyDescent="0.4">
      <c r="A154" s="12" t="s">
        <v>734</v>
      </c>
      <c r="B154" s="13">
        <v>2</v>
      </c>
      <c r="C154" s="14" t="s">
        <v>730</v>
      </c>
      <c r="D154" s="26" t="s">
        <v>1363</v>
      </c>
      <c r="E154" s="104"/>
    </row>
    <row r="155" spans="1:5" ht="14.25" customHeight="1" x14ac:dyDescent="0.4">
      <c r="A155" s="12" t="s">
        <v>730</v>
      </c>
      <c r="B155" s="13">
        <v>1</v>
      </c>
      <c r="C155" s="14" t="s">
        <v>734</v>
      </c>
      <c r="D155" s="26" t="s">
        <v>1364</v>
      </c>
      <c r="E155" s="104"/>
    </row>
    <row r="156" spans="1:5" ht="14.25" customHeight="1" x14ac:dyDescent="0.4">
      <c r="A156" s="12" t="s">
        <v>39</v>
      </c>
      <c r="B156" s="13">
        <v>2</v>
      </c>
      <c r="C156" s="14" t="s">
        <v>1206</v>
      </c>
      <c r="D156" s="26" t="s">
        <v>1365</v>
      </c>
      <c r="E156" s="104"/>
    </row>
    <row r="157" spans="1:5" ht="14.25" customHeight="1" x14ac:dyDescent="0.4">
      <c r="A157" s="12" t="s">
        <v>39</v>
      </c>
      <c r="B157" s="13">
        <v>2</v>
      </c>
      <c r="C157" s="14" t="s">
        <v>441</v>
      </c>
      <c r="D157" s="26" t="s">
        <v>1365</v>
      </c>
      <c r="E157" s="104"/>
    </row>
    <row r="158" spans="1:5" ht="14.25" customHeight="1" x14ac:dyDescent="0.4">
      <c r="A158" s="12" t="s">
        <v>39</v>
      </c>
      <c r="B158" s="13">
        <v>2</v>
      </c>
      <c r="C158" s="14" t="s">
        <v>33</v>
      </c>
      <c r="D158" s="26" t="s">
        <v>1365</v>
      </c>
      <c r="E158" s="104"/>
    </row>
    <row r="159" spans="1:5" ht="14.25" customHeight="1" x14ac:dyDescent="0.4">
      <c r="D159" s="26"/>
      <c r="E159" s="104"/>
    </row>
    <row r="160" spans="1:5" ht="14.25" customHeight="1" x14ac:dyDescent="0.4">
      <c r="E160" s="97"/>
    </row>
    <row r="161" spans="5:5" ht="14.25" customHeight="1" x14ac:dyDescent="0.4">
      <c r="E161" s="97"/>
    </row>
    <row r="162" spans="5:5" ht="14.25" customHeight="1" x14ac:dyDescent="0.4">
      <c r="E162" s="97"/>
    </row>
    <row r="163" spans="5:5" ht="14.25" customHeight="1" x14ac:dyDescent="0.4">
      <c r="E163" s="97"/>
    </row>
    <row r="164" spans="5:5" ht="14.25" customHeight="1" x14ac:dyDescent="0.4">
      <c r="E164" s="97"/>
    </row>
    <row r="165" spans="5:5" ht="14.25" customHeight="1" x14ac:dyDescent="0.4">
      <c r="E165" s="97"/>
    </row>
    <row r="166" spans="5:5" ht="14.25" customHeight="1" x14ac:dyDescent="0.4">
      <c r="E166" s="97"/>
    </row>
    <row r="167" spans="5:5" ht="14.25" customHeight="1" x14ac:dyDescent="0.4">
      <c r="E167" s="97"/>
    </row>
    <row r="168" spans="5:5" ht="14.25" customHeight="1" x14ac:dyDescent="0.4">
      <c r="E168" s="97"/>
    </row>
    <row r="169" spans="5:5" ht="14.25" customHeight="1" x14ac:dyDescent="0.4">
      <c r="E169" s="97"/>
    </row>
    <row r="170" spans="5:5" ht="14.25" customHeight="1" x14ac:dyDescent="0.4">
      <c r="E170" s="97"/>
    </row>
    <row r="171" spans="5:5" ht="14.25" customHeight="1" x14ac:dyDescent="0.4">
      <c r="E171" s="97"/>
    </row>
    <row r="172" spans="5:5" ht="14.25" customHeight="1" x14ac:dyDescent="0.4">
      <c r="E172" s="97"/>
    </row>
    <row r="173" spans="5:5" ht="14.25" customHeight="1" x14ac:dyDescent="0.4">
      <c r="E173" s="97"/>
    </row>
    <row r="174" spans="5:5" ht="14.25" customHeight="1" x14ac:dyDescent="0.4">
      <c r="E174" s="97"/>
    </row>
    <row r="175" spans="5:5" ht="14.25" customHeight="1" x14ac:dyDescent="0.4">
      <c r="E175" s="97"/>
    </row>
    <row r="176" spans="5:5" ht="14.25" customHeight="1" x14ac:dyDescent="0.4">
      <c r="E176" s="97"/>
    </row>
    <row r="177" spans="5:5" ht="14.25" customHeight="1" x14ac:dyDescent="0.4">
      <c r="E177" s="97"/>
    </row>
    <row r="178" spans="5:5" ht="14.25" customHeight="1" x14ac:dyDescent="0.4">
      <c r="E178" s="97"/>
    </row>
    <row r="179" spans="5:5" ht="14.25" customHeight="1" x14ac:dyDescent="0.4">
      <c r="E179" s="97"/>
    </row>
    <row r="180" spans="5:5" ht="14.25" customHeight="1" x14ac:dyDescent="0.4">
      <c r="E180" s="97"/>
    </row>
    <row r="181" spans="5:5" ht="14.25" customHeight="1" x14ac:dyDescent="0.4">
      <c r="E181" s="97"/>
    </row>
    <row r="182" spans="5:5" ht="14.25" customHeight="1" x14ac:dyDescent="0.4">
      <c r="E182" s="97"/>
    </row>
    <row r="183" spans="5:5" ht="14.25" customHeight="1" x14ac:dyDescent="0.4">
      <c r="E183" s="97"/>
    </row>
    <row r="184" spans="5:5" ht="14.25" customHeight="1" x14ac:dyDescent="0.4">
      <c r="E184" s="97"/>
    </row>
    <row r="185" spans="5:5" ht="14.25" customHeight="1" x14ac:dyDescent="0.4">
      <c r="E185" s="97"/>
    </row>
    <row r="186" spans="5:5" ht="14.25" customHeight="1" x14ac:dyDescent="0.4">
      <c r="E186" s="97"/>
    </row>
    <row r="187" spans="5:5" ht="14.25" customHeight="1" x14ac:dyDescent="0.4">
      <c r="E187" s="97"/>
    </row>
    <row r="188" spans="5:5" ht="14.25" customHeight="1" x14ac:dyDescent="0.4">
      <c r="E188" s="97"/>
    </row>
    <row r="189" spans="5:5" ht="14.25" customHeight="1" x14ac:dyDescent="0.4">
      <c r="E189" s="97"/>
    </row>
    <row r="190" spans="5:5" ht="14.25" customHeight="1" x14ac:dyDescent="0.4">
      <c r="E190" s="97"/>
    </row>
    <row r="191" spans="5:5" ht="14.25" customHeight="1" x14ac:dyDescent="0.4">
      <c r="E191" s="97"/>
    </row>
    <row r="192" spans="5:5" ht="14.25" customHeight="1" x14ac:dyDescent="0.4">
      <c r="E192" s="97"/>
    </row>
    <row r="193" spans="5:5" ht="14.25" customHeight="1" x14ac:dyDescent="0.4">
      <c r="E193" s="97"/>
    </row>
    <row r="194" spans="5:5" ht="14.25" customHeight="1" x14ac:dyDescent="0.4">
      <c r="E194" s="97"/>
    </row>
    <row r="195" spans="5:5" ht="14.25" customHeight="1" x14ac:dyDescent="0.4">
      <c r="E195" s="97"/>
    </row>
    <row r="196" spans="5:5" ht="14.25" customHeight="1" x14ac:dyDescent="0.4">
      <c r="E196" s="97"/>
    </row>
    <row r="197" spans="5:5" ht="14.25" customHeight="1" x14ac:dyDescent="0.4">
      <c r="E197" s="97"/>
    </row>
    <row r="198" spans="5:5" ht="14.25" customHeight="1" x14ac:dyDescent="0.4">
      <c r="E198" s="97"/>
    </row>
    <row r="199" spans="5:5" ht="14.25" customHeight="1" x14ac:dyDescent="0.4">
      <c r="E199" s="97"/>
    </row>
    <row r="200" spans="5:5" ht="14.25" customHeight="1" x14ac:dyDescent="0.4">
      <c r="E200" s="97"/>
    </row>
    <row r="201" spans="5:5" ht="14.25" customHeight="1" x14ac:dyDescent="0.4">
      <c r="E201" s="97"/>
    </row>
    <row r="202" spans="5:5" ht="14.25" customHeight="1" x14ac:dyDescent="0.4">
      <c r="E202" s="97"/>
    </row>
    <row r="203" spans="5:5" ht="14.25" customHeight="1" x14ac:dyDescent="0.4">
      <c r="E203" s="97"/>
    </row>
    <row r="204" spans="5:5" ht="14.25" customHeight="1" x14ac:dyDescent="0.4">
      <c r="E204" s="97"/>
    </row>
    <row r="205" spans="5:5" ht="14.25" customHeight="1" x14ac:dyDescent="0.4">
      <c r="E205" s="97"/>
    </row>
    <row r="206" spans="5:5" ht="14.25" customHeight="1" x14ac:dyDescent="0.4">
      <c r="E206" s="97"/>
    </row>
    <row r="207" spans="5:5" ht="14.25" customHeight="1" x14ac:dyDescent="0.4">
      <c r="E207" s="97"/>
    </row>
    <row r="208" spans="5:5" ht="14.25" customHeight="1" x14ac:dyDescent="0.4">
      <c r="E208" s="97"/>
    </row>
    <row r="209" spans="5:5" ht="14.25" customHeight="1" x14ac:dyDescent="0.4">
      <c r="E209" s="97"/>
    </row>
    <row r="210" spans="5:5" ht="14.25" customHeight="1" x14ac:dyDescent="0.4">
      <c r="E210" s="97"/>
    </row>
    <row r="211" spans="5:5" ht="14.25" customHeight="1" x14ac:dyDescent="0.4">
      <c r="E211" s="97"/>
    </row>
    <row r="212" spans="5:5" ht="14.25" customHeight="1" x14ac:dyDescent="0.4">
      <c r="E212" s="97"/>
    </row>
    <row r="213" spans="5:5" ht="14.25" customHeight="1" x14ac:dyDescent="0.4">
      <c r="E213" s="97"/>
    </row>
    <row r="214" spans="5:5" ht="14.25" customHeight="1" x14ac:dyDescent="0.4">
      <c r="E214" s="97"/>
    </row>
    <row r="215" spans="5:5" ht="14.25" customHeight="1" x14ac:dyDescent="0.4">
      <c r="E215" s="97"/>
    </row>
    <row r="216" spans="5:5" ht="14.25" customHeight="1" x14ac:dyDescent="0.4">
      <c r="E216" s="97"/>
    </row>
    <row r="217" spans="5:5" ht="14.25" customHeight="1" x14ac:dyDescent="0.4">
      <c r="E217" s="97"/>
    </row>
    <row r="218" spans="5:5" ht="14.25" customHeight="1" x14ac:dyDescent="0.4">
      <c r="E218" s="97"/>
    </row>
    <row r="219" spans="5:5" ht="14.25" customHeight="1" x14ac:dyDescent="0.4">
      <c r="E219" s="97"/>
    </row>
    <row r="220" spans="5:5" ht="14.25" customHeight="1" x14ac:dyDescent="0.4">
      <c r="E220" s="97"/>
    </row>
    <row r="221" spans="5:5" ht="14.25" customHeight="1" x14ac:dyDescent="0.4">
      <c r="E221" s="97"/>
    </row>
    <row r="222" spans="5:5" ht="14.25" customHeight="1" x14ac:dyDescent="0.4">
      <c r="E222" s="97"/>
    </row>
    <row r="223" spans="5:5" ht="14.25" customHeight="1" x14ac:dyDescent="0.4">
      <c r="E223" s="97"/>
    </row>
    <row r="224" spans="5:5" ht="14.25" customHeight="1" x14ac:dyDescent="0.4">
      <c r="E224" s="97"/>
    </row>
    <row r="225" spans="5:5" ht="14.25" customHeight="1" x14ac:dyDescent="0.4">
      <c r="E225" s="97"/>
    </row>
    <row r="226" spans="5:5" ht="14.25" customHeight="1" x14ac:dyDescent="0.4">
      <c r="E226" s="97"/>
    </row>
    <row r="227" spans="5:5" ht="14.25" customHeight="1" x14ac:dyDescent="0.4">
      <c r="E227" s="97"/>
    </row>
    <row r="228" spans="5:5" ht="14.25" customHeight="1" x14ac:dyDescent="0.4">
      <c r="E228" s="97"/>
    </row>
    <row r="229" spans="5:5" ht="14.25" customHeight="1" x14ac:dyDescent="0.4">
      <c r="E229" s="97"/>
    </row>
    <row r="230" spans="5:5" ht="14.25" customHeight="1" x14ac:dyDescent="0.4">
      <c r="E230" s="97"/>
    </row>
    <row r="231" spans="5:5" ht="14.25" customHeight="1" x14ac:dyDescent="0.4">
      <c r="E231" s="97"/>
    </row>
    <row r="232" spans="5:5" ht="14.25" customHeight="1" x14ac:dyDescent="0.4">
      <c r="E232" s="97"/>
    </row>
    <row r="233" spans="5:5" ht="14.25" customHeight="1" x14ac:dyDescent="0.4">
      <c r="E233" s="97"/>
    </row>
    <row r="234" spans="5:5" ht="14.25" customHeight="1" x14ac:dyDescent="0.4">
      <c r="E234" s="97"/>
    </row>
    <row r="235" spans="5:5" ht="14.25" customHeight="1" x14ac:dyDescent="0.4">
      <c r="E235" s="97"/>
    </row>
    <row r="236" spans="5:5" ht="14.25" customHeight="1" x14ac:dyDescent="0.4">
      <c r="E236" s="97"/>
    </row>
    <row r="237" spans="5:5" ht="14.25" customHeight="1" x14ac:dyDescent="0.4">
      <c r="E237" s="97"/>
    </row>
    <row r="238" spans="5:5" ht="14.25" customHeight="1" x14ac:dyDescent="0.4">
      <c r="E238" s="97"/>
    </row>
    <row r="239" spans="5:5" ht="14.25" customHeight="1" x14ac:dyDescent="0.4">
      <c r="E239" s="97"/>
    </row>
    <row r="240" spans="5:5" ht="14.25" customHeight="1" x14ac:dyDescent="0.4">
      <c r="E240" s="97"/>
    </row>
    <row r="241" spans="5:5" ht="14.25" customHeight="1" x14ac:dyDescent="0.4">
      <c r="E241" s="97"/>
    </row>
    <row r="242" spans="5:5" ht="14.25" customHeight="1" x14ac:dyDescent="0.4">
      <c r="E242" s="97"/>
    </row>
    <row r="243" spans="5:5" ht="14.25" customHeight="1" x14ac:dyDescent="0.4">
      <c r="E243" s="97"/>
    </row>
    <row r="244" spans="5:5" ht="14.25" customHeight="1" x14ac:dyDescent="0.4">
      <c r="E244" s="97"/>
    </row>
    <row r="245" spans="5:5" ht="14.25" customHeight="1" x14ac:dyDescent="0.4">
      <c r="E245" s="97"/>
    </row>
    <row r="246" spans="5:5" ht="14.25" customHeight="1" x14ac:dyDescent="0.4">
      <c r="E246" s="97"/>
    </row>
    <row r="247" spans="5:5" ht="14.25" customHeight="1" x14ac:dyDescent="0.4">
      <c r="E247" s="97"/>
    </row>
    <row r="248" spans="5:5" ht="14.25" customHeight="1" x14ac:dyDescent="0.4">
      <c r="E248" s="97"/>
    </row>
    <row r="249" spans="5:5" ht="14.25" customHeight="1" x14ac:dyDescent="0.4">
      <c r="E249" s="97"/>
    </row>
    <row r="250" spans="5:5" ht="14.25" customHeight="1" x14ac:dyDescent="0.4">
      <c r="E250" s="97"/>
    </row>
    <row r="251" spans="5:5" ht="14.25" customHeight="1" x14ac:dyDescent="0.4">
      <c r="E251" s="97"/>
    </row>
    <row r="252" spans="5:5" ht="14.25" customHeight="1" x14ac:dyDescent="0.4">
      <c r="E252" s="97"/>
    </row>
    <row r="253" spans="5:5" ht="14.25" customHeight="1" x14ac:dyDescent="0.4">
      <c r="E253" s="97"/>
    </row>
    <row r="254" spans="5:5" ht="14.25" customHeight="1" x14ac:dyDescent="0.4">
      <c r="E254" s="97"/>
    </row>
    <row r="255" spans="5:5" ht="14.25" customHeight="1" x14ac:dyDescent="0.4">
      <c r="E255" s="97"/>
    </row>
    <row r="256" spans="5:5" ht="14.25" customHeight="1" x14ac:dyDescent="0.4">
      <c r="E256" s="97"/>
    </row>
    <row r="257" spans="5:5" ht="14.25" customHeight="1" x14ac:dyDescent="0.4">
      <c r="E257" s="97"/>
    </row>
    <row r="258" spans="5:5" ht="14.25" customHeight="1" x14ac:dyDescent="0.4">
      <c r="E258" s="97"/>
    </row>
    <row r="259" spans="5:5" ht="14.25" customHeight="1" x14ac:dyDescent="0.4">
      <c r="E259" s="97"/>
    </row>
    <row r="260" spans="5:5" ht="14.25" customHeight="1" x14ac:dyDescent="0.4">
      <c r="E260" s="97"/>
    </row>
    <row r="261" spans="5:5" ht="14.25" customHeight="1" x14ac:dyDescent="0.4">
      <c r="E261" s="97"/>
    </row>
    <row r="262" spans="5:5" ht="14.25" customHeight="1" x14ac:dyDescent="0.4">
      <c r="E262" s="97"/>
    </row>
    <row r="263" spans="5:5" ht="14.25" customHeight="1" x14ac:dyDescent="0.4">
      <c r="E263" s="97"/>
    </row>
    <row r="264" spans="5:5" ht="14.25" customHeight="1" x14ac:dyDescent="0.4">
      <c r="E264" s="97"/>
    </row>
    <row r="265" spans="5:5" ht="14.25" customHeight="1" x14ac:dyDescent="0.4">
      <c r="E265" s="97"/>
    </row>
    <row r="266" spans="5:5" ht="14.25" customHeight="1" x14ac:dyDescent="0.4">
      <c r="E266" s="97"/>
    </row>
    <row r="267" spans="5:5" ht="14.25" customHeight="1" x14ac:dyDescent="0.4">
      <c r="E267" s="97"/>
    </row>
    <row r="268" spans="5:5" ht="14.25" customHeight="1" x14ac:dyDescent="0.4">
      <c r="E268" s="97"/>
    </row>
    <row r="269" spans="5:5" ht="14.25" customHeight="1" x14ac:dyDescent="0.4">
      <c r="E269" s="97"/>
    </row>
    <row r="270" spans="5:5" ht="14.25" customHeight="1" x14ac:dyDescent="0.4">
      <c r="E270" s="97"/>
    </row>
    <row r="271" spans="5:5" ht="14.25" customHeight="1" x14ac:dyDescent="0.4">
      <c r="E271" s="97"/>
    </row>
    <row r="272" spans="5:5" ht="14.25" customHeight="1" x14ac:dyDescent="0.4">
      <c r="E272" s="97"/>
    </row>
    <row r="273" spans="5:5" ht="14.25" customHeight="1" x14ac:dyDescent="0.4">
      <c r="E273" s="97"/>
    </row>
    <row r="274" spans="5:5" ht="14.25" customHeight="1" x14ac:dyDescent="0.4">
      <c r="E274" s="97"/>
    </row>
    <row r="275" spans="5:5" ht="14.25" customHeight="1" x14ac:dyDescent="0.4">
      <c r="E275" s="97"/>
    </row>
    <row r="276" spans="5:5" ht="14.25" customHeight="1" x14ac:dyDescent="0.4">
      <c r="E276" s="97"/>
    </row>
    <row r="277" spans="5:5" ht="14.25" customHeight="1" x14ac:dyDescent="0.4">
      <c r="E277" s="97"/>
    </row>
    <row r="278" spans="5:5" ht="14.25" customHeight="1" x14ac:dyDescent="0.4">
      <c r="E278" s="97"/>
    </row>
    <row r="279" spans="5:5" ht="14.25" customHeight="1" x14ac:dyDescent="0.4">
      <c r="E279" s="97"/>
    </row>
    <row r="280" spans="5:5" ht="14.25" customHeight="1" x14ac:dyDescent="0.4">
      <c r="E280" s="97"/>
    </row>
    <row r="281" spans="5:5" ht="14.25" customHeight="1" x14ac:dyDescent="0.4">
      <c r="E281" s="97"/>
    </row>
    <row r="282" spans="5:5" ht="14.25" customHeight="1" x14ac:dyDescent="0.4">
      <c r="E282" s="97"/>
    </row>
    <row r="283" spans="5:5" ht="14.25" customHeight="1" x14ac:dyDescent="0.4">
      <c r="E283" s="97"/>
    </row>
    <row r="284" spans="5:5" ht="14.25" customHeight="1" x14ac:dyDescent="0.4">
      <c r="E284" s="97"/>
    </row>
    <row r="285" spans="5:5" ht="14.25" customHeight="1" x14ac:dyDescent="0.4">
      <c r="E285" s="97"/>
    </row>
    <row r="286" spans="5:5" ht="14.25" customHeight="1" x14ac:dyDescent="0.4">
      <c r="E286" s="97"/>
    </row>
    <row r="287" spans="5:5" ht="14.25" customHeight="1" x14ac:dyDescent="0.4">
      <c r="E287" s="97"/>
    </row>
    <row r="288" spans="5:5" ht="14.25" customHeight="1" x14ac:dyDescent="0.4">
      <c r="E288" s="97"/>
    </row>
    <row r="289" spans="5:5" ht="14.25" customHeight="1" x14ac:dyDescent="0.4">
      <c r="E289" s="97"/>
    </row>
    <row r="290" spans="5:5" ht="14.25" customHeight="1" x14ac:dyDescent="0.4">
      <c r="E290" s="97"/>
    </row>
    <row r="291" spans="5:5" ht="14.25" customHeight="1" x14ac:dyDescent="0.4">
      <c r="E291" s="97"/>
    </row>
    <row r="292" spans="5:5" ht="14.25" customHeight="1" x14ac:dyDescent="0.4">
      <c r="E292" s="97"/>
    </row>
    <row r="293" spans="5:5" ht="14.25" customHeight="1" x14ac:dyDescent="0.4">
      <c r="E293" s="97"/>
    </row>
    <row r="294" spans="5:5" ht="14.25" customHeight="1" x14ac:dyDescent="0.4">
      <c r="E294" s="97"/>
    </row>
    <row r="295" spans="5:5" ht="14.25" customHeight="1" x14ac:dyDescent="0.4">
      <c r="E295" s="97"/>
    </row>
    <row r="296" spans="5:5" ht="14.25" customHeight="1" x14ac:dyDescent="0.4">
      <c r="E296" s="97"/>
    </row>
    <row r="297" spans="5:5" ht="14.25" customHeight="1" x14ac:dyDescent="0.4">
      <c r="E297" s="97"/>
    </row>
    <row r="298" spans="5:5" ht="14.25" customHeight="1" x14ac:dyDescent="0.4">
      <c r="E298" s="97"/>
    </row>
    <row r="299" spans="5:5" ht="14.25" customHeight="1" x14ac:dyDescent="0.4">
      <c r="E299" s="97"/>
    </row>
    <row r="300" spans="5:5" ht="14.25" customHeight="1" x14ac:dyDescent="0.4">
      <c r="E300" s="97"/>
    </row>
    <row r="301" spans="5:5" ht="14.25" customHeight="1" x14ac:dyDescent="0.4">
      <c r="E301" s="97"/>
    </row>
    <row r="302" spans="5:5" ht="14.25" customHeight="1" x14ac:dyDescent="0.4">
      <c r="E302" s="97"/>
    </row>
    <row r="303" spans="5:5" ht="14.25" customHeight="1" x14ac:dyDescent="0.4">
      <c r="E303" s="97"/>
    </row>
    <row r="304" spans="5:5" ht="14.25" customHeight="1" x14ac:dyDescent="0.4">
      <c r="E304" s="97"/>
    </row>
    <row r="305" spans="5:5" ht="14.25" customHeight="1" x14ac:dyDescent="0.4">
      <c r="E305" s="97"/>
    </row>
    <row r="306" spans="5:5" ht="14.25" customHeight="1" x14ac:dyDescent="0.4">
      <c r="E306" s="97"/>
    </row>
    <row r="307" spans="5:5" ht="14.25" customHeight="1" x14ac:dyDescent="0.4">
      <c r="E307" s="97"/>
    </row>
    <row r="308" spans="5:5" ht="14.25" customHeight="1" x14ac:dyDescent="0.4">
      <c r="E308" s="97"/>
    </row>
    <row r="309" spans="5:5" ht="14.25" customHeight="1" x14ac:dyDescent="0.4">
      <c r="E309" s="97"/>
    </row>
    <row r="310" spans="5:5" ht="14.25" customHeight="1" x14ac:dyDescent="0.4">
      <c r="E310" s="97"/>
    </row>
    <row r="311" spans="5:5" ht="14.25" customHeight="1" x14ac:dyDescent="0.4">
      <c r="E311" s="97"/>
    </row>
    <row r="312" spans="5:5" ht="14.25" customHeight="1" x14ac:dyDescent="0.4">
      <c r="E312" s="97"/>
    </row>
    <row r="313" spans="5:5" ht="14.25" customHeight="1" x14ac:dyDescent="0.4">
      <c r="E313" s="97"/>
    </row>
    <row r="314" spans="5:5" ht="14.25" customHeight="1" x14ac:dyDescent="0.4">
      <c r="E314" s="97"/>
    </row>
    <row r="315" spans="5:5" ht="14.25" customHeight="1" x14ac:dyDescent="0.4">
      <c r="E315" s="97"/>
    </row>
    <row r="316" spans="5:5" ht="14.25" customHeight="1" x14ac:dyDescent="0.4">
      <c r="E316" s="97"/>
    </row>
    <row r="317" spans="5:5" ht="14.25" customHeight="1" x14ac:dyDescent="0.4">
      <c r="E317" s="97"/>
    </row>
    <row r="318" spans="5:5" ht="14.25" customHeight="1" x14ac:dyDescent="0.4">
      <c r="E318" s="97"/>
    </row>
    <row r="319" spans="5:5" ht="14.25" customHeight="1" x14ac:dyDescent="0.4">
      <c r="E319" s="97"/>
    </row>
    <row r="320" spans="5:5" ht="14.25" customHeight="1" x14ac:dyDescent="0.4">
      <c r="E320" s="97"/>
    </row>
    <row r="321" spans="5:5" ht="14.25" customHeight="1" x14ac:dyDescent="0.4">
      <c r="E321" s="97"/>
    </row>
    <row r="322" spans="5:5" ht="14.25" customHeight="1" x14ac:dyDescent="0.4">
      <c r="E322" s="97"/>
    </row>
    <row r="323" spans="5:5" ht="14.25" customHeight="1" x14ac:dyDescent="0.4">
      <c r="E323" s="97"/>
    </row>
    <row r="324" spans="5:5" ht="14.25" customHeight="1" x14ac:dyDescent="0.4">
      <c r="E324" s="97"/>
    </row>
    <row r="325" spans="5:5" ht="14.25" customHeight="1" x14ac:dyDescent="0.4">
      <c r="E325" s="97"/>
    </row>
    <row r="326" spans="5:5" ht="14.25" customHeight="1" x14ac:dyDescent="0.4">
      <c r="E326" s="97"/>
    </row>
    <row r="327" spans="5:5" ht="14.25" customHeight="1" x14ac:dyDescent="0.4">
      <c r="E327" s="97"/>
    </row>
    <row r="328" spans="5:5" ht="14.25" customHeight="1" x14ac:dyDescent="0.4">
      <c r="E328" s="97"/>
    </row>
    <row r="329" spans="5:5" ht="14.25" customHeight="1" x14ac:dyDescent="0.4">
      <c r="E329" s="97"/>
    </row>
    <row r="330" spans="5:5" ht="14.25" customHeight="1" x14ac:dyDescent="0.4">
      <c r="E330" s="97"/>
    </row>
    <row r="331" spans="5:5" ht="14.25" customHeight="1" x14ac:dyDescent="0.4">
      <c r="E331" s="97"/>
    </row>
    <row r="332" spans="5:5" ht="14.25" customHeight="1" x14ac:dyDescent="0.4">
      <c r="E332" s="97"/>
    </row>
    <row r="333" spans="5:5" ht="14.25" customHeight="1" x14ac:dyDescent="0.4">
      <c r="E333" s="97"/>
    </row>
    <row r="334" spans="5:5" ht="14.25" customHeight="1" x14ac:dyDescent="0.4">
      <c r="E334" s="97"/>
    </row>
    <row r="335" spans="5:5" ht="14.25" customHeight="1" x14ac:dyDescent="0.4">
      <c r="E335" s="97"/>
    </row>
    <row r="336" spans="5:5" ht="14.25" customHeight="1" x14ac:dyDescent="0.4">
      <c r="E336" s="97"/>
    </row>
    <row r="337" spans="5:5" ht="14.25" customHeight="1" x14ac:dyDescent="0.4">
      <c r="E337" s="97"/>
    </row>
    <row r="338" spans="5:5" ht="14.25" customHeight="1" x14ac:dyDescent="0.4">
      <c r="E338" s="97"/>
    </row>
    <row r="339" spans="5:5" ht="14.25" customHeight="1" x14ac:dyDescent="0.4">
      <c r="E339" s="97"/>
    </row>
    <row r="340" spans="5:5" ht="14.25" customHeight="1" x14ac:dyDescent="0.4">
      <c r="E340" s="97"/>
    </row>
    <row r="341" spans="5:5" ht="14.25" customHeight="1" x14ac:dyDescent="0.4">
      <c r="E341" s="97"/>
    </row>
    <row r="342" spans="5:5" ht="14.25" customHeight="1" x14ac:dyDescent="0.4">
      <c r="E342" s="97"/>
    </row>
    <row r="343" spans="5:5" ht="14.25" customHeight="1" x14ac:dyDescent="0.4">
      <c r="E343" s="97"/>
    </row>
    <row r="344" spans="5:5" ht="14.25" customHeight="1" x14ac:dyDescent="0.4">
      <c r="E344" s="97"/>
    </row>
    <row r="345" spans="5:5" ht="14.25" customHeight="1" x14ac:dyDescent="0.4">
      <c r="E345" s="97"/>
    </row>
    <row r="346" spans="5:5" ht="14.25" customHeight="1" x14ac:dyDescent="0.4">
      <c r="E346" s="97"/>
    </row>
    <row r="347" spans="5:5" ht="14.25" customHeight="1" x14ac:dyDescent="0.4">
      <c r="E347" s="97"/>
    </row>
    <row r="348" spans="5:5" ht="14.25" customHeight="1" x14ac:dyDescent="0.4">
      <c r="E348" s="97"/>
    </row>
    <row r="349" spans="5:5" ht="14.25" customHeight="1" x14ac:dyDescent="0.4">
      <c r="E349" s="97"/>
    </row>
    <row r="350" spans="5:5" ht="14.25" customHeight="1" x14ac:dyDescent="0.4">
      <c r="E350" s="97"/>
    </row>
    <row r="351" spans="5:5" ht="14.25" customHeight="1" x14ac:dyDescent="0.4">
      <c r="E351" s="97"/>
    </row>
    <row r="352" spans="5:5" ht="14.25" customHeight="1" x14ac:dyDescent="0.4">
      <c r="E352" s="97"/>
    </row>
    <row r="353" spans="5:5" ht="14.25" customHeight="1" x14ac:dyDescent="0.4">
      <c r="E353" s="97"/>
    </row>
    <row r="354" spans="5:5" ht="14.25" customHeight="1" x14ac:dyDescent="0.4">
      <c r="E354" s="97"/>
    </row>
    <row r="355" spans="5:5" ht="14.25" customHeight="1" x14ac:dyDescent="0.4">
      <c r="E355" s="97"/>
    </row>
    <row r="356" spans="5:5" ht="14.25" customHeight="1" x14ac:dyDescent="0.4">
      <c r="E356" s="97"/>
    </row>
    <row r="357" spans="5:5" ht="14.25" customHeight="1" x14ac:dyDescent="0.4">
      <c r="E357" s="97"/>
    </row>
    <row r="358" spans="5:5" ht="14.25" customHeight="1" x14ac:dyDescent="0.4">
      <c r="E358" s="97"/>
    </row>
    <row r="359" spans="5:5" ht="15.75" customHeight="1" x14ac:dyDescent="0.4"/>
    <row r="360" spans="5:5" ht="15.75" customHeight="1" x14ac:dyDescent="0.4"/>
    <row r="361" spans="5:5" ht="15.75" customHeight="1" x14ac:dyDescent="0.4"/>
    <row r="362" spans="5:5" ht="15.75" customHeight="1" x14ac:dyDescent="0.4"/>
    <row r="363" spans="5:5" ht="15.75" customHeight="1" x14ac:dyDescent="0.4"/>
    <row r="364" spans="5:5" ht="15.75" customHeight="1" x14ac:dyDescent="0.4"/>
    <row r="365" spans="5:5" ht="15.75" customHeight="1" x14ac:dyDescent="0.4"/>
    <row r="366" spans="5:5" ht="15.75" customHeight="1" x14ac:dyDescent="0.4"/>
    <row r="367" spans="5:5" ht="15.75" customHeight="1" x14ac:dyDescent="0.4"/>
    <row r="368" spans="5:5" ht="15.75" customHeight="1" x14ac:dyDescent="0.4"/>
    <row r="369" ht="15.75" customHeight="1" x14ac:dyDescent="0.4"/>
    <row r="370" ht="15.75" customHeight="1" x14ac:dyDescent="0.4"/>
    <row r="371" ht="15.75" customHeight="1" x14ac:dyDescent="0.4"/>
    <row r="372" ht="15.75" customHeight="1" x14ac:dyDescent="0.4"/>
    <row r="373" ht="15.75" customHeight="1" x14ac:dyDescent="0.4"/>
    <row r="374" ht="15.75" customHeight="1" x14ac:dyDescent="0.4"/>
    <row r="375" ht="15.75" customHeight="1" x14ac:dyDescent="0.4"/>
    <row r="376" ht="15.75" customHeight="1" x14ac:dyDescent="0.4"/>
    <row r="377" ht="15.75" customHeight="1" x14ac:dyDescent="0.4"/>
    <row r="378" ht="15.75" customHeight="1" x14ac:dyDescent="0.4"/>
    <row r="379" ht="15.75" customHeight="1" x14ac:dyDescent="0.4"/>
    <row r="380" ht="15.75" customHeight="1" x14ac:dyDescent="0.4"/>
    <row r="381" ht="15.75" customHeight="1" x14ac:dyDescent="0.4"/>
    <row r="382" ht="15.75" customHeight="1" x14ac:dyDescent="0.4"/>
    <row r="383" ht="15.75" customHeight="1" x14ac:dyDescent="0.4"/>
    <row r="384" ht="15.75" customHeight="1" x14ac:dyDescent="0.4"/>
    <row r="385" ht="15.75" customHeight="1" x14ac:dyDescent="0.4"/>
    <row r="386" ht="15.75" customHeight="1" x14ac:dyDescent="0.4"/>
    <row r="387" ht="15.75" customHeight="1" x14ac:dyDescent="0.4"/>
    <row r="388" ht="15.75" customHeight="1" x14ac:dyDescent="0.4"/>
    <row r="389" ht="15.75" customHeight="1" x14ac:dyDescent="0.4"/>
    <row r="390" ht="15.75" customHeight="1" x14ac:dyDescent="0.4"/>
    <row r="391" ht="15.75" customHeight="1" x14ac:dyDescent="0.4"/>
    <row r="392" ht="15.75" customHeight="1" x14ac:dyDescent="0.4"/>
    <row r="393" ht="15.75" customHeight="1" x14ac:dyDescent="0.4"/>
    <row r="394" ht="15.75" customHeight="1" x14ac:dyDescent="0.4"/>
    <row r="395" ht="15.75" customHeight="1" x14ac:dyDescent="0.4"/>
    <row r="396" ht="15.75" customHeight="1" x14ac:dyDescent="0.4"/>
    <row r="397" ht="15.75" customHeight="1" x14ac:dyDescent="0.4"/>
    <row r="398" ht="15.75" customHeight="1" x14ac:dyDescent="0.4"/>
    <row r="399" ht="15.75" customHeight="1" x14ac:dyDescent="0.4"/>
    <row r="400" ht="15.75" customHeight="1" x14ac:dyDescent="0.4"/>
    <row r="401" ht="15.75" customHeight="1" x14ac:dyDescent="0.4"/>
    <row r="402" ht="15.75" customHeight="1" x14ac:dyDescent="0.4"/>
    <row r="403" ht="15.75" customHeight="1" x14ac:dyDescent="0.4"/>
    <row r="404" ht="15.75" customHeight="1" x14ac:dyDescent="0.4"/>
    <row r="405" ht="15.75" customHeight="1" x14ac:dyDescent="0.4"/>
    <row r="406" ht="15.75" customHeight="1" x14ac:dyDescent="0.4"/>
    <row r="407" ht="15.75" customHeight="1" x14ac:dyDescent="0.4"/>
    <row r="408" ht="15.75" customHeight="1" x14ac:dyDescent="0.4"/>
    <row r="409" ht="15.75" customHeight="1" x14ac:dyDescent="0.4"/>
    <row r="410" ht="15.75" customHeight="1" x14ac:dyDescent="0.4"/>
    <row r="411" ht="15.75" customHeight="1" x14ac:dyDescent="0.4"/>
    <row r="412" ht="15.75" customHeight="1" x14ac:dyDescent="0.4"/>
    <row r="413" ht="15.75" customHeight="1" x14ac:dyDescent="0.4"/>
    <row r="414" ht="15.75" customHeight="1" x14ac:dyDescent="0.4"/>
    <row r="415" ht="15.75" customHeight="1" x14ac:dyDescent="0.4"/>
    <row r="416" ht="15.75" customHeight="1" x14ac:dyDescent="0.4"/>
    <row r="417" ht="15.75" customHeight="1" x14ac:dyDescent="0.4"/>
    <row r="418" ht="15.75" customHeight="1" x14ac:dyDescent="0.4"/>
    <row r="419" ht="15.75" customHeight="1" x14ac:dyDescent="0.4"/>
    <row r="420" ht="15.75" customHeight="1" x14ac:dyDescent="0.4"/>
    <row r="421" ht="15.75" customHeight="1" x14ac:dyDescent="0.4"/>
    <row r="422" ht="15.75" customHeight="1" x14ac:dyDescent="0.4"/>
    <row r="423" ht="15.75" customHeight="1" x14ac:dyDescent="0.4"/>
    <row r="424" ht="15.75" customHeight="1" x14ac:dyDescent="0.4"/>
    <row r="425" ht="15.75" customHeight="1" x14ac:dyDescent="0.4"/>
    <row r="426" ht="15.75" customHeight="1" x14ac:dyDescent="0.4"/>
    <row r="427" ht="15.75" customHeight="1" x14ac:dyDescent="0.4"/>
    <row r="428" ht="15.75" customHeight="1" x14ac:dyDescent="0.4"/>
    <row r="429" ht="15.75" customHeight="1" x14ac:dyDescent="0.4"/>
    <row r="430" ht="15.75" customHeight="1" x14ac:dyDescent="0.4"/>
    <row r="431" ht="15.75" customHeight="1" x14ac:dyDescent="0.4"/>
    <row r="432" ht="15.75" customHeight="1" x14ac:dyDescent="0.4"/>
    <row r="433" ht="15.75" customHeight="1" x14ac:dyDescent="0.4"/>
    <row r="434" ht="15.75" customHeight="1" x14ac:dyDescent="0.4"/>
    <row r="435" ht="15.75" customHeight="1" x14ac:dyDescent="0.4"/>
    <row r="436" ht="15.75" customHeight="1" x14ac:dyDescent="0.4"/>
    <row r="437" ht="15.75" customHeight="1" x14ac:dyDescent="0.4"/>
    <row r="438" ht="15.75" customHeight="1" x14ac:dyDescent="0.4"/>
    <row r="439" ht="15.75" customHeight="1" x14ac:dyDescent="0.4"/>
    <row r="440" ht="15.75" customHeight="1" x14ac:dyDescent="0.4"/>
    <row r="441" ht="15.75" customHeight="1" x14ac:dyDescent="0.4"/>
    <row r="442" ht="15.75" customHeight="1" x14ac:dyDescent="0.4"/>
    <row r="443" ht="15.75" customHeight="1" x14ac:dyDescent="0.4"/>
    <row r="444" ht="15.75" customHeight="1" x14ac:dyDescent="0.4"/>
    <row r="445" ht="15.75" customHeight="1" x14ac:dyDescent="0.4"/>
    <row r="446" ht="15.75" customHeight="1" x14ac:dyDescent="0.4"/>
    <row r="447" ht="15.75" customHeight="1" x14ac:dyDescent="0.4"/>
    <row r="448" ht="15.75" customHeight="1" x14ac:dyDescent="0.4"/>
    <row r="449" ht="15.75" customHeight="1" x14ac:dyDescent="0.4"/>
    <row r="450" ht="15.75" customHeight="1" x14ac:dyDescent="0.4"/>
    <row r="451" ht="15.75" customHeight="1" x14ac:dyDescent="0.4"/>
    <row r="452" ht="15.75" customHeight="1" x14ac:dyDescent="0.4"/>
    <row r="453" ht="15.75" customHeight="1" x14ac:dyDescent="0.4"/>
    <row r="454" ht="15.75" customHeight="1" x14ac:dyDescent="0.4"/>
    <row r="455" ht="15.75" customHeight="1" x14ac:dyDescent="0.4"/>
    <row r="456" ht="15.75" customHeight="1" x14ac:dyDescent="0.4"/>
    <row r="457" ht="15.75" customHeight="1" x14ac:dyDescent="0.4"/>
    <row r="458" ht="15.75" customHeight="1" x14ac:dyDescent="0.4"/>
    <row r="459" ht="15.75" customHeight="1" x14ac:dyDescent="0.4"/>
    <row r="460" ht="15.75" customHeight="1" x14ac:dyDescent="0.4"/>
    <row r="461" ht="15.75" customHeight="1" x14ac:dyDescent="0.4"/>
    <row r="462" ht="15.75" customHeight="1" x14ac:dyDescent="0.4"/>
    <row r="463" ht="15.75" customHeight="1" x14ac:dyDescent="0.4"/>
    <row r="464" ht="15.75" customHeight="1" x14ac:dyDescent="0.4"/>
    <row r="465" ht="15.75" customHeight="1" x14ac:dyDescent="0.4"/>
    <row r="466" ht="15.75" customHeight="1" x14ac:dyDescent="0.4"/>
    <row r="467" ht="15.75" customHeight="1" x14ac:dyDescent="0.4"/>
    <row r="468" ht="15.75" customHeight="1" x14ac:dyDescent="0.4"/>
    <row r="469" ht="15.75" customHeight="1" x14ac:dyDescent="0.4"/>
    <row r="470" ht="15.75" customHeight="1" x14ac:dyDescent="0.4"/>
    <row r="471" ht="15.75" customHeight="1" x14ac:dyDescent="0.4"/>
    <row r="472" ht="15.75" customHeight="1" x14ac:dyDescent="0.4"/>
    <row r="473" ht="15.75" customHeight="1" x14ac:dyDescent="0.4"/>
    <row r="474" ht="15.75" customHeight="1" x14ac:dyDescent="0.4"/>
    <row r="475" ht="15.75" customHeight="1" x14ac:dyDescent="0.4"/>
    <row r="476" ht="15.75" customHeight="1" x14ac:dyDescent="0.4"/>
    <row r="477" ht="15.75" customHeight="1" x14ac:dyDescent="0.4"/>
    <row r="478" ht="15.75" customHeight="1" x14ac:dyDescent="0.4"/>
    <row r="479" ht="15.75" customHeight="1" x14ac:dyDescent="0.4"/>
    <row r="480" ht="15.75" customHeight="1" x14ac:dyDescent="0.4"/>
    <row r="481" ht="15.75" customHeight="1" x14ac:dyDescent="0.4"/>
    <row r="482" ht="15.75" customHeight="1" x14ac:dyDescent="0.4"/>
    <row r="483" ht="15.75" customHeight="1" x14ac:dyDescent="0.4"/>
    <row r="484" ht="15.75" customHeight="1" x14ac:dyDescent="0.4"/>
    <row r="485" ht="15.75" customHeight="1" x14ac:dyDescent="0.4"/>
    <row r="486" ht="15.75" customHeight="1" x14ac:dyDescent="0.4"/>
    <row r="487" ht="15.75" customHeight="1" x14ac:dyDescent="0.4"/>
    <row r="488" ht="15.75" customHeight="1" x14ac:dyDescent="0.4"/>
    <row r="489" ht="15.75" customHeight="1" x14ac:dyDescent="0.4"/>
    <row r="490" ht="15.75" customHeight="1" x14ac:dyDescent="0.4"/>
    <row r="491" ht="15.75" customHeight="1" x14ac:dyDescent="0.4"/>
    <row r="492" ht="15.75" customHeight="1" x14ac:dyDescent="0.4"/>
    <row r="493" ht="15.75" customHeight="1" x14ac:dyDescent="0.4"/>
    <row r="494" ht="15.75" customHeight="1" x14ac:dyDescent="0.4"/>
    <row r="495" ht="15.75" customHeight="1" x14ac:dyDescent="0.4"/>
    <row r="496" ht="15.75" customHeight="1" x14ac:dyDescent="0.4"/>
    <row r="497" ht="15.75" customHeight="1" x14ac:dyDescent="0.4"/>
    <row r="498" ht="15.75" customHeight="1" x14ac:dyDescent="0.4"/>
    <row r="499" ht="15.75" customHeight="1" x14ac:dyDescent="0.4"/>
    <row r="500" ht="15.75" customHeight="1" x14ac:dyDescent="0.4"/>
    <row r="501" ht="15.75" customHeight="1" x14ac:dyDescent="0.4"/>
    <row r="502" ht="15.75" customHeight="1" x14ac:dyDescent="0.4"/>
    <row r="503" ht="15.75" customHeight="1" x14ac:dyDescent="0.4"/>
    <row r="504" ht="15.75" customHeight="1" x14ac:dyDescent="0.4"/>
    <row r="505" ht="15.75" customHeight="1" x14ac:dyDescent="0.4"/>
    <row r="506" ht="15.75" customHeight="1" x14ac:dyDescent="0.4"/>
    <row r="507" ht="15.75" customHeight="1" x14ac:dyDescent="0.4"/>
    <row r="508" ht="15.75" customHeight="1" x14ac:dyDescent="0.4"/>
    <row r="509" ht="15.75" customHeight="1" x14ac:dyDescent="0.4"/>
    <row r="510" ht="15.75" customHeight="1" x14ac:dyDescent="0.4"/>
    <row r="511" ht="15.75" customHeight="1" x14ac:dyDescent="0.4"/>
    <row r="512" ht="15.75" customHeight="1" x14ac:dyDescent="0.4"/>
    <row r="513" ht="15.75" customHeight="1" x14ac:dyDescent="0.4"/>
    <row r="514" ht="15.75" customHeight="1" x14ac:dyDescent="0.4"/>
    <row r="515" ht="15.75" customHeight="1" x14ac:dyDescent="0.4"/>
    <row r="516" ht="15.75" customHeight="1" x14ac:dyDescent="0.4"/>
    <row r="517" ht="15.75" customHeight="1" x14ac:dyDescent="0.4"/>
    <row r="518" ht="15.75" customHeight="1" x14ac:dyDescent="0.4"/>
    <row r="519" ht="15.75" customHeight="1" x14ac:dyDescent="0.4"/>
    <row r="520" ht="15.75" customHeight="1" x14ac:dyDescent="0.4"/>
    <row r="521" ht="15.75" customHeight="1" x14ac:dyDescent="0.4"/>
    <row r="522" ht="15.75" customHeight="1" x14ac:dyDescent="0.4"/>
    <row r="523" ht="15.75" customHeight="1" x14ac:dyDescent="0.4"/>
    <row r="524" ht="15.75" customHeight="1" x14ac:dyDescent="0.4"/>
    <row r="525" ht="15.75" customHeight="1" x14ac:dyDescent="0.4"/>
    <row r="526" ht="15.75" customHeight="1" x14ac:dyDescent="0.4"/>
    <row r="527" ht="15.75" customHeight="1" x14ac:dyDescent="0.4"/>
    <row r="528" ht="15.75" customHeight="1" x14ac:dyDescent="0.4"/>
    <row r="529" ht="15.75" customHeight="1" x14ac:dyDescent="0.4"/>
    <row r="530" ht="15.75" customHeight="1" x14ac:dyDescent="0.4"/>
    <row r="531" ht="15.75" customHeight="1" x14ac:dyDescent="0.4"/>
    <row r="532" ht="15.75" customHeight="1" x14ac:dyDescent="0.4"/>
    <row r="533" ht="15.75" customHeight="1" x14ac:dyDescent="0.4"/>
    <row r="534" ht="15.75" customHeight="1" x14ac:dyDescent="0.4"/>
    <row r="535" ht="15.75" customHeight="1" x14ac:dyDescent="0.4"/>
    <row r="536" ht="15.75" customHeight="1" x14ac:dyDescent="0.4"/>
    <row r="537" ht="15.75" customHeight="1" x14ac:dyDescent="0.4"/>
    <row r="538" ht="15.75" customHeight="1" x14ac:dyDescent="0.4"/>
    <row r="539" ht="15.75" customHeight="1" x14ac:dyDescent="0.4"/>
    <row r="540" ht="15.75" customHeight="1" x14ac:dyDescent="0.4"/>
    <row r="541" ht="15.75" customHeight="1" x14ac:dyDescent="0.4"/>
    <row r="542" ht="15.75" customHeight="1" x14ac:dyDescent="0.4"/>
    <row r="543" ht="15.75" customHeight="1" x14ac:dyDescent="0.4"/>
    <row r="544" ht="15.75" customHeight="1" x14ac:dyDescent="0.4"/>
    <row r="545" ht="15.75" customHeight="1" x14ac:dyDescent="0.4"/>
    <row r="546" ht="15.75" customHeight="1" x14ac:dyDescent="0.4"/>
    <row r="547" ht="15.75" customHeight="1" x14ac:dyDescent="0.4"/>
    <row r="548" ht="15.75" customHeight="1" x14ac:dyDescent="0.4"/>
    <row r="549" ht="15.75" customHeight="1" x14ac:dyDescent="0.4"/>
    <row r="550" ht="15.75" customHeight="1" x14ac:dyDescent="0.4"/>
    <row r="551" ht="15.75" customHeight="1" x14ac:dyDescent="0.4"/>
    <row r="552" ht="15.75" customHeight="1" x14ac:dyDescent="0.4"/>
    <row r="553" ht="15.75" customHeight="1" x14ac:dyDescent="0.4"/>
    <row r="554" ht="15.75" customHeight="1" x14ac:dyDescent="0.4"/>
    <row r="555" ht="15.75" customHeight="1" x14ac:dyDescent="0.4"/>
    <row r="556" ht="15.75" customHeight="1" x14ac:dyDescent="0.4"/>
    <row r="557" ht="15.75" customHeight="1" x14ac:dyDescent="0.4"/>
    <row r="558" ht="15.75" customHeight="1" x14ac:dyDescent="0.4"/>
    <row r="559" ht="15.75" customHeight="1" x14ac:dyDescent="0.4"/>
    <row r="560" ht="15.75" customHeight="1" x14ac:dyDescent="0.4"/>
    <row r="561" ht="15.75" customHeight="1" x14ac:dyDescent="0.4"/>
    <row r="562" ht="15.75" customHeight="1" x14ac:dyDescent="0.4"/>
    <row r="563" ht="15.75" customHeight="1" x14ac:dyDescent="0.4"/>
    <row r="564" ht="15.75" customHeight="1" x14ac:dyDescent="0.4"/>
    <row r="565" ht="15.75" customHeight="1" x14ac:dyDescent="0.4"/>
    <row r="566" ht="15.75" customHeight="1" x14ac:dyDescent="0.4"/>
    <row r="567" ht="15.75" customHeight="1" x14ac:dyDescent="0.4"/>
    <row r="568" ht="15.75" customHeight="1" x14ac:dyDescent="0.4"/>
    <row r="569" ht="15.75" customHeight="1" x14ac:dyDescent="0.4"/>
    <row r="570" ht="15.75" customHeight="1" x14ac:dyDescent="0.4"/>
    <row r="571" ht="15.75" customHeight="1" x14ac:dyDescent="0.4"/>
    <row r="572" ht="15.75" customHeight="1" x14ac:dyDescent="0.4"/>
    <row r="573" ht="15.75" customHeight="1" x14ac:dyDescent="0.4"/>
    <row r="574" ht="15.75" customHeight="1" x14ac:dyDescent="0.4"/>
    <row r="575" ht="15.75" customHeight="1" x14ac:dyDescent="0.4"/>
    <row r="576" ht="15.75" customHeight="1" x14ac:dyDescent="0.4"/>
    <row r="577" ht="15.75" customHeight="1" x14ac:dyDescent="0.4"/>
    <row r="578" ht="15.75" customHeight="1" x14ac:dyDescent="0.4"/>
    <row r="579" ht="15.75" customHeight="1" x14ac:dyDescent="0.4"/>
    <row r="580" ht="15.75" customHeight="1" x14ac:dyDescent="0.4"/>
    <row r="581" ht="15.75" customHeight="1" x14ac:dyDescent="0.4"/>
    <row r="582" ht="15.75" customHeight="1" x14ac:dyDescent="0.4"/>
    <row r="583" ht="15.75" customHeight="1" x14ac:dyDescent="0.4"/>
    <row r="584" ht="15.75" customHeight="1" x14ac:dyDescent="0.4"/>
    <row r="585" ht="15.75" customHeight="1" x14ac:dyDescent="0.4"/>
    <row r="586" ht="15.75" customHeight="1" x14ac:dyDescent="0.4"/>
    <row r="587" ht="15.75" customHeight="1" x14ac:dyDescent="0.4"/>
    <row r="588" ht="15.75" customHeight="1" x14ac:dyDescent="0.4"/>
    <row r="589" ht="15.75" customHeight="1" x14ac:dyDescent="0.4"/>
    <row r="590" ht="15.75" customHeight="1" x14ac:dyDescent="0.4"/>
    <row r="591" ht="15.75" customHeight="1" x14ac:dyDescent="0.4"/>
    <row r="592" ht="15.75" customHeight="1" x14ac:dyDescent="0.4"/>
    <row r="593" ht="15.75" customHeight="1" x14ac:dyDescent="0.4"/>
    <row r="594" ht="15.75" customHeight="1" x14ac:dyDescent="0.4"/>
    <row r="595" ht="15.75" customHeight="1" x14ac:dyDescent="0.4"/>
    <row r="596" ht="15.75" customHeight="1" x14ac:dyDescent="0.4"/>
    <row r="597" ht="15.75" customHeight="1" x14ac:dyDescent="0.4"/>
    <row r="598" ht="15.75" customHeight="1" x14ac:dyDescent="0.4"/>
    <row r="599" ht="15.75" customHeight="1" x14ac:dyDescent="0.4"/>
    <row r="600" ht="15.75" customHeight="1" x14ac:dyDescent="0.4"/>
    <row r="601" ht="15.75" customHeight="1" x14ac:dyDescent="0.4"/>
    <row r="602" ht="15.75" customHeight="1" x14ac:dyDescent="0.4"/>
    <row r="603" ht="15.75" customHeight="1" x14ac:dyDescent="0.4"/>
    <row r="604" ht="15.75" customHeight="1" x14ac:dyDescent="0.4"/>
    <row r="605" ht="15.75" customHeight="1" x14ac:dyDescent="0.4"/>
    <row r="606" ht="15.75" customHeight="1" x14ac:dyDescent="0.4"/>
    <row r="607" ht="15.75" customHeight="1" x14ac:dyDescent="0.4"/>
    <row r="608" ht="15.75" customHeight="1" x14ac:dyDescent="0.4"/>
    <row r="609" ht="15.75" customHeight="1" x14ac:dyDescent="0.4"/>
    <row r="610" ht="15.75" customHeight="1" x14ac:dyDescent="0.4"/>
    <row r="611" ht="15.75" customHeight="1" x14ac:dyDescent="0.4"/>
    <row r="612" ht="15.75" customHeight="1" x14ac:dyDescent="0.4"/>
    <row r="613" ht="15.75" customHeight="1" x14ac:dyDescent="0.4"/>
    <row r="614" ht="15.75" customHeight="1" x14ac:dyDescent="0.4"/>
    <row r="615" ht="15.75" customHeight="1" x14ac:dyDescent="0.4"/>
    <row r="616" ht="15.75" customHeight="1" x14ac:dyDescent="0.4"/>
    <row r="617" ht="15.75" customHeight="1" x14ac:dyDescent="0.4"/>
    <row r="618" ht="15.75" customHeight="1" x14ac:dyDescent="0.4"/>
    <row r="619" ht="15.75" customHeight="1" x14ac:dyDescent="0.4"/>
    <row r="620" ht="15.75" customHeight="1" x14ac:dyDescent="0.4"/>
    <row r="621" ht="15.75" customHeight="1" x14ac:dyDescent="0.4"/>
    <row r="622" ht="15.75" customHeight="1" x14ac:dyDescent="0.4"/>
    <row r="623" ht="15.75" customHeight="1" x14ac:dyDescent="0.4"/>
    <row r="624" ht="15.75" customHeight="1" x14ac:dyDescent="0.4"/>
    <row r="625" ht="15.75" customHeight="1" x14ac:dyDescent="0.4"/>
    <row r="626" ht="15.75" customHeight="1" x14ac:dyDescent="0.4"/>
    <row r="627" ht="15.75" customHeight="1" x14ac:dyDescent="0.4"/>
    <row r="628" ht="15.75" customHeight="1" x14ac:dyDescent="0.4"/>
    <row r="629" ht="15.75" customHeight="1" x14ac:dyDescent="0.4"/>
    <row r="630" ht="15.75" customHeight="1" x14ac:dyDescent="0.4"/>
    <row r="631" ht="15.75" customHeight="1" x14ac:dyDescent="0.4"/>
    <row r="632" ht="15.75" customHeight="1" x14ac:dyDescent="0.4"/>
    <row r="633" ht="15.75" customHeight="1" x14ac:dyDescent="0.4"/>
    <row r="634" ht="15.75" customHeight="1" x14ac:dyDescent="0.4"/>
    <row r="635" ht="15.75" customHeight="1" x14ac:dyDescent="0.4"/>
    <row r="636" ht="15.75" customHeight="1" x14ac:dyDescent="0.4"/>
    <row r="637" ht="15.75" customHeight="1" x14ac:dyDescent="0.4"/>
    <row r="638" ht="15.75" customHeight="1" x14ac:dyDescent="0.4"/>
    <row r="639" ht="15.75" customHeight="1" x14ac:dyDescent="0.4"/>
    <row r="640" ht="15.75" customHeight="1" x14ac:dyDescent="0.4"/>
    <row r="641" ht="15.75" customHeight="1" x14ac:dyDescent="0.4"/>
    <row r="642" ht="15.75" customHeight="1" x14ac:dyDescent="0.4"/>
    <row r="643" ht="15.75" customHeight="1" x14ac:dyDescent="0.4"/>
    <row r="644" ht="15.75" customHeight="1" x14ac:dyDescent="0.4"/>
    <row r="645" ht="15.75" customHeight="1" x14ac:dyDescent="0.4"/>
    <row r="646" ht="15.75" customHeight="1" x14ac:dyDescent="0.4"/>
    <row r="647" ht="15.75" customHeight="1" x14ac:dyDescent="0.4"/>
    <row r="648" ht="15.75" customHeight="1" x14ac:dyDescent="0.4"/>
    <row r="649" ht="15.75" customHeight="1" x14ac:dyDescent="0.4"/>
    <row r="650" ht="15.75" customHeight="1" x14ac:dyDescent="0.4"/>
    <row r="651" ht="15.75" customHeight="1" x14ac:dyDescent="0.4"/>
    <row r="652" ht="15.75" customHeight="1" x14ac:dyDescent="0.4"/>
    <row r="653" ht="15.75" customHeight="1" x14ac:dyDescent="0.4"/>
    <row r="654" ht="15.75" customHeight="1" x14ac:dyDescent="0.4"/>
    <row r="655" ht="15.75" customHeight="1" x14ac:dyDescent="0.4"/>
    <row r="656" ht="15.75" customHeight="1" x14ac:dyDescent="0.4"/>
    <row r="657" ht="15.75" customHeight="1" x14ac:dyDescent="0.4"/>
    <row r="658" ht="15.75" customHeight="1" x14ac:dyDescent="0.4"/>
    <row r="659" ht="15.75" customHeight="1" x14ac:dyDescent="0.4"/>
    <row r="660" ht="15.75" customHeight="1" x14ac:dyDescent="0.4"/>
    <row r="661" ht="15.75" customHeight="1" x14ac:dyDescent="0.4"/>
    <row r="662" ht="15.75" customHeight="1" x14ac:dyDescent="0.4"/>
    <row r="663" ht="15.75" customHeight="1" x14ac:dyDescent="0.4"/>
    <row r="664" ht="15.75" customHeight="1" x14ac:dyDescent="0.4"/>
    <row r="665" ht="15.75" customHeight="1" x14ac:dyDescent="0.4"/>
    <row r="666" ht="15.75" customHeight="1" x14ac:dyDescent="0.4"/>
    <row r="667" ht="15.75" customHeight="1" x14ac:dyDescent="0.4"/>
    <row r="668" ht="15.75" customHeight="1" x14ac:dyDescent="0.4"/>
    <row r="669" ht="15.75" customHeight="1" x14ac:dyDescent="0.4"/>
    <row r="670" ht="15.75" customHeight="1" x14ac:dyDescent="0.4"/>
    <row r="671" ht="15.75" customHeight="1" x14ac:dyDescent="0.4"/>
    <row r="672" ht="15.75" customHeight="1" x14ac:dyDescent="0.4"/>
    <row r="673" ht="15.75" customHeight="1" x14ac:dyDescent="0.4"/>
    <row r="674" ht="15.75" customHeight="1" x14ac:dyDescent="0.4"/>
    <row r="675" ht="15.75" customHeight="1" x14ac:dyDescent="0.4"/>
    <row r="676" ht="15.75" customHeight="1" x14ac:dyDescent="0.4"/>
    <row r="677" ht="15.75" customHeight="1" x14ac:dyDescent="0.4"/>
    <row r="678" ht="15.75" customHeight="1" x14ac:dyDescent="0.4"/>
    <row r="679" ht="15.75" customHeight="1" x14ac:dyDescent="0.4"/>
    <row r="680" ht="15.75" customHeight="1" x14ac:dyDescent="0.4"/>
    <row r="681" ht="15.75" customHeight="1" x14ac:dyDescent="0.4"/>
    <row r="682" ht="15.75" customHeight="1" x14ac:dyDescent="0.4"/>
    <row r="683" ht="15.75" customHeight="1" x14ac:dyDescent="0.4"/>
    <row r="684" ht="15.75" customHeight="1" x14ac:dyDescent="0.4"/>
    <row r="685" ht="15.75" customHeight="1" x14ac:dyDescent="0.4"/>
    <row r="686" ht="15.75" customHeight="1" x14ac:dyDescent="0.4"/>
    <row r="687" ht="15.75" customHeight="1" x14ac:dyDescent="0.4"/>
    <row r="688" ht="15.75" customHeight="1" x14ac:dyDescent="0.4"/>
    <row r="689" ht="15.75" customHeight="1" x14ac:dyDescent="0.4"/>
    <row r="690" ht="15.75" customHeight="1" x14ac:dyDescent="0.4"/>
    <row r="691" ht="15.75" customHeight="1" x14ac:dyDescent="0.4"/>
    <row r="692" ht="15.75" customHeight="1" x14ac:dyDescent="0.4"/>
    <row r="693" ht="15.75" customHeight="1" x14ac:dyDescent="0.4"/>
    <row r="694" ht="15.75" customHeight="1" x14ac:dyDescent="0.4"/>
    <row r="695" ht="15.75" customHeight="1" x14ac:dyDescent="0.4"/>
    <row r="696" ht="15.75" customHeight="1" x14ac:dyDescent="0.4"/>
    <row r="697" ht="15.75" customHeight="1" x14ac:dyDescent="0.4"/>
    <row r="698" ht="15.75" customHeight="1" x14ac:dyDescent="0.4"/>
    <row r="699" ht="15.75" customHeight="1" x14ac:dyDescent="0.4"/>
    <row r="700" ht="15.75" customHeight="1" x14ac:dyDescent="0.4"/>
    <row r="701" ht="15.75" customHeight="1" x14ac:dyDescent="0.4"/>
    <row r="702" ht="15.75" customHeight="1" x14ac:dyDescent="0.4"/>
    <row r="703" ht="15.75" customHeight="1" x14ac:dyDescent="0.4"/>
    <row r="704" ht="15.75" customHeight="1" x14ac:dyDescent="0.4"/>
    <row r="705" ht="15.75" customHeight="1" x14ac:dyDescent="0.4"/>
    <row r="706" ht="15.75" customHeight="1" x14ac:dyDescent="0.4"/>
    <row r="707" ht="15.75" customHeight="1" x14ac:dyDescent="0.4"/>
    <row r="708" ht="15.75" customHeight="1" x14ac:dyDescent="0.4"/>
    <row r="709" ht="15.75" customHeight="1" x14ac:dyDescent="0.4"/>
    <row r="710" ht="15.75" customHeight="1" x14ac:dyDescent="0.4"/>
    <row r="711" ht="15.75" customHeight="1" x14ac:dyDescent="0.4"/>
    <row r="712" ht="15.75" customHeight="1" x14ac:dyDescent="0.4"/>
    <row r="713" ht="15.75" customHeight="1" x14ac:dyDescent="0.4"/>
    <row r="714" ht="15.75" customHeight="1" x14ac:dyDescent="0.4"/>
    <row r="715" ht="15.75" customHeight="1" x14ac:dyDescent="0.4"/>
    <row r="716" ht="15.75" customHeight="1" x14ac:dyDescent="0.4"/>
    <row r="717" ht="15.75" customHeight="1" x14ac:dyDescent="0.4"/>
    <row r="718" ht="15.75" customHeight="1" x14ac:dyDescent="0.4"/>
    <row r="719" ht="15.75" customHeight="1" x14ac:dyDescent="0.4"/>
    <row r="720" ht="15.75" customHeight="1" x14ac:dyDescent="0.4"/>
    <row r="721" ht="15.75" customHeight="1" x14ac:dyDescent="0.4"/>
    <row r="722" ht="15.75" customHeight="1" x14ac:dyDescent="0.4"/>
    <row r="723" ht="15.75" customHeight="1" x14ac:dyDescent="0.4"/>
    <row r="724" ht="15.75" customHeight="1" x14ac:dyDescent="0.4"/>
    <row r="725" ht="15.75" customHeight="1" x14ac:dyDescent="0.4"/>
    <row r="726" ht="15.75" customHeight="1" x14ac:dyDescent="0.4"/>
    <row r="727" ht="15.75" customHeight="1" x14ac:dyDescent="0.4"/>
    <row r="728" ht="15.75" customHeight="1" x14ac:dyDescent="0.4"/>
    <row r="729" ht="15.75" customHeight="1" x14ac:dyDescent="0.4"/>
    <row r="730" ht="15.75" customHeight="1" x14ac:dyDescent="0.4"/>
    <row r="731" ht="15.75" customHeight="1" x14ac:dyDescent="0.4"/>
    <row r="732" ht="15.75" customHeight="1" x14ac:dyDescent="0.4"/>
    <row r="733" ht="15.75" customHeight="1" x14ac:dyDescent="0.4"/>
    <row r="734" ht="15.75" customHeight="1" x14ac:dyDescent="0.4"/>
    <row r="735" ht="15.75" customHeight="1" x14ac:dyDescent="0.4"/>
    <row r="736" ht="15.75" customHeight="1" x14ac:dyDescent="0.4"/>
    <row r="737" ht="15.75" customHeight="1" x14ac:dyDescent="0.4"/>
    <row r="738" ht="15.75" customHeight="1" x14ac:dyDescent="0.4"/>
    <row r="739" ht="15.75" customHeight="1" x14ac:dyDescent="0.4"/>
    <row r="740" ht="15.75" customHeight="1" x14ac:dyDescent="0.4"/>
    <row r="741" ht="15.75" customHeight="1" x14ac:dyDescent="0.4"/>
    <row r="742" ht="15.75" customHeight="1" x14ac:dyDescent="0.4"/>
    <row r="743" ht="15.75" customHeight="1" x14ac:dyDescent="0.4"/>
    <row r="744" ht="15.75" customHeight="1" x14ac:dyDescent="0.4"/>
    <row r="745" ht="15.75" customHeight="1" x14ac:dyDescent="0.4"/>
    <row r="746" ht="15.75" customHeight="1" x14ac:dyDescent="0.4"/>
    <row r="747" ht="15.75" customHeight="1" x14ac:dyDescent="0.4"/>
    <row r="748" ht="15.75" customHeight="1" x14ac:dyDescent="0.4"/>
    <row r="749" ht="15.75" customHeight="1" x14ac:dyDescent="0.4"/>
    <row r="750" ht="15.75" customHeight="1" x14ac:dyDescent="0.4"/>
    <row r="751" ht="15.75" customHeight="1" x14ac:dyDescent="0.4"/>
    <row r="752" ht="15.75" customHeight="1" x14ac:dyDescent="0.4"/>
    <row r="753" ht="15.75" customHeight="1" x14ac:dyDescent="0.4"/>
    <row r="754" ht="15.75" customHeight="1" x14ac:dyDescent="0.4"/>
    <row r="755" ht="15.75" customHeight="1" x14ac:dyDescent="0.4"/>
    <row r="756" ht="15.75" customHeight="1" x14ac:dyDescent="0.4"/>
    <row r="757" ht="15.75" customHeight="1" x14ac:dyDescent="0.4"/>
    <row r="758" ht="15.75" customHeight="1" x14ac:dyDescent="0.4"/>
    <row r="759" ht="15.75" customHeight="1" x14ac:dyDescent="0.4"/>
    <row r="760" ht="15.75" customHeight="1" x14ac:dyDescent="0.4"/>
    <row r="761" ht="15.75" customHeight="1" x14ac:dyDescent="0.4"/>
    <row r="762" ht="15.75" customHeight="1" x14ac:dyDescent="0.4"/>
    <row r="763" ht="15.75" customHeight="1" x14ac:dyDescent="0.4"/>
    <row r="764" ht="15.75" customHeight="1" x14ac:dyDescent="0.4"/>
    <row r="765" ht="15.75" customHeight="1" x14ac:dyDescent="0.4"/>
    <row r="766" ht="15.75" customHeight="1" x14ac:dyDescent="0.4"/>
    <row r="767" ht="15.75" customHeight="1" x14ac:dyDescent="0.4"/>
    <row r="768" ht="15.75" customHeight="1" x14ac:dyDescent="0.4"/>
    <row r="769" ht="15.75" customHeight="1" x14ac:dyDescent="0.4"/>
    <row r="770" ht="15.75" customHeight="1" x14ac:dyDescent="0.4"/>
    <row r="771" ht="15.75" customHeight="1" x14ac:dyDescent="0.4"/>
    <row r="772" ht="15.75" customHeight="1" x14ac:dyDescent="0.4"/>
    <row r="773" ht="15.75" customHeight="1" x14ac:dyDescent="0.4"/>
    <row r="774" ht="15.75" customHeight="1" x14ac:dyDescent="0.4"/>
    <row r="775" ht="15.75" customHeight="1" x14ac:dyDescent="0.4"/>
    <row r="776" ht="15.75" customHeight="1" x14ac:dyDescent="0.4"/>
    <row r="777" ht="15.75" customHeight="1" x14ac:dyDescent="0.4"/>
    <row r="778" ht="15.75" customHeight="1" x14ac:dyDescent="0.4"/>
    <row r="779" ht="15.75" customHeight="1" x14ac:dyDescent="0.4"/>
    <row r="780" ht="15.75" customHeight="1" x14ac:dyDescent="0.4"/>
    <row r="781" ht="15.75" customHeight="1" x14ac:dyDescent="0.4"/>
    <row r="782" ht="15.75" customHeight="1" x14ac:dyDescent="0.4"/>
    <row r="783" ht="15.75" customHeight="1" x14ac:dyDescent="0.4"/>
    <row r="784" ht="15.75" customHeight="1" x14ac:dyDescent="0.4"/>
    <row r="785" ht="15.75" customHeight="1" x14ac:dyDescent="0.4"/>
    <row r="786" ht="15.75" customHeight="1" x14ac:dyDescent="0.4"/>
    <row r="787" ht="15.75" customHeight="1" x14ac:dyDescent="0.4"/>
    <row r="788" ht="15.75" customHeight="1" x14ac:dyDescent="0.4"/>
    <row r="789" ht="15.75" customHeight="1" x14ac:dyDescent="0.4"/>
    <row r="790" ht="15.75" customHeight="1" x14ac:dyDescent="0.4"/>
    <row r="791" ht="15.75" customHeight="1" x14ac:dyDescent="0.4"/>
    <row r="792" ht="15.75" customHeight="1" x14ac:dyDescent="0.4"/>
    <row r="793" ht="15.75" customHeight="1" x14ac:dyDescent="0.4"/>
    <row r="794" ht="15.75" customHeight="1" x14ac:dyDescent="0.4"/>
    <row r="795" ht="15.75" customHeight="1" x14ac:dyDescent="0.4"/>
    <row r="796" ht="15.75" customHeight="1" x14ac:dyDescent="0.4"/>
    <row r="797" ht="15.75" customHeight="1" x14ac:dyDescent="0.4"/>
    <row r="798" ht="15.75" customHeight="1" x14ac:dyDescent="0.4"/>
    <row r="799" ht="15.75" customHeight="1" x14ac:dyDescent="0.4"/>
    <row r="800" ht="15.75" customHeight="1" x14ac:dyDescent="0.4"/>
    <row r="801" ht="15.75" customHeight="1" x14ac:dyDescent="0.4"/>
    <row r="802" ht="15.75" customHeight="1" x14ac:dyDescent="0.4"/>
    <row r="803" ht="15.75" customHeight="1" x14ac:dyDescent="0.4"/>
    <row r="804" ht="15.75" customHeight="1" x14ac:dyDescent="0.4"/>
    <row r="805" ht="15.75" customHeight="1" x14ac:dyDescent="0.4"/>
    <row r="806" ht="15.75" customHeight="1" x14ac:dyDescent="0.4"/>
    <row r="807" ht="15.75" customHeight="1" x14ac:dyDescent="0.4"/>
    <row r="808" ht="15.75" customHeight="1" x14ac:dyDescent="0.4"/>
    <row r="809" ht="15.75" customHeight="1" x14ac:dyDescent="0.4"/>
    <row r="810" ht="15.75" customHeight="1" x14ac:dyDescent="0.4"/>
    <row r="811" ht="15.75" customHeight="1" x14ac:dyDescent="0.4"/>
    <row r="812" ht="15.75" customHeight="1" x14ac:dyDescent="0.4"/>
    <row r="813" ht="15.75" customHeight="1" x14ac:dyDescent="0.4"/>
    <row r="814" ht="15.75" customHeight="1" x14ac:dyDescent="0.4"/>
    <row r="815" ht="15.75" customHeight="1" x14ac:dyDescent="0.4"/>
    <row r="816" ht="15.75" customHeight="1" x14ac:dyDescent="0.4"/>
    <row r="817" ht="15.75" customHeight="1" x14ac:dyDescent="0.4"/>
    <row r="818" ht="15.75" customHeight="1" x14ac:dyDescent="0.4"/>
    <row r="819" ht="15.75" customHeight="1" x14ac:dyDescent="0.4"/>
    <row r="820" ht="15.75" customHeight="1" x14ac:dyDescent="0.4"/>
    <row r="821" ht="15.75" customHeight="1" x14ac:dyDescent="0.4"/>
    <row r="822" ht="15.75" customHeight="1" x14ac:dyDescent="0.4"/>
    <row r="823" ht="15.75" customHeight="1" x14ac:dyDescent="0.4"/>
    <row r="824" ht="15.75" customHeight="1" x14ac:dyDescent="0.4"/>
    <row r="825" ht="15.75" customHeight="1" x14ac:dyDescent="0.4"/>
    <row r="826" ht="15.75" customHeight="1" x14ac:dyDescent="0.4"/>
    <row r="827" ht="15.75" customHeight="1" x14ac:dyDescent="0.4"/>
    <row r="828" ht="15.75" customHeight="1" x14ac:dyDescent="0.4"/>
    <row r="829" ht="15.75" customHeight="1" x14ac:dyDescent="0.4"/>
    <row r="830" ht="15.75" customHeight="1" x14ac:dyDescent="0.4"/>
    <row r="831" ht="15.75" customHeight="1" x14ac:dyDescent="0.4"/>
    <row r="832" ht="15.75" customHeight="1" x14ac:dyDescent="0.4"/>
    <row r="833" ht="15.75" customHeight="1" x14ac:dyDescent="0.4"/>
    <row r="834" ht="15.75" customHeight="1" x14ac:dyDescent="0.4"/>
    <row r="835" ht="15.75" customHeight="1" x14ac:dyDescent="0.4"/>
    <row r="836" ht="15.75" customHeight="1" x14ac:dyDescent="0.4"/>
    <row r="837" ht="15.75" customHeight="1" x14ac:dyDescent="0.4"/>
    <row r="838" ht="15.75" customHeight="1" x14ac:dyDescent="0.4"/>
    <row r="839" ht="15.75" customHeight="1" x14ac:dyDescent="0.4"/>
    <row r="840" ht="15.75" customHeight="1" x14ac:dyDescent="0.4"/>
    <row r="841" ht="15.75" customHeight="1" x14ac:dyDescent="0.4"/>
    <row r="842" ht="15.75" customHeight="1" x14ac:dyDescent="0.4"/>
    <row r="843" ht="15.75" customHeight="1" x14ac:dyDescent="0.4"/>
    <row r="844" ht="15.75" customHeight="1" x14ac:dyDescent="0.4"/>
    <row r="845" ht="15.75" customHeight="1" x14ac:dyDescent="0.4"/>
    <row r="846" ht="15.75" customHeight="1" x14ac:dyDescent="0.4"/>
    <row r="847" ht="15.75" customHeight="1" x14ac:dyDescent="0.4"/>
    <row r="848" ht="15.75" customHeight="1" x14ac:dyDescent="0.4"/>
    <row r="849" ht="15.75" customHeight="1" x14ac:dyDescent="0.4"/>
    <row r="850" ht="15.75" customHeight="1" x14ac:dyDescent="0.4"/>
    <row r="851" ht="15.75" customHeight="1" x14ac:dyDescent="0.4"/>
    <row r="852" ht="15.75" customHeight="1" x14ac:dyDescent="0.4"/>
    <row r="853" ht="15.75" customHeight="1" x14ac:dyDescent="0.4"/>
    <row r="854" ht="15.75" customHeight="1" x14ac:dyDescent="0.4"/>
    <row r="855" ht="15.75" customHeight="1" x14ac:dyDescent="0.4"/>
    <row r="856" ht="15.75" customHeight="1" x14ac:dyDescent="0.4"/>
    <row r="857" ht="15.75" customHeight="1" x14ac:dyDescent="0.4"/>
    <row r="858" ht="15.75" customHeight="1" x14ac:dyDescent="0.4"/>
    <row r="859" ht="15.75" customHeight="1" x14ac:dyDescent="0.4"/>
    <row r="860" ht="15.75" customHeight="1" x14ac:dyDescent="0.4"/>
    <row r="861" ht="15.75" customHeight="1" x14ac:dyDescent="0.4"/>
    <row r="862" ht="15.75" customHeight="1" x14ac:dyDescent="0.4"/>
    <row r="863" ht="15.75" customHeight="1" x14ac:dyDescent="0.4"/>
    <row r="864" ht="15.75" customHeight="1" x14ac:dyDescent="0.4"/>
    <row r="865" ht="15.75" customHeight="1" x14ac:dyDescent="0.4"/>
    <row r="866" ht="15.75" customHeight="1" x14ac:dyDescent="0.4"/>
    <row r="867" ht="15.75" customHeight="1" x14ac:dyDescent="0.4"/>
    <row r="868" ht="15.75" customHeight="1" x14ac:dyDescent="0.4"/>
    <row r="869" ht="15.75" customHeight="1" x14ac:dyDescent="0.4"/>
    <row r="870" ht="15.75" customHeight="1" x14ac:dyDescent="0.4"/>
    <row r="871" ht="15.75" customHeight="1" x14ac:dyDescent="0.4"/>
    <row r="872" ht="15.75" customHeight="1" x14ac:dyDescent="0.4"/>
    <row r="873" ht="15.75" customHeight="1" x14ac:dyDescent="0.4"/>
    <row r="874" ht="15.75" customHeight="1" x14ac:dyDescent="0.4"/>
    <row r="875" ht="15.75" customHeight="1" x14ac:dyDescent="0.4"/>
    <row r="876" ht="15.75" customHeight="1" x14ac:dyDescent="0.4"/>
    <row r="877" ht="15.75" customHeight="1" x14ac:dyDescent="0.4"/>
    <row r="878" ht="15.75" customHeight="1" x14ac:dyDescent="0.4"/>
    <row r="879" ht="15.75" customHeight="1" x14ac:dyDescent="0.4"/>
    <row r="880" ht="15.75" customHeight="1" x14ac:dyDescent="0.4"/>
    <row r="881" ht="15.75" customHeight="1" x14ac:dyDescent="0.4"/>
    <row r="882" ht="15.75" customHeight="1" x14ac:dyDescent="0.4"/>
    <row r="883" ht="15.75" customHeight="1" x14ac:dyDescent="0.4"/>
    <row r="884" ht="15.75" customHeight="1" x14ac:dyDescent="0.4"/>
    <row r="885" ht="15.75" customHeight="1" x14ac:dyDescent="0.4"/>
    <row r="886" ht="15.75" customHeight="1" x14ac:dyDescent="0.4"/>
    <row r="887" ht="15.75" customHeight="1" x14ac:dyDescent="0.4"/>
    <row r="888" ht="15.75" customHeight="1" x14ac:dyDescent="0.4"/>
    <row r="889" ht="15.75" customHeight="1" x14ac:dyDescent="0.4"/>
    <row r="890" ht="15.75" customHeight="1" x14ac:dyDescent="0.4"/>
    <row r="891" ht="15.75" customHeight="1" x14ac:dyDescent="0.4"/>
    <row r="892" ht="15.75" customHeight="1" x14ac:dyDescent="0.4"/>
    <row r="893" ht="15.75" customHeight="1" x14ac:dyDescent="0.4"/>
    <row r="894" ht="15.75" customHeight="1" x14ac:dyDescent="0.4"/>
    <row r="895" ht="15.75" customHeight="1" x14ac:dyDescent="0.4"/>
    <row r="896" ht="15.75" customHeight="1" x14ac:dyDescent="0.4"/>
    <row r="897" ht="15.75" customHeight="1" x14ac:dyDescent="0.4"/>
    <row r="898" ht="15.75" customHeight="1" x14ac:dyDescent="0.4"/>
    <row r="899" ht="15.75" customHeight="1" x14ac:dyDescent="0.4"/>
    <row r="900" ht="15.75" customHeight="1" x14ac:dyDescent="0.4"/>
    <row r="901" ht="15.75" customHeight="1" x14ac:dyDescent="0.4"/>
    <row r="902" ht="15.75" customHeight="1" x14ac:dyDescent="0.4"/>
    <row r="903" ht="15.75" customHeight="1" x14ac:dyDescent="0.4"/>
    <row r="904" ht="15.75" customHeight="1" x14ac:dyDescent="0.4"/>
    <row r="905" ht="15.75" customHeight="1" x14ac:dyDescent="0.4"/>
    <row r="906" ht="15.75" customHeight="1" x14ac:dyDescent="0.4"/>
    <row r="907" ht="15.75" customHeight="1" x14ac:dyDescent="0.4"/>
    <row r="908" ht="15.75" customHeight="1" x14ac:dyDescent="0.4"/>
    <row r="909" ht="15.75" customHeight="1" x14ac:dyDescent="0.4"/>
    <row r="910" ht="15.75" customHeight="1" x14ac:dyDescent="0.4"/>
    <row r="911" ht="15.75" customHeight="1" x14ac:dyDescent="0.4"/>
    <row r="912" ht="15.75" customHeight="1" x14ac:dyDescent="0.4"/>
    <row r="913" ht="15.75" customHeight="1" x14ac:dyDescent="0.4"/>
    <row r="914" ht="15.75" customHeight="1" x14ac:dyDescent="0.4"/>
    <row r="915" ht="15.75" customHeight="1" x14ac:dyDescent="0.4"/>
    <row r="916" ht="15.75" customHeight="1" x14ac:dyDescent="0.4"/>
    <row r="917" ht="15.75" customHeight="1" x14ac:dyDescent="0.4"/>
    <row r="918" ht="15.75" customHeight="1" x14ac:dyDescent="0.4"/>
    <row r="919" ht="15.75" customHeight="1" x14ac:dyDescent="0.4"/>
    <row r="920" ht="15.75" customHeight="1" x14ac:dyDescent="0.4"/>
    <row r="921" ht="15.75" customHeight="1" x14ac:dyDescent="0.4"/>
    <row r="922" ht="15.75" customHeight="1" x14ac:dyDescent="0.4"/>
    <row r="923" ht="15.75" customHeight="1" x14ac:dyDescent="0.4"/>
    <row r="924" ht="15.75" customHeight="1" x14ac:dyDescent="0.4"/>
    <row r="925" ht="15.75" customHeight="1" x14ac:dyDescent="0.4"/>
    <row r="926" ht="15.75" customHeight="1" x14ac:dyDescent="0.4"/>
    <row r="927" ht="15.75" customHeight="1" x14ac:dyDescent="0.4"/>
    <row r="928" ht="15.75" customHeight="1" x14ac:dyDescent="0.4"/>
    <row r="929" ht="15.75" customHeight="1" x14ac:dyDescent="0.4"/>
    <row r="930" ht="15.75" customHeight="1" x14ac:dyDescent="0.4"/>
    <row r="931" ht="15.75" customHeight="1" x14ac:dyDescent="0.4"/>
    <row r="932" ht="15.75" customHeight="1" x14ac:dyDescent="0.4"/>
    <row r="933" ht="15.75" customHeight="1" x14ac:dyDescent="0.4"/>
    <row r="934" ht="15.75" customHeight="1" x14ac:dyDescent="0.4"/>
    <row r="935" ht="15.75" customHeight="1" x14ac:dyDescent="0.4"/>
    <row r="936" ht="15.75" customHeight="1" x14ac:dyDescent="0.4"/>
    <row r="937" ht="15.75" customHeight="1" x14ac:dyDescent="0.4"/>
    <row r="938" ht="15.75" customHeight="1" x14ac:dyDescent="0.4"/>
    <row r="939" ht="15.75" customHeight="1" x14ac:dyDescent="0.4"/>
    <row r="940" ht="15.75" customHeight="1" x14ac:dyDescent="0.4"/>
    <row r="941" ht="15.75" customHeight="1" x14ac:dyDescent="0.4"/>
    <row r="942" ht="15.75" customHeight="1" x14ac:dyDescent="0.4"/>
    <row r="943" ht="15.75" customHeight="1" x14ac:dyDescent="0.4"/>
    <row r="944" ht="15.75" customHeight="1" x14ac:dyDescent="0.4"/>
    <row r="945" ht="15.75" customHeight="1" x14ac:dyDescent="0.4"/>
    <row r="946" ht="15.75" customHeight="1" x14ac:dyDescent="0.4"/>
    <row r="947" ht="15.75" customHeight="1" x14ac:dyDescent="0.4"/>
    <row r="948" ht="15.75" customHeight="1" x14ac:dyDescent="0.4"/>
    <row r="949" ht="15.75" customHeight="1" x14ac:dyDescent="0.4"/>
    <row r="950" ht="15.75" customHeight="1" x14ac:dyDescent="0.4"/>
    <row r="951" ht="15.75" customHeight="1" x14ac:dyDescent="0.4"/>
    <row r="952" ht="15.75" customHeight="1" x14ac:dyDescent="0.4"/>
    <row r="953" ht="15.75" customHeight="1" x14ac:dyDescent="0.4"/>
    <row r="954" ht="15.75" customHeight="1" x14ac:dyDescent="0.4"/>
    <row r="955" ht="15.75" customHeight="1" x14ac:dyDescent="0.4"/>
    <row r="956" ht="15.75" customHeight="1" x14ac:dyDescent="0.4"/>
    <row r="957" ht="15.75" customHeight="1" x14ac:dyDescent="0.4"/>
    <row r="958" ht="15.75" customHeight="1" x14ac:dyDescent="0.4"/>
    <row r="959" ht="15.75" customHeight="1" x14ac:dyDescent="0.4"/>
    <row r="960" ht="15.75" customHeight="1" x14ac:dyDescent="0.4"/>
    <row r="961" ht="15.75" customHeight="1" x14ac:dyDescent="0.4"/>
    <row r="962" ht="15.75" customHeight="1" x14ac:dyDescent="0.4"/>
    <row r="963" ht="15.75" customHeight="1" x14ac:dyDescent="0.4"/>
    <row r="964" ht="15.75" customHeight="1" x14ac:dyDescent="0.4"/>
    <row r="965" ht="15.75" customHeight="1" x14ac:dyDescent="0.4"/>
    <row r="966" ht="15.75" customHeight="1" x14ac:dyDescent="0.4"/>
    <row r="967" ht="15.75" customHeight="1" x14ac:dyDescent="0.4"/>
    <row r="968" ht="15.75" customHeight="1" x14ac:dyDescent="0.4"/>
    <row r="969" ht="15.75" customHeight="1" x14ac:dyDescent="0.4"/>
    <row r="970" ht="15.75" customHeight="1" x14ac:dyDescent="0.4"/>
    <row r="971" ht="15.75" customHeight="1" x14ac:dyDescent="0.4"/>
    <row r="972" ht="15.75" customHeight="1" x14ac:dyDescent="0.4"/>
    <row r="973" ht="15.75" customHeight="1" x14ac:dyDescent="0.4"/>
    <row r="974" ht="15.75" customHeight="1" x14ac:dyDescent="0.4"/>
    <row r="975" ht="15.75" customHeight="1" x14ac:dyDescent="0.4"/>
    <row r="976" ht="15.75" customHeight="1" x14ac:dyDescent="0.4"/>
    <row r="977" ht="15.75" customHeight="1" x14ac:dyDescent="0.4"/>
    <row r="978" ht="15.75" customHeight="1" x14ac:dyDescent="0.4"/>
    <row r="979" ht="15.75" customHeight="1" x14ac:dyDescent="0.4"/>
    <row r="980" ht="15.75" customHeight="1" x14ac:dyDescent="0.4"/>
    <row r="981" ht="15.75" customHeight="1" x14ac:dyDescent="0.4"/>
    <row r="982" ht="15.75" customHeight="1" x14ac:dyDescent="0.4"/>
    <row r="983" ht="15.75" customHeight="1" x14ac:dyDescent="0.4"/>
    <row r="984" ht="15.75" customHeight="1" x14ac:dyDescent="0.4"/>
    <row r="985" ht="15.75" customHeight="1" x14ac:dyDescent="0.4"/>
    <row r="986" ht="15.75" customHeight="1" x14ac:dyDescent="0.4"/>
    <row r="987" ht="15.75" customHeight="1" x14ac:dyDescent="0.4"/>
    <row r="988" ht="15.75" customHeight="1" x14ac:dyDescent="0.4"/>
    <row r="989" ht="15.75" customHeight="1" x14ac:dyDescent="0.4"/>
    <row r="990" ht="15.75" customHeight="1" x14ac:dyDescent="0.4"/>
    <row r="991" ht="15.75" customHeight="1" x14ac:dyDescent="0.4"/>
    <row r="992" ht="15.75" customHeight="1" x14ac:dyDescent="0.4"/>
    <row r="993" ht="15.75" customHeight="1" x14ac:dyDescent="0.4"/>
    <row r="994" ht="15.75" customHeight="1" x14ac:dyDescent="0.4"/>
    <row r="995" ht="15.75" customHeight="1" x14ac:dyDescent="0.4"/>
    <row r="996" ht="15.75" customHeight="1" x14ac:dyDescent="0.4"/>
    <row r="997" ht="15.75" customHeight="1" x14ac:dyDescent="0.4"/>
    <row r="998" ht="15.75" customHeight="1" x14ac:dyDescent="0.4"/>
    <row r="999" ht="15.75" customHeight="1" x14ac:dyDescent="0.4"/>
    <row r="1000" ht="15.75" customHeight="1" x14ac:dyDescent="0.4"/>
  </sheetData>
  <mergeCells count="16">
    <mergeCell ref="AN29:AO29"/>
    <mergeCell ref="AN30:AO30"/>
    <mergeCell ref="AN21:AO21"/>
    <mergeCell ref="AN25:AO25"/>
    <mergeCell ref="AN24:AO24"/>
    <mergeCell ref="AN27:AO27"/>
    <mergeCell ref="AN28:AO28"/>
    <mergeCell ref="AN22:AO22"/>
    <mergeCell ref="AN23:AO23"/>
    <mergeCell ref="Q1:AE1"/>
    <mergeCell ref="F15:N15"/>
    <mergeCell ref="AN20:AO20"/>
    <mergeCell ref="AN26:AO26"/>
    <mergeCell ref="F1:O1"/>
    <mergeCell ref="AN19:AO19"/>
    <mergeCell ref="AN18:AO18"/>
  </mergeCells>
  <conditionalFormatting sqref="G3:G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 O3:P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:G2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:H2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:I2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2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K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:L2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:M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:N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3:AE4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3:AF4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9:AL3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9:AM3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3:G3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:Q3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7:G48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7:Q4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1:G6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1:Q6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5:G6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5:Q6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4:G7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4:Q7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3:G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3:Q8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3:AL5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3:AM5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:AE6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:AF6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11 AM4:AM11">
    <cfRule type="cellIs" dxfId="44" priority="38" operator="greaterThan">
      <formula>0</formula>
    </cfRule>
  </conditionalFormatting>
  <hyperlinks>
    <hyperlink ref="D2" r:id="rId2" xr:uid="{00000000-0004-0000-0700-000000000000}"/>
    <hyperlink ref="D3" r:id="rId3" xr:uid="{00000000-0004-0000-0700-000001000000}"/>
    <hyperlink ref="D4" r:id="rId4" xr:uid="{00000000-0004-0000-0700-000002000000}"/>
    <hyperlink ref="D5" r:id="rId5" xr:uid="{00000000-0004-0000-0700-000003000000}"/>
    <hyperlink ref="D6" r:id="rId6" xr:uid="{00000000-0004-0000-0700-000004000000}"/>
    <hyperlink ref="D7" r:id="rId7" xr:uid="{00000000-0004-0000-0700-000005000000}"/>
    <hyperlink ref="D8" r:id="rId8" xr:uid="{00000000-0004-0000-0700-000006000000}"/>
    <hyperlink ref="D11" r:id="rId9" xr:uid="{00000000-0004-0000-0700-000007000000}"/>
    <hyperlink ref="D12" r:id="rId10" xr:uid="{00000000-0004-0000-0700-000008000000}"/>
    <hyperlink ref="D13" r:id="rId11" xr:uid="{00000000-0004-0000-0700-000009000000}"/>
    <hyperlink ref="D14" r:id="rId12" xr:uid="{00000000-0004-0000-0700-00000A000000}"/>
    <hyperlink ref="D15" r:id="rId13" xr:uid="{00000000-0004-0000-0700-00000B000000}"/>
    <hyperlink ref="D16" r:id="rId14" xr:uid="{00000000-0004-0000-0700-00000C000000}"/>
    <hyperlink ref="D17" r:id="rId15" xr:uid="{00000000-0004-0000-0700-00000D000000}"/>
    <hyperlink ref="D18" r:id="rId16" xr:uid="{00000000-0004-0000-0700-00000E000000}"/>
    <hyperlink ref="D19" r:id="rId17" xr:uid="{00000000-0004-0000-0700-00000F000000}"/>
    <hyperlink ref="D20" r:id="rId18" xr:uid="{00000000-0004-0000-0700-000010000000}"/>
    <hyperlink ref="D21" r:id="rId19" xr:uid="{00000000-0004-0000-0700-000011000000}"/>
    <hyperlink ref="D23" r:id="rId20" xr:uid="{00000000-0004-0000-0700-000012000000}"/>
    <hyperlink ref="D25" r:id="rId21" xr:uid="{00000000-0004-0000-0700-000013000000}"/>
    <hyperlink ref="D26" r:id="rId22" xr:uid="{00000000-0004-0000-0700-000014000000}"/>
  </hyperlinks>
  <pageMargins left="0.7" right="0.7" top="0.75" bottom="0.75" header="0" footer="0"/>
  <pageSetup orientation="landscape"/>
  <drawing r:id="rId2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AB1000"/>
  <sheetViews>
    <sheetView workbookViewId="0"/>
  </sheetViews>
  <sheetFormatPr defaultColWidth="12.61328125" defaultRowHeight="15" customHeight="1" x14ac:dyDescent="0.4"/>
  <cols>
    <col min="1" max="1" width="7.765625" customWidth="1"/>
    <col min="2" max="2" width="10" customWidth="1"/>
    <col min="3" max="3" width="7.84375" customWidth="1"/>
    <col min="4" max="4" width="10" customWidth="1"/>
    <col min="5" max="5" width="7.765625" customWidth="1"/>
    <col min="6" max="6" width="6.15234375" customWidth="1"/>
    <col min="7" max="7" width="10" customWidth="1"/>
    <col min="8" max="8" width="9.15234375" customWidth="1"/>
    <col min="9" max="9" width="5.84375" customWidth="1"/>
    <col min="10" max="25" width="8.61328125" customWidth="1"/>
    <col min="26" max="26" width="24.84375" customWidth="1"/>
    <col min="27" max="39" width="8.61328125" customWidth="1"/>
  </cols>
  <sheetData>
    <row r="1" spans="1:28" ht="14.25" customHeight="1" x14ac:dyDescent="0.4">
      <c r="A1" s="131" t="s">
        <v>1366</v>
      </c>
      <c r="B1" s="132"/>
      <c r="C1" s="133"/>
      <c r="E1" s="131" t="s">
        <v>1367</v>
      </c>
      <c r="F1" s="132"/>
      <c r="G1" s="132"/>
      <c r="H1" s="132"/>
      <c r="I1" s="132"/>
      <c r="J1" s="132"/>
      <c r="K1" s="132"/>
      <c r="L1" s="133"/>
      <c r="P1" s="106" t="s">
        <v>14</v>
      </c>
      <c r="Q1" s="107" t="s">
        <v>1368</v>
      </c>
      <c r="AA1" s="106" t="s">
        <v>14</v>
      </c>
      <c r="AB1" s="108" t="s">
        <v>1369</v>
      </c>
    </row>
    <row r="2" spans="1:28" ht="14.25" customHeight="1" x14ac:dyDescent="0.4">
      <c r="A2" s="106" t="s">
        <v>14</v>
      </c>
      <c r="B2" s="107" t="s">
        <v>1368</v>
      </c>
      <c r="C2" s="108" t="s">
        <v>1369</v>
      </c>
      <c r="E2" s="109"/>
      <c r="F2" s="110" t="s">
        <v>1370</v>
      </c>
      <c r="G2" s="110" t="s">
        <v>1371</v>
      </c>
      <c r="H2" s="110" t="s">
        <v>1372</v>
      </c>
      <c r="I2" s="110" t="s">
        <v>1373</v>
      </c>
      <c r="J2" s="110" t="s">
        <v>1374</v>
      </c>
      <c r="K2" s="110" t="s">
        <v>1375</v>
      </c>
      <c r="L2" s="110" t="s">
        <v>1376</v>
      </c>
      <c r="P2" s="65" t="s">
        <v>438</v>
      </c>
      <c r="Q2" s="35">
        <f t="shared" ref="Q2:Q22" si="0">VLOOKUP(P2,$A$1:$C$23,2,FALSE)</f>
        <v>1</v>
      </c>
      <c r="AA2" s="65" t="s">
        <v>12</v>
      </c>
      <c r="AB2" s="111">
        <f t="shared" ref="AB2:AB22" si="1">VLOOKUP(AA2,$A$1:$C$23,3,FALSE)</f>
        <v>1.5</v>
      </c>
    </row>
    <row r="3" spans="1:28" ht="14.25" customHeight="1" x14ac:dyDescent="0.4">
      <c r="A3" s="65" t="s">
        <v>36</v>
      </c>
      <c r="B3" s="35">
        <f t="shared" ref="B3:B23" si="2">MIN(F3:L3)</f>
        <v>3</v>
      </c>
      <c r="C3" s="111">
        <f t="shared" ref="C3:C23" si="3">AVERAGE(F3:L3)</f>
        <v>5.2</v>
      </c>
      <c r="E3" s="65" t="s">
        <v>36</v>
      </c>
      <c r="F3" s="21">
        <f>IFERROR(VLOOKUP(E3,Spring2024!$AD$32:$AG$44,4,FALSE),"")</f>
        <v>7</v>
      </c>
      <c r="G3" s="21">
        <f>IFERROR(VLOOKUP(E3,Spring2024POST!$AE$32:$AH$44,4,FALSE),"")</f>
        <v>5</v>
      </c>
      <c r="H3" s="21" t="str">
        <f>IFERROR(VLOOKUP(E3,Fall2024PRE!$AF$33:$AI$43,4,FALSE),"")</f>
        <v/>
      </c>
      <c r="I3" s="21" t="str">
        <f>IFERROR(VLOOKUP(E3,Fall2024!$AI$33:$AL$46,4,FALSE),"")</f>
        <v/>
      </c>
      <c r="J3" s="21">
        <f>IFERROR(VLOOKUP(E3,Spring2025!$AI$33:$AL$46,4,FALSE),"")</f>
        <v>6</v>
      </c>
      <c r="K3" s="21">
        <f>IFERROR(VLOOKUP(E3,Fall2025PRE!$AI$33:$AL$46,4,FALSE),"")</f>
        <v>3</v>
      </c>
      <c r="L3" s="21">
        <f>IFERROR(VLOOKUP(E3,FALL2025!$AN$35:$AQ$51,4,FALSE),"")</f>
        <v>5</v>
      </c>
      <c r="P3" s="65" t="s">
        <v>12</v>
      </c>
      <c r="Q3" s="35">
        <f t="shared" si="0"/>
        <v>1</v>
      </c>
      <c r="AA3" s="65" t="s">
        <v>734</v>
      </c>
      <c r="AB3" s="111">
        <f t="shared" si="1"/>
        <v>2</v>
      </c>
    </row>
    <row r="4" spans="1:28" ht="14.25" customHeight="1" x14ac:dyDescent="0.4">
      <c r="A4" s="65" t="s">
        <v>28</v>
      </c>
      <c r="B4" s="35">
        <f t="shared" si="2"/>
        <v>3</v>
      </c>
      <c r="C4" s="111">
        <f t="shared" si="3"/>
        <v>6.5714285714285712</v>
      </c>
      <c r="E4" s="65" t="s">
        <v>28</v>
      </c>
      <c r="F4" s="21">
        <f>IFERROR(VLOOKUP(E4,Spring2024!$AD$32:$AG$44,4,FALSE),"")</f>
        <v>8</v>
      </c>
      <c r="G4" s="21">
        <f>IFERROR(VLOOKUP(E4,Spring2024POST!$AE$32:$AH$44,4,FALSE),"")</f>
        <v>3</v>
      </c>
      <c r="H4" s="21">
        <f>IFERROR(VLOOKUP(E4,Fall2024PRE!$AF$33:$AI$43,4,FALSE),"")</f>
        <v>5</v>
      </c>
      <c r="I4" s="21">
        <f>IFERROR(VLOOKUP(E4,Fall2024!$AI$33:$AL$46,4,FALSE),"")</f>
        <v>10</v>
      </c>
      <c r="J4" s="21">
        <f>IFERROR(VLOOKUP(E4,Spring2025!$AI$33:$AL$46,4,FALSE),"")</f>
        <v>5</v>
      </c>
      <c r="K4" s="21">
        <f>IFERROR(VLOOKUP(E4,Fall2025PRE!$AI$33:$AL$46,4,FALSE),"")</f>
        <v>8</v>
      </c>
      <c r="L4" s="21">
        <f>IFERROR(VLOOKUP(E4,FALL2025!$AN$35:$AQ$51,4,FALSE),"")</f>
        <v>7</v>
      </c>
      <c r="P4" s="65" t="s">
        <v>38</v>
      </c>
      <c r="Q4" s="35">
        <f t="shared" si="0"/>
        <v>1</v>
      </c>
      <c r="AA4" s="65" t="s">
        <v>39</v>
      </c>
      <c r="AB4" s="111">
        <f t="shared" si="1"/>
        <v>3.8333333333333335</v>
      </c>
    </row>
    <row r="5" spans="1:28" ht="14.25" customHeight="1" x14ac:dyDescent="0.4">
      <c r="A5" s="65" t="s">
        <v>41</v>
      </c>
      <c r="B5" s="35">
        <f t="shared" si="2"/>
        <v>7</v>
      </c>
      <c r="C5" s="111">
        <f t="shared" si="3"/>
        <v>9.8571428571428577</v>
      </c>
      <c r="E5" s="65" t="s">
        <v>41</v>
      </c>
      <c r="F5" s="21">
        <f>IFERROR(VLOOKUP(E5,Spring2024!$AD$32:$AG$44,4,FALSE),"")</f>
        <v>9</v>
      </c>
      <c r="G5" s="21">
        <f>IFERROR(VLOOKUP(E5,Spring2024POST!$AE$32:$AH$44,4,FALSE),"")</f>
        <v>10</v>
      </c>
      <c r="H5" s="21">
        <f>IFERROR(VLOOKUP(E5,Fall2024PRE!$AF$33:$AI$43,4,FALSE),"")</f>
        <v>7</v>
      </c>
      <c r="I5" s="21">
        <f>IFERROR(VLOOKUP(E5,Fall2024!$AI$33:$AL$46,4,FALSE),"")</f>
        <v>11</v>
      </c>
      <c r="J5" s="21">
        <f>IFERROR(VLOOKUP(E5,Spring2025!$AI$33:$AL$46,4,FALSE),"")</f>
        <v>11</v>
      </c>
      <c r="K5" s="21">
        <f>IFERROR(VLOOKUP(E5,Fall2025PRE!$AI$33:$AL$46,4,FALSE),"")</f>
        <v>7</v>
      </c>
      <c r="L5" s="21">
        <f>IFERROR(VLOOKUP(E5,FALL2025!$AN$35:$AQ$51,4,FALSE),"")</f>
        <v>14</v>
      </c>
      <c r="P5" s="65" t="s">
        <v>734</v>
      </c>
      <c r="Q5" s="35">
        <f t="shared" si="0"/>
        <v>1</v>
      </c>
      <c r="AA5" s="65" t="s">
        <v>438</v>
      </c>
      <c r="AB5" s="111">
        <f t="shared" si="1"/>
        <v>3.2</v>
      </c>
    </row>
    <row r="6" spans="1:28" ht="14.25" customHeight="1" x14ac:dyDescent="0.4">
      <c r="A6" s="65" t="s">
        <v>438</v>
      </c>
      <c r="B6" s="35">
        <f t="shared" si="2"/>
        <v>1</v>
      </c>
      <c r="C6" s="111">
        <f t="shared" si="3"/>
        <v>3.2</v>
      </c>
      <c r="E6" s="65" t="s">
        <v>438</v>
      </c>
      <c r="F6" s="21">
        <f>IFERROR(VLOOKUP(E6,Spring2024!$AD$32:$AG$44,4,FALSE),"")</f>
        <v>4</v>
      </c>
      <c r="G6" s="21">
        <f>IFERROR(VLOOKUP(E6,Spring2024POST!$AE$32:$AH$44,4,FALSE),"")</f>
        <v>6</v>
      </c>
      <c r="H6" s="21">
        <f>IFERROR(VLOOKUP(E6,Fall2024PRE!$AF$33:$AI$43,4,FALSE),"")</f>
        <v>3</v>
      </c>
      <c r="I6" s="21">
        <f>IFERROR(VLOOKUP(E6,Fall2024!$AI$33:$AL$46,4,FALSE),"")</f>
        <v>1</v>
      </c>
      <c r="J6" s="21">
        <f>IFERROR(VLOOKUP(E6,Spring2025!$AI$33:$AL$46,4,FALSE),"")</f>
        <v>2</v>
      </c>
      <c r="K6" s="21" t="str">
        <f>IFERROR(VLOOKUP(E6,Fall2025PRE!$AI$33:$AL$46,4,FALSE),"")</f>
        <v/>
      </c>
      <c r="L6" s="21" t="str">
        <f>IFERROR(VLOOKUP(E6,FALL2025!$AN$35:$AQ$51,4,FALSE),"")</f>
        <v/>
      </c>
      <c r="P6" s="65" t="s">
        <v>39</v>
      </c>
      <c r="Q6" s="35">
        <f t="shared" si="0"/>
        <v>2</v>
      </c>
      <c r="AA6" s="65" t="s">
        <v>38</v>
      </c>
      <c r="AB6" s="111">
        <f t="shared" si="1"/>
        <v>4.1428571428571432</v>
      </c>
    </row>
    <row r="7" spans="1:28" ht="14.25" customHeight="1" x14ac:dyDescent="0.4">
      <c r="A7" s="65" t="s">
        <v>37</v>
      </c>
      <c r="B7" s="35">
        <f t="shared" si="2"/>
        <v>6</v>
      </c>
      <c r="C7" s="111">
        <f t="shared" si="3"/>
        <v>8.1428571428571423</v>
      </c>
      <c r="E7" s="65" t="s">
        <v>37</v>
      </c>
      <c r="F7" s="21">
        <f>IFERROR(VLOOKUP(E7,Spring2024!$AD$32:$AG$44,4,FALSE),"")</f>
        <v>6</v>
      </c>
      <c r="G7" s="21">
        <f>IFERROR(VLOOKUP(E7,Spring2024POST!$AE$32:$AH$44,4,FALSE),"")</f>
        <v>7</v>
      </c>
      <c r="H7" s="21">
        <f>IFERROR(VLOOKUP(E7,Fall2024PRE!$AF$33:$AI$43,4,FALSE),"")</f>
        <v>6</v>
      </c>
      <c r="I7" s="21">
        <f>IFERROR(VLOOKUP(E7,Fall2024!$AI$33:$AL$46,4,FALSE),"")</f>
        <v>9</v>
      </c>
      <c r="J7" s="21">
        <f>IFERROR(VLOOKUP(E7,Spring2025!$AI$33:$AL$46,4,FALSE),"")</f>
        <v>7</v>
      </c>
      <c r="K7" s="21">
        <f>IFERROR(VLOOKUP(E7,Fall2025PRE!$AI$33:$AL$46,4,FALSE),"")</f>
        <v>9</v>
      </c>
      <c r="L7" s="21">
        <f>IFERROR(VLOOKUP(E7,FALL2025!$AN$35:$AQ$51,4,FALSE),"")</f>
        <v>13</v>
      </c>
      <c r="P7" s="65" t="s">
        <v>36</v>
      </c>
      <c r="Q7" s="35">
        <f t="shared" si="0"/>
        <v>3</v>
      </c>
      <c r="AA7" s="65" t="s">
        <v>36</v>
      </c>
      <c r="AB7" s="111">
        <f t="shared" si="1"/>
        <v>5.2</v>
      </c>
    </row>
    <row r="8" spans="1:28" ht="14.25" customHeight="1" x14ac:dyDescent="0.4">
      <c r="A8" s="65" t="s">
        <v>12</v>
      </c>
      <c r="B8" s="35">
        <f t="shared" si="2"/>
        <v>1</v>
      </c>
      <c r="C8" s="111">
        <f t="shared" si="3"/>
        <v>1.5</v>
      </c>
      <c r="E8" s="65" t="s">
        <v>12</v>
      </c>
      <c r="F8" s="21" t="str">
        <f>IFERROR(VLOOKUP(E8,Spring2024!$AD$32:$AG$44,4,FALSE),"")</f>
        <v/>
      </c>
      <c r="G8" s="21" t="str">
        <f>IFERROR(VLOOKUP(E8,Spring2024POST!$AE$32:$AH$44,4,FALSE),"")</f>
        <v/>
      </c>
      <c r="H8" s="21" t="str">
        <f>IFERROR(VLOOKUP(E8,Fall2024PRE!$AF$33:$AI$43,4,FALSE),"")</f>
        <v/>
      </c>
      <c r="I8" s="21">
        <f>IFERROR(VLOOKUP(E8,Fall2024!$AI$33:$AL$46,4,FALSE),"")</f>
        <v>3</v>
      </c>
      <c r="J8" s="21">
        <f>IFERROR(VLOOKUP(E8,Spring2025!$AI$33:$AL$46,4,FALSE),"")</f>
        <v>1</v>
      </c>
      <c r="K8" s="21">
        <f>IFERROR(VLOOKUP(E8,Fall2025PRE!$AI$33:$AL$46,4,FALSE),"")</f>
        <v>1</v>
      </c>
      <c r="L8" s="21">
        <f>IFERROR(VLOOKUP(E8,FALL2025!$AN$35:$AQ$51,4,FALSE),"")</f>
        <v>1</v>
      </c>
      <c r="P8" s="65" t="s">
        <v>28</v>
      </c>
      <c r="Q8" s="35">
        <f t="shared" si="0"/>
        <v>3</v>
      </c>
      <c r="AA8" s="65" t="s">
        <v>29</v>
      </c>
      <c r="AB8" s="111">
        <f t="shared" si="1"/>
        <v>2</v>
      </c>
    </row>
    <row r="9" spans="1:28" ht="14.25" customHeight="1" x14ac:dyDescent="0.4">
      <c r="A9" s="65" t="s">
        <v>31</v>
      </c>
      <c r="B9" s="35">
        <f t="shared" si="2"/>
        <v>6</v>
      </c>
      <c r="C9" s="111">
        <f t="shared" si="3"/>
        <v>8.25</v>
      </c>
      <c r="E9" s="65" t="s">
        <v>31</v>
      </c>
      <c r="F9" s="21" t="str">
        <f>IFERROR(VLOOKUP(E9,Spring2024!$AD$32:$AG$44,4,FALSE),"")</f>
        <v/>
      </c>
      <c r="G9" s="21" t="str">
        <f>IFERROR(VLOOKUP(E9,Spring2024POST!$AE$32:$AH$44,4,FALSE),"")</f>
        <v/>
      </c>
      <c r="H9" s="21" t="str">
        <f>IFERROR(VLOOKUP(E9,Fall2024PRE!$AF$33:$AI$43,4,FALSE),"")</f>
        <v/>
      </c>
      <c r="I9" s="21">
        <f>IFERROR(VLOOKUP(E9,Fall2024!$AI$33:$AL$46,4,FALSE),"")</f>
        <v>8</v>
      </c>
      <c r="J9" s="21">
        <f>IFERROR(VLOOKUP(E9,Spring2025!$AI$33:$AL$46,4,FALSE),"")</f>
        <v>10</v>
      </c>
      <c r="K9" s="21">
        <f>IFERROR(VLOOKUP(E9,Fall2025PRE!$AI$33:$AL$46,4,FALSE),"")</f>
        <v>6</v>
      </c>
      <c r="L9" s="21">
        <f>IFERROR(VLOOKUP(E9,FALL2025!$AN$35:$AQ$51,4,FALSE),"")</f>
        <v>9</v>
      </c>
      <c r="P9" s="65" t="s">
        <v>33</v>
      </c>
      <c r="Q9" s="35">
        <f t="shared" si="0"/>
        <v>3</v>
      </c>
      <c r="AA9" s="65" t="s">
        <v>28</v>
      </c>
      <c r="AB9" s="111">
        <f t="shared" si="1"/>
        <v>6.5714285714285712</v>
      </c>
    </row>
    <row r="10" spans="1:28" ht="14.25" customHeight="1" x14ac:dyDescent="0.4">
      <c r="A10" s="65" t="s">
        <v>33</v>
      </c>
      <c r="B10" s="35">
        <f t="shared" si="2"/>
        <v>3</v>
      </c>
      <c r="C10" s="111">
        <f t="shared" si="3"/>
        <v>10</v>
      </c>
      <c r="E10" s="65" t="s">
        <v>33</v>
      </c>
      <c r="F10" s="21">
        <f>IFERROR(VLOOKUP(E10,Spring2024!$AD$32:$AG$44,4,FALSE),"")</f>
        <v>12</v>
      </c>
      <c r="G10" s="21">
        <f>IFERROR(VLOOKUP(E10,Spring2024POST!$AE$32:$AH$44,4,FALSE),"")</f>
        <v>11</v>
      </c>
      <c r="H10" s="21">
        <f>IFERROR(VLOOKUP(E10,Fall2024PRE!$AF$33:$AI$43,4,FALSE),"")</f>
        <v>10</v>
      </c>
      <c r="I10" s="21">
        <f>IFERROR(VLOOKUP(E10,Fall2024!$AI$33:$AL$46,4,FALSE),"")</f>
        <v>12</v>
      </c>
      <c r="J10" s="21">
        <f>IFERROR(VLOOKUP(E10,Spring2025!$AI$33:$AL$46,4,FALSE),"")</f>
        <v>3</v>
      </c>
      <c r="K10" s="21">
        <f>IFERROR(VLOOKUP(E10,Fall2025PRE!$AI$33:$AL$46,4,FALSE),"")</f>
        <v>11</v>
      </c>
      <c r="L10" s="21">
        <f>IFERROR(VLOOKUP(E10,FALL2025!$AN$35:$AQ$51,4,FALSE),"")</f>
        <v>11</v>
      </c>
      <c r="P10" s="65" t="s">
        <v>40</v>
      </c>
      <c r="Q10" s="35">
        <f t="shared" si="0"/>
        <v>4</v>
      </c>
      <c r="AA10" s="65" t="s">
        <v>730</v>
      </c>
      <c r="AB10" s="111">
        <f t="shared" si="1"/>
        <v>6</v>
      </c>
    </row>
    <row r="11" spans="1:28" ht="14.25" customHeight="1" x14ac:dyDescent="0.4">
      <c r="A11" s="65" t="s">
        <v>40</v>
      </c>
      <c r="B11" s="35">
        <f t="shared" si="2"/>
        <v>4</v>
      </c>
      <c r="C11" s="111">
        <f t="shared" si="3"/>
        <v>8.3333333333333339</v>
      </c>
      <c r="E11" s="65" t="s">
        <v>40</v>
      </c>
      <c r="F11" s="21" t="str">
        <f>IFERROR(VLOOKUP(E11,Spring2024!$AD$32:$AG$44,4,FALSE),"")</f>
        <v/>
      </c>
      <c r="G11" s="21" t="str">
        <f>IFERROR(VLOOKUP(E11,Spring2024POST!$AE$32:$AH$44,4,FALSE),"")</f>
        <v/>
      </c>
      <c r="H11" s="21" t="str">
        <f>IFERROR(VLOOKUP(E11,Fall2024PRE!$AF$33:$AI$43,4,FALSE),"")</f>
        <v/>
      </c>
      <c r="I11" s="21" t="str">
        <f>IFERROR(VLOOKUP(E11,Fall2024!$AI$33:$AL$46,4,FALSE),"")</f>
        <v/>
      </c>
      <c r="J11" s="21">
        <f>IFERROR(VLOOKUP(E11,Spring2025!$AI$33:$AL$46,4,FALSE),"")</f>
        <v>9</v>
      </c>
      <c r="K11" s="21">
        <f>IFERROR(VLOOKUP(E11,Fall2025PRE!$AI$33:$AL$46,4,FALSE),"")</f>
        <v>4</v>
      </c>
      <c r="L11" s="21">
        <f>IFERROR(VLOOKUP(E11,FALL2025!$AN$35:$AQ$51,4,FALSE),"")</f>
        <v>12</v>
      </c>
      <c r="P11" s="65" t="s">
        <v>730</v>
      </c>
      <c r="Q11" s="35">
        <f t="shared" si="0"/>
        <v>4</v>
      </c>
      <c r="AA11" s="65" t="s">
        <v>11</v>
      </c>
      <c r="AB11" s="111">
        <f t="shared" si="1"/>
        <v>4</v>
      </c>
    </row>
    <row r="12" spans="1:28" ht="14.25" customHeight="1" x14ac:dyDescent="0.4">
      <c r="A12" s="65" t="s">
        <v>730</v>
      </c>
      <c r="B12" s="35">
        <f t="shared" si="2"/>
        <v>4</v>
      </c>
      <c r="C12" s="111">
        <f t="shared" si="3"/>
        <v>6</v>
      </c>
      <c r="E12" s="65" t="s">
        <v>730</v>
      </c>
      <c r="F12" s="21">
        <f>IFERROR(VLOOKUP(E12,Spring2024!$AD$32:$AG$44,4,FALSE),"")</f>
        <v>5</v>
      </c>
      <c r="G12" s="21">
        <f>IFERROR(VLOOKUP(E12,Spring2024POST!$AE$32:$AH$44,4,FALSE),"")</f>
        <v>4</v>
      </c>
      <c r="H12" s="21">
        <f>IFERROR(VLOOKUP(E12,Fall2024PRE!$AF$33:$AI$43,4,FALSE),"")</f>
        <v>8</v>
      </c>
      <c r="I12" s="21">
        <f>IFERROR(VLOOKUP(E12,Fall2024!$AI$33:$AL$46,4,FALSE),"")</f>
        <v>7</v>
      </c>
      <c r="J12" s="21" t="str">
        <f>IFERROR(VLOOKUP(E12,Spring2025!$AI$33:$AL$46,4,FALSE),"")</f>
        <v/>
      </c>
      <c r="K12" s="21" t="str">
        <f>IFERROR(VLOOKUP(E12,Fall2025PRE!$AI$33:$AL$46,4,FALSE),"")</f>
        <v/>
      </c>
      <c r="L12" s="21" t="str">
        <f>IFERROR(VLOOKUP(E12,FALL2025!$AN$35:$AQ$51,4,FALSE),"")</f>
        <v/>
      </c>
      <c r="P12" s="65" t="s">
        <v>29</v>
      </c>
      <c r="Q12" s="35">
        <f t="shared" si="0"/>
        <v>2</v>
      </c>
      <c r="AA12" s="65" t="s">
        <v>32</v>
      </c>
      <c r="AB12" s="111">
        <f t="shared" si="1"/>
        <v>3</v>
      </c>
    </row>
    <row r="13" spans="1:28" ht="14.25" customHeight="1" x14ac:dyDescent="0.4">
      <c r="A13" s="65" t="s">
        <v>32</v>
      </c>
      <c r="B13" s="35">
        <f t="shared" si="2"/>
        <v>3</v>
      </c>
      <c r="C13" s="111">
        <f t="shared" si="3"/>
        <v>3</v>
      </c>
      <c r="E13" s="65" t="s">
        <v>32</v>
      </c>
      <c r="F13" s="21" t="str">
        <f>IFERROR(VLOOKUP(E13,Spring2024!$AD$32:$AG$44,4,FALSE),"")</f>
        <v/>
      </c>
      <c r="G13" s="21" t="str">
        <f>IFERROR(VLOOKUP(E13,Spring2024POST!$AE$32:$AH$44,4,FALSE),"")</f>
        <v/>
      </c>
      <c r="H13" s="21" t="str">
        <f>IFERROR(VLOOKUP(E13,Fall2024PRE!$AF$33:$AI$43,4,FALSE),"")</f>
        <v/>
      </c>
      <c r="I13" s="21" t="str">
        <f>IFERROR(VLOOKUP(E13,Fall2024!$AI$33:$AL$46,4,FALSE),"")</f>
        <v/>
      </c>
      <c r="J13" s="21" t="str">
        <f>IFERROR(VLOOKUP(E13,Spring2025!$AI$33:$AL$46,4,FALSE),"")</f>
        <v/>
      </c>
      <c r="K13" s="21" t="str">
        <f>IFERROR(VLOOKUP(E13,Fall2025PRE!$AI$33:$AL$46,4,FALSE),"")</f>
        <v/>
      </c>
      <c r="L13" s="21">
        <f>IFERROR(VLOOKUP(E13,FALL2025!$AN$35:$AQ$51,4,FALSE),"")</f>
        <v>3</v>
      </c>
      <c r="P13" s="65" t="s">
        <v>37</v>
      </c>
      <c r="Q13" s="35">
        <f t="shared" si="0"/>
        <v>6</v>
      </c>
      <c r="AA13" s="65" t="s">
        <v>40</v>
      </c>
      <c r="AB13" s="111">
        <f t="shared" si="1"/>
        <v>8.3333333333333339</v>
      </c>
    </row>
    <row r="14" spans="1:28" ht="14.25" customHeight="1" x14ac:dyDescent="0.4">
      <c r="A14" s="65" t="s">
        <v>38</v>
      </c>
      <c r="B14" s="35">
        <f t="shared" si="2"/>
        <v>1</v>
      </c>
      <c r="C14" s="111">
        <f t="shared" si="3"/>
        <v>4.1428571428571432</v>
      </c>
      <c r="E14" s="65" t="s">
        <v>38</v>
      </c>
      <c r="F14" s="21">
        <f>IFERROR(VLOOKUP(E14,Spring2024!$AD$32:$AG$44,4,FALSE),"")</f>
        <v>1</v>
      </c>
      <c r="G14" s="21">
        <f>IFERROR(VLOOKUP(E14,Spring2024POST!$AE$32:$AH$44,4,FALSE),"")</f>
        <v>8</v>
      </c>
      <c r="H14" s="21">
        <f>IFERROR(VLOOKUP(E14,Fall2024PRE!$AF$33:$AI$43,4,FALSE),"")</f>
        <v>1</v>
      </c>
      <c r="I14" s="21">
        <f>IFERROR(VLOOKUP(E14,Fall2024!$AI$33:$AL$46,4,FALSE),"")</f>
        <v>5</v>
      </c>
      <c r="J14" s="21">
        <f>IFERROR(VLOOKUP(E14,Spring2025!$AI$33:$AL$46,4,FALSE),"")</f>
        <v>4</v>
      </c>
      <c r="K14" s="21">
        <f>IFERROR(VLOOKUP(E14,Fall2025PRE!$AI$33:$AL$46,4,FALSE),"")</f>
        <v>2</v>
      </c>
      <c r="L14" s="21">
        <f>IFERROR(VLOOKUP(E14,FALL2025!$AN$35:$AQ$51,4,FALSE),"")</f>
        <v>8</v>
      </c>
      <c r="P14" s="65" t="s">
        <v>31</v>
      </c>
      <c r="Q14" s="35">
        <f t="shared" si="0"/>
        <v>6</v>
      </c>
      <c r="AA14" s="65" t="s">
        <v>37</v>
      </c>
      <c r="AB14" s="111">
        <f t="shared" si="1"/>
        <v>8.1428571428571423</v>
      </c>
    </row>
    <row r="15" spans="1:28" ht="14.25" customHeight="1" x14ac:dyDescent="0.4">
      <c r="A15" s="65" t="s">
        <v>29</v>
      </c>
      <c r="B15" s="35">
        <f t="shared" si="2"/>
        <v>2</v>
      </c>
      <c r="C15" s="111">
        <f t="shared" si="3"/>
        <v>2</v>
      </c>
      <c r="E15" s="65" t="s">
        <v>29</v>
      </c>
      <c r="F15" s="21" t="str">
        <f>IFERROR(VLOOKUP(E15,Spring2024!$AD$32:$AG$44,4,FALSE),"")</f>
        <v/>
      </c>
      <c r="G15" s="21" t="str">
        <f>IFERROR(VLOOKUP(E15,Spring2024POST!$AE$32:$AH$44,4,FALSE),"")</f>
        <v/>
      </c>
      <c r="H15" s="21" t="str">
        <f>IFERROR(VLOOKUP(E15,Fall2024PRE!$AF$33:$AI$43,4,FALSE),"")</f>
        <v/>
      </c>
      <c r="I15" s="21" t="str">
        <f>IFERROR(VLOOKUP(E15,Fall2024!$AI$33:$AL$46,4,FALSE),"")</f>
        <v/>
      </c>
      <c r="J15" s="21" t="str">
        <f>IFERROR(VLOOKUP(E15,Spring2025!$AI$33:$AL$46,4,FALSE),"")</f>
        <v/>
      </c>
      <c r="K15" s="21" t="str">
        <f>IFERROR(VLOOKUP(E15,Fall2025PRE!$AI$33:$AL$46,4,FALSE),"")</f>
        <v/>
      </c>
      <c r="L15" s="21">
        <f>IFERROR(VLOOKUP(E15,FALL2025!$AN$35:$AQ$51,4,FALSE),"")</f>
        <v>2</v>
      </c>
      <c r="P15" s="65" t="s">
        <v>441</v>
      </c>
      <c r="Q15" s="35">
        <f t="shared" si="0"/>
        <v>6</v>
      </c>
      <c r="AA15" s="65" t="s">
        <v>34</v>
      </c>
      <c r="AB15" s="111">
        <f t="shared" si="1"/>
        <v>10</v>
      </c>
    </row>
    <row r="16" spans="1:28" ht="14.25" customHeight="1" x14ac:dyDescent="0.4">
      <c r="A16" s="65" t="s">
        <v>39</v>
      </c>
      <c r="B16" s="35">
        <f t="shared" si="2"/>
        <v>2</v>
      </c>
      <c r="C16" s="111">
        <f t="shared" si="3"/>
        <v>3.8333333333333335</v>
      </c>
      <c r="E16" s="65" t="s">
        <v>39</v>
      </c>
      <c r="F16" s="21">
        <f>IFERROR(VLOOKUP(E16,Spring2024!$AD$32:$AG$44,4,FALSE),"")</f>
        <v>2</v>
      </c>
      <c r="G16" s="21">
        <f>IFERROR(VLOOKUP(E16,Spring2024POST!$AE$32:$AH$44,4,FALSE),"")</f>
        <v>2</v>
      </c>
      <c r="H16" s="21">
        <f>IFERROR(VLOOKUP(E16,Fall2024PRE!$AF$33:$AI$43,4,FALSE),"")</f>
        <v>4</v>
      </c>
      <c r="I16" s="21">
        <f>IFERROR(VLOOKUP(E16,Fall2024!$AI$33:$AL$46,4,FALSE),"")</f>
        <v>4</v>
      </c>
      <c r="J16" s="21" t="str">
        <f>IFERROR(VLOOKUP(E16,Spring2025!$AI$33:$AL$46,4,FALSE),"")</f>
        <v/>
      </c>
      <c r="K16" s="21">
        <f>IFERROR(VLOOKUP(E16,Fall2025PRE!$AI$33:$AL$46,4,FALSE),"")</f>
        <v>5</v>
      </c>
      <c r="L16" s="21">
        <f>IFERROR(VLOOKUP(E16,FALL2025!$AN$35:$AQ$51,4,FALSE),"")</f>
        <v>6</v>
      </c>
      <c r="P16" s="65" t="s">
        <v>11</v>
      </c>
      <c r="Q16" s="35">
        <f t="shared" si="0"/>
        <v>4</v>
      </c>
      <c r="AA16" s="65" t="s">
        <v>441</v>
      </c>
      <c r="AB16" s="111">
        <f t="shared" si="1"/>
        <v>8.6</v>
      </c>
    </row>
    <row r="17" spans="1:28" ht="14.25" customHeight="1" x14ac:dyDescent="0.4">
      <c r="A17" s="65" t="s">
        <v>35</v>
      </c>
      <c r="B17" s="35">
        <f t="shared" si="2"/>
        <v>10</v>
      </c>
      <c r="C17" s="111">
        <f t="shared" si="3"/>
        <v>12.75</v>
      </c>
      <c r="E17" s="65" t="s">
        <v>35</v>
      </c>
      <c r="F17" s="21" t="str">
        <f>IFERROR(VLOOKUP(E17,Spring2024!$AD$32:$AG$44,4,FALSE),"")</f>
        <v/>
      </c>
      <c r="G17" s="21" t="str">
        <f>IFERROR(VLOOKUP(E17,Spring2024POST!$AE$32:$AH$44,4,FALSE),"")</f>
        <v/>
      </c>
      <c r="H17" s="21" t="str">
        <f>IFERROR(VLOOKUP(E17,Fall2024PRE!$AF$33:$AI$43,4,FALSE),"")</f>
        <v/>
      </c>
      <c r="I17" s="21">
        <f>IFERROR(VLOOKUP(E17,Fall2024!$AI$33:$AL$46,4,FALSE),"")</f>
        <v>13</v>
      </c>
      <c r="J17" s="21">
        <f>IFERROR(VLOOKUP(E17,Spring2025!$AI$33:$AL$46,4,FALSE),"")</f>
        <v>12</v>
      </c>
      <c r="K17" s="21">
        <f>IFERROR(VLOOKUP(E17,Fall2025PRE!$AI$33:$AL$46,4,FALSE),"")</f>
        <v>10</v>
      </c>
      <c r="L17" s="21">
        <f>IFERROR(VLOOKUP(E17,FALL2025!$AN$35:$AQ$51,4,FALSE),"")</f>
        <v>16</v>
      </c>
      <c r="P17" s="65" t="s">
        <v>41</v>
      </c>
      <c r="Q17" s="35">
        <f t="shared" si="0"/>
        <v>7</v>
      </c>
      <c r="AA17" s="65" t="s">
        <v>31</v>
      </c>
      <c r="AB17" s="111">
        <f t="shared" si="1"/>
        <v>8.25</v>
      </c>
    </row>
    <row r="18" spans="1:28" ht="14.25" customHeight="1" x14ac:dyDescent="0.4">
      <c r="A18" s="65" t="s">
        <v>30</v>
      </c>
      <c r="B18" s="35">
        <f t="shared" si="2"/>
        <v>15</v>
      </c>
      <c r="C18" s="111">
        <f t="shared" si="3"/>
        <v>15</v>
      </c>
      <c r="E18" s="65" t="s">
        <v>30</v>
      </c>
      <c r="F18" s="21" t="str">
        <f>IFERROR(VLOOKUP(E18,Spring2024!$AD$32:$AG$44,4,FALSE),"")</f>
        <v/>
      </c>
      <c r="G18" s="21" t="str">
        <f>IFERROR(VLOOKUP(E18,Spring2024POST!$AE$32:$AH$44,4,FALSE),"")</f>
        <v/>
      </c>
      <c r="H18" s="21" t="str">
        <f>IFERROR(VLOOKUP(E18,Fall2024PRE!$AF$33:$AI$43,4,FALSE),"")</f>
        <v/>
      </c>
      <c r="I18" s="21" t="str">
        <f>IFERROR(VLOOKUP(E18,Fall2024!$AI$33:$AL$46,4,FALSE),"")</f>
        <v/>
      </c>
      <c r="J18" s="21" t="str">
        <f>IFERROR(VLOOKUP(E18,Spring2025!$AI$33:$AL$46,4,FALSE),"")</f>
        <v/>
      </c>
      <c r="K18" s="21" t="str">
        <f>IFERROR(VLOOKUP(E18,Fall2025PRE!$AI$33:$AL$46,4,FALSE),"")</f>
        <v/>
      </c>
      <c r="L18" s="21">
        <f>IFERROR(VLOOKUP(E18,FALL2025!$AN$35:$AQ$51,4,FALSE),"")</f>
        <v>15</v>
      </c>
      <c r="P18" s="65" t="s">
        <v>32</v>
      </c>
      <c r="Q18" s="35">
        <f t="shared" si="0"/>
        <v>3</v>
      </c>
      <c r="AA18" s="65" t="s">
        <v>33</v>
      </c>
      <c r="AB18" s="111">
        <f t="shared" si="1"/>
        <v>10</v>
      </c>
    </row>
    <row r="19" spans="1:28" ht="14.25" customHeight="1" x14ac:dyDescent="0.4">
      <c r="A19" s="65" t="s">
        <v>734</v>
      </c>
      <c r="B19" s="35">
        <f t="shared" si="2"/>
        <v>1</v>
      </c>
      <c r="C19" s="111">
        <f t="shared" si="3"/>
        <v>2</v>
      </c>
      <c r="E19" s="65" t="s">
        <v>734</v>
      </c>
      <c r="F19" s="21">
        <f>IFERROR(VLOOKUP(E19,Spring2024!$AD$32:$AG$44,4,FALSE),"")</f>
        <v>3</v>
      </c>
      <c r="G19" s="21">
        <f>IFERROR(VLOOKUP(E19,Spring2024POST!$AE$32:$AH$44,4,FALSE),"")</f>
        <v>1</v>
      </c>
      <c r="H19" s="21">
        <f>IFERROR(VLOOKUP(E19,Fall2024PRE!$AF$33:$AI$43,4,FALSE),"")</f>
        <v>2</v>
      </c>
      <c r="I19" s="21">
        <f>IFERROR(VLOOKUP(E19,Fall2024!$AI$33:$AL$46,4,FALSE),"")</f>
        <v>2</v>
      </c>
      <c r="J19" s="21" t="str">
        <f>IFERROR(VLOOKUP(E19,Spring2025!$AI$33:$AL$46,4,FALSE),"")</f>
        <v/>
      </c>
      <c r="K19" s="21" t="str">
        <f>IFERROR(VLOOKUP(E19,Fall2025PRE!$AI$33:$AL$46,4,FALSE),"")</f>
        <v/>
      </c>
      <c r="L19" s="21" t="str">
        <f>IFERROR(VLOOKUP(E19,FALL2025!$AN$35:$AQ$51,4,FALSE),"")</f>
        <v/>
      </c>
      <c r="P19" s="65" t="s">
        <v>34</v>
      </c>
      <c r="Q19" s="35">
        <f t="shared" si="0"/>
        <v>10</v>
      </c>
      <c r="AA19" s="65" t="s">
        <v>41</v>
      </c>
      <c r="AB19" s="111">
        <f t="shared" si="1"/>
        <v>9.8571428571428577</v>
      </c>
    </row>
    <row r="20" spans="1:28" ht="14.25" customHeight="1" x14ac:dyDescent="0.4">
      <c r="A20" s="65" t="s">
        <v>1206</v>
      </c>
      <c r="B20" s="35">
        <f t="shared" si="2"/>
        <v>10</v>
      </c>
      <c r="C20" s="111">
        <f t="shared" si="3"/>
        <v>11</v>
      </c>
      <c r="E20" s="65" t="s">
        <v>1206</v>
      </c>
      <c r="F20" s="21">
        <f>IFERROR(VLOOKUP(E20,Spring2024!$AD$32:$AG$44,4,FALSE),"")</f>
        <v>10</v>
      </c>
      <c r="G20" s="21">
        <f>IFERROR(VLOOKUP(E20,Spring2024POST!$AE$32:$AH$44,4,FALSE),"")</f>
        <v>12</v>
      </c>
      <c r="H20" s="21" t="str">
        <f>IFERROR(VLOOKUP(E20,Fall2024PRE!$AF$33:$AI$43,4,FALSE),"")</f>
        <v/>
      </c>
      <c r="I20" s="21" t="str">
        <f>IFERROR(VLOOKUP(E20,Fall2024!$AI$33:$AL$46,4,FALSE),"")</f>
        <v/>
      </c>
      <c r="J20" s="21" t="str">
        <f>IFERROR(VLOOKUP(E20,Spring2025!$AI$33:$AL$46,4,FALSE),"")</f>
        <v/>
      </c>
      <c r="K20" s="21" t="str">
        <f>IFERROR(VLOOKUP(E20,Fall2025PRE!$AI$33:$AL$46,4,FALSE),"")</f>
        <v/>
      </c>
      <c r="L20" s="21" t="str">
        <f>IFERROR(VLOOKUP(E20,FALL2025!$AN$35:$AQ$51,4,FALSE),"")</f>
        <v/>
      </c>
      <c r="P20" s="65" t="s">
        <v>35</v>
      </c>
      <c r="Q20" s="35">
        <f t="shared" si="0"/>
        <v>10</v>
      </c>
      <c r="AA20" s="65" t="s">
        <v>1206</v>
      </c>
      <c r="AB20" s="111">
        <f t="shared" si="1"/>
        <v>11</v>
      </c>
    </row>
    <row r="21" spans="1:28" ht="14.25" customHeight="1" x14ac:dyDescent="0.4">
      <c r="A21" s="65" t="s">
        <v>441</v>
      </c>
      <c r="B21" s="35">
        <f t="shared" si="2"/>
        <v>6</v>
      </c>
      <c r="C21" s="111">
        <f t="shared" si="3"/>
        <v>8.6</v>
      </c>
      <c r="E21" s="65" t="s">
        <v>441</v>
      </c>
      <c r="F21" s="21">
        <f>IFERROR(VLOOKUP(E21,Spring2024!$AD$32:$AG$44,4,FALSE),"")</f>
        <v>11</v>
      </c>
      <c r="G21" s="21">
        <f>IFERROR(VLOOKUP(E21,Spring2024POST!$AE$32:$AH$44,4,FALSE),"")</f>
        <v>9</v>
      </c>
      <c r="H21" s="21">
        <f>IFERROR(VLOOKUP(E21,Fall2024PRE!$AF$33:$AI$43,4,FALSE),"")</f>
        <v>9</v>
      </c>
      <c r="I21" s="21">
        <f>IFERROR(VLOOKUP(E21,Fall2024!$AI$33:$AL$46,4,FALSE),"")</f>
        <v>6</v>
      </c>
      <c r="J21" s="21">
        <f>IFERROR(VLOOKUP(E21,Spring2025!$AI$33:$AL$46,4,FALSE),"")</f>
        <v>8</v>
      </c>
      <c r="K21" s="21" t="str">
        <f>IFERROR(VLOOKUP(E21,Fall2025PRE!$AI$33:$AL$46,4,FALSE),"")</f>
        <v/>
      </c>
      <c r="L21" s="21" t="str">
        <f>IFERROR(VLOOKUP(E21,FALL2025!$AN$35:$AQ$51,4,FALSE),"")</f>
        <v/>
      </c>
      <c r="P21" s="65" t="s">
        <v>1206</v>
      </c>
      <c r="Q21" s="35">
        <f t="shared" si="0"/>
        <v>10</v>
      </c>
      <c r="AA21" s="65" t="s">
        <v>35</v>
      </c>
      <c r="AB21" s="111">
        <f t="shared" si="1"/>
        <v>12.75</v>
      </c>
    </row>
    <row r="22" spans="1:28" ht="14.25" customHeight="1" x14ac:dyDescent="0.4">
      <c r="A22" s="65" t="s">
        <v>34</v>
      </c>
      <c r="B22" s="35">
        <f t="shared" si="2"/>
        <v>10</v>
      </c>
      <c r="C22" s="111">
        <f t="shared" si="3"/>
        <v>10</v>
      </c>
      <c r="E22" s="65" t="s">
        <v>34</v>
      </c>
      <c r="F22" s="21" t="str">
        <f>IFERROR(VLOOKUP(E22,Spring2024!$AD$32:$AG$44,4,FALSE),"")</f>
        <v/>
      </c>
      <c r="G22" s="21" t="str">
        <f>IFERROR(VLOOKUP(E22,Spring2024POST!$AE$32:$AH$44,4,FALSE),"")</f>
        <v/>
      </c>
      <c r="H22" s="21" t="str">
        <f>IFERROR(VLOOKUP(E22,Fall2024PRE!$AF$33:$AI$43,4,FALSE),"")</f>
        <v/>
      </c>
      <c r="I22" s="21" t="str">
        <f>IFERROR(VLOOKUP(E22,Fall2024!$AI$33:$AL$46,4,FALSE),"")</f>
        <v/>
      </c>
      <c r="J22" s="21" t="str">
        <f>IFERROR(VLOOKUP(E22,Spring2025!$AI$33:$AL$46,4,FALSE),"")</f>
        <v/>
      </c>
      <c r="K22" s="21" t="str">
        <f>IFERROR(VLOOKUP(E22,Fall2025PRE!$AI$33:$AL$46,4,FALSE),"")</f>
        <v/>
      </c>
      <c r="L22" s="21">
        <f>IFERROR(VLOOKUP(E22,FALL2025!$AN$35:$AQ$51,4,FALSE),"")</f>
        <v>10</v>
      </c>
      <c r="P22" s="65" t="s">
        <v>30</v>
      </c>
      <c r="Q22" s="35">
        <f t="shared" si="0"/>
        <v>15</v>
      </c>
      <c r="AA22" s="65" t="s">
        <v>30</v>
      </c>
      <c r="AB22" s="111">
        <f t="shared" si="1"/>
        <v>15</v>
      </c>
    </row>
    <row r="23" spans="1:28" ht="14.25" customHeight="1" x14ac:dyDescent="0.4">
      <c r="A23" s="65" t="s">
        <v>11</v>
      </c>
      <c r="B23" s="35">
        <f t="shared" si="2"/>
        <v>4</v>
      </c>
      <c r="C23" s="111">
        <f t="shared" si="3"/>
        <v>4</v>
      </c>
      <c r="E23" s="65" t="s">
        <v>11</v>
      </c>
      <c r="F23" s="21" t="str">
        <f>IFERROR(VLOOKUP(E23,Spring2024!$AD$32:$AG$44,4,FALSE),"")</f>
        <v/>
      </c>
      <c r="G23" s="21" t="str">
        <f>IFERROR(VLOOKUP(E23,Spring2024POST!$AE$32:$AH$44,4,FALSE),"")</f>
        <v/>
      </c>
      <c r="H23" s="21" t="str">
        <f>IFERROR(VLOOKUP(E23,Fall2024PRE!$AF$33:$AI$43,4,FALSE),"")</f>
        <v/>
      </c>
      <c r="I23" s="21" t="str">
        <f>IFERROR(VLOOKUP(E23,Fall2024!$AI$33:$AL$46,4,FALSE),"")</f>
        <v/>
      </c>
      <c r="J23" s="21" t="str">
        <f>IFERROR(VLOOKUP(E23,Spring2025!$AI$33:$AL$46,4,FALSE),"")</f>
        <v/>
      </c>
      <c r="K23" s="21" t="str">
        <f>IFERROR(VLOOKUP(E23,Fall2025PRE!$AI$33:$AL$46,4,FALSE),"")</f>
        <v/>
      </c>
      <c r="L23" s="21">
        <f>IFERROR(VLOOKUP(E23,FALL2025!$AN$35:$AQ$51,4,FALSE),"")</f>
        <v>4</v>
      </c>
    </row>
    <row r="24" spans="1:28" ht="14.25" customHeight="1" x14ac:dyDescent="0.4"/>
    <row r="25" spans="1:28" ht="14.25" customHeight="1" x14ac:dyDescent="0.4"/>
    <row r="26" spans="1:28" ht="14.25" customHeight="1" x14ac:dyDescent="0.4"/>
    <row r="27" spans="1:28" ht="14.25" customHeight="1" x14ac:dyDescent="0.4"/>
    <row r="28" spans="1:28" ht="14.25" customHeight="1" x14ac:dyDescent="0.4"/>
    <row r="29" spans="1:28" ht="14.25" customHeight="1" x14ac:dyDescent="0.4"/>
    <row r="30" spans="1:28" ht="14.25" customHeight="1" x14ac:dyDescent="0.4"/>
    <row r="31" spans="1:28" ht="14.25" customHeight="1" x14ac:dyDescent="0.4"/>
    <row r="32" spans="1:28" ht="14.25" customHeight="1" x14ac:dyDescent="0.4"/>
    <row r="33" ht="14.25" customHeight="1" x14ac:dyDescent="0.4"/>
    <row r="34" ht="14.25" customHeight="1" x14ac:dyDescent="0.4"/>
    <row r="35" ht="14.25" customHeight="1" x14ac:dyDescent="0.4"/>
    <row r="36" ht="14.25" customHeight="1" x14ac:dyDescent="0.4"/>
    <row r="37" ht="14.25" customHeight="1" x14ac:dyDescent="0.4"/>
    <row r="38" ht="14.25" customHeight="1" x14ac:dyDescent="0.4"/>
    <row r="39" ht="14.25" customHeight="1" x14ac:dyDescent="0.4"/>
    <row r="40" ht="14.25" customHeight="1" x14ac:dyDescent="0.4"/>
    <row r="41" ht="14.25" customHeight="1" x14ac:dyDescent="0.4"/>
    <row r="42" ht="14.25" customHeight="1" x14ac:dyDescent="0.4"/>
    <row r="43" ht="14.25" customHeight="1" x14ac:dyDescent="0.4"/>
    <row r="44" ht="14.25" customHeight="1" x14ac:dyDescent="0.4"/>
    <row r="45" ht="14.25" customHeight="1" x14ac:dyDescent="0.4"/>
    <row r="46" ht="14.25" customHeight="1" x14ac:dyDescent="0.4"/>
    <row r="47" ht="14.25" customHeight="1" x14ac:dyDescent="0.4"/>
    <row r="48" ht="14.25" customHeight="1" x14ac:dyDescent="0.4"/>
    <row r="49" ht="14.25" customHeight="1" x14ac:dyDescent="0.4"/>
    <row r="50" ht="14.25" customHeight="1" x14ac:dyDescent="0.4"/>
    <row r="51" ht="14.25" customHeight="1" x14ac:dyDescent="0.4"/>
    <row r="52" ht="14.25" customHeight="1" x14ac:dyDescent="0.4"/>
    <row r="53" ht="14.25" customHeight="1" x14ac:dyDescent="0.4"/>
    <row r="54" ht="14.25" customHeight="1" x14ac:dyDescent="0.4"/>
    <row r="55" ht="14.25" customHeight="1" x14ac:dyDescent="0.4"/>
    <row r="56" ht="14.25" customHeight="1" x14ac:dyDescent="0.4"/>
    <row r="57" ht="14.25" customHeight="1" x14ac:dyDescent="0.4"/>
    <row r="58" ht="14.25" customHeight="1" x14ac:dyDescent="0.4"/>
    <row r="59" ht="14.25" customHeight="1" x14ac:dyDescent="0.4"/>
    <row r="60" ht="14.25" customHeight="1" x14ac:dyDescent="0.4"/>
    <row r="61" ht="14.25" customHeight="1" x14ac:dyDescent="0.4"/>
    <row r="62" ht="14.25" customHeight="1" x14ac:dyDescent="0.4"/>
    <row r="63" ht="14.25" customHeight="1" x14ac:dyDescent="0.4"/>
    <row r="64" ht="14.25" customHeight="1" x14ac:dyDescent="0.4"/>
    <row r="65" ht="14.25" customHeight="1" x14ac:dyDescent="0.4"/>
    <row r="66" ht="14.25" customHeight="1" x14ac:dyDescent="0.4"/>
    <row r="67" ht="14.25" customHeight="1" x14ac:dyDescent="0.4"/>
    <row r="68" ht="14.25" customHeight="1" x14ac:dyDescent="0.4"/>
    <row r="69" ht="14.25" customHeight="1" x14ac:dyDescent="0.4"/>
    <row r="70" ht="14.25" customHeight="1" x14ac:dyDescent="0.4"/>
    <row r="71" ht="14.25" customHeight="1" x14ac:dyDescent="0.4"/>
    <row r="72" ht="14.25" customHeight="1" x14ac:dyDescent="0.4"/>
    <row r="73" ht="14.25" customHeight="1" x14ac:dyDescent="0.4"/>
    <row r="74" ht="14.25" customHeight="1" x14ac:dyDescent="0.4"/>
    <row r="75" ht="14.25" customHeight="1" x14ac:dyDescent="0.4"/>
    <row r="76" ht="14.25" customHeight="1" x14ac:dyDescent="0.4"/>
    <row r="77" ht="14.25" customHeight="1" x14ac:dyDescent="0.4"/>
    <row r="78" ht="14.25" customHeight="1" x14ac:dyDescent="0.4"/>
    <row r="79" ht="14.25" customHeight="1" x14ac:dyDescent="0.4"/>
    <row r="80" ht="14.25" customHeight="1" x14ac:dyDescent="0.4"/>
    <row r="81" ht="14.25" customHeight="1" x14ac:dyDescent="0.4"/>
    <row r="82" ht="14.25" customHeight="1" x14ac:dyDescent="0.4"/>
    <row r="83" ht="14.25" customHeight="1" x14ac:dyDescent="0.4"/>
    <row r="84" ht="14.25" customHeight="1" x14ac:dyDescent="0.4"/>
    <row r="85" ht="14.25" customHeight="1" x14ac:dyDescent="0.4"/>
    <row r="86" ht="14.25" customHeight="1" x14ac:dyDescent="0.4"/>
    <row r="87" ht="14.25" customHeight="1" x14ac:dyDescent="0.4"/>
    <row r="88" ht="14.25" customHeight="1" x14ac:dyDescent="0.4"/>
    <row r="89" ht="14.25" customHeight="1" x14ac:dyDescent="0.4"/>
    <row r="90" ht="14.25" customHeight="1" x14ac:dyDescent="0.4"/>
    <row r="91" ht="14.25" customHeight="1" x14ac:dyDescent="0.4"/>
    <row r="92" ht="14.25" customHeight="1" x14ac:dyDescent="0.4"/>
    <row r="93" ht="14.25" customHeight="1" x14ac:dyDescent="0.4"/>
    <row r="94" ht="14.25" customHeight="1" x14ac:dyDescent="0.4"/>
    <row r="95" ht="14.25" customHeight="1" x14ac:dyDescent="0.4"/>
    <row r="96" ht="14.25" customHeight="1" x14ac:dyDescent="0.4"/>
    <row r="97" ht="14.25" customHeight="1" x14ac:dyDescent="0.4"/>
    <row r="98" ht="14.25" customHeight="1" x14ac:dyDescent="0.4"/>
    <row r="99" ht="14.25" customHeight="1" x14ac:dyDescent="0.4"/>
    <row r="100" ht="14.25" customHeight="1" x14ac:dyDescent="0.4"/>
    <row r="101" ht="14.25" customHeight="1" x14ac:dyDescent="0.4"/>
    <row r="102" ht="14.25" customHeight="1" x14ac:dyDescent="0.4"/>
    <row r="103" ht="14.25" customHeight="1" x14ac:dyDescent="0.4"/>
    <row r="104" ht="14.25" customHeight="1" x14ac:dyDescent="0.4"/>
    <row r="105" ht="14.25" customHeight="1" x14ac:dyDescent="0.4"/>
    <row r="106" ht="14.25" customHeight="1" x14ac:dyDescent="0.4"/>
    <row r="107" ht="14.25" customHeight="1" x14ac:dyDescent="0.4"/>
    <row r="108" ht="14.25" customHeight="1" x14ac:dyDescent="0.4"/>
    <row r="109" ht="14.25" customHeight="1" x14ac:dyDescent="0.4"/>
    <row r="110" ht="14.25" customHeight="1" x14ac:dyDescent="0.4"/>
    <row r="111" ht="14.25" customHeight="1" x14ac:dyDescent="0.4"/>
    <row r="112" ht="14.25" customHeight="1" x14ac:dyDescent="0.4"/>
    <row r="113" ht="14.25" customHeight="1" x14ac:dyDescent="0.4"/>
    <row r="114" ht="14.25" customHeight="1" x14ac:dyDescent="0.4"/>
    <row r="115" ht="14.25" customHeight="1" x14ac:dyDescent="0.4"/>
    <row r="116" ht="14.25" customHeight="1" x14ac:dyDescent="0.4"/>
    <row r="117" ht="14.25" customHeight="1" x14ac:dyDescent="0.4"/>
    <row r="118" ht="14.25" customHeight="1" x14ac:dyDescent="0.4"/>
    <row r="119" ht="14.25" customHeight="1" x14ac:dyDescent="0.4"/>
    <row r="120" ht="14.25" customHeight="1" x14ac:dyDescent="0.4"/>
    <row r="121" ht="14.25" customHeight="1" x14ac:dyDescent="0.4"/>
    <row r="122" ht="14.25" customHeight="1" x14ac:dyDescent="0.4"/>
    <row r="123" ht="14.25" customHeight="1" x14ac:dyDescent="0.4"/>
    <row r="124" ht="14.25" customHeight="1" x14ac:dyDescent="0.4"/>
    <row r="125" ht="14.25" customHeight="1" x14ac:dyDescent="0.4"/>
    <row r="126" ht="14.25" customHeight="1" x14ac:dyDescent="0.4"/>
    <row r="127" ht="14.25" customHeight="1" x14ac:dyDescent="0.4"/>
    <row r="128" ht="14.25" customHeight="1" x14ac:dyDescent="0.4"/>
    <row r="129" ht="14.25" customHeight="1" x14ac:dyDescent="0.4"/>
    <row r="130" ht="14.25" customHeight="1" x14ac:dyDescent="0.4"/>
    <row r="131" ht="14.25" customHeight="1" x14ac:dyDescent="0.4"/>
    <row r="132" ht="14.25" customHeight="1" x14ac:dyDescent="0.4"/>
    <row r="133" ht="14.25" customHeight="1" x14ac:dyDescent="0.4"/>
    <row r="134" ht="14.25" customHeight="1" x14ac:dyDescent="0.4"/>
    <row r="135" ht="14.25" customHeight="1" x14ac:dyDescent="0.4"/>
    <row r="136" ht="14.25" customHeight="1" x14ac:dyDescent="0.4"/>
    <row r="137" ht="14.25" customHeight="1" x14ac:dyDescent="0.4"/>
    <row r="138" ht="14.25" customHeight="1" x14ac:dyDescent="0.4"/>
    <row r="139" ht="14.25" customHeight="1" x14ac:dyDescent="0.4"/>
    <row r="140" ht="14.25" customHeight="1" x14ac:dyDescent="0.4"/>
    <row r="141" ht="14.25" customHeight="1" x14ac:dyDescent="0.4"/>
    <row r="142" ht="14.25" customHeight="1" x14ac:dyDescent="0.4"/>
    <row r="143" ht="14.25" customHeight="1" x14ac:dyDescent="0.4"/>
    <row r="144" ht="14.25" customHeight="1" x14ac:dyDescent="0.4"/>
    <row r="145" ht="14.25" customHeight="1" x14ac:dyDescent="0.4"/>
    <row r="146" ht="14.25" customHeight="1" x14ac:dyDescent="0.4"/>
    <row r="147" ht="14.25" customHeight="1" x14ac:dyDescent="0.4"/>
    <row r="148" ht="14.25" customHeight="1" x14ac:dyDescent="0.4"/>
    <row r="149" ht="14.25" customHeight="1" x14ac:dyDescent="0.4"/>
    <row r="150" ht="14.25" customHeight="1" x14ac:dyDescent="0.4"/>
    <row r="151" ht="14.25" customHeight="1" x14ac:dyDescent="0.4"/>
    <row r="152" ht="14.25" customHeight="1" x14ac:dyDescent="0.4"/>
    <row r="153" ht="14.25" customHeight="1" x14ac:dyDescent="0.4"/>
    <row r="154" ht="14.25" customHeight="1" x14ac:dyDescent="0.4"/>
    <row r="155" ht="14.25" customHeight="1" x14ac:dyDescent="0.4"/>
    <row r="156" ht="14.25" customHeight="1" x14ac:dyDescent="0.4"/>
    <row r="157" ht="14.25" customHeight="1" x14ac:dyDescent="0.4"/>
    <row r="158" ht="14.25" customHeight="1" x14ac:dyDescent="0.4"/>
    <row r="159" ht="14.25" customHeight="1" x14ac:dyDescent="0.4"/>
    <row r="160" ht="14.25" customHeight="1" x14ac:dyDescent="0.4"/>
    <row r="161" ht="14.25" customHeight="1" x14ac:dyDescent="0.4"/>
    <row r="162" ht="14.25" customHeight="1" x14ac:dyDescent="0.4"/>
    <row r="163" ht="14.25" customHeight="1" x14ac:dyDescent="0.4"/>
    <row r="164" ht="14.25" customHeight="1" x14ac:dyDescent="0.4"/>
    <row r="165" ht="14.25" customHeight="1" x14ac:dyDescent="0.4"/>
    <row r="166" ht="14.25" customHeight="1" x14ac:dyDescent="0.4"/>
    <row r="167" ht="14.25" customHeight="1" x14ac:dyDescent="0.4"/>
    <row r="168" ht="14.25" customHeight="1" x14ac:dyDescent="0.4"/>
    <row r="169" ht="14.25" customHeight="1" x14ac:dyDescent="0.4"/>
    <row r="170" ht="14.25" customHeight="1" x14ac:dyDescent="0.4"/>
    <row r="171" ht="14.25" customHeight="1" x14ac:dyDescent="0.4"/>
    <row r="172" ht="14.25" customHeight="1" x14ac:dyDescent="0.4"/>
    <row r="173" ht="14.25" customHeight="1" x14ac:dyDescent="0.4"/>
    <row r="174" ht="14.25" customHeight="1" x14ac:dyDescent="0.4"/>
    <row r="175" ht="14.25" customHeight="1" x14ac:dyDescent="0.4"/>
    <row r="176" ht="14.25" customHeight="1" x14ac:dyDescent="0.4"/>
    <row r="177" ht="14.25" customHeight="1" x14ac:dyDescent="0.4"/>
    <row r="178" ht="14.25" customHeight="1" x14ac:dyDescent="0.4"/>
    <row r="179" ht="14.25" customHeight="1" x14ac:dyDescent="0.4"/>
    <row r="180" ht="14.25" customHeight="1" x14ac:dyDescent="0.4"/>
    <row r="181" ht="14.25" customHeight="1" x14ac:dyDescent="0.4"/>
    <row r="182" ht="14.25" customHeight="1" x14ac:dyDescent="0.4"/>
    <row r="183" ht="14.25" customHeight="1" x14ac:dyDescent="0.4"/>
    <row r="184" ht="14.25" customHeight="1" x14ac:dyDescent="0.4"/>
    <row r="185" ht="14.25" customHeight="1" x14ac:dyDescent="0.4"/>
    <row r="186" ht="14.25" customHeight="1" x14ac:dyDescent="0.4"/>
    <row r="187" ht="14.25" customHeight="1" x14ac:dyDescent="0.4"/>
    <row r="188" ht="14.25" customHeight="1" x14ac:dyDescent="0.4"/>
    <row r="189" ht="14.25" customHeight="1" x14ac:dyDescent="0.4"/>
    <row r="190" ht="14.25" customHeight="1" x14ac:dyDescent="0.4"/>
    <row r="191" ht="14.25" customHeight="1" x14ac:dyDescent="0.4"/>
    <row r="192" ht="14.25" customHeight="1" x14ac:dyDescent="0.4"/>
    <row r="193" ht="14.25" customHeight="1" x14ac:dyDescent="0.4"/>
    <row r="194" ht="14.25" customHeight="1" x14ac:dyDescent="0.4"/>
    <row r="195" ht="14.25" customHeight="1" x14ac:dyDescent="0.4"/>
    <row r="196" ht="14.25" customHeight="1" x14ac:dyDescent="0.4"/>
    <row r="197" ht="14.25" customHeight="1" x14ac:dyDescent="0.4"/>
    <row r="198" ht="14.25" customHeight="1" x14ac:dyDescent="0.4"/>
    <row r="199" ht="14.25" customHeight="1" x14ac:dyDescent="0.4"/>
    <row r="200" ht="14.25" customHeight="1" x14ac:dyDescent="0.4"/>
    <row r="201" ht="14.25" customHeight="1" x14ac:dyDescent="0.4"/>
    <row r="202" ht="14.25" customHeight="1" x14ac:dyDescent="0.4"/>
    <row r="203" ht="14.25" customHeight="1" x14ac:dyDescent="0.4"/>
    <row r="204" ht="14.25" customHeight="1" x14ac:dyDescent="0.4"/>
    <row r="205" ht="14.25" customHeight="1" x14ac:dyDescent="0.4"/>
    <row r="206" ht="14.25" customHeight="1" x14ac:dyDescent="0.4"/>
    <row r="207" ht="14.25" customHeight="1" x14ac:dyDescent="0.4"/>
    <row r="208" ht="14.25" customHeight="1" x14ac:dyDescent="0.4"/>
    <row r="209" ht="14.25" customHeight="1" x14ac:dyDescent="0.4"/>
    <row r="210" ht="14.25" customHeight="1" x14ac:dyDescent="0.4"/>
    <row r="211" ht="14.25" customHeight="1" x14ac:dyDescent="0.4"/>
    <row r="212" ht="14.25" customHeight="1" x14ac:dyDescent="0.4"/>
    <row r="213" ht="14.25" customHeight="1" x14ac:dyDescent="0.4"/>
    <row r="214" ht="14.25" customHeight="1" x14ac:dyDescent="0.4"/>
    <row r="215" ht="14.25" customHeight="1" x14ac:dyDescent="0.4"/>
    <row r="216" ht="14.25" customHeight="1" x14ac:dyDescent="0.4"/>
    <row r="217" ht="14.25" customHeight="1" x14ac:dyDescent="0.4"/>
    <row r="218" ht="14.25" customHeight="1" x14ac:dyDescent="0.4"/>
    <row r="219" ht="14.25" customHeight="1" x14ac:dyDescent="0.4"/>
    <row r="220" ht="14.25" customHeight="1" x14ac:dyDescent="0.4"/>
    <row r="221" ht="14.25" customHeight="1" x14ac:dyDescent="0.4"/>
    <row r="222" ht="14.25" customHeight="1" x14ac:dyDescent="0.4"/>
    <row r="223" ht="14.25" customHeight="1" x14ac:dyDescent="0.4"/>
    <row r="224" ht="14.25" customHeight="1" x14ac:dyDescent="0.4"/>
    <row r="225" ht="14.25" customHeight="1" x14ac:dyDescent="0.4"/>
    <row r="226" ht="14.25" customHeight="1" x14ac:dyDescent="0.4"/>
    <row r="227" ht="14.25" customHeight="1" x14ac:dyDescent="0.4"/>
    <row r="228" ht="14.25" customHeight="1" x14ac:dyDescent="0.4"/>
    <row r="229" ht="14.25" customHeight="1" x14ac:dyDescent="0.4"/>
    <row r="230" ht="14.25" customHeight="1" x14ac:dyDescent="0.4"/>
    <row r="231" ht="14.25" customHeight="1" x14ac:dyDescent="0.4"/>
    <row r="232" ht="14.25" customHeight="1" x14ac:dyDescent="0.4"/>
    <row r="233" ht="14.25" customHeight="1" x14ac:dyDescent="0.4"/>
    <row r="234" ht="14.25" customHeight="1" x14ac:dyDescent="0.4"/>
    <row r="235" ht="14.25" customHeight="1" x14ac:dyDescent="0.4"/>
    <row r="236" ht="14.25" customHeight="1" x14ac:dyDescent="0.4"/>
    <row r="237" ht="14.25" customHeight="1" x14ac:dyDescent="0.4"/>
    <row r="238" ht="14.25" customHeight="1" x14ac:dyDescent="0.4"/>
    <row r="239" ht="14.25" customHeight="1" x14ac:dyDescent="0.4"/>
    <row r="240" ht="14.25" customHeight="1" x14ac:dyDescent="0.4"/>
    <row r="241" ht="14.25" customHeight="1" x14ac:dyDescent="0.4"/>
    <row r="242" ht="14.25" customHeight="1" x14ac:dyDescent="0.4"/>
    <row r="243" ht="14.25" customHeight="1" x14ac:dyDescent="0.4"/>
    <row r="244" ht="14.25" customHeight="1" x14ac:dyDescent="0.4"/>
    <row r="245" ht="14.25" customHeight="1" x14ac:dyDescent="0.4"/>
    <row r="246" ht="14.25" customHeight="1" x14ac:dyDescent="0.4"/>
    <row r="247" ht="14.25" customHeight="1" x14ac:dyDescent="0.4"/>
    <row r="248" ht="14.25" customHeight="1" x14ac:dyDescent="0.4"/>
    <row r="249" ht="14.25" customHeight="1" x14ac:dyDescent="0.4"/>
    <row r="250" ht="14.25" customHeight="1" x14ac:dyDescent="0.4"/>
    <row r="251" ht="14.25" customHeight="1" x14ac:dyDescent="0.4"/>
    <row r="252" ht="14.25" customHeight="1" x14ac:dyDescent="0.4"/>
    <row r="253" ht="14.25" customHeight="1" x14ac:dyDescent="0.4"/>
    <row r="254" ht="14.25" customHeight="1" x14ac:dyDescent="0.4"/>
    <row r="255" ht="14.25" customHeight="1" x14ac:dyDescent="0.4"/>
    <row r="256" ht="14.25" customHeight="1" x14ac:dyDescent="0.4"/>
    <row r="257" ht="14.25" customHeight="1" x14ac:dyDescent="0.4"/>
    <row r="258" ht="14.25" customHeight="1" x14ac:dyDescent="0.4"/>
    <row r="259" ht="14.25" customHeight="1" x14ac:dyDescent="0.4"/>
    <row r="260" ht="14.25" customHeight="1" x14ac:dyDescent="0.4"/>
    <row r="261" ht="14.25" customHeight="1" x14ac:dyDescent="0.4"/>
    <row r="262" ht="14.25" customHeight="1" x14ac:dyDescent="0.4"/>
    <row r="263" ht="14.25" customHeight="1" x14ac:dyDescent="0.4"/>
    <row r="264" ht="14.25" customHeight="1" x14ac:dyDescent="0.4"/>
    <row r="265" ht="14.25" customHeight="1" x14ac:dyDescent="0.4"/>
    <row r="266" ht="14.25" customHeight="1" x14ac:dyDescent="0.4"/>
    <row r="267" ht="14.25" customHeight="1" x14ac:dyDescent="0.4"/>
    <row r="268" ht="14.25" customHeight="1" x14ac:dyDescent="0.4"/>
    <row r="269" ht="14.25" customHeight="1" x14ac:dyDescent="0.4"/>
    <row r="270" ht="14.25" customHeight="1" x14ac:dyDescent="0.4"/>
    <row r="271" ht="14.25" customHeight="1" x14ac:dyDescent="0.4"/>
    <row r="272" ht="14.25" customHeight="1" x14ac:dyDescent="0.4"/>
    <row r="273" ht="14.25" customHeight="1" x14ac:dyDescent="0.4"/>
    <row r="274" ht="14.25" customHeight="1" x14ac:dyDescent="0.4"/>
    <row r="275" ht="14.25" customHeight="1" x14ac:dyDescent="0.4"/>
    <row r="276" ht="14.25" customHeight="1" x14ac:dyDescent="0.4"/>
    <row r="277" ht="14.25" customHeight="1" x14ac:dyDescent="0.4"/>
    <row r="278" ht="14.25" customHeight="1" x14ac:dyDescent="0.4"/>
    <row r="279" ht="14.25" customHeight="1" x14ac:dyDescent="0.4"/>
    <row r="280" ht="14.25" customHeight="1" x14ac:dyDescent="0.4"/>
    <row r="281" ht="14.25" customHeight="1" x14ac:dyDescent="0.4"/>
    <row r="282" ht="14.25" customHeight="1" x14ac:dyDescent="0.4"/>
    <row r="283" ht="14.25" customHeight="1" x14ac:dyDescent="0.4"/>
    <row r="284" ht="14.25" customHeight="1" x14ac:dyDescent="0.4"/>
    <row r="285" ht="14.25" customHeight="1" x14ac:dyDescent="0.4"/>
    <row r="286" ht="14.25" customHeight="1" x14ac:dyDescent="0.4"/>
    <row r="287" ht="14.25" customHeight="1" x14ac:dyDescent="0.4"/>
    <row r="288" ht="14.25" customHeight="1" x14ac:dyDescent="0.4"/>
    <row r="289" ht="14.25" customHeight="1" x14ac:dyDescent="0.4"/>
    <row r="290" ht="14.25" customHeight="1" x14ac:dyDescent="0.4"/>
    <row r="291" ht="14.25" customHeight="1" x14ac:dyDescent="0.4"/>
    <row r="292" ht="14.25" customHeight="1" x14ac:dyDescent="0.4"/>
    <row r="293" ht="14.25" customHeight="1" x14ac:dyDescent="0.4"/>
    <row r="294" ht="14.25" customHeight="1" x14ac:dyDescent="0.4"/>
    <row r="295" ht="14.25" customHeight="1" x14ac:dyDescent="0.4"/>
    <row r="296" ht="14.25" customHeight="1" x14ac:dyDescent="0.4"/>
    <row r="297" ht="14.25" customHeight="1" x14ac:dyDescent="0.4"/>
    <row r="298" ht="14.25" customHeight="1" x14ac:dyDescent="0.4"/>
    <row r="299" ht="14.25" customHeight="1" x14ac:dyDescent="0.4"/>
    <row r="300" ht="14.25" customHeight="1" x14ac:dyDescent="0.4"/>
    <row r="301" ht="14.25" customHeight="1" x14ac:dyDescent="0.4"/>
    <row r="302" ht="14.25" customHeight="1" x14ac:dyDescent="0.4"/>
    <row r="303" ht="14.25" customHeight="1" x14ac:dyDescent="0.4"/>
    <row r="304" ht="14.25" customHeight="1" x14ac:dyDescent="0.4"/>
    <row r="305" ht="14.25" customHeight="1" x14ac:dyDescent="0.4"/>
    <row r="306" ht="14.25" customHeight="1" x14ac:dyDescent="0.4"/>
    <row r="307" ht="14.25" customHeight="1" x14ac:dyDescent="0.4"/>
    <row r="308" ht="14.25" customHeight="1" x14ac:dyDescent="0.4"/>
    <row r="309" ht="14.25" customHeight="1" x14ac:dyDescent="0.4"/>
    <row r="310" ht="14.25" customHeight="1" x14ac:dyDescent="0.4"/>
    <row r="311" ht="14.25" customHeight="1" x14ac:dyDescent="0.4"/>
    <row r="312" ht="14.25" customHeight="1" x14ac:dyDescent="0.4"/>
    <row r="313" ht="14.25" customHeight="1" x14ac:dyDescent="0.4"/>
    <row r="314" ht="14.25" customHeight="1" x14ac:dyDescent="0.4"/>
    <row r="315" ht="14.25" customHeight="1" x14ac:dyDescent="0.4"/>
    <row r="316" ht="14.25" customHeight="1" x14ac:dyDescent="0.4"/>
    <row r="317" ht="14.25" customHeight="1" x14ac:dyDescent="0.4"/>
    <row r="318" ht="14.25" customHeight="1" x14ac:dyDescent="0.4"/>
    <row r="319" ht="14.25" customHeight="1" x14ac:dyDescent="0.4"/>
    <row r="320" ht="14.25" customHeight="1" x14ac:dyDescent="0.4"/>
    <row r="321" ht="14.25" customHeight="1" x14ac:dyDescent="0.4"/>
    <row r="322" ht="14.25" customHeight="1" x14ac:dyDescent="0.4"/>
    <row r="323" ht="14.25" customHeight="1" x14ac:dyDescent="0.4"/>
    <row r="324" ht="14.25" customHeight="1" x14ac:dyDescent="0.4"/>
    <row r="325" ht="14.25" customHeight="1" x14ac:dyDescent="0.4"/>
    <row r="326" ht="14.25" customHeight="1" x14ac:dyDescent="0.4"/>
    <row r="327" ht="14.25" customHeight="1" x14ac:dyDescent="0.4"/>
    <row r="328" ht="14.25" customHeight="1" x14ac:dyDescent="0.4"/>
    <row r="329" ht="14.25" customHeight="1" x14ac:dyDescent="0.4"/>
    <row r="330" ht="14.25" customHeight="1" x14ac:dyDescent="0.4"/>
    <row r="331" ht="14.25" customHeight="1" x14ac:dyDescent="0.4"/>
    <row r="332" ht="14.25" customHeight="1" x14ac:dyDescent="0.4"/>
    <row r="333" ht="14.25" customHeight="1" x14ac:dyDescent="0.4"/>
    <row r="334" ht="14.25" customHeight="1" x14ac:dyDescent="0.4"/>
    <row r="335" ht="14.25" customHeight="1" x14ac:dyDescent="0.4"/>
    <row r="336" ht="14.25" customHeight="1" x14ac:dyDescent="0.4"/>
    <row r="337" ht="14.25" customHeight="1" x14ac:dyDescent="0.4"/>
    <row r="338" ht="14.25" customHeight="1" x14ac:dyDescent="0.4"/>
    <row r="339" ht="14.25" customHeight="1" x14ac:dyDescent="0.4"/>
    <row r="340" ht="14.25" customHeight="1" x14ac:dyDescent="0.4"/>
    <row r="341" ht="14.25" customHeight="1" x14ac:dyDescent="0.4"/>
    <row r="342" ht="14.25" customHeight="1" x14ac:dyDescent="0.4"/>
    <row r="343" ht="14.25" customHeight="1" x14ac:dyDescent="0.4"/>
    <row r="344" ht="14.25" customHeight="1" x14ac:dyDescent="0.4"/>
    <row r="345" ht="14.25" customHeight="1" x14ac:dyDescent="0.4"/>
    <row r="346" ht="14.25" customHeight="1" x14ac:dyDescent="0.4"/>
    <row r="347" ht="14.25" customHeight="1" x14ac:dyDescent="0.4"/>
    <row r="348" ht="14.25" customHeight="1" x14ac:dyDescent="0.4"/>
    <row r="349" ht="14.25" customHeight="1" x14ac:dyDescent="0.4"/>
    <row r="350" ht="14.25" customHeight="1" x14ac:dyDescent="0.4"/>
    <row r="351" ht="14.25" customHeight="1" x14ac:dyDescent="0.4"/>
    <row r="352" ht="14.25" customHeight="1" x14ac:dyDescent="0.4"/>
    <row r="353" ht="14.25" customHeight="1" x14ac:dyDescent="0.4"/>
    <row r="354" ht="14.25" customHeight="1" x14ac:dyDescent="0.4"/>
    <row r="355" ht="14.25" customHeight="1" x14ac:dyDescent="0.4"/>
    <row r="356" ht="14.25" customHeight="1" x14ac:dyDescent="0.4"/>
    <row r="357" ht="14.25" customHeight="1" x14ac:dyDescent="0.4"/>
    <row r="358" ht="14.25" customHeight="1" x14ac:dyDescent="0.4"/>
    <row r="359" ht="14.25" customHeight="1" x14ac:dyDescent="0.4"/>
    <row r="360" ht="14.25" customHeight="1" x14ac:dyDescent="0.4"/>
    <row r="361" ht="14.25" customHeight="1" x14ac:dyDescent="0.4"/>
    <row r="362" ht="14.25" customHeight="1" x14ac:dyDescent="0.4"/>
    <row r="363" ht="14.25" customHeight="1" x14ac:dyDescent="0.4"/>
    <row r="364" ht="14.25" customHeight="1" x14ac:dyDescent="0.4"/>
    <row r="365" ht="14.25" customHeight="1" x14ac:dyDescent="0.4"/>
    <row r="366" ht="14.25" customHeight="1" x14ac:dyDescent="0.4"/>
    <row r="367" ht="14.25" customHeight="1" x14ac:dyDescent="0.4"/>
    <row r="368" ht="14.25" customHeight="1" x14ac:dyDescent="0.4"/>
    <row r="369" ht="14.25" customHeight="1" x14ac:dyDescent="0.4"/>
    <row r="370" ht="14.25" customHeight="1" x14ac:dyDescent="0.4"/>
    <row r="371" ht="14.25" customHeight="1" x14ac:dyDescent="0.4"/>
    <row r="372" ht="14.25" customHeight="1" x14ac:dyDescent="0.4"/>
    <row r="373" ht="14.25" customHeight="1" x14ac:dyDescent="0.4"/>
    <row r="374" ht="14.25" customHeight="1" x14ac:dyDescent="0.4"/>
    <row r="375" ht="14.25" customHeight="1" x14ac:dyDescent="0.4"/>
    <row r="376" ht="14.25" customHeight="1" x14ac:dyDescent="0.4"/>
    <row r="377" ht="14.25" customHeight="1" x14ac:dyDescent="0.4"/>
    <row r="378" ht="14.25" customHeight="1" x14ac:dyDescent="0.4"/>
    <row r="379" ht="14.25" customHeight="1" x14ac:dyDescent="0.4"/>
    <row r="380" ht="14.25" customHeight="1" x14ac:dyDescent="0.4"/>
    <row r="381" ht="14.25" customHeight="1" x14ac:dyDescent="0.4"/>
    <row r="382" ht="14.25" customHeight="1" x14ac:dyDescent="0.4"/>
    <row r="383" ht="14.25" customHeight="1" x14ac:dyDescent="0.4"/>
    <row r="384" ht="14.25" customHeight="1" x14ac:dyDescent="0.4"/>
    <row r="385" ht="14.25" customHeight="1" x14ac:dyDescent="0.4"/>
    <row r="386" ht="14.25" customHeight="1" x14ac:dyDescent="0.4"/>
    <row r="387" ht="14.25" customHeight="1" x14ac:dyDescent="0.4"/>
    <row r="388" ht="14.25" customHeight="1" x14ac:dyDescent="0.4"/>
    <row r="389" ht="14.25" customHeight="1" x14ac:dyDescent="0.4"/>
    <row r="390" ht="14.25" customHeight="1" x14ac:dyDescent="0.4"/>
    <row r="391" ht="14.25" customHeight="1" x14ac:dyDescent="0.4"/>
    <row r="392" ht="14.25" customHeight="1" x14ac:dyDescent="0.4"/>
    <row r="393" ht="14.25" customHeight="1" x14ac:dyDescent="0.4"/>
    <row r="394" ht="14.25" customHeight="1" x14ac:dyDescent="0.4"/>
    <row r="395" ht="14.25" customHeight="1" x14ac:dyDescent="0.4"/>
    <row r="396" ht="14.25" customHeight="1" x14ac:dyDescent="0.4"/>
    <row r="397" ht="14.25" customHeight="1" x14ac:dyDescent="0.4"/>
    <row r="398" ht="14.25" customHeight="1" x14ac:dyDescent="0.4"/>
    <row r="399" ht="14.25" customHeight="1" x14ac:dyDescent="0.4"/>
    <row r="400" ht="14.25" customHeight="1" x14ac:dyDescent="0.4"/>
    <row r="401" ht="14.25" customHeight="1" x14ac:dyDescent="0.4"/>
    <row r="402" ht="14.25" customHeight="1" x14ac:dyDescent="0.4"/>
    <row r="403" ht="14.25" customHeight="1" x14ac:dyDescent="0.4"/>
    <row r="404" ht="14.25" customHeight="1" x14ac:dyDescent="0.4"/>
    <row r="405" ht="14.25" customHeight="1" x14ac:dyDescent="0.4"/>
    <row r="406" ht="14.25" customHeight="1" x14ac:dyDescent="0.4"/>
    <row r="407" ht="14.25" customHeight="1" x14ac:dyDescent="0.4"/>
    <row r="408" ht="14.25" customHeight="1" x14ac:dyDescent="0.4"/>
    <row r="409" ht="14.25" customHeight="1" x14ac:dyDescent="0.4"/>
    <row r="410" ht="14.25" customHeight="1" x14ac:dyDescent="0.4"/>
    <row r="411" ht="14.25" customHeight="1" x14ac:dyDescent="0.4"/>
    <row r="412" ht="14.25" customHeight="1" x14ac:dyDescent="0.4"/>
    <row r="413" ht="14.25" customHeight="1" x14ac:dyDescent="0.4"/>
    <row r="414" ht="14.25" customHeight="1" x14ac:dyDescent="0.4"/>
    <row r="415" ht="14.25" customHeight="1" x14ac:dyDescent="0.4"/>
    <row r="416" ht="14.25" customHeight="1" x14ac:dyDescent="0.4"/>
    <row r="417" ht="14.25" customHeight="1" x14ac:dyDescent="0.4"/>
    <row r="418" ht="14.25" customHeight="1" x14ac:dyDescent="0.4"/>
    <row r="419" ht="14.25" customHeight="1" x14ac:dyDescent="0.4"/>
    <row r="420" ht="14.25" customHeight="1" x14ac:dyDescent="0.4"/>
    <row r="421" ht="14.25" customHeight="1" x14ac:dyDescent="0.4"/>
    <row r="422" ht="14.25" customHeight="1" x14ac:dyDescent="0.4"/>
    <row r="423" ht="14.25" customHeight="1" x14ac:dyDescent="0.4"/>
    <row r="424" ht="14.25" customHeight="1" x14ac:dyDescent="0.4"/>
    <row r="425" ht="14.25" customHeight="1" x14ac:dyDescent="0.4"/>
    <row r="426" ht="14.25" customHeight="1" x14ac:dyDescent="0.4"/>
    <row r="427" ht="14.25" customHeight="1" x14ac:dyDescent="0.4"/>
    <row r="428" ht="14.25" customHeight="1" x14ac:dyDescent="0.4"/>
    <row r="429" ht="14.25" customHeight="1" x14ac:dyDescent="0.4"/>
    <row r="430" ht="14.25" customHeight="1" x14ac:dyDescent="0.4"/>
    <row r="431" ht="14.25" customHeight="1" x14ac:dyDescent="0.4"/>
    <row r="432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mergeCells count="2">
    <mergeCell ref="A1:C1"/>
    <mergeCell ref="E1:L1"/>
  </mergeCells>
  <conditionalFormatting sqref="F3:G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K18 L3:L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:C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2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2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2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2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FALL2025</vt:lpstr>
      <vt:lpstr>FALL2025 (2)</vt:lpstr>
      <vt:lpstr>Fall2025PRE</vt:lpstr>
      <vt:lpstr>Spring2025</vt:lpstr>
      <vt:lpstr>Fall2024</vt:lpstr>
      <vt:lpstr>Fall2024PRE</vt:lpstr>
      <vt:lpstr>Spring2024POST</vt:lpstr>
      <vt:lpstr>Spring2024</vt:lpstr>
      <vt:lpstr>OVERALL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Mcauliffe (RIT Student)</dc:creator>
  <cp:lastModifiedBy>Peter Mcauliffe (RIT Student)</cp:lastModifiedBy>
  <dcterms:created xsi:type="dcterms:W3CDTF">2024-04-01T13:56:10Z</dcterms:created>
  <dcterms:modified xsi:type="dcterms:W3CDTF">2025-12-17T20:22:50Z</dcterms:modified>
</cp:coreProperties>
</file>